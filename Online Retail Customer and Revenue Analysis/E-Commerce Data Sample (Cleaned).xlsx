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_sample" sheetId="1" r:id="rId5"/>
  </sheets>
  <definedNames/>
  <calcPr/>
</workbook>
</file>

<file path=xl/sharedStrings.xml><?xml version="1.0" encoding="utf-8"?>
<sst xmlns="http://schemas.openxmlformats.org/spreadsheetml/2006/main" count="10560" uniqueCount="2163">
  <si>
    <t>InvoiceNo</t>
  </si>
  <si>
    <t>CleanInvoiceNo</t>
  </si>
  <si>
    <t>TransactionType</t>
  </si>
  <si>
    <t>StockCode</t>
  </si>
  <si>
    <t>BaseStockCode</t>
  </si>
  <si>
    <t>ItemType</t>
  </si>
  <si>
    <t>Description</t>
  </si>
  <si>
    <t>CleanDescription</t>
  </si>
  <si>
    <t>Quantity</t>
  </si>
  <si>
    <t>InvoiceDate</t>
  </si>
  <si>
    <t>InvoiceMonth</t>
  </si>
  <si>
    <t>UnitPrice</t>
  </si>
  <si>
    <t>CustomerID</t>
  </si>
  <si>
    <t>CustomerType</t>
  </si>
  <si>
    <t>Country</t>
  </si>
  <si>
    <t>Region</t>
  </si>
  <si>
    <t>Revenue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</si>
  <si>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</si>
  <si>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</si>
  <si>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</si>
  <si>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</si>
  <si>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</si>
  <si>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</si>
  <si>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</si>
  <si>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</si>
  <si>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</si>
  <si>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</si>
  <si>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</si>
  <si>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</si>
  <si>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</si>
  <si>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</si>
  <si>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</si>
  <si>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</si>
  <si>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</si>
  <si>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</si>
  <si>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</si>
  <si>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</si>
  <si>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</si>
  <si>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</si>
  <si>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</si>
  <si>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</si>
  <si>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</si>
  <si>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</si>
  <si>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</si>
  <si>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</si>
  <si>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</si>
  <si>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</si>
  <si>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</si>
  <si>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</si>
  <si>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</si>
  <si>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</si>
  <si>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</si>
  <si>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</si>
  <si>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</si>
  <si>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</si>
  <si>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</si>
  <si>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</si>
  <si>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</si>
  <si>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</si>
  <si>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</si>
  <si>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</si>
  <si>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</si>
  <si>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</si>
  <si>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</si>
  <si>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</si>
  <si>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</si>
  <si>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</si>
  <si>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</si>
  <si>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</si>
  <si>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</si>
  <si>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</si>
  <si>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</si>
  <si>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</si>
  <si>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</si>
  <si>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</si>
  <si>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</si>
  <si>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</si>
  <si>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</si>
  <si>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</si>
  <si>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</si>
  <si>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</si>
  <si>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</si>
  <si>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</si>
  <si>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</si>
  <si>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</si>
  <si>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</si>
  <si>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</si>
  <si>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</si>
  <si>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</si>
  <si>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</si>
  <si>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</si>
  <si>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</si>
  <si>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</si>
  <si>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</si>
  <si>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</si>
  <si>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</si>
  <si>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</si>
  <si>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</si>
  <si>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</si>
  <si>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</si>
  <si>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</si>
  <si>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</si>
  <si>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</si>
  <si>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</si>
  <si>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</si>
  <si>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</si>
  <si>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</si>
  <si>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</si>
  <si>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</si>
  <si>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</si>
  <si>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</si>
  <si>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</si>
  <si>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</si>
  <si>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</si>
  <si>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</si>
  <si>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</si>
  <si>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</si>
  <si>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</si>
  <si>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</si>
  <si>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</si>
  <si>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</si>
  <si>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</si>
  <si>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</si>
  <si>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</si>
  <si>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</si>
  <si>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</si>
  <si>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</si>
  <si>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</si>
  <si>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</si>
  <si>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</si>
  <si>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</si>
  <si>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</si>
  <si>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</si>
  <si>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</si>
  <si>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</si>
  <si>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</si>
  <si>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</si>
  <si>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</si>
  <si>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</si>
  <si>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</si>
  <si>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</si>
  <si>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</si>
  <si>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</si>
  <si>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</si>
  <si>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</si>
  <si>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</si>
  <si>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</si>
  <si>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</si>
  <si>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</si>
  <si>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</si>
  <si>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</si>
  <si>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</si>
  <si>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</si>
  <si>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</si>
  <si>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</si>
  <si>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</si>
  <si>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</si>
  <si>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</si>
  <si>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</si>
  <si>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</si>
  <si>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</si>
  <si>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FLYING DUCKS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</si>
  <si>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</si>
  <si>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</si>
  <si>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</si>
  <si>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</si>
  <si>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</si>
  <si>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</si>
  <si>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</si>
  <si>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</si>
  <si>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</si>
  <si>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</si>
  <si>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</si>
  <si>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</si>
  <si>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</si>
  <si>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</si>
  <si>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</si>
  <si>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</si>
  <si>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</si>
  <si>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</si>
  <si>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</si>
  <si>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</si>
  <si>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</si>
  <si>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</si>
  <si>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</si>
  <si>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</si>
  <si>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</si>
  <si>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</si>
  <si>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DOORSTOP RED</t>
  </si>
  <si>
    <t>FIVE HEART HANGING DECORATION</t>
  </si>
  <si>
    <t>ASSORTED BOTTLE TOP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</si>
  <si>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</si>
  <si>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</si>
  <si>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</si>
  <si>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</si>
  <si>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</si>
  <si>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</si>
  <si>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</si>
  <si>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</si>
  <si>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</si>
  <si>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</si>
  <si>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</si>
  <si>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</si>
  <si>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</si>
  <si>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</si>
  <si>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</si>
  <si>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</si>
  <si>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</si>
  <si>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</si>
  <si>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</si>
  <si>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</si>
  <si>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</si>
  <si>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</si>
  <si>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</si>
  <si>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</si>
  <si>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</si>
  <si>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</si>
  <si>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</si>
  <si>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</si>
  <si>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</si>
  <si>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</si>
  <si>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</si>
  <si>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</si>
  <si>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</si>
  <si>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</si>
  <si>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</si>
  <si>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</si>
  <si>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C536391</t>
  </si>
  <si>
    <t>PLASTERS IN TIN CIRCUS PARADE</t>
  </si>
  <si>
    <t>PACK OF 12 PINK PAISLEY TISSUES</t>
  </si>
  <si>
    <t>PACK OF 12 BLUE PAISLEY TISSUES</t>
  </si>
  <si>
    <t>PACK OF 12 RED RETROSPOT TISSUES</t>
  </si>
  <si>
    <t>CHICK GREY HOT WATER BOTTLE</t>
  </si>
  <si>
    <t>PLASTERS IN TIN VINTAGE PAISLEY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</si>
  <si>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</si>
  <si>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</si>
  <si>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</si>
  <si>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</si>
  <si>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</si>
  <si>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</si>
  <si>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</si>
  <si>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</si>
  <si>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</si>
  <si>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</si>
  <si>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</si>
  <si>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</si>
  <si>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</si>
  <si>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</si>
  <si>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</si>
  <si>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</si>
  <si>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</si>
  <si>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SIGN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</si>
  <si>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</si>
  <si>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</si>
  <si>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</si>
  <si>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</si>
  <si>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</si>
  <si>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</si>
  <si>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</si>
  <si>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</si>
  <si>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</si>
  <si>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</si>
  <si>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</si>
  <si>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</si>
  <si>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</si>
  <si>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</si>
  <si>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</si>
  <si>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</si>
  <si>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</si>
  <si>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</si>
  <si>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</si>
  <si>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</si>
  <si>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</si>
  <si>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</si>
  <si>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</si>
  <si>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</si>
  <si>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</si>
  <si>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</si>
  <si>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</si>
  <si>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</si>
  <si>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</si>
  <si>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</si>
  <si>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</si>
  <si>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</si>
  <si>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</si>
  <si>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</si>
  <si>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</si>
  <si>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</si>
  <si>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</si>
  <si>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</si>
  <si>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</si>
  <si>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</si>
  <si>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</si>
  <si>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</si>
  <si>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</si>
  <si>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</si>
  <si>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</si>
  <si>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</si>
  <si>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</si>
  <si>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</si>
  <si>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</si>
  <si>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</si>
  <si>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</si>
  <si>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</si>
  <si>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</si>
  <si>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</si>
  <si>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</si>
  <si>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</si>
  <si>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</si>
  <si>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</si>
  <si>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</si>
  <si>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</si>
  <si>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</si>
  <si>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</si>
  <si>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</si>
  <si>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</si>
  <si>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</si>
  <si>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</si>
  <si>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</si>
  <si>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</si>
  <si>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</si>
  <si>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</si>
  <si>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</si>
  <si>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</si>
  <si>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</si>
  <si>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</si>
  <si>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</si>
  <si>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</si>
  <si>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</si>
  <si>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</si>
  <si>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</si>
  <si>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</si>
  <si>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</si>
  <si>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</si>
  <si>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</si>
  <si>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</si>
  <si>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</si>
  <si>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</si>
  <si>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</si>
  <si>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</si>
  <si>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</si>
  <si>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</si>
  <si>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</si>
  <si>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</si>
  <si>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</si>
  <si>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</si>
  <si>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</si>
  <si>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</si>
  <si>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</si>
  <si>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</si>
  <si>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</si>
  <si>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</si>
  <si>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</si>
  <si>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</si>
  <si>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</si>
  <si>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DESIGN</t>
  </si>
  <si>
    <t>LUNCH BAG CARS BLUE</t>
  </si>
  <si>
    <t>LUNCH BAG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</si>
  <si>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</si>
  <si>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</si>
  <si>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</si>
  <si>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</si>
  <si>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</si>
  <si>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HARMONICA IN BOX</t>
  </si>
  <si>
    <t>BLUE HARMONICA IN BOX</t>
  </si>
  <si>
    <t>SKULLS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</si>
  <si>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</si>
  <si>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</si>
  <si>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</si>
  <si>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</si>
  <si>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</si>
  <si>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</si>
  <si>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</si>
  <si>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</si>
  <si>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</si>
  <si>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</si>
  <si>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</si>
  <si>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</si>
  <si>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</si>
  <si>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</si>
  <si>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</si>
  <si>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</si>
  <si>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DOILIES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</si>
  <si>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</si>
  <si>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</si>
  <si>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</si>
  <si>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</si>
  <si>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</si>
  <si>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</si>
  <si>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</si>
  <si>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</si>
  <si>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</si>
  <si>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</si>
  <si>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</si>
  <si>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</si>
  <si>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</si>
  <si>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</si>
  <si>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</si>
  <si>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</si>
  <si>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</si>
  <si>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</si>
  <si>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</si>
  <si>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</si>
  <si>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</si>
  <si>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</si>
  <si>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</si>
  <si>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</si>
  <si>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</si>
  <si>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</si>
  <si>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</si>
  <si>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</si>
  <si>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</si>
  <si>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STICKERS</t>
  </si>
  <si>
    <t>FLOWERS STICKERS</t>
  </si>
  <si>
    <t>85169B</t>
  </si>
  <si>
    <t>BLACK LOVE BIRD CANDLE</t>
  </si>
  <si>
    <t>PARTY TIME PENCIL ERASERS</t>
  </si>
  <si>
    <t>PINK B'FLY C/COVER W BOBBLES</t>
  </si>
  <si>
    <t>PINK UNION JACK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</si>
  <si>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</si>
  <si>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</si>
  <si>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</si>
  <si>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</si>
  <si>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</si>
  <si>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</si>
  <si>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</si>
  <si>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</si>
  <si>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</si>
  <si>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</si>
  <si>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</si>
  <si>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</si>
  <si>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</si>
  <si>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</si>
  <si>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</si>
  <si>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</si>
  <si>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</si>
  <si>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</si>
  <si>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PINK POLKADOT PLATE</t>
  </si>
  <si>
    <t>FELTCRAFT DOLL MOLLY</t>
  </si>
  <si>
    <t>FELTCRAFT CHRISTMAS FAIRY</t>
  </si>
  <si>
    <t>SET OF 3 NOTEBOOKS IN PARCEL</t>
  </si>
  <si>
    <t>RED RETROSPOT TAPE</t>
  </si>
  <si>
    <t>COSY SLIPPER SHOES SMALL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</si>
  <si>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</si>
  <si>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</si>
  <si>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</si>
  <si>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</si>
  <si>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</si>
  <si>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</si>
  <si>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</si>
  <si>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</si>
  <si>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</si>
  <si>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</si>
  <si>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</si>
  <si>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</si>
  <si>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</si>
  <si>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</si>
  <si>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</si>
  <si>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</si>
  <si>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</si>
  <si>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</si>
  <si>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</si>
  <si>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</si>
  <si>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</si>
  <si>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</si>
  <si>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</si>
  <si>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</si>
  <si>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</si>
  <si>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</si>
  <si>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</si>
  <si>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</si>
  <si>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</si>
  <si>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</si>
  <si>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</si>
  <si>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</si>
  <si>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</si>
  <si>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</si>
  <si>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</si>
  <si>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</si>
  <si>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</si>
  <si>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</si>
  <si>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</si>
  <si>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</si>
  <si>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</si>
  <si>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</si>
  <si>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</si>
  <si>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</si>
  <si>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</si>
  <si>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</si>
  <si>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</si>
  <si>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</si>
  <si>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</si>
  <si>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</si>
  <si>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</si>
  <si>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</si>
  <si>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</si>
  <si>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</si>
  <si>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</si>
  <si>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</si>
  <si>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</si>
  <si>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</si>
  <si>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</si>
  <si>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</si>
  <si>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</si>
  <si>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</si>
  <si>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</si>
  <si>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</si>
  <si>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</si>
  <si>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</si>
  <si>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</si>
  <si>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</si>
  <si>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</si>
  <si>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</si>
  <si>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</si>
  <si>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</si>
  <si>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</si>
  <si>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</si>
  <si>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</si>
  <si>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</si>
  <si>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</si>
  <si>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</si>
  <si>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</si>
  <si>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</si>
  <si>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</si>
  <si>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</si>
  <si>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</si>
  <si>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</si>
  <si>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</si>
  <si>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</si>
  <si>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</si>
  <si>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</si>
  <si>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</si>
  <si>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</si>
  <si>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</si>
  <si>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</si>
  <si>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</si>
  <si>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</si>
  <si>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</si>
  <si>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</si>
  <si>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</si>
  <si>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</si>
  <si>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</si>
  <si>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</si>
  <si>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</si>
  <si>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</si>
  <si>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</si>
  <si>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</si>
  <si>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</si>
  <si>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</si>
  <si>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</si>
  <si>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</si>
  <si>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</si>
  <si>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</si>
  <si>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</si>
  <si>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</si>
  <si>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</si>
  <si>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</si>
  <si>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</si>
  <si>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</si>
  <si>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</si>
  <si>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</si>
  <si>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</si>
  <si>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</si>
  <si>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</si>
  <si>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</si>
  <si>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</si>
  <si>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</si>
  <si>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</si>
  <si>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</si>
  <si>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</si>
  <si>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</si>
  <si>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</si>
  <si>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</si>
  <si>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</si>
  <si>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</si>
  <si>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</si>
  <si>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</si>
  <si>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</si>
  <si>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</si>
  <si>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</si>
  <si>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</si>
  <si>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</si>
  <si>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</si>
  <si>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</si>
  <si>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</si>
  <si>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</si>
  <si>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</si>
  <si>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</si>
  <si>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</si>
  <si>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</si>
  <si>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</si>
  <si>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</si>
  <si>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</si>
  <si>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</si>
  <si>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</si>
  <si>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</si>
  <si>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</si>
  <si>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</si>
  <si>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</si>
  <si>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</si>
  <si>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</si>
  <si>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</si>
  <si>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</si>
  <si>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</si>
  <si>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</si>
  <si>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</si>
  <si>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</si>
  <si>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</si>
  <si>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</si>
  <si>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WRITING SET</t>
  </si>
  <si>
    <t>SKULLS WRITING SET</t>
  </si>
  <si>
    <t>48173C</t>
  </si>
  <si>
    <t>DOORMAT BLACK FLOCK</t>
  </si>
  <si>
    <t>CHRISTMAS DECOUPAGE CANDLE</t>
  </si>
  <si>
    <t>OFFICE MUG WARMER POLKADOT</t>
  </si>
  <si>
    <t>RECORD FRAME 7" SINGLE SIZE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</si>
  <si>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</si>
  <si>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</si>
  <si>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</si>
  <si>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</si>
  <si>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</si>
  <si>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</si>
  <si>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</si>
  <si>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</si>
  <si>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</si>
  <si>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</si>
  <si>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</si>
  <si>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</si>
  <si>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</si>
  <si>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</si>
  <si>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</si>
  <si>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</si>
  <si>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</si>
  <si>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</si>
  <si>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</si>
  <si>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</si>
  <si>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</si>
  <si>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46000M</t>
  </si>
  <si>
    <t>POLYESTER FILLER PAD 45x45cm</t>
  </si>
  <si>
    <t>CARD DOLLY GIRL</t>
  </si>
  <si>
    <t>CARD BILLBOARD FONT</t>
  </si>
  <si>
    <t>RAINY LADIES BIRTHDAY CARD</t>
  </si>
  <si>
    <t>RED WHITE SCARF HOT WATER BOTTLE</t>
  </si>
  <si>
    <t>SET OF 2 TEA TOWELS APPLE AND PEARS</t>
  </si>
  <si>
    <t>LANTERN CREAM GAZEBO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</si>
  <si>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</si>
  <si>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</si>
  <si>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</si>
  <si>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</si>
  <si>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</si>
  <si>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</si>
  <si>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</si>
  <si>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</si>
  <si>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</si>
  <si>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</si>
  <si>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</si>
  <si>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</si>
  <si>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</si>
  <si>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</si>
  <si>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</si>
  <si>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</si>
  <si>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</si>
  <si>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</si>
  <si>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</si>
  <si>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</si>
  <si>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</si>
  <si>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</si>
  <si>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</si>
  <si>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</si>
  <si>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</si>
  <si>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</si>
  <si>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</si>
  <si>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</si>
  <si>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</si>
  <si>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</si>
  <si>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</si>
  <si>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</si>
  <si>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</si>
  <si>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</si>
  <si>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</si>
  <si>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</si>
  <si>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</si>
  <si>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GREEN REGENCY TEACUP AND SAUCER</t>
  </si>
  <si>
    <t>PINK REGENCY TEACUP AND SAUCER</t>
  </si>
  <si>
    <t>ROSES REGENCY TEACUP AND SAUCER</t>
  </si>
  <si>
    <t>SET OF 3 CAKE TINS PANTRY DESIGN</t>
  </si>
  <si>
    <t>SET OF 6 SPICE TINS PANTRY DESIGN</t>
  </si>
  <si>
    <t>POPPY'S PLAYHOUSE BATHROOM</t>
  </si>
  <si>
    <t>GLASS CLOCHE LARGE</t>
  </si>
  <si>
    <t>CARD PSYCHEDELIC APPLES</t>
  </si>
  <si>
    <t>FINE WICKER HEART</t>
  </si>
  <si>
    <t>PACK OF 20 NAPKINS PANTRY DESIGN</t>
  </si>
  <si>
    <t>ASSORTED COLOURS SILK FAN</t>
  </si>
  <si>
    <t>RECYCLED PENCIL WITH RABBIT ERASER</t>
  </si>
  <si>
    <t>KITTY PENCIL ERASERS</t>
  </si>
  <si>
    <t>BLUE POLKADOT PASSPORT COVER</t>
  </si>
  <si>
    <t>BLUE POLKADOT LUGGAGE TAG</t>
  </si>
  <si>
    <t>JUMBO BAG TOYS</t>
  </si>
  <si>
    <t>JUMBO BAG WOODLAND ANIMALS</t>
  </si>
  <si>
    <t>RED RETROSPOT SHOPPER BAG</t>
  </si>
  <si>
    <t>WOODLAND CHARLOTTE BAG</t>
  </si>
  <si>
    <t>RED RETROSPOT CHARLOTTE BAG</t>
  </si>
  <si>
    <t>GOLD MINI TAPE MEASURE</t>
  </si>
  <si>
    <t>BLUE POLKADOT WASHING UP GLOVES</t>
  </si>
  <si>
    <t>RETROSPOT RED WASHING UP GLOVES</t>
  </si>
  <si>
    <t>GLITTER BUTTERFLY CLIPS</t>
  </si>
  <si>
    <t>SILVER PHOTO FRAME</t>
  </si>
  <si>
    <t>GOLD PHOTO FRAME</t>
  </si>
  <si>
    <t>PACK OF 20 NAPKINS RED APPLES</t>
  </si>
  <si>
    <t>SET OF 4 PANTRY JELLY MOULDS</t>
  </si>
  <si>
    <t>TRAVEL CARD WALLET SUKI</t>
  </si>
  <si>
    <t>TRAVEL CARD WALLET VINTAGE TICKET</t>
  </si>
  <si>
    <t>TRAVEL CARD WALLET KEEP CALM</t>
  </si>
  <si>
    <t>TRAVEL CARD WALLET RETRO PETALS</t>
  </si>
  <si>
    <t>TRAVEL CARD WALLET TRANSPORT</t>
  </si>
  <si>
    <t>TRAVEL CARD WALLET SKULLS</t>
  </si>
  <si>
    <t>ENAMEL BLUE RIM BISCUIT BIN</t>
  </si>
  <si>
    <t>METAL 4 HOOK HANGER FRENCH CHATEAU</t>
  </si>
  <si>
    <t>PAPER CHAIN KIT EMPIRE</t>
  </si>
  <si>
    <t>SLATE TILE NATURAL HANGING</t>
  </si>
  <si>
    <t>C544814</t>
  </si>
  <si>
    <t>M</t>
  </si>
  <si>
    <t>Manual</t>
  </si>
  <si>
    <t>LIPSTICK PEN FUSCHIA</t>
  </si>
  <si>
    <t>LIPSTICK PEN RED</t>
  </si>
  <si>
    <t>LIPSTICK PEN BABY PINK</t>
  </si>
  <si>
    <t>MAGNETS PACK OF 4 SWALLOWS</t>
  </si>
  <si>
    <t>WOODEN UNION JACK BUNTING</t>
  </si>
  <si>
    <t>HEART DECORATION PAINTED ZINC</t>
  </si>
  <si>
    <t>VINTAGE KEEPSAKE BOX TRAVELOGUE</t>
  </si>
  <si>
    <t>SWALLOW WOODEN CHRISTMAS DECORATION</t>
  </si>
  <si>
    <t>GIRAFFE WOODEN RULER</t>
  </si>
  <si>
    <t>REVOLVER WOODEN RULER</t>
  </si>
  <si>
    <t>TRAVEL CARD WALLET FLOWER MEADOW</t>
  </si>
  <si>
    <t>TRAVEL CARD WALLET PANTRY</t>
  </si>
  <si>
    <t>BAKING SET 9 PIECE RETROSPOT</t>
  </si>
  <si>
    <t>RED RETROSPOT BOWL</t>
  </si>
  <si>
    <t>CAKE STAND WHITE TWO TIER LACE</t>
  </si>
  <si>
    <t>RED LOVE HEART SHAPE CUP</t>
  </si>
  <si>
    <t>PINK LOVE HEART SHAPE CUP</t>
  </si>
  <si>
    <t>COWBOYS AND INDIANS BIRTHDAY CARD</t>
  </si>
  <si>
    <t>GROW A FLYTRAP OR SUNFLOWER IN TIN</t>
  </si>
  <si>
    <t>PASTEL COLOUR HONEYCOMB FAN</t>
  </si>
  <si>
    <t>MULTICOLOUR HONEYCOMB FAN</t>
  </si>
  <si>
    <t>MINI CAKE STAND T-LIGHT HOLDER</t>
  </si>
  <si>
    <t>84985A</t>
  </si>
  <si>
    <t>SET OF 72 GREEN PAPER DOILIES</t>
  </si>
  <si>
    <t>SET OF 72 PINK HEART PAPER DOILIES</t>
  </si>
  <si>
    <t>TROPICAL HONEYCOMB PAPER GARLAND</t>
  </si>
  <si>
    <t>EMPIRE TISSUE BOX</t>
  </si>
  <si>
    <t>CHINESE DRAGON PAPER LANTERNS</t>
  </si>
  <si>
    <t>CITRONELLA CANDLE FLOWERPOT</t>
  </si>
  <si>
    <t>CHILDS BREAKFAST SET SPACEBOY</t>
  </si>
  <si>
    <t>EMPIRE DESIGN ROSETTE</t>
  </si>
  <si>
    <t>EASTER CRAFT 4 CHICKS</t>
  </si>
  <si>
    <t>72800C</t>
  </si>
  <si>
    <t>4 PINK DINNER CANDLE SILVER FLOCK</t>
  </si>
  <si>
    <t>72800D</t>
  </si>
  <si>
    <t>4 BLUE DINNER CANDLES SILVER FLOCK</t>
  </si>
  <si>
    <t>PINK CREAM FELT CRAFT TRINKET BOX</t>
  </si>
  <si>
    <t>PINK BLUE FELT CRAFT TRINKET BOX</t>
  </si>
  <si>
    <t>TRADITIONAL MODELLING CLAY</t>
  </si>
  <si>
    <t>BREAD BIN DINER STYLE RED</t>
  </si>
  <si>
    <t>BREAD BIN DINER STYLE MINT</t>
  </si>
  <si>
    <t>RED KITCHEN SCALES</t>
  </si>
  <si>
    <t>WOODEN CROQUET GARDEN SET</t>
  </si>
  <si>
    <t>BLUE STRIPE CERAMIC DRAWER KNOB</t>
  </si>
  <si>
    <t>WHITE SPOT BLUE CERAMIC DRAWER KNOB</t>
  </si>
  <si>
    <t>BLUE SPOT CERAMIC DRAWER KNOB</t>
  </si>
  <si>
    <t>RED STRIPE CERAMIC DRAWER KNOB</t>
  </si>
  <si>
    <t>RED SPOT CERAMIC DRAWER KNOB</t>
  </si>
  <si>
    <t>IVORY KITCHEN SCALES</t>
  </si>
  <si>
    <t>FRENCH BLUE METAL DOOR SIGN 4</t>
  </si>
  <si>
    <t>FRENCH BLUE METAL DOOR SIGN 5</t>
  </si>
  <si>
    <t>FRENCH BLUE METAL DOOR SIGN 6</t>
  </si>
  <si>
    <t>LAUNDRY 15C METAL SIGN</t>
  </si>
  <si>
    <t>PLEASE ONE PERSON METAL SIGN</t>
  </si>
  <si>
    <t>PANTRY SCRUBBING BRUSH</t>
  </si>
  <si>
    <t>PANTRY ROLLING PIN</t>
  </si>
  <si>
    <t>GINGERBREAD MAN COOKIE CUTTER</t>
  </si>
  <si>
    <t>3 TRADITIONAl BISCUIT CUTTERS SET</t>
  </si>
  <si>
    <t>RECIPE BOX PANTRY YELLOW DESIGN</t>
  </si>
  <si>
    <t>ROUND CAKE TIN VINTAGE RED</t>
  </si>
  <si>
    <t>BISCUIT TIN VINTAGE RED</t>
  </si>
  <si>
    <t>BLACK KITCHEN SCALES</t>
  </si>
  <si>
    <t>DOG BOWL VINTAGE CREAM</t>
  </si>
  <si>
    <t>VINTAGE CREAM DOG FOOD CONTAINER</t>
  </si>
  <si>
    <t>VINTAGE CREAM CAT FOOD CONTAINER</t>
  </si>
  <si>
    <t>CAT BOWL VINTAGE CREAM</t>
  </si>
  <si>
    <t>CHEST NATURAL WOOD 20 DRAWERS</t>
  </si>
  <si>
    <t>ENAMEL MEASURING JUG CREAM</t>
  </si>
  <si>
    <t>HANGING HEART MIRROR DECORATION</t>
  </si>
  <si>
    <t>SWEETHEART WIRE MAGAZINE RACK</t>
  </si>
  <si>
    <t>NATURAL SLATE CHALKBOARD LARGE</t>
  </si>
  <si>
    <t>GAOLERS KEYS DECORATIVE GARDEN</t>
  </si>
  <si>
    <t>PICNIC BASKET WICKER LARGE</t>
  </si>
  <si>
    <t>WOODEN ROUNDERS GARDEN SET</t>
  </si>
  <si>
    <t>WOODEN SKITTLES GARDEN SET</t>
  </si>
  <si>
    <t>DOORMAT 3 SMILEY CATS</t>
  </si>
  <si>
    <t>DOORMAT HOME SWEET HOME BLUE</t>
  </si>
  <si>
    <t>DOORMAT WELCOME TO OUR HOME</t>
  </si>
  <si>
    <t>BAKING MOULD HEART WHITE CHOCOLATE</t>
  </si>
  <si>
    <t>BAKING MOULD TOFFEE CUP CHOCOLATE</t>
  </si>
  <si>
    <t>BLACK RECORD COVER FRAME</t>
  </si>
  <si>
    <t>SET3 BOOK BOX GREEN GINGHAM FLOWER</t>
  </si>
  <si>
    <t>JUMBO STORAGE BAG SKULLS</t>
  </si>
  <si>
    <t>RED RETROSPOT PICNIC BAG</t>
  </si>
  <si>
    <t>TOADSTOOL MONEY BOX</t>
  </si>
  <si>
    <t>CHARLOTTE BAG PINK POLKADOT</t>
  </si>
  <si>
    <t>BASKET OF TOADSTOOLS</t>
  </si>
  <si>
    <t>SKULL LUNCH BOX WITH CUTLERY</t>
  </si>
  <si>
    <t>EMPIRE UNION JACK TV DINNER TRAY</t>
  </si>
  <si>
    <t>MEMO BOARD RETROSPOT DESIGN</t>
  </si>
  <si>
    <t>VINTAGE UNION JACK MEMOBOARD</t>
  </si>
  <si>
    <t>CUSHION COVER PINK UNION JACK</t>
  </si>
  <si>
    <t>RED RETROSPOT PUDDING BOWL</t>
  </si>
  <si>
    <t>RED RETROSPOT CAKE STAND</t>
  </si>
  <si>
    <t>RED RETROSPOT SMALL MILK JUG</t>
  </si>
  <si>
    <t>RED RETROSPOT ROUND CAKE TINS</t>
  </si>
  <si>
    <t>SET 3 RETROSPOT TEA,COFFEE,SUGAR</t>
  </si>
  <si>
    <t>COFFEE MUG PEARS DESIGN</t>
  </si>
  <si>
    <t>COFFEE MUG APPLES DESIGN</t>
  </si>
  <si>
    <t>PEG BAG APPLES DESIGN</t>
  </si>
  <si>
    <t>APRON APPLE DELIGHT</t>
  </si>
  <si>
    <t>CHILDRENS APRON APPLES DESIGN</t>
  </si>
  <si>
    <t>COFFEE MUG DOG + BALL DESIGN</t>
  </si>
  <si>
    <t>BOTTLE BAG RETROSPOT</t>
  </si>
  <si>
    <t>COFFEE MUG CAT + BIRD DESIGN</t>
  </si>
  <si>
    <t>FRENCH BLUE METAL DOOR SIGN 7</t>
  </si>
  <si>
    <t>FRENCH BLUE METAL DOOR SIGN 8</t>
  </si>
  <si>
    <t>FRENCH BLUE METAL DOOR SIGN 9</t>
  </si>
  <si>
    <t>FRENCH BLUE METAL DOOR SIGN 0</t>
  </si>
  <si>
    <t>FRENCH BLUE METAL DOOR SIGN No</t>
  </si>
  <si>
    <t>FRENCH BLUE METAL DOOR SIGN 1</t>
  </si>
  <si>
    <t>FRENCH BLUE METAL DOOR SIGN 2</t>
  </si>
  <si>
    <t>FRENCH BLUE METAL DOOR SIGN 3</t>
  </si>
  <si>
    <t>WASH BAG VINTAGE ROSE PAISLEY</t>
  </si>
  <si>
    <t>47594B</t>
  </si>
  <si>
    <t>SCOTTIES DESIGN WASHBAG</t>
  </si>
  <si>
    <t>47594A</t>
  </si>
  <si>
    <t>CAROUSEL DESIGN WASHBAG</t>
  </si>
  <si>
    <t>AIRLINE BAG VINTAGE JET SET RED</t>
  </si>
  <si>
    <t>AIRLINE BAG VINTAGE JET SET BROWN</t>
  </si>
  <si>
    <t>PINK OWL SOFT TOY</t>
  </si>
  <si>
    <t>COLOUR GLASS. STAR T-LIGHT HOLDER</t>
  </si>
  <si>
    <t>C544827</t>
  </si>
  <si>
    <t>CAKE STAND LOVEBIRD 2 TIER PINK</t>
  </si>
  <si>
    <t>C544828</t>
  </si>
  <si>
    <t>84279B</t>
  </si>
  <si>
    <t>CHERRY BLOSSOM DECORATIVE FLASK</t>
  </si>
  <si>
    <t>C544829</t>
  </si>
  <si>
    <t>RED FLOCK LOVE HEART PHOTO FRAME</t>
  </si>
  <si>
    <t>C544830</t>
  </si>
  <si>
    <t>CERAMIC PLATE STRAWBERRY DESIGN</t>
  </si>
  <si>
    <t>C544831</t>
  </si>
  <si>
    <t>CHILDRENS DOLLY GIRL MUG</t>
  </si>
  <si>
    <t>DECORATION BUTTERFLY MAGIC GARDEN</t>
  </si>
  <si>
    <t>DECORATION WHITE CHICK MAGIC GARDEN</t>
  </si>
  <si>
    <t>DECORATION PINK CHICK MAGIC GARDEN</t>
  </si>
  <si>
    <t>PACK OF 12 SUKI TISSUES</t>
  </si>
  <si>
    <t>15056P</t>
  </si>
  <si>
    <t>EDWARDIAN PARASOL PINK</t>
  </si>
  <si>
    <t>SET OF 36 PAISLEY FLOWER DOILIES</t>
  </si>
  <si>
    <t>MOROCCAN TEA GLASS</t>
  </si>
  <si>
    <t>MAGNETS PACK OF 4 VINTAGE COLLAGE</t>
  </si>
  <si>
    <t>VICTORIAN METAL POSTCARD SPRING</t>
  </si>
  <si>
    <t>METAL SIGN NEIGHBOURHOOD WITCH</t>
  </si>
  <si>
    <t>NO SINGING METAL SIGN</t>
  </si>
  <si>
    <t>SOAP DISH BROCANTE</t>
  </si>
  <si>
    <t>SET OF 2 ROUND TINS CAMEMBERT</t>
  </si>
  <si>
    <t>CREAM SWEETHEART EGG HOLDER</t>
  </si>
  <si>
    <t>TWO DOOR CURIO CABINET</t>
  </si>
  <si>
    <t>HOME SWEET HOME METAL SIGN</t>
  </si>
  <si>
    <t>72807A</t>
  </si>
  <si>
    <t>SET/3 ROSE CANDLE IN JEWELLED BOX</t>
  </si>
  <si>
    <t>72807C</t>
  </si>
  <si>
    <t>SET/3 VANILLA SCENTED CANDLE IN BOX</t>
  </si>
  <si>
    <t>SET/3 POT PLANT CANDLES</t>
  </si>
  <si>
    <t>PINK POT PLANT CANDLE</t>
  </si>
  <si>
    <t>CREAM SWEETHEART MINI CHEST</t>
  </si>
  <si>
    <t>BLUE POT PLANT CANDLE</t>
  </si>
  <si>
    <t>HANGING JAM JAR T-LIGHT HOLDER</t>
  </si>
  <si>
    <t>VINTAGE UNION JACK PENNANT</t>
  </si>
  <si>
    <t>PAINTED METAL PEARS ASSORTED</t>
  </si>
  <si>
    <t>CAMOUFLAGE EAR MUFF HEADPHONES</t>
  </si>
  <si>
    <t>HOOK, 1 HANGER ,MAGIC GARDEN</t>
  </si>
  <si>
    <t>82613B</t>
  </si>
  <si>
    <t>METAL SIGN,CUPCAKE SINGLE HOOK</t>
  </si>
  <si>
    <t>17107D</t>
  </si>
  <si>
    <t>FLOWER FAIRY,5 SUMMER B'DRAW LINERS</t>
  </si>
  <si>
    <t>84884A</t>
  </si>
  <si>
    <t>ANT WHITE WIRE HEART SPIRAL</t>
  </si>
  <si>
    <t>PAPER BUNTING COLOURED LACE</t>
  </si>
  <si>
    <t>VINTAGE NOTEBOOK PARIS DAYS</t>
  </si>
  <si>
    <t>EASTER DECORATION NATURAL CHICK</t>
  </si>
  <si>
    <t>LOVE GARLAND PAINTED ZINC</t>
  </si>
  <si>
    <t>TEA PARTY BIRTHDAY CARD</t>
  </si>
  <si>
    <t>GIN &amp; TONIC DIET GREETING CARD</t>
  </si>
  <si>
    <t>SWALLOWS GREETING CARD</t>
  </si>
  <si>
    <t>BOTANICAL ROSE GREETING CARD</t>
  </si>
  <si>
    <t>SPACEBOY BIRTHDAY CARD</t>
  </si>
  <si>
    <t>EASTER TIN BUNNY BOUQUET</t>
  </si>
  <si>
    <t>EASTER TIN CHICKS PINK DAISY</t>
  </si>
  <si>
    <t>FUNKY WASHING UP GLOVES ASSORTED</t>
  </si>
  <si>
    <t>TOAST ITS - BEST MUM</t>
  </si>
  <si>
    <t>TEA COSY RED STRIPE</t>
  </si>
  <si>
    <t>TEA COSY BLUE STRIPE</t>
  </si>
  <si>
    <t>85206A</t>
  </si>
  <si>
    <t>CREAM FELT EASTER EGG BASKET</t>
  </si>
  <si>
    <t>SET 3 PAPER VINTAGE CHICK PAPER EGG</t>
  </si>
  <si>
    <t>Saudi Arabia</t>
  </si>
  <si>
    <t>GLASS JAR MARMALADE</t>
  </si>
  <si>
    <t>GLASS JAR PEACOCK BATH SALTS</t>
  </si>
  <si>
    <t>GLASS JAR DAISY FRESH COTTON WOOL</t>
  </si>
  <si>
    <t>PLASTERS IN TIN STRONGMAN</t>
  </si>
  <si>
    <t>GOLD EAR MUFF HEADPHONES</t>
  </si>
  <si>
    <t>GINGHAM HEART DECORATION</t>
  </si>
  <si>
    <t>EGG CUP NATURAL CHICKEN</t>
  </si>
  <si>
    <t>LARGE CAKE STAND HANGING STRAWBERY</t>
  </si>
  <si>
    <t>RIBBON REEL HEARTS DESIGN</t>
  </si>
  <si>
    <t>RIBBON REEL LACE DESIGN</t>
  </si>
  <si>
    <t>JUMBO BAG SCANDINAVIAN PAISLEY</t>
  </si>
  <si>
    <t>FRENCH ENAMEL CANDLEHOLDER</t>
  </si>
  <si>
    <t>VINTAGE UNION JACK SHOPPING BAG</t>
  </si>
  <si>
    <t>VINTAGE UNION JACK DOORSTOP</t>
  </si>
  <si>
    <t>HANGING HEART JAR T-LIGHT HOLDER</t>
  </si>
  <si>
    <t>12 PENCILS SMALL TUBE RED RETROSPOT</t>
  </si>
  <si>
    <t>MEMO BOARD COTTAGE DESIGN</t>
  </si>
  <si>
    <t>C544840</t>
  </si>
  <si>
    <t>SAVOY ART DECO CLOCK</t>
  </si>
  <si>
    <t>WRAP POPPIES DESIGN</t>
  </si>
  <si>
    <t>RED RETROSPOT WRAP</t>
  </si>
  <si>
    <t>WRAP RED APPLES</t>
  </si>
  <si>
    <t>FOUR HOOK WHITE LOVEBIRDS</t>
  </si>
  <si>
    <t>ASSORTED CREEPY CRAWLIES</t>
  </si>
  <si>
    <t>LONDON BUS COFFEE MUG</t>
  </si>
  <si>
    <t>TABLE LAMP WHITE SHADE WOOD BASE</t>
  </si>
  <si>
    <t>75049L</t>
  </si>
  <si>
    <t>LARGE CIRCULAR MIRROR MOBILE</t>
  </si>
  <si>
    <t>UNION STRIPE WITH FRINGE HAMMOCK</t>
  </si>
  <si>
    <t>LOVE LARGE WOOD LETTERS</t>
  </si>
  <si>
    <t>BROCANTE COAT RACK</t>
  </si>
  <si>
    <t>85232A</t>
  </si>
  <si>
    <t>SET/3 POLKADOT STACKING TINS</t>
  </si>
  <si>
    <t>I CAN ONLY PLEASE ONE PERSON MUG</t>
  </si>
  <si>
    <t>18097C</t>
  </si>
  <si>
    <t>WHITE TALL PORCELAIN T-LIGHT HOLDER</t>
  </si>
  <si>
    <t>BROCANTE SHELF WITH HOOKS</t>
  </si>
  <si>
    <t>FAIRY CAKE BIRTHDAY CANDLE SET</t>
  </si>
  <si>
    <t>RED RETROSPOT TRADITIONAL TEAPOT</t>
  </si>
  <si>
    <t>RED RETROSPOT SUGAR JAM BOWL</t>
  </si>
  <si>
    <t>RED RETROSPOT CUP</t>
  </si>
  <si>
    <t>Finland</t>
  </si>
  <si>
    <t>PINK POLKADOT CUP</t>
  </si>
  <si>
    <t>BLUE POLKADOT CUP</t>
  </si>
  <si>
    <t>BLUE POLKADOT BOWL</t>
  </si>
  <si>
    <t>PINK POLKADOT BOWL</t>
  </si>
  <si>
    <t>PINK FLORAL FELTCRAFT SHOULDER BAG</t>
  </si>
  <si>
    <t>VINTAGE KID DOLLY CARD</t>
  </si>
  <si>
    <t>NECKLACE+BRACELET SET FRUIT SALAD</t>
  </si>
  <si>
    <t>NECKLACE+BRACELET SET PINK DAISY</t>
  </si>
  <si>
    <t>NECKLACE+BRACELET SET BLUE BLOSSOM</t>
  </si>
  <si>
    <t>BAG 125g SWIRLY MARBLES</t>
  </si>
  <si>
    <t>BALLOON PUMP WITH 10 BALLOONS</t>
  </si>
  <si>
    <t>6 ROCKET BALLOONS</t>
  </si>
  <si>
    <t>CANDY SHOP STICKER SHEET</t>
  </si>
  <si>
    <t>LOVELY BONBON STICKER SHEET</t>
  </si>
  <si>
    <t>ALPHABET HEARTS STICKER SHEET</t>
  </si>
  <si>
    <t>SWEET PUDDING STICKER SHEET</t>
  </si>
  <si>
    <t>FAMILY ALBUM WHITE PICTURE FRAME</t>
  </si>
  <si>
    <t>BAKING MOULD EASTER EGG WHITE CHOC</t>
  </si>
  <si>
    <t>SET/6 POSIES PAPER PLATES</t>
  </si>
  <si>
    <t>PACK OF 6 SKULL PAPER PLATES</t>
  </si>
  <si>
    <t>LETTER SHAPE PENCIL SHARPENER</t>
  </si>
  <si>
    <t>ETCHED GLASS COASTER</t>
  </si>
  <si>
    <t>SET/6 POSIES PAPER CUPS</t>
  </si>
  <si>
    <t>PACK OF 6 SKULL PAPER CUPS</t>
  </si>
  <si>
    <t>ROUND CONTAINER SET OF 5 RETROSPOT</t>
  </si>
  <si>
    <t>PICTURE FRAME WOOD TRIPLE PORTRAIT</t>
  </si>
  <si>
    <t>PARTY INVITES WOODLAND</t>
  </si>
  <si>
    <t>PARTY INVITES BALLOON GIRL</t>
  </si>
  <si>
    <t>PARTY INVITES DINOSAURS</t>
  </si>
  <si>
    <t>POPPY'S PLAYHOUSE LIVINGROOM</t>
  </si>
  <si>
    <t>ROSE DU SUD OVEN GLOVE</t>
  </si>
  <si>
    <t>RED RETROSPOT OVEN GLOVE DOUBLE</t>
  </si>
  <si>
    <t>WHITE WOOD GARDEN PLANT LADDER</t>
  </si>
  <si>
    <t>MULTI COLOUR SILVER T-LIGHT HOLDER</t>
  </si>
  <si>
    <t>LAVENDER SCENTED FABRIC HEART</t>
  </si>
  <si>
    <t>PINK BABY BUNTING</t>
  </si>
  <si>
    <t>RED BABY BUNTING</t>
  </si>
  <si>
    <t>RED RETROSPOT TEA CUP AND SAUCER</t>
  </si>
  <si>
    <t>RED RETROSPOT BIG BOWL</t>
  </si>
  <si>
    <t>STRAWBERRY FAIRY CAKE TEAPOT</t>
  </si>
  <si>
    <t>3 HOOK PHOTO SHELF ANTIQUE WHITE</t>
  </si>
  <si>
    <t>CERAMIC CAKE STAND + HANGING CAKES</t>
  </si>
  <si>
    <t>CHOCOLATE THIS WAY METAL SIGN</t>
  </si>
  <si>
    <t>TRAVEL CARD WALLET UNION JACK</t>
  </si>
  <si>
    <t>TRAVEL CARD WALLET RETROSPOT</t>
  </si>
  <si>
    <t>GRAND CHOCOLATECANDLE</t>
  </si>
  <si>
    <t>FRIDGE MAGNETS LA VIE EN ROSE</t>
  </si>
  <si>
    <t>SWEETHEART CERAMIC TRINKET BOX</t>
  </si>
  <si>
    <t>ASSORTED FLOWER COLOUR "LEIS"</t>
  </si>
  <si>
    <t>PARTY BUNTING</t>
  </si>
  <si>
    <t>BEWARE OF THE CAT METAL SIGN</t>
  </si>
  <si>
    <t>RECIPE BOX RETROSPOT</t>
  </si>
  <si>
    <t>SET OF SALT AND PEPPER TOADSTOOLS</t>
  </si>
  <si>
    <t>RED SPOTTY BISCUIT TIN</t>
  </si>
  <si>
    <t>RED RETROSPOT BUTTER DISH</t>
  </si>
  <si>
    <t>RED RETROSPOT SHOPPING BAG</t>
  </si>
  <si>
    <t>16161P</t>
  </si>
  <si>
    <t>WRAP ENGLISH ROSE</t>
  </si>
  <si>
    <t>WRAP, BILLBOARD FONTS DESIGN</t>
  </si>
  <si>
    <t>SKULLS PARTY BAG + STICKER SET</t>
  </si>
  <si>
    <t>SET 3 SONG BIRD PAPER EGGS ASSORTED</t>
  </si>
  <si>
    <t>ENAMEL WATERING CAN CREAM</t>
  </si>
  <si>
    <t>PAPER BUNTING RETROSPOT</t>
  </si>
  <si>
    <t>85049F</t>
  </si>
  <si>
    <t>BABY BOOM RIBBONS</t>
  </si>
  <si>
    <t>SET OF 6 3D KIT CARDS FOR KIDS</t>
  </si>
  <si>
    <t>SUNFLOWER DECORATIVE PARASOL</t>
  </si>
  <si>
    <t>47591D</t>
  </si>
  <si>
    <t>PINK FAIRY CAKE CHILDRENS APRON</t>
  </si>
  <si>
    <t>DOORMAT WELCOME PUPPIES</t>
  </si>
  <si>
    <t>C544897</t>
  </si>
  <si>
    <t>CERAMIC CAKE DESIGN SPOTTED MUG</t>
  </si>
  <si>
    <t>CERAMIC CAKE DESIGN SPOTTED PLATE</t>
  </si>
  <si>
    <t>OVERNIGHT BAG VINTAGE ROSE PAISLEY</t>
  </si>
  <si>
    <t>TROPICAL PASSPORT COVER</t>
  </si>
  <si>
    <t>PINK UNION JACK PASSPORT COVER</t>
  </si>
  <si>
    <t>UNION JACK FLAG PASSPORT COVER</t>
  </si>
  <si>
    <t>TROPICAL LUGGAGE TAG</t>
  </si>
  <si>
    <t>YELLOW GIANT GARDEN THERMOMETER</t>
  </si>
  <si>
    <t>TRADITIONAL KNITTING NANCY</t>
  </si>
  <si>
    <t>CHERRY CROCHET FOOD COVER</t>
  </si>
  <si>
    <t>BAKING SET SPACEBOY DESIGN</t>
  </si>
  <si>
    <t>C544901</t>
  </si>
  <si>
    <t>C544902</t>
  </si>
  <si>
    <t>Belgium</t>
  </si>
  <si>
    <t>DOORMAT RESPECTABLE HOUSE</t>
  </si>
  <si>
    <t>BAKING MOULD EASTER EGG MILK CHOC</t>
  </si>
  <si>
    <t>BAKING MOULD CHOCOLATE CUPCAKES</t>
  </si>
  <si>
    <t>AREA PATROLLED METAL SIGN</t>
  </si>
  <si>
    <t>NUMBER TILE COTTAGE GARDEN No</t>
  </si>
  <si>
    <t>NUMBER TILE COTTAGE GARDEN 1</t>
  </si>
  <si>
    <t>NUMBER TILE COTTAGE GARDEN 2</t>
  </si>
  <si>
    <t>NUMBER TILE COTTAGE GARDEN 4</t>
  </si>
  <si>
    <t>SET 2 PANTRY DESIGN TEA TOWELS</t>
  </si>
  <si>
    <t>DOORMAT I LOVE LONDON</t>
  </si>
  <si>
    <t>RED HEART SHAPE LOVE BUCKET</t>
  </si>
  <si>
    <t>BIG DOUGHNUT FRIDGE MAGNETS</t>
  </si>
  <si>
    <t>PACK OF 6 SANDCASTLE FLAGS ASSORTED</t>
  </si>
  <si>
    <t>PAPER CHAIN KIT LONDON</t>
  </si>
  <si>
    <t>SWEETHEART CAKESTAND 3 TIER</t>
  </si>
  <si>
    <t>72760B</t>
  </si>
  <si>
    <t>VINTAGE CREAM 3 BASKET CAKE STAND</t>
  </si>
  <si>
    <t>SWEETHEART WIRE FRUIT BOWL</t>
  </si>
  <si>
    <t>ENAMEL WASH BOWL CREAM</t>
  </si>
  <si>
    <t>EASTER TIN KEEPSAKE</t>
  </si>
  <si>
    <t>EASTER TIN CHICKS IN GARDEN</t>
  </si>
  <si>
    <t>PARTY CONES CANDY TREE DECORATION</t>
  </si>
  <si>
    <t>ASSORTED EASTER GIFT TAGS</t>
  </si>
  <si>
    <t>ASSORTED EASTER DECORATIONS BELLS</t>
  </si>
  <si>
    <t>3 TIER SWEETHEART GARDEN SHELF</t>
  </si>
  <si>
    <t>85170D</t>
  </si>
  <si>
    <t>SET/6 PINK BIRD T-LIGHT CANDLES</t>
  </si>
  <si>
    <t>85170B</t>
  </si>
  <si>
    <t>SET/6 BLACK BIRD T-LIGHT CANDLES</t>
  </si>
  <si>
    <t>85159B</t>
  </si>
  <si>
    <t>WHITE TEA,COFFEE,SUGAR JARS</t>
  </si>
  <si>
    <t>85159A</t>
  </si>
  <si>
    <t>BLACK TEA,COFFEE,SUGAR JARS</t>
  </si>
  <si>
    <t>84509E</t>
  </si>
  <si>
    <t>SET OF 4 CAROUSEL PLACEMATS</t>
  </si>
  <si>
    <t>ASSTD COL BUTTERFLY/CRYSTAL W/CHIME</t>
  </si>
  <si>
    <t>BLACK AND WHITE CAT BOWL</t>
  </si>
  <si>
    <t>PINK DOG BOWL</t>
  </si>
  <si>
    <t>BLACK AND WHITE DOG BOWL</t>
  </si>
  <si>
    <t>CERAMIC LOVE HEART MONEY BANK</t>
  </si>
  <si>
    <t>WALL TIDY RETROSPOT</t>
  </si>
  <si>
    <t>METAL SIGN HIS DINNER IS SERVED</t>
  </si>
  <si>
    <t>47504K</t>
  </si>
  <si>
    <t>ENGLISH ROSE GARDEN SECATEURS</t>
  </si>
  <si>
    <t>47504H</t>
  </si>
  <si>
    <t>ENGLISH ROSE SPIRIT LEVEL</t>
  </si>
  <si>
    <t>47503A</t>
  </si>
  <si>
    <t>ASS FLORAL PRINT MULTI SCREWDRIVER</t>
  </si>
  <si>
    <t>SET 3 WICKER STORAGE BASKETS</t>
  </si>
  <si>
    <t>CAKE PLATE LOVEBIRD PINK</t>
  </si>
  <si>
    <t>CAKE PLATE LOVEBIRD WHITE</t>
  </si>
  <si>
    <t>POTTERING MUG</t>
  </si>
  <si>
    <t>FENG SHUI PILLAR CANDLE</t>
  </si>
  <si>
    <t>62096A</t>
  </si>
  <si>
    <t>PINK/YELLOW FLOWERS HANDBAG</t>
  </si>
  <si>
    <t>PENS ASSORTED SPACEBALL</t>
  </si>
  <si>
    <t>PENS ASSORTED FUNKY JEWELED</t>
  </si>
  <si>
    <t>CABIN BAG VINTAGE RETROSPOT</t>
  </si>
  <si>
    <t>CABIN BAG VINTAGE PAISLEY</t>
  </si>
  <si>
    <t>PINK HEART CONFETTI IN TUBE</t>
  </si>
  <si>
    <t>WHITE HEART CONFETTI IN TUBE</t>
  </si>
  <si>
    <t>SWISS ROLL TOWEL PINK SPOTS</t>
  </si>
  <si>
    <t>SWISS ROLL TOWEL, CHOCOLATE SPOTS</t>
  </si>
  <si>
    <t>LARGE CAKE TOWEL PINK SPOTS</t>
  </si>
  <si>
    <t>LARGE CAKE TOWEL CHOCOLATE SPOTS</t>
  </si>
  <si>
    <t>PAPER POCKET TRAVELING FAN</t>
  </si>
  <si>
    <t>BLACK DINER WALL CLOCK</t>
  </si>
  <si>
    <t>LARGE WHITE HONEYCOMB PAPER BELL</t>
  </si>
  <si>
    <t>NOVELTY BISCUITS CAKE STAND 3 TIER</t>
  </si>
  <si>
    <t>84926A</t>
  </si>
  <si>
    <t>WAKE UP COCKEREL TILE COASTER</t>
  </si>
  <si>
    <t>ENCHANTED BIRD COATHANGER 5 HOOK</t>
  </si>
  <si>
    <t>T-LIGHT GLASS FLUTED ANTIQUE</t>
  </si>
  <si>
    <t>ANTIQUE TALL SWIRLGLASS TRINKET POT</t>
  </si>
  <si>
    <t>ANTIQUE GLASS PEDESTAL BOWL</t>
  </si>
  <si>
    <t>PACK OF 20 SKULL PAPER NAPKINS</t>
  </si>
  <si>
    <t>SET OF 9 BLACK SKULL BALLOONS</t>
  </si>
  <si>
    <t>LUNCH BOX WITH CUTLERY FAIRY CAKES</t>
  </si>
  <si>
    <t>FOOD CONTAINER SET 3 LOVE HEART</t>
  </si>
  <si>
    <t>84997D</t>
  </si>
  <si>
    <t>CHILDRENS CUTLERY POLKADOT PINK</t>
  </si>
  <si>
    <t>84520B</t>
  </si>
  <si>
    <t>PACK 20 ENGLISH ROSE PAPER NAPKINS</t>
  </si>
  <si>
    <t>SET/20 STRAWBERRY PAPER NAPKINS</t>
  </si>
  <si>
    <t>12 PINK ROSE PEG PLACE SETTINGS</t>
  </si>
  <si>
    <t>DANISH ROSE DELUXE COASTER</t>
  </si>
  <si>
    <t>DANISH ROSE TRINKET TRAYS</t>
  </si>
  <si>
    <t>DANISH ROSE ROUND SEWING BOX</t>
  </si>
  <si>
    <t>MINI CAKE STAND HANGING STRAWBERY</t>
  </si>
  <si>
    <t>MINI CAKE STAND WITH HANGING CAKES</t>
  </si>
  <si>
    <t>SKULLS AND CROSSBONES WRAP</t>
  </si>
  <si>
    <t>WRAP ALPHABET DESIGN</t>
  </si>
  <si>
    <t>SPACEBOY GIFT WRAP</t>
  </si>
  <si>
    <t>PINK HEART SHAPE EGG FRYING PAN</t>
  </si>
  <si>
    <t>84279P</t>
  </si>
  <si>
    <t>35809A</t>
  </si>
  <si>
    <t>ENAMEL PINK TEA CONTAINER</t>
  </si>
  <si>
    <t>35810A</t>
  </si>
  <si>
    <t>ENAMEL PINK COFFEE CONTAINER</t>
  </si>
  <si>
    <t>ELEPHANT, BIRTHDAY CARD,</t>
  </si>
  <si>
    <t>VINTAGE BILLBOARD MUG</t>
  </si>
  <si>
    <t>85136A</t>
  </si>
  <si>
    <t>YELLOW SHARK HELICOPTER</t>
  </si>
  <si>
    <t>SMALL SKULL WINDMILL</t>
  </si>
  <si>
    <t>GREEN POLKADOT BOWL</t>
  </si>
  <si>
    <t>BUTTERFLIES STICKERS</t>
  </si>
  <si>
    <t>WATERING CAN PINK BUNNY</t>
  </si>
  <si>
    <t>SET OF 6 STRAWBERRY CHOPSTICKS</t>
  </si>
  <si>
    <t>SOMBRERO</t>
  </si>
  <si>
    <t>WATERING CAN GREEN DINOSAUR</t>
  </si>
  <si>
    <t>ASSORTED TUTTI FRUTTI HEART BOX</t>
  </si>
  <si>
    <t>FANCY FONTS BIRTHDAY WRAP</t>
  </si>
  <si>
    <t>WATERING CAN BLUE ELEPHANT</t>
  </si>
  <si>
    <t>MAGIC TREE -PAPER FLOWERS</t>
  </si>
  <si>
    <t>FLOWER VINE RAFFIA FOOD COVER</t>
  </si>
  <si>
    <t>LADYBIRD + BEE RAFFIA FOOD COVER</t>
  </si>
  <si>
    <t>ROUND CAKE TIN VINTAGE GREEN</t>
  </si>
  <si>
    <t>BISCUIT TIN VINTAGE GREEN</t>
  </si>
  <si>
    <t>OVEN MITT APPLES DESIGN</t>
  </si>
  <si>
    <t>BLUE FELT EASTER EGG BASKET</t>
  </si>
  <si>
    <t>EASTER BUNNY WITH BASKET ON BACK</t>
  </si>
  <si>
    <t>RED RETROSPOT PEG BAG</t>
  </si>
  <si>
    <t>CAKE STAND 3 TIER MAGIC GARDEN</t>
  </si>
  <si>
    <t>TEA TIME TEAPOT IN GIFT BOX</t>
  </si>
  <si>
    <t>47566B</t>
  </si>
  <si>
    <t>TEA TIME PARTY BUNTING</t>
  </si>
  <si>
    <t>COTTON APRON PANTRY DESIGN</t>
  </si>
  <si>
    <t>CHILDS BREAKFAST SET CIRCUS PARADE</t>
  </si>
  <si>
    <t>BALLOON WATER BOMB PACK OF 35</t>
  </si>
  <si>
    <t>HEADS AND TAILS SPORTING FUN</t>
  </si>
  <si>
    <t>MINI WOODEN HAPPY BIRTHDAY GARLAND</t>
  </si>
  <si>
    <t>CHARLOTTE BAG SUKI DESIGN</t>
  </si>
  <si>
    <t>FELT FARM ANIMAL RABBIT</t>
  </si>
  <si>
    <t>GIRLS ALPHABET IRON ON PATCHES</t>
  </si>
  <si>
    <t>CREAM SLICE FLANNEL CHOCOLATE SPOT</t>
  </si>
  <si>
    <t>CREAM SLICE FLANNEL PINK SPOT</t>
  </si>
  <si>
    <t>SMALL TALL CAMPHOR WOOD TOADSTOOL</t>
  </si>
  <si>
    <t>CAMPHOR WOOD PORTOBELLO MUSHROOM</t>
  </si>
  <si>
    <t>CITRONELLA CANDLE GARDEN POT</t>
  </si>
  <si>
    <t>JUMBO BAG SCANDINAVIAN BLUE PAISLEY</t>
  </si>
  <si>
    <t>CERAMIC CAKE BOWL + HANGING CAKES</t>
  </si>
  <si>
    <t>DOORMAT ENGLISH ROSE</t>
  </si>
  <si>
    <t>44092C</t>
  </si>
  <si>
    <t>PURPLE/COPPER HANGING LAMPSHADE</t>
  </si>
  <si>
    <t>ROSE DU SUD DRAWSTRING BAG</t>
  </si>
  <si>
    <t>SET/4 BADGES BALLOON GIRL</t>
  </si>
  <si>
    <t>SET OF PICTURE FRAME STICKERS</t>
  </si>
  <si>
    <t>RETROSPOT CANDLE MEDIUM</t>
  </si>
  <si>
    <t>PORCELAIN ROSE SMALL</t>
  </si>
  <si>
    <t>ASSORTED TUTTI FRUTTI KEYRING BALL</t>
  </si>
  <si>
    <t>ASSORTED TUTTI FRUTTI MIRROR</t>
  </si>
  <si>
    <t>CAMOUFLAGE LED TORCH</t>
  </si>
  <si>
    <t>MORE BUTTER METAL SIGN</t>
  </si>
  <si>
    <t>BOHEMIAN COLLAGE STATIONERY SET</t>
  </si>
  <si>
    <t>FLORAL FOLK STATIONERY SET</t>
  </si>
  <si>
    <t>PING MICROWAVE APRON</t>
  </si>
  <si>
    <t>EASTER DECORATION SITTING BUNNY</t>
  </si>
  <si>
    <t>PAPERWEIGHT VINTAGE COLLAGE</t>
  </si>
  <si>
    <t>PAPERWEIGHT VINTAGE PAISLEY</t>
  </si>
  <si>
    <t>MONEY BOX BISCUITS DESIGN</t>
  </si>
  <si>
    <t>EMERGENCY FIRST AID TIN</t>
  </si>
  <si>
    <t>FRENCH TOILET SIGN BLUE METAL</t>
  </si>
  <si>
    <t>SET OF 6 HERB TINS SKETCHBOOK</t>
  </si>
  <si>
    <t>FLUTED ANTIQUE CANDLE HOLDER</t>
  </si>
  <si>
    <t>36 DOILIES DOLLY GIRL</t>
  </si>
  <si>
    <t>35915B</t>
  </si>
  <si>
    <t>BLUE KNITTED HEN</t>
  </si>
  <si>
    <t>35915C</t>
  </si>
  <si>
    <t>PEACH KNITTED HEN</t>
  </si>
  <si>
    <t>47559B</t>
  </si>
  <si>
    <t>TEA TIME OVEN GLOVE</t>
  </si>
  <si>
    <t>47593B</t>
  </si>
  <si>
    <t>SCOTTIE DOGS BABY BIB</t>
  </si>
  <si>
    <t>72051S</t>
  </si>
  <si>
    <t>BAG OF SILVER STONES</t>
  </si>
  <si>
    <t>72369A</t>
  </si>
  <si>
    <t>PINK CLEAR GLASS CANDLE PLATE</t>
  </si>
  <si>
    <t>POMPOM CURTAIN</t>
  </si>
  <si>
    <t>84509B</t>
  </si>
  <si>
    <t>SET OF 4 FAIRY CAKE PLACEMATS</t>
  </si>
  <si>
    <t>BOYS ALPHABET IRON ON PATCHES</t>
  </si>
  <si>
    <t>BOX OF 24 COCKTAIL PARASOLS</t>
  </si>
  <si>
    <t>84796A</t>
  </si>
  <si>
    <t>PINK HAWAIIAN PICNIC HAMPER FOR 2</t>
  </si>
  <si>
    <t>84796B</t>
  </si>
  <si>
    <t>BLUE SAVANNAH PICNIC HAMPER FOR 2</t>
  </si>
  <si>
    <t>84872A</t>
  </si>
  <si>
    <t>TEATIME FUNKY FLOWER BACKPACK FOR 2</t>
  </si>
  <si>
    <t>84913A</t>
  </si>
  <si>
    <t>SOFT PINK ROSE TOWEL</t>
  </si>
  <si>
    <t>84913B</t>
  </si>
  <si>
    <t>MINT GREEN ROSE TOWEL</t>
  </si>
  <si>
    <t>SET OF 36 TEATIME PAPER DOILIES</t>
  </si>
  <si>
    <t>FRENCH ENAMEL WATER BASIN</t>
  </si>
  <si>
    <t>85132C</t>
  </si>
  <si>
    <t>CHARLIE AND LOLA FIGURES TINS</t>
  </si>
  <si>
    <t>90013A</t>
  </si>
  <si>
    <t>MIDNIGHT BLUE VINTAGE EARRINGS</t>
  </si>
  <si>
    <t>90013B</t>
  </si>
  <si>
    <t>BLACK VINTAGE EARRINGS</t>
  </si>
  <si>
    <t>CRYSTAL FROG PHONE CHARM</t>
  </si>
  <si>
    <t>90214H</t>
  </si>
  <si>
    <t>LETTER "H" BLING KEY RING</t>
  </si>
  <si>
    <t>DOT</t>
  </si>
  <si>
    <t>DOTCOM POSTAGE</t>
  </si>
  <si>
    <t>TEATIME PUSH DOWN RUBBER</t>
  </si>
  <si>
    <t>FIRST CLASS PASSPORT COVER</t>
  </si>
  <si>
    <t>CHERRY BLOSSOM LUGGAGE TAG</t>
  </si>
  <si>
    <t>RED RETROSPOT PURSE</t>
  </si>
  <si>
    <t>BLACK MINI TAPE MEASURE</t>
  </si>
  <si>
    <t>ABSTRACT CIRCLE JOURNAL</t>
  </si>
  <si>
    <t>GLITTER HANGING BUTTERFLY STRING</t>
  </si>
  <si>
    <t>36 PENCILS TUBE SKULLS</t>
  </si>
  <si>
    <t>ANTIQUE SILVER TEA GLASS ETCHED</t>
  </si>
  <si>
    <t>47599A</t>
  </si>
  <si>
    <t>PINK PARTY BAGS</t>
  </si>
  <si>
    <t>47599B</t>
  </si>
  <si>
    <t>BLUE PARTY BAGS</t>
  </si>
  <si>
    <t>TEA BAG PLATE RED RETROSPOT</t>
  </si>
  <si>
    <t>IVORY HANGING DECORATION BIRD</t>
  </si>
  <si>
    <t>IVORY HANGING DECORATION HEART</t>
  </si>
  <si>
    <t>MONEY BOX POCKET MONEY DESIGN</t>
  </si>
  <si>
    <t>84597C</t>
  </si>
  <si>
    <t>RETRO PINK BALL ASHTRAY</t>
  </si>
  <si>
    <t>EASTER DECORATION HANGING BUNNY</t>
  </si>
  <si>
    <t>47590B</t>
  </si>
  <si>
    <t>PINK HAPPY BIRTHDAY BUNTING</t>
  </si>
  <si>
    <t>IF YOU CAN'T STAND THE HEAT MUG</t>
  </si>
  <si>
    <t>HANGING BAUBLE T-LIGHT HOLDER LARGE</t>
  </si>
  <si>
    <t>WATERING CAN GARDEN MARKER</t>
  </si>
  <si>
    <t>DAISY GARDEN MARKER</t>
  </si>
  <si>
    <t>WOODLAND STICKERS</t>
  </si>
  <si>
    <t>Switzerland</t>
  </si>
  <si>
    <t>15060B</t>
  </si>
  <si>
    <t>FAIRY CAKE DESIGN UMBRELLA</t>
  </si>
  <si>
    <t>TEA FOR ONE POLKADOT</t>
  </si>
  <si>
    <t>SILK PURSE BABUSHKA BLUE</t>
  </si>
  <si>
    <t>CERAMIC BOWL WITH STRAWBERRY DESIGN</t>
  </si>
  <si>
    <t>SET OF 6 T-LIGHTS EASTER CHICKS</t>
  </si>
  <si>
    <t>CACTI T-LIGHT CANDLES</t>
  </si>
  <si>
    <t>DOORMAT MULTICOLOUR STRIPE</t>
  </si>
  <si>
    <t>CREAM WALL PLANTER HEART SHAPED</t>
  </si>
  <si>
    <t>84459B</t>
  </si>
  <si>
    <t>YELLOW METAL CHICKEN HEART</t>
  </si>
  <si>
    <t>JIGSAW TREE WITH BIRDHOUSE</t>
  </si>
  <si>
    <t>PENCIL CASE LIFE IS BEAUTIFUL</t>
  </si>
  <si>
    <t>ASSORTED TUTTI FRUTTI SMALL PURSE</t>
  </si>
  <si>
    <t>MONEY BOX HOUSEKEEPING DESIGN</t>
  </si>
  <si>
    <t>LARGE RED BABUSHKA NOTEBOOK</t>
  </si>
  <si>
    <t>SMALL PURPLE BABUSHKA NOTEBOOK</t>
  </si>
  <si>
    <t>Germany</t>
  </si>
  <si>
    <t>PARTY PIZZA DISH RED RETROSPOT</t>
  </si>
  <si>
    <t>PAPER CHAIN KIT SKULLS</t>
  </si>
  <si>
    <t>C2</t>
  </si>
  <si>
    <t>CARRIAGE</t>
  </si>
  <si>
    <t>CHILDS BREAKFAST SET DOLLY GIRL</t>
  </si>
  <si>
    <t>SPACEBOY TV DINNER TRAY</t>
  </si>
  <si>
    <t>RECIPE BOX BLUE SKETCHBOOK DESIGN</t>
  </si>
  <si>
    <t>SET OF 3 CAKE TINS SKETCHBOOK</t>
  </si>
  <si>
    <t>MAGIC GARDEN FELT GARLAND</t>
  </si>
  <si>
    <t>BIRTHDAY BANQUET GIFT WRAP</t>
  </si>
  <si>
    <t>WRAP VINTAGE PETALS DESIGN</t>
  </si>
  <si>
    <t>WRAP GREEN PEARS</t>
  </si>
  <si>
    <t>CARD CAT AND TREE</t>
  </si>
  <si>
    <t>CARD DOG AND BALL</t>
  </si>
  <si>
    <t>PEARL CRYSTAL PUMPKIN T-LIGHT HLDR</t>
  </si>
  <si>
    <t>20 DOLLY PEGS RETROSPOT</t>
  </si>
  <si>
    <t>200 RED + WHITE BENDY STRAWS</t>
  </si>
  <si>
    <t>47590A</t>
  </si>
  <si>
    <t>BLUE HAPPY BIRTHDAY BUNTING</t>
  </si>
  <si>
    <t>BIRD DECORATION GREEN POLKADOT</t>
  </si>
  <si>
    <t>12 IVORY ROSE PEG PLACE SETTINGS</t>
  </si>
  <si>
    <t>HEN HOUSE W CHICK STANDING</t>
  </si>
  <si>
    <t>JIGSAW TREE WITH WATERING CAN</t>
  </si>
  <si>
    <t>SET/4 SPRING FLOWER DECORATION</t>
  </si>
  <si>
    <t>ROBOT BIRTHDAY CARD</t>
  </si>
  <si>
    <t>SKULLS GREETING CARD</t>
  </si>
  <si>
    <t>84997A</t>
  </si>
  <si>
    <t>CHILDRENS CUTLERY POLKADOT GREEN</t>
  </si>
  <si>
    <t>CHILDRENS CUTLERY RETROSPOT RED</t>
  </si>
  <si>
    <t>SET/3 RED GINGHAM ROSE STORAGE BOX</t>
  </si>
  <si>
    <t>WELCOME WOODEN BLOCK LETTERS</t>
  </si>
  <si>
    <t>46000S</t>
  </si>
  <si>
    <t>POLYESTER FILLER PAD 40x40cm</t>
  </si>
  <si>
    <t>RED GINGHAM TEDDY BEAR</t>
  </si>
  <si>
    <t>CHILDRENS CUTLERY POLKADOT BLUE</t>
  </si>
  <si>
    <t>BUNNY EGG BOX</t>
  </si>
  <si>
    <t>STRAWBERRY PICNIC BAG</t>
  </si>
  <si>
    <t>35910A</t>
  </si>
  <si>
    <t>MULTICOLOUR EASTER RABBIT</t>
  </si>
  <si>
    <t>35912B</t>
  </si>
  <si>
    <t>WHITE/PINK CHICK DECORATION</t>
  </si>
  <si>
    <t>MINI ZINC GARDEN DECORATIONS</t>
  </si>
  <si>
    <t>MINI PAINTED GARDEN DECORATION</t>
  </si>
  <si>
    <t>84809B</t>
  </si>
  <si>
    <t>PINK CHRYSANTHEMUMS ART FLOWER</t>
  </si>
  <si>
    <t>84800L</t>
  </si>
  <si>
    <t>LARGE WHITE/PINK ROSE ART FLOWER</t>
  </si>
  <si>
    <t>84800M</t>
  </si>
  <si>
    <t>MEDIUM WHITE/PINK ROSE ART FLOWER</t>
  </si>
  <si>
    <t>6 EGG HOUSE PAINTED WOOD</t>
  </si>
  <si>
    <t>BLUE POLKADOT EGG CUP</t>
  </si>
  <si>
    <t>BLUE EGG SPOON</t>
  </si>
  <si>
    <t>RED RETROSPOT TISSUE BOX</t>
  </si>
  <si>
    <t>GREEN WIRE STANDING CANDLE HOLDER</t>
  </si>
  <si>
    <t>RED FLOWER CROCHET FOOD COVER</t>
  </si>
  <si>
    <t>PINK FLOWER CROCHET FOOD COVER</t>
  </si>
  <si>
    <t>POTTING SHED TEA MUG</t>
  </si>
  <si>
    <t>BLUE PAISLEY JOURNAL</t>
  </si>
  <si>
    <t>DAISY JOURNAL</t>
  </si>
  <si>
    <t>12 PENCILS TALL TUBE WOODLAND</t>
  </si>
  <si>
    <t>12 PENCILS TALL TUBE RED RETROSPOT</t>
  </si>
  <si>
    <t>CROCHET ROSE PURSE WITH SUEDE BACK</t>
  </si>
  <si>
    <t>CLAM SHELL SMALL</t>
  </si>
  <si>
    <t>COCKLE SHELL DISH</t>
  </si>
  <si>
    <t>STARFISH SOAP DISH</t>
  </si>
  <si>
    <t>72802A</t>
  </si>
  <si>
    <t>ROSE SCENT CANDLE IN JEWELLED BOX</t>
  </si>
  <si>
    <t>72802B</t>
  </si>
  <si>
    <t>OCEAN SCENT CANDLE IN JEWELLED BOX</t>
  </si>
  <si>
    <t>85035A</t>
  </si>
  <si>
    <t>GARDENIA 3 WICK MORRIS BOXED CANDLE</t>
  </si>
  <si>
    <t>85035C</t>
  </si>
  <si>
    <t>ROSE 3 WICK MORRIS BOX CANDLE</t>
  </si>
  <si>
    <t>85039A</t>
  </si>
  <si>
    <t>SET/4 RED MINI ROSE CANDLE IN BOWL</t>
  </si>
  <si>
    <t>85040A</t>
  </si>
  <si>
    <t>S/4 PINK FLOWER CANDLES IN BOWL</t>
  </si>
  <si>
    <t>DOCTOR'S BAG SOFT TOY</t>
  </si>
  <si>
    <t>TOOL BOX SOFT TOY</t>
  </si>
  <si>
    <t>PINK GINGHAM CAT WITH SCARF</t>
  </si>
  <si>
    <t>2 PICTURE BOOK EGGS EASTER CHICKS</t>
  </si>
  <si>
    <t>CARD PARTY GAMES</t>
  </si>
  <si>
    <t>2 PICTURE BOOK EGGS EASTER BUNNY</t>
  </si>
  <si>
    <t>DOORMAT UNION FLAG</t>
  </si>
  <si>
    <t>84858C</t>
  </si>
  <si>
    <t>PINK RIVIERA HANDBAG</t>
  </si>
  <si>
    <t>SILVER LATTICE VANILLA CANDLE POT</t>
  </si>
  <si>
    <t>HAIRCLIPS FORTIES FABRIC ASSORTED</t>
  </si>
  <si>
    <t>NURSE'S BAG SOFT TOY</t>
  </si>
  <si>
    <t>STRAWBERRIES DESIGN FLANNEL</t>
  </si>
  <si>
    <t>47367B</t>
  </si>
  <si>
    <t>PAIR PADDED HANGERS PINK CHECK</t>
  </si>
  <si>
    <t>POCKET BAG PINK PAISELY BROWN SPOT</t>
  </si>
  <si>
    <t>WOODLAND DESIGN COTTON TOTE BAG</t>
  </si>
  <si>
    <t>HOME SWEET HOME MUG</t>
  </si>
  <si>
    <t>PACK OF 6 PANNETONE GIFT BOXES</t>
  </si>
  <si>
    <t>HANGING WOOD AND FELT HEART</t>
  </si>
  <si>
    <t>LOLITA DESIGN COTTON TOTE BAG</t>
  </si>
  <si>
    <t>RABBIT DESIGN COTTON TOTE BAG</t>
  </si>
  <si>
    <t>SKULLS DESIGN COTTON TOTE BAG</t>
  </si>
  <si>
    <t>LETS GO SHOPPING COTTON TOTE BAG</t>
  </si>
  <si>
    <t>RED RETROSPOT WASHBAG</t>
  </si>
  <si>
    <t>C545003</t>
  </si>
  <si>
    <t>POTTERING IN THE SHED METAL SIGN</t>
  </si>
  <si>
    <t>FRENCH LAUNDRY SIGN BLUE METAL</t>
  </si>
  <si>
    <t>FRENCH BATHROOM SIGN BLUE METAL</t>
  </si>
  <si>
    <t>FRENCH GARDEN SIGN BLUE METAL</t>
  </si>
  <si>
    <t>FRENCH KITCHEN SIGN BLUE METAL</t>
  </si>
  <si>
    <t>DOORMAT WELCOME SUNRISE</t>
  </si>
  <si>
    <t>WRAP DOILEY DESIGN</t>
  </si>
  <si>
    <t>BUNNY WOODEN PAINTED WITH BIRD</t>
  </si>
  <si>
    <t>JIGSAW TOADSTOOLS 3 PIECE</t>
  </si>
  <si>
    <t>VINTAGE CARAVAN GIFT WRAP</t>
  </si>
  <si>
    <t>GINGHAM ROSE WRAP</t>
  </si>
  <si>
    <t>MAGNETS PACK OF 4 CHILDHOOD MEMORY</t>
  </si>
  <si>
    <t>LOVE HEART SOCK HANGER</t>
  </si>
  <si>
    <t>VINTAGE CARAVAN GREETING CARD</t>
  </si>
  <si>
    <t>DOORMAT NEIGHBOURHOOD WITCH</t>
  </si>
  <si>
    <t>ALARM CLOCK BAKELIKE CHOCOLATE</t>
  </si>
  <si>
    <t>MA CAMPAGNE CUTLERY BOX</t>
  </si>
  <si>
    <t>SET OF 6 RIBBONS PERFECTLY PRETTY</t>
  </si>
  <si>
    <t>CHRISTMAS MUSICAL ZINC STAR</t>
  </si>
  <si>
    <t>CHRISTMAS MUSICAL ZINC TREE</t>
  </si>
  <si>
    <t>MUSICAL ZINC HEART DECORATION</t>
  </si>
  <si>
    <t>FOLKART ZINC HEART CHRISTMAS DEC</t>
  </si>
  <si>
    <t>TOILET SIGN OCCUPIED OR VACANT</t>
  </si>
  <si>
    <t>KEY FOB , BACK DOOR</t>
  </si>
  <si>
    <t>CHRISTMAS HANGING TREE WITH BELL</t>
  </si>
  <si>
    <t>SET OF 2 CERAMIC CHRISTMAS TREES</t>
  </si>
  <si>
    <t>FILIGREE HEART BUTTERFLY WHITE</t>
  </si>
  <si>
    <t>JOY WOODEN BLOCK LETTERS</t>
  </si>
  <si>
    <t>LUNCH BAG APPLE DESIGN</t>
  </si>
  <si>
    <t>LUNCH BAG VINTAGE DOILY</t>
  </si>
  <si>
    <t>SKETCHBOOK MAGNETIC SHOPPING LIST</t>
  </si>
  <si>
    <t>PANTRY MAGNETIC SHOPPING LIST</t>
  </si>
  <si>
    <t>PEACE WOODEN BLOCK LETTERS</t>
  </si>
  <si>
    <t>SKULL DESIGN TV DINNER TRAY</t>
  </si>
  <si>
    <t>ILLUSTRATED CAT BOWL</t>
  </si>
  <si>
    <t>DOORMAT AIRMAIL</t>
  </si>
  <si>
    <t>GROW YOUR OWN FLOWERS SET OF 3</t>
  </si>
  <si>
    <t>MINT KITCHEN SCALES</t>
  </si>
  <si>
    <t>SNACK TRAY PAISLEY PARK</t>
  </si>
  <si>
    <t>SNACK TRAY RED VINTAGE DOILY</t>
  </si>
  <si>
    <t>LUNCH BAG PAISLEY PARK</t>
  </si>
  <si>
    <t>A PRETTY THANK YOU CARD</t>
  </si>
  <si>
    <t>GIN AND TONIC DIET METAL SIGN</t>
  </si>
  <si>
    <t>SEWING BOX RETROSPOT DESIGN</t>
  </si>
  <si>
    <t>LARGE YELLOW BABUSHKA NOTEBOOK</t>
  </si>
  <si>
    <t>LOVE HOT WATER BOTTLE</t>
  </si>
  <si>
    <t>HAND WARMER RED LOVE HEART</t>
  </si>
  <si>
    <t>CLASSIC CHROME BICYCLE BELL</t>
  </si>
  <si>
    <t>POPCORN HOLDER</t>
  </si>
  <si>
    <t>PARTY PIZZA DISH PINK POLKADOT</t>
  </si>
  <si>
    <t>PARTY PIZZA DISH BLUE POLKADOT</t>
  </si>
  <si>
    <t>PARTY PIZZA DISH GREEN POLKADOT</t>
  </si>
  <si>
    <t>SET OF 12 FAIRY CAKE BAKING CASES</t>
  </si>
  <si>
    <t>BUBBLEGUM RING ASSORTED</t>
  </si>
  <si>
    <t>PACK OF 12 PAISLEY PARK TISSUES</t>
  </si>
  <si>
    <t>PIN CUSHION BABUSHKA PINK</t>
  </si>
  <si>
    <t>BICYCLE PUNCTURE REPAIR KIT</t>
  </si>
  <si>
    <t>LARGE IVORY HEART WALL ORGANISER</t>
  </si>
  <si>
    <t>LANDMARK FRAME CAMDEN TOWN</t>
  </si>
  <si>
    <t>WALL ART 70'S ALPHABET</t>
  </si>
  <si>
    <t>WALL ART BIG LOVE</t>
  </si>
  <si>
    <t>WALL ART ONLY ONE PERSON</t>
  </si>
  <si>
    <t>RUSTIC MIRROR WITH LACE HEART</t>
  </si>
  <si>
    <t>HOME SWEET HOME BLACKBOARD</t>
  </si>
  <si>
    <t>SMALL ZINC HEART WALL ORGANISER</t>
  </si>
  <si>
    <t>DECORATIVE WICKER HEART SMALL</t>
  </si>
  <si>
    <t>DECORATIVE WICKER HEART MEDIUM</t>
  </si>
  <si>
    <t>DECORATIVE WICKER HEART LARGE</t>
  </si>
  <si>
    <t>LE JARDIN BOTANIQUE CUSHION COVER</t>
  </si>
  <si>
    <t>FOLKART CLIP ON STARS</t>
  </si>
  <si>
    <t>POSTE FRANCE CUSHION COVER</t>
  </si>
  <si>
    <t>BELLE JARDINIERE CUSHION COVER</t>
  </si>
  <si>
    <t>PAPER BUNTING PAISLEY PARK</t>
  </si>
  <si>
    <t>TRAVEL CARD WALLET I LOVE LONDON</t>
  </si>
  <si>
    <t>TRAVEL CARD WALLET VINTAGE LEAF</t>
  </si>
  <si>
    <t>TRADITIONAL PICK UP STICKS GAME</t>
  </si>
  <si>
    <t>TRADITIONAL NAUGHTS &amp; CROSSES</t>
  </si>
  <si>
    <t>TRADTIONAL ALPHABET STAMP SET</t>
  </si>
  <si>
    <t>WALL ART BICYCLE SAFETY</t>
  </si>
  <si>
    <t>WALL ART DOG LICENCE</t>
  </si>
  <si>
    <t>C581460</t>
  </si>
  <si>
    <t>RABBIT NIGHT LIGHT</t>
  </si>
  <si>
    <t>FOLDING BUTTERFLY MIRROR HOT PINK</t>
  </si>
  <si>
    <t>FOLDING BUTTERFLY MIRROR RED</t>
  </si>
  <si>
    <t>MINI LIGHTS WOODLAND MUSHROOMS</t>
  </si>
  <si>
    <t>C581462</t>
  </si>
  <si>
    <t>HOUSE SHAPE PENCIL SHARPENER</t>
  </si>
  <si>
    <t>ASSORTED TUTTI FRUTTI PEN</t>
  </si>
  <si>
    <t>C581463</t>
  </si>
  <si>
    <t>15CM CHRISTMAS GLASS BALL 20 LIGHTS</t>
  </si>
  <si>
    <t>C581464</t>
  </si>
  <si>
    <t>DOLLY CABINET 3 DRAWERS</t>
  </si>
  <si>
    <t>COLOURED GLASS STAR T-LIGHT HOLDER</t>
  </si>
  <si>
    <t>C581465</t>
  </si>
  <si>
    <t>HENRIETTA HEN MUG</t>
  </si>
  <si>
    <t>C581466</t>
  </si>
  <si>
    <t>STRAWBERRY CERAMIC TRINKET POT</t>
  </si>
  <si>
    <t>HOT WATER BOTTLE SEX BOMB</t>
  </si>
  <si>
    <t>HOT STUFF HOT WATER BOTTLE</t>
  </si>
  <si>
    <t>90214C</t>
  </si>
  <si>
    <t>LETTER "C" BLING KEY RING</t>
  </si>
  <si>
    <t>NEW BAROQUE JEWELLERY BOX</t>
  </si>
  <si>
    <t>SET OF 6 T-LIGHTS CACTI</t>
  </si>
  <si>
    <t>S/4 CACTI CANDLES</t>
  </si>
  <si>
    <t>PAPERWEIGHT SAVE THE PLANET</t>
  </si>
  <si>
    <t>RECTANGULAR SHAPED MIRROR</t>
  </si>
  <si>
    <t>72801D</t>
  </si>
  <si>
    <t>4 SKY BLUE DINNER CANDLES</t>
  </si>
  <si>
    <t>SILVER GLITTER FLOWER VOTIVE HOLDER</t>
  </si>
  <si>
    <t>17012F</t>
  </si>
  <si>
    <t>ORIGAMI SANDLEWOOD INCENSE/CAND SET</t>
  </si>
  <si>
    <t>72801C</t>
  </si>
  <si>
    <t>4 ROSE PINK DINNER CANDLES</t>
  </si>
  <si>
    <t>SET/12 TAPER CANDLES</t>
  </si>
  <si>
    <t>17084N</t>
  </si>
  <si>
    <t>FAIRY DREAMS INCENSE</t>
  </si>
  <si>
    <t>WHITE SAGE INCENSE</t>
  </si>
  <si>
    <t>GOLD FABRIC MIRROR</t>
  </si>
  <si>
    <t>SILVER FABRIC MIRROR</t>
  </si>
  <si>
    <t>LARGE PURPLE BABUSHKA NOTEBOOK</t>
  </si>
  <si>
    <t>SMALL YELLOW BABUSHKA NOTEBOOK</t>
  </si>
  <si>
    <t>84429A</t>
  </si>
  <si>
    <t>MEDIUM PINK BUDDHA HEAD</t>
  </si>
  <si>
    <t>84993A</t>
  </si>
  <si>
    <t>75 GREEN PETIT FOUR CASES</t>
  </si>
  <si>
    <t>JAZZ HEARTS ADDRESS BOOK</t>
  </si>
  <si>
    <t>MUM'S KITCHEN CLOCK</t>
  </si>
  <si>
    <t>T-LIGHT HOLDER HANGING LACE</t>
  </si>
  <si>
    <t>CHOC TRUFFLE GOLD TRINKET POT</t>
  </si>
  <si>
    <t>MIRRORED WALL ART STARS</t>
  </si>
  <si>
    <t>MIRRORED WALL ART POPPIES</t>
  </si>
  <si>
    <t>GIANT 50'S CHRISTMAS CRACKER</t>
  </si>
  <si>
    <t>C581468</t>
  </si>
  <si>
    <t>SQUARE FLOOR CUSHION VINTAGE RED</t>
  </si>
  <si>
    <t>MOODY GIRL DOOR HANGER</t>
  </si>
  <si>
    <t>PINK DIAMANTE PEN IN GIFT BOX</t>
  </si>
  <si>
    <t>12 RED ROSE PEG PLACE SETTINGS</t>
  </si>
  <si>
    <t>85169C</t>
  </si>
  <si>
    <t>EAU DE NIL LOVE BIRD CANDLE</t>
  </si>
  <si>
    <t>NOEL WOODEN BLOCK LETTERS</t>
  </si>
  <si>
    <t>85071C</t>
  </si>
  <si>
    <t>CHARLIE+LOLA"EXTREMELY BUSY" SIGN</t>
  </si>
  <si>
    <t>GARDEN PATH JOURNAL</t>
  </si>
  <si>
    <t>GLASS JAR DIGESTIVE BISCUITS</t>
  </si>
  <si>
    <t>WOOD STAMP SET HAPPY BIRTHDAY</t>
  </si>
  <si>
    <t>BAG 250g SWIRLY MARBLES</t>
  </si>
  <si>
    <t>SET 12 KIDS COLOUR CHALK STICKS</t>
  </si>
  <si>
    <t>51014C</t>
  </si>
  <si>
    <t>FEATHER PEN,COAL BLACK</t>
  </si>
  <si>
    <t>ANTIQUE SILVER BAUBLE LAMP</t>
  </si>
  <si>
    <t>GARDENERS KNEELING PAD KEEP CALM</t>
  </si>
  <si>
    <t>MINI JIGSAW BAKE A CAKE</t>
  </si>
  <si>
    <t>DIAMANTE HEART SHAPED WALL MIRROR,</t>
  </si>
  <si>
    <t>BIRDS MOBILE VINTAGE DESIGN</t>
  </si>
  <si>
    <t>C581470</t>
  </si>
  <si>
    <t>DOORMAT VINTAGE LEAF</t>
  </si>
  <si>
    <t>DOORMAT SPOTTY HOME SWEET HOME</t>
  </si>
  <si>
    <t>CARD MOTORBIKE SANTA</t>
  </si>
  <si>
    <t>CARD CHRISTMAS VILLAGE</t>
  </si>
  <si>
    <t>MISTLETOE HEART WREATH CREAM</t>
  </si>
  <si>
    <t>VINTAGE CHRISTMAS BUNTING</t>
  </si>
  <si>
    <t>SET OF 3 HANGING OWLS OLLIE BEAK</t>
  </si>
  <si>
    <t>CAKE STAND LOVEBIRD 2 TIER WHITE</t>
  </si>
  <si>
    <t>SWEETHEART RECIPE BOOK STAND</t>
  </si>
  <si>
    <t>ZINC SWEETHEART SOAP DISH</t>
  </si>
  <si>
    <t>ANTIQUE SILVER T-LIGHT GLASS</t>
  </si>
  <si>
    <t>SPOTTY BUNTING</t>
  </si>
  <si>
    <t>REGENCY TEA PLATE ROSES</t>
  </si>
  <si>
    <t>REGENCY TEA PLATE PINK</t>
  </si>
  <si>
    <t>REGENCY TEA PLATE GREEN</t>
  </si>
  <si>
    <t>N0 SINGING METAL SIGN</t>
  </si>
  <si>
    <t>GARDENERS KNEELING PAD CUP OF TEA</t>
  </si>
  <si>
    <t>LUNCH BAG ALPHABET DESIGN</t>
  </si>
  <si>
    <t>KITTENS DESIGN FLANNEL</t>
  </si>
  <si>
    <t>JUMBO BAG 50'S CHRISTMAS</t>
  </si>
  <si>
    <t>LOCAL CAFE MUG</t>
  </si>
  <si>
    <t>WOOD STAMP SET THANK YOU</t>
  </si>
  <si>
    <t>ROLL WRAP 50'S RED CHRISTMAS</t>
  </si>
  <si>
    <t>ROLL WRAP 50'S CHRISTMAS</t>
  </si>
  <si>
    <t>SPACEBOY BABY GIFT SET</t>
  </si>
  <si>
    <t>RED METAL BOX TOP SECRET</t>
  </si>
  <si>
    <t>PING! MICROWAVE PLATE</t>
  </si>
  <si>
    <t>SET OF 12 MINI LOAF BAKING CASES</t>
  </si>
  <si>
    <t>SET OF 6 TEA TIME BAKING CASES</t>
  </si>
  <si>
    <t>MAGIC SHEEP WOOL GROWING FROM PAPER</t>
  </si>
  <si>
    <t>CUPID DESIGN SCENTED CANDLES</t>
  </si>
  <si>
    <t>CHERRY BLOSSOM PASSPORT COVER</t>
  </si>
  <si>
    <t>RATTLE SNAKE EGGS</t>
  </si>
  <si>
    <t>SET OF 3 REGENCY CAKE TINS</t>
  </si>
  <si>
    <t>SMALL IVORY HEART WALL ORGANISER</t>
  </si>
  <si>
    <t>OVAL WALL MIRROR DIAMANTE</t>
  </si>
  <si>
    <t>CHRISTMAS STAR WISH LIST CHALKBOARD</t>
  </si>
  <si>
    <t>STORAGE TIN VINTAGE LEAF</t>
  </si>
  <si>
    <t>TREE T-LIGHT HOLDER WILLIE WINKIE</t>
  </si>
  <si>
    <t>SET OF 4 KNICK KNACK TINS POPPIES</t>
  </si>
  <si>
    <t>T-LIGHT HOLDER WHITE LACE</t>
  </si>
  <si>
    <t>TOY TIDY SPACEBOY</t>
  </si>
  <si>
    <t>SQUARECUSHION COVER PINK UNION JACK</t>
  </si>
  <si>
    <t>TRIPLE WIRE HOOK PINK HEART</t>
  </si>
  <si>
    <t>WOOD STOCKING CHRISTMAS SCANDISPOT</t>
  </si>
  <si>
    <t>Norway</t>
  </si>
  <si>
    <t>BULL DOG BOTTLE OPENER</t>
  </si>
  <si>
    <t>CLASSIC CAFE SUGAR DISPENSER</t>
  </si>
  <si>
    <t>SMALL CERAMIC TOP STORAGE JAR</t>
  </si>
  <si>
    <t>MEDIUM CERAMIC TOP STORAGE JAR</t>
  </si>
  <si>
    <t>LARGE CERAMIC TOP STORAGE JAR</t>
  </si>
  <si>
    <t>PICNIC BOXES SET OF 3 RETROSPOT</t>
  </si>
  <si>
    <t>GIN AND TONIC MUG</t>
  </si>
  <si>
    <t>GLAMOROUS MUG</t>
  </si>
  <si>
    <t>DOOR HANGER MUM + DADS ROOM</t>
  </si>
  <si>
    <t>TOXIC AREA DOOR HANGER</t>
  </si>
  <si>
    <t>MOODY BOY DOOR HANGER</t>
  </si>
  <si>
    <t>SMALL FOLDING SCISSOR(POINTED EDGE)</t>
  </si>
  <si>
    <t>84596F</t>
  </si>
  <si>
    <t>SMALL MARSHMALLOWS PINK BOWL</t>
  </si>
  <si>
    <t>84596B</t>
  </si>
  <si>
    <t>SMALL DOLLY MIX DESIGN ORANGE BOWL</t>
  </si>
  <si>
    <t>VINTAGE DOILY TRAVEL SEWING KIT</t>
  </si>
  <si>
    <t>BLUE RETRO KITCHEN WALL CLOCK</t>
  </si>
  <si>
    <t>RED RETRO KITCHEN WALL CLOCK</t>
  </si>
  <si>
    <t>IVORY RETRO KITCHEN WALL CLOCK</t>
  </si>
  <si>
    <t>SET OF TEA COFFEE SUGAR TINS PANTRY</t>
  </si>
  <si>
    <t>SET OF 4 KNICK KNACK TINS DOILY</t>
  </si>
  <si>
    <t>GINGHAM RECIPE BOOK BOX</t>
  </si>
  <si>
    <t>EGG FRYING PAN RED</t>
  </si>
  <si>
    <t>PLAYING CARDS KEEP CALM &amp; CARRY ON</t>
  </si>
  <si>
    <t>ICE CREAM BUBBLES</t>
  </si>
  <si>
    <t>WORLD WAR 2 GLIDERS ASSTD DESIGNS</t>
  </si>
  <si>
    <t>FELTCRAFT GIRL NICOLE KIT</t>
  </si>
  <si>
    <t>FELTCRAFT GIRL AMELIE KIT</t>
  </si>
  <si>
    <t>SET 6 PAPER TABLE LANTERN HEARTS</t>
  </si>
  <si>
    <t>VINTAGE ZINC WATERING CAN</t>
  </si>
  <si>
    <t>VINTAGE ZINC WATERING CAN SMALL</t>
  </si>
  <si>
    <t>HOT WATER BOTTLE KEEP CALM</t>
  </si>
  <si>
    <t>SET OF 2 ROUND TINS DUTCH CHEESE</t>
  </si>
  <si>
    <t>DOORSTOP FOOTBALL DESIGN</t>
  </si>
  <si>
    <t>JAM CLOCK MAGNET</t>
  </si>
  <si>
    <t>KNEELING MAT HOUSEWORK DESIGN</t>
  </si>
  <si>
    <t>WALL ART GARDEN HAVEN</t>
  </si>
  <si>
    <t>KINGS CHOICE MUG</t>
  </si>
  <si>
    <t>VINTAGE RED ENAMEL TRIM MUG</t>
  </si>
  <si>
    <t>Ireland</t>
  </si>
  <si>
    <t>C570556</t>
  </si>
  <si>
    <t>JUMBO BAG VINTAGE DOILY</t>
  </si>
  <si>
    <t>JUMBO BAG ALPHABET</t>
  </si>
  <si>
    <t>PACK OF 12 COLOURED PENCILS</t>
  </si>
  <si>
    <t>WOODEN SCHOOL COLOURING SET</t>
  </si>
  <si>
    <t>PACK OF 12 TRADITIONAL CRAYONS</t>
  </si>
  <si>
    <t>PARISIENNE JEWELLERY DRAWER</t>
  </si>
  <si>
    <t>PARISIENNE SEWING BOX</t>
  </si>
  <si>
    <t>SET 10 NIGHT OWL LIGHTS</t>
  </si>
  <si>
    <t>CAKE STAND VICTORIAN FILIGREE SMALL</t>
  </si>
  <si>
    <t>C581490</t>
  </si>
  <si>
    <t>ZINC T-LIGHT HOLDER STARS SMALL</t>
  </si>
  <si>
    <t>SET 36 COLOUR PENCILS LOVE LONDON</t>
  </si>
  <si>
    <t>SET 36 COLOURING PENCILS DOILY</t>
  </si>
  <si>
    <t>SET 36 COLOUR PENCILS SPACEBOY</t>
  </si>
  <si>
    <t>SET 36 COLOUR PENCILS DOLLY GIRL</t>
  </si>
  <si>
    <t>50'S CHRISTMAS PAPER GIFT BAG</t>
  </si>
  <si>
    <t>PACK OF 12 VINTAGE CHRISTMAS TISSUE</t>
  </si>
  <si>
    <t>PACK OF 12 DOLLY GIRL TISSUES</t>
  </si>
  <si>
    <t>PACK OF 12 50'S CHRISTMAS TISSUES</t>
  </si>
  <si>
    <t>PACK OF 12 RED APPLE TISSUES</t>
  </si>
  <si>
    <t>PACK OF 12 VINTAGE DOILY TISSUES</t>
  </si>
  <si>
    <t>PACK OF 12 VINTAGE LEAF TISSUES</t>
  </si>
  <si>
    <t>BOX OF 6 CHRISTMAS CAKE DECORATIONS</t>
  </si>
  <si>
    <t>I LOVE LONDON MINI BACKPACK</t>
  </si>
  <si>
    <t>SPACEBOY ROCKET LOLLY MAKERS</t>
  </si>
  <si>
    <t>HOME SWEET HOME HANGING HEART</t>
  </si>
  <si>
    <t>HOME SWEET HOME 2 DRAWER CABINET</t>
  </si>
  <si>
    <t>LAVENDER TOILETTE BOTTLE</t>
  </si>
  <si>
    <t>METAL SIGN DROP YOUR PANTS</t>
  </si>
  <si>
    <t>3 RAFFIA RIBBONS 50'S CHRISTMAS</t>
  </si>
  <si>
    <t>3 RAFFIA RIBBONS VINTAGE CHRISTMAS</t>
  </si>
  <si>
    <t>50'S CHRISTMAS GIFT BAG LARGE</t>
  </si>
  <si>
    <t>SQUARE MINI PORTRAIT FRAME</t>
  </si>
  <si>
    <t>VINTAGE ZINC PLANTER</t>
  </si>
  <si>
    <t>CARD HOLDER LOVE BIRD SMALL</t>
  </si>
  <si>
    <t>VINTAGE DOILY DELUXE SEWING KIT</t>
  </si>
  <si>
    <t>SET OF 3 PANTRY WOODEN SPOONS</t>
  </si>
  <si>
    <t>CLASSIC BICYCLE CLIPS</t>
  </si>
  <si>
    <t>KEY RING BASEBALL BOOT UNION JACK</t>
  </si>
  <si>
    <t>MINI PLAYING CARDS SPACEBOY</t>
  </si>
  <si>
    <t>MINI PLAYING CARDS DOLLY GIRL</t>
  </si>
  <si>
    <t>MINI PLAYING CARDS GYMKHANA</t>
  </si>
  <si>
    <t>WALL ART CAT AND BIRD</t>
  </si>
  <si>
    <t>WALL ART STOP FOR TEA</t>
  </si>
  <si>
    <t>WALL ART VILLAGE SHOW</t>
  </si>
  <si>
    <t>WALL ART VINTAGE HEART</t>
  </si>
  <si>
    <t>LANDMARK FRAME NOTTING HILL</t>
  </si>
  <si>
    <t>WOODLAND BUNNIES LOLLY MAKERS</t>
  </si>
  <si>
    <t>SET OF 6 RIBBONS PARTY</t>
  </si>
  <si>
    <t>EGG CUP MILKMAID INGRID</t>
  </si>
  <si>
    <t>EGG CUP MILKMAID HELGA</t>
  </si>
  <si>
    <t>EGG CUP HENRIETTA HEN PINK</t>
  </si>
  <si>
    <t>SNACK TRAY I LOVE LONDON</t>
  </si>
  <si>
    <t>JUMBO BAG PAISLEY PARK</t>
  </si>
  <si>
    <t>SET 10 CARDS RED RIDING HOOD 17214</t>
  </si>
  <si>
    <t>SET 10 CARDS JINGLE BELLS 17217</t>
  </si>
  <si>
    <t>SET 10 CARDS DAVID'S MADONNA 17074</t>
  </si>
  <si>
    <t>SET 10 CARDS CHRISTMAS HOLLY 17259</t>
  </si>
  <si>
    <t>SET 10 CARDS CHRISTMAS TREE 16955</t>
  </si>
  <si>
    <t>MILK MAIDS MUG</t>
  </si>
  <si>
    <t>35095A</t>
  </si>
  <si>
    <t>BLUE VICTORIAN FABRIC OVAL BOX</t>
  </si>
  <si>
    <t>35095B</t>
  </si>
  <si>
    <t>RED VICTORIAN FABRIC OVAL BOX</t>
  </si>
  <si>
    <t>VINTAGE BEAD PINK EVENING BAG</t>
  </si>
  <si>
    <t>VINTAGE BEAD PINK PURSE</t>
  </si>
  <si>
    <t>FOLKART STAR CHRISTMAS DECORATIONS</t>
  </si>
  <si>
    <t>ZINC FOLKART SLEIGH BELLS</t>
  </si>
  <si>
    <t>FUNKY MONKEY CUSHION COVER</t>
  </si>
  <si>
    <t>46776A</t>
  </si>
  <si>
    <t>WOVEN BUBBLE GUM CUSHION COVER</t>
  </si>
  <si>
    <t>46776B</t>
  </si>
  <si>
    <t>WOVEN BERRIES CUSHION COVER</t>
  </si>
  <si>
    <t>46776C</t>
  </si>
  <si>
    <t>WOVEN FROST CUSHION COVER</t>
  </si>
  <si>
    <t>46776D</t>
  </si>
  <si>
    <t>WOVEN SUNSET CUSHION COVER</t>
  </si>
  <si>
    <t>46776E</t>
  </si>
  <si>
    <t>WOVEN CANDY CUSHION COVER</t>
  </si>
  <si>
    <t>46776F</t>
  </si>
  <si>
    <t>WOVEN ROSE GARDEN CUSHION COVER</t>
  </si>
  <si>
    <t>47310M</t>
  </si>
  <si>
    <t>SMALL POP BOX FUNKY MONKEY</t>
  </si>
  <si>
    <t>HANGING PHOTO CLIP ROPE LADDER</t>
  </si>
  <si>
    <t>51014A</t>
  </si>
  <si>
    <t>FEATHER PEN,HOT PINK</t>
  </si>
  <si>
    <t>51014L</t>
  </si>
  <si>
    <t>FEATHER PEN,LIGHT PINK</t>
  </si>
  <si>
    <t>72349B</t>
  </si>
  <si>
    <t>SET/6 PURPLE BUTTERFLY T-LIGHTS</t>
  </si>
  <si>
    <t>84031A</t>
  </si>
  <si>
    <t>CHARLIE+LOLA RED HOT WATER BOTTLE</t>
  </si>
  <si>
    <t>84249A</t>
  </si>
  <si>
    <t>GREETING CARD,SQUARE, DOUGHNUTS</t>
  </si>
  <si>
    <t>84519B</t>
  </si>
  <si>
    <t>CARROT CHARLIE+LOLA COASTER SET</t>
  </si>
  <si>
    <t>84559A</t>
  </si>
  <si>
    <t>3D SHEET OF DOG STICKERS</t>
  </si>
  <si>
    <t>84569D</t>
  </si>
  <si>
    <t>PACK 6 HEART/ICE-CREAM PATCHES</t>
  </si>
  <si>
    <t>JUNGLE POPSICLES ICE LOLLY MOULDS</t>
  </si>
  <si>
    <t>PINK BUTTERFLY HANDBAG W BOBBLES</t>
  </si>
  <si>
    <t>12 PENCIL SMALL TUBE WOODLAND</t>
  </si>
  <si>
    <t>HEART CALCULATOR</t>
  </si>
  <si>
    <t>BLUE CALCULATOR RULER</t>
  </si>
  <si>
    <t>ROSE DU SUD COSMETICS BAG</t>
  </si>
  <si>
    <t>ANTIQUE ALL GLASS CANDLESTICK</t>
  </si>
  <si>
    <t>DARK BIRD HOUSE TREE DECORATION</t>
  </si>
  <si>
    <t>SPACE OWL</t>
  </si>
  <si>
    <t>BOOM BOX SPEAKER BOYS</t>
  </si>
  <si>
    <t>CHRISTMAS TOILET ROLL</t>
  </si>
  <si>
    <t>PARTY METAL SIGN</t>
  </si>
  <si>
    <t>MULTICOLOUR HONEYCOMB PAPER GARLAND</t>
  </si>
  <si>
    <t>SET/4 BADGES DOGS</t>
  </si>
  <si>
    <t>SET/4 SKULL BADGES</t>
  </si>
  <si>
    <t>GLASS HEART T-LIGHT HOLDER</t>
  </si>
  <si>
    <t>TOAST ITS - FAIRY FLOWER</t>
  </si>
  <si>
    <t>PACK OF 12 STICKY BUNNIES</t>
  </si>
  <si>
    <t>RED EGG SPOON</t>
  </si>
  <si>
    <t>SPOTTY PINK DUCK DOORSTOP</t>
  </si>
  <si>
    <t>STRAWBERRY RAFFIA FOOD COVER</t>
  </si>
  <si>
    <t>ELEPHANT BIRTHDAY CARD</t>
  </si>
  <si>
    <t>DAIRY MAID TRADITIONAL TEAPOT</t>
  </si>
  <si>
    <t>4 LAVENDER BOTANICAL DINNER CANDLES</t>
  </si>
  <si>
    <t>4 PEAR BOTANICAL DINNER CANDLES</t>
  </si>
  <si>
    <t>SET OF 4 ROSE BOTANICAL CANDLES</t>
  </si>
  <si>
    <t>ASSORTED TUTTI FRUTTI BRACELET</t>
  </si>
  <si>
    <t>HEARTS STICKERS</t>
  </si>
  <si>
    <t>DECORATIVE CATS BATHROOM BOTTLE</t>
  </si>
  <si>
    <t>RAIN PONCHO RETROSPOT</t>
  </si>
  <si>
    <t>CHRISTMAS GARLAND STARS,TREES</t>
  </si>
  <si>
    <t>CHRISTMAS HANGING STAR WITH BELL</t>
  </si>
  <si>
    <t>GARLAND WITH HEARTS AND BELLS</t>
  </si>
  <si>
    <t>GARLAND WITH STARS AND BELLS</t>
  </si>
  <si>
    <t>GLITTER CHRISTMAS TREE WITH BELLS</t>
  </si>
  <si>
    <t>EIGHT PIECE SNAKE SET</t>
  </si>
  <si>
    <t>HEARTS GIFT TAPE</t>
  </si>
  <si>
    <t>KEY FOB , SHED</t>
  </si>
  <si>
    <t>KEY FOB , FRONT DOOR</t>
  </si>
  <si>
    <t>PHARMACIE FIRST AID TIN</t>
  </si>
  <si>
    <t>SCANDINAVIAN PAISLEY PICNIC BAG</t>
  </si>
  <si>
    <t>SUKI SHOULDER BAG</t>
  </si>
  <si>
    <t>SKULLS DESIGN FLANNEL</t>
  </si>
  <si>
    <t>SET OF 6 HEART CHOPSTICKS</t>
  </si>
  <si>
    <t>PACK OF 12 SKULL TISSUES</t>
  </si>
  <si>
    <t>PACK OF 12 WOODLAND TISSUES</t>
  </si>
  <si>
    <t>MODERN FLORAL STATIONERY SET</t>
  </si>
  <si>
    <t>RING OF ROSES BIRTHDAY CARD</t>
  </si>
  <si>
    <t>BANQUET BIRTHDAY CARD</t>
  </si>
  <si>
    <t>PENNY FARTHING BIRTHDAY CARD</t>
  </si>
  <si>
    <t>BOTANICAL LAVENDER BIRTHDAY CARD</t>
  </si>
  <si>
    <t>CHRISTMAS PUDDING TRINKET POT</t>
  </si>
  <si>
    <t>SMALL RED RETROSPOT MUG IN BOX</t>
  </si>
  <si>
    <t>SMALL WHITE RETROSPOT MUG IN BOX</t>
  </si>
  <si>
    <t>6 RIBBONS EMPIRE</t>
  </si>
  <si>
    <t>MIRROR MOSAIC CANDLE PLATE</t>
  </si>
  <si>
    <t>MIRROR MOSAIC HURRICANE LAMP</t>
  </si>
  <si>
    <t>SET OF 2 TEA TOWELS PING MICROWAVE</t>
  </si>
  <si>
    <t>PARTY CONES CANDY DECORATION</t>
  </si>
  <si>
    <t>MINI LADLE LOVE HEART RED</t>
  </si>
  <si>
    <t>SANDALWOOD FAN</t>
  </si>
  <si>
    <t>15058C</t>
  </si>
  <si>
    <t>ICE CREAM DESIGN GARDEN PARASOL</t>
  </si>
  <si>
    <t>CARTOON PENCIL SHARPENERS</t>
  </si>
  <si>
    <t>PORCELAIN BUDAH INCENSE HOLDER</t>
  </si>
  <si>
    <t>ECONOMY LUGGAGE TAG</t>
  </si>
  <si>
    <t>MINI LADLE LOVE HEART PINK</t>
  </si>
  <si>
    <t>ANGEL DECORATION 3 BUTTONS</t>
  </si>
  <si>
    <t>STAR DECORATION RUSTIC</t>
  </si>
  <si>
    <t>HEART DECORATION WITH PEARLS</t>
  </si>
  <si>
    <t>HEART STRING MEMO HOLDER HANGING</t>
  </si>
  <si>
    <t>FRYING PAN RED RETROSPOT</t>
  </si>
  <si>
    <t>FELT EGG COSY BLUE RABBIT</t>
  </si>
  <si>
    <t>FELT FARM ANIMAL WHITE BUNNY</t>
  </si>
  <si>
    <t>COSMETIC BAG VINTAGE ROSE PAISLEY</t>
  </si>
  <si>
    <t>POCKET BAG BLUE PAISLEY RED SPOT</t>
  </si>
  <si>
    <t>GOLD MUG BONE CHINA TREE OF LIFE</t>
  </si>
  <si>
    <t>BLUE POLKADOT KIDS BAG</t>
  </si>
  <si>
    <t>NOEL GARLAND PAINTED ZINC</t>
  </si>
  <si>
    <t>HOME GARLAND PAINTED ZINC</t>
  </si>
  <si>
    <t>85032C</t>
  </si>
  <si>
    <t>CURIOUS IMAGES GIFT WRAP SET</t>
  </si>
  <si>
    <t>6 CHOCOLATE LOVE HEART T-LIGHTS</t>
  </si>
  <si>
    <t>85039B</t>
  </si>
  <si>
    <t>S/4 IVORY MINI ROSE CANDLE IN BOWL</t>
  </si>
  <si>
    <t>CANDY SPOT EGG WARMER RABBIT</t>
  </si>
  <si>
    <t>85114C</t>
  </si>
  <si>
    <t>RED ENCHANTED FOREST PLACEMAT</t>
  </si>
  <si>
    <t>CREAM HANGING HEART T-LIGHT HOLDER</t>
  </si>
  <si>
    <t>85131B</t>
  </si>
  <si>
    <t>BEADED CRYSTAL HEART GREEN ON STICK</t>
  </si>
  <si>
    <t>85131D</t>
  </si>
  <si>
    <t>BEADED CRYSTAL HEART PINK ON STICK</t>
  </si>
  <si>
    <t>85168B</t>
  </si>
  <si>
    <t>BLACK BAROQUE CARRIAGE CLOCK</t>
  </si>
  <si>
    <t>85170C</t>
  </si>
  <si>
    <t>SET/6 EAU DE NIL BIRD T-LIGHTS</t>
  </si>
  <si>
    <t>SET/6 FROG PRINCE T-LIGHT CANDLES</t>
  </si>
  <si>
    <t>BASKET OF FLOWERS SEWING KIT</t>
  </si>
  <si>
    <t>VICTORIAN SEWING KIT</t>
  </si>
  <si>
    <t>85179A</t>
  </si>
  <si>
    <t>GREEN BITTY LIGHT CHAIN</t>
  </si>
  <si>
    <t>85199S</t>
  </si>
  <si>
    <t>SMALL HANGING IVORY/RED WOOD BIRD</t>
  </si>
  <si>
    <t>90003C</t>
  </si>
  <si>
    <t>MIDNIGHT BLUE PAIR HEART HAIR SLIDE</t>
  </si>
  <si>
    <t>90003E</t>
  </si>
  <si>
    <t>GREEN PAIR HEART HAIR SLIDES</t>
  </si>
  <si>
    <t>90010A</t>
  </si>
  <si>
    <t>MIDNIGHT BLUE GLASS/SILVER BRACELET</t>
  </si>
  <si>
    <t>90013C</t>
  </si>
  <si>
    <t>GREEN VINTAGE EARRINGS</t>
  </si>
  <si>
    <t>90014A</t>
  </si>
  <si>
    <t>SILVER M.O.P. ORBIT NECKLACE</t>
  </si>
  <si>
    <t>90016B</t>
  </si>
  <si>
    <t>GOLD/M.O.P PENDANT ORBIT NECKLACE</t>
  </si>
  <si>
    <t>90018B</t>
  </si>
  <si>
    <t>GOLD M.O.P ORBIT DROP EARRINGS</t>
  </si>
  <si>
    <t>90019B</t>
  </si>
  <si>
    <t>GOLD M.O.P ORBIT BRACELET</t>
  </si>
  <si>
    <t>90027D</t>
  </si>
  <si>
    <t>GLASS BEAD HOOP EARRINGS AMETHYST</t>
  </si>
  <si>
    <t>90030B</t>
  </si>
  <si>
    <t>RED KUKUI COCONUT SEED NECKLACE</t>
  </si>
  <si>
    <t>CRACKED GLAZE EARRINGS BROWN</t>
  </si>
  <si>
    <t>90059A</t>
  </si>
  <si>
    <t>DIAMANTE HAIR GRIP PACK/2 CRYSTAL</t>
  </si>
  <si>
    <t>90059D</t>
  </si>
  <si>
    <t>DIAMANTE HAIR GRIP PACK/2 PERIDOT</t>
  </si>
  <si>
    <t>90059F</t>
  </si>
  <si>
    <t>DIAMANTE HAIR GRIP PACK/2 LT ROSE</t>
  </si>
  <si>
    <t>RUBY DROP CHANDELIER EARRINGS</t>
  </si>
  <si>
    <t>90120B</t>
  </si>
  <si>
    <t>BLUE MURANO TWIST BRACELET</t>
  </si>
  <si>
    <t>90120C</t>
  </si>
  <si>
    <t>GREEN MURANO TWIST BRACELET</t>
  </si>
  <si>
    <t>90130B</t>
  </si>
  <si>
    <t>TURQ STONE/CRYSTAL EARRINGS</t>
  </si>
  <si>
    <t>90130C</t>
  </si>
  <si>
    <t>GREEN STONE/CRYSTAL EARRINGS</t>
  </si>
  <si>
    <t>OLD ROSE COMBO BEAD NECKLACE</t>
  </si>
  <si>
    <t>WHITE/PINK MINI CRYSTALS NECKLACE</t>
  </si>
  <si>
    <t>90141B</t>
  </si>
  <si>
    <t>IVORY PENDANT TRIPLE SHELL NECKLACE</t>
  </si>
  <si>
    <t>SILVER HOOP EARRINGS WITH FLOWER</t>
  </si>
  <si>
    <t>RESIN NECKLACE W PASTEL BEADS</t>
  </si>
  <si>
    <t>90161D</t>
  </si>
  <si>
    <t>ANT COPPER PINK BOUDICCA BRACELET</t>
  </si>
  <si>
    <t>90163A</t>
  </si>
  <si>
    <t>PINK ROSEBUD &amp; PEARL NECKLACE</t>
  </si>
  <si>
    <t>90165B</t>
  </si>
  <si>
    <t>WHITE ROSEBUD PEARL EARRINGS</t>
  </si>
  <si>
    <t>2 DAISIES HAIR COMB</t>
  </si>
  <si>
    <t>DAISY HAIR COMB</t>
  </si>
  <si>
    <t>DAISY HAIR BAND</t>
  </si>
  <si>
    <t>BUTTERFLY HAIR BAND</t>
  </si>
  <si>
    <t>90175A</t>
  </si>
  <si>
    <t>WHITE GLASS CHUNKY CHARM BRACELET</t>
  </si>
  <si>
    <t>90175D</t>
  </si>
  <si>
    <t>TIGRIS EYE CHUNKY CHARM BRACELET</t>
  </si>
  <si>
    <t>90177A</t>
  </si>
  <si>
    <t>CLASSIC DIAMANTE EARRINGS JET</t>
  </si>
  <si>
    <t>90177C</t>
  </si>
  <si>
    <t>DROP DIAMANTE EARRINGS CRYSTAL</t>
  </si>
  <si>
    <t>90181B</t>
  </si>
  <si>
    <t>AMETHYST GLASS/SHELL/PEARL NECKLACE</t>
  </si>
  <si>
    <t>90182C</t>
  </si>
  <si>
    <t>BLACK 3 BEAD DROP EARRINGS</t>
  </si>
  <si>
    <t>90183A</t>
  </si>
  <si>
    <t>AMBER DROP EARRINGS W LONG BEADS</t>
  </si>
  <si>
    <t>90183C</t>
  </si>
  <si>
    <t>BLACK DROP EARRINGS W LONG BEADS</t>
  </si>
  <si>
    <t>90184C</t>
  </si>
  <si>
    <t>BLACK CHUNKY BEAD BRACELET W STRAP</t>
  </si>
  <si>
    <t>90185B</t>
  </si>
  <si>
    <t>AMETHYST DIAMANTE EXPANDABLE RING</t>
  </si>
  <si>
    <t>DROP EARRINGS W FLOWER &amp; LEAF</t>
  </si>
  <si>
    <t>SILVER LARIAT 40CM</t>
  </si>
  <si>
    <t>JADE DROP EARRINGS W FILIGREE</t>
  </si>
  <si>
    <t>90198A</t>
  </si>
  <si>
    <t>VINTAGE ROSE BEAD BRACELET RASPBERR</t>
  </si>
  <si>
    <t>90201A</t>
  </si>
  <si>
    <t>PURPLE ENAMEL FLOWER RING</t>
  </si>
  <si>
    <t>90201B</t>
  </si>
  <si>
    <t>BLACK ENAMEL FLOWER RING</t>
  </si>
  <si>
    <t>90201C</t>
  </si>
  <si>
    <t>RED ENAMEL FLOWER RING</t>
  </si>
  <si>
    <t>90201D</t>
  </si>
  <si>
    <t>GREEN ENAMEL FLOWER RING</t>
  </si>
  <si>
    <t>90202C</t>
  </si>
  <si>
    <t>GREEN ENAMEL FLOWER HAIR TIE</t>
  </si>
  <si>
    <t>90202D</t>
  </si>
  <si>
    <t>PINK ENAMEL FLOWER HAIR TIE</t>
  </si>
  <si>
    <t>90206C</t>
  </si>
  <si>
    <t>CRYSTAL DIAMANTE STAR BROOCH</t>
  </si>
  <si>
    <t>PAIR OF PINK FLOWER CLUSTER SLIDE</t>
  </si>
  <si>
    <t>90210A</t>
  </si>
  <si>
    <t>GREY ACRYLIC FACETED BANGLE</t>
  </si>
  <si>
    <t>MAGNETS PACK OF 4 RETRO PHOTO</t>
  </si>
  <si>
    <t>TOOTHPASTE TUBE PEN</t>
  </si>
  <si>
    <t>FAIRY TALE COTTAGE NIGHT LIGHT</t>
  </si>
  <si>
    <t>BIRDHOUSE GARDEN MARKER</t>
  </si>
  <si>
    <t>PLASMATRONIC LAMP</t>
  </si>
  <si>
    <t>HEART WOODEN CHRISTMAS DECORATION</t>
  </si>
  <si>
    <t>WOODEN STAR CHRISTMAS SCANDINAVIAN</t>
  </si>
  <si>
    <t>FELTCRAFT HAIRBAND PINK AND BLUE</t>
  </si>
  <si>
    <t>CARDHOLDER GINGHAM STAR</t>
  </si>
  <si>
    <t>CARDHOLDER GINGHAM CHRISTMAS TREE</t>
  </si>
  <si>
    <t>CARDHOLDER HOLLY WREATH METAL</t>
  </si>
  <si>
    <t>CHRISTMAS RETROSPOT STAR WOOD</t>
  </si>
  <si>
    <t>CHRISTMAS RETROSPOT ANGEL WOOD</t>
  </si>
  <si>
    <t>RETROSPOT WOODEN HEART DECORATION</t>
  </si>
  <si>
    <t>PACK OF 12 SPACEBOY TISSUES</t>
  </si>
  <si>
    <t>PACK OF 12 CIRCUS PARADE TISSUES</t>
  </si>
  <si>
    <t>PINK CAT BOWL</t>
  </si>
  <si>
    <t>FUNKY DIVA PEN</t>
  </si>
  <si>
    <t>KEY CABINET MA CAMPAGNE</t>
  </si>
  <si>
    <t>SWEETHEART 3 TIER CAKE STAND</t>
  </si>
  <si>
    <t>CARD SUKI BIRTHDAY</t>
  </si>
  <si>
    <t>BIRTHDAY CARD, RETRO SPOT</t>
  </si>
  <si>
    <t>GIFT BAG PSYCHEDELIC APPLES</t>
  </si>
  <si>
    <t>NUMBER TILE VINTAGE FONT 2</t>
  </si>
  <si>
    <t>NUMBER TILE VINTAGE FONT 6</t>
  </si>
  <si>
    <t>NUMBER TILE VINTAGE FONT 9</t>
  </si>
  <si>
    <t>CHRISTMAS LIGHTS 10 VINTAGE BAUBLES</t>
  </si>
  <si>
    <t>METAL DECORATION NAUGHTY CHILDREN</t>
  </si>
  <si>
    <t>CIRCUS PARADE CHILDRENS EGG CUP</t>
  </si>
  <si>
    <t>DOLLY GIRL CHILDRENS EGG CUP</t>
  </si>
  <si>
    <t>PANTRY WASHING UP BRUSH</t>
  </si>
  <si>
    <t>PANTRY PASTRY BRUSH</t>
  </si>
  <si>
    <t>CARD GINGHAM ROSE</t>
  </si>
  <si>
    <t>I LOVE LONDON BABY GIFT SET</t>
  </si>
  <si>
    <t>GLASS APOTHECARY BOTTLE PERFUME</t>
  </si>
  <si>
    <t>GLASS APOTHECARY BOTTLE TONIC</t>
  </si>
  <si>
    <t>GLASS APOTHECARY BOTTLE ELIXIR</t>
  </si>
  <si>
    <t>RECYCLED ACAPULCO MAT GREEN</t>
  </si>
  <si>
    <t>RECYCLED ACAPULCO MAT BLUE</t>
  </si>
  <si>
    <t>RECYCLED ACAPULCO MAT TURQUOISE</t>
  </si>
  <si>
    <t>RECYCLED ACAPULCO MAT PINK</t>
  </si>
  <si>
    <t>RECYCLED ACAPULCO MAT LAVENDER</t>
  </si>
  <si>
    <t>EMBOSSED HEART TRINKET BOX</t>
  </si>
  <si>
    <t>ICE CREAM SUNDAE LIP GLOSS</t>
  </si>
  <si>
    <t>DOUGHNUT LIP GLOSS</t>
  </si>
  <si>
    <t>SET 6 PAPER TABLE LANTERN STARS</t>
  </si>
  <si>
    <t>ZINC HEART FLOWER T-LIGHT HOLDER</t>
  </si>
  <si>
    <t>GLASS BON BON JAR</t>
  </si>
  <si>
    <t>SMALL PARISIENNE HEART PHOTO FRAME</t>
  </si>
  <si>
    <t>JINGLE BELL HEART DECORATION</t>
  </si>
  <si>
    <t>PARISIENNE KEY CABINET</t>
  </si>
  <si>
    <t>PARISIENNE CURIO CABINET</t>
  </si>
  <si>
    <t>SET OF 5 LUCKY CAT MAGNETS</t>
  </si>
  <si>
    <t>REGENCY TEAPOT ROSES</t>
  </si>
  <si>
    <t>REGENCY MILK JUG PINK</t>
  </si>
  <si>
    <t>TREASURE ISLAND BOOK BOX</t>
  </si>
  <si>
    <t>MOTHER'S KITCHEN SPOON REST</t>
  </si>
  <si>
    <t>VINTAGE 2 METRE FOLDING RULER</t>
  </si>
  <si>
    <t>BUNDLE OF 3 RETRO NOTE BOOKS</t>
  </si>
  <si>
    <t>GYMKHANA TREASURE BOOK BOX</t>
  </si>
  <si>
    <t>VINTAGE LEAF MAGNETIC NOTEPAD</t>
  </si>
  <si>
    <t>JUMBO BAG APPLES</t>
  </si>
  <si>
    <t>JUMBO BAG PEARS</t>
  </si>
  <si>
    <t>JUMBO BAG VINTAGE LEAF</t>
  </si>
  <si>
    <t>CHARLOTTE BAG APPLES DESIGN</t>
  </si>
  <si>
    <t>CHARLOTTE BAG VINTAGE ALPHABET</t>
  </si>
  <si>
    <t>LUNCH BAG VINTAGE LEAF DESIGN</t>
  </si>
  <si>
    <t>HEART WREATH DECORATION WITH BELL</t>
  </si>
  <si>
    <t>STAR WREATH DECORATION WITH BELL</t>
  </si>
  <si>
    <t>REINDEER HEART DECORATION GOLD</t>
  </si>
  <si>
    <t>CHERUB HEART DECORATION GOLD</t>
  </si>
  <si>
    <t>VINTAGE DONKEY TAIL GAME</t>
  </si>
  <si>
    <t>BISCUIT TIN VINTAGE CHRISTMAS</t>
  </si>
  <si>
    <t>TREASURE TIN GYMKHANA DESIGN</t>
  </si>
  <si>
    <t>BISCUIT TIN 50'S CHRISTMAS</t>
  </si>
  <si>
    <t>SET OF 3 WOODEN SLEIGH DECORATIONS</t>
  </si>
  <si>
    <t>SET OF 3 WOODEN TREE DECORATIONS</t>
  </si>
  <si>
    <t>SET OF 3 WOODEN STOCKING DECORATION</t>
  </si>
  <si>
    <t>STAR T-LIGHT HOLDER WILLIE WINKIE</t>
  </si>
  <si>
    <t>DOORMAT KEEP CALM AND COME IN</t>
  </si>
  <si>
    <t>PINK VINTAGE SPOT BEAKER</t>
  </si>
  <si>
    <t>RED VINTAGE SPOT BEAKER</t>
  </si>
  <si>
    <t>SPACEBOY CHILDRENS BOWL</t>
  </si>
  <si>
    <t>SPACEBOY CHILDRENS CUP</t>
  </si>
  <si>
    <t>SET OF 6 SNACK LOAF BAKING CASES</t>
  </si>
  <si>
    <t>FOOD COVER WITH BEADS SET 2</t>
  </si>
  <si>
    <t>SET OF 60 PANTRY DESIGN CAKE CASES</t>
  </si>
  <si>
    <t>SET OF 60 VINTAGE LEAF CAKE CASES</t>
  </si>
  <si>
    <t>SET OF 60 I LOVE LONDON CAKE CASES</t>
  </si>
  <si>
    <t>VINTAGE CHRISTMAS STOCKING</t>
  </si>
  <si>
    <t>VINTAGE CHRISTMAS GIFT SACK</t>
  </si>
  <si>
    <t>VINTAGE CHRISTMAS TABLECLOTH</t>
  </si>
  <si>
    <t>BOX OF 6 MINI 50'S CRACKERS</t>
  </si>
  <si>
    <t>LARGE WHITE HEART OF WICKER</t>
  </si>
  <si>
    <t>WHITE WICKER STAR</t>
  </si>
  <si>
    <t>SET 6 SCHOOL MILK BOTTLES IN CRATE</t>
  </si>
  <si>
    <t>IVORY WICKER HEART LARGE</t>
  </si>
  <si>
    <t>IVORY WICKER HEART SMALL</t>
  </si>
  <si>
    <t>EGG FRYING PAN PINK</t>
  </si>
  <si>
    <t>VINTAGE CHRISTMAS CAKE FRILL</t>
  </si>
  <si>
    <t>JUMBO BAG VINTAGE CHRISTMAS</t>
  </si>
  <si>
    <t>DOLLY GIRL BEAKER</t>
  </si>
  <si>
    <t>I LOVE LONDON BEAKER</t>
  </si>
  <si>
    <t>ROLL WRAP VINTAGE CHRISTMAS</t>
  </si>
  <si>
    <t>6 GIFT TAGS VINTAGE CHRISTMAS</t>
  </si>
  <si>
    <t>6 GIFT TAGS 50'S CHRISTMAS</t>
  </si>
  <si>
    <t>SET 12 COLOUR PENCILS LOVE LONDON</t>
  </si>
  <si>
    <t>SET 12 COLOURING PENCILS DOILY</t>
  </si>
  <si>
    <t>SET 12 COLOUR PENCILS SPACEBOY</t>
  </si>
  <si>
    <t>SET 12 COLOUR PENCILS DOLLY GIRL</t>
  </si>
  <si>
    <t>79190B</t>
  </si>
  <si>
    <t>RETRO PLASTIC POLKA TRAY</t>
  </si>
  <si>
    <t>79190A</t>
  </si>
  <si>
    <t>RETRO PLASTIC 70'S TRAY</t>
  </si>
  <si>
    <t>79191B</t>
  </si>
  <si>
    <t>HANGING JAM JAR T-LIGHT HOLDERS</t>
  </si>
  <si>
    <t>BIRDCAGE DECORATION TEALIGHT HOLDER</t>
  </si>
  <si>
    <t>WOODLAND MINI BACKPACK</t>
  </si>
  <si>
    <t>DOLLY GIRL MINI BACKPACK</t>
  </si>
  <si>
    <t>SPACEBOY MINI BACKPACK</t>
  </si>
  <si>
    <t>PAPER BUNTING VINTAGE PARTY</t>
  </si>
  <si>
    <t>16169E</t>
  </si>
  <si>
    <t>WRAP 50'S CHRISTMAS</t>
  </si>
  <si>
    <t>ROLL WRAP VINTAGE SPOT</t>
  </si>
  <si>
    <t>OFFICE MUG WARMER CHOC+BLUE</t>
  </si>
  <si>
    <t>OFFICE MUG WARMER PINK</t>
  </si>
  <si>
    <t>RED SPOT GIFT BAG LARGE</t>
  </si>
  <si>
    <t>NURSERY A,B,C PAINTED LETTERS</t>
  </si>
  <si>
    <t>MINI JIGSAW DOLLY GIRL</t>
  </si>
  <si>
    <t>HOT BATHS METAL SIGN</t>
  </si>
  <si>
    <t>84997c</t>
  </si>
  <si>
    <t>85049g</t>
  </si>
  <si>
    <t>15056bl</t>
  </si>
  <si>
    <t>BROWN PIRATE TREASURE CHEST</t>
  </si>
  <si>
    <t>HEART DECORATION RUSTIC HANGING</t>
  </si>
  <si>
    <t>GREEN CHRISTMAS TREE CARD HOLDER</t>
  </si>
  <si>
    <t>FRYING PAN UNION FLAG</t>
  </si>
  <si>
    <t>COFFEE MUG BLUE PAISLEY DESIGN</t>
  </si>
  <si>
    <t>TV DINNER TRAY AIR HOSTESS</t>
  </si>
  <si>
    <t>WOODEN REGATTA BUNTING</t>
  </si>
  <si>
    <t>WHEELBARROW FOR CHILDREN</t>
  </si>
  <si>
    <t>3D TRADITIONAL CHRISTMAS STICKERS</t>
  </si>
  <si>
    <t>SET OF 6 RIBBONS VINTAGE CHRISTMAS</t>
  </si>
  <si>
    <t>PACK 3 BOXES BIRD PANETTONE</t>
  </si>
  <si>
    <t>BULL DOG BOTTLE TOP WALL CLOCK</t>
  </si>
  <si>
    <t>WHITE MOROCCAN METAL LANTERN</t>
  </si>
  <si>
    <t>72349b</t>
  </si>
  <si>
    <t>82001s</t>
  </si>
  <si>
    <t>SILVER RECORD COVER FRAME</t>
  </si>
  <si>
    <t>84032A</t>
  </si>
  <si>
    <t>CHARLIE+LOLA PINK HOT WATER BOTTLE</t>
  </si>
  <si>
    <t>84509a</t>
  </si>
  <si>
    <t>84558a</t>
  </si>
  <si>
    <t>84968e</t>
  </si>
  <si>
    <t>SET OF 16 VINTAGE BLACK CUTLERY</t>
  </si>
  <si>
    <t>84970s</t>
  </si>
  <si>
    <t>84997a</t>
  </si>
  <si>
    <t>84997b</t>
  </si>
  <si>
    <t>84997d</t>
  </si>
  <si>
    <t>85049a</t>
  </si>
  <si>
    <t>85049e</t>
  </si>
  <si>
    <t>C581499</t>
  </si>
  <si>
    <t>3 DRAWER ANTIQUE WHITE WOOD CABINET</t>
  </si>
  <si>
    <t>MR ROBOT SOFT TOY</t>
  </si>
  <si>
    <t>PINK HEART SHAPE LOVE BUCKET</t>
  </si>
  <si>
    <t>PIG KEYRING WITH LIGHT &amp; SOUND</t>
  </si>
  <si>
    <t>PIN CUSHION BABUSHKA BLUE</t>
  </si>
  <si>
    <t>ZINC WIRE KITCHEN ORGANISER</t>
  </si>
  <si>
    <t>STORAGE TIN HOME SWEET HOME</t>
  </si>
  <si>
    <t>MINI JIGSAW BUNNIES</t>
  </si>
  <si>
    <t>SET OF 2 CERAMIC PAINTED HEARTS</t>
  </si>
  <si>
    <t>WHITE ROCKING HORSE HAND PAINTED</t>
  </si>
  <si>
    <t>FRYING PAN PINK POLKADOT</t>
  </si>
  <si>
    <t>84031B</t>
  </si>
  <si>
    <t>CHARLIE LOLA BLUE HOT WATER BOTTLE</t>
  </si>
  <si>
    <t>PAPERWEIGHT KINGS CHOICE</t>
  </si>
  <si>
    <t>17091J</t>
  </si>
  <si>
    <t>VANILLA INCENSE IN TIN</t>
  </si>
  <si>
    <t>35471D</t>
  </si>
  <si>
    <t>SET OF 3 BIRD LIGHT PINK FEATHER</t>
  </si>
  <si>
    <t>BUFFALO BILL TREASURE BOOK BOX</t>
  </si>
  <si>
    <t>FORKED CACTUS CANDLE</t>
  </si>
  <si>
    <t>PAPER LANTERN 9 POINT SNOW STAR</t>
  </si>
  <si>
    <t>SET/4 BADGES BEETLES</t>
  </si>
  <si>
    <t>79066K</t>
  </si>
  <si>
    <t>RETRO MOD TRAY</t>
  </si>
  <si>
    <t>LADS ONLY TISSUE BOX</t>
  </si>
  <si>
    <t>DRAWER KNOB CERAMIC BLACK</t>
  </si>
  <si>
    <t>DRAWER KNOB CERAMIC RED</t>
  </si>
  <si>
    <t>BOX OF 6 MINI VINTAGE CRACKERS</t>
  </si>
  <si>
    <t>WALL ART ANIMALS AND NATURE</t>
  </si>
  <si>
    <t>WALL ART HORSE &amp; PONY</t>
  </si>
  <si>
    <t>WALL ART BUFFALO BILL</t>
  </si>
  <si>
    <t>PARTY CHARMS 50 PIECES</t>
  </si>
  <si>
    <t>WRAP BILLBOARD FONTS DESIGN</t>
  </si>
  <si>
    <t>PINK HONEYCOMB PAPER FAN</t>
  </si>
  <si>
    <t>79191D</t>
  </si>
  <si>
    <t>RETRO PLASTIC DAISY TRAY</t>
  </si>
  <si>
    <t>WALL ART I LOVE LONDON</t>
  </si>
  <si>
    <t>BUNDLE OF 3 SCHOOL EXERCISE BOOKS</t>
  </si>
  <si>
    <t>TOAST ITS - I LOVE YOU</t>
  </si>
  <si>
    <t>C581568</t>
  </si>
  <si>
    <t>C581569</t>
  </si>
  <si>
    <t>WOODLAND PARTY BAG + STICKER SET</t>
  </si>
  <si>
    <t>HANGING MINI COLOURED BOTTLES</t>
  </si>
  <si>
    <t>BLUE REFECTORY CLOCK</t>
  </si>
  <si>
    <t>ASSORTED CIRCULAR MOBILE</t>
  </si>
  <si>
    <t>SET OF 4 KNICK KNACK TINS LONDON</t>
  </si>
  <si>
    <t>SET OF 4 KNICK KNACK TINS LEAF</t>
  </si>
  <si>
    <t>CHILDRENS CUTLERY CIRCUS PARADE</t>
  </si>
  <si>
    <t>CANDLE HOLDER SILVER MADELINE</t>
  </si>
  <si>
    <t>WRAP ALPHABET POSTER</t>
  </si>
  <si>
    <t>WRAP CIRCUS PARADE</t>
  </si>
  <si>
    <t>EMBROIDERED RIBBON REEL DAISY</t>
  </si>
  <si>
    <t>RIBBON REEL FLORA + FAUNA</t>
  </si>
  <si>
    <t>RIBBON REEL POLKADOTS</t>
  </si>
  <si>
    <t>JINGLE BELL HEART ANTIQUE SILVER</t>
  </si>
  <si>
    <t>VINTAGE BELLS GARLAND</t>
  </si>
  <si>
    <t>CHRISTMAS TREE STAR DECORATION</t>
  </si>
  <si>
    <t>12 PENCILS SMALL TUBE SKULL</t>
  </si>
  <si>
    <t>TABLECLOTH RED APPLES DESIGN</t>
  </si>
  <si>
    <t>CINAMMON &amp; ORANGE WREATH</t>
  </si>
  <si>
    <t>LUNCH BAG RED VINTAGE DOILY</t>
  </si>
  <si>
    <t>BLACK TEA TOWEL CLASSIC DESIGN</t>
  </si>
  <si>
    <t>EMBOSSED GLASS TEALIGHT HOLDER</t>
  </si>
  <si>
    <t>SMALL MEDINA STAMPED METAL BOWL</t>
  </si>
  <si>
    <t>ZINC T-LIGHT HOLDER STAR LARGE</t>
  </si>
  <si>
    <t>CHILDRENS CUTLERY SPACEBOY</t>
  </si>
  <si>
    <t>PACK OF 20 SPACEBOY NAPKINS</t>
  </si>
  <si>
    <t>CHILDRENS CUTLERY DOLLY GIRL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</si>
</sst>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4" xfId="0" applyFont="1" applyNumberFormat="1"/>
    <xf borderId="0" fillId="0" fontId="1" numFmtId="49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38"/>
    <col customWidth="1" min="8" max="8" width="31.13"/>
    <col customWidth="1" min="10" max="10" width="16.25"/>
    <col customWidth="1" min="15" max="15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 t="s">
        <v>10</v>
      </c>
      <c r="L1" s="5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5" t="s">
        <v>16</v>
      </c>
    </row>
    <row r="2">
      <c r="A2" s="1">
        <v>536365.0</v>
      </c>
      <c r="B2" s="1" t="str">
        <f t="shared" ref="B2:B5000" si="1">SUBSTITUTE(A2,"C","")</f>
        <v>536365</v>
      </c>
      <c r="C2" s="1" t="str">
        <f t="shared" ref="C2:C5000" si="2">IF(LEFT(A2,1)="C","Return","Sale")</f>
        <v>Sale</v>
      </c>
      <c r="D2" s="1" t="s">
        <v>17</v>
      </c>
      <c r="E2" s="1" t="str">
        <f>IFERROR(__xludf.DUMMYFUNCTION("IF(LEN(D2)&gt;4, IFERROR(REGEXEXTRACT(TO_TEXT(D2),""\d+""),""""),"""")"),"85123")</f>
        <v>85123</v>
      </c>
      <c r="F2" s="6" t="str">
        <f t="shared" ref="F2:F5000" si="3">IF(OR(D2="C2", D2="POST", D2="DOT"), "Shipping", IF(OR(D2="AMAZON FEE", D2="BANK CHARGES", D2="AMAZONFEE"), "Fee", IF(D2="D", "Discount", IF(OR(D2="M", D2="B"), "Adjustment", IF(OR(D2="CRUK", D2="S"), "Other", "Product")))))</f>
        <v>Product</v>
      </c>
      <c r="G2" s="1" t="s">
        <v>18</v>
      </c>
      <c r="H2" s="6" t="str">
        <f>IFERROR(__xludf.DUMMYFUNCTION("IF(REGEXMATCH(LOWER(G2), ""^(\?)+\s*(missing)?\s*(\?)*$""), """", PROPER(SUBSTITUTE(SUBSTITUTE(G2, ""?"", """"), ""*"", """")))"),"White Hanging Heart T-Light Holder")</f>
        <v>White Hanging Heart T-Light Holder</v>
      </c>
      <c r="I2" s="3">
        <v>6.0</v>
      </c>
      <c r="J2" s="7">
        <v>40513.35138888889</v>
      </c>
      <c r="K2" s="8" t="str">
        <f t="shared" ref="K2:K5000" si="4">TEXT(J2, "YYYY-MM")</f>
        <v>2010-12</v>
      </c>
      <c r="L2" s="5">
        <v>2.55</v>
      </c>
      <c r="M2" s="3">
        <v>17850.0</v>
      </c>
      <c r="N2" s="1" t="str">
        <f t="shared" ref="N2:N5000" si="5">IF(ISBLANK(M2),"Guest","Registered")</f>
        <v>Registered</v>
      </c>
      <c r="O2" s="1" t="s">
        <v>19</v>
      </c>
      <c r="P2" s="9" t="str">
        <f t="shared" ref="P2:P5000" si="6">IF(O2="United Kingdom", "UK", IF(O2="Unknown", "Unknown", "International"))</f>
        <v>UK</v>
      </c>
      <c r="Q2" s="8">
        <f t="shared" ref="Q2:Q5000" si="7">I2 * L2</f>
        <v>15.3</v>
      </c>
    </row>
    <row r="3">
      <c r="A3" s="1">
        <v>536365.0</v>
      </c>
      <c r="B3" s="1" t="str">
        <f t="shared" si="1"/>
        <v>536365</v>
      </c>
      <c r="C3" s="1" t="str">
        <f t="shared" si="2"/>
        <v>Sale</v>
      </c>
      <c r="D3" s="1">
        <v>71053.0</v>
      </c>
      <c r="E3" s="1" t="str">
        <f>IFERROR(__xludf.DUMMYFUNCTION("IF(LEN(D3)&gt;4, IFERROR(REGEXEXTRACT(TO_TEXT(D3),""\d+""),""""),"""")"),"71053")</f>
        <v>71053</v>
      </c>
      <c r="F3" s="6" t="str">
        <f t="shared" si="3"/>
        <v>Product</v>
      </c>
      <c r="G3" s="1" t="s">
        <v>20</v>
      </c>
      <c r="H3" s="6" t="str">
        <f>IFERROR(__xludf.DUMMYFUNCTION("IF(REGEXMATCH(LOWER(G3), ""^(\?)+\s*(missing)?\s*(\?)*$""), """", PROPER(SUBSTITUTE(SUBSTITUTE(G3, ""?"", """"), ""*"", """")))"),"White Metal Lantern")</f>
        <v>White Metal Lantern</v>
      </c>
      <c r="I3" s="3">
        <v>6.0</v>
      </c>
      <c r="J3" s="7">
        <v>40513.35138888889</v>
      </c>
      <c r="K3" s="8" t="str">
        <f t="shared" si="4"/>
        <v>2010-12</v>
      </c>
      <c r="L3" s="5">
        <v>3.39</v>
      </c>
      <c r="M3" s="3">
        <v>17850.0</v>
      </c>
      <c r="N3" s="1" t="str">
        <f t="shared" si="5"/>
        <v>Registered</v>
      </c>
      <c r="O3" s="1" t="s">
        <v>19</v>
      </c>
      <c r="P3" s="9" t="str">
        <f t="shared" si="6"/>
        <v>UK</v>
      </c>
      <c r="Q3" s="8">
        <f t="shared" si="7"/>
        <v>20.34</v>
      </c>
    </row>
    <row r="4">
      <c r="A4" s="1">
        <v>536365.0</v>
      </c>
      <c r="B4" s="1" t="str">
        <f t="shared" si="1"/>
        <v>536365</v>
      </c>
      <c r="C4" s="1" t="str">
        <f t="shared" si="2"/>
        <v>Sale</v>
      </c>
      <c r="D4" s="1" t="s">
        <v>21</v>
      </c>
      <c r="E4" s="1" t="str">
        <f>IFERROR(__xludf.DUMMYFUNCTION("IF(LEN(D4)&gt;4, IFERROR(REGEXEXTRACT(TO_TEXT(D4),""\d+""),""""),"""")"),"84406")</f>
        <v>84406</v>
      </c>
      <c r="F4" s="6" t="str">
        <f t="shared" si="3"/>
        <v>Product</v>
      </c>
      <c r="G4" s="1" t="s">
        <v>22</v>
      </c>
      <c r="H4" s="6" t="str">
        <f>IFERROR(__xludf.DUMMYFUNCTION("IF(REGEXMATCH(LOWER(G4), ""^(\?)+\s*(missing)?\s*(\?)*$""), """", PROPER(SUBSTITUTE(SUBSTITUTE(G4, ""?"", """"), ""*"", """")))"),"Cream Cupid Hearts Coat Hanger")</f>
        <v>Cream Cupid Hearts Coat Hanger</v>
      </c>
      <c r="I4" s="3">
        <v>8.0</v>
      </c>
      <c r="J4" s="7">
        <v>40513.35138888889</v>
      </c>
      <c r="K4" s="8" t="str">
        <f t="shared" si="4"/>
        <v>2010-12</v>
      </c>
      <c r="L4" s="5">
        <v>2.75</v>
      </c>
      <c r="M4" s="3">
        <v>17850.0</v>
      </c>
      <c r="N4" s="1" t="str">
        <f t="shared" si="5"/>
        <v>Registered</v>
      </c>
      <c r="O4" s="1" t="s">
        <v>19</v>
      </c>
      <c r="P4" s="9" t="str">
        <f t="shared" si="6"/>
        <v>UK</v>
      </c>
      <c r="Q4" s="8">
        <f t="shared" si="7"/>
        <v>22</v>
      </c>
    </row>
    <row r="5">
      <c r="A5" s="1">
        <v>536365.0</v>
      </c>
      <c r="B5" s="1" t="str">
        <f t="shared" si="1"/>
        <v>536365</v>
      </c>
      <c r="C5" s="1" t="str">
        <f t="shared" si="2"/>
        <v>Sale</v>
      </c>
      <c r="D5" s="1" t="s">
        <v>23</v>
      </c>
      <c r="E5" s="1" t="str">
        <f>IFERROR(__xludf.DUMMYFUNCTION("IF(LEN(D5)&gt;4, IFERROR(REGEXEXTRACT(TO_TEXT(D5),""\d+""),""""),"""")"),"84029")</f>
        <v>84029</v>
      </c>
      <c r="F5" s="6" t="str">
        <f t="shared" si="3"/>
        <v>Product</v>
      </c>
      <c r="G5" s="1" t="s">
        <v>24</v>
      </c>
      <c r="H5" s="6" t="str">
        <f>IFERROR(__xludf.DUMMYFUNCTION("IF(REGEXMATCH(LOWER(G5), ""^(\?)+\s*(missing)?\s*(\?)*$""), """", PROPER(SUBSTITUTE(SUBSTITUTE(G5, ""?"", """"), ""*"", """")))"),"Knitted Union Flag Hot Water Bottle")</f>
        <v>Knitted Union Flag Hot Water Bottle</v>
      </c>
      <c r="I5" s="3">
        <v>6.0</v>
      </c>
      <c r="J5" s="7">
        <v>40513.35138888889</v>
      </c>
      <c r="K5" s="8" t="str">
        <f t="shared" si="4"/>
        <v>2010-12</v>
      </c>
      <c r="L5" s="5">
        <v>3.39</v>
      </c>
      <c r="M5" s="3">
        <v>17850.0</v>
      </c>
      <c r="N5" s="1" t="str">
        <f t="shared" si="5"/>
        <v>Registered</v>
      </c>
      <c r="O5" s="1" t="s">
        <v>19</v>
      </c>
      <c r="P5" s="9" t="str">
        <f t="shared" si="6"/>
        <v>UK</v>
      </c>
      <c r="Q5" s="8">
        <f t="shared" si="7"/>
        <v>20.34</v>
      </c>
    </row>
    <row r="6">
      <c r="A6" s="1">
        <v>536365.0</v>
      </c>
      <c r="B6" s="1" t="str">
        <f t="shared" si="1"/>
        <v>536365</v>
      </c>
      <c r="C6" s="1" t="str">
        <f t="shared" si="2"/>
        <v>Sale</v>
      </c>
      <c r="D6" s="1" t="s">
        <v>25</v>
      </c>
      <c r="E6" s="1" t="str">
        <f>IFERROR(__xludf.DUMMYFUNCTION("IF(LEN(D6)&gt;4, IFERROR(REGEXEXTRACT(TO_TEXT(D6),""\d+""),""""),"""")"),"84029")</f>
        <v>84029</v>
      </c>
      <c r="F6" s="6" t="str">
        <f t="shared" si="3"/>
        <v>Product</v>
      </c>
      <c r="G6" s="1" t="s">
        <v>26</v>
      </c>
      <c r="H6" s="6" t="str">
        <f>IFERROR(__xludf.DUMMYFUNCTION("IF(REGEXMATCH(LOWER(G6), ""^(\?)+\s*(missing)?\s*(\?)*$""), """", PROPER(SUBSTITUTE(SUBSTITUTE(G6, ""?"", """"), ""*"", """")))"),"Red Woolly Hottie White Heart.")</f>
        <v>Red Woolly Hottie White Heart.</v>
      </c>
      <c r="I6" s="3">
        <v>6.0</v>
      </c>
      <c r="J6" s="7">
        <v>40513.35138888889</v>
      </c>
      <c r="K6" s="8" t="str">
        <f t="shared" si="4"/>
        <v>2010-12</v>
      </c>
      <c r="L6" s="5">
        <v>3.39</v>
      </c>
      <c r="M6" s="3">
        <v>17850.0</v>
      </c>
      <c r="N6" s="1" t="str">
        <f t="shared" si="5"/>
        <v>Registered</v>
      </c>
      <c r="O6" s="1" t="s">
        <v>19</v>
      </c>
      <c r="P6" s="9" t="str">
        <f t="shared" si="6"/>
        <v>UK</v>
      </c>
      <c r="Q6" s="8">
        <f t="shared" si="7"/>
        <v>20.34</v>
      </c>
    </row>
    <row r="7">
      <c r="A7" s="1">
        <v>536365.0</v>
      </c>
      <c r="B7" s="1" t="str">
        <f t="shared" si="1"/>
        <v>536365</v>
      </c>
      <c r="C7" s="1" t="str">
        <f t="shared" si="2"/>
        <v>Sale</v>
      </c>
      <c r="D7" s="1">
        <v>22752.0</v>
      </c>
      <c r="E7" s="1" t="str">
        <f>IFERROR(__xludf.DUMMYFUNCTION("IF(LEN(D7)&gt;4, IFERROR(REGEXEXTRACT(TO_TEXT(D7),""\d+""),""""),"""")"),"22752")</f>
        <v>22752</v>
      </c>
      <c r="F7" s="6" t="str">
        <f t="shared" si="3"/>
        <v>Product</v>
      </c>
      <c r="G7" s="1" t="s">
        <v>27</v>
      </c>
      <c r="H7" s="6" t="str">
        <f>IFERROR(__xludf.DUMMYFUNCTION("IF(REGEXMATCH(LOWER(G7), ""^(\?)+\s*(missing)?\s*(\?)*$""), """", PROPER(SUBSTITUTE(SUBSTITUTE(G7, ""?"", """"), ""*"", """")))"),"Set 7 Babushka Nesting Boxes")</f>
        <v>Set 7 Babushka Nesting Boxes</v>
      </c>
      <c r="I7" s="3">
        <v>2.0</v>
      </c>
      <c r="J7" s="7">
        <v>40513.35138888889</v>
      </c>
      <c r="K7" s="8" t="str">
        <f t="shared" si="4"/>
        <v>2010-12</v>
      </c>
      <c r="L7" s="5">
        <v>7.65</v>
      </c>
      <c r="M7" s="3">
        <v>17850.0</v>
      </c>
      <c r="N7" s="1" t="str">
        <f t="shared" si="5"/>
        <v>Registered</v>
      </c>
      <c r="O7" s="1" t="s">
        <v>19</v>
      </c>
      <c r="P7" s="9" t="str">
        <f t="shared" si="6"/>
        <v>UK</v>
      </c>
      <c r="Q7" s="8">
        <f t="shared" si="7"/>
        <v>15.3</v>
      </c>
    </row>
    <row r="8">
      <c r="A8" s="1">
        <v>536365.0</v>
      </c>
      <c r="B8" s="1" t="str">
        <f t="shared" si="1"/>
        <v>536365</v>
      </c>
      <c r="C8" s="1" t="str">
        <f t="shared" si="2"/>
        <v>Sale</v>
      </c>
      <c r="D8" s="1">
        <v>21730.0</v>
      </c>
      <c r="E8" s="1" t="str">
        <f>IFERROR(__xludf.DUMMYFUNCTION("IF(LEN(D8)&gt;4, IFERROR(REGEXEXTRACT(TO_TEXT(D8),""\d+""),""""),"""")"),"21730")</f>
        <v>21730</v>
      </c>
      <c r="F8" s="6" t="str">
        <f t="shared" si="3"/>
        <v>Product</v>
      </c>
      <c r="G8" s="1" t="s">
        <v>28</v>
      </c>
      <c r="H8" s="6" t="str">
        <f>IFERROR(__xludf.DUMMYFUNCTION("IF(REGEXMATCH(LOWER(G8), ""^(\?)+\s*(missing)?\s*(\?)*$""), """", PROPER(SUBSTITUTE(SUBSTITUTE(G8, ""?"", """"), ""*"", """")))"),"Glass Star Frosted T-Light Holder")</f>
        <v>Glass Star Frosted T-Light Holder</v>
      </c>
      <c r="I8" s="3">
        <v>6.0</v>
      </c>
      <c r="J8" s="7">
        <v>40513.35138888889</v>
      </c>
      <c r="K8" s="8" t="str">
        <f t="shared" si="4"/>
        <v>2010-12</v>
      </c>
      <c r="L8" s="5">
        <v>4.25</v>
      </c>
      <c r="M8" s="3">
        <v>17850.0</v>
      </c>
      <c r="N8" s="1" t="str">
        <f t="shared" si="5"/>
        <v>Registered</v>
      </c>
      <c r="O8" s="1" t="s">
        <v>19</v>
      </c>
      <c r="P8" s="9" t="str">
        <f t="shared" si="6"/>
        <v>UK</v>
      </c>
      <c r="Q8" s="8">
        <f t="shared" si="7"/>
        <v>25.5</v>
      </c>
    </row>
    <row r="9">
      <c r="A9" s="1">
        <v>536366.0</v>
      </c>
      <c r="B9" s="1" t="str">
        <f t="shared" si="1"/>
        <v>536366</v>
      </c>
      <c r="C9" s="1" t="str">
        <f t="shared" si="2"/>
        <v>Sale</v>
      </c>
      <c r="D9" s="1">
        <v>22633.0</v>
      </c>
      <c r="E9" s="1" t="str">
        <f>IFERROR(__xludf.DUMMYFUNCTION("IF(LEN(D9)&gt;4, IFERROR(REGEXEXTRACT(TO_TEXT(D9),""\d+""),""""),"""")"),"22633")</f>
        <v>22633</v>
      </c>
      <c r="F9" s="6" t="str">
        <f t="shared" si="3"/>
        <v>Product</v>
      </c>
      <c r="G9" s="1" t="s">
        <v>29</v>
      </c>
      <c r="H9" s="6" t="str">
        <f>IFERROR(__xludf.DUMMYFUNCTION("IF(REGEXMATCH(LOWER(G9), ""^(\?)+\s*(missing)?\s*(\?)*$""), """", PROPER(SUBSTITUTE(SUBSTITUTE(G9, ""?"", """"), ""*"", """")))"),"Hand Warmer Union Jack")</f>
        <v>Hand Warmer Union Jack</v>
      </c>
      <c r="I9" s="3">
        <v>6.0</v>
      </c>
      <c r="J9" s="7">
        <v>40513.35277777778</v>
      </c>
      <c r="K9" s="8" t="str">
        <f t="shared" si="4"/>
        <v>2010-12</v>
      </c>
      <c r="L9" s="5">
        <v>1.85</v>
      </c>
      <c r="M9" s="3">
        <v>17850.0</v>
      </c>
      <c r="N9" s="1" t="str">
        <f t="shared" si="5"/>
        <v>Registered</v>
      </c>
      <c r="O9" s="1" t="s">
        <v>19</v>
      </c>
      <c r="P9" s="9" t="str">
        <f t="shared" si="6"/>
        <v>UK</v>
      </c>
      <c r="Q9" s="8">
        <f t="shared" si="7"/>
        <v>11.1</v>
      </c>
    </row>
    <row r="10">
      <c r="A10" s="1">
        <v>536366.0</v>
      </c>
      <c r="B10" s="1" t="str">
        <f t="shared" si="1"/>
        <v>536366</v>
      </c>
      <c r="C10" s="1" t="str">
        <f t="shared" si="2"/>
        <v>Sale</v>
      </c>
      <c r="D10" s="1">
        <v>22632.0</v>
      </c>
      <c r="E10" s="1" t="str">
        <f>IFERROR(__xludf.DUMMYFUNCTION("IF(LEN(D10)&gt;4, IFERROR(REGEXEXTRACT(TO_TEXT(D10),""\d+""),""""),"""")"),"22632")</f>
        <v>22632</v>
      </c>
      <c r="F10" s="6" t="str">
        <f t="shared" si="3"/>
        <v>Product</v>
      </c>
      <c r="G10" s="1" t="s">
        <v>30</v>
      </c>
      <c r="H10" s="6" t="str">
        <f>IFERROR(__xludf.DUMMYFUNCTION("IF(REGEXMATCH(LOWER(G10), ""^(\?)+\s*(missing)?\s*(\?)*$""), """", PROPER(SUBSTITUTE(SUBSTITUTE(G10, ""?"", """"), ""*"", """")))"),"Hand Warmer Red Polka Dot")</f>
        <v>Hand Warmer Red Polka Dot</v>
      </c>
      <c r="I10" s="3">
        <v>6.0</v>
      </c>
      <c r="J10" s="7">
        <v>40513.35277777778</v>
      </c>
      <c r="K10" s="8" t="str">
        <f t="shared" si="4"/>
        <v>2010-12</v>
      </c>
      <c r="L10" s="5">
        <v>1.85</v>
      </c>
      <c r="M10" s="3">
        <v>17850.0</v>
      </c>
      <c r="N10" s="1" t="str">
        <f t="shared" si="5"/>
        <v>Registered</v>
      </c>
      <c r="O10" s="1" t="s">
        <v>19</v>
      </c>
      <c r="P10" s="9" t="str">
        <f t="shared" si="6"/>
        <v>UK</v>
      </c>
      <c r="Q10" s="8">
        <f t="shared" si="7"/>
        <v>11.1</v>
      </c>
    </row>
    <row r="11">
      <c r="A11" s="1">
        <v>536367.0</v>
      </c>
      <c r="B11" s="1" t="str">
        <f t="shared" si="1"/>
        <v>536367</v>
      </c>
      <c r="C11" s="1" t="str">
        <f t="shared" si="2"/>
        <v>Sale</v>
      </c>
      <c r="D11" s="1">
        <v>84879.0</v>
      </c>
      <c r="E11" s="1" t="str">
        <f>IFERROR(__xludf.DUMMYFUNCTION("IF(LEN(D11)&gt;4, IFERROR(REGEXEXTRACT(TO_TEXT(D11),""\d+""),""""),"""")"),"84879")</f>
        <v>84879</v>
      </c>
      <c r="F11" s="6" t="str">
        <f t="shared" si="3"/>
        <v>Product</v>
      </c>
      <c r="G11" s="1" t="s">
        <v>31</v>
      </c>
      <c r="H11" s="6" t="str">
        <f>IFERROR(__xludf.DUMMYFUNCTION("IF(REGEXMATCH(LOWER(G11), ""^(\?)+\s*(missing)?\s*(\?)*$""), """", PROPER(SUBSTITUTE(SUBSTITUTE(G11, ""?"", """"), ""*"", """")))"),"Assorted Colour Bird Ornament")</f>
        <v>Assorted Colour Bird Ornament</v>
      </c>
      <c r="I11" s="3">
        <v>32.0</v>
      </c>
      <c r="J11" s="7">
        <v>40513.356944444444</v>
      </c>
      <c r="K11" s="8" t="str">
        <f t="shared" si="4"/>
        <v>2010-12</v>
      </c>
      <c r="L11" s="5">
        <v>1.69</v>
      </c>
      <c r="M11" s="3">
        <v>13047.0</v>
      </c>
      <c r="N11" s="1" t="str">
        <f t="shared" si="5"/>
        <v>Registered</v>
      </c>
      <c r="O11" s="1" t="s">
        <v>19</v>
      </c>
      <c r="P11" s="9" t="str">
        <f t="shared" si="6"/>
        <v>UK</v>
      </c>
      <c r="Q11" s="8">
        <f t="shared" si="7"/>
        <v>54.08</v>
      </c>
    </row>
    <row r="12">
      <c r="A12" s="1">
        <v>536367.0</v>
      </c>
      <c r="B12" s="1" t="str">
        <f t="shared" si="1"/>
        <v>536367</v>
      </c>
      <c r="C12" s="1" t="str">
        <f t="shared" si="2"/>
        <v>Sale</v>
      </c>
      <c r="D12" s="1">
        <v>22745.0</v>
      </c>
      <c r="E12" s="1" t="str">
        <f>IFERROR(__xludf.DUMMYFUNCTION("IF(LEN(D12)&gt;4, IFERROR(REGEXEXTRACT(TO_TEXT(D12),""\d+""),""""),"""")"),"22745")</f>
        <v>22745</v>
      </c>
      <c r="F12" s="6" t="str">
        <f t="shared" si="3"/>
        <v>Product</v>
      </c>
      <c r="G12" s="1" t="s">
        <v>32</v>
      </c>
      <c r="H12" s="6" t="str">
        <f>IFERROR(__xludf.DUMMYFUNCTION("IF(REGEXMATCH(LOWER(G12), ""^(\?)+\s*(missing)?\s*(\?)*$""), """", PROPER(SUBSTITUTE(SUBSTITUTE(G12, ""?"", """"), ""*"", """")))"),"Poppy'S Playhouse Bedroom")</f>
        <v>Poppy'S Playhouse Bedroom</v>
      </c>
      <c r="I12" s="3">
        <v>6.0</v>
      </c>
      <c r="J12" s="7">
        <v>40513.356944444444</v>
      </c>
      <c r="K12" s="8" t="str">
        <f t="shared" si="4"/>
        <v>2010-12</v>
      </c>
      <c r="L12" s="5">
        <v>2.1</v>
      </c>
      <c r="M12" s="3">
        <v>13047.0</v>
      </c>
      <c r="N12" s="1" t="str">
        <f t="shared" si="5"/>
        <v>Registered</v>
      </c>
      <c r="O12" s="1" t="s">
        <v>19</v>
      </c>
      <c r="P12" s="9" t="str">
        <f t="shared" si="6"/>
        <v>UK</v>
      </c>
      <c r="Q12" s="8">
        <f t="shared" si="7"/>
        <v>12.6</v>
      </c>
    </row>
    <row r="13">
      <c r="A13" s="1">
        <v>536367.0</v>
      </c>
      <c r="B13" s="1" t="str">
        <f t="shared" si="1"/>
        <v>536367</v>
      </c>
      <c r="C13" s="1" t="str">
        <f t="shared" si="2"/>
        <v>Sale</v>
      </c>
      <c r="D13" s="1">
        <v>22748.0</v>
      </c>
      <c r="E13" s="1" t="str">
        <f>IFERROR(__xludf.DUMMYFUNCTION("IF(LEN(D13)&gt;4, IFERROR(REGEXEXTRACT(TO_TEXT(D13),""\d+""),""""),"""")"),"22748")</f>
        <v>22748</v>
      </c>
      <c r="F13" s="6" t="str">
        <f t="shared" si="3"/>
        <v>Product</v>
      </c>
      <c r="G13" s="1" t="s">
        <v>33</v>
      </c>
      <c r="H13" s="6" t="str">
        <f>IFERROR(__xludf.DUMMYFUNCTION("IF(REGEXMATCH(LOWER(G13), ""^(\?)+\s*(missing)?\s*(\?)*$""), """", PROPER(SUBSTITUTE(SUBSTITUTE(G13, ""?"", """"), ""*"", """")))"),"Poppy'S Playhouse Kitchen")</f>
        <v>Poppy'S Playhouse Kitchen</v>
      </c>
      <c r="I13" s="3">
        <v>6.0</v>
      </c>
      <c r="J13" s="7">
        <v>40513.356944444444</v>
      </c>
      <c r="K13" s="8" t="str">
        <f t="shared" si="4"/>
        <v>2010-12</v>
      </c>
      <c r="L13" s="5">
        <v>2.1</v>
      </c>
      <c r="M13" s="3">
        <v>13047.0</v>
      </c>
      <c r="N13" s="1" t="str">
        <f t="shared" si="5"/>
        <v>Registered</v>
      </c>
      <c r="O13" s="1" t="s">
        <v>19</v>
      </c>
      <c r="P13" s="9" t="str">
        <f t="shared" si="6"/>
        <v>UK</v>
      </c>
      <c r="Q13" s="8">
        <f t="shared" si="7"/>
        <v>12.6</v>
      </c>
    </row>
    <row r="14">
      <c r="A14" s="1">
        <v>536367.0</v>
      </c>
      <c r="B14" s="1" t="str">
        <f t="shared" si="1"/>
        <v>536367</v>
      </c>
      <c r="C14" s="1" t="str">
        <f t="shared" si="2"/>
        <v>Sale</v>
      </c>
      <c r="D14" s="1">
        <v>22749.0</v>
      </c>
      <c r="E14" s="1" t="str">
        <f>IFERROR(__xludf.DUMMYFUNCTION("IF(LEN(D14)&gt;4, IFERROR(REGEXEXTRACT(TO_TEXT(D14),""\d+""),""""),"""")"),"22749")</f>
        <v>22749</v>
      </c>
      <c r="F14" s="6" t="str">
        <f t="shared" si="3"/>
        <v>Product</v>
      </c>
      <c r="G14" s="1" t="s">
        <v>34</v>
      </c>
      <c r="H14" s="6" t="str">
        <f>IFERROR(__xludf.DUMMYFUNCTION("IF(REGEXMATCH(LOWER(G14), ""^(\?)+\s*(missing)?\s*(\?)*$""), """", PROPER(SUBSTITUTE(SUBSTITUTE(G14, ""?"", """"), ""*"", """")))"),"Feltcraft Princess Charlotte Doll")</f>
        <v>Feltcraft Princess Charlotte Doll</v>
      </c>
      <c r="I14" s="3">
        <v>8.0</v>
      </c>
      <c r="J14" s="7">
        <v>40513.356944444444</v>
      </c>
      <c r="K14" s="8" t="str">
        <f t="shared" si="4"/>
        <v>2010-12</v>
      </c>
      <c r="L14" s="5">
        <v>3.75</v>
      </c>
      <c r="M14" s="3">
        <v>13047.0</v>
      </c>
      <c r="N14" s="1" t="str">
        <f t="shared" si="5"/>
        <v>Registered</v>
      </c>
      <c r="O14" s="1" t="s">
        <v>19</v>
      </c>
      <c r="P14" s="9" t="str">
        <f t="shared" si="6"/>
        <v>UK</v>
      </c>
      <c r="Q14" s="8">
        <f t="shared" si="7"/>
        <v>30</v>
      </c>
    </row>
    <row r="15">
      <c r="A15" s="1">
        <v>536367.0</v>
      </c>
      <c r="B15" s="1" t="str">
        <f t="shared" si="1"/>
        <v>536367</v>
      </c>
      <c r="C15" s="1" t="str">
        <f t="shared" si="2"/>
        <v>Sale</v>
      </c>
      <c r="D15" s="1">
        <v>22310.0</v>
      </c>
      <c r="E15" s="1" t="str">
        <f>IFERROR(__xludf.DUMMYFUNCTION("IF(LEN(D15)&gt;4, IFERROR(REGEXEXTRACT(TO_TEXT(D15),""\d+""),""""),"""")"),"22310")</f>
        <v>22310</v>
      </c>
      <c r="F15" s="6" t="str">
        <f t="shared" si="3"/>
        <v>Product</v>
      </c>
      <c r="G15" s="1" t="s">
        <v>35</v>
      </c>
      <c r="H15" s="6" t="str">
        <f>IFERROR(__xludf.DUMMYFUNCTION("IF(REGEXMATCH(LOWER(G15), ""^(\?)+\s*(missing)?\s*(\?)*$""), """", PROPER(SUBSTITUTE(SUBSTITUTE(G15, ""?"", """"), ""*"", """")))"),"Ivory Knitted Mug Cosy")</f>
        <v>Ivory Knitted Mug Cosy</v>
      </c>
      <c r="I15" s="3">
        <v>6.0</v>
      </c>
      <c r="J15" s="7">
        <v>40513.356944444444</v>
      </c>
      <c r="K15" s="8" t="str">
        <f t="shared" si="4"/>
        <v>2010-12</v>
      </c>
      <c r="L15" s="5">
        <v>1.65</v>
      </c>
      <c r="M15" s="3">
        <v>13047.0</v>
      </c>
      <c r="N15" s="1" t="str">
        <f t="shared" si="5"/>
        <v>Registered</v>
      </c>
      <c r="O15" s="1" t="s">
        <v>19</v>
      </c>
      <c r="P15" s="9" t="str">
        <f t="shared" si="6"/>
        <v>UK</v>
      </c>
      <c r="Q15" s="8">
        <f t="shared" si="7"/>
        <v>9.9</v>
      </c>
    </row>
    <row r="16">
      <c r="A16" s="1">
        <v>536367.0</v>
      </c>
      <c r="B16" s="1" t="str">
        <f t="shared" si="1"/>
        <v>536367</v>
      </c>
      <c r="C16" s="1" t="str">
        <f t="shared" si="2"/>
        <v>Sale</v>
      </c>
      <c r="D16" s="1">
        <v>84969.0</v>
      </c>
      <c r="E16" s="1" t="str">
        <f>IFERROR(__xludf.DUMMYFUNCTION("IF(LEN(D16)&gt;4, IFERROR(REGEXEXTRACT(TO_TEXT(D16),""\d+""),""""),"""")"),"84969")</f>
        <v>84969</v>
      </c>
      <c r="F16" s="6" t="str">
        <f t="shared" si="3"/>
        <v>Product</v>
      </c>
      <c r="G16" s="1" t="s">
        <v>36</v>
      </c>
      <c r="H16" s="6" t="str">
        <f>IFERROR(__xludf.DUMMYFUNCTION("IF(REGEXMATCH(LOWER(G16), ""^(\?)+\s*(missing)?\s*(\?)*$""), """", PROPER(SUBSTITUTE(SUBSTITUTE(G16, ""?"", """"), ""*"", """")))"),"Box Of 6 Assorted Colour Teaspoons")</f>
        <v>Box Of 6 Assorted Colour Teaspoons</v>
      </c>
      <c r="I16" s="3">
        <v>6.0</v>
      </c>
      <c r="J16" s="7">
        <v>40513.356944444444</v>
      </c>
      <c r="K16" s="8" t="str">
        <f t="shared" si="4"/>
        <v>2010-12</v>
      </c>
      <c r="L16" s="5">
        <v>4.25</v>
      </c>
      <c r="M16" s="3">
        <v>13047.0</v>
      </c>
      <c r="N16" s="1" t="str">
        <f t="shared" si="5"/>
        <v>Registered</v>
      </c>
      <c r="O16" s="1" t="s">
        <v>19</v>
      </c>
      <c r="P16" s="9" t="str">
        <f t="shared" si="6"/>
        <v>UK</v>
      </c>
      <c r="Q16" s="8">
        <f t="shared" si="7"/>
        <v>25.5</v>
      </c>
    </row>
    <row r="17">
      <c r="A17" s="1">
        <v>536367.0</v>
      </c>
      <c r="B17" s="1" t="str">
        <f t="shared" si="1"/>
        <v>536367</v>
      </c>
      <c r="C17" s="1" t="str">
        <f t="shared" si="2"/>
        <v>Sale</v>
      </c>
      <c r="D17" s="1">
        <v>22623.0</v>
      </c>
      <c r="E17" s="1" t="str">
        <f>IFERROR(__xludf.DUMMYFUNCTION("IF(LEN(D17)&gt;4, IFERROR(REGEXEXTRACT(TO_TEXT(D17),""\d+""),""""),"""")"),"22623")</f>
        <v>22623</v>
      </c>
      <c r="F17" s="6" t="str">
        <f t="shared" si="3"/>
        <v>Product</v>
      </c>
      <c r="G17" s="1" t="s">
        <v>37</v>
      </c>
      <c r="H17" s="6" t="str">
        <f>IFERROR(__xludf.DUMMYFUNCTION("IF(REGEXMATCH(LOWER(G17), ""^(\?)+\s*(missing)?\s*(\?)*$""), """", PROPER(SUBSTITUTE(SUBSTITUTE(G17, ""?"", """"), ""*"", """")))"),"Box Of Vintage Jigsaw Blocks")</f>
        <v>Box Of Vintage Jigsaw Blocks</v>
      </c>
      <c r="I17" s="3">
        <v>3.0</v>
      </c>
      <c r="J17" s="7">
        <v>40513.356944444444</v>
      </c>
      <c r="K17" s="8" t="str">
        <f t="shared" si="4"/>
        <v>2010-12</v>
      </c>
      <c r="L17" s="5">
        <v>4.95</v>
      </c>
      <c r="M17" s="3">
        <v>13047.0</v>
      </c>
      <c r="N17" s="1" t="str">
        <f t="shared" si="5"/>
        <v>Registered</v>
      </c>
      <c r="O17" s="1" t="s">
        <v>19</v>
      </c>
      <c r="P17" s="9" t="str">
        <f t="shared" si="6"/>
        <v>UK</v>
      </c>
      <c r="Q17" s="8">
        <f t="shared" si="7"/>
        <v>14.85</v>
      </c>
    </row>
    <row r="18">
      <c r="A18" s="1">
        <v>536367.0</v>
      </c>
      <c r="B18" s="1" t="str">
        <f t="shared" si="1"/>
        <v>536367</v>
      </c>
      <c r="C18" s="1" t="str">
        <f t="shared" si="2"/>
        <v>Sale</v>
      </c>
      <c r="D18" s="1">
        <v>22622.0</v>
      </c>
      <c r="E18" s="1" t="str">
        <f>IFERROR(__xludf.DUMMYFUNCTION("IF(LEN(D18)&gt;4, IFERROR(REGEXEXTRACT(TO_TEXT(D18),""\d+""),""""),"""")"),"22622")</f>
        <v>22622</v>
      </c>
      <c r="F18" s="6" t="str">
        <f t="shared" si="3"/>
        <v>Product</v>
      </c>
      <c r="G18" s="1" t="s">
        <v>38</v>
      </c>
      <c r="H18" s="6" t="str">
        <f>IFERROR(__xludf.DUMMYFUNCTION("IF(REGEXMATCH(LOWER(G18), ""^(\?)+\s*(missing)?\s*(\?)*$""), """", PROPER(SUBSTITUTE(SUBSTITUTE(G18, ""?"", """"), ""*"", """")))"),"Box Of Vintage Alphabet Blocks")</f>
        <v>Box Of Vintage Alphabet Blocks</v>
      </c>
      <c r="I18" s="3">
        <v>2.0</v>
      </c>
      <c r="J18" s="7">
        <v>40513.356944444444</v>
      </c>
      <c r="K18" s="8" t="str">
        <f t="shared" si="4"/>
        <v>2010-12</v>
      </c>
      <c r="L18" s="5">
        <v>9.95</v>
      </c>
      <c r="M18" s="3">
        <v>13047.0</v>
      </c>
      <c r="N18" s="1" t="str">
        <f t="shared" si="5"/>
        <v>Registered</v>
      </c>
      <c r="O18" s="1" t="s">
        <v>19</v>
      </c>
      <c r="P18" s="9" t="str">
        <f t="shared" si="6"/>
        <v>UK</v>
      </c>
      <c r="Q18" s="8">
        <f t="shared" si="7"/>
        <v>19.9</v>
      </c>
    </row>
    <row r="19">
      <c r="A19" s="1">
        <v>536367.0</v>
      </c>
      <c r="B19" s="1" t="str">
        <f t="shared" si="1"/>
        <v>536367</v>
      </c>
      <c r="C19" s="1" t="str">
        <f t="shared" si="2"/>
        <v>Sale</v>
      </c>
      <c r="D19" s="1">
        <v>21754.0</v>
      </c>
      <c r="E19" s="1" t="str">
        <f>IFERROR(__xludf.DUMMYFUNCTION("IF(LEN(D19)&gt;4, IFERROR(REGEXEXTRACT(TO_TEXT(D19),""\d+""),""""),"""")"),"21754")</f>
        <v>21754</v>
      </c>
      <c r="F19" s="6" t="str">
        <f t="shared" si="3"/>
        <v>Product</v>
      </c>
      <c r="G19" s="1" t="s">
        <v>39</v>
      </c>
      <c r="H19" s="6" t="str">
        <f>IFERROR(__xludf.DUMMYFUNCTION("IF(REGEXMATCH(LOWER(G19), ""^(\?)+\s*(missing)?\s*(\?)*$""), """", PROPER(SUBSTITUTE(SUBSTITUTE(G19, ""?"", """"), ""*"", """")))"),"Home Building Block Word")</f>
        <v>Home Building Block Word</v>
      </c>
      <c r="I19" s="3">
        <v>3.0</v>
      </c>
      <c r="J19" s="7">
        <v>40513.356944444444</v>
      </c>
      <c r="K19" s="8" t="str">
        <f t="shared" si="4"/>
        <v>2010-12</v>
      </c>
      <c r="L19" s="5">
        <v>5.95</v>
      </c>
      <c r="M19" s="3">
        <v>13047.0</v>
      </c>
      <c r="N19" s="1" t="str">
        <f t="shared" si="5"/>
        <v>Registered</v>
      </c>
      <c r="O19" s="1" t="s">
        <v>19</v>
      </c>
      <c r="P19" s="9" t="str">
        <f t="shared" si="6"/>
        <v>UK</v>
      </c>
      <c r="Q19" s="8">
        <f t="shared" si="7"/>
        <v>17.85</v>
      </c>
    </row>
    <row r="20">
      <c r="A20" s="1">
        <v>536367.0</v>
      </c>
      <c r="B20" s="1" t="str">
        <f t="shared" si="1"/>
        <v>536367</v>
      </c>
      <c r="C20" s="1" t="str">
        <f t="shared" si="2"/>
        <v>Sale</v>
      </c>
      <c r="D20" s="1">
        <v>21755.0</v>
      </c>
      <c r="E20" s="1" t="str">
        <f>IFERROR(__xludf.DUMMYFUNCTION("IF(LEN(D20)&gt;4, IFERROR(REGEXEXTRACT(TO_TEXT(D20),""\d+""),""""),"""")"),"21755")</f>
        <v>21755</v>
      </c>
      <c r="F20" s="6" t="str">
        <f t="shared" si="3"/>
        <v>Product</v>
      </c>
      <c r="G20" s="1" t="s">
        <v>40</v>
      </c>
      <c r="H20" s="6" t="str">
        <f>IFERROR(__xludf.DUMMYFUNCTION("IF(REGEXMATCH(LOWER(G20), ""^(\?)+\s*(missing)?\s*(\?)*$""), """", PROPER(SUBSTITUTE(SUBSTITUTE(G20, ""?"", """"), ""*"", """")))"),"Love Building Block Word")</f>
        <v>Love Building Block Word</v>
      </c>
      <c r="I20" s="3">
        <v>3.0</v>
      </c>
      <c r="J20" s="7">
        <v>40513.356944444444</v>
      </c>
      <c r="K20" s="8" t="str">
        <f t="shared" si="4"/>
        <v>2010-12</v>
      </c>
      <c r="L20" s="5">
        <v>5.95</v>
      </c>
      <c r="M20" s="3">
        <v>13047.0</v>
      </c>
      <c r="N20" s="1" t="str">
        <f t="shared" si="5"/>
        <v>Registered</v>
      </c>
      <c r="O20" s="1" t="s">
        <v>19</v>
      </c>
      <c r="P20" s="9" t="str">
        <f t="shared" si="6"/>
        <v>UK</v>
      </c>
      <c r="Q20" s="8">
        <f t="shared" si="7"/>
        <v>17.85</v>
      </c>
    </row>
    <row r="21">
      <c r="A21" s="1">
        <v>536367.0</v>
      </c>
      <c r="B21" s="1" t="str">
        <f t="shared" si="1"/>
        <v>536367</v>
      </c>
      <c r="C21" s="1" t="str">
        <f t="shared" si="2"/>
        <v>Sale</v>
      </c>
      <c r="D21" s="1">
        <v>21777.0</v>
      </c>
      <c r="E21" s="1" t="str">
        <f>IFERROR(__xludf.DUMMYFUNCTION("IF(LEN(D21)&gt;4, IFERROR(REGEXEXTRACT(TO_TEXT(D21),""\d+""),""""),"""")"),"21777")</f>
        <v>21777</v>
      </c>
      <c r="F21" s="6" t="str">
        <f t="shared" si="3"/>
        <v>Product</v>
      </c>
      <c r="G21" s="1" t="s">
        <v>41</v>
      </c>
      <c r="H21" s="6" t="str">
        <f>IFERROR(__xludf.DUMMYFUNCTION("IF(REGEXMATCH(LOWER(G21), ""^(\?)+\s*(missing)?\s*(\?)*$""), """", PROPER(SUBSTITUTE(SUBSTITUTE(G21, ""?"", """"), ""*"", """")))"),"Recipe Box With Metal Heart")</f>
        <v>Recipe Box With Metal Heart</v>
      </c>
      <c r="I21" s="3">
        <v>4.0</v>
      </c>
      <c r="J21" s="7">
        <v>40513.356944444444</v>
      </c>
      <c r="K21" s="8" t="str">
        <f t="shared" si="4"/>
        <v>2010-12</v>
      </c>
      <c r="L21" s="5">
        <v>7.95</v>
      </c>
      <c r="M21" s="3">
        <v>13047.0</v>
      </c>
      <c r="N21" s="1" t="str">
        <f t="shared" si="5"/>
        <v>Registered</v>
      </c>
      <c r="O21" s="1" t="s">
        <v>19</v>
      </c>
      <c r="P21" s="9" t="str">
        <f t="shared" si="6"/>
        <v>UK</v>
      </c>
      <c r="Q21" s="8">
        <f t="shared" si="7"/>
        <v>31.8</v>
      </c>
    </row>
    <row r="22">
      <c r="A22" s="1">
        <v>536367.0</v>
      </c>
      <c r="B22" s="1" t="str">
        <f t="shared" si="1"/>
        <v>536367</v>
      </c>
      <c r="C22" s="1" t="str">
        <f t="shared" si="2"/>
        <v>Sale</v>
      </c>
      <c r="D22" s="1">
        <v>48187.0</v>
      </c>
      <c r="E22" s="1" t="str">
        <f>IFERROR(__xludf.DUMMYFUNCTION("IF(LEN(D22)&gt;4, IFERROR(REGEXEXTRACT(TO_TEXT(D22),""\d+""),""""),"""")"),"48187")</f>
        <v>48187</v>
      </c>
      <c r="F22" s="6" t="str">
        <f t="shared" si="3"/>
        <v>Product</v>
      </c>
      <c r="G22" s="1" t="s">
        <v>42</v>
      </c>
      <c r="H22" s="6" t="str">
        <f>IFERROR(__xludf.DUMMYFUNCTION("IF(REGEXMATCH(LOWER(G22), ""^(\?)+\s*(missing)?\s*(\?)*$""), """", PROPER(SUBSTITUTE(SUBSTITUTE(G22, ""?"", """"), ""*"", """")))"),"Doormat New England")</f>
        <v>Doormat New England</v>
      </c>
      <c r="I22" s="3">
        <v>4.0</v>
      </c>
      <c r="J22" s="7">
        <v>40513.356944444444</v>
      </c>
      <c r="K22" s="8" t="str">
        <f t="shared" si="4"/>
        <v>2010-12</v>
      </c>
      <c r="L22" s="5">
        <v>7.95</v>
      </c>
      <c r="M22" s="3">
        <v>13047.0</v>
      </c>
      <c r="N22" s="1" t="str">
        <f t="shared" si="5"/>
        <v>Registered</v>
      </c>
      <c r="O22" s="1" t="s">
        <v>19</v>
      </c>
      <c r="P22" s="9" t="str">
        <f t="shared" si="6"/>
        <v>UK</v>
      </c>
      <c r="Q22" s="8">
        <f t="shared" si="7"/>
        <v>31.8</v>
      </c>
    </row>
    <row r="23">
      <c r="A23" s="1">
        <v>536368.0</v>
      </c>
      <c r="B23" s="1" t="str">
        <f t="shared" si="1"/>
        <v>536368</v>
      </c>
      <c r="C23" s="1" t="str">
        <f t="shared" si="2"/>
        <v>Sale</v>
      </c>
      <c r="D23" s="1">
        <v>22960.0</v>
      </c>
      <c r="E23" s="1" t="str">
        <f>IFERROR(__xludf.DUMMYFUNCTION("IF(LEN(D23)&gt;4, IFERROR(REGEXEXTRACT(TO_TEXT(D23),""\d+""),""""),"""")"),"22960")</f>
        <v>22960</v>
      </c>
      <c r="F23" s="6" t="str">
        <f t="shared" si="3"/>
        <v>Product</v>
      </c>
      <c r="G23" s="1" t="s">
        <v>43</v>
      </c>
      <c r="H23" s="6" t="str">
        <f>IFERROR(__xludf.DUMMYFUNCTION("IF(REGEXMATCH(LOWER(G23), ""^(\?)+\s*(missing)?\s*(\?)*$""), """", PROPER(SUBSTITUTE(SUBSTITUTE(G23, ""?"", """"), ""*"", """")))"),"Jam Making Set With Jars")</f>
        <v>Jam Making Set With Jars</v>
      </c>
      <c r="I23" s="3">
        <v>6.0</v>
      </c>
      <c r="J23" s="7">
        <v>40513.356944444444</v>
      </c>
      <c r="K23" s="8" t="str">
        <f t="shared" si="4"/>
        <v>2010-12</v>
      </c>
      <c r="L23" s="5">
        <v>4.25</v>
      </c>
      <c r="M23" s="3">
        <v>13047.0</v>
      </c>
      <c r="N23" s="1" t="str">
        <f t="shared" si="5"/>
        <v>Registered</v>
      </c>
      <c r="O23" s="1" t="s">
        <v>19</v>
      </c>
      <c r="P23" s="9" t="str">
        <f t="shared" si="6"/>
        <v>UK</v>
      </c>
      <c r="Q23" s="8">
        <f t="shared" si="7"/>
        <v>25.5</v>
      </c>
    </row>
    <row r="24">
      <c r="A24" s="1">
        <v>536368.0</v>
      </c>
      <c r="B24" s="1" t="str">
        <f t="shared" si="1"/>
        <v>536368</v>
      </c>
      <c r="C24" s="1" t="str">
        <f t="shared" si="2"/>
        <v>Sale</v>
      </c>
      <c r="D24" s="1">
        <v>22913.0</v>
      </c>
      <c r="E24" s="1" t="str">
        <f>IFERROR(__xludf.DUMMYFUNCTION("IF(LEN(D24)&gt;4, IFERROR(REGEXEXTRACT(TO_TEXT(D24),""\d+""),""""),"""")"),"22913")</f>
        <v>22913</v>
      </c>
      <c r="F24" s="6" t="str">
        <f t="shared" si="3"/>
        <v>Product</v>
      </c>
      <c r="G24" s="1" t="s">
        <v>44</v>
      </c>
      <c r="H24" s="6" t="str">
        <f>IFERROR(__xludf.DUMMYFUNCTION("IF(REGEXMATCH(LOWER(G24), ""^(\?)+\s*(missing)?\s*(\?)*$""), """", PROPER(SUBSTITUTE(SUBSTITUTE(G24, ""?"", """"), ""*"", """")))"),"Red Coat Rack Paris Fashion")</f>
        <v>Red Coat Rack Paris Fashion</v>
      </c>
      <c r="I24" s="3">
        <v>3.0</v>
      </c>
      <c r="J24" s="7">
        <v>40513.356944444444</v>
      </c>
      <c r="K24" s="8" t="str">
        <f t="shared" si="4"/>
        <v>2010-12</v>
      </c>
      <c r="L24" s="5">
        <v>4.95</v>
      </c>
      <c r="M24" s="3">
        <v>13047.0</v>
      </c>
      <c r="N24" s="1" t="str">
        <f t="shared" si="5"/>
        <v>Registered</v>
      </c>
      <c r="O24" s="1" t="s">
        <v>19</v>
      </c>
      <c r="P24" s="9" t="str">
        <f t="shared" si="6"/>
        <v>UK</v>
      </c>
      <c r="Q24" s="8">
        <f t="shared" si="7"/>
        <v>14.85</v>
      </c>
    </row>
    <row r="25">
      <c r="A25" s="1">
        <v>536368.0</v>
      </c>
      <c r="B25" s="1" t="str">
        <f t="shared" si="1"/>
        <v>536368</v>
      </c>
      <c r="C25" s="1" t="str">
        <f t="shared" si="2"/>
        <v>Sale</v>
      </c>
      <c r="D25" s="1">
        <v>22912.0</v>
      </c>
      <c r="E25" s="1" t="str">
        <f>IFERROR(__xludf.DUMMYFUNCTION("IF(LEN(D25)&gt;4, IFERROR(REGEXEXTRACT(TO_TEXT(D25),""\d+""),""""),"""")"),"22912")</f>
        <v>22912</v>
      </c>
      <c r="F25" s="6" t="str">
        <f t="shared" si="3"/>
        <v>Product</v>
      </c>
      <c r="G25" s="1" t="s">
        <v>45</v>
      </c>
      <c r="H25" s="6" t="str">
        <f>IFERROR(__xludf.DUMMYFUNCTION("IF(REGEXMATCH(LOWER(G25), ""^(\?)+\s*(missing)?\s*(\?)*$""), """", PROPER(SUBSTITUTE(SUBSTITUTE(G25, ""?"", """"), ""*"", """")))"),"Yellow Coat Rack Paris Fashion")</f>
        <v>Yellow Coat Rack Paris Fashion</v>
      </c>
      <c r="I25" s="3">
        <v>3.0</v>
      </c>
      <c r="J25" s="7">
        <v>40513.356944444444</v>
      </c>
      <c r="K25" s="8" t="str">
        <f t="shared" si="4"/>
        <v>2010-12</v>
      </c>
      <c r="L25" s="5">
        <v>4.95</v>
      </c>
      <c r="M25" s="3">
        <v>13047.0</v>
      </c>
      <c r="N25" s="1" t="str">
        <f t="shared" si="5"/>
        <v>Registered</v>
      </c>
      <c r="O25" s="1" t="s">
        <v>19</v>
      </c>
      <c r="P25" s="9" t="str">
        <f t="shared" si="6"/>
        <v>UK</v>
      </c>
      <c r="Q25" s="8">
        <f t="shared" si="7"/>
        <v>14.85</v>
      </c>
    </row>
    <row r="26">
      <c r="A26" s="1">
        <v>536368.0</v>
      </c>
      <c r="B26" s="1" t="str">
        <f t="shared" si="1"/>
        <v>536368</v>
      </c>
      <c r="C26" s="1" t="str">
        <f t="shared" si="2"/>
        <v>Sale</v>
      </c>
      <c r="D26" s="1">
        <v>22914.0</v>
      </c>
      <c r="E26" s="1" t="str">
        <f>IFERROR(__xludf.DUMMYFUNCTION("IF(LEN(D26)&gt;4, IFERROR(REGEXEXTRACT(TO_TEXT(D26),""\d+""),""""),"""")"),"22914")</f>
        <v>22914</v>
      </c>
      <c r="F26" s="6" t="str">
        <f t="shared" si="3"/>
        <v>Product</v>
      </c>
      <c r="G26" s="1" t="s">
        <v>46</v>
      </c>
      <c r="H26" s="6" t="str">
        <f>IFERROR(__xludf.DUMMYFUNCTION("IF(REGEXMATCH(LOWER(G26), ""^(\?)+\s*(missing)?\s*(\?)*$""), """", PROPER(SUBSTITUTE(SUBSTITUTE(G26, ""?"", """"), ""*"", """")))"),"Blue Coat Rack Paris Fashion")</f>
        <v>Blue Coat Rack Paris Fashion</v>
      </c>
      <c r="I26" s="3">
        <v>3.0</v>
      </c>
      <c r="J26" s="7">
        <v>40513.356944444444</v>
      </c>
      <c r="K26" s="8" t="str">
        <f t="shared" si="4"/>
        <v>2010-12</v>
      </c>
      <c r="L26" s="5">
        <v>4.95</v>
      </c>
      <c r="M26" s="3">
        <v>13047.0</v>
      </c>
      <c r="N26" s="1" t="str">
        <f t="shared" si="5"/>
        <v>Registered</v>
      </c>
      <c r="O26" s="1" t="s">
        <v>19</v>
      </c>
      <c r="P26" s="9" t="str">
        <f t="shared" si="6"/>
        <v>UK</v>
      </c>
      <c r="Q26" s="8">
        <f t="shared" si="7"/>
        <v>14.85</v>
      </c>
    </row>
    <row r="27">
      <c r="A27" s="1">
        <v>536369.0</v>
      </c>
      <c r="B27" s="1" t="str">
        <f t="shared" si="1"/>
        <v>536369</v>
      </c>
      <c r="C27" s="1" t="str">
        <f t="shared" si="2"/>
        <v>Sale</v>
      </c>
      <c r="D27" s="1">
        <v>21756.0</v>
      </c>
      <c r="E27" s="1" t="str">
        <f>IFERROR(__xludf.DUMMYFUNCTION("IF(LEN(D27)&gt;4, IFERROR(REGEXEXTRACT(TO_TEXT(D27),""\d+""),""""),"""")"),"21756")</f>
        <v>21756</v>
      </c>
      <c r="F27" s="6" t="str">
        <f t="shared" si="3"/>
        <v>Product</v>
      </c>
      <c r="G27" s="1" t="s">
        <v>47</v>
      </c>
      <c r="H27" s="6" t="str">
        <f>IFERROR(__xludf.DUMMYFUNCTION("IF(REGEXMATCH(LOWER(G27), ""^(\?)+\s*(missing)?\s*(\?)*$""), """", PROPER(SUBSTITUTE(SUBSTITUTE(G27, ""?"", """"), ""*"", """")))"),"Bath Building Block Word")</f>
        <v>Bath Building Block Word</v>
      </c>
      <c r="I27" s="3">
        <v>3.0</v>
      </c>
      <c r="J27" s="7">
        <v>40513.35763888889</v>
      </c>
      <c r="K27" s="8" t="str">
        <f t="shared" si="4"/>
        <v>2010-12</v>
      </c>
      <c r="L27" s="5">
        <v>5.95</v>
      </c>
      <c r="M27" s="3">
        <v>13047.0</v>
      </c>
      <c r="N27" s="1" t="str">
        <f t="shared" si="5"/>
        <v>Registered</v>
      </c>
      <c r="O27" s="1" t="s">
        <v>19</v>
      </c>
      <c r="P27" s="9" t="str">
        <f t="shared" si="6"/>
        <v>UK</v>
      </c>
      <c r="Q27" s="8">
        <f t="shared" si="7"/>
        <v>17.85</v>
      </c>
    </row>
    <row r="28">
      <c r="A28" s="1">
        <v>536370.0</v>
      </c>
      <c r="B28" s="1" t="str">
        <f t="shared" si="1"/>
        <v>536370</v>
      </c>
      <c r="C28" s="1" t="str">
        <f t="shared" si="2"/>
        <v>Sale</v>
      </c>
      <c r="D28" s="1">
        <v>22728.0</v>
      </c>
      <c r="E28" s="1" t="str">
        <f>IFERROR(__xludf.DUMMYFUNCTION("IF(LEN(D28)&gt;4, IFERROR(REGEXEXTRACT(TO_TEXT(D28),""\d+""),""""),"""")"),"22728")</f>
        <v>22728</v>
      </c>
      <c r="F28" s="6" t="str">
        <f t="shared" si="3"/>
        <v>Product</v>
      </c>
      <c r="G28" s="1" t="s">
        <v>48</v>
      </c>
      <c r="H28" s="6" t="str">
        <f>IFERROR(__xludf.DUMMYFUNCTION("IF(REGEXMATCH(LOWER(G28), ""^(\?)+\s*(missing)?\s*(\?)*$""), """", PROPER(SUBSTITUTE(SUBSTITUTE(G28, ""?"", """"), ""*"", """")))"),"Alarm Clock Bakelike Pink")</f>
        <v>Alarm Clock Bakelike Pink</v>
      </c>
      <c r="I28" s="3">
        <v>24.0</v>
      </c>
      <c r="J28" s="7">
        <v>40513.364583333336</v>
      </c>
      <c r="K28" s="8" t="str">
        <f t="shared" si="4"/>
        <v>2010-12</v>
      </c>
      <c r="L28" s="5">
        <v>3.75</v>
      </c>
      <c r="M28" s="3">
        <v>12583.0</v>
      </c>
      <c r="N28" s="1" t="str">
        <f t="shared" si="5"/>
        <v>Registered</v>
      </c>
      <c r="O28" s="1" t="s">
        <v>49</v>
      </c>
      <c r="P28" s="9" t="str">
        <f t="shared" si="6"/>
        <v>International</v>
      </c>
      <c r="Q28" s="8">
        <f t="shared" si="7"/>
        <v>90</v>
      </c>
    </row>
    <row r="29">
      <c r="A29" s="1">
        <v>536370.0</v>
      </c>
      <c r="B29" s="1" t="str">
        <f t="shared" si="1"/>
        <v>536370</v>
      </c>
      <c r="C29" s="1" t="str">
        <f t="shared" si="2"/>
        <v>Sale</v>
      </c>
      <c r="D29" s="1">
        <v>22727.0</v>
      </c>
      <c r="E29" s="1" t="str">
        <f>IFERROR(__xludf.DUMMYFUNCTION("IF(LEN(D29)&gt;4, IFERROR(REGEXEXTRACT(TO_TEXT(D29),""\d+""),""""),"""")"),"22727")</f>
        <v>22727</v>
      </c>
      <c r="F29" s="6" t="str">
        <f t="shared" si="3"/>
        <v>Product</v>
      </c>
      <c r="G29" s="1" t="s">
        <v>50</v>
      </c>
      <c r="H29" s="6" t="str">
        <f>IFERROR(__xludf.DUMMYFUNCTION("IF(REGEXMATCH(LOWER(G29), ""^(\?)+\s*(missing)?\s*(\?)*$""), """", PROPER(SUBSTITUTE(SUBSTITUTE(G29, ""?"", """"), ""*"", """")))"),"Alarm Clock Bakelike Red")</f>
        <v>Alarm Clock Bakelike Red</v>
      </c>
      <c r="I29" s="3">
        <v>24.0</v>
      </c>
      <c r="J29" s="7">
        <v>40513.364583333336</v>
      </c>
      <c r="K29" s="8" t="str">
        <f t="shared" si="4"/>
        <v>2010-12</v>
      </c>
      <c r="L29" s="5">
        <v>3.75</v>
      </c>
      <c r="M29" s="3">
        <v>12583.0</v>
      </c>
      <c r="N29" s="1" t="str">
        <f t="shared" si="5"/>
        <v>Registered</v>
      </c>
      <c r="O29" s="1" t="s">
        <v>49</v>
      </c>
      <c r="P29" s="9" t="str">
        <f t="shared" si="6"/>
        <v>International</v>
      </c>
      <c r="Q29" s="8">
        <f t="shared" si="7"/>
        <v>90</v>
      </c>
    </row>
    <row r="30">
      <c r="A30" s="1">
        <v>536370.0</v>
      </c>
      <c r="B30" s="1" t="str">
        <f t="shared" si="1"/>
        <v>536370</v>
      </c>
      <c r="C30" s="1" t="str">
        <f t="shared" si="2"/>
        <v>Sale</v>
      </c>
      <c r="D30" s="1">
        <v>22726.0</v>
      </c>
      <c r="E30" s="1" t="str">
        <f>IFERROR(__xludf.DUMMYFUNCTION("IF(LEN(D30)&gt;4, IFERROR(REGEXEXTRACT(TO_TEXT(D30),""\d+""),""""),"""")"),"22726")</f>
        <v>22726</v>
      </c>
      <c r="F30" s="6" t="str">
        <f t="shared" si="3"/>
        <v>Product</v>
      </c>
      <c r="G30" s="1" t="s">
        <v>51</v>
      </c>
      <c r="H30" s="6" t="str">
        <f>IFERROR(__xludf.DUMMYFUNCTION("IF(REGEXMATCH(LOWER(G30), ""^(\?)+\s*(missing)?\s*(\?)*$""), """", PROPER(SUBSTITUTE(SUBSTITUTE(G30, ""?"", """"), ""*"", """")))"),"Alarm Clock Bakelike Green")</f>
        <v>Alarm Clock Bakelike Green</v>
      </c>
      <c r="I30" s="3">
        <v>12.0</v>
      </c>
      <c r="J30" s="7">
        <v>40513.364583333336</v>
      </c>
      <c r="K30" s="8" t="str">
        <f t="shared" si="4"/>
        <v>2010-12</v>
      </c>
      <c r="L30" s="5">
        <v>3.75</v>
      </c>
      <c r="M30" s="3">
        <v>12583.0</v>
      </c>
      <c r="N30" s="1" t="str">
        <f t="shared" si="5"/>
        <v>Registered</v>
      </c>
      <c r="O30" s="1" t="s">
        <v>49</v>
      </c>
      <c r="P30" s="9" t="str">
        <f t="shared" si="6"/>
        <v>International</v>
      </c>
      <c r="Q30" s="8">
        <f t="shared" si="7"/>
        <v>45</v>
      </c>
    </row>
    <row r="31">
      <c r="A31" s="1">
        <v>536370.0</v>
      </c>
      <c r="B31" s="1" t="str">
        <f t="shared" si="1"/>
        <v>536370</v>
      </c>
      <c r="C31" s="1" t="str">
        <f t="shared" si="2"/>
        <v>Sale</v>
      </c>
      <c r="D31" s="1">
        <v>21724.0</v>
      </c>
      <c r="E31" s="1" t="str">
        <f>IFERROR(__xludf.DUMMYFUNCTION("IF(LEN(D31)&gt;4, IFERROR(REGEXEXTRACT(TO_TEXT(D31),""\d+""),""""),"""")"),"21724")</f>
        <v>21724</v>
      </c>
      <c r="F31" s="6" t="str">
        <f t="shared" si="3"/>
        <v>Product</v>
      </c>
      <c r="G31" s="1" t="s">
        <v>52</v>
      </c>
      <c r="H31" s="6" t="str">
        <f>IFERROR(__xludf.DUMMYFUNCTION("IF(REGEXMATCH(LOWER(G31), ""^(\?)+\s*(missing)?\s*(\?)*$""), """", PROPER(SUBSTITUTE(SUBSTITUTE(G31, ""?"", """"), ""*"", """")))"),"Panda And Bunnies Sticker Sheet")</f>
        <v>Panda And Bunnies Sticker Sheet</v>
      </c>
      <c r="I31" s="3">
        <v>12.0</v>
      </c>
      <c r="J31" s="7">
        <v>40513.364583333336</v>
      </c>
      <c r="K31" s="8" t="str">
        <f t="shared" si="4"/>
        <v>2010-12</v>
      </c>
      <c r="L31" s="5">
        <v>0.85</v>
      </c>
      <c r="M31" s="3">
        <v>12583.0</v>
      </c>
      <c r="N31" s="1" t="str">
        <f t="shared" si="5"/>
        <v>Registered</v>
      </c>
      <c r="O31" s="1" t="s">
        <v>49</v>
      </c>
      <c r="P31" s="9" t="str">
        <f t="shared" si="6"/>
        <v>International</v>
      </c>
      <c r="Q31" s="8">
        <f t="shared" si="7"/>
        <v>10.2</v>
      </c>
    </row>
    <row r="32">
      <c r="A32" s="1">
        <v>536370.0</v>
      </c>
      <c r="B32" s="1" t="str">
        <f t="shared" si="1"/>
        <v>536370</v>
      </c>
      <c r="C32" s="1" t="str">
        <f t="shared" si="2"/>
        <v>Sale</v>
      </c>
      <c r="D32" s="1">
        <v>21883.0</v>
      </c>
      <c r="E32" s="1" t="str">
        <f>IFERROR(__xludf.DUMMYFUNCTION("IF(LEN(D32)&gt;4, IFERROR(REGEXEXTRACT(TO_TEXT(D32),""\d+""),""""),"""")"),"21883")</f>
        <v>21883</v>
      </c>
      <c r="F32" s="6" t="str">
        <f t="shared" si="3"/>
        <v>Product</v>
      </c>
      <c r="G32" s="1" t="s">
        <v>53</v>
      </c>
      <c r="H32" s="6" t="str">
        <f>IFERROR(__xludf.DUMMYFUNCTION("IF(REGEXMATCH(LOWER(G32), ""^(\?)+\s*(missing)?\s*(\?)*$""), """", PROPER(SUBSTITUTE(SUBSTITUTE(G32, ""?"", """"), ""*"", """")))"),"Stars Gift Tape")</f>
        <v>Stars Gift Tape</v>
      </c>
      <c r="I32" s="3">
        <v>24.0</v>
      </c>
      <c r="J32" s="7">
        <v>40513.364583333336</v>
      </c>
      <c r="K32" s="8" t="str">
        <f t="shared" si="4"/>
        <v>2010-12</v>
      </c>
      <c r="L32" s="5">
        <v>0.65</v>
      </c>
      <c r="M32" s="3">
        <v>12583.0</v>
      </c>
      <c r="N32" s="1" t="str">
        <f t="shared" si="5"/>
        <v>Registered</v>
      </c>
      <c r="O32" s="1" t="s">
        <v>49</v>
      </c>
      <c r="P32" s="9" t="str">
        <f t="shared" si="6"/>
        <v>International</v>
      </c>
      <c r="Q32" s="8">
        <f t="shared" si="7"/>
        <v>15.6</v>
      </c>
    </row>
    <row r="33">
      <c r="A33" s="1">
        <v>536370.0</v>
      </c>
      <c r="B33" s="1" t="str">
        <f t="shared" si="1"/>
        <v>536370</v>
      </c>
      <c r="C33" s="1" t="str">
        <f t="shared" si="2"/>
        <v>Sale</v>
      </c>
      <c r="D33" s="1">
        <v>10002.0</v>
      </c>
      <c r="E33" s="1" t="str">
        <f>IFERROR(__xludf.DUMMYFUNCTION("IF(LEN(D33)&gt;4, IFERROR(REGEXEXTRACT(TO_TEXT(D33),""\d+""),""""),"""")"),"10002")</f>
        <v>10002</v>
      </c>
      <c r="F33" s="6" t="str">
        <f t="shared" si="3"/>
        <v>Product</v>
      </c>
      <c r="G33" s="1" t="s">
        <v>54</v>
      </c>
      <c r="H33" s="6" t="str">
        <f>IFERROR(__xludf.DUMMYFUNCTION("IF(REGEXMATCH(LOWER(G33), ""^(\?)+\s*(missing)?\s*(\?)*$""), """", PROPER(SUBSTITUTE(SUBSTITUTE(G33, ""?"", """"), ""*"", """")))"),"Inflatable Political Globe")</f>
        <v>Inflatable Political Globe</v>
      </c>
      <c r="I33" s="3">
        <v>48.0</v>
      </c>
      <c r="J33" s="7">
        <v>40513.364583333336</v>
      </c>
      <c r="K33" s="8" t="str">
        <f t="shared" si="4"/>
        <v>2010-12</v>
      </c>
      <c r="L33" s="5">
        <v>0.85</v>
      </c>
      <c r="M33" s="3">
        <v>12583.0</v>
      </c>
      <c r="N33" s="1" t="str">
        <f t="shared" si="5"/>
        <v>Registered</v>
      </c>
      <c r="O33" s="1" t="s">
        <v>49</v>
      </c>
      <c r="P33" s="9" t="str">
        <f t="shared" si="6"/>
        <v>International</v>
      </c>
      <c r="Q33" s="8">
        <f t="shared" si="7"/>
        <v>40.8</v>
      </c>
    </row>
    <row r="34">
      <c r="A34" s="1">
        <v>536370.0</v>
      </c>
      <c r="B34" s="1" t="str">
        <f t="shared" si="1"/>
        <v>536370</v>
      </c>
      <c r="C34" s="1" t="str">
        <f t="shared" si="2"/>
        <v>Sale</v>
      </c>
      <c r="D34" s="1">
        <v>21791.0</v>
      </c>
      <c r="E34" s="1" t="str">
        <f>IFERROR(__xludf.DUMMYFUNCTION("IF(LEN(D34)&gt;4, IFERROR(REGEXEXTRACT(TO_TEXT(D34),""\d+""),""""),"""")"),"21791")</f>
        <v>21791</v>
      </c>
      <c r="F34" s="6" t="str">
        <f t="shared" si="3"/>
        <v>Product</v>
      </c>
      <c r="G34" s="1" t="s">
        <v>55</v>
      </c>
      <c r="H34" s="6" t="str">
        <f>IFERROR(__xludf.DUMMYFUNCTION("IF(REGEXMATCH(LOWER(G34), ""^(\?)+\s*(missing)?\s*(\?)*$""), """", PROPER(SUBSTITUTE(SUBSTITUTE(G34, ""?"", """"), ""*"", """")))"),"Vintage Heads And Tails Card Game")</f>
        <v>Vintage Heads And Tails Card Game</v>
      </c>
      <c r="I34" s="3">
        <v>24.0</v>
      </c>
      <c r="J34" s="7">
        <v>40513.364583333336</v>
      </c>
      <c r="K34" s="8" t="str">
        <f t="shared" si="4"/>
        <v>2010-12</v>
      </c>
      <c r="L34" s="5">
        <v>1.25</v>
      </c>
      <c r="M34" s="3">
        <v>12583.0</v>
      </c>
      <c r="N34" s="1" t="str">
        <f t="shared" si="5"/>
        <v>Registered</v>
      </c>
      <c r="O34" s="1" t="s">
        <v>49</v>
      </c>
      <c r="P34" s="9" t="str">
        <f t="shared" si="6"/>
        <v>International</v>
      </c>
      <c r="Q34" s="8">
        <f t="shared" si="7"/>
        <v>30</v>
      </c>
    </row>
    <row r="35">
      <c r="A35" s="1">
        <v>536370.0</v>
      </c>
      <c r="B35" s="1" t="str">
        <f t="shared" si="1"/>
        <v>536370</v>
      </c>
      <c r="C35" s="1" t="str">
        <f t="shared" si="2"/>
        <v>Sale</v>
      </c>
      <c r="D35" s="1">
        <v>21035.0</v>
      </c>
      <c r="E35" s="1" t="str">
        <f>IFERROR(__xludf.DUMMYFUNCTION("IF(LEN(D35)&gt;4, IFERROR(REGEXEXTRACT(TO_TEXT(D35),""\d+""),""""),"""")"),"21035")</f>
        <v>21035</v>
      </c>
      <c r="F35" s="6" t="str">
        <f t="shared" si="3"/>
        <v>Product</v>
      </c>
      <c r="G35" s="1" t="s">
        <v>56</v>
      </c>
      <c r="H35" s="6" t="str">
        <f>IFERROR(__xludf.DUMMYFUNCTION("IF(REGEXMATCH(LOWER(G35), ""^(\?)+\s*(missing)?\s*(\?)*$""), """", PROPER(SUBSTITUTE(SUBSTITUTE(G35, ""?"", """"), ""*"", """")))"),"Set/2 Red Retrospot Tea Towels")</f>
        <v>Set/2 Red Retrospot Tea Towels</v>
      </c>
      <c r="I35" s="3">
        <v>18.0</v>
      </c>
      <c r="J35" s="7">
        <v>40513.364583333336</v>
      </c>
      <c r="K35" s="8" t="str">
        <f t="shared" si="4"/>
        <v>2010-12</v>
      </c>
      <c r="L35" s="5">
        <v>2.95</v>
      </c>
      <c r="M35" s="3">
        <v>12583.0</v>
      </c>
      <c r="N35" s="1" t="str">
        <f t="shared" si="5"/>
        <v>Registered</v>
      </c>
      <c r="O35" s="1" t="s">
        <v>49</v>
      </c>
      <c r="P35" s="9" t="str">
        <f t="shared" si="6"/>
        <v>International</v>
      </c>
      <c r="Q35" s="8">
        <f t="shared" si="7"/>
        <v>53.1</v>
      </c>
    </row>
    <row r="36">
      <c r="A36" s="1">
        <v>536370.0</v>
      </c>
      <c r="B36" s="1" t="str">
        <f t="shared" si="1"/>
        <v>536370</v>
      </c>
      <c r="C36" s="1" t="str">
        <f t="shared" si="2"/>
        <v>Sale</v>
      </c>
      <c r="D36" s="1">
        <v>22326.0</v>
      </c>
      <c r="E36" s="1" t="str">
        <f>IFERROR(__xludf.DUMMYFUNCTION("IF(LEN(D36)&gt;4, IFERROR(REGEXEXTRACT(TO_TEXT(D36),""\d+""),""""),"""")"),"22326")</f>
        <v>22326</v>
      </c>
      <c r="F36" s="6" t="str">
        <f t="shared" si="3"/>
        <v>Product</v>
      </c>
      <c r="G36" s="1" t="s">
        <v>57</v>
      </c>
      <c r="H36" s="6" t="str">
        <f>IFERROR(__xludf.DUMMYFUNCTION("IF(REGEXMATCH(LOWER(G36), ""^(\?)+\s*(missing)?\s*(\?)*$""), """", PROPER(SUBSTITUTE(SUBSTITUTE(G36, ""?"", """"), ""*"", """")))"),"Round Snack Boxes Set Of4 Woodland")</f>
        <v>Round Snack Boxes Set Of4 Woodland</v>
      </c>
      <c r="I36" s="3">
        <v>24.0</v>
      </c>
      <c r="J36" s="7">
        <v>40513.364583333336</v>
      </c>
      <c r="K36" s="8" t="str">
        <f t="shared" si="4"/>
        <v>2010-12</v>
      </c>
      <c r="L36" s="5">
        <v>2.95</v>
      </c>
      <c r="M36" s="3">
        <v>12583.0</v>
      </c>
      <c r="N36" s="1" t="str">
        <f t="shared" si="5"/>
        <v>Registered</v>
      </c>
      <c r="O36" s="1" t="s">
        <v>49</v>
      </c>
      <c r="P36" s="9" t="str">
        <f t="shared" si="6"/>
        <v>International</v>
      </c>
      <c r="Q36" s="8">
        <f t="shared" si="7"/>
        <v>70.8</v>
      </c>
    </row>
    <row r="37">
      <c r="A37" s="1">
        <v>536370.0</v>
      </c>
      <c r="B37" s="1" t="str">
        <f t="shared" si="1"/>
        <v>536370</v>
      </c>
      <c r="C37" s="1" t="str">
        <f t="shared" si="2"/>
        <v>Sale</v>
      </c>
      <c r="D37" s="1">
        <v>22629.0</v>
      </c>
      <c r="E37" s="1" t="str">
        <f>IFERROR(__xludf.DUMMYFUNCTION("IF(LEN(D37)&gt;4, IFERROR(REGEXEXTRACT(TO_TEXT(D37),""\d+""),""""),"""")"),"22629")</f>
        <v>22629</v>
      </c>
      <c r="F37" s="6" t="str">
        <f t="shared" si="3"/>
        <v>Product</v>
      </c>
      <c r="G37" s="1" t="s">
        <v>58</v>
      </c>
      <c r="H37" s="6" t="str">
        <f>IFERROR(__xludf.DUMMYFUNCTION("IF(REGEXMATCH(LOWER(G37), ""^(\?)+\s*(missing)?\s*(\?)*$""), """", PROPER(SUBSTITUTE(SUBSTITUTE(G37, ""?"", """"), ""*"", """")))"),"Spaceboy Lunch Box")</f>
        <v>Spaceboy Lunch Box</v>
      </c>
      <c r="I37" s="3">
        <v>24.0</v>
      </c>
      <c r="J37" s="7">
        <v>40513.364583333336</v>
      </c>
      <c r="K37" s="8" t="str">
        <f t="shared" si="4"/>
        <v>2010-12</v>
      </c>
      <c r="L37" s="5">
        <v>1.95</v>
      </c>
      <c r="M37" s="3">
        <v>12583.0</v>
      </c>
      <c r="N37" s="1" t="str">
        <f t="shared" si="5"/>
        <v>Registered</v>
      </c>
      <c r="O37" s="1" t="s">
        <v>49</v>
      </c>
      <c r="P37" s="9" t="str">
        <f t="shared" si="6"/>
        <v>International</v>
      </c>
      <c r="Q37" s="8">
        <f t="shared" si="7"/>
        <v>46.8</v>
      </c>
    </row>
    <row r="38">
      <c r="A38" s="1">
        <v>536370.0</v>
      </c>
      <c r="B38" s="1" t="str">
        <f t="shared" si="1"/>
        <v>536370</v>
      </c>
      <c r="C38" s="1" t="str">
        <f t="shared" si="2"/>
        <v>Sale</v>
      </c>
      <c r="D38" s="1">
        <v>22659.0</v>
      </c>
      <c r="E38" s="1" t="str">
        <f>IFERROR(__xludf.DUMMYFUNCTION("IF(LEN(D38)&gt;4, IFERROR(REGEXEXTRACT(TO_TEXT(D38),""\d+""),""""),"""")"),"22659")</f>
        <v>22659</v>
      </c>
      <c r="F38" s="6" t="str">
        <f t="shared" si="3"/>
        <v>Product</v>
      </c>
      <c r="G38" s="1" t="s">
        <v>59</v>
      </c>
      <c r="H38" s="6" t="str">
        <f>IFERROR(__xludf.DUMMYFUNCTION("IF(REGEXMATCH(LOWER(G38), ""^(\?)+\s*(missing)?\s*(\?)*$""), """", PROPER(SUBSTITUTE(SUBSTITUTE(G38, ""?"", """"), ""*"", """")))"),"Lunch Box I Love London")</f>
        <v>Lunch Box I Love London</v>
      </c>
      <c r="I38" s="3">
        <v>24.0</v>
      </c>
      <c r="J38" s="7">
        <v>40513.364583333336</v>
      </c>
      <c r="K38" s="8" t="str">
        <f t="shared" si="4"/>
        <v>2010-12</v>
      </c>
      <c r="L38" s="5">
        <v>1.95</v>
      </c>
      <c r="M38" s="3">
        <v>12583.0</v>
      </c>
      <c r="N38" s="1" t="str">
        <f t="shared" si="5"/>
        <v>Registered</v>
      </c>
      <c r="O38" s="1" t="s">
        <v>49</v>
      </c>
      <c r="P38" s="9" t="str">
        <f t="shared" si="6"/>
        <v>International</v>
      </c>
      <c r="Q38" s="8">
        <f t="shared" si="7"/>
        <v>46.8</v>
      </c>
    </row>
    <row r="39">
      <c r="A39" s="1">
        <v>536370.0</v>
      </c>
      <c r="B39" s="1" t="str">
        <f t="shared" si="1"/>
        <v>536370</v>
      </c>
      <c r="C39" s="1" t="str">
        <f t="shared" si="2"/>
        <v>Sale</v>
      </c>
      <c r="D39" s="1">
        <v>22631.0</v>
      </c>
      <c r="E39" s="1" t="str">
        <f>IFERROR(__xludf.DUMMYFUNCTION("IF(LEN(D39)&gt;4, IFERROR(REGEXEXTRACT(TO_TEXT(D39),""\d+""),""""),"""")"),"22631")</f>
        <v>22631</v>
      </c>
      <c r="F39" s="6" t="str">
        <f t="shared" si="3"/>
        <v>Product</v>
      </c>
      <c r="G39" s="1" t="s">
        <v>60</v>
      </c>
      <c r="H39" s="6" t="str">
        <f>IFERROR(__xludf.DUMMYFUNCTION("IF(REGEXMATCH(LOWER(G39), ""^(\?)+\s*(missing)?\s*(\?)*$""), """", PROPER(SUBSTITUTE(SUBSTITUTE(G39, ""?"", """"), ""*"", """")))"),"Circus Parade Lunch Box")</f>
        <v>Circus Parade Lunch Box</v>
      </c>
      <c r="I39" s="3">
        <v>24.0</v>
      </c>
      <c r="J39" s="7">
        <v>40513.364583333336</v>
      </c>
      <c r="K39" s="8" t="str">
        <f t="shared" si="4"/>
        <v>2010-12</v>
      </c>
      <c r="L39" s="5">
        <v>1.95</v>
      </c>
      <c r="M39" s="3">
        <v>12583.0</v>
      </c>
      <c r="N39" s="1" t="str">
        <f t="shared" si="5"/>
        <v>Registered</v>
      </c>
      <c r="O39" s="1" t="s">
        <v>49</v>
      </c>
      <c r="P39" s="9" t="str">
        <f t="shared" si="6"/>
        <v>International</v>
      </c>
      <c r="Q39" s="8">
        <f t="shared" si="7"/>
        <v>46.8</v>
      </c>
    </row>
    <row r="40">
      <c r="A40" s="1">
        <v>536370.0</v>
      </c>
      <c r="B40" s="1" t="str">
        <f t="shared" si="1"/>
        <v>536370</v>
      </c>
      <c r="C40" s="1" t="str">
        <f t="shared" si="2"/>
        <v>Sale</v>
      </c>
      <c r="D40" s="1">
        <v>22661.0</v>
      </c>
      <c r="E40" s="1" t="str">
        <f>IFERROR(__xludf.DUMMYFUNCTION("IF(LEN(D40)&gt;4, IFERROR(REGEXEXTRACT(TO_TEXT(D40),""\d+""),""""),"""")"),"22661")</f>
        <v>22661</v>
      </c>
      <c r="F40" s="6" t="str">
        <f t="shared" si="3"/>
        <v>Product</v>
      </c>
      <c r="G40" s="1" t="s">
        <v>61</v>
      </c>
      <c r="H40" s="6" t="str">
        <f>IFERROR(__xludf.DUMMYFUNCTION("IF(REGEXMATCH(LOWER(G40), ""^(\?)+\s*(missing)?\s*(\?)*$""), """", PROPER(SUBSTITUTE(SUBSTITUTE(G40, ""?"", """"), ""*"", """")))"),"Charlotte Bag Dolly Girl Design")</f>
        <v>Charlotte Bag Dolly Girl Design</v>
      </c>
      <c r="I40" s="3">
        <v>20.0</v>
      </c>
      <c r="J40" s="7">
        <v>40513.364583333336</v>
      </c>
      <c r="K40" s="8" t="str">
        <f t="shared" si="4"/>
        <v>2010-12</v>
      </c>
      <c r="L40" s="5">
        <v>0.85</v>
      </c>
      <c r="M40" s="3">
        <v>12583.0</v>
      </c>
      <c r="N40" s="1" t="str">
        <f t="shared" si="5"/>
        <v>Registered</v>
      </c>
      <c r="O40" s="1" t="s">
        <v>49</v>
      </c>
      <c r="P40" s="9" t="str">
        <f t="shared" si="6"/>
        <v>International</v>
      </c>
      <c r="Q40" s="8">
        <f t="shared" si="7"/>
        <v>17</v>
      </c>
    </row>
    <row r="41">
      <c r="A41" s="1">
        <v>536370.0</v>
      </c>
      <c r="B41" s="1" t="str">
        <f t="shared" si="1"/>
        <v>536370</v>
      </c>
      <c r="C41" s="1" t="str">
        <f t="shared" si="2"/>
        <v>Sale</v>
      </c>
      <c r="D41" s="1">
        <v>21731.0</v>
      </c>
      <c r="E41" s="1" t="str">
        <f>IFERROR(__xludf.DUMMYFUNCTION("IF(LEN(D41)&gt;4, IFERROR(REGEXEXTRACT(TO_TEXT(D41),""\d+""),""""),"""")"),"21731")</f>
        <v>21731</v>
      </c>
      <c r="F41" s="6" t="str">
        <f t="shared" si="3"/>
        <v>Product</v>
      </c>
      <c r="G41" s="1" t="s">
        <v>62</v>
      </c>
      <c r="H41" s="6" t="str">
        <f>IFERROR(__xludf.DUMMYFUNCTION("IF(REGEXMATCH(LOWER(G41), ""^(\?)+\s*(missing)?\s*(\?)*$""), """", PROPER(SUBSTITUTE(SUBSTITUTE(G41, ""?"", """"), ""*"", """")))"),"Red Toadstool Led Night Light")</f>
        <v>Red Toadstool Led Night Light</v>
      </c>
      <c r="I41" s="3">
        <v>24.0</v>
      </c>
      <c r="J41" s="7">
        <v>40513.364583333336</v>
      </c>
      <c r="K41" s="8" t="str">
        <f t="shared" si="4"/>
        <v>2010-12</v>
      </c>
      <c r="L41" s="5">
        <v>1.65</v>
      </c>
      <c r="M41" s="3">
        <v>12583.0</v>
      </c>
      <c r="N41" s="1" t="str">
        <f t="shared" si="5"/>
        <v>Registered</v>
      </c>
      <c r="O41" s="1" t="s">
        <v>49</v>
      </c>
      <c r="P41" s="9" t="str">
        <f t="shared" si="6"/>
        <v>International</v>
      </c>
      <c r="Q41" s="8">
        <f t="shared" si="7"/>
        <v>39.6</v>
      </c>
    </row>
    <row r="42">
      <c r="A42" s="1">
        <v>536370.0</v>
      </c>
      <c r="B42" s="1" t="str">
        <f t="shared" si="1"/>
        <v>536370</v>
      </c>
      <c r="C42" s="1" t="str">
        <f t="shared" si="2"/>
        <v>Sale</v>
      </c>
      <c r="D42" s="1">
        <v>22900.0</v>
      </c>
      <c r="E42" s="1" t="str">
        <f>IFERROR(__xludf.DUMMYFUNCTION("IF(LEN(D42)&gt;4, IFERROR(REGEXEXTRACT(TO_TEXT(D42),""\d+""),""""),"""")"),"22900")</f>
        <v>22900</v>
      </c>
      <c r="F42" s="6" t="str">
        <f t="shared" si="3"/>
        <v>Product</v>
      </c>
      <c r="G42" s="1" t="s">
        <v>63</v>
      </c>
      <c r="H42" s="6" t="str">
        <f>IFERROR(__xludf.DUMMYFUNCTION("IF(REGEXMATCH(LOWER(G42), ""^(\?)+\s*(missing)?\s*(\?)*$""), """", PROPER(SUBSTITUTE(SUBSTITUTE(G42, ""?"", """"), ""*"", """")))"),"Set 2 Tea Towels I Love London")</f>
        <v>Set 2 Tea Towels I Love London</v>
      </c>
      <c r="I42" s="3">
        <v>24.0</v>
      </c>
      <c r="J42" s="7">
        <v>40513.364583333336</v>
      </c>
      <c r="K42" s="8" t="str">
        <f t="shared" si="4"/>
        <v>2010-12</v>
      </c>
      <c r="L42" s="5">
        <v>2.95</v>
      </c>
      <c r="M42" s="3">
        <v>12583.0</v>
      </c>
      <c r="N42" s="1" t="str">
        <f t="shared" si="5"/>
        <v>Registered</v>
      </c>
      <c r="O42" s="1" t="s">
        <v>49</v>
      </c>
      <c r="P42" s="9" t="str">
        <f t="shared" si="6"/>
        <v>International</v>
      </c>
      <c r="Q42" s="8">
        <f t="shared" si="7"/>
        <v>70.8</v>
      </c>
    </row>
    <row r="43">
      <c r="A43" s="1">
        <v>536370.0</v>
      </c>
      <c r="B43" s="1" t="str">
        <f t="shared" si="1"/>
        <v>536370</v>
      </c>
      <c r="C43" s="1" t="str">
        <f t="shared" si="2"/>
        <v>Sale</v>
      </c>
      <c r="D43" s="1">
        <v>21913.0</v>
      </c>
      <c r="E43" s="1" t="str">
        <f>IFERROR(__xludf.DUMMYFUNCTION("IF(LEN(D43)&gt;4, IFERROR(REGEXEXTRACT(TO_TEXT(D43),""\d+""),""""),"""")"),"21913")</f>
        <v>21913</v>
      </c>
      <c r="F43" s="6" t="str">
        <f t="shared" si="3"/>
        <v>Product</v>
      </c>
      <c r="G43" s="1" t="s">
        <v>64</v>
      </c>
      <c r="H43" s="6" t="str">
        <f>IFERROR(__xludf.DUMMYFUNCTION("IF(REGEXMATCH(LOWER(G43), ""^(\?)+\s*(missing)?\s*(\?)*$""), """", PROPER(SUBSTITUTE(SUBSTITUTE(G43, ""?"", """"), ""*"", """")))"),"Vintage Seaside Jigsaw Puzzles")</f>
        <v>Vintage Seaside Jigsaw Puzzles</v>
      </c>
      <c r="I43" s="3">
        <v>12.0</v>
      </c>
      <c r="J43" s="7">
        <v>40513.364583333336</v>
      </c>
      <c r="K43" s="8" t="str">
        <f t="shared" si="4"/>
        <v>2010-12</v>
      </c>
      <c r="L43" s="5">
        <v>3.75</v>
      </c>
      <c r="M43" s="3">
        <v>12583.0</v>
      </c>
      <c r="N43" s="1" t="str">
        <f t="shared" si="5"/>
        <v>Registered</v>
      </c>
      <c r="O43" s="1" t="s">
        <v>49</v>
      </c>
      <c r="P43" s="9" t="str">
        <f t="shared" si="6"/>
        <v>International</v>
      </c>
      <c r="Q43" s="8">
        <f t="shared" si="7"/>
        <v>45</v>
      </c>
    </row>
    <row r="44">
      <c r="A44" s="1">
        <v>536370.0</v>
      </c>
      <c r="B44" s="1" t="str">
        <f t="shared" si="1"/>
        <v>536370</v>
      </c>
      <c r="C44" s="1" t="str">
        <f t="shared" si="2"/>
        <v>Sale</v>
      </c>
      <c r="D44" s="1">
        <v>22540.0</v>
      </c>
      <c r="E44" s="1" t="str">
        <f>IFERROR(__xludf.DUMMYFUNCTION("IF(LEN(D44)&gt;4, IFERROR(REGEXEXTRACT(TO_TEXT(D44),""\d+""),""""),"""")"),"22540")</f>
        <v>22540</v>
      </c>
      <c r="F44" s="6" t="str">
        <f t="shared" si="3"/>
        <v>Product</v>
      </c>
      <c r="G44" s="1" t="s">
        <v>65</v>
      </c>
      <c r="H44" s="6" t="str">
        <f>IFERROR(__xludf.DUMMYFUNCTION("IF(REGEXMATCH(LOWER(G44), ""^(\?)+\s*(missing)?\s*(\?)*$""), """", PROPER(SUBSTITUTE(SUBSTITUTE(G44, ""?"", """"), ""*"", """")))"),"Mini Jigsaw Circus Parade")</f>
        <v>Mini Jigsaw Circus Parade</v>
      </c>
      <c r="I44" s="3">
        <v>24.0</v>
      </c>
      <c r="J44" s="7">
        <v>40513.364583333336</v>
      </c>
      <c r="K44" s="8" t="str">
        <f t="shared" si="4"/>
        <v>2010-12</v>
      </c>
      <c r="L44" s="5">
        <v>0.42</v>
      </c>
      <c r="M44" s="3">
        <v>12583.0</v>
      </c>
      <c r="N44" s="1" t="str">
        <f t="shared" si="5"/>
        <v>Registered</v>
      </c>
      <c r="O44" s="1" t="s">
        <v>49</v>
      </c>
      <c r="P44" s="9" t="str">
        <f t="shared" si="6"/>
        <v>International</v>
      </c>
      <c r="Q44" s="8">
        <f t="shared" si="7"/>
        <v>10.08</v>
      </c>
    </row>
    <row r="45">
      <c r="A45" s="1">
        <v>536370.0</v>
      </c>
      <c r="B45" s="1" t="str">
        <f t="shared" si="1"/>
        <v>536370</v>
      </c>
      <c r="C45" s="1" t="str">
        <f t="shared" si="2"/>
        <v>Sale</v>
      </c>
      <c r="D45" s="1">
        <v>22544.0</v>
      </c>
      <c r="E45" s="1" t="str">
        <f>IFERROR(__xludf.DUMMYFUNCTION("IF(LEN(D45)&gt;4, IFERROR(REGEXEXTRACT(TO_TEXT(D45),""\d+""),""""),"""")"),"22544")</f>
        <v>22544</v>
      </c>
      <c r="F45" s="6" t="str">
        <f t="shared" si="3"/>
        <v>Product</v>
      </c>
      <c r="G45" s="1" t="s">
        <v>66</v>
      </c>
      <c r="H45" s="6" t="str">
        <f>IFERROR(__xludf.DUMMYFUNCTION("IF(REGEXMATCH(LOWER(G45), ""^(\?)+\s*(missing)?\s*(\?)*$""), """", PROPER(SUBSTITUTE(SUBSTITUTE(G45, ""?"", """"), ""*"", """")))"),"Mini Jigsaw Spaceboy")</f>
        <v>Mini Jigsaw Spaceboy</v>
      </c>
      <c r="I45" s="3">
        <v>24.0</v>
      </c>
      <c r="J45" s="7">
        <v>40513.364583333336</v>
      </c>
      <c r="K45" s="8" t="str">
        <f t="shared" si="4"/>
        <v>2010-12</v>
      </c>
      <c r="L45" s="5">
        <v>0.42</v>
      </c>
      <c r="M45" s="3">
        <v>12583.0</v>
      </c>
      <c r="N45" s="1" t="str">
        <f t="shared" si="5"/>
        <v>Registered</v>
      </c>
      <c r="O45" s="1" t="s">
        <v>49</v>
      </c>
      <c r="P45" s="9" t="str">
        <f t="shared" si="6"/>
        <v>International</v>
      </c>
      <c r="Q45" s="8">
        <f t="shared" si="7"/>
        <v>10.08</v>
      </c>
    </row>
    <row r="46">
      <c r="A46" s="1">
        <v>536370.0</v>
      </c>
      <c r="B46" s="1" t="str">
        <f t="shared" si="1"/>
        <v>536370</v>
      </c>
      <c r="C46" s="1" t="str">
        <f t="shared" si="2"/>
        <v>Sale</v>
      </c>
      <c r="D46" s="1">
        <v>22492.0</v>
      </c>
      <c r="E46" s="1" t="str">
        <f>IFERROR(__xludf.DUMMYFUNCTION("IF(LEN(D46)&gt;4, IFERROR(REGEXEXTRACT(TO_TEXT(D46),""\d+""),""""),"""")"),"22492")</f>
        <v>22492</v>
      </c>
      <c r="F46" s="6" t="str">
        <f t="shared" si="3"/>
        <v>Product</v>
      </c>
      <c r="G46" s="1" t="s">
        <v>67</v>
      </c>
      <c r="H46" s="6" t="str">
        <f>IFERROR(__xludf.DUMMYFUNCTION("IF(REGEXMATCH(LOWER(G46), ""^(\?)+\s*(missing)?\s*(\?)*$""), """", PROPER(SUBSTITUTE(SUBSTITUTE(G46, ""?"", """"), ""*"", """")))"),"Mini Paint Set Vintage")</f>
        <v>Mini Paint Set Vintage</v>
      </c>
      <c r="I46" s="3">
        <v>36.0</v>
      </c>
      <c r="J46" s="7">
        <v>40513.364583333336</v>
      </c>
      <c r="K46" s="8" t="str">
        <f t="shared" si="4"/>
        <v>2010-12</v>
      </c>
      <c r="L46" s="5">
        <v>0.65</v>
      </c>
      <c r="M46" s="3">
        <v>12583.0</v>
      </c>
      <c r="N46" s="1" t="str">
        <f t="shared" si="5"/>
        <v>Registered</v>
      </c>
      <c r="O46" s="1" t="s">
        <v>49</v>
      </c>
      <c r="P46" s="9" t="str">
        <f t="shared" si="6"/>
        <v>International</v>
      </c>
      <c r="Q46" s="8">
        <f t="shared" si="7"/>
        <v>23.4</v>
      </c>
    </row>
    <row r="47">
      <c r="A47" s="1">
        <v>536370.0</v>
      </c>
      <c r="B47" s="1" t="str">
        <f t="shared" si="1"/>
        <v>536370</v>
      </c>
      <c r="C47" s="1" t="str">
        <f t="shared" si="2"/>
        <v>Sale</v>
      </c>
      <c r="D47" s="1" t="s">
        <v>68</v>
      </c>
      <c r="E47" s="1" t="str">
        <f>IFERROR(__xludf.DUMMYFUNCTION("IF(LEN(D47)&gt;4, IFERROR(REGEXEXTRACT(TO_TEXT(D47),""\d+""),""""),"""")"),"")</f>
        <v/>
      </c>
      <c r="F47" s="6" t="str">
        <f t="shared" si="3"/>
        <v>Shipping</v>
      </c>
      <c r="G47" s="1" t="s">
        <v>69</v>
      </c>
      <c r="H47" s="6" t="str">
        <f>IFERROR(__xludf.DUMMYFUNCTION("IF(REGEXMATCH(LOWER(G47), ""^(\?)+\s*(missing)?\s*(\?)*$""), """", PROPER(SUBSTITUTE(SUBSTITUTE(G47, ""?"", """"), ""*"", """")))"),"Postage")</f>
        <v>Postage</v>
      </c>
      <c r="I47" s="3">
        <v>3.0</v>
      </c>
      <c r="J47" s="7">
        <v>40513.364583333336</v>
      </c>
      <c r="K47" s="8" t="str">
        <f t="shared" si="4"/>
        <v>2010-12</v>
      </c>
      <c r="L47" s="5">
        <v>18.0</v>
      </c>
      <c r="M47" s="3">
        <v>12583.0</v>
      </c>
      <c r="N47" s="1" t="str">
        <f t="shared" si="5"/>
        <v>Registered</v>
      </c>
      <c r="O47" s="1" t="s">
        <v>49</v>
      </c>
      <c r="P47" s="9" t="str">
        <f t="shared" si="6"/>
        <v>International</v>
      </c>
      <c r="Q47" s="8">
        <f t="shared" si="7"/>
        <v>54</v>
      </c>
    </row>
    <row r="48">
      <c r="A48" s="1">
        <v>536371.0</v>
      </c>
      <c r="B48" s="1" t="str">
        <f t="shared" si="1"/>
        <v>536371</v>
      </c>
      <c r="C48" s="1" t="str">
        <f t="shared" si="2"/>
        <v>Sale</v>
      </c>
      <c r="D48" s="1">
        <v>22086.0</v>
      </c>
      <c r="E48" s="1" t="str">
        <f>IFERROR(__xludf.DUMMYFUNCTION("IF(LEN(D48)&gt;4, IFERROR(REGEXEXTRACT(TO_TEXT(D48),""\d+""),""""),"""")"),"22086")</f>
        <v>22086</v>
      </c>
      <c r="F48" s="6" t="str">
        <f t="shared" si="3"/>
        <v>Product</v>
      </c>
      <c r="G48" s="1" t="s">
        <v>70</v>
      </c>
      <c r="H48" s="6" t="str">
        <f>IFERROR(__xludf.DUMMYFUNCTION("IF(REGEXMATCH(LOWER(G48), ""^(\?)+\s*(missing)?\s*(\?)*$""), """", PROPER(SUBSTITUTE(SUBSTITUTE(G48, ""?"", """"), ""*"", """")))"),"Paper Chain Kit 50'S Christmas")</f>
        <v>Paper Chain Kit 50'S Christmas</v>
      </c>
      <c r="I48" s="3">
        <v>80.0</v>
      </c>
      <c r="J48" s="7">
        <v>40513.375</v>
      </c>
      <c r="K48" s="8" t="str">
        <f t="shared" si="4"/>
        <v>2010-12</v>
      </c>
      <c r="L48" s="5">
        <v>2.55</v>
      </c>
      <c r="M48" s="3">
        <v>13748.0</v>
      </c>
      <c r="N48" s="1" t="str">
        <f t="shared" si="5"/>
        <v>Registered</v>
      </c>
      <c r="O48" s="1" t="s">
        <v>19</v>
      </c>
      <c r="P48" s="9" t="str">
        <f t="shared" si="6"/>
        <v>UK</v>
      </c>
      <c r="Q48" s="8">
        <f t="shared" si="7"/>
        <v>204</v>
      </c>
    </row>
    <row r="49">
      <c r="A49" s="1">
        <v>536372.0</v>
      </c>
      <c r="B49" s="1" t="str">
        <f t="shared" si="1"/>
        <v>536372</v>
      </c>
      <c r="C49" s="1" t="str">
        <f t="shared" si="2"/>
        <v>Sale</v>
      </c>
      <c r="D49" s="1">
        <v>22632.0</v>
      </c>
      <c r="E49" s="1" t="str">
        <f>IFERROR(__xludf.DUMMYFUNCTION("IF(LEN(D49)&gt;4, IFERROR(REGEXEXTRACT(TO_TEXT(D49),""\d+""),""""),"""")"),"22632")</f>
        <v>22632</v>
      </c>
      <c r="F49" s="6" t="str">
        <f t="shared" si="3"/>
        <v>Product</v>
      </c>
      <c r="G49" s="1" t="s">
        <v>30</v>
      </c>
      <c r="H49" s="6" t="str">
        <f>IFERROR(__xludf.DUMMYFUNCTION("IF(REGEXMATCH(LOWER(G49), ""^(\?)+\s*(missing)?\s*(\?)*$""), """", PROPER(SUBSTITUTE(SUBSTITUTE(G49, ""?"", """"), ""*"", """")))"),"Hand Warmer Red Polka Dot")</f>
        <v>Hand Warmer Red Polka Dot</v>
      </c>
      <c r="I49" s="3">
        <v>6.0</v>
      </c>
      <c r="J49" s="7">
        <v>40513.37569444445</v>
      </c>
      <c r="K49" s="8" t="str">
        <f t="shared" si="4"/>
        <v>2010-12</v>
      </c>
      <c r="L49" s="5">
        <v>1.85</v>
      </c>
      <c r="M49" s="3">
        <v>17850.0</v>
      </c>
      <c r="N49" s="1" t="str">
        <f t="shared" si="5"/>
        <v>Registered</v>
      </c>
      <c r="O49" s="1" t="s">
        <v>19</v>
      </c>
      <c r="P49" s="9" t="str">
        <f t="shared" si="6"/>
        <v>UK</v>
      </c>
      <c r="Q49" s="8">
        <f t="shared" si="7"/>
        <v>11.1</v>
      </c>
    </row>
    <row r="50">
      <c r="A50" s="1">
        <v>536372.0</v>
      </c>
      <c r="B50" s="1" t="str">
        <f t="shared" si="1"/>
        <v>536372</v>
      </c>
      <c r="C50" s="1" t="str">
        <f t="shared" si="2"/>
        <v>Sale</v>
      </c>
      <c r="D50" s="1">
        <v>22633.0</v>
      </c>
      <c r="E50" s="1" t="str">
        <f>IFERROR(__xludf.DUMMYFUNCTION("IF(LEN(D50)&gt;4, IFERROR(REGEXEXTRACT(TO_TEXT(D50),""\d+""),""""),"""")"),"22633")</f>
        <v>22633</v>
      </c>
      <c r="F50" s="6" t="str">
        <f t="shared" si="3"/>
        <v>Product</v>
      </c>
      <c r="G50" s="1" t="s">
        <v>29</v>
      </c>
      <c r="H50" s="6" t="str">
        <f>IFERROR(__xludf.DUMMYFUNCTION("IF(REGEXMATCH(LOWER(G50), ""^(\?)+\s*(missing)?\s*(\?)*$""), """", PROPER(SUBSTITUTE(SUBSTITUTE(G50, ""?"", """"), ""*"", """")))"),"Hand Warmer Union Jack")</f>
        <v>Hand Warmer Union Jack</v>
      </c>
      <c r="I50" s="3">
        <v>6.0</v>
      </c>
      <c r="J50" s="7">
        <v>40513.37569444445</v>
      </c>
      <c r="K50" s="8" t="str">
        <f t="shared" si="4"/>
        <v>2010-12</v>
      </c>
      <c r="L50" s="5">
        <v>1.85</v>
      </c>
      <c r="M50" s="3">
        <v>17850.0</v>
      </c>
      <c r="N50" s="1" t="str">
        <f t="shared" si="5"/>
        <v>Registered</v>
      </c>
      <c r="O50" s="1" t="s">
        <v>19</v>
      </c>
      <c r="P50" s="9" t="str">
        <f t="shared" si="6"/>
        <v>UK</v>
      </c>
      <c r="Q50" s="8">
        <f t="shared" si="7"/>
        <v>11.1</v>
      </c>
    </row>
    <row r="51">
      <c r="A51" s="1">
        <v>536373.0</v>
      </c>
      <c r="B51" s="1" t="str">
        <f t="shared" si="1"/>
        <v>536373</v>
      </c>
      <c r="C51" s="1" t="str">
        <f t="shared" si="2"/>
        <v>Sale</v>
      </c>
      <c r="D51" s="1" t="s">
        <v>17</v>
      </c>
      <c r="E51" s="1" t="str">
        <f>IFERROR(__xludf.DUMMYFUNCTION("IF(LEN(D51)&gt;4, IFERROR(REGEXEXTRACT(TO_TEXT(D51),""\d+""),""""),"""")"),"85123")</f>
        <v>85123</v>
      </c>
      <c r="F51" s="6" t="str">
        <f t="shared" si="3"/>
        <v>Product</v>
      </c>
      <c r="G51" s="1" t="s">
        <v>18</v>
      </c>
      <c r="H51" s="6" t="str">
        <f>IFERROR(__xludf.DUMMYFUNCTION("IF(REGEXMATCH(LOWER(G51), ""^(\?)+\s*(missing)?\s*(\?)*$""), """", PROPER(SUBSTITUTE(SUBSTITUTE(G51, ""?"", """"), ""*"", """")))"),"White Hanging Heart T-Light Holder")</f>
        <v>White Hanging Heart T-Light Holder</v>
      </c>
      <c r="I51" s="3">
        <v>6.0</v>
      </c>
      <c r="J51" s="7">
        <v>40513.376388888886</v>
      </c>
      <c r="K51" s="8" t="str">
        <f t="shared" si="4"/>
        <v>2010-12</v>
      </c>
      <c r="L51" s="5">
        <v>2.55</v>
      </c>
      <c r="M51" s="3">
        <v>17850.0</v>
      </c>
      <c r="N51" s="1" t="str">
        <f t="shared" si="5"/>
        <v>Registered</v>
      </c>
      <c r="O51" s="1" t="s">
        <v>19</v>
      </c>
      <c r="P51" s="9" t="str">
        <f t="shared" si="6"/>
        <v>UK</v>
      </c>
      <c r="Q51" s="8">
        <f t="shared" si="7"/>
        <v>15.3</v>
      </c>
    </row>
    <row r="52">
      <c r="A52" s="1">
        <v>536373.0</v>
      </c>
      <c r="B52" s="1" t="str">
        <f t="shared" si="1"/>
        <v>536373</v>
      </c>
      <c r="C52" s="1" t="str">
        <f t="shared" si="2"/>
        <v>Sale</v>
      </c>
      <c r="D52" s="1">
        <v>71053.0</v>
      </c>
      <c r="E52" s="1" t="str">
        <f>IFERROR(__xludf.DUMMYFUNCTION("IF(LEN(D52)&gt;4, IFERROR(REGEXEXTRACT(TO_TEXT(D52),""\d+""),""""),"""")"),"71053")</f>
        <v>71053</v>
      </c>
      <c r="F52" s="6" t="str">
        <f t="shared" si="3"/>
        <v>Product</v>
      </c>
      <c r="G52" s="1" t="s">
        <v>20</v>
      </c>
      <c r="H52" s="6" t="str">
        <f>IFERROR(__xludf.DUMMYFUNCTION("IF(REGEXMATCH(LOWER(G52), ""^(\?)+\s*(missing)?\s*(\?)*$""), """", PROPER(SUBSTITUTE(SUBSTITUTE(G52, ""?"", """"), ""*"", """")))"),"White Metal Lantern")</f>
        <v>White Metal Lantern</v>
      </c>
      <c r="I52" s="3">
        <v>6.0</v>
      </c>
      <c r="J52" s="7">
        <v>40513.376388888886</v>
      </c>
      <c r="K52" s="8" t="str">
        <f t="shared" si="4"/>
        <v>2010-12</v>
      </c>
      <c r="L52" s="5">
        <v>3.39</v>
      </c>
      <c r="M52" s="3">
        <v>17850.0</v>
      </c>
      <c r="N52" s="1" t="str">
        <f t="shared" si="5"/>
        <v>Registered</v>
      </c>
      <c r="O52" s="1" t="s">
        <v>19</v>
      </c>
      <c r="P52" s="9" t="str">
        <f t="shared" si="6"/>
        <v>UK</v>
      </c>
      <c r="Q52" s="8">
        <f t="shared" si="7"/>
        <v>20.34</v>
      </c>
    </row>
    <row r="53">
      <c r="A53" s="1">
        <v>536373.0</v>
      </c>
      <c r="B53" s="1" t="str">
        <f t="shared" si="1"/>
        <v>536373</v>
      </c>
      <c r="C53" s="1" t="str">
        <f t="shared" si="2"/>
        <v>Sale</v>
      </c>
      <c r="D53" s="1" t="s">
        <v>21</v>
      </c>
      <c r="E53" s="1" t="str">
        <f>IFERROR(__xludf.DUMMYFUNCTION("IF(LEN(D53)&gt;4, IFERROR(REGEXEXTRACT(TO_TEXT(D53),""\d+""),""""),"""")"),"84406")</f>
        <v>84406</v>
      </c>
      <c r="F53" s="6" t="str">
        <f t="shared" si="3"/>
        <v>Product</v>
      </c>
      <c r="G53" s="1" t="s">
        <v>22</v>
      </c>
      <c r="H53" s="6" t="str">
        <f>IFERROR(__xludf.DUMMYFUNCTION("IF(REGEXMATCH(LOWER(G53), ""^(\?)+\s*(missing)?\s*(\?)*$""), """", PROPER(SUBSTITUTE(SUBSTITUTE(G53, ""?"", """"), ""*"", """")))"),"Cream Cupid Hearts Coat Hanger")</f>
        <v>Cream Cupid Hearts Coat Hanger</v>
      </c>
      <c r="I53" s="3">
        <v>8.0</v>
      </c>
      <c r="J53" s="7">
        <v>40513.376388888886</v>
      </c>
      <c r="K53" s="8" t="str">
        <f t="shared" si="4"/>
        <v>2010-12</v>
      </c>
      <c r="L53" s="5">
        <v>2.75</v>
      </c>
      <c r="M53" s="3">
        <v>17850.0</v>
      </c>
      <c r="N53" s="1" t="str">
        <f t="shared" si="5"/>
        <v>Registered</v>
      </c>
      <c r="O53" s="1" t="s">
        <v>19</v>
      </c>
      <c r="P53" s="9" t="str">
        <f t="shared" si="6"/>
        <v>UK</v>
      </c>
      <c r="Q53" s="8">
        <f t="shared" si="7"/>
        <v>22</v>
      </c>
    </row>
    <row r="54">
      <c r="A54" s="1">
        <v>536373.0</v>
      </c>
      <c r="B54" s="1" t="str">
        <f t="shared" si="1"/>
        <v>536373</v>
      </c>
      <c r="C54" s="1" t="str">
        <f t="shared" si="2"/>
        <v>Sale</v>
      </c>
      <c r="D54" s="1">
        <v>20679.0</v>
      </c>
      <c r="E54" s="1" t="str">
        <f>IFERROR(__xludf.DUMMYFUNCTION("IF(LEN(D54)&gt;4, IFERROR(REGEXEXTRACT(TO_TEXT(D54),""\d+""),""""),"""")"),"20679")</f>
        <v>20679</v>
      </c>
      <c r="F54" s="6" t="str">
        <f t="shared" si="3"/>
        <v>Product</v>
      </c>
      <c r="G54" s="1" t="s">
        <v>71</v>
      </c>
      <c r="H54" s="6" t="str">
        <f>IFERROR(__xludf.DUMMYFUNCTION("IF(REGEXMATCH(LOWER(G54), ""^(\?)+\s*(missing)?\s*(\?)*$""), """", PROPER(SUBSTITUTE(SUBSTITUTE(G54, ""?"", """"), ""*"", """")))"),"Edwardian Parasol Red")</f>
        <v>Edwardian Parasol Red</v>
      </c>
      <c r="I54" s="3">
        <v>6.0</v>
      </c>
      <c r="J54" s="7">
        <v>40513.376388888886</v>
      </c>
      <c r="K54" s="8" t="str">
        <f t="shared" si="4"/>
        <v>2010-12</v>
      </c>
      <c r="L54" s="5">
        <v>4.95</v>
      </c>
      <c r="M54" s="3">
        <v>17850.0</v>
      </c>
      <c r="N54" s="1" t="str">
        <f t="shared" si="5"/>
        <v>Registered</v>
      </c>
      <c r="O54" s="1" t="s">
        <v>19</v>
      </c>
      <c r="P54" s="9" t="str">
        <f t="shared" si="6"/>
        <v>UK</v>
      </c>
      <c r="Q54" s="8">
        <f t="shared" si="7"/>
        <v>29.7</v>
      </c>
    </row>
    <row r="55">
      <c r="A55" s="1">
        <v>536373.0</v>
      </c>
      <c r="B55" s="1" t="str">
        <f t="shared" si="1"/>
        <v>536373</v>
      </c>
      <c r="C55" s="1" t="str">
        <f t="shared" si="2"/>
        <v>Sale</v>
      </c>
      <c r="D55" s="1">
        <v>37370.0</v>
      </c>
      <c r="E55" s="1" t="str">
        <f>IFERROR(__xludf.DUMMYFUNCTION("IF(LEN(D55)&gt;4, IFERROR(REGEXEXTRACT(TO_TEXT(D55),""\d+""),""""),"""")"),"37370")</f>
        <v>37370</v>
      </c>
      <c r="F55" s="6" t="str">
        <f t="shared" si="3"/>
        <v>Product</v>
      </c>
      <c r="G55" s="1" t="s">
        <v>72</v>
      </c>
      <c r="H55" s="6" t="str">
        <f>IFERROR(__xludf.DUMMYFUNCTION("IF(REGEXMATCH(LOWER(G55), ""^(\?)+\s*(missing)?\s*(\?)*$""), """", PROPER(SUBSTITUTE(SUBSTITUTE(G55, ""?"", """"), ""*"", """")))"),"Retro Coffee Mugs Assorted")</f>
        <v>Retro Coffee Mugs Assorted</v>
      </c>
      <c r="I55" s="3">
        <v>6.0</v>
      </c>
      <c r="J55" s="7">
        <v>40513.376388888886</v>
      </c>
      <c r="K55" s="8" t="str">
        <f t="shared" si="4"/>
        <v>2010-12</v>
      </c>
      <c r="L55" s="5">
        <v>1.06</v>
      </c>
      <c r="M55" s="3">
        <v>17850.0</v>
      </c>
      <c r="N55" s="1" t="str">
        <f t="shared" si="5"/>
        <v>Registered</v>
      </c>
      <c r="O55" s="1" t="s">
        <v>19</v>
      </c>
      <c r="P55" s="9" t="str">
        <f t="shared" si="6"/>
        <v>UK</v>
      </c>
      <c r="Q55" s="8">
        <f t="shared" si="7"/>
        <v>6.36</v>
      </c>
    </row>
    <row r="56">
      <c r="A56" s="1">
        <v>536373.0</v>
      </c>
      <c r="B56" s="1" t="str">
        <f t="shared" si="1"/>
        <v>536373</v>
      </c>
      <c r="C56" s="1" t="str">
        <f t="shared" si="2"/>
        <v>Sale</v>
      </c>
      <c r="D56" s="1">
        <v>21871.0</v>
      </c>
      <c r="E56" s="1" t="str">
        <f>IFERROR(__xludf.DUMMYFUNCTION("IF(LEN(D56)&gt;4, IFERROR(REGEXEXTRACT(TO_TEXT(D56),""\d+""),""""),"""")"),"21871")</f>
        <v>21871</v>
      </c>
      <c r="F56" s="6" t="str">
        <f t="shared" si="3"/>
        <v>Product</v>
      </c>
      <c r="G56" s="1" t="s">
        <v>73</v>
      </c>
      <c r="H56" s="6" t="str">
        <f>IFERROR(__xludf.DUMMYFUNCTION("IF(REGEXMATCH(LOWER(G56), ""^(\?)+\s*(missing)?\s*(\?)*$""), """", PROPER(SUBSTITUTE(SUBSTITUTE(G56, ""?"", """"), ""*"", """")))"),"Save The Planet Mug")</f>
        <v>Save The Planet Mug</v>
      </c>
      <c r="I56" s="3">
        <v>6.0</v>
      </c>
      <c r="J56" s="7">
        <v>40513.376388888886</v>
      </c>
      <c r="K56" s="8" t="str">
        <f t="shared" si="4"/>
        <v>2010-12</v>
      </c>
      <c r="L56" s="5">
        <v>1.06</v>
      </c>
      <c r="M56" s="3">
        <v>17850.0</v>
      </c>
      <c r="N56" s="1" t="str">
        <f t="shared" si="5"/>
        <v>Registered</v>
      </c>
      <c r="O56" s="1" t="s">
        <v>19</v>
      </c>
      <c r="P56" s="9" t="str">
        <f t="shared" si="6"/>
        <v>UK</v>
      </c>
      <c r="Q56" s="8">
        <f t="shared" si="7"/>
        <v>6.36</v>
      </c>
    </row>
    <row r="57">
      <c r="A57" s="1">
        <v>536373.0</v>
      </c>
      <c r="B57" s="1" t="str">
        <f t="shared" si="1"/>
        <v>536373</v>
      </c>
      <c r="C57" s="1" t="str">
        <f t="shared" si="2"/>
        <v>Sale</v>
      </c>
      <c r="D57" s="1">
        <v>21071.0</v>
      </c>
      <c r="E57" s="1" t="str">
        <f>IFERROR(__xludf.DUMMYFUNCTION("IF(LEN(D57)&gt;4, IFERROR(REGEXEXTRACT(TO_TEXT(D57),""\d+""),""""),"""")"),"21071")</f>
        <v>21071</v>
      </c>
      <c r="F57" s="6" t="str">
        <f t="shared" si="3"/>
        <v>Product</v>
      </c>
      <c r="G57" s="1" t="s">
        <v>74</v>
      </c>
      <c r="H57" s="6" t="str">
        <f>IFERROR(__xludf.DUMMYFUNCTION("IF(REGEXMATCH(LOWER(G57), ""^(\?)+\s*(missing)?\s*(\?)*$""), """", PROPER(SUBSTITUTE(SUBSTITUTE(G57, ""?"", """"), ""*"", """")))"),"Vintage Billboard Drink Me Mug")</f>
        <v>Vintage Billboard Drink Me Mug</v>
      </c>
      <c r="I57" s="3">
        <v>6.0</v>
      </c>
      <c r="J57" s="7">
        <v>40513.376388888886</v>
      </c>
      <c r="K57" s="8" t="str">
        <f t="shared" si="4"/>
        <v>2010-12</v>
      </c>
      <c r="L57" s="5">
        <v>1.06</v>
      </c>
      <c r="M57" s="3">
        <v>17850.0</v>
      </c>
      <c r="N57" s="1" t="str">
        <f t="shared" si="5"/>
        <v>Registered</v>
      </c>
      <c r="O57" s="1" t="s">
        <v>19</v>
      </c>
      <c r="P57" s="9" t="str">
        <f t="shared" si="6"/>
        <v>UK</v>
      </c>
      <c r="Q57" s="8">
        <f t="shared" si="7"/>
        <v>6.36</v>
      </c>
    </row>
    <row r="58">
      <c r="A58" s="1">
        <v>536373.0</v>
      </c>
      <c r="B58" s="1" t="str">
        <f t="shared" si="1"/>
        <v>536373</v>
      </c>
      <c r="C58" s="1" t="str">
        <f t="shared" si="2"/>
        <v>Sale</v>
      </c>
      <c r="D58" s="1">
        <v>21068.0</v>
      </c>
      <c r="E58" s="1" t="str">
        <f>IFERROR(__xludf.DUMMYFUNCTION("IF(LEN(D58)&gt;4, IFERROR(REGEXEXTRACT(TO_TEXT(D58),""\d+""),""""),"""")"),"21068")</f>
        <v>21068</v>
      </c>
      <c r="F58" s="6" t="str">
        <f t="shared" si="3"/>
        <v>Product</v>
      </c>
      <c r="G58" s="1" t="s">
        <v>75</v>
      </c>
      <c r="H58" s="6" t="str">
        <f>IFERROR(__xludf.DUMMYFUNCTION("IF(REGEXMATCH(LOWER(G58), ""^(\?)+\s*(missing)?\s*(\?)*$""), """", PROPER(SUBSTITUTE(SUBSTITUTE(G58, ""?"", """"), ""*"", """")))"),"Vintage Billboard Love/Hate Mug")</f>
        <v>Vintage Billboard Love/Hate Mug</v>
      </c>
      <c r="I58" s="3">
        <v>6.0</v>
      </c>
      <c r="J58" s="7">
        <v>40513.376388888886</v>
      </c>
      <c r="K58" s="8" t="str">
        <f t="shared" si="4"/>
        <v>2010-12</v>
      </c>
      <c r="L58" s="5">
        <v>1.06</v>
      </c>
      <c r="M58" s="3">
        <v>17850.0</v>
      </c>
      <c r="N58" s="1" t="str">
        <f t="shared" si="5"/>
        <v>Registered</v>
      </c>
      <c r="O58" s="1" t="s">
        <v>19</v>
      </c>
      <c r="P58" s="9" t="str">
        <f t="shared" si="6"/>
        <v>UK</v>
      </c>
      <c r="Q58" s="8">
        <f t="shared" si="7"/>
        <v>6.36</v>
      </c>
    </row>
    <row r="59">
      <c r="A59" s="1">
        <v>536373.0</v>
      </c>
      <c r="B59" s="1" t="str">
        <f t="shared" si="1"/>
        <v>536373</v>
      </c>
      <c r="C59" s="1" t="str">
        <f t="shared" si="2"/>
        <v>Sale</v>
      </c>
      <c r="D59" s="1">
        <v>82483.0</v>
      </c>
      <c r="E59" s="1" t="str">
        <f>IFERROR(__xludf.DUMMYFUNCTION("IF(LEN(D59)&gt;4, IFERROR(REGEXEXTRACT(TO_TEXT(D59),""\d+""),""""),"""")"),"82483")</f>
        <v>82483</v>
      </c>
      <c r="F59" s="6" t="str">
        <f t="shared" si="3"/>
        <v>Product</v>
      </c>
      <c r="G59" s="1" t="s">
        <v>76</v>
      </c>
      <c r="H59" s="6" t="str">
        <f>IFERROR(__xludf.DUMMYFUNCTION("IF(REGEXMATCH(LOWER(G59), ""^(\?)+\s*(missing)?\s*(\?)*$""), """", PROPER(SUBSTITUTE(SUBSTITUTE(G59, ""?"", """"), ""*"", """")))"),"Wood 2 Drawer Cabinet White Finish")</f>
        <v>Wood 2 Drawer Cabinet White Finish</v>
      </c>
      <c r="I59" s="3">
        <v>2.0</v>
      </c>
      <c r="J59" s="7">
        <v>40513.376388888886</v>
      </c>
      <c r="K59" s="8" t="str">
        <f t="shared" si="4"/>
        <v>2010-12</v>
      </c>
      <c r="L59" s="5">
        <v>4.95</v>
      </c>
      <c r="M59" s="3">
        <v>17850.0</v>
      </c>
      <c r="N59" s="1" t="str">
        <f t="shared" si="5"/>
        <v>Registered</v>
      </c>
      <c r="O59" s="1" t="s">
        <v>19</v>
      </c>
      <c r="P59" s="9" t="str">
        <f t="shared" si="6"/>
        <v>UK</v>
      </c>
      <c r="Q59" s="8">
        <f t="shared" si="7"/>
        <v>9.9</v>
      </c>
    </row>
    <row r="60">
      <c r="A60" s="1">
        <v>536373.0</v>
      </c>
      <c r="B60" s="1" t="str">
        <f t="shared" si="1"/>
        <v>536373</v>
      </c>
      <c r="C60" s="1" t="str">
        <f t="shared" si="2"/>
        <v>Sale</v>
      </c>
      <c r="D60" s="1">
        <v>82486.0</v>
      </c>
      <c r="E60" s="1" t="str">
        <f>IFERROR(__xludf.DUMMYFUNCTION("IF(LEN(D60)&gt;4, IFERROR(REGEXEXTRACT(TO_TEXT(D60),""\d+""),""""),"""")"),"82486")</f>
        <v>82486</v>
      </c>
      <c r="F60" s="6" t="str">
        <f t="shared" si="3"/>
        <v>Product</v>
      </c>
      <c r="G60" s="1" t="s">
        <v>77</v>
      </c>
      <c r="H60" s="6" t="str">
        <f>IFERROR(__xludf.DUMMYFUNCTION("IF(REGEXMATCH(LOWER(G60), ""^(\?)+\s*(missing)?\s*(\?)*$""), """", PROPER(SUBSTITUTE(SUBSTITUTE(G60, ""?"", """"), ""*"", """")))"),"Wood S/3 Cabinet Ant White Finish")</f>
        <v>Wood S/3 Cabinet Ant White Finish</v>
      </c>
      <c r="I60" s="3">
        <v>4.0</v>
      </c>
      <c r="J60" s="7">
        <v>40513.376388888886</v>
      </c>
      <c r="K60" s="8" t="str">
        <f t="shared" si="4"/>
        <v>2010-12</v>
      </c>
      <c r="L60" s="5">
        <v>6.95</v>
      </c>
      <c r="M60" s="3">
        <v>17850.0</v>
      </c>
      <c r="N60" s="1" t="str">
        <f t="shared" si="5"/>
        <v>Registered</v>
      </c>
      <c r="O60" s="1" t="s">
        <v>19</v>
      </c>
      <c r="P60" s="9" t="str">
        <f t="shared" si="6"/>
        <v>UK</v>
      </c>
      <c r="Q60" s="8">
        <f t="shared" si="7"/>
        <v>27.8</v>
      </c>
    </row>
    <row r="61">
      <c r="A61" s="1">
        <v>536373.0</v>
      </c>
      <c r="B61" s="1" t="str">
        <f t="shared" si="1"/>
        <v>536373</v>
      </c>
      <c r="C61" s="1" t="str">
        <f t="shared" si="2"/>
        <v>Sale</v>
      </c>
      <c r="D61" s="1">
        <v>82482.0</v>
      </c>
      <c r="E61" s="1" t="str">
        <f>IFERROR(__xludf.DUMMYFUNCTION("IF(LEN(D61)&gt;4, IFERROR(REGEXEXTRACT(TO_TEXT(D61),""\d+""),""""),"""")"),"82482")</f>
        <v>82482</v>
      </c>
      <c r="F61" s="6" t="str">
        <f t="shared" si="3"/>
        <v>Product</v>
      </c>
      <c r="G61" s="1" t="s">
        <v>78</v>
      </c>
      <c r="H61" s="6" t="str">
        <f>IFERROR(__xludf.DUMMYFUNCTION("IF(REGEXMATCH(LOWER(G61), ""^(\?)+\s*(missing)?\s*(\?)*$""), """", PROPER(SUBSTITUTE(SUBSTITUTE(G61, ""?"", """"), ""*"", """")))"),"Wooden Picture Frame White Finish")</f>
        <v>Wooden Picture Frame White Finish</v>
      </c>
      <c r="I61" s="3">
        <v>6.0</v>
      </c>
      <c r="J61" s="7">
        <v>40513.376388888886</v>
      </c>
      <c r="K61" s="8" t="str">
        <f t="shared" si="4"/>
        <v>2010-12</v>
      </c>
      <c r="L61" s="5">
        <v>2.1</v>
      </c>
      <c r="M61" s="3">
        <v>17850.0</v>
      </c>
      <c r="N61" s="1" t="str">
        <f t="shared" si="5"/>
        <v>Registered</v>
      </c>
      <c r="O61" s="1" t="s">
        <v>19</v>
      </c>
      <c r="P61" s="9" t="str">
        <f t="shared" si="6"/>
        <v>UK</v>
      </c>
      <c r="Q61" s="8">
        <f t="shared" si="7"/>
        <v>12.6</v>
      </c>
    </row>
    <row r="62">
      <c r="A62" s="1">
        <v>536373.0</v>
      </c>
      <c r="B62" s="1" t="str">
        <f t="shared" si="1"/>
        <v>536373</v>
      </c>
      <c r="C62" s="1" t="str">
        <f t="shared" si="2"/>
        <v>Sale</v>
      </c>
      <c r="D62" s="1" t="s">
        <v>79</v>
      </c>
      <c r="E62" s="1" t="str">
        <f>IFERROR(__xludf.DUMMYFUNCTION("IF(LEN(D62)&gt;4, IFERROR(REGEXEXTRACT(TO_TEXT(D62),""\d+""),""""),"""")"),"82494")</f>
        <v>82494</v>
      </c>
      <c r="F62" s="6" t="str">
        <f t="shared" si="3"/>
        <v>Product</v>
      </c>
      <c r="G62" s="1" t="s">
        <v>80</v>
      </c>
      <c r="H62" s="6" t="str">
        <f>IFERROR(__xludf.DUMMYFUNCTION("IF(REGEXMATCH(LOWER(G62), ""^(\?)+\s*(missing)?\s*(\?)*$""), """", PROPER(SUBSTITUTE(SUBSTITUTE(G62, ""?"", """"), ""*"", """")))"),"Wooden Frame Antique White")</f>
        <v>Wooden Frame Antique White</v>
      </c>
      <c r="I62" s="3">
        <v>6.0</v>
      </c>
      <c r="J62" s="7">
        <v>40513.376388888886</v>
      </c>
      <c r="K62" s="8" t="str">
        <f t="shared" si="4"/>
        <v>2010-12</v>
      </c>
      <c r="L62" s="5">
        <v>2.55</v>
      </c>
      <c r="M62" s="3">
        <v>17850.0</v>
      </c>
      <c r="N62" s="1" t="str">
        <f t="shared" si="5"/>
        <v>Registered</v>
      </c>
      <c r="O62" s="1" t="s">
        <v>19</v>
      </c>
      <c r="P62" s="9" t="str">
        <f t="shared" si="6"/>
        <v>UK</v>
      </c>
      <c r="Q62" s="8">
        <f t="shared" si="7"/>
        <v>15.3</v>
      </c>
    </row>
    <row r="63">
      <c r="A63" s="1">
        <v>536373.0</v>
      </c>
      <c r="B63" s="1" t="str">
        <f t="shared" si="1"/>
        <v>536373</v>
      </c>
      <c r="C63" s="1" t="str">
        <f t="shared" si="2"/>
        <v>Sale</v>
      </c>
      <c r="D63" s="1" t="s">
        <v>23</v>
      </c>
      <c r="E63" s="1" t="str">
        <f>IFERROR(__xludf.DUMMYFUNCTION("IF(LEN(D63)&gt;4, IFERROR(REGEXEXTRACT(TO_TEXT(D63),""\d+""),""""),"""")"),"84029")</f>
        <v>84029</v>
      </c>
      <c r="F63" s="6" t="str">
        <f t="shared" si="3"/>
        <v>Product</v>
      </c>
      <c r="G63" s="1" t="s">
        <v>24</v>
      </c>
      <c r="H63" s="6" t="str">
        <f>IFERROR(__xludf.DUMMYFUNCTION("IF(REGEXMATCH(LOWER(G63), ""^(\?)+\s*(missing)?\s*(\?)*$""), """", PROPER(SUBSTITUTE(SUBSTITUTE(G63, ""?"", """"), ""*"", """")))"),"Knitted Union Flag Hot Water Bottle")</f>
        <v>Knitted Union Flag Hot Water Bottle</v>
      </c>
      <c r="I63" s="3">
        <v>6.0</v>
      </c>
      <c r="J63" s="7">
        <v>40513.376388888886</v>
      </c>
      <c r="K63" s="8" t="str">
        <f t="shared" si="4"/>
        <v>2010-12</v>
      </c>
      <c r="L63" s="5">
        <v>3.39</v>
      </c>
      <c r="M63" s="3">
        <v>17850.0</v>
      </c>
      <c r="N63" s="1" t="str">
        <f t="shared" si="5"/>
        <v>Registered</v>
      </c>
      <c r="O63" s="1" t="s">
        <v>19</v>
      </c>
      <c r="P63" s="9" t="str">
        <f t="shared" si="6"/>
        <v>UK</v>
      </c>
      <c r="Q63" s="8">
        <f t="shared" si="7"/>
        <v>20.34</v>
      </c>
    </row>
    <row r="64">
      <c r="A64" s="1">
        <v>536373.0</v>
      </c>
      <c r="B64" s="1" t="str">
        <f t="shared" si="1"/>
        <v>536373</v>
      </c>
      <c r="C64" s="1" t="str">
        <f t="shared" si="2"/>
        <v>Sale</v>
      </c>
      <c r="D64" s="1" t="s">
        <v>25</v>
      </c>
      <c r="E64" s="1" t="str">
        <f>IFERROR(__xludf.DUMMYFUNCTION("IF(LEN(D64)&gt;4, IFERROR(REGEXEXTRACT(TO_TEXT(D64),""\d+""),""""),"""")"),"84029")</f>
        <v>84029</v>
      </c>
      <c r="F64" s="6" t="str">
        <f t="shared" si="3"/>
        <v>Product</v>
      </c>
      <c r="G64" s="1" t="s">
        <v>26</v>
      </c>
      <c r="H64" s="6" t="str">
        <f>IFERROR(__xludf.DUMMYFUNCTION("IF(REGEXMATCH(LOWER(G64), ""^(\?)+\s*(missing)?\s*(\?)*$""), """", PROPER(SUBSTITUTE(SUBSTITUTE(G64, ""?"", """"), ""*"", """")))"),"Red Woolly Hottie White Heart.")</f>
        <v>Red Woolly Hottie White Heart.</v>
      </c>
      <c r="I64" s="3">
        <v>6.0</v>
      </c>
      <c r="J64" s="7">
        <v>40513.376388888886</v>
      </c>
      <c r="K64" s="8" t="str">
        <f t="shared" si="4"/>
        <v>2010-12</v>
      </c>
      <c r="L64" s="5">
        <v>3.39</v>
      </c>
      <c r="M64" s="3">
        <v>17850.0</v>
      </c>
      <c r="N64" s="1" t="str">
        <f t="shared" si="5"/>
        <v>Registered</v>
      </c>
      <c r="O64" s="1" t="s">
        <v>19</v>
      </c>
      <c r="P64" s="9" t="str">
        <f t="shared" si="6"/>
        <v>UK</v>
      </c>
      <c r="Q64" s="8">
        <f t="shared" si="7"/>
        <v>20.34</v>
      </c>
    </row>
    <row r="65">
      <c r="A65" s="1">
        <v>536373.0</v>
      </c>
      <c r="B65" s="1" t="str">
        <f t="shared" si="1"/>
        <v>536373</v>
      </c>
      <c r="C65" s="1" t="str">
        <f t="shared" si="2"/>
        <v>Sale</v>
      </c>
      <c r="D65" s="1">
        <v>22752.0</v>
      </c>
      <c r="E65" s="1" t="str">
        <f>IFERROR(__xludf.DUMMYFUNCTION("IF(LEN(D65)&gt;4, IFERROR(REGEXEXTRACT(TO_TEXT(D65),""\d+""),""""),"""")"),"22752")</f>
        <v>22752</v>
      </c>
      <c r="F65" s="6" t="str">
        <f t="shared" si="3"/>
        <v>Product</v>
      </c>
      <c r="G65" s="1" t="s">
        <v>27</v>
      </c>
      <c r="H65" s="6" t="str">
        <f>IFERROR(__xludf.DUMMYFUNCTION("IF(REGEXMATCH(LOWER(G65), ""^(\?)+\s*(missing)?\s*(\?)*$""), """", PROPER(SUBSTITUTE(SUBSTITUTE(G65, ""?"", """"), ""*"", """")))"),"Set 7 Babushka Nesting Boxes")</f>
        <v>Set 7 Babushka Nesting Boxes</v>
      </c>
      <c r="I65" s="3">
        <v>2.0</v>
      </c>
      <c r="J65" s="7">
        <v>40513.376388888886</v>
      </c>
      <c r="K65" s="8" t="str">
        <f t="shared" si="4"/>
        <v>2010-12</v>
      </c>
      <c r="L65" s="5">
        <v>7.65</v>
      </c>
      <c r="M65" s="3">
        <v>17850.0</v>
      </c>
      <c r="N65" s="1" t="str">
        <f t="shared" si="5"/>
        <v>Registered</v>
      </c>
      <c r="O65" s="1" t="s">
        <v>19</v>
      </c>
      <c r="P65" s="9" t="str">
        <f t="shared" si="6"/>
        <v>UK</v>
      </c>
      <c r="Q65" s="8">
        <f t="shared" si="7"/>
        <v>15.3</v>
      </c>
    </row>
    <row r="66">
      <c r="A66" s="1">
        <v>536373.0</v>
      </c>
      <c r="B66" s="1" t="str">
        <f t="shared" si="1"/>
        <v>536373</v>
      </c>
      <c r="C66" s="1" t="str">
        <f t="shared" si="2"/>
        <v>Sale</v>
      </c>
      <c r="D66" s="1">
        <v>21730.0</v>
      </c>
      <c r="E66" s="1" t="str">
        <f>IFERROR(__xludf.DUMMYFUNCTION("IF(LEN(D66)&gt;4, IFERROR(REGEXEXTRACT(TO_TEXT(D66),""\d+""),""""),"""")"),"21730")</f>
        <v>21730</v>
      </c>
      <c r="F66" s="6" t="str">
        <f t="shared" si="3"/>
        <v>Product</v>
      </c>
      <c r="G66" s="1" t="s">
        <v>28</v>
      </c>
      <c r="H66" s="6" t="str">
        <f>IFERROR(__xludf.DUMMYFUNCTION("IF(REGEXMATCH(LOWER(G66), ""^(\?)+\s*(missing)?\s*(\?)*$""), """", PROPER(SUBSTITUTE(SUBSTITUTE(G66, ""?"", """"), ""*"", """")))"),"Glass Star Frosted T-Light Holder")</f>
        <v>Glass Star Frosted T-Light Holder</v>
      </c>
      <c r="I66" s="3">
        <v>6.0</v>
      </c>
      <c r="J66" s="7">
        <v>40513.376388888886</v>
      </c>
      <c r="K66" s="8" t="str">
        <f t="shared" si="4"/>
        <v>2010-12</v>
      </c>
      <c r="L66" s="5">
        <v>4.25</v>
      </c>
      <c r="M66" s="3">
        <v>17850.0</v>
      </c>
      <c r="N66" s="1" t="str">
        <f t="shared" si="5"/>
        <v>Registered</v>
      </c>
      <c r="O66" s="1" t="s">
        <v>19</v>
      </c>
      <c r="P66" s="9" t="str">
        <f t="shared" si="6"/>
        <v>UK</v>
      </c>
      <c r="Q66" s="8">
        <f t="shared" si="7"/>
        <v>25.5</v>
      </c>
    </row>
    <row r="67">
      <c r="A67" s="1">
        <v>536374.0</v>
      </c>
      <c r="B67" s="1" t="str">
        <f t="shared" si="1"/>
        <v>536374</v>
      </c>
      <c r="C67" s="1" t="str">
        <f t="shared" si="2"/>
        <v>Sale</v>
      </c>
      <c r="D67" s="1">
        <v>21258.0</v>
      </c>
      <c r="E67" s="1" t="str">
        <f>IFERROR(__xludf.DUMMYFUNCTION("IF(LEN(D67)&gt;4, IFERROR(REGEXEXTRACT(TO_TEXT(D67),""\d+""),""""),"""")"),"21258")</f>
        <v>21258</v>
      </c>
      <c r="F67" s="6" t="str">
        <f t="shared" si="3"/>
        <v>Product</v>
      </c>
      <c r="G67" s="1" t="s">
        <v>81</v>
      </c>
      <c r="H67" s="6" t="str">
        <f>IFERROR(__xludf.DUMMYFUNCTION("IF(REGEXMATCH(LOWER(G67), ""^(\?)+\s*(missing)?\s*(\?)*$""), """", PROPER(SUBSTITUTE(SUBSTITUTE(G67, ""?"", """"), ""*"", """")))"),"Victorian Sewing Box Large")</f>
        <v>Victorian Sewing Box Large</v>
      </c>
      <c r="I67" s="3">
        <v>32.0</v>
      </c>
      <c r="J67" s="7">
        <v>40513.38125</v>
      </c>
      <c r="K67" s="8" t="str">
        <f t="shared" si="4"/>
        <v>2010-12</v>
      </c>
      <c r="L67" s="5">
        <v>10.95</v>
      </c>
      <c r="M67" s="3">
        <v>15100.0</v>
      </c>
      <c r="N67" s="1" t="str">
        <f t="shared" si="5"/>
        <v>Registered</v>
      </c>
      <c r="O67" s="1" t="s">
        <v>19</v>
      </c>
      <c r="P67" s="9" t="str">
        <f t="shared" si="6"/>
        <v>UK</v>
      </c>
      <c r="Q67" s="8">
        <f t="shared" si="7"/>
        <v>350.4</v>
      </c>
    </row>
    <row r="68">
      <c r="A68" s="1">
        <v>536375.0</v>
      </c>
      <c r="B68" s="1" t="str">
        <f t="shared" si="1"/>
        <v>536375</v>
      </c>
      <c r="C68" s="1" t="str">
        <f t="shared" si="2"/>
        <v>Sale</v>
      </c>
      <c r="D68" s="1" t="s">
        <v>17</v>
      </c>
      <c r="E68" s="1" t="str">
        <f>IFERROR(__xludf.DUMMYFUNCTION("IF(LEN(D68)&gt;4, IFERROR(REGEXEXTRACT(TO_TEXT(D68),""\d+""),""""),"""")"),"85123")</f>
        <v>85123</v>
      </c>
      <c r="F68" s="6" t="str">
        <f t="shared" si="3"/>
        <v>Product</v>
      </c>
      <c r="G68" s="1" t="s">
        <v>18</v>
      </c>
      <c r="H68" s="6" t="str">
        <f>IFERROR(__xludf.DUMMYFUNCTION("IF(REGEXMATCH(LOWER(G68), ""^(\?)+\s*(missing)?\s*(\?)*$""), """", PROPER(SUBSTITUTE(SUBSTITUTE(G68, ""?"", """"), ""*"", """")))"),"White Hanging Heart T-Light Holder")</f>
        <v>White Hanging Heart T-Light Holder</v>
      </c>
      <c r="I68" s="3">
        <v>6.0</v>
      </c>
      <c r="J68" s="7">
        <v>40513.39722222222</v>
      </c>
      <c r="K68" s="8" t="str">
        <f t="shared" si="4"/>
        <v>2010-12</v>
      </c>
      <c r="L68" s="5">
        <v>2.55</v>
      </c>
      <c r="M68" s="3">
        <v>17850.0</v>
      </c>
      <c r="N68" s="1" t="str">
        <f t="shared" si="5"/>
        <v>Registered</v>
      </c>
      <c r="O68" s="1" t="s">
        <v>19</v>
      </c>
      <c r="P68" s="9" t="str">
        <f t="shared" si="6"/>
        <v>UK</v>
      </c>
      <c r="Q68" s="8">
        <f t="shared" si="7"/>
        <v>15.3</v>
      </c>
    </row>
    <row r="69">
      <c r="A69" s="1">
        <v>536375.0</v>
      </c>
      <c r="B69" s="1" t="str">
        <f t="shared" si="1"/>
        <v>536375</v>
      </c>
      <c r="C69" s="1" t="str">
        <f t="shared" si="2"/>
        <v>Sale</v>
      </c>
      <c r="D69" s="1">
        <v>71053.0</v>
      </c>
      <c r="E69" s="1" t="str">
        <f>IFERROR(__xludf.DUMMYFUNCTION("IF(LEN(D69)&gt;4, IFERROR(REGEXEXTRACT(TO_TEXT(D69),""\d+""),""""),"""")"),"71053")</f>
        <v>71053</v>
      </c>
      <c r="F69" s="6" t="str">
        <f t="shared" si="3"/>
        <v>Product</v>
      </c>
      <c r="G69" s="1" t="s">
        <v>20</v>
      </c>
      <c r="H69" s="6" t="str">
        <f>IFERROR(__xludf.DUMMYFUNCTION("IF(REGEXMATCH(LOWER(G69), ""^(\?)+\s*(missing)?\s*(\?)*$""), """", PROPER(SUBSTITUTE(SUBSTITUTE(G69, ""?"", """"), ""*"", """")))"),"White Metal Lantern")</f>
        <v>White Metal Lantern</v>
      </c>
      <c r="I69" s="3">
        <v>6.0</v>
      </c>
      <c r="J69" s="7">
        <v>40513.39722222222</v>
      </c>
      <c r="K69" s="8" t="str">
        <f t="shared" si="4"/>
        <v>2010-12</v>
      </c>
      <c r="L69" s="5">
        <v>3.39</v>
      </c>
      <c r="M69" s="3">
        <v>17850.0</v>
      </c>
      <c r="N69" s="1" t="str">
        <f t="shared" si="5"/>
        <v>Registered</v>
      </c>
      <c r="O69" s="1" t="s">
        <v>19</v>
      </c>
      <c r="P69" s="9" t="str">
        <f t="shared" si="6"/>
        <v>UK</v>
      </c>
      <c r="Q69" s="8">
        <f t="shared" si="7"/>
        <v>20.34</v>
      </c>
    </row>
    <row r="70">
      <c r="A70" s="1">
        <v>536375.0</v>
      </c>
      <c r="B70" s="1" t="str">
        <f t="shared" si="1"/>
        <v>536375</v>
      </c>
      <c r="C70" s="1" t="str">
        <f t="shared" si="2"/>
        <v>Sale</v>
      </c>
      <c r="D70" s="1" t="s">
        <v>21</v>
      </c>
      <c r="E70" s="1" t="str">
        <f>IFERROR(__xludf.DUMMYFUNCTION("IF(LEN(D70)&gt;4, IFERROR(REGEXEXTRACT(TO_TEXT(D70),""\d+""),""""),"""")"),"84406")</f>
        <v>84406</v>
      </c>
      <c r="F70" s="6" t="str">
        <f t="shared" si="3"/>
        <v>Product</v>
      </c>
      <c r="G70" s="1" t="s">
        <v>22</v>
      </c>
      <c r="H70" s="6" t="str">
        <f>IFERROR(__xludf.DUMMYFUNCTION("IF(REGEXMATCH(LOWER(G70), ""^(\?)+\s*(missing)?\s*(\?)*$""), """", PROPER(SUBSTITUTE(SUBSTITUTE(G70, ""?"", """"), ""*"", """")))"),"Cream Cupid Hearts Coat Hanger")</f>
        <v>Cream Cupid Hearts Coat Hanger</v>
      </c>
      <c r="I70" s="3">
        <v>8.0</v>
      </c>
      <c r="J70" s="7">
        <v>40513.39722222222</v>
      </c>
      <c r="K70" s="8" t="str">
        <f t="shared" si="4"/>
        <v>2010-12</v>
      </c>
      <c r="L70" s="5">
        <v>2.75</v>
      </c>
      <c r="M70" s="3">
        <v>17850.0</v>
      </c>
      <c r="N70" s="1" t="str">
        <f t="shared" si="5"/>
        <v>Registered</v>
      </c>
      <c r="O70" s="1" t="s">
        <v>19</v>
      </c>
      <c r="P70" s="9" t="str">
        <f t="shared" si="6"/>
        <v>UK</v>
      </c>
      <c r="Q70" s="8">
        <f t="shared" si="7"/>
        <v>22</v>
      </c>
    </row>
    <row r="71">
      <c r="A71" s="1">
        <v>536375.0</v>
      </c>
      <c r="B71" s="1" t="str">
        <f t="shared" si="1"/>
        <v>536375</v>
      </c>
      <c r="C71" s="1" t="str">
        <f t="shared" si="2"/>
        <v>Sale</v>
      </c>
      <c r="D71" s="1">
        <v>20679.0</v>
      </c>
      <c r="E71" s="1" t="str">
        <f>IFERROR(__xludf.DUMMYFUNCTION("IF(LEN(D71)&gt;4, IFERROR(REGEXEXTRACT(TO_TEXT(D71),""\d+""),""""),"""")"),"20679")</f>
        <v>20679</v>
      </c>
      <c r="F71" s="6" t="str">
        <f t="shared" si="3"/>
        <v>Product</v>
      </c>
      <c r="G71" s="1" t="s">
        <v>71</v>
      </c>
      <c r="H71" s="6" t="str">
        <f>IFERROR(__xludf.DUMMYFUNCTION("IF(REGEXMATCH(LOWER(G71), ""^(\?)+\s*(missing)?\s*(\?)*$""), """", PROPER(SUBSTITUTE(SUBSTITUTE(G71, ""?"", """"), ""*"", """")))"),"Edwardian Parasol Red")</f>
        <v>Edwardian Parasol Red</v>
      </c>
      <c r="I71" s="3">
        <v>6.0</v>
      </c>
      <c r="J71" s="7">
        <v>40513.39722222222</v>
      </c>
      <c r="K71" s="8" t="str">
        <f t="shared" si="4"/>
        <v>2010-12</v>
      </c>
      <c r="L71" s="5">
        <v>4.95</v>
      </c>
      <c r="M71" s="3">
        <v>17850.0</v>
      </c>
      <c r="N71" s="1" t="str">
        <f t="shared" si="5"/>
        <v>Registered</v>
      </c>
      <c r="O71" s="1" t="s">
        <v>19</v>
      </c>
      <c r="P71" s="9" t="str">
        <f t="shared" si="6"/>
        <v>UK</v>
      </c>
      <c r="Q71" s="8">
        <f t="shared" si="7"/>
        <v>29.7</v>
      </c>
    </row>
    <row r="72">
      <c r="A72" s="1">
        <v>536375.0</v>
      </c>
      <c r="B72" s="1" t="str">
        <f t="shared" si="1"/>
        <v>536375</v>
      </c>
      <c r="C72" s="1" t="str">
        <f t="shared" si="2"/>
        <v>Sale</v>
      </c>
      <c r="D72" s="1">
        <v>37370.0</v>
      </c>
      <c r="E72" s="1" t="str">
        <f>IFERROR(__xludf.DUMMYFUNCTION("IF(LEN(D72)&gt;4, IFERROR(REGEXEXTRACT(TO_TEXT(D72),""\d+""),""""),"""")"),"37370")</f>
        <v>37370</v>
      </c>
      <c r="F72" s="6" t="str">
        <f t="shared" si="3"/>
        <v>Product</v>
      </c>
      <c r="G72" s="1" t="s">
        <v>72</v>
      </c>
      <c r="H72" s="6" t="str">
        <f>IFERROR(__xludf.DUMMYFUNCTION("IF(REGEXMATCH(LOWER(G72), ""^(\?)+\s*(missing)?\s*(\?)*$""), """", PROPER(SUBSTITUTE(SUBSTITUTE(G72, ""?"", """"), ""*"", """")))"),"Retro Coffee Mugs Assorted")</f>
        <v>Retro Coffee Mugs Assorted</v>
      </c>
      <c r="I72" s="3">
        <v>6.0</v>
      </c>
      <c r="J72" s="7">
        <v>40513.39722222222</v>
      </c>
      <c r="K72" s="8" t="str">
        <f t="shared" si="4"/>
        <v>2010-12</v>
      </c>
      <c r="L72" s="5">
        <v>1.06</v>
      </c>
      <c r="M72" s="3">
        <v>17850.0</v>
      </c>
      <c r="N72" s="1" t="str">
        <f t="shared" si="5"/>
        <v>Registered</v>
      </c>
      <c r="O72" s="1" t="s">
        <v>19</v>
      </c>
      <c r="P72" s="9" t="str">
        <f t="shared" si="6"/>
        <v>UK</v>
      </c>
      <c r="Q72" s="8">
        <f t="shared" si="7"/>
        <v>6.36</v>
      </c>
    </row>
    <row r="73">
      <c r="A73" s="1">
        <v>536375.0</v>
      </c>
      <c r="B73" s="1" t="str">
        <f t="shared" si="1"/>
        <v>536375</v>
      </c>
      <c r="C73" s="1" t="str">
        <f t="shared" si="2"/>
        <v>Sale</v>
      </c>
      <c r="D73" s="1">
        <v>21871.0</v>
      </c>
      <c r="E73" s="1" t="str">
        <f>IFERROR(__xludf.DUMMYFUNCTION("IF(LEN(D73)&gt;4, IFERROR(REGEXEXTRACT(TO_TEXT(D73),""\d+""),""""),"""")"),"21871")</f>
        <v>21871</v>
      </c>
      <c r="F73" s="6" t="str">
        <f t="shared" si="3"/>
        <v>Product</v>
      </c>
      <c r="G73" s="1" t="s">
        <v>73</v>
      </c>
      <c r="H73" s="6" t="str">
        <f>IFERROR(__xludf.DUMMYFUNCTION("IF(REGEXMATCH(LOWER(G73), ""^(\?)+\s*(missing)?\s*(\?)*$""), """", PROPER(SUBSTITUTE(SUBSTITUTE(G73, ""?"", """"), ""*"", """")))"),"Save The Planet Mug")</f>
        <v>Save The Planet Mug</v>
      </c>
      <c r="I73" s="3">
        <v>6.0</v>
      </c>
      <c r="J73" s="7">
        <v>40513.39722222222</v>
      </c>
      <c r="K73" s="8" t="str">
        <f t="shared" si="4"/>
        <v>2010-12</v>
      </c>
      <c r="L73" s="5">
        <v>1.06</v>
      </c>
      <c r="M73" s="3">
        <v>17850.0</v>
      </c>
      <c r="N73" s="1" t="str">
        <f t="shared" si="5"/>
        <v>Registered</v>
      </c>
      <c r="O73" s="1" t="s">
        <v>19</v>
      </c>
      <c r="P73" s="9" t="str">
        <f t="shared" si="6"/>
        <v>UK</v>
      </c>
      <c r="Q73" s="8">
        <f t="shared" si="7"/>
        <v>6.36</v>
      </c>
    </row>
    <row r="74">
      <c r="A74" s="1">
        <v>536375.0</v>
      </c>
      <c r="B74" s="1" t="str">
        <f t="shared" si="1"/>
        <v>536375</v>
      </c>
      <c r="C74" s="1" t="str">
        <f t="shared" si="2"/>
        <v>Sale</v>
      </c>
      <c r="D74" s="1">
        <v>21071.0</v>
      </c>
      <c r="E74" s="1" t="str">
        <f>IFERROR(__xludf.DUMMYFUNCTION("IF(LEN(D74)&gt;4, IFERROR(REGEXEXTRACT(TO_TEXT(D74),""\d+""),""""),"""")"),"21071")</f>
        <v>21071</v>
      </c>
      <c r="F74" s="6" t="str">
        <f t="shared" si="3"/>
        <v>Product</v>
      </c>
      <c r="G74" s="1" t="s">
        <v>74</v>
      </c>
      <c r="H74" s="6" t="str">
        <f>IFERROR(__xludf.DUMMYFUNCTION("IF(REGEXMATCH(LOWER(G74), ""^(\?)+\s*(missing)?\s*(\?)*$""), """", PROPER(SUBSTITUTE(SUBSTITUTE(G74, ""?"", """"), ""*"", """")))"),"Vintage Billboard Drink Me Mug")</f>
        <v>Vintage Billboard Drink Me Mug</v>
      </c>
      <c r="I74" s="3">
        <v>6.0</v>
      </c>
      <c r="J74" s="7">
        <v>40513.39722222222</v>
      </c>
      <c r="K74" s="8" t="str">
        <f t="shared" si="4"/>
        <v>2010-12</v>
      </c>
      <c r="L74" s="5">
        <v>1.06</v>
      </c>
      <c r="M74" s="3">
        <v>17850.0</v>
      </c>
      <c r="N74" s="1" t="str">
        <f t="shared" si="5"/>
        <v>Registered</v>
      </c>
      <c r="O74" s="1" t="s">
        <v>19</v>
      </c>
      <c r="P74" s="9" t="str">
        <f t="shared" si="6"/>
        <v>UK</v>
      </c>
      <c r="Q74" s="8">
        <f t="shared" si="7"/>
        <v>6.36</v>
      </c>
    </row>
    <row r="75">
      <c r="A75" s="1">
        <v>536375.0</v>
      </c>
      <c r="B75" s="1" t="str">
        <f t="shared" si="1"/>
        <v>536375</v>
      </c>
      <c r="C75" s="1" t="str">
        <f t="shared" si="2"/>
        <v>Sale</v>
      </c>
      <c r="D75" s="1">
        <v>21068.0</v>
      </c>
      <c r="E75" s="1" t="str">
        <f>IFERROR(__xludf.DUMMYFUNCTION("IF(LEN(D75)&gt;4, IFERROR(REGEXEXTRACT(TO_TEXT(D75),""\d+""),""""),"""")"),"21068")</f>
        <v>21068</v>
      </c>
      <c r="F75" s="6" t="str">
        <f t="shared" si="3"/>
        <v>Product</v>
      </c>
      <c r="G75" s="1" t="s">
        <v>75</v>
      </c>
      <c r="H75" s="6" t="str">
        <f>IFERROR(__xludf.DUMMYFUNCTION("IF(REGEXMATCH(LOWER(G75), ""^(\?)+\s*(missing)?\s*(\?)*$""), """", PROPER(SUBSTITUTE(SUBSTITUTE(G75, ""?"", """"), ""*"", """")))"),"Vintage Billboard Love/Hate Mug")</f>
        <v>Vintage Billboard Love/Hate Mug</v>
      </c>
      <c r="I75" s="3">
        <v>6.0</v>
      </c>
      <c r="J75" s="7">
        <v>40513.39722222222</v>
      </c>
      <c r="K75" s="8" t="str">
        <f t="shared" si="4"/>
        <v>2010-12</v>
      </c>
      <c r="L75" s="5">
        <v>1.06</v>
      </c>
      <c r="M75" s="3">
        <v>17850.0</v>
      </c>
      <c r="N75" s="1" t="str">
        <f t="shared" si="5"/>
        <v>Registered</v>
      </c>
      <c r="O75" s="1" t="s">
        <v>19</v>
      </c>
      <c r="P75" s="9" t="str">
        <f t="shared" si="6"/>
        <v>UK</v>
      </c>
      <c r="Q75" s="8">
        <f t="shared" si="7"/>
        <v>6.36</v>
      </c>
    </row>
    <row r="76">
      <c r="A76" s="1">
        <v>536375.0</v>
      </c>
      <c r="B76" s="1" t="str">
        <f t="shared" si="1"/>
        <v>536375</v>
      </c>
      <c r="C76" s="1" t="str">
        <f t="shared" si="2"/>
        <v>Sale</v>
      </c>
      <c r="D76" s="1">
        <v>82483.0</v>
      </c>
      <c r="E76" s="1" t="str">
        <f>IFERROR(__xludf.DUMMYFUNCTION("IF(LEN(D76)&gt;4, IFERROR(REGEXEXTRACT(TO_TEXT(D76),""\d+""),""""),"""")"),"82483")</f>
        <v>82483</v>
      </c>
      <c r="F76" s="6" t="str">
        <f t="shared" si="3"/>
        <v>Product</v>
      </c>
      <c r="G76" s="1" t="s">
        <v>76</v>
      </c>
      <c r="H76" s="6" t="str">
        <f>IFERROR(__xludf.DUMMYFUNCTION("IF(REGEXMATCH(LOWER(G76), ""^(\?)+\s*(missing)?\s*(\?)*$""), """", PROPER(SUBSTITUTE(SUBSTITUTE(G76, ""?"", """"), ""*"", """")))"),"Wood 2 Drawer Cabinet White Finish")</f>
        <v>Wood 2 Drawer Cabinet White Finish</v>
      </c>
      <c r="I76" s="3">
        <v>2.0</v>
      </c>
      <c r="J76" s="7">
        <v>40513.39722222222</v>
      </c>
      <c r="K76" s="8" t="str">
        <f t="shared" si="4"/>
        <v>2010-12</v>
      </c>
      <c r="L76" s="5">
        <v>4.95</v>
      </c>
      <c r="M76" s="3">
        <v>17850.0</v>
      </c>
      <c r="N76" s="1" t="str">
        <f t="shared" si="5"/>
        <v>Registered</v>
      </c>
      <c r="O76" s="1" t="s">
        <v>19</v>
      </c>
      <c r="P76" s="9" t="str">
        <f t="shared" si="6"/>
        <v>UK</v>
      </c>
      <c r="Q76" s="8">
        <f t="shared" si="7"/>
        <v>9.9</v>
      </c>
    </row>
    <row r="77">
      <c r="A77" s="1">
        <v>536375.0</v>
      </c>
      <c r="B77" s="1" t="str">
        <f t="shared" si="1"/>
        <v>536375</v>
      </c>
      <c r="C77" s="1" t="str">
        <f t="shared" si="2"/>
        <v>Sale</v>
      </c>
      <c r="D77" s="1">
        <v>82486.0</v>
      </c>
      <c r="E77" s="1" t="str">
        <f>IFERROR(__xludf.DUMMYFUNCTION("IF(LEN(D77)&gt;4, IFERROR(REGEXEXTRACT(TO_TEXT(D77),""\d+""),""""),"""")"),"82486")</f>
        <v>82486</v>
      </c>
      <c r="F77" s="6" t="str">
        <f t="shared" si="3"/>
        <v>Product</v>
      </c>
      <c r="G77" s="1" t="s">
        <v>77</v>
      </c>
      <c r="H77" s="6" t="str">
        <f>IFERROR(__xludf.DUMMYFUNCTION("IF(REGEXMATCH(LOWER(G77), ""^(\?)+\s*(missing)?\s*(\?)*$""), """", PROPER(SUBSTITUTE(SUBSTITUTE(G77, ""?"", """"), ""*"", """")))"),"Wood S/3 Cabinet Ant White Finish")</f>
        <v>Wood S/3 Cabinet Ant White Finish</v>
      </c>
      <c r="I77" s="3">
        <v>4.0</v>
      </c>
      <c r="J77" s="7">
        <v>40513.39722222222</v>
      </c>
      <c r="K77" s="8" t="str">
        <f t="shared" si="4"/>
        <v>2010-12</v>
      </c>
      <c r="L77" s="5">
        <v>6.95</v>
      </c>
      <c r="M77" s="3">
        <v>17850.0</v>
      </c>
      <c r="N77" s="1" t="str">
        <f t="shared" si="5"/>
        <v>Registered</v>
      </c>
      <c r="O77" s="1" t="s">
        <v>19</v>
      </c>
      <c r="P77" s="9" t="str">
        <f t="shared" si="6"/>
        <v>UK</v>
      </c>
      <c r="Q77" s="8">
        <f t="shared" si="7"/>
        <v>27.8</v>
      </c>
    </row>
    <row r="78">
      <c r="A78" s="1">
        <v>536375.0</v>
      </c>
      <c r="B78" s="1" t="str">
        <f t="shared" si="1"/>
        <v>536375</v>
      </c>
      <c r="C78" s="1" t="str">
        <f t="shared" si="2"/>
        <v>Sale</v>
      </c>
      <c r="D78" s="1">
        <v>82482.0</v>
      </c>
      <c r="E78" s="1" t="str">
        <f>IFERROR(__xludf.DUMMYFUNCTION("IF(LEN(D78)&gt;4, IFERROR(REGEXEXTRACT(TO_TEXT(D78),""\d+""),""""),"""")"),"82482")</f>
        <v>82482</v>
      </c>
      <c r="F78" s="6" t="str">
        <f t="shared" si="3"/>
        <v>Product</v>
      </c>
      <c r="G78" s="1" t="s">
        <v>78</v>
      </c>
      <c r="H78" s="6" t="str">
        <f>IFERROR(__xludf.DUMMYFUNCTION("IF(REGEXMATCH(LOWER(G78), ""^(\?)+\s*(missing)?\s*(\?)*$""), """", PROPER(SUBSTITUTE(SUBSTITUTE(G78, ""?"", """"), ""*"", """")))"),"Wooden Picture Frame White Finish")</f>
        <v>Wooden Picture Frame White Finish</v>
      </c>
      <c r="I78" s="3">
        <v>6.0</v>
      </c>
      <c r="J78" s="7">
        <v>40513.39722222222</v>
      </c>
      <c r="K78" s="8" t="str">
        <f t="shared" si="4"/>
        <v>2010-12</v>
      </c>
      <c r="L78" s="5">
        <v>2.1</v>
      </c>
      <c r="M78" s="3">
        <v>17850.0</v>
      </c>
      <c r="N78" s="1" t="str">
        <f t="shared" si="5"/>
        <v>Registered</v>
      </c>
      <c r="O78" s="1" t="s">
        <v>19</v>
      </c>
      <c r="P78" s="9" t="str">
        <f t="shared" si="6"/>
        <v>UK</v>
      </c>
      <c r="Q78" s="8">
        <f t="shared" si="7"/>
        <v>12.6</v>
      </c>
    </row>
    <row r="79">
      <c r="A79" s="1">
        <v>536375.0</v>
      </c>
      <c r="B79" s="1" t="str">
        <f t="shared" si="1"/>
        <v>536375</v>
      </c>
      <c r="C79" s="1" t="str">
        <f t="shared" si="2"/>
        <v>Sale</v>
      </c>
      <c r="D79" s="1" t="s">
        <v>79</v>
      </c>
      <c r="E79" s="1" t="str">
        <f>IFERROR(__xludf.DUMMYFUNCTION("IF(LEN(D79)&gt;4, IFERROR(REGEXEXTRACT(TO_TEXT(D79),""\d+""),""""),"""")"),"82494")</f>
        <v>82494</v>
      </c>
      <c r="F79" s="6" t="str">
        <f t="shared" si="3"/>
        <v>Product</v>
      </c>
      <c r="G79" s="1" t="s">
        <v>80</v>
      </c>
      <c r="H79" s="6" t="str">
        <f>IFERROR(__xludf.DUMMYFUNCTION("IF(REGEXMATCH(LOWER(G79), ""^(\?)+\s*(missing)?\s*(\?)*$""), """", PROPER(SUBSTITUTE(SUBSTITUTE(G79, ""?"", """"), ""*"", """")))"),"Wooden Frame Antique White")</f>
        <v>Wooden Frame Antique White</v>
      </c>
      <c r="I79" s="3">
        <v>6.0</v>
      </c>
      <c r="J79" s="7">
        <v>40513.39722222222</v>
      </c>
      <c r="K79" s="8" t="str">
        <f t="shared" si="4"/>
        <v>2010-12</v>
      </c>
      <c r="L79" s="5">
        <v>2.55</v>
      </c>
      <c r="M79" s="3">
        <v>17850.0</v>
      </c>
      <c r="N79" s="1" t="str">
        <f t="shared" si="5"/>
        <v>Registered</v>
      </c>
      <c r="O79" s="1" t="s">
        <v>19</v>
      </c>
      <c r="P79" s="9" t="str">
        <f t="shared" si="6"/>
        <v>UK</v>
      </c>
      <c r="Q79" s="8">
        <f t="shared" si="7"/>
        <v>15.3</v>
      </c>
    </row>
    <row r="80">
      <c r="A80" s="1">
        <v>536375.0</v>
      </c>
      <c r="B80" s="1" t="str">
        <f t="shared" si="1"/>
        <v>536375</v>
      </c>
      <c r="C80" s="1" t="str">
        <f t="shared" si="2"/>
        <v>Sale</v>
      </c>
      <c r="D80" s="1" t="s">
        <v>23</v>
      </c>
      <c r="E80" s="1" t="str">
        <f>IFERROR(__xludf.DUMMYFUNCTION("IF(LEN(D80)&gt;4, IFERROR(REGEXEXTRACT(TO_TEXT(D80),""\d+""),""""),"""")"),"84029")</f>
        <v>84029</v>
      </c>
      <c r="F80" s="6" t="str">
        <f t="shared" si="3"/>
        <v>Product</v>
      </c>
      <c r="G80" s="1" t="s">
        <v>24</v>
      </c>
      <c r="H80" s="6" t="str">
        <f>IFERROR(__xludf.DUMMYFUNCTION("IF(REGEXMATCH(LOWER(G80), ""^(\?)+\s*(missing)?\s*(\?)*$""), """", PROPER(SUBSTITUTE(SUBSTITUTE(G80, ""?"", """"), ""*"", """")))"),"Knitted Union Flag Hot Water Bottle")</f>
        <v>Knitted Union Flag Hot Water Bottle</v>
      </c>
      <c r="I80" s="3">
        <v>6.0</v>
      </c>
      <c r="J80" s="7">
        <v>40513.39722222222</v>
      </c>
      <c r="K80" s="8" t="str">
        <f t="shared" si="4"/>
        <v>2010-12</v>
      </c>
      <c r="L80" s="5">
        <v>3.39</v>
      </c>
      <c r="M80" s="3">
        <v>17850.0</v>
      </c>
      <c r="N80" s="1" t="str">
        <f t="shared" si="5"/>
        <v>Registered</v>
      </c>
      <c r="O80" s="1" t="s">
        <v>19</v>
      </c>
      <c r="P80" s="9" t="str">
        <f t="shared" si="6"/>
        <v>UK</v>
      </c>
      <c r="Q80" s="8">
        <f t="shared" si="7"/>
        <v>20.34</v>
      </c>
    </row>
    <row r="81">
      <c r="A81" s="1">
        <v>536375.0</v>
      </c>
      <c r="B81" s="1" t="str">
        <f t="shared" si="1"/>
        <v>536375</v>
      </c>
      <c r="C81" s="1" t="str">
        <f t="shared" si="2"/>
        <v>Sale</v>
      </c>
      <c r="D81" s="1" t="s">
        <v>25</v>
      </c>
      <c r="E81" s="1" t="str">
        <f>IFERROR(__xludf.DUMMYFUNCTION("IF(LEN(D81)&gt;4, IFERROR(REGEXEXTRACT(TO_TEXT(D81),""\d+""),""""),"""")"),"84029")</f>
        <v>84029</v>
      </c>
      <c r="F81" s="6" t="str">
        <f t="shared" si="3"/>
        <v>Product</v>
      </c>
      <c r="G81" s="1" t="s">
        <v>26</v>
      </c>
      <c r="H81" s="6" t="str">
        <f>IFERROR(__xludf.DUMMYFUNCTION("IF(REGEXMATCH(LOWER(G81), ""^(\?)+\s*(missing)?\s*(\?)*$""), """", PROPER(SUBSTITUTE(SUBSTITUTE(G81, ""?"", """"), ""*"", """")))"),"Red Woolly Hottie White Heart.")</f>
        <v>Red Woolly Hottie White Heart.</v>
      </c>
      <c r="I81" s="3">
        <v>6.0</v>
      </c>
      <c r="J81" s="7">
        <v>40513.39722222222</v>
      </c>
      <c r="K81" s="8" t="str">
        <f t="shared" si="4"/>
        <v>2010-12</v>
      </c>
      <c r="L81" s="5">
        <v>3.39</v>
      </c>
      <c r="M81" s="3">
        <v>17850.0</v>
      </c>
      <c r="N81" s="1" t="str">
        <f t="shared" si="5"/>
        <v>Registered</v>
      </c>
      <c r="O81" s="1" t="s">
        <v>19</v>
      </c>
      <c r="P81" s="9" t="str">
        <f t="shared" si="6"/>
        <v>UK</v>
      </c>
      <c r="Q81" s="8">
        <f t="shared" si="7"/>
        <v>20.34</v>
      </c>
    </row>
    <row r="82">
      <c r="A82" s="1">
        <v>536375.0</v>
      </c>
      <c r="B82" s="1" t="str">
        <f t="shared" si="1"/>
        <v>536375</v>
      </c>
      <c r="C82" s="1" t="str">
        <f t="shared" si="2"/>
        <v>Sale</v>
      </c>
      <c r="D82" s="1">
        <v>22752.0</v>
      </c>
      <c r="E82" s="1" t="str">
        <f>IFERROR(__xludf.DUMMYFUNCTION("IF(LEN(D82)&gt;4, IFERROR(REGEXEXTRACT(TO_TEXT(D82),""\d+""),""""),"""")"),"22752")</f>
        <v>22752</v>
      </c>
      <c r="F82" s="6" t="str">
        <f t="shared" si="3"/>
        <v>Product</v>
      </c>
      <c r="G82" s="1" t="s">
        <v>27</v>
      </c>
      <c r="H82" s="6" t="str">
        <f>IFERROR(__xludf.DUMMYFUNCTION("IF(REGEXMATCH(LOWER(G82), ""^(\?)+\s*(missing)?\s*(\?)*$""), """", PROPER(SUBSTITUTE(SUBSTITUTE(G82, ""?"", """"), ""*"", """")))"),"Set 7 Babushka Nesting Boxes")</f>
        <v>Set 7 Babushka Nesting Boxes</v>
      </c>
      <c r="I82" s="3">
        <v>2.0</v>
      </c>
      <c r="J82" s="7">
        <v>40513.39722222222</v>
      </c>
      <c r="K82" s="8" t="str">
        <f t="shared" si="4"/>
        <v>2010-12</v>
      </c>
      <c r="L82" s="5">
        <v>7.65</v>
      </c>
      <c r="M82" s="3">
        <v>17850.0</v>
      </c>
      <c r="N82" s="1" t="str">
        <f t="shared" si="5"/>
        <v>Registered</v>
      </c>
      <c r="O82" s="1" t="s">
        <v>19</v>
      </c>
      <c r="P82" s="9" t="str">
        <f t="shared" si="6"/>
        <v>UK</v>
      </c>
      <c r="Q82" s="8">
        <f t="shared" si="7"/>
        <v>15.3</v>
      </c>
    </row>
    <row r="83">
      <c r="A83" s="1">
        <v>536375.0</v>
      </c>
      <c r="B83" s="1" t="str">
        <f t="shared" si="1"/>
        <v>536375</v>
      </c>
      <c r="C83" s="1" t="str">
        <f t="shared" si="2"/>
        <v>Sale</v>
      </c>
      <c r="D83" s="1">
        <v>21730.0</v>
      </c>
      <c r="E83" s="1" t="str">
        <f>IFERROR(__xludf.DUMMYFUNCTION("IF(LEN(D83)&gt;4, IFERROR(REGEXEXTRACT(TO_TEXT(D83),""\d+""),""""),"""")"),"21730")</f>
        <v>21730</v>
      </c>
      <c r="F83" s="6" t="str">
        <f t="shared" si="3"/>
        <v>Product</v>
      </c>
      <c r="G83" s="1" t="s">
        <v>28</v>
      </c>
      <c r="H83" s="6" t="str">
        <f>IFERROR(__xludf.DUMMYFUNCTION("IF(REGEXMATCH(LOWER(G83), ""^(\?)+\s*(missing)?\s*(\?)*$""), """", PROPER(SUBSTITUTE(SUBSTITUTE(G83, ""?"", """"), ""*"", """")))"),"Glass Star Frosted T-Light Holder")</f>
        <v>Glass Star Frosted T-Light Holder</v>
      </c>
      <c r="I83" s="3">
        <v>6.0</v>
      </c>
      <c r="J83" s="7">
        <v>40513.39722222222</v>
      </c>
      <c r="K83" s="8" t="str">
        <f t="shared" si="4"/>
        <v>2010-12</v>
      </c>
      <c r="L83" s="5">
        <v>4.25</v>
      </c>
      <c r="M83" s="3">
        <v>17850.0</v>
      </c>
      <c r="N83" s="1" t="str">
        <f t="shared" si="5"/>
        <v>Registered</v>
      </c>
      <c r="O83" s="1" t="s">
        <v>19</v>
      </c>
      <c r="P83" s="9" t="str">
        <f t="shared" si="6"/>
        <v>UK</v>
      </c>
      <c r="Q83" s="8">
        <f t="shared" si="7"/>
        <v>25.5</v>
      </c>
    </row>
    <row r="84">
      <c r="A84" s="1">
        <v>536376.0</v>
      </c>
      <c r="B84" s="1" t="str">
        <f t="shared" si="1"/>
        <v>536376</v>
      </c>
      <c r="C84" s="1" t="str">
        <f t="shared" si="2"/>
        <v>Sale</v>
      </c>
      <c r="D84" s="1">
        <v>22114.0</v>
      </c>
      <c r="E84" s="1" t="str">
        <f>IFERROR(__xludf.DUMMYFUNCTION("IF(LEN(D84)&gt;4, IFERROR(REGEXEXTRACT(TO_TEXT(D84),""\d+""),""""),"""")"),"22114")</f>
        <v>22114</v>
      </c>
      <c r="F84" s="6" t="str">
        <f t="shared" si="3"/>
        <v>Product</v>
      </c>
      <c r="G84" s="1" t="s">
        <v>82</v>
      </c>
      <c r="H84" s="6" t="str">
        <f>IFERROR(__xludf.DUMMYFUNCTION("IF(REGEXMATCH(LOWER(G84), ""^(\?)+\s*(missing)?\s*(\?)*$""), """", PROPER(SUBSTITUTE(SUBSTITUTE(G84, ""?"", """"), ""*"", """")))"),"Hot Water Bottle Tea And Sympathy")</f>
        <v>Hot Water Bottle Tea And Sympathy</v>
      </c>
      <c r="I84" s="3">
        <v>48.0</v>
      </c>
      <c r="J84" s="7">
        <v>40513.39722222222</v>
      </c>
      <c r="K84" s="8" t="str">
        <f t="shared" si="4"/>
        <v>2010-12</v>
      </c>
      <c r="L84" s="5">
        <v>3.45</v>
      </c>
      <c r="M84" s="3">
        <v>15291.0</v>
      </c>
      <c r="N84" s="1" t="str">
        <f t="shared" si="5"/>
        <v>Registered</v>
      </c>
      <c r="O84" s="1" t="s">
        <v>19</v>
      </c>
      <c r="P84" s="9" t="str">
        <f t="shared" si="6"/>
        <v>UK</v>
      </c>
      <c r="Q84" s="8">
        <f t="shared" si="7"/>
        <v>165.6</v>
      </c>
    </row>
    <row r="85">
      <c r="A85" s="1">
        <v>536376.0</v>
      </c>
      <c r="B85" s="1" t="str">
        <f t="shared" si="1"/>
        <v>536376</v>
      </c>
      <c r="C85" s="1" t="str">
        <f t="shared" si="2"/>
        <v>Sale</v>
      </c>
      <c r="D85" s="1">
        <v>21733.0</v>
      </c>
      <c r="E85" s="1" t="str">
        <f>IFERROR(__xludf.DUMMYFUNCTION("IF(LEN(D85)&gt;4, IFERROR(REGEXEXTRACT(TO_TEXT(D85),""\d+""),""""),"""")"),"21733")</f>
        <v>21733</v>
      </c>
      <c r="F85" s="6" t="str">
        <f t="shared" si="3"/>
        <v>Product</v>
      </c>
      <c r="G85" s="1" t="s">
        <v>83</v>
      </c>
      <c r="H85" s="6" t="str">
        <f>IFERROR(__xludf.DUMMYFUNCTION("IF(REGEXMATCH(LOWER(G85), ""^(\?)+\s*(missing)?\s*(\?)*$""), """", PROPER(SUBSTITUTE(SUBSTITUTE(G85, ""?"", """"), ""*"", """")))"),"Red Hanging Heart T-Light Holder")</f>
        <v>Red Hanging Heart T-Light Holder</v>
      </c>
      <c r="I85" s="3">
        <v>64.0</v>
      </c>
      <c r="J85" s="7">
        <v>40513.39722222222</v>
      </c>
      <c r="K85" s="8" t="str">
        <f t="shared" si="4"/>
        <v>2010-12</v>
      </c>
      <c r="L85" s="5">
        <v>2.55</v>
      </c>
      <c r="M85" s="3">
        <v>15291.0</v>
      </c>
      <c r="N85" s="1" t="str">
        <f t="shared" si="5"/>
        <v>Registered</v>
      </c>
      <c r="O85" s="1" t="s">
        <v>19</v>
      </c>
      <c r="P85" s="9" t="str">
        <f t="shared" si="6"/>
        <v>UK</v>
      </c>
      <c r="Q85" s="8">
        <f t="shared" si="7"/>
        <v>163.2</v>
      </c>
    </row>
    <row r="86">
      <c r="A86" s="1">
        <v>536377.0</v>
      </c>
      <c r="B86" s="1" t="str">
        <f t="shared" si="1"/>
        <v>536377</v>
      </c>
      <c r="C86" s="1" t="str">
        <f t="shared" si="2"/>
        <v>Sale</v>
      </c>
      <c r="D86" s="1">
        <v>22632.0</v>
      </c>
      <c r="E86" s="1" t="str">
        <f>IFERROR(__xludf.DUMMYFUNCTION("IF(LEN(D86)&gt;4, IFERROR(REGEXEXTRACT(TO_TEXT(D86),""\d+""),""""),"""")"),"22632")</f>
        <v>22632</v>
      </c>
      <c r="F86" s="6" t="str">
        <f t="shared" si="3"/>
        <v>Product</v>
      </c>
      <c r="G86" s="1" t="s">
        <v>30</v>
      </c>
      <c r="H86" s="6" t="str">
        <f>IFERROR(__xludf.DUMMYFUNCTION("IF(REGEXMATCH(LOWER(G86), ""^(\?)+\s*(missing)?\s*(\?)*$""), """", PROPER(SUBSTITUTE(SUBSTITUTE(G86, ""?"", """"), ""*"", """")))"),"Hand Warmer Red Polka Dot")</f>
        <v>Hand Warmer Red Polka Dot</v>
      </c>
      <c r="I86" s="3">
        <v>6.0</v>
      </c>
      <c r="J86" s="7">
        <v>40513.39861111111</v>
      </c>
      <c r="K86" s="8" t="str">
        <f t="shared" si="4"/>
        <v>2010-12</v>
      </c>
      <c r="L86" s="5">
        <v>1.85</v>
      </c>
      <c r="M86" s="3">
        <v>17850.0</v>
      </c>
      <c r="N86" s="1" t="str">
        <f t="shared" si="5"/>
        <v>Registered</v>
      </c>
      <c r="O86" s="1" t="s">
        <v>19</v>
      </c>
      <c r="P86" s="9" t="str">
        <f t="shared" si="6"/>
        <v>UK</v>
      </c>
      <c r="Q86" s="8">
        <f t="shared" si="7"/>
        <v>11.1</v>
      </c>
    </row>
    <row r="87">
      <c r="A87" s="1">
        <v>536377.0</v>
      </c>
      <c r="B87" s="1" t="str">
        <f t="shared" si="1"/>
        <v>536377</v>
      </c>
      <c r="C87" s="1" t="str">
        <f t="shared" si="2"/>
        <v>Sale</v>
      </c>
      <c r="D87" s="1">
        <v>22633.0</v>
      </c>
      <c r="E87" s="1" t="str">
        <f>IFERROR(__xludf.DUMMYFUNCTION("IF(LEN(D87)&gt;4, IFERROR(REGEXEXTRACT(TO_TEXT(D87),""\d+""),""""),"""")"),"22633")</f>
        <v>22633</v>
      </c>
      <c r="F87" s="6" t="str">
        <f t="shared" si="3"/>
        <v>Product</v>
      </c>
      <c r="G87" s="1" t="s">
        <v>29</v>
      </c>
      <c r="H87" s="6" t="str">
        <f>IFERROR(__xludf.DUMMYFUNCTION("IF(REGEXMATCH(LOWER(G87), ""^(\?)+\s*(missing)?\s*(\?)*$""), """", PROPER(SUBSTITUTE(SUBSTITUTE(G87, ""?"", """"), ""*"", """")))"),"Hand Warmer Union Jack")</f>
        <v>Hand Warmer Union Jack</v>
      </c>
      <c r="I87" s="3">
        <v>6.0</v>
      </c>
      <c r="J87" s="7">
        <v>40513.39861111111</v>
      </c>
      <c r="K87" s="8" t="str">
        <f t="shared" si="4"/>
        <v>2010-12</v>
      </c>
      <c r="L87" s="5">
        <v>1.85</v>
      </c>
      <c r="M87" s="3">
        <v>17850.0</v>
      </c>
      <c r="N87" s="1" t="str">
        <f t="shared" si="5"/>
        <v>Registered</v>
      </c>
      <c r="O87" s="1" t="s">
        <v>19</v>
      </c>
      <c r="P87" s="9" t="str">
        <f t="shared" si="6"/>
        <v>UK</v>
      </c>
      <c r="Q87" s="8">
        <f t="shared" si="7"/>
        <v>11.1</v>
      </c>
    </row>
    <row r="88">
      <c r="A88" s="1">
        <v>536378.0</v>
      </c>
      <c r="B88" s="1" t="str">
        <f t="shared" si="1"/>
        <v>536378</v>
      </c>
      <c r="C88" s="1" t="str">
        <f t="shared" si="2"/>
        <v>Sale</v>
      </c>
      <c r="D88" s="1">
        <v>22386.0</v>
      </c>
      <c r="E88" s="1" t="str">
        <f>IFERROR(__xludf.DUMMYFUNCTION("IF(LEN(D88)&gt;4, IFERROR(REGEXEXTRACT(TO_TEXT(D88),""\d+""),""""),"""")"),"22386")</f>
        <v>22386</v>
      </c>
      <c r="F88" s="6" t="str">
        <f t="shared" si="3"/>
        <v>Product</v>
      </c>
      <c r="G88" s="1" t="s">
        <v>84</v>
      </c>
      <c r="H88" s="6" t="str">
        <f>IFERROR(__xludf.DUMMYFUNCTION("IF(REGEXMATCH(LOWER(G88), ""^(\?)+\s*(missing)?\s*(\?)*$""), """", PROPER(SUBSTITUTE(SUBSTITUTE(G88, ""?"", """"), ""*"", """")))"),"Jumbo Bag Pink Polkadot")</f>
        <v>Jumbo Bag Pink Polkadot</v>
      </c>
      <c r="I88" s="3">
        <v>10.0</v>
      </c>
      <c r="J88" s="7">
        <v>40513.40069444444</v>
      </c>
      <c r="K88" s="8" t="str">
        <f t="shared" si="4"/>
        <v>2010-12</v>
      </c>
      <c r="L88" s="5">
        <v>1.95</v>
      </c>
      <c r="M88" s="3">
        <v>14688.0</v>
      </c>
      <c r="N88" s="1" t="str">
        <f t="shared" si="5"/>
        <v>Registered</v>
      </c>
      <c r="O88" s="1" t="s">
        <v>19</v>
      </c>
      <c r="P88" s="9" t="str">
        <f t="shared" si="6"/>
        <v>UK</v>
      </c>
      <c r="Q88" s="8">
        <f t="shared" si="7"/>
        <v>19.5</v>
      </c>
    </row>
    <row r="89">
      <c r="A89" s="1">
        <v>536378.0</v>
      </c>
      <c r="B89" s="1" t="str">
        <f t="shared" si="1"/>
        <v>536378</v>
      </c>
      <c r="C89" s="1" t="str">
        <f t="shared" si="2"/>
        <v>Sale</v>
      </c>
      <c r="D89" s="1" t="s">
        <v>85</v>
      </c>
      <c r="E89" s="1" t="str">
        <f>IFERROR(__xludf.DUMMYFUNCTION("IF(LEN(D89)&gt;4, IFERROR(REGEXEXTRACT(TO_TEXT(D89),""\d+""),""""),"""")"),"85099")</f>
        <v>85099</v>
      </c>
      <c r="F89" s="6" t="str">
        <f t="shared" si="3"/>
        <v>Product</v>
      </c>
      <c r="G89" s="1" t="s">
        <v>86</v>
      </c>
      <c r="H89" s="6" t="str">
        <f>IFERROR(__xludf.DUMMYFUNCTION("IF(REGEXMATCH(LOWER(G89), ""^(\?)+\s*(missing)?\s*(\?)*$""), """", PROPER(SUBSTITUTE(SUBSTITUTE(G89, ""?"", """"), ""*"", """")))"),"Jumbo Bag Baroque Black White")</f>
        <v>Jumbo Bag Baroque Black White</v>
      </c>
      <c r="I89" s="3">
        <v>10.0</v>
      </c>
      <c r="J89" s="7">
        <v>40513.40069444444</v>
      </c>
      <c r="K89" s="8" t="str">
        <f t="shared" si="4"/>
        <v>2010-12</v>
      </c>
      <c r="L89" s="5">
        <v>1.95</v>
      </c>
      <c r="M89" s="3">
        <v>14688.0</v>
      </c>
      <c r="N89" s="1" t="str">
        <f t="shared" si="5"/>
        <v>Registered</v>
      </c>
      <c r="O89" s="1" t="s">
        <v>19</v>
      </c>
      <c r="P89" s="9" t="str">
        <f t="shared" si="6"/>
        <v>UK</v>
      </c>
      <c r="Q89" s="8">
        <f t="shared" si="7"/>
        <v>19.5</v>
      </c>
    </row>
    <row r="90">
      <c r="A90" s="1">
        <v>536378.0</v>
      </c>
      <c r="B90" s="1" t="str">
        <f t="shared" si="1"/>
        <v>536378</v>
      </c>
      <c r="C90" s="1" t="str">
        <f t="shared" si="2"/>
        <v>Sale</v>
      </c>
      <c r="D90" s="1">
        <v>21033.0</v>
      </c>
      <c r="E90" s="1" t="str">
        <f>IFERROR(__xludf.DUMMYFUNCTION("IF(LEN(D90)&gt;4, IFERROR(REGEXEXTRACT(TO_TEXT(D90),""\d+""),""""),"""")"),"21033")</f>
        <v>21033</v>
      </c>
      <c r="F90" s="6" t="str">
        <f t="shared" si="3"/>
        <v>Product</v>
      </c>
      <c r="G90" s="1" t="s">
        <v>87</v>
      </c>
      <c r="H90" s="6" t="str">
        <f>IFERROR(__xludf.DUMMYFUNCTION("IF(REGEXMATCH(LOWER(G90), ""^(\?)+\s*(missing)?\s*(\?)*$""), """", PROPER(SUBSTITUTE(SUBSTITUTE(G90, ""?"", """"), ""*"", """")))"),"Jumbo Bag Charlie And Lola Toys")</f>
        <v>Jumbo Bag Charlie And Lola Toys</v>
      </c>
      <c r="I90" s="3">
        <v>10.0</v>
      </c>
      <c r="J90" s="7">
        <v>40513.40069444444</v>
      </c>
      <c r="K90" s="8" t="str">
        <f t="shared" si="4"/>
        <v>2010-12</v>
      </c>
      <c r="L90" s="5">
        <v>2.95</v>
      </c>
      <c r="M90" s="3">
        <v>14688.0</v>
      </c>
      <c r="N90" s="1" t="str">
        <f t="shared" si="5"/>
        <v>Registered</v>
      </c>
      <c r="O90" s="1" t="s">
        <v>19</v>
      </c>
      <c r="P90" s="9" t="str">
        <f t="shared" si="6"/>
        <v>UK</v>
      </c>
      <c r="Q90" s="8">
        <f t="shared" si="7"/>
        <v>29.5</v>
      </c>
    </row>
    <row r="91">
      <c r="A91" s="1">
        <v>536378.0</v>
      </c>
      <c r="B91" s="1" t="str">
        <f t="shared" si="1"/>
        <v>536378</v>
      </c>
      <c r="C91" s="1" t="str">
        <f t="shared" si="2"/>
        <v>Sale</v>
      </c>
      <c r="D91" s="1">
        <v>20723.0</v>
      </c>
      <c r="E91" s="1" t="str">
        <f>IFERROR(__xludf.DUMMYFUNCTION("IF(LEN(D91)&gt;4, IFERROR(REGEXEXTRACT(TO_TEXT(D91),""\d+""),""""),"""")"),"20723")</f>
        <v>20723</v>
      </c>
      <c r="F91" s="6" t="str">
        <f t="shared" si="3"/>
        <v>Product</v>
      </c>
      <c r="G91" s="1" t="s">
        <v>88</v>
      </c>
      <c r="H91" s="6" t="str">
        <f>IFERROR(__xludf.DUMMYFUNCTION("IF(REGEXMATCH(LOWER(G91), ""^(\?)+\s*(missing)?\s*(\?)*$""), """", PROPER(SUBSTITUTE(SUBSTITUTE(G91, ""?"", """"), ""*"", """")))"),"Strawberry Charlotte Bag")</f>
        <v>Strawberry Charlotte Bag</v>
      </c>
      <c r="I91" s="3">
        <v>10.0</v>
      </c>
      <c r="J91" s="7">
        <v>40513.40069444444</v>
      </c>
      <c r="K91" s="8" t="str">
        <f t="shared" si="4"/>
        <v>2010-12</v>
      </c>
      <c r="L91" s="5">
        <v>0.85</v>
      </c>
      <c r="M91" s="3">
        <v>14688.0</v>
      </c>
      <c r="N91" s="1" t="str">
        <f t="shared" si="5"/>
        <v>Registered</v>
      </c>
      <c r="O91" s="1" t="s">
        <v>19</v>
      </c>
      <c r="P91" s="9" t="str">
        <f t="shared" si="6"/>
        <v>UK</v>
      </c>
      <c r="Q91" s="8">
        <f t="shared" si="7"/>
        <v>8.5</v>
      </c>
    </row>
    <row r="92">
      <c r="A92" s="1">
        <v>536378.0</v>
      </c>
      <c r="B92" s="1" t="str">
        <f t="shared" si="1"/>
        <v>536378</v>
      </c>
      <c r="C92" s="1" t="str">
        <f t="shared" si="2"/>
        <v>Sale</v>
      </c>
      <c r="D92" s="1" t="s">
        <v>89</v>
      </c>
      <c r="E92" s="1" t="str">
        <f>IFERROR(__xludf.DUMMYFUNCTION("IF(LEN(D92)&gt;4, IFERROR(REGEXEXTRACT(TO_TEXT(D92),""\d+""),""""),"""")"),"84997")</f>
        <v>84997</v>
      </c>
      <c r="F92" s="6" t="str">
        <f t="shared" si="3"/>
        <v>Product</v>
      </c>
      <c r="G92" s="1" t="s">
        <v>90</v>
      </c>
      <c r="H92" s="6" t="str">
        <f>IFERROR(__xludf.DUMMYFUNCTION("IF(REGEXMATCH(LOWER(G92), ""^(\?)+\s*(missing)?\s*(\?)*$""), """", PROPER(SUBSTITUTE(SUBSTITUTE(G92, ""?"", """"), ""*"", """")))"),"Red 3 Piece Retrospot Cutlery Set")</f>
        <v>Red 3 Piece Retrospot Cutlery Set</v>
      </c>
      <c r="I92" s="3">
        <v>12.0</v>
      </c>
      <c r="J92" s="7">
        <v>40513.40069444444</v>
      </c>
      <c r="K92" s="8" t="str">
        <f t="shared" si="4"/>
        <v>2010-12</v>
      </c>
      <c r="L92" s="5">
        <v>3.75</v>
      </c>
      <c r="M92" s="3">
        <v>14688.0</v>
      </c>
      <c r="N92" s="1" t="str">
        <f t="shared" si="5"/>
        <v>Registered</v>
      </c>
      <c r="O92" s="1" t="s">
        <v>19</v>
      </c>
      <c r="P92" s="9" t="str">
        <f t="shared" si="6"/>
        <v>UK</v>
      </c>
      <c r="Q92" s="8">
        <f t="shared" si="7"/>
        <v>45</v>
      </c>
    </row>
    <row r="93">
      <c r="A93" s="1">
        <v>536378.0</v>
      </c>
      <c r="B93" s="1" t="str">
        <f t="shared" si="1"/>
        <v>536378</v>
      </c>
      <c r="C93" s="1" t="str">
        <f t="shared" si="2"/>
        <v>Sale</v>
      </c>
      <c r="D93" s="1" t="s">
        <v>91</v>
      </c>
      <c r="E93" s="1" t="str">
        <f>IFERROR(__xludf.DUMMYFUNCTION("IF(LEN(D93)&gt;4, IFERROR(REGEXEXTRACT(TO_TEXT(D93),""\d+""),""""),"""")"),"84997")</f>
        <v>84997</v>
      </c>
      <c r="F93" s="6" t="str">
        <f t="shared" si="3"/>
        <v>Product</v>
      </c>
      <c r="G93" s="1" t="s">
        <v>92</v>
      </c>
      <c r="H93" s="6" t="str">
        <f>IFERROR(__xludf.DUMMYFUNCTION("IF(REGEXMATCH(LOWER(G93), ""^(\?)+\s*(missing)?\s*(\?)*$""), """", PROPER(SUBSTITUTE(SUBSTITUTE(G93, ""?"", """"), ""*"", """")))"),"Blue 3 Piece Polkadot Cutlery Set")</f>
        <v>Blue 3 Piece Polkadot Cutlery Set</v>
      </c>
      <c r="I93" s="3">
        <v>6.0</v>
      </c>
      <c r="J93" s="7">
        <v>40513.40069444444</v>
      </c>
      <c r="K93" s="8" t="str">
        <f t="shared" si="4"/>
        <v>2010-12</v>
      </c>
      <c r="L93" s="5">
        <v>3.75</v>
      </c>
      <c r="M93" s="3">
        <v>14688.0</v>
      </c>
      <c r="N93" s="1" t="str">
        <f t="shared" si="5"/>
        <v>Registered</v>
      </c>
      <c r="O93" s="1" t="s">
        <v>19</v>
      </c>
      <c r="P93" s="9" t="str">
        <f t="shared" si="6"/>
        <v>UK</v>
      </c>
      <c r="Q93" s="8">
        <f t="shared" si="7"/>
        <v>22.5</v>
      </c>
    </row>
    <row r="94">
      <c r="A94" s="1">
        <v>536378.0</v>
      </c>
      <c r="B94" s="1" t="str">
        <f t="shared" si="1"/>
        <v>536378</v>
      </c>
      <c r="C94" s="1" t="str">
        <f t="shared" si="2"/>
        <v>Sale</v>
      </c>
      <c r="D94" s="1">
        <v>21094.0</v>
      </c>
      <c r="E94" s="1" t="str">
        <f>IFERROR(__xludf.DUMMYFUNCTION("IF(LEN(D94)&gt;4, IFERROR(REGEXEXTRACT(TO_TEXT(D94),""\d+""),""""),"""")"),"21094")</f>
        <v>21094</v>
      </c>
      <c r="F94" s="6" t="str">
        <f t="shared" si="3"/>
        <v>Product</v>
      </c>
      <c r="G94" s="1" t="s">
        <v>93</v>
      </c>
      <c r="H94" s="6" t="str">
        <f>IFERROR(__xludf.DUMMYFUNCTION("IF(REGEXMATCH(LOWER(G94), ""^(\?)+\s*(missing)?\s*(\?)*$""), """", PROPER(SUBSTITUTE(SUBSTITUTE(G94, ""?"", """"), ""*"", """")))"),"Set/6 Red Spotty Paper Plates")</f>
        <v>Set/6 Red Spotty Paper Plates</v>
      </c>
      <c r="I94" s="3">
        <v>12.0</v>
      </c>
      <c r="J94" s="7">
        <v>40513.40069444444</v>
      </c>
      <c r="K94" s="8" t="str">
        <f t="shared" si="4"/>
        <v>2010-12</v>
      </c>
      <c r="L94" s="5">
        <v>0.85</v>
      </c>
      <c r="M94" s="3">
        <v>14688.0</v>
      </c>
      <c r="N94" s="1" t="str">
        <f t="shared" si="5"/>
        <v>Registered</v>
      </c>
      <c r="O94" s="1" t="s">
        <v>19</v>
      </c>
      <c r="P94" s="9" t="str">
        <f t="shared" si="6"/>
        <v>UK</v>
      </c>
      <c r="Q94" s="8">
        <f t="shared" si="7"/>
        <v>10.2</v>
      </c>
    </row>
    <row r="95">
      <c r="A95" s="1">
        <v>536378.0</v>
      </c>
      <c r="B95" s="1" t="str">
        <f t="shared" si="1"/>
        <v>536378</v>
      </c>
      <c r="C95" s="1" t="str">
        <f t="shared" si="2"/>
        <v>Sale</v>
      </c>
      <c r="D95" s="1">
        <v>20725.0</v>
      </c>
      <c r="E95" s="1" t="str">
        <f>IFERROR(__xludf.DUMMYFUNCTION("IF(LEN(D95)&gt;4, IFERROR(REGEXEXTRACT(TO_TEXT(D95),""\d+""),""""),"""")"),"20725")</f>
        <v>20725</v>
      </c>
      <c r="F95" s="6" t="str">
        <f t="shared" si="3"/>
        <v>Product</v>
      </c>
      <c r="G95" s="1" t="s">
        <v>94</v>
      </c>
      <c r="H95" s="6" t="str">
        <f>IFERROR(__xludf.DUMMYFUNCTION("IF(REGEXMATCH(LOWER(G95), ""^(\?)+\s*(missing)?\s*(\?)*$""), """", PROPER(SUBSTITUTE(SUBSTITUTE(G95, ""?"", """"), ""*"", """")))"),"Lunch Bag Red Retrospot")</f>
        <v>Lunch Bag Red Retrospot</v>
      </c>
      <c r="I95" s="3">
        <v>10.0</v>
      </c>
      <c r="J95" s="7">
        <v>40513.40069444444</v>
      </c>
      <c r="K95" s="8" t="str">
        <f t="shared" si="4"/>
        <v>2010-12</v>
      </c>
      <c r="L95" s="5">
        <v>1.65</v>
      </c>
      <c r="M95" s="3">
        <v>14688.0</v>
      </c>
      <c r="N95" s="1" t="str">
        <f t="shared" si="5"/>
        <v>Registered</v>
      </c>
      <c r="O95" s="1" t="s">
        <v>19</v>
      </c>
      <c r="P95" s="9" t="str">
        <f t="shared" si="6"/>
        <v>UK</v>
      </c>
      <c r="Q95" s="8">
        <f t="shared" si="7"/>
        <v>16.5</v>
      </c>
    </row>
    <row r="96">
      <c r="A96" s="1">
        <v>536378.0</v>
      </c>
      <c r="B96" s="1" t="str">
        <f t="shared" si="1"/>
        <v>536378</v>
      </c>
      <c r="C96" s="1" t="str">
        <f t="shared" si="2"/>
        <v>Sale</v>
      </c>
      <c r="D96" s="1">
        <v>21559.0</v>
      </c>
      <c r="E96" s="1" t="str">
        <f>IFERROR(__xludf.DUMMYFUNCTION("IF(LEN(D96)&gt;4, IFERROR(REGEXEXTRACT(TO_TEXT(D96),""\d+""),""""),"""")"),"21559")</f>
        <v>21559</v>
      </c>
      <c r="F96" s="6" t="str">
        <f t="shared" si="3"/>
        <v>Product</v>
      </c>
      <c r="G96" s="1" t="s">
        <v>95</v>
      </c>
      <c r="H96" s="6" t="str">
        <f>IFERROR(__xludf.DUMMYFUNCTION("IF(REGEXMATCH(LOWER(G96), ""^(\?)+\s*(missing)?\s*(\?)*$""), """", PROPER(SUBSTITUTE(SUBSTITUTE(G96, ""?"", """"), ""*"", """")))"),"Strawberry Lunch Box With Cutlery")</f>
        <v>Strawberry Lunch Box With Cutlery</v>
      </c>
      <c r="I96" s="3">
        <v>6.0</v>
      </c>
      <c r="J96" s="7">
        <v>40513.40069444444</v>
      </c>
      <c r="K96" s="8" t="str">
        <f t="shared" si="4"/>
        <v>2010-12</v>
      </c>
      <c r="L96" s="5">
        <v>2.55</v>
      </c>
      <c r="M96" s="3">
        <v>14688.0</v>
      </c>
      <c r="N96" s="1" t="str">
        <f t="shared" si="5"/>
        <v>Registered</v>
      </c>
      <c r="O96" s="1" t="s">
        <v>19</v>
      </c>
      <c r="P96" s="9" t="str">
        <f t="shared" si="6"/>
        <v>UK</v>
      </c>
      <c r="Q96" s="8">
        <f t="shared" si="7"/>
        <v>15.3</v>
      </c>
    </row>
    <row r="97">
      <c r="A97" s="1">
        <v>536378.0</v>
      </c>
      <c r="B97" s="1" t="str">
        <f t="shared" si="1"/>
        <v>536378</v>
      </c>
      <c r="C97" s="1" t="str">
        <f t="shared" si="2"/>
        <v>Sale</v>
      </c>
      <c r="D97" s="1">
        <v>22352.0</v>
      </c>
      <c r="E97" s="1" t="str">
        <f>IFERROR(__xludf.DUMMYFUNCTION("IF(LEN(D97)&gt;4, IFERROR(REGEXEXTRACT(TO_TEXT(D97),""\d+""),""""),"""")"),"22352")</f>
        <v>22352</v>
      </c>
      <c r="F97" s="6" t="str">
        <f t="shared" si="3"/>
        <v>Product</v>
      </c>
      <c r="G97" s="1" t="s">
        <v>96</v>
      </c>
      <c r="H97" s="6" t="str">
        <f>IFERROR(__xludf.DUMMYFUNCTION("IF(REGEXMATCH(LOWER(G97), ""^(\?)+\s*(missing)?\s*(\?)*$""), """", PROPER(SUBSTITUTE(SUBSTITUTE(G97, ""?"", """"), ""*"", """")))"),"Lunch Box With Cutlery Retrospot")</f>
        <v>Lunch Box With Cutlery Retrospot</v>
      </c>
      <c r="I97" s="3">
        <v>6.0</v>
      </c>
      <c r="J97" s="7">
        <v>40513.40069444444</v>
      </c>
      <c r="K97" s="8" t="str">
        <f t="shared" si="4"/>
        <v>2010-12</v>
      </c>
      <c r="L97" s="5">
        <v>2.55</v>
      </c>
      <c r="M97" s="3">
        <v>14688.0</v>
      </c>
      <c r="N97" s="1" t="str">
        <f t="shared" si="5"/>
        <v>Registered</v>
      </c>
      <c r="O97" s="1" t="s">
        <v>19</v>
      </c>
      <c r="P97" s="9" t="str">
        <f t="shared" si="6"/>
        <v>UK</v>
      </c>
      <c r="Q97" s="8">
        <f t="shared" si="7"/>
        <v>15.3</v>
      </c>
    </row>
    <row r="98">
      <c r="A98" s="1">
        <v>536378.0</v>
      </c>
      <c r="B98" s="1" t="str">
        <f t="shared" si="1"/>
        <v>536378</v>
      </c>
      <c r="C98" s="1" t="str">
        <f t="shared" si="2"/>
        <v>Sale</v>
      </c>
      <c r="D98" s="1">
        <v>21212.0</v>
      </c>
      <c r="E98" s="1" t="str">
        <f>IFERROR(__xludf.DUMMYFUNCTION("IF(LEN(D98)&gt;4, IFERROR(REGEXEXTRACT(TO_TEXT(D98),""\d+""),""""),"""")"),"21212")</f>
        <v>21212</v>
      </c>
      <c r="F98" s="6" t="str">
        <f t="shared" si="3"/>
        <v>Product</v>
      </c>
      <c r="G98" s="1" t="s">
        <v>97</v>
      </c>
      <c r="H98" s="6" t="str">
        <f>IFERROR(__xludf.DUMMYFUNCTION("IF(REGEXMATCH(LOWER(G98), ""^(\?)+\s*(missing)?\s*(\?)*$""), """", PROPER(SUBSTITUTE(SUBSTITUTE(G98, ""?"", """"), ""*"", """")))"),"Pack Of 72 Retrospot Cake Cases")</f>
        <v>Pack Of 72 Retrospot Cake Cases</v>
      </c>
      <c r="I98" s="3">
        <v>120.0</v>
      </c>
      <c r="J98" s="7">
        <v>40513.40069444444</v>
      </c>
      <c r="K98" s="8" t="str">
        <f t="shared" si="4"/>
        <v>2010-12</v>
      </c>
      <c r="L98" s="5">
        <v>0.42</v>
      </c>
      <c r="M98" s="3">
        <v>14688.0</v>
      </c>
      <c r="N98" s="1" t="str">
        <f t="shared" si="5"/>
        <v>Registered</v>
      </c>
      <c r="O98" s="1" t="s">
        <v>19</v>
      </c>
      <c r="P98" s="9" t="str">
        <f t="shared" si="6"/>
        <v>UK</v>
      </c>
      <c r="Q98" s="8">
        <f t="shared" si="7"/>
        <v>50.4</v>
      </c>
    </row>
    <row r="99">
      <c r="A99" s="1">
        <v>536378.0</v>
      </c>
      <c r="B99" s="1" t="str">
        <f t="shared" si="1"/>
        <v>536378</v>
      </c>
      <c r="C99" s="1" t="str">
        <f t="shared" si="2"/>
        <v>Sale</v>
      </c>
      <c r="D99" s="1">
        <v>21975.0</v>
      </c>
      <c r="E99" s="1" t="str">
        <f>IFERROR(__xludf.DUMMYFUNCTION("IF(LEN(D99)&gt;4, IFERROR(REGEXEXTRACT(TO_TEXT(D99),""\d+""),""""),"""")"),"21975")</f>
        <v>21975</v>
      </c>
      <c r="F99" s="6" t="str">
        <f t="shared" si="3"/>
        <v>Product</v>
      </c>
      <c r="G99" s="1" t="s">
        <v>98</v>
      </c>
      <c r="H99" s="6" t="str">
        <f>IFERROR(__xludf.DUMMYFUNCTION("IF(REGEXMATCH(LOWER(G99), ""^(\?)+\s*(missing)?\s*(\?)*$""), """", PROPER(SUBSTITUTE(SUBSTITUTE(G99, ""?"", """"), ""*"", """")))"),"Pack Of 60 Dinosaur Cake Cases")</f>
        <v>Pack Of 60 Dinosaur Cake Cases</v>
      </c>
      <c r="I99" s="3">
        <v>24.0</v>
      </c>
      <c r="J99" s="7">
        <v>40513.40069444444</v>
      </c>
      <c r="K99" s="8" t="str">
        <f t="shared" si="4"/>
        <v>2010-12</v>
      </c>
      <c r="L99" s="5">
        <v>0.55</v>
      </c>
      <c r="M99" s="3">
        <v>14688.0</v>
      </c>
      <c r="N99" s="1" t="str">
        <f t="shared" si="5"/>
        <v>Registered</v>
      </c>
      <c r="O99" s="1" t="s">
        <v>19</v>
      </c>
      <c r="P99" s="9" t="str">
        <f t="shared" si="6"/>
        <v>UK</v>
      </c>
      <c r="Q99" s="8">
        <f t="shared" si="7"/>
        <v>13.2</v>
      </c>
    </row>
    <row r="100">
      <c r="A100" s="1">
        <v>536378.0</v>
      </c>
      <c r="B100" s="1" t="str">
        <f t="shared" si="1"/>
        <v>536378</v>
      </c>
      <c r="C100" s="1" t="str">
        <f t="shared" si="2"/>
        <v>Sale</v>
      </c>
      <c r="D100" s="1">
        <v>21977.0</v>
      </c>
      <c r="E100" s="1" t="str">
        <f>IFERROR(__xludf.DUMMYFUNCTION("IF(LEN(D100)&gt;4, IFERROR(REGEXEXTRACT(TO_TEXT(D100),""\d+""),""""),"""")"),"21977")</f>
        <v>21977</v>
      </c>
      <c r="F100" s="6" t="str">
        <f t="shared" si="3"/>
        <v>Product</v>
      </c>
      <c r="G100" s="1" t="s">
        <v>99</v>
      </c>
      <c r="H100" s="6" t="str">
        <f>IFERROR(__xludf.DUMMYFUNCTION("IF(REGEXMATCH(LOWER(G100), ""^(\?)+\s*(missing)?\s*(\?)*$""), """", PROPER(SUBSTITUTE(SUBSTITUTE(G100, ""?"", """"), ""*"", """")))"),"Pack Of 60 Pink Paisley Cake Cases")</f>
        <v>Pack Of 60 Pink Paisley Cake Cases</v>
      </c>
      <c r="I100" s="3">
        <v>24.0</v>
      </c>
      <c r="J100" s="7">
        <v>40513.40069444444</v>
      </c>
      <c r="K100" s="8" t="str">
        <f t="shared" si="4"/>
        <v>2010-12</v>
      </c>
      <c r="L100" s="5">
        <v>0.55</v>
      </c>
      <c r="M100" s="3">
        <v>14688.0</v>
      </c>
      <c r="N100" s="1" t="str">
        <f t="shared" si="5"/>
        <v>Registered</v>
      </c>
      <c r="O100" s="1" t="s">
        <v>19</v>
      </c>
      <c r="P100" s="9" t="str">
        <f t="shared" si="6"/>
        <v>UK</v>
      </c>
      <c r="Q100" s="8">
        <f t="shared" si="7"/>
        <v>13.2</v>
      </c>
    </row>
    <row r="101">
      <c r="A101" s="1">
        <v>536378.0</v>
      </c>
      <c r="B101" s="1" t="str">
        <f t="shared" si="1"/>
        <v>536378</v>
      </c>
      <c r="C101" s="1" t="str">
        <f t="shared" si="2"/>
        <v>Sale</v>
      </c>
      <c r="D101" s="1">
        <v>84991.0</v>
      </c>
      <c r="E101" s="1" t="str">
        <f>IFERROR(__xludf.DUMMYFUNCTION("IF(LEN(D101)&gt;4, IFERROR(REGEXEXTRACT(TO_TEXT(D101),""\d+""),""""),"""")"),"84991")</f>
        <v>84991</v>
      </c>
      <c r="F101" s="6" t="str">
        <f t="shared" si="3"/>
        <v>Product</v>
      </c>
      <c r="G101" s="1" t="s">
        <v>100</v>
      </c>
      <c r="H101" s="6" t="str">
        <f>IFERROR(__xludf.DUMMYFUNCTION("IF(REGEXMATCH(LOWER(G101), ""^(\?)+\s*(missing)?\s*(\?)*$""), """", PROPER(SUBSTITUTE(SUBSTITUTE(G101, ""?"", """"), ""*"", """")))"),"60 Teatime Fairy Cake Cases")</f>
        <v>60 Teatime Fairy Cake Cases</v>
      </c>
      <c r="I101" s="3">
        <v>24.0</v>
      </c>
      <c r="J101" s="7">
        <v>40513.40069444444</v>
      </c>
      <c r="K101" s="8" t="str">
        <f t="shared" si="4"/>
        <v>2010-12</v>
      </c>
      <c r="L101" s="5">
        <v>0.55</v>
      </c>
      <c r="M101" s="3">
        <v>14688.0</v>
      </c>
      <c r="N101" s="1" t="str">
        <f t="shared" si="5"/>
        <v>Registered</v>
      </c>
      <c r="O101" s="1" t="s">
        <v>19</v>
      </c>
      <c r="P101" s="9" t="str">
        <f t="shared" si="6"/>
        <v>UK</v>
      </c>
      <c r="Q101" s="8">
        <f t="shared" si="7"/>
        <v>13.2</v>
      </c>
    </row>
    <row r="102">
      <c r="A102" s="1">
        <v>536378.0</v>
      </c>
      <c r="B102" s="1" t="str">
        <f t="shared" si="1"/>
        <v>536378</v>
      </c>
      <c r="C102" s="1" t="str">
        <f t="shared" si="2"/>
        <v>Sale</v>
      </c>
      <c r="D102" s="1" t="s">
        <v>101</v>
      </c>
      <c r="E102" s="1" t="str">
        <f>IFERROR(__xludf.DUMMYFUNCTION("IF(LEN(D102)&gt;4, IFERROR(REGEXEXTRACT(TO_TEXT(D102),""\d+""),""""),"""")"),"84519")</f>
        <v>84519</v>
      </c>
      <c r="F102" s="6" t="str">
        <f t="shared" si="3"/>
        <v>Product</v>
      </c>
      <c r="G102" s="1" t="s">
        <v>102</v>
      </c>
      <c r="H102" s="6" t="str">
        <f>IFERROR(__xludf.DUMMYFUNCTION("IF(REGEXMATCH(LOWER(G102), ""^(\?)+\s*(missing)?\s*(\?)*$""), """", PROPER(SUBSTITUTE(SUBSTITUTE(G102, ""?"", """"), ""*"", """")))"),"Tomato Charlie+Lola Coaster Set")</f>
        <v>Tomato Charlie+Lola Coaster Set</v>
      </c>
      <c r="I102" s="3">
        <v>6.0</v>
      </c>
      <c r="J102" s="7">
        <v>40513.40069444444</v>
      </c>
      <c r="K102" s="8" t="str">
        <f t="shared" si="4"/>
        <v>2010-12</v>
      </c>
      <c r="L102" s="5">
        <v>2.95</v>
      </c>
      <c r="M102" s="3">
        <v>14688.0</v>
      </c>
      <c r="N102" s="1" t="str">
        <f t="shared" si="5"/>
        <v>Registered</v>
      </c>
      <c r="O102" s="1" t="s">
        <v>19</v>
      </c>
      <c r="P102" s="9" t="str">
        <f t="shared" si="6"/>
        <v>UK</v>
      </c>
      <c r="Q102" s="8">
        <f t="shared" si="7"/>
        <v>17.7</v>
      </c>
    </row>
    <row r="103">
      <c r="A103" s="1">
        <v>536378.0</v>
      </c>
      <c r="B103" s="1" t="str">
        <f t="shared" si="1"/>
        <v>536378</v>
      </c>
      <c r="C103" s="1" t="str">
        <f t="shared" si="2"/>
        <v>Sale</v>
      </c>
      <c r="D103" s="1" t="s">
        <v>103</v>
      </c>
      <c r="E103" s="1" t="str">
        <f>IFERROR(__xludf.DUMMYFUNCTION("IF(LEN(D103)&gt;4, IFERROR(REGEXEXTRACT(TO_TEXT(D103),""\d+""),""""),"""")"),"85183")</f>
        <v>85183</v>
      </c>
      <c r="F103" s="6" t="str">
        <f t="shared" si="3"/>
        <v>Product</v>
      </c>
      <c r="G103" s="1" t="s">
        <v>104</v>
      </c>
      <c r="H103" s="6" t="str">
        <f>IFERROR(__xludf.DUMMYFUNCTION("IF(REGEXMATCH(LOWER(G103), ""^(\?)+\s*(missing)?\s*(\?)*$""), """", PROPER(SUBSTITUTE(SUBSTITUTE(G103, ""?"", """"), ""*"", """")))"),"Charlie &amp; Lola Wastepaper Bin Flora")</f>
        <v>Charlie &amp; Lola Wastepaper Bin Flora</v>
      </c>
      <c r="I103" s="3">
        <v>48.0</v>
      </c>
      <c r="J103" s="7">
        <v>40513.40069444444</v>
      </c>
      <c r="K103" s="8" t="str">
        <f t="shared" si="4"/>
        <v>2010-12</v>
      </c>
      <c r="L103" s="5">
        <v>1.25</v>
      </c>
      <c r="M103" s="3">
        <v>14688.0</v>
      </c>
      <c r="N103" s="1" t="str">
        <f t="shared" si="5"/>
        <v>Registered</v>
      </c>
      <c r="O103" s="1" t="s">
        <v>19</v>
      </c>
      <c r="P103" s="9" t="str">
        <f t="shared" si="6"/>
        <v>UK</v>
      </c>
      <c r="Q103" s="8">
        <f t="shared" si="7"/>
        <v>60</v>
      </c>
    </row>
    <row r="104">
      <c r="A104" s="1">
        <v>536378.0</v>
      </c>
      <c r="B104" s="1" t="str">
        <f t="shared" si="1"/>
        <v>536378</v>
      </c>
      <c r="C104" s="1" t="str">
        <f t="shared" si="2"/>
        <v>Sale</v>
      </c>
      <c r="D104" s="1" t="s">
        <v>105</v>
      </c>
      <c r="E104" s="1" t="str">
        <f>IFERROR(__xludf.DUMMYFUNCTION("IF(LEN(D104)&gt;4, IFERROR(REGEXEXTRACT(TO_TEXT(D104),""\d+""),""""),"""")"),"85071")</f>
        <v>85071</v>
      </c>
      <c r="F104" s="6" t="str">
        <f t="shared" si="3"/>
        <v>Product</v>
      </c>
      <c r="G104" s="1" t="s">
        <v>106</v>
      </c>
      <c r="H104" s="6" t="str">
        <f>IFERROR(__xludf.DUMMYFUNCTION("IF(REGEXMATCH(LOWER(G104), ""^(\?)+\s*(missing)?\s*(\?)*$""), """", PROPER(SUBSTITUTE(SUBSTITUTE(G104, ""?"", """"), ""*"", """")))"),"Red Charlie+Lola Personal Doorsign")</f>
        <v>Red Charlie+Lola Personal Doorsign</v>
      </c>
      <c r="I104" s="3">
        <v>96.0</v>
      </c>
      <c r="J104" s="7">
        <v>40513.40069444444</v>
      </c>
      <c r="K104" s="8" t="str">
        <f t="shared" si="4"/>
        <v>2010-12</v>
      </c>
      <c r="L104" s="5">
        <v>0.38</v>
      </c>
      <c r="M104" s="3">
        <v>14688.0</v>
      </c>
      <c r="N104" s="1" t="str">
        <f t="shared" si="5"/>
        <v>Registered</v>
      </c>
      <c r="O104" s="1" t="s">
        <v>19</v>
      </c>
      <c r="P104" s="9" t="str">
        <f t="shared" si="6"/>
        <v>UK</v>
      </c>
      <c r="Q104" s="8">
        <f t="shared" si="7"/>
        <v>36.48</v>
      </c>
    </row>
    <row r="105">
      <c r="A105" s="1">
        <v>536378.0</v>
      </c>
      <c r="B105" s="1" t="str">
        <f t="shared" si="1"/>
        <v>536378</v>
      </c>
      <c r="C105" s="1" t="str">
        <f t="shared" si="2"/>
        <v>Sale</v>
      </c>
      <c r="D105" s="1">
        <v>21931.0</v>
      </c>
      <c r="E105" s="1" t="str">
        <f>IFERROR(__xludf.DUMMYFUNCTION("IF(LEN(D105)&gt;4, IFERROR(REGEXEXTRACT(TO_TEXT(D105),""\d+""),""""),"""")"),"21931")</f>
        <v>21931</v>
      </c>
      <c r="F105" s="6" t="str">
        <f t="shared" si="3"/>
        <v>Product</v>
      </c>
      <c r="G105" s="1" t="s">
        <v>107</v>
      </c>
      <c r="H105" s="6" t="str">
        <f>IFERROR(__xludf.DUMMYFUNCTION("IF(REGEXMATCH(LOWER(G105), ""^(\?)+\s*(missing)?\s*(\?)*$""), """", PROPER(SUBSTITUTE(SUBSTITUTE(G105, ""?"", """"), ""*"", """")))"),"Jumbo Storage Bag Suki")</f>
        <v>Jumbo Storage Bag Suki</v>
      </c>
      <c r="I105" s="3">
        <v>10.0</v>
      </c>
      <c r="J105" s="7">
        <v>40513.40069444444</v>
      </c>
      <c r="K105" s="8" t="str">
        <f t="shared" si="4"/>
        <v>2010-12</v>
      </c>
      <c r="L105" s="5">
        <v>1.95</v>
      </c>
      <c r="M105" s="3">
        <v>14688.0</v>
      </c>
      <c r="N105" s="1" t="str">
        <f t="shared" si="5"/>
        <v>Registered</v>
      </c>
      <c r="O105" s="1" t="s">
        <v>19</v>
      </c>
      <c r="P105" s="9" t="str">
        <f t="shared" si="6"/>
        <v>UK</v>
      </c>
      <c r="Q105" s="8">
        <f t="shared" si="7"/>
        <v>19.5</v>
      </c>
    </row>
    <row r="106">
      <c r="A106" s="1">
        <v>536378.0</v>
      </c>
      <c r="B106" s="1" t="str">
        <f t="shared" si="1"/>
        <v>536378</v>
      </c>
      <c r="C106" s="1" t="str">
        <f t="shared" si="2"/>
        <v>Sale</v>
      </c>
      <c r="D106" s="1">
        <v>21929.0</v>
      </c>
      <c r="E106" s="1" t="str">
        <f>IFERROR(__xludf.DUMMYFUNCTION("IF(LEN(D106)&gt;4, IFERROR(REGEXEXTRACT(TO_TEXT(D106),""\d+""),""""),"""")"),"21929")</f>
        <v>21929</v>
      </c>
      <c r="F106" s="6" t="str">
        <f t="shared" si="3"/>
        <v>Product</v>
      </c>
      <c r="G106" s="1" t="s">
        <v>108</v>
      </c>
      <c r="H106" s="6" t="str">
        <f>IFERROR(__xludf.DUMMYFUNCTION("IF(REGEXMATCH(LOWER(G106), ""^(\?)+\s*(missing)?\s*(\?)*$""), """", PROPER(SUBSTITUTE(SUBSTITUTE(G106, ""?"", """"), ""*"", """")))"),"Jumbo Bag Pink Vintage Paisley")</f>
        <v>Jumbo Bag Pink Vintage Paisley</v>
      </c>
      <c r="I106" s="3">
        <v>10.0</v>
      </c>
      <c r="J106" s="7">
        <v>40513.40069444444</v>
      </c>
      <c r="K106" s="8" t="str">
        <f t="shared" si="4"/>
        <v>2010-12</v>
      </c>
      <c r="L106" s="5">
        <v>1.95</v>
      </c>
      <c r="M106" s="3">
        <v>14688.0</v>
      </c>
      <c r="N106" s="1" t="str">
        <f t="shared" si="5"/>
        <v>Registered</v>
      </c>
      <c r="O106" s="1" t="s">
        <v>19</v>
      </c>
      <c r="P106" s="9" t="str">
        <f t="shared" si="6"/>
        <v>UK</v>
      </c>
      <c r="Q106" s="8">
        <f t="shared" si="7"/>
        <v>19.5</v>
      </c>
    </row>
    <row r="107">
      <c r="A107" s="1">
        <v>536380.0</v>
      </c>
      <c r="B107" s="1" t="str">
        <f t="shared" si="1"/>
        <v>536380</v>
      </c>
      <c r="C107" s="1" t="str">
        <f t="shared" si="2"/>
        <v>Sale</v>
      </c>
      <c r="D107" s="1">
        <v>22961.0</v>
      </c>
      <c r="E107" s="1" t="str">
        <f>IFERROR(__xludf.DUMMYFUNCTION("IF(LEN(D107)&gt;4, IFERROR(REGEXEXTRACT(TO_TEXT(D107),""\d+""),""""),"""")"),"22961")</f>
        <v>22961</v>
      </c>
      <c r="F107" s="6" t="str">
        <f t="shared" si="3"/>
        <v>Product</v>
      </c>
      <c r="G107" s="1" t="s">
        <v>109</v>
      </c>
      <c r="H107" s="6" t="str">
        <f>IFERROR(__xludf.DUMMYFUNCTION("IF(REGEXMATCH(LOWER(G107), ""^(\?)+\s*(missing)?\s*(\?)*$""), """", PROPER(SUBSTITUTE(SUBSTITUTE(G107, ""?"", """"), ""*"", """")))"),"Jam Making Set Printed")</f>
        <v>Jam Making Set Printed</v>
      </c>
      <c r="I107" s="3">
        <v>24.0</v>
      </c>
      <c r="J107" s="7">
        <v>40513.40347222222</v>
      </c>
      <c r="K107" s="8" t="str">
        <f t="shared" si="4"/>
        <v>2010-12</v>
      </c>
      <c r="L107" s="5">
        <v>1.45</v>
      </c>
      <c r="M107" s="3">
        <v>17809.0</v>
      </c>
      <c r="N107" s="1" t="str">
        <f t="shared" si="5"/>
        <v>Registered</v>
      </c>
      <c r="O107" s="1" t="s">
        <v>19</v>
      </c>
      <c r="P107" s="9" t="str">
        <f t="shared" si="6"/>
        <v>UK</v>
      </c>
      <c r="Q107" s="8">
        <f t="shared" si="7"/>
        <v>34.8</v>
      </c>
    </row>
    <row r="108">
      <c r="A108" s="1">
        <v>536381.0</v>
      </c>
      <c r="B108" s="1" t="str">
        <f t="shared" si="1"/>
        <v>536381</v>
      </c>
      <c r="C108" s="1" t="str">
        <f t="shared" si="2"/>
        <v>Sale</v>
      </c>
      <c r="D108" s="1">
        <v>22139.0</v>
      </c>
      <c r="E108" s="1" t="str">
        <f>IFERROR(__xludf.DUMMYFUNCTION("IF(LEN(D108)&gt;4, IFERROR(REGEXEXTRACT(TO_TEXT(D108),""\d+""),""""),"""")"),"22139")</f>
        <v>22139</v>
      </c>
      <c r="F108" s="6" t="str">
        <f t="shared" si="3"/>
        <v>Product</v>
      </c>
      <c r="G108" s="1" t="s">
        <v>110</v>
      </c>
      <c r="H108" s="6" t="str">
        <f>IFERROR(__xludf.DUMMYFUNCTION("IF(REGEXMATCH(LOWER(G108), ""^(\?)+\s*(missing)?\s*(\?)*$""), """", PROPER(SUBSTITUTE(SUBSTITUTE(G108, ""?"", """"), ""*"", """")))"),"Retrospot Tea Set Ceramic 11 Pc")</f>
        <v>Retrospot Tea Set Ceramic 11 Pc</v>
      </c>
      <c r="I108" s="3">
        <v>23.0</v>
      </c>
      <c r="J108" s="7">
        <v>40513.40347222222</v>
      </c>
      <c r="K108" s="8" t="str">
        <f t="shared" si="4"/>
        <v>2010-12</v>
      </c>
      <c r="L108" s="5">
        <v>4.25</v>
      </c>
      <c r="M108" s="3">
        <v>15311.0</v>
      </c>
      <c r="N108" s="1" t="str">
        <f t="shared" si="5"/>
        <v>Registered</v>
      </c>
      <c r="O108" s="1" t="s">
        <v>19</v>
      </c>
      <c r="P108" s="9" t="str">
        <f t="shared" si="6"/>
        <v>UK</v>
      </c>
      <c r="Q108" s="8">
        <f t="shared" si="7"/>
        <v>97.75</v>
      </c>
    </row>
    <row r="109">
      <c r="A109" s="1">
        <v>536381.0</v>
      </c>
      <c r="B109" s="1" t="str">
        <f t="shared" si="1"/>
        <v>536381</v>
      </c>
      <c r="C109" s="1" t="str">
        <f t="shared" si="2"/>
        <v>Sale</v>
      </c>
      <c r="D109" s="1">
        <v>84854.0</v>
      </c>
      <c r="E109" s="1" t="str">
        <f>IFERROR(__xludf.DUMMYFUNCTION("IF(LEN(D109)&gt;4, IFERROR(REGEXEXTRACT(TO_TEXT(D109),""\d+""),""""),"""")"),"84854")</f>
        <v>84854</v>
      </c>
      <c r="F109" s="6" t="str">
        <f t="shared" si="3"/>
        <v>Product</v>
      </c>
      <c r="G109" s="1" t="s">
        <v>111</v>
      </c>
      <c r="H109" s="6" t="str">
        <f>IFERROR(__xludf.DUMMYFUNCTION("IF(REGEXMATCH(LOWER(G109), ""^(\?)+\s*(missing)?\s*(\?)*$""), """", PROPER(SUBSTITUTE(SUBSTITUTE(G109, ""?"", """"), ""*"", """")))"),"Girly Pink Tool Set")</f>
        <v>Girly Pink Tool Set</v>
      </c>
      <c r="I109" s="3">
        <v>5.0</v>
      </c>
      <c r="J109" s="7">
        <v>40513.40347222222</v>
      </c>
      <c r="K109" s="8" t="str">
        <f t="shared" si="4"/>
        <v>2010-12</v>
      </c>
      <c r="L109" s="5">
        <v>4.95</v>
      </c>
      <c r="M109" s="3">
        <v>15311.0</v>
      </c>
      <c r="N109" s="1" t="str">
        <f t="shared" si="5"/>
        <v>Registered</v>
      </c>
      <c r="O109" s="1" t="s">
        <v>19</v>
      </c>
      <c r="P109" s="9" t="str">
        <f t="shared" si="6"/>
        <v>UK</v>
      </c>
      <c r="Q109" s="8">
        <f t="shared" si="7"/>
        <v>24.75</v>
      </c>
    </row>
    <row r="110">
      <c r="A110" s="1">
        <v>536381.0</v>
      </c>
      <c r="B110" s="1" t="str">
        <f t="shared" si="1"/>
        <v>536381</v>
      </c>
      <c r="C110" s="1" t="str">
        <f t="shared" si="2"/>
        <v>Sale</v>
      </c>
      <c r="D110" s="1">
        <v>22411.0</v>
      </c>
      <c r="E110" s="1" t="str">
        <f>IFERROR(__xludf.DUMMYFUNCTION("IF(LEN(D110)&gt;4, IFERROR(REGEXEXTRACT(TO_TEXT(D110),""\d+""),""""),"""")"),"22411")</f>
        <v>22411</v>
      </c>
      <c r="F110" s="6" t="str">
        <f t="shared" si="3"/>
        <v>Product</v>
      </c>
      <c r="G110" s="1" t="s">
        <v>112</v>
      </c>
      <c r="H110" s="6" t="str">
        <f>IFERROR(__xludf.DUMMYFUNCTION("IF(REGEXMATCH(LOWER(G110), ""^(\?)+\s*(missing)?\s*(\?)*$""), """", PROPER(SUBSTITUTE(SUBSTITUTE(G110, ""?"", """"), ""*"", """")))"),"Jumbo Shopper Vintage Red Paisley")</f>
        <v>Jumbo Shopper Vintage Red Paisley</v>
      </c>
      <c r="I110" s="3">
        <v>10.0</v>
      </c>
      <c r="J110" s="7">
        <v>40513.40347222222</v>
      </c>
      <c r="K110" s="8" t="str">
        <f t="shared" si="4"/>
        <v>2010-12</v>
      </c>
      <c r="L110" s="5">
        <v>1.95</v>
      </c>
      <c r="M110" s="3">
        <v>15311.0</v>
      </c>
      <c r="N110" s="1" t="str">
        <f t="shared" si="5"/>
        <v>Registered</v>
      </c>
      <c r="O110" s="1" t="s">
        <v>19</v>
      </c>
      <c r="P110" s="9" t="str">
        <f t="shared" si="6"/>
        <v>UK</v>
      </c>
      <c r="Q110" s="8">
        <f t="shared" si="7"/>
        <v>19.5</v>
      </c>
    </row>
    <row r="111">
      <c r="A111" s="1">
        <v>536381.0</v>
      </c>
      <c r="B111" s="1" t="str">
        <f t="shared" si="1"/>
        <v>536381</v>
      </c>
      <c r="C111" s="1" t="str">
        <f t="shared" si="2"/>
        <v>Sale</v>
      </c>
      <c r="D111" s="1">
        <v>82567.0</v>
      </c>
      <c r="E111" s="1" t="str">
        <f>IFERROR(__xludf.DUMMYFUNCTION("IF(LEN(D111)&gt;4, IFERROR(REGEXEXTRACT(TO_TEXT(D111),""\d+""),""""),"""")"),"82567")</f>
        <v>82567</v>
      </c>
      <c r="F111" s="6" t="str">
        <f t="shared" si="3"/>
        <v>Product</v>
      </c>
      <c r="G111" s="1" t="s">
        <v>113</v>
      </c>
      <c r="H111" s="6" t="str">
        <f>IFERROR(__xludf.DUMMYFUNCTION("IF(REGEXMATCH(LOWER(G111), ""^(\?)+\s*(missing)?\s*(\?)*$""), """", PROPER(SUBSTITUTE(SUBSTITUTE(G111, ""?"", """"), ""*"", """")))"),"Airline Lounge,Metal Sign")</f>
        <v>Airline Lounge,Metal Sign</v>
      </c>
      <c r="I111" s="3">
        <v>2.0</v>
      </c>
      <c r="J111" s="7">
        <v>40513.40347222222</v>
      </c>
      <c r="K111" s="8" t="str">
        <f t="shared" si="4"/>
        <v>2010-12</v>
      </c>
      <c r="L111" s="5">
        <v>2.1</v>
      </c>
      <c r="M111" s="3">
        <v>15311.0</v>
      </c>
      <c r="N111" s="1" t="str">
        <f t="shared" si="5"/>
        <v>Registered</v>
      </c>
      <c r="O111" s="1" t="s">
        <v>19</v>
      </c>
      <c r="P111" s="9" t="str">
        <f t="shared" si="6"/>
        <v>UK</v>
      </c>
      <c r="Q111" s="8">
        <f t="shared" si="7"/>
        <v>4.2</v>
      </c>
    </row>
    <row r="112">
      <c r="A112" s="1">
        <v>536381.0</v>
      </c>
      <c r="B112" s="1" t="str">
        <f t="shared" si="1"/>
        <v>536381</v>
      </c>
      <c r="C112" s="1" t="str">
        <f t="shared" si="2"/>
        <v>Sale</v>
      </c>
      <c r="D112" s="1">
        <v>21672.0</v>
      </c>
      <c r="E112" s="1" t="str">
        <f>IFERROR(__xludf.DUMMYFUNCTION("IF(LEN(D112)&gt;4, IFERROR(REGEXEXTRACT(TO_TEXT(D112),""\d+""),""""),"""")"),"21672")</f>
        <v>21672</v>
      </c>
      <c r="F112" s="6" t="str">
        <f t="shared" si="3"/>
        <v>Product</v>
      </c>
      <c r="G112" s="1" t="s">
        <v>114</v>
      </c>
      <c r="H112" s="6" t="str">
        <f>IFERROR(__xludf.DUMMYFUNCTION("IF(REGEXMATCH(LOWER(G112), ""^(\?)+\s*(missing)?\s*(\?)*$""), """", PROPER(SUBSTITUTE(SUBSTITUTE(G112, ""?"", """"), ""*"", """")))"),"White Spot Red Ceramic Drawer Knob")</f>
        <v>White Spot Red Ceramic Drawer Knob</v>
      </c>
      <c r="I112" s="3">
        <v>6.0</v>
      </c>
      <c r="J112" s="7">
        <v>40513.40347222222</v>
      </c>
      <c r="K112" s="8" t="str">
        <f t="shared" si="4"/>
        <v>2010-12</v>
      </c>
      <c r="L112" s="5">
        <v>1.25</v>
      </c>
      <c r="M112" s="3">
        <v>15311.0</v>
      </c>
      <c r="N112" s="1" t="str">
        <f t="shared" si="5"/>
        <v>Registered</v>
      </c>
      <c r="O112" s="1" t="s">
        <v>19</v>
      </c>
      <c r="P112" s="9" t="str">
        <f t="shared" si="6"/>
        <v>UK</v>
      </c>
      <c r="Q112" s="8">
        <f t="shared" si="7"/>
        <v>7.5</v>
      </c>
    </row>
    <row r="113">
      <c r="A113" s="1">
        <v>536381.0</v>
      </c>
      <c r="B113" s="1" t="str">
        <f t="shared" si="1"/>
        <v>536381</v>
      </c>
      <c r="C113" s="1" t="str">
        <f t="shared" si="2"/>
        <v>Sale</v>
      </c>
      <c r="D113" s="1">
        <v>22774.0</v>
      </c>
      <c r="E113" s="1" t="str">
        <f>IFERROR(__xludf.DUMMYFUNCTION("IF(LEN(D113)&gt;4, IFERROR(REGEXEXTRACT(TO_TEXT(D113),""\d+""),""""),"""")"),"22774")</f>
        <v>22774</v>
      </c>
      <c r="F113" s="6" t="str">
        <f t="shared" si="3"/>
        <v>Product</v>
      </c>
      <c r="G113" s="1" t="s">
        <v>115</v>
      </c>
      <c r="H113" s="6" t="str">
        <f>IFERROR(__xludf.DUMMYFUNCTION("IF(REGEXMATCH(LOWER(G113), ""^(\?)+\s*(missing)?\s*(\?)*$""), """", PROPER(SUBSTITUTE(SUBSTITUTE(G113, ""?"", """"), ""*"", """")))"),"Red Drawer Knob Acrylic Edwardian")</f>
        <v>Red Drawer Knob Acrylic Edwardian</v>
      </c>
      <c r="I113" s="3">
        <v>24.0</v>
      </c>
      <c r="J113" s="7">
        <v>40513.40347222222</v>
      </c>
      <c r="K113" s="8" t="str">
        <f t="shared" si="4"/>
        <v>2010-12</v>
      </c>
      <c r="L113" s="5">
        <v>1.25</v>
      </c>
      <c r="M113" s="3">
        <v>15311.0</v>
      </c>
      <c r="N113" s="1" t="str">
        <f t="shared" si="5"/>
        <v>Registered</v>
      </c>
      <c r="O113" s="1" t="s">
        <v>19</v>
      </c>
      <c r="P113" s="9" t="str">
        <f t="shared" si="6"/>
        <v>UK</v>
      </c>
      <c r="Q113" s="8">
        <f t="shared" si="7"/>
        <v>30</v>
      </c>
    </row>
    <row r="114">
      <c r="A114" s="1">
        <v>536381.0</v>
      </c>
      <c r="B114" s="1" t="str">
        <f t="shared" si="1"/>
        <v>536381</v>
      </c>
      <c r="C114" s="1" t="str">
        <f t="shared" si="2"/>
        <v>Sale</v>
      </c>
      <c r="D114" s="1">
        <v>22771.0</v>
      </c>
      <c r="E114" s="1" t="str">
        <f>IFERROR(__xludf.DUMMYFUNCTION("IF(LEN(D114)&gt;4, IFERROR(REGEXEXTRACT(TO_TEXT(D114),""\d+""),""""),"""")"),"22771")</f>
        <v>22771</v>
      </c>
      <c r="F114" s="6" t="str">
        <f t="shared" si="3"/>
        <v>Product</v>
      </c>
      <c r="G114" s="1" t="s">
        <v>116</v>
      </c>
      <c r="H114" s="6" t="str">
        <f>IFERROR(__xludf.DUMMYFUNCTION("IF(REGEXMATCH(LOWER(G114), ""^(\?)+\s*(missing)?\s*(\?)*$""), """", PROPER(SUBSTITUTE(SUBSTITUTE(G114, ""?"", """"), ""*"", """")))"),"Clear Drawer Knob Acrylic Edwardian")</f>
        <v>Clear Drawer Knob Acrylic Edwardian</v>
      </c>
      <c r="I114" s="3">
        <v>24.0</v>
      </c>
      <c r="J114" s="7">
        <v>40513.40347222222</v>
      </c>
      <c r="K114" s="8" t="str">
        <f t="shared" si="4"/>
        <v>2010-12</v>
      </c>
      <c r="L114" s="5">
        <v>1.25</v>
      </c>
      <c r="M114" s="3">
        <v>15311.0</v>
      </c>
      <c r="N114" s="1" t="str">
        <f t="shared" si="5"/>
        <v>Registered</v>
      </c>
      <c r="O114" s="1" t="s">
        <v>19</v>
      </c>
      <c r="P114" s="9" t="str">
        <f t="shared" si="6"/>
        <v>UK</v>
      </c>
      <c r="Q114" s="8">
        <f t="shared" si="7"/>
        <v>30</v>
      </c>
    </row>
    <row r="115">
      <c r="A115" s="1">
        <v>536381.0</v>
      </c>
      <c r="B115" s="1" t="str">
        <f t="shared" si="1"/>
        <v>536381</v>
      </c>
      <c r="C115" s="1" t="str">
        <f t="shared" si="2"/>
        <v>Sale</v>
      </c>
      <c r="D115" s="1">
        <v>71270.0</v>
      </c>
      <c r="E115" s="1" t="str">
        <f>IFERROR(__xludf.DUMMYFUNCTION("IF(LEN(D115)&gt;4, IFERROR(REGEXEXTRACT(TO_TEXT(D115),""\d+""),""""),"""")"),"71270")</f>
        <v>71270</v>
      </c>
      <c r="F115" s="6" t="str">
        <f t="shared" si="3"/>
        <v>Product</v>
      </c>
      <c r="G115" s="1" t="s">
        <v>117</v>
      </c>
      <c r="H115" s="6" t="str">
        <f>IFERROR(__xludf.DUMMYFUNCTION("IF(REGEXMATCH(LOWER(G115), ""^(\?)+\s*(missing)?\s*(\?)*$""), """", PROPER(SUBSTITUTE(SUBSTITUTE(G115, ""?"", """"), ""*"", """")))"),"Photo Clip Line")</f>
        <v>Photo Clip Line</v>
      </c>
      <c r="I115" s="3">
        <v>1.0</v>
      </c>
      <c r="J115" s="7">
        <v>40513.40347222222</v>
      </c>
      <c r="K115" s="8" t="str">
        <f t="shared" si="4"/>
        <v>2010-12</v>
      </c>
      <c r="L115" s="5">
        <v>1.25</v>
      </c>
      <c r="M115" s="3">
        <v>15311.0</v>
      </c>
      <c r="N115" s="1" t="str">
        <f t="shared" si="5"/>
        <v>Registered</v>
      </c>
      <c r="O115" s="1" t="s">
        <v>19</v>
      </c>
      <c r="P115" s="9" t="str">
        <f t="shared" si="6"/>
        <v>UK</v>
      </c>
      <c r="Q115" s="8">
        <f t="shared" si="7"/>
        <v>1.25</v>
      </c>
    </row>
    <row r="116">
      <c r="A116" s="1">
        <v>536381.0</v>
      </c>
      <c r="B116" s="1" t="str">
        <f t="shared" si="1"/>
        <v>536381</v>
      </c>
      <c r="C116" s="1" t="str">
        <f t="shared" si="2"/>
        <v>Sale</v>
      </c>
      <c r="D116" s="1">
        <v>22262.0</v>
      </c>
      <c r="E116" s="1" t="str">
        <f>IFERROR(__xludf.DUMMYFUNCTION("IF(LEN(D116)&gt;4, IFERROR(REGEXEXTRACT(TO_TEXT(D116),""\d+""),""""),"""")"),"22262")</f>
        <v>22262</v>
      </c>
      <c r="F116" s="6" t="str">
        <f t="shared" si="3"/>
        <v>Product</v>
      </c>
      <c r="G116" s="1" t="s">
        <v>118</v>
      </c>
      <c r="H116" s="6" t="str">
        <f>IFERROR(__xludf.DUMMYFUNCTION("IF(REGEXMATCH(LOWER(G116), ""^(\?)+\s*(missing)?\s*(\?)*$""), """", PROPER(SUBSTITUTE(SUBSTITUTE(G116, ""?"", """"), ""*"", """")))"),"Felt Egg Cosy Chicken")</f>
        <v>Felt Egg Cosy Chicken</v>
      </c>
      <c r="I116" s="3">
        <v>1.0</v>
      </c>
      <c r="J116" s="7">
        <v>40513.40347222222</v>
      </c>
      <c r="K116" s="8" t="str">
        <f t="shared" si="4"/>
        <v>2010-12</v>
      </c>
      <c r="L116" s="5">
        <v>0.85</v>
      </c>
      <c r="M116" s="3">
        <v>15311.0</v>
      </c>
      <c r="N116" s="1" t="str">
        <f t="shared" si="5"/>
        <v>Registered</v>
      </c>
      <c r="O116" s="1" t="s">
        <v>19</v>
      </c>
      <c r="P116" s="9" t="str">
        <f t="shared" si="6"/>
        <v>UK</v>
      </c>
      <c r="Q116" s="8">
        <f t="shared" si="7"/>
        <v>0.85</v>
      </c>
    </row>
    <row r="117">
      <c r="A117" s="1">
        <v>536381.0</v>
      </c>
      <c r="B117" s="1" t="str">
        <f t="shared" si="1"/>
        <v>536381</v>
      </c>
      <c r="C117" s="1" t="str">
        <f t="shared" si="2"/>
        <v>Sale</v>
      </c>
      <c r="D117" s="1">
        <v>22637.0</v>
      </c>
      <c r="E117" s="1" t="str">
        <f>IFERROR(__xludf.DUMMYFUNCTION("IF(LEN(D117)&gt;4, IFERROR(REGEXEXTRACT(TO_TEXT(D117),""\d+""),""""),"""")"),"22637")</f>
        <v>22637</v>
      </c>
      <c r="F117" s="6" t="str">
        <f t="shared" si="3"/>
        <v>Product</v>
      </c>
      <c r="G117" s="1" t="s">
        <v>119</v>
      </c>
      <c r="H117" s="6" t="str">
        <f>IFERROR(__xludf.DUMMYFUNCTION("IF(REGEXMATCH(LOWER(G117), ""^(\?)+\s*(missing)?\s*(\?)*$""), """", PROPER(SUBSTITUTE(SUBSTITUTE(G117, ""?"", """"), ""*"", """")))"),"Piggy Bank Retrospot")</f>
        <v>Piggy Bank Retrospot</v>
      </c>
      <c r="I117" s="3">
        <v>1.0</v>
      </c>
      <c r="J117" s="7">
        <v>40513.40347222222</v>
      </c>
      <c r="K117" s="8" t="str">
        <f t="shared" si="4"/>
        <v>2010-12</v>
      </c>
      <c r="L117" s="5">
        <v>2.55</v>
      </c>
      <c r="M117" s="3">
        <v>15311.0</v>
      </c>
      <c r="N117" s="1" t="str">
        <f t="shared" si="5"/>
        <v>Registered</v>
      </c>
      <c r="O117" s="1" t="s">
        <v>19</v>
      </c>
      <c r="P117" s="9" t="str">
        <f t="shared" si="6"/>
        <v>UK</v>
      </c>
      <c r="Q117" s="8">
        <f t="shared" si="7"/>
        <v>2.55</v>
      </c>
    </row>
    <row r="118">
      <c r="A118" s="1">
        <v>536381.0</v>
      </c>
      <c r="B118" s="1" t="str">
        <f t="shared" si="1"/>
        <v>536381</v>
      </c>
      <c r="C118" s="1" t="str">
        <f t="shared" si="2"/>
        <v>Sale</v>
      </c>
      <c r="D118" s="1">
        <v>21934.0</v>
      </c>
      <c r="E118" s="1" t="str">
        <f>IFERROR(__xludf.DUMMYFUNCTION("IF(LEN(D118)&gt;4, IFERROR(REGEXEXTRACT(TO_TEXT(D118),""\d+""),""""),"""")"),"21934")</f>
        <v>21934</v>
      </c>
      <c r="F118" s="6" t="str">
        <f t="shared" si="3"/>
        <v>Product</v>
      </c>
      <c r="G118" s="1" t="s">
        <v>120</v>
      </c>
      <c r="H118" s="6" t="str">
        <f>IFERROR(__xludf.DUMMYFUNCTION("IF(REGEXMATCH(LOWER(G118), ""^(\?)+\s*(missing)?\s*(\?)*$""), """", PROPER(SUBSTITUTE(SUBSTITUTE(G118, ""?"", """"), ""*"", """")))"),"Skull Shoulder Bag")</f>
        <v>Skull Shoulder Bag</v>
      </c>
      <c r="I118" s="3">
        <v>10.0</v>
      </c>
      <c r="J118" s="7">
        <v>40513.40347222222</v>
      </c>
      <c r="K118" s="8" t="str">
        <f t="shared" si="4"/>
        <v>2010-12</v>
      </c>
      <c r="L118" s="5">
        <v>1.65</v>
      </c>
      <c r="M118" s="3">
        <v>15311.0</v>
      </c>
      <c r="N118" s="1" t="str">
        <f t="shared" si="5"/>
        <v>Registered</v>
      </c>
      <c r="O118" s="1" t="s">
        <v>19</v>
      </c>
      <c r="P118" s="9" t="str">
        <f t="shared" si="6"/>
        <v>UK</v>
      </c>
      <c r="Q118" s="8">
        <f t="shared" si="7"/>
        <v>16.5</v>
      </c>
    </row>
    <row r="119">
      <c r="A119" s="1">
        <v>536381.0</v>
      </c>
      <c r="B119" s="1" t="str">
        <f t="shared" si="1"/>
        <v>536381</v>
      </c>
      <c r="C119" s="1" t="str">
        <f t="shared" si="2"/>
        <v>Sale</v>
      </c>
      <c r="D119" s="1">
        <v>21169.0</v>
      </c>
      <c r="E119" s="1" t="str">
        <f>IFERROR(__xludf.DUMMYFUNCTION("IF(LEN(D119)&gt;4, IFERROR(REGEXEXTRACT(TO_TEXT(D119),""\d+""),""""),"""")"),"21169")</f>
        <v>21169</v>
      </c>
      <c r="F119" s="6" t="str">
        <f t="shared" si="3"/>
        <v>Product</v>
      </c>
      <c r="G119" s="1" t="s">
        <v>121</v>
      </c>
      <c r="H119" s="6" t="str">
        <f>IFERROR(__xludf.DUMMYFUNCTION("IF(REGEXMATCH(LOWER(G119), ""^(\?)+\s*(missing)?\s*(\?)*$""), """", PROPER(SUBSTITUTE(SUBSTITUTE(G119, ""?"", """"), ""*"", """")))"),"You'Re Confusing Me Metal Sign")</f>
        <v>You'Re Confusing Me Metal Sign</v>
      </c>
      <c r="I119" s="3">
        <v>3.0</v>
      </c>
      <c r="J119" s="7">
        <v>40513.40347222222</v>
      </c>
      <c r="K119" s="8" t="str">
        <f t="shared" si="4"/>
        <v>2010-12</v>
      </c>
      <c r="L119" s="5">
        <v>1.69</v>
      </c>
      <c r="M119" s="3">
        <v>15311.0</v>
      </c>
      <c r="N119" s="1" t="str">
        <f t="shared" si="5"/>
        <v>Registered</v>
      </c>
      <c r="O119" s="1" t="s">
        <v>19</v>
      </c>
      <c r="P119" s="9" t="str">
        <f t="shared" si="6"/>
        <v>UK</v>
      </c>
      <c r="Q119" s="8">
        <f t="shared" si="7"/>
        <v>5.07</v>
      </c>
    </row>
    <row r="120">
      <c r="A120" s="1">
        <v>536381.0</v>
      </c>
      <c r="B120" s="1" t="str">
        <f t="shared" si="1"/>
        <v>536381</v>
      </c>
      <c r="C120" s="1" t="str">
        <f t="shared" si="2"/>
        <v>Sale</v>
      </c>
      <c r="D120" s="1">
        <v>21166.0</v>
      </c>
      <c r="E120" s="1" t="str">
        <f>IFERROR(__xludf.DUMMYFUNCTION("IF(LEN(D120)&gt;4, IFERROR(REGEXEXTRACT(TO_TEXT(D120),""\d+""),""""),"""")"),"21166")</f>
        <v>21166</v>
      </c>
      <c r="F120" s="6" t="str">
        <f t="shared" si="3"/>
        <v>Product</v>
      </c>
      <c r="G120" s="1" t="s">
        <v>122</v>
      </c>
      <c r="H120" s="6" t="str">
        <f>IFERROR(__xludf.DUMMYFUNCTION("IF(REGEXMATCH(LOWER(G120), ""^(\?)+\s*(missing)?\s*(\?)*$""), """", PROPER(SUBSTITUTE(SUBSTITUTE(G120, ""?"", """"), ""*"", """")))"),"Cook With Wine Metal Sign")</f>
        <v>Cook With Wine Metal Sign</v>
      </c>
      <c r="I120" s="3">
        <v>1.0</v>
      </c>
      <c r="J120" s="7">
        <v>40513.40347222222</v>
      </c>
      <c r="K120" s="8" t="str">
        <f t="shared" si="4"/>
        <v>2010-12</v>
      </c>
      <c r="L120" s="5">
        <v>1.95</v>
      </c>
      <c r="M120" s="3">
        <v>15311.0</v>
      </c>
      <c r="N120" s="1" t="str">
        <f t="shared" si="5"/>
        <v>Registered</v>
      </c>
      <c r="O120" s="1" t="s">
        <v>19</v>
      </c>
      <c r="P120" s="9" t="str">
        <f t="shared" si="6"/>
        <v>UK</v>
      </c>
      <c r="Q120" s="8">
        <f t="shared" si="7"/>
        <v>1.95</v>
      </c>
    </row>
    <row r="121">
      <c r="A121" s="1">
        <v>536381.0</v>
      </c>
      <c r="B121" s="1" t="str">
        <f t="shared" si="1"/>
        <v>536381</v>
      </c>
      <c r="C121" s="1" t="str">
        <f t="shared" si="2"/>
        <v>Sale</v>
      </c>
      <c r="D121" s="1">
        <v>21175.0</v>
      </c>
      <c r="E121" s="1" t="str">
        <f>IFERROR(__xludf.DUMMYFUNCTION("IF(LEN(D121)&gt;4, IFERROR(REGEXEXTRACT(TO_TEXT(D121),""\d+""),""""),"""")"),"21175")</f>
        <v>21175</v>
      </c>
      <c r="F121" s="6" t="str">
        <f t="shared" si="3"/>
        <v>Product</v>
      </c>
      <c r="G121" s="1" t="s">
        <v>123</v>
      </c>
      <c r="H121" s="6" t="str">
        <f>IFERROR(__xludf.DUMMYFUNCTION("IF(REGEXMATCH(LOWER(G121), ""^(\?)+\s*(missing)?\s*(\?)*$""), """", PROPER(SUBSTITUTE(SUBSTITUTE(G121, ""?"", """"), ""*"", """")))"),"Gin + Tonic Diet Metal Sign")</f>
        <v>Gin + Tonic Diet Metal Sign</v>
      </c>
      <c r="I121" s="3">
        <v>2.0</v>
      </c>
      <c r="J121" s="7">
        <v>40513.40347222222</v>
      </c>
      <c r="K121" s="8" t="str">
        <f t="shared" si="4"/>
        <v>2010-12</v>
      </c>
      <c r="L121" s="5">
        <v>2.1</v>
      </c>
      <c r="M121" s="3">
        <v>15311.0</v>
      </c>
      <c r="N121" s="1" t="str">
        <f t="shared" si="5"/>
        <v>Registered</v>
      </c>
      <c r="O121" s="1" t="s">
        <v>19</v>
      </c>
      <c r="P121" s="9" t="str">
        <f t="shared" si="6"/>
        <v>UK</v>
      </c>
      <c r="Q121" s="8">
        <f t="shared" si="7"/>
        <v>4.2</v>
      </c>
    </row>
    <row r="122">
      <c r="A122" s="1">
        <v>536381.0</v>
      </c>
      <c r="B122" s="1" t="str">
        <f t="shared" si="1"/>
        <v>536381</v>
      </c>
      <c r="C122" s="1" t="str">
        <f t="shared" si="2"/>
        <v>Sale</v>
      </c>
      <c r="D122" s="1" t="s">
        <v>124</v>
      </c>
      <c r="E122" s="1" t="str">
        <f>IFERROR(__xludf.DUMMYFUNCTION("IF(LEN(D122)&gt;4, IFERROR(REGEXEXTRACT(TO_TEXT(D122),""\d+""),""""),"""")"),"37444")</f>
        <v>37444</v>
      </c>
      <c r="F122" s="6" t="str">
        <f t="shared" si="3"/>
        <v>Product</v>
      </c>
      <c r="G122" s="1" t="s">
        <v>125</v>
      </c>
      <c r="H122" s="6" t="str">
        <f>IFERROR(__xludf.DUMMYFUNCTION("IF(REGEXMATCH(LOWER(G122), ""^(\?)+\s*(missing)?\s*(\?)*$""), """", PROPER(SUBSTITUTE(SUBSTITUTE(G122, ""?"", """"), ""*"", """")))"),"Yellow Breakfast Cup And Saucer")</f>
        <v>Yellow Breakfast Cup And Saucer</v>
      </c>
      <c r="I122" s="3">
        <v>1.0</v>
      </c>
      <c r="J122" s="7">
        <v>40513.40347222222</v>
      </c>
      <c r="K122" s="8" t="str">
        <f t="shared" si="4"/>
        <v>2010-12</v>
      </c>
      <c r="L122" s="5">
        <v>2.95</v>
      </c>
      <c r="M122" s="3">
        <v>15311.0</v>
      </c>
      <c r="N122" s="1" t="str">
        <f t="shared" si="5"/>
        <v>Registered</v>
      </c>
      <c r="O122" s="1" t="s">
        <v>19</v>
      </c>
      <c r="P122" s="9" t="str">
        <f t="shared" si="6"/>
        <v>UK</v>
      </c>
      <c r="Q122" s="8">
        <f t="shared" si="7"/>
        <v>2.95</v>
      </c>
    </row>
    <row r="123">
      <c r="A123" s="1">
        <v>536381.0</v>
      </c>
      <c r="B123" s="1" t="str">
        <f t="shared" si="1"/>
        <v>536381</v>
      </c>
      <c r="C123" s="1" t="str">
        <f t="shared" si="2"/>
        <v>Sale</v>
      </c>
      <c r="D123" s="1" t="s">
        <v>126</v>
      </c>
      <c r="E123" s="1" t="str">
        <f>IFERROR(__xludf.DUMMYFUNCTION("IF(LEN(D123)&gt;4, IFERROR(REGEXEXTRACT(TO_TEXT(D123),""\d+""),""""),"""")"),"37444")</f>
        <v>37444</v>
      </c>
      <c r="F123" s="6" t="str">
        <f t="shared" si="3"/>
        <v>Product</v>
      </c>
      <c r="G123" s="1" t="s">
        <v>127</v>
      </c>
      <c r="H123" s="6" t="str">
        <f>IFERROR(__xludf.DUMMYFUNCTION("IF(REGEXMATCH(LOWER(G123), ""^(\?)+\s*(missing)?\s*(\?)*$""), """", PROPER(SUBSTITUTE(SUBSTITUTE(G123, ""?"", """"), ""*"", """")))"),"Pink Breakfast Cup And Saucer")</f>
        <v>Pink Breakfast Cup And Saucer</v>
      </c>
      <c r="I123" s="3">
        <v>1.0</v>
      </c>
      <c r="J123" s="7">
        <v>40513.40347222222</v>
      </c>
      <c r="K123" s="8" t="str">
        <f t="shared" si="4"/>
        <v>2010-12</v>
      </c>
      <c r="L123" s="5">
        <v>2.95</v>
      </c>
      <c r="M123" s="3">
        <v>15311.0</v>
      </c>
      <c r="N123" s="1" t="str">
        <f t="shared" si="5"/>
        <v>Registered</v>
      </c>
      <c r="O123" s="1" t="s">
        <v>19</v>
      </c>
      <c r="P123" s="9" t="str">
        <f t="shared" si="6"/>
        <v>UK</v>
      </c>
      <c r="Q123" s="8">
        <f t="shared" si="7"/>
        <v>2.95</v>
      </c>
    </row>
    <row r="124">
      <c r="A124" s="1">
        <v>536381.0</v>
      </c>
      <c r="B124" s="1" t="str">
        <f t="shared" si="1"/>
        <v>536381</v>
      </c>
      <c r="C124" s="1" t="str">
        <f t="shared" si="2"/>
        <v>Sale</v>
      </c>
      <c r="D124" s="1">
        <v>22086.0</v>
      </c>
      <c r="E124" s="1" t="str">
        <f>IFERROR(__xludf.DUMMYFUNCTION("IF(LEN(D124)&gt;4, IFERROR(REGEXEXTRACT(TO_TEXT(D124),""\d+""),""""),"""")"),"22086")</f>
        <v>22086</v>
      </c>
      <c r="F124" s="6" t="str">
        <f t="shared" si="3"/>
        <v>Product</v>
      </c>
      <c r="G124" s="1" t="s">
        <v>70</v>
      </c>
      <c r="H124" s="6" t="str">
        <f>IFERROR(__xludf.DUMMYFUNCTION("IF(REGEXMATCH(LOWER(G124), ""^(\?)+\s*(missing)?\s*(\?)*$""), """", PROPER(SUBSTITUTE(SUBSTITUTE(G124, ""?"", """"), ""*"", """")))"),"Paper Chain Kit 50'S Christmas")</f>
        <v>Paper Chain Kit 50'S Christmas</v>
      </c>
      <c r="I124" s="3">
        <v>4.0</v>
      </c>
      <c r="J124" s="7">
        <v>40513.40347222222</v>
      </c>
      <c r="K124" s="8" t="str">
        <f t="shared" si="4"/>
        <v>2010-12</v>
      </c>
      <c r="L124" s="5">
        <v>2.95</v>
      </c>
      <c r="M124" s="3">
        <v>15311.0</v>
      </c>
      <c r="N124" s="1" t="str">
        <f t="shared" si="5"/>
        <v>Registered</v>
      </c>
      <c r="O124" s="1" t="s">
        <v>19</v>
      </c>
      <c r="P124" s="9" t="str">
        <f t="shared" si="6"/>
        <v>UK</v>
      </c>
      <c r="Q124" s="8">
        <f t="shared" si="7"/>
        <v>11.8</v>
      </c>
    </row>
    <row r="125">
      <c r="A125" s="1">
        <v>536381.0</v>
      </c>
      <c r="B125" s="1" t="str">
        <f t="shared" si="1"/>
        <v>536381</v>
      </c>
      <c r="C125" s="1" t="str">
        <f t="shared" si="2"/>
        <v>Sale</v>
      </c>
      <c r="D125" s="1">
        <v>22083.0</v>
      </c>
      <c r="E125" s="1" t="str">
        <f>IFERROR(__xludf.DUMMYFUNCTION("IF(LEN(D125)&gt;4, IFERROR(REGEXEXTRACT(TO_TEXT(D125),""\d+""),""""),"""")"),"22083")</f>
        <v>22083</v>
      </c>
      <c r="F125" s="6" t="str">
        <f t="shared" si="3"/>
        <v>Product</v>
      </c>
      <c r="G125" s="1" t="s">
        <v>128</v>
      </c>
      <c r="H125" s="6" t="str">
        <f>IFERROR(__xludf.DUMMYFUNCTION("IF(REGEXMATCH(LOWER(G125), ""^(\?)+\s*(missing)?\s*(\?)*$""), """", PROPER(SUBSTITUTE(SUBSTITUTE(G125, ""?"", """"), ""*"", """")))"),"Paper Chain Kit Retrospot")</f>
        <v>Paper Chain Kit Retrospot</v>
      </c>
      <c r="I125" s="3">
        <v>1.0</v>
      </c>
      <c r="J125" s="7">
        <v>40513.40347222222</v>
      </c>
      <c r="K125" s="8" t="str">
        <f t="shared" si="4"/>
        <v>2010-12</v>
      </c>
      <c r="L125" s="5">
        <v>2.95</v>
      </c>
      <c r="M125" s="3">
        <v>15311.0</v>
      </c>
      <c r="N125" s="1" t="str">
        <f t="shared" si="5"/>
        <v>Registered</v>
      </c>
      <c r="O125" s="1" t="s">
        <v>19</v>
      </c>
      <c r="P125" s="9" t="str">
        <f t="shared" si="6"/>
        <v>UK</v>
      </c>
      <c r="Q125" s="8">
        <f t="shared" si="7"/>
        <v>2.95</v>
      </c>
    </row>
    <row r="126">
      <c r="A126" s="1">
        <v>536381.0</v>
      </c>
      <c r="B126" s="1" t="str">
        <f t="shared" si="1"/>
        <v>536381</v>
      </c>
      <c r="C126" s="1" t="str">
        <f t="shared" si="2"/>
        <v>Sale</v>
      </c>
      <c r="D126" s="1" t="s">
        <v>129</v>
      </c>
      <c r="E126" s="1" t="str">
        <f>IFERROR(__xludf.DUMMYFUNCTION("IF(LEN(D126)&gt;4, IFERROR(REGEXEXTRACT(TO_TEXT(D126),""\d+""),""""),"""")"),"84971")</f>
        <v>84971</v>
      </c>
      <c r="F126" s="6" t="str">
        <f t="shared" si="3"/>
        <v>Product</v>
      </c>
      <c r="G126" s="1" t="s">
        <v>130</v>
      </c>
      <c r="H126" s="6" t="str">
        <f>IFERROR(__xludf.DUMMYFUNCTION("IF(REGEXMATCH(LOWER(G126), ""^(\?)+\s*(missing)?\s*(\?)*$""), """", PROPER(SUBSTITUTE(SUBSTITUTE(G126, ""?"", """"), ""*"", """")))"),"Small Heart Flowers Hook")</f>
        <v>Small Heart Flowers Hook</v>
      </c>
      <c r="I126" s="3">
        <v>6.0</v>
      </c>
      <c r="J126" s="7">
        <v>40513.40347222222</v>
      </c>
      <c r="K126" s="8" t="str">
        <f t="shared" si="4"/>
        <v>2010-12</v>
      </c>
      <c r="L126" s="5">
        <v>0.85</v>
      </c>
      <c r="M126" s="3">
        <v>15311.0</v>
      </c>
      <c r="N126" s="1" t="str">
        <f t="shared" si="5"/>
        <v>Registered</v>
      </c>
      <c r="O126" s="1" t="s">
        <v>19</v>
      </c>
      <c r="P126" s="9" t="str">
        <f t="shared" si="6"/>
        <v>UK</v>
      </c>
      <c r="Q126" s="8">
        <f t="shared" si="7"/>
        <v>5.1</v>
      </c>
    </row>
    <row r="127">
      <c r="A127" s="1">
        <v>536381.0</v>
      </c>
      <c r="B127" s="1" t="str">
        <f t="shared" si="1"/>
        <v>536381</v>
      </c>
      <c r="C127" s="1" t="str">
        <f t="shared" si="2"/>
        <v>Sale</v>
      </c>
      <c r="D127" s="1">
        <v>71270.0</v>
      </c>
      <c r="E127" s="1" t="str">
        <f>IFERROR(__xludf.DUMMYFUNCTION("IF(LEN(D127)&gt;4, IFERROR(REGEXEXTRACT(TO_TEXT(D127),""\d+""),""""),"""")"),"71270")</f>
        <v>71270</v>
      </c>
      <c r="F127" s="6" t="str">
        <f t="shared" si="3"/>
        <v>Product</v>
      </c>
      <c r="G127" s="1" t="s">
        <v>117</v>
      </c>
      <c r="H127" s="6" t="str">
        <f>IFERROR(__xludf.DUMMYFUNCTION("IF(REGEXMATCH(LOWER(G127), ""^(\?)+\s*(missing)?\s*(\?)*$""), """", PROPER(SUBSTITUTE(SUBSTITUTE(G127, ""?"", """"), ""*"", """")))"),"Photo Clip Line")</f>
        <v>Photo Clip Line</v>
      </c>
      <c r="I127" s="3">
        <v>3.0</v>
      </c>
      <c r="J127" s="7">
        <v>40513.40347222222</v>
      </c>
      <c r="K127" s="8" t="str">
        <f t="shared" si="4"/>
        <v>2010-12</v>
      </c>
      <c r="L127" s="5">
        <v>1.25</v>
      </c>
      <c r="M127" s="3">
        <v>15311.0</v>
      </c>
      <c r="N127" s="1" t="str">
        <f t="shared" si="5"/>
        <v>Registered</v>
      </c>
      <c r="O127" s="1" t="s">
        <v>19</v>
      </c>
      <c r="P127" s="9" t="str">
        <f t="shared" si="6"/>
        <v>UK</v>
      </c>
      <c r="Q127" s="8">
        <f t="shared" si="7"/>
        <v>3.75</v>
      </c>
    </row>
    <row r="128">
      <c r="A128" s="1">
        <v>536381.0</v>
      </c>
      <c r="B128" s="1" t="str">
        <f t="shared" si="1"/>
        <v>536381</v>
      </c>
      <c r="C128" s="1" t="str">
        <f t="shared" si="2"/>
        <v>Sale</v>
      </c>
      <c r="D128" s="1">
        <v>47580.0</v>
      </c>
      <c r="E128" s="1" t="str">
        <f>IFERROR(__xludf.DUMMYFUNCTION("IF(LEN(D128)&gt;4, IFERROR(REGEXEXTRACT(TO_TEXT(D128),""\d+""),""""),"""")"),"47580")</f>
        <v>47580</v>
      </c>
      <c r="F128" s="6" t="str">
        <f t="shared" si="3"/>
        <v>Product</v>
      </c>
      <c r="G128" s="1" t="s">
        <v>131</v>
      </c>
      <c r="H128" s="6" t="str">
        <f>IFERROR(__xludf.DUMMYFUNCTION("IF(REGEXMATCH(LOWER(G128), ""^(\?)+\s*(missing)?\s*(\?)*$""), """", PROPER(SUBSTITUTE(SUBSTITUTE(G128, ""?"", """"), ""*"", """")))"),"Tea Time Des Tea Cosy")</f>
        <v>Tea Time Des Tea Cosy</v>
      </c>
      <c r="I128" s="3">
        <v>2.0</v>
      </c>
      <c r="J128" s="7">
        <v>40513.40347222222</v>
      </c>
      <c r="K128" s="8" t="str">
        <f t="shared" si="4"/>
        <v>2010-12</v>
      </c>
      <c r="L128" s="5">
        <v>2.55</v>
      </c>
      <c r="M128" s="3">
        <v>15311.0</v>
      </c>
      <c r="N128" s="1" t="str">
        <f t="shared" si="5"/>
        <v>Registered</v>
      </c>
      <c r="O128" s="1" t="s">
        <v>19</v>
      </c>
      <c r="P128" s="9" t="str">
        <f t="shared" si="6"/>
        <v>UK</v>
      </c>
      <c r="Q128" s="8">
        <f t="shared" si="7"/>
        <v>5.1</v>
      </c>
    </row>
    <row r="129">
      <c r="A129" s="1">
        <v>536381.0</v>
      </c>
      <c r="B129" s="1" t="str">
        <f t="shared" si="1"/>
        <v>536381</v>
      </c>
      <c r="C129" s="1" t="str">
        <f t="shared" si="2"/>
        <v>Sale</v>
      </c>
      <c r="D129" s="1">
        <v>22261.0</v>
      </c>
      <c r="E129" s="1" t="str">
        <f>IFERROR(__xludf.DUMMYFUNCTION("IF(LEN(D129)&gt;4, IFERROR(REGEXEXTRACT(TO_TEXT(D129),""\d+""),""""),"""")"),"22261")</f>
        <v>22261</v>
      </c>
      <c r="F129" s="6" t="str">
        <f t="shared" si="3"/>
        <v>Product</v>
      </c>
      <c r="G129" s="1" t="s">
        <v>132</v>
      </c>
      <c r="H129" s="6" t="str">
        <f>IFERROR(__xludf.DUMMYFUNCTION("IF(REGEXMATCH(LOWER(G129), ""^(\?)+\s*(missing)?\s*(\?)*$""), """", PROPER(SUBSTITUTE(SUBSTITUTE(G129, ""?"", """"), ""*"", """")))"),"Felt Egg Cosy White Rabbit")</f>
        <v>Felt Egg Cosy White Rabbit</v>
      </c>
      <c r="I129" s="3">
        <v>1.0</v>
      </c>
      <c r="J129" s="7">
        <v>40513.40347222222</v>
      </c>
      <c r="K129" s="8" t="str">
        <f t="shared" si="4"/>
        <v>2010-12</v>
      </c>
      <c r="L129" s="5">
        <v>0.85</v>
      </c>
      <c r="M129" s="3">
        <v>15311.0</v>
      </c>
      <c r="N129" s="1" t="str">
        <f t="shared" si="5"/>
        <v>Registered</v>
      </c>
      <c r="O129" s="1" t="s">
        <v>19</v>
      </c>
      <c r="P129" s="9" t="str">
        <f t="shared" si="6"/>
        <v>UK</v>
      </c>
      <c r="Q129" s="8">
        <f t="shared" si="7"/>
        <v>0.85</v>
      </c>
    </row>
    <row r="130">
      <c r="A130" s="1">
        <v>536381.0</v>
      </c>
      <c r="B130" s="1" t="str">
        <f t="shared" si="1"/>
        <v>536381</v>
      </c>
      <c r="C130" s="1" t="str">
        <f t="shared" si="2"/>
        <v>Sale</v>
      </c>
      <c r="D130" s="1">
        <v>84832.0</v>
      </c>
      <c r="E130" s="1" t="str">
        <f>IFERROR(__xludf.DUMMYFUNCTION("IF(LEN(D130)&gt;4, IFERROR(REGEXEXTRACT(TO_TEXT(D130),""\d+""),""""),"""")"),"84832")</f>
        <v>84832</v>
      </c>
      <c r="F130" s="6" t="str">
        <f t="shared" si="3"/>
        <v>Product</v>
      </c>
      <c r="G130" s="1" t="s">
        <v>133</v>
      </c>
      <c r="H130" s="6" t="str">
        <f>IFERROR(__xludf.DUMMYFUNCTION("IF(REGEXMATCH(LOWER(G130), ""^(\?)+\s*(missing)?\s*(\?)*$""), """", PROPER(SUBSTITUTE(SUBSTITUTE(G130, ""?"", """"), ""*"", """")))"),"Zinc Willie Winkie Candle Stick")</f>
        <v>Zinc Willie Winkie Candle Stick</v>
      </c>
      <c r="I130" s="3">
        <v>1.0</v>
      </c>
      <c r="J130" s="7">
        <v>40513.40347222222</v>
      </c>
      <c r="K130" s="8" t="str">
        <f t="shared" si="4"/>
        <v>2010-12</v>
      </c>
      <c r="L130" s="5">
        <v>0.85</v>
      </c>
      <c r="M130" s="3">
        <v>15311.0</v>
      </c>
      <c r="N130" s="1" t="str">
        <f t="shared" si="5"/>
        <v>Registered</v>
      </c>
      <c r="O130" s="1" t="s">
        <v>19</v>
      </c>
      <c r="P130" s="9" t="str">
        <f t="shared" si="6"/>
        <v>UK</v>
      </c>
      <c r="Q130" s="8">
        <f t="shared" si="7"/>
        <v>0.85</v>
      </c>
    </row>
    <row r="131">
      <c r="A131" s="1">
        <v>536381.0</v>
      </c>
      <c r="B131" s="1" t="str">
        <f t="shared" si="1"/>
        <v>536381</v>
      </c>
      <c r="C131" s="1" t="str">
        <f t="shared" si="2"/>
        <v>Sale</v>
      </c>
      <c r="D131" s="1">
        <v>22644.0</v>
      </c>
      <c r="E131" s="1" t="str">
        <f>IFERROR(__xludf.DUMMYFUNCTION("IF(LEN(D131)&gt;4, IFERROR(REGEXEXTRACT(TO_TEXT(D131),""\d+""),""""),"""")"),"22644")</f>
        <v>22644</v>
      </c>
      <c r="F131" s="6" t="str">
        <f t="shared" si="3"/>
        <v>Product</v>
      </c>
      <c r="G131" s="1" t="s">
        <v>134</v>
      </c>
      <c r="H131" s="6" t="str">
        <f>IFERROR(__xludf.DUMMYFUNCTION("IF(REGEXMATCH(LOWER(G131), ""^(\?)+\s*(missing)?\s*(\?)*$""), """", PROPER(SUBSTITUTE(SUBSTITUTE(G131, ""?"", """"), ""*"", """")))"),"Ceramic Cherry Cake Money Bank")</f>
        <v>Ceramic Cherry Cake Money Bank</v>
      </c>
      <c r="I131" s="3">
        <v>1.0</v>
      </c>
      <c r="J131" s="7">
        <v>40513.40347222222</v>
      </c>
      <c r="K131" s="8" t="str">
        <f t="shared" si="4"/>
        <v>2010-12</v>
      </c>
      <c r="L131" s="5">
        <v>1.45</v>
      </c>
      <c r="M131" s="3">
        <v>15311.0</v>
      </c>
      <c r="N131" s="1" t="str">
        <f t="shared" si="5"/>
        <v>Registered</v>
      </c>
      <c r="O131" s="1" t="s">
        <v>19</v>
      </c>
      <c r="P131" s="9" t="str">
        <f t="shared" si="6"/>
        <v>UK</v>
      </c>
      <c r="Q131" s="8">
        <f t="shared" si="7"/>
        <v>1.45</v>
      </c>
    </row>
    <row r="132">
      <c r="A132" s="1">
        <v>536381.0</v>
      </c>
      <c r="B132" s="1" t="str">
        <f t="shared" si="1"/>
        <v>536381</v>
      </c>
      <c r="C132" s="1" t="str">
        <f t="shared" si="2"/>
        <v>Sale</v>
      </c>
      <c r="D132" s="1">
        <v>21533.0</v>
      </c>
      <c r="E132" s="1" t="str">
        <f>IFERROR(__xludf.DUMMYFUNCTION("IF(LEN(D132)&gt;4, IFERROR(REGEXEXTRACT(TO_TEXT(D132),""\d+""),""""),"""")"),"21533")</f>
        <v>21533</v>
      </c>
      <c r="F132" s="6" t="str">
        <f t="shared" si="3"/>
        <v>Product</v>
      </c>
      <c r="G132" s="1" t="s">
        <v>135</v>
      </c>
      <c r="H132" s="6" t="str">
        <f>IFERROR(__xludf.DUMMYFUNCTION("IF(REGEXMATCH(LOWER(G132), ""^(\?)+\s*(missing)?\s*(\?)*$""), """", PROPER(SUBSTITUTE(SUBSTITUTE(G132, ""?"", """"), ""*"", """")))"),"Retrospot Large Milk Jug")</f>
        <v>Retrospot Large Milk Jug</v>
      </c>
      <c r="I132" s="3">
        <v>1.0</v>
      </c>
      <c r="J132" s="7">
        <v>40513.40347222222</v>
      </c>
      <c r="K132" s="8" t="str">
        <f t="shared" si="4"/>
        <v>2010-12</v>
      </c>
      <c r="L132" s="5">
        <v>4.95</v>
      </c>
      <c r="M132" s="3">
        <v>15311.0</v>
      </c>
      <c r="N132" s="1" t="str">
        <f t="shared" si="5"/>
        <v>Registered</v>
      </c>
      <c r="O132" s="1" t="s">
        <v>19</v>
      </c>
      <c r="P132" s="9" t="str">
        <f t="shared" si="6"/>
        <v>UK</v>
      </c>
      <c r="Q132" s="8">
        <f t="shared" si="7"/>
        <v>4.95</v>
      </c>
    </row>
    <row r="133">
      <c r="A133" s="1">
        <v>536381.0</v>
      </c>
      <c r="B133" s="1" t="str">
        <f t="shared" si="1"/>
        <v>536381</v>
      </c>
      <c r="C133" s="1" t="str">
        <f t="shared" si="2"/>
        <v>Sale</v>
      </c>
      <c r="D133" s="1">
        <v>21557.0</v>
      </c>
      <c r="E133" s="1" t="str">
        <f>IFERROR(__xludf.DUMMYFUNCTION("IF(LEN(D133)&gt;4, IFERROR(REGEXEXTRACT(TO_TEXT(D133),""\d+""),""""),"""")"),"21557")</f>
        <v>21557</v>
      </c>
      <c r="F133" s="6" t="str">
        <f t="shared" si="3"/>
        <v>Product</v>
      </c>
      <c r="G133" s="1" t="s">
        <v>136</v>
      </c>
      <c r="H133" s="6" t="str">
        <f>IFERROR(__xludf.DUMMYFUNCTION("IF(REGEXMATCH(LOWER(G133), ""^(\?)+\s*(missing)?\s*(\?)*$""), """", PROPER(SUBSTITUTE(SUBSTITUTE(G133, ""?"", """"), ""*"", """")))"),"Set Of 6 Funky Beakers")</f>
        <v>Set Of 6 Funky Beakers</v>
      </c>
      <c r="I133" s="3">
        <v>2.0</v>
      </c>
      <c r="J133" s="7">
        <v>40513.40347222222</v>
      </c>
      <c r="K133" s="8" t="str">
        <f t="shared" si="4"/>
        <v>2010-12</v>
      </c>
      <c r="L133" s="5">
        <v>2.95</v>
      </c>
      <c r="M133" s="3">
        <v>15311.0</v>
      </c>
      <c r="N133" s="1" t="str">
        <f t="shared" si="5"/>
        <v>Registered</v>
      </c>
      <c r="O133" s="1" t="s">
        <v>19</v>
      </c>
      <c r="P133" s="9" t="str">
        <f t="shared" si="6"/>
        <v>UK</v>
      </c>
      <c r="Q133" s="8">
        <f t="shared" si="7"/>
        <v>5.9</v>
      </c>
    </row>
    <row r="134">
      <c r="A134" s="1">
        <v>536381.0</v>
      </c>
      <c r="B134" s="1" t="str">
        <f t="shared" si="1"/>
        <v>536381</v>
      </c>
      <c r="C134" s="1" t="str">
        <f t="shared" si="2"/>
        <v>Sale</v>
      </c>
      <c r="D134" s="1" t="s">
        <v>137</v>
      </c>
      <c r="E134" s="1" t="str">
        <f>IFERROR(__xludf.DUMMYFUNCTION("IF(LEN(D134)&gt;4, IFERROR(REGEXEXTRACT(TO_TEXT(D134),""\d+""),""""),"""")"),"15056")</f>
        <v>15056</v>
      </c>
      <c r="F134" s="6" t="str">
        <f t="shared" si="3"/>
        <v>Product</v>
      </c>
      <c r="G134" s="1" t="s">
        <v>138</v>
      </c>
      <c r="H134" s="6" t="str">
        <f>IFERROR(__xludf.DUMMYFUNCTION("IF(REGEXMATCH(LOWER(G134), ""^(\?)+\s*(missing)?\s*(\?)*$""), """", PROPER(SUBSTITUTE(SUBSTITUTE(G134, ""?"", """"), ""*"", """")))"),"Edwardian Parasol Black")</f>
        <v>Edwardian Parasol Black</v>
      </c>
      <c r="I134" s="3">
        <v>2.0</v>
      </c>
      <c r="J134" s="7">
        <v>40513.40347222222</v>
      </c>
      <c r="K134" s="8" t="str">
        <f t="shared" si="4"/>
        <v>2010-12</v>
      </c>
      <c r="L134" s="5">
        <v>5.95</v>
      </c>
      <c r="M134" s="3">
        <v>15311.0</v>
      </c>
      <c r="N134" s="1" t="str">
        <f t="shared" si="5"/>
        <v>Registered</v>
      </c>
      <c r="O134" s="1" t="s">
        <v>19</v>
      </c>
      <c r="P134" s="9" t="str">
        <f t="shared" si="6"/>
        <v>UK</v>
      </c>
      <c r="Q134" s="8">
        <f t="shared" si="7"/>
        <v>11.9</v>
      </c>
    </row>
    <row r="135">
      <c r="A135" s="1">
        <v>536381.0</v>
      </c>
      <c r="B135" s="1" t="str">
        <f t="shared" si="1"/>
        <v>536381</v>
      </c>
      <c r="C135" s="1" t="str">
        <f t="shared" si="2"/>
        <v>Sale</v>
      </c>
      <c r="D135" s="1" t="s">
        <v>139</v>
      </c>
      <c r="E135" s="1" t="str">
        <f>IFERROR(__xludf.DUMMYFUNCTION("IF(LEN(D135)&gt;4, IFERROR(REGEXEXTRACT(TO_TEXT(D135),""\d+""),""""),"""")"),"15056")</f>
        <v>15056</v>
      </c>
      <c r="F135" s="6" t="str">
        <f t="shared" si="3"/>
        <v>Product</v>
      </c>
      <c r="G135" s="1" t="s">
        <v>140</v>
      </c>
      <c r="H135" s="6" t="str">
        <f>IFERROR(__xludf.DUMMYFUNCTION("IF(REGEXMATCH(LOWER(G135), ""^(\?)+\s*(missing)?\s*(\?)*$""), """", PROPER(SUBSTITUTE(SUBSTITUTE(G135, ""?"", """"), ""*"", """")))"),"Edwardian Parasol Natural")</f>
        <v>Edwardian Parasol Natural</v>
      </c>
      <c r="I135" s="3">
        <v>2.0</v>
      </c>
      <c r="J135" s="7">
        <v>40513.40347222222</v>
      </c>
      <c r="K135" s="8" t="str">
        <f t="shared" si="4"/>
        <v>2010-12</v>
      </c>
      <c r="L135" s="5">
        <v>5.95</v>
      </c>
      <c r="M135" s="3">
        <v>15311.0</v>
      </c>
      <c r="N135" s="1" t="str">
        <f t="shared" si="5"/>
        <v>Registered</v>
      </c>
      <c r="O135" s="1" t="s">
        <v>19</v>
      </c>
      <c r="P135" s="9" t="str">
        <f t="shared" si="6"/>
        <v>UK</v>
      </c>
      <c r="Q135" s="8">
        <f t="shared" si="7"/>
        <v>11.9</v>
      </c>
    </row>
    <row r="136">
      <c r="A136" s="1">
        <v>536381.0</v>
      </c>
      <c r="B136" s="1" t="str">
        <f t="shared" si="1"/>
        <v>536381</v>
      </c>
      <c r="C136" s="1" t="str">
        <f t="shared" si="2"/>
        <v>Sale</v>
      </c>
      <c r="D136" s="1">
        <v>22646.0</v>
      </c>
      <c r="E136" s="1" t="str">
        <f>IFERROR(__xludf.DUMMYFUNCTION("IF(LEN(D136)&gt;4, IFERROR(REGEXEXTRACT(TO_TEXT(D136),""\d+""),""""),"""")"),"22646")</f>
        <v>22646</v>
      </c>
      <c r="F136" s="6" t="str">
        <f t="shared" si="3"/>
        <v>Product</v>
      </c>
      <c r="G136" s="1" t="s">
        <v>141</v>
      </c>
      <c r="H136" s="6" t="str">
        <f>IFERROR(__xludf.DUMMYFUNCTION("IF(REGEXMATCH(LOWER(G136), ""^(\?)+\s*(missing)?\s*(\?)*$""), """", PROPER(SUBSTITUTE(SUBSTITUTE(G136, ""?"", """"), ""*"", """")))"),"Ceramic Strawberry Cake Money Bank")</f>
        <v>Ceramic Strawberry Cake Money Bank</v>
      </c>
      <c r="I136" s="3">
        <v>4.0</v>
      </c>
      <c r="J136" s="7">
        <v>40513.40347222222</v>
      </c>
      <c r="K136" s="8" t="str">
        <f t="shared" si="4"/>
        <v>2010-12</v>
      </c>
      <c r="L136" s="5">
        <v>1.45</v>
      </c>
      <c r="M136" s="3">
        <v>15311.0</v>
      </c>
      <c r="N136" s="1" t="str">
        <f t="shared" si="5"/>
        <v>Registered</v>
      </c>
      <c r="O136" s="1" t="s">
        <v>19</v>
      </c>
      <c r="P136" s="9" t="str">
        <f t="shared" si="6"/>
        <v>UK</v>
      </c>
      <c r="Q136" s="8">
        <f t="shared" si="7"/>
        <v>5.8</v>
      </c>
    </row>
    <row r="137">
      <c r="A137" s="1">
        <v>536381.0</v>
      </c>
      <c r="B137" s="1" t="str">
        <f t="shared" si="1"/>
        <v>536381</v>
      </c>
      <c r="C137" s="1" t="str">
        <f t="shared" si="2"/>
        <v>Sale</v>
      </c>
      <c r="D137" s="1">
        <v>22176.0</v>
      </c>
      <c r="E137" s="1" t="str">
        <f>IFERROR(__xludf.DUMMYFUNCTION("IF(LEN(D137)&gt;4, IFERROR(REGEXEXTRACT(TO_TEXT(D137),""\d+""),""""),"""")"),"22176")</f>
        <v>22176</v>
      </c>
      <c r="F137" s="6" t="str">
        <f t="shared" si="3"/>
        <v>Product</v>
      </c>
      <c r="G137" s="1" t="s">
        <v>142</v>
      </c>
      <c r="H137" s="6" t="str">
        <f>IFERROR(__xludf.DUMMYFUNCTION("IF(REGEXMATCH(LOWER(G137), ""^(\?)+\s*(missing)?\s*(\?)*$""), """", PROPER(SUBSTITUTE(SUBSTITUTE(G137, ""?"", """"), ""*"", """")))"),"Blue Owl Soft Toy")</f>
        <v>Blue Owl Soft Toy</v>
      </c>
      <c r="I137" s="3">
        <v>1.0</v>
      </c>
      <c r="J137" s="7">
        <v>40513.40347222222</v>
      </c>
      <c r="K137" s="8" t="str">
        <f t="shared" si="4"/>
        <v>2010-12</v>
      </c>
      <c r="L137" s="5">
        <v>2.95</v>
      </c>
      <c r="M137" s="3">
        <v>15311.0</v>
      </c>
      <c r="N137" s="1" t="str">
        <f t="shared" si="5"/>
        <v>Registered</v>
      </c>
      <c r="O137" s="1" t="s">
        <v>19</v>
      </c>
      <c r="P137" s="9" t="str">
        <f t="shared" si="6"/>
        <v>UK</v>
      </c>
      <c r="Q137" s="8">
        <f t="shared" si="7"/>
        <v>2.95</v>
      </c>
    </row>
    <row r="138">
      <c r="A138" s="1">
        <v>536381.0</v>
      </c>
      <c r="B138" s="1" t="str">
        <f t="shared" si="1"/>
        <v>536381</v>
      </c>
      <c r="C138" s="1" t="str">
        <f t="shared" si="2"/>
        <v>Sale</v>
      </c>
      <c r="D138" s="1">
        <v>22438.0</v>
      </c>
      <c r="E138" s="1" t="str">
        <f>IFERROR(__xludf.DUMMYFUNCTION("IF(LEN(D138)&gt;4, IFERROR(REGEXEXTRACT(TO_TEXT(D138),""\d+""),""""),"""")"),"22438")</f>
        <v>22438</v>
      </c>
      <c r="F138" s="6" t="str">
        <f t="shared" si="3"/>
        <v>Product</v>
      </c>
      <c r="G138" s="1" t="s">
        <v>143</v>
      </c>
      <c r="H138" s="6" t="str">
        <f>IFERROR(__xludf.DUMMYFUNCTION("IF(REGEXMATCH(LOWER(G138), ""^(\?)+\s*(missing)?\s*(\?)*$""), """", PROPER(SUBSTITUTE(SUBSTITUTE(G138, ""?"", """"), ""*"", """")))"),"Balloon Art Make Your Own Flowers")</f>
        <v>Balloon Art Make Your Own Flowers</v>
      </c>
      <c r="I138" s="3">
        <v>1.0</v>
      </c>
      <c r="J138" s="7">
        <v>40513.40347222222</v>
      </c>
      <c r="K138" s="8" t="str">
        <f t="shared" si="4"/>
        <v>2010-12</v>
      </c>
      <c r="L138" s="5">
        <v>1.95</v>
      </c>
      <c r="M138" s="3">
        <v>15311.0</v>
      </c>
      <c r="N138" s="1" t="str">
        <f t="shared" si="5"/>
        <v>Registered</v>
      </c>
      <c r="O138" s="1" t="s">
        <v>19</v>
      </c>
      <c r="P138" s="9" t="str">
        <f t="shared" si="6"/>
        <v>UK</v>
      </c>
      <c r="Q138" s="8">
        <f t="shared" si="7"/>
        <v>1.95</v>
      </c>
    </row>
    <row r="139">
      <c r="A139" s="1">
        <v>536381.0</v>
      </c>
      <c r="B139" s="1" t="str">
        <f t="shared" si="1"/>
        <v>536381</v>
      </c>
      <c r="C139" s="1" t="str">
        <f t="shared" si="2"/>
        <v>Sale</v>
      </c>
      <c r="D139" s="1">
        <v>21731.0</v>
      </c>
      <c r="E139" s="1" t="str">
        <f>IFERROR(__xludf.DUMMYFUNCTION("IF(LEN(D139)&gt;4, IFERROR(REGEXEXTRACT(TO_TEXT(D139),""\d+""),""""),"""")"),"21731")</f>
        <v>21731</v>
      </c>
      <c r="F139" s="6" t="str">
        <f t="shared" si="3"/>
        <v>Product</v>
      </c>
      <c r="G139" s="1" t="s">
        <v>62</v>
      </c>
      <c r="H139" s="6" t="str">
        <f>IFERROR(__xludf.DUMMYFUNCTION("IF(REGEXMATCH(LOWER(G139), ""^(\?)+\s*(missing)?\s*(\?)*$""), """", PROPER(SUBSTITUTE(SUBSTITUTE(G139, ""?"", """"), ""*"", """")))"),"Red Toadstool Led Night Light")</f>
        <v>Red Toadstool Led Night Light</v>
      </c>
      <c r="I139" s="3">
        <v>2.0</v>
      </c>
      <c r="J139" s="7">
        <v>40513.40347222222</v>
      </c>
      <c r="K139" s="8" t="str">
        <f t="shared" si="4"/>
        <v>2010-12</v>
      </c>
      <c r="L139" s="5">
        <v>1.65</v>
      </c>
      <c r="M139" s="3">
        <v>15311.0</v>
      </c>
      <c r="N139" s="1" t="str">
        <f t="shared" si="5"/>
        <v>Registered</v>
      </c>
      <c r="O139" s="1" t="s">
        <v>19</v>
      </c>
      <c r="P139" s="9" t="str">
        <f t="shared" si="6"/>
        <v>UK</v>
      </c>
      <c r="Q139" s="8">
        <f t="shared" si="7"/>
        <v>3.3</v>
      </c>
    </row>
    <row r="140">
      <c r="A140" s="1">
        <v>536381.0</v>
      </c>
      <c r="B140" s="1" t="str">
        <f t="shared" si="1"/>
        <v>536381</v>
      </c>
      <c r="C140" s="1" t="str">
        <f t="shared" si="2"/>
        <v>Sale</v>
      </c>
      <c r="D140" s="1">
        <v>22778.0</v>
      </c>
      <c r="E140" s="1" t="str">
        <f>IFERROR(__xludf.DUMMYFUNCTION("IF(LEN(D140)&gt;4, IFERROR(REGEXEXTRACT(TO_TEXT(D140),""\d+""),""""),"""")"),"22778")</f>
        <v>22778</v>
      </c>
      <c r="F140" s="6" t="str">
        <f t="shared" si="3"/>
        <v>Product</v>
      </c>
      <c r="G140" s="1" t="s">
        <v>144</v>
      </c>
      <c r="H140" s="6" t="str">
        <f>IFERROR(__xludf.DUMMYFUNCTION("IF(REGEXMATCH(LOWER(G140), ""^(\?)+\s*(missing)?\s*(\?)*$""), """", PROPER(SUBSTITUTE(SUBSTITUTE(G140, ""?"", """"), ""*"", """")))"),"Glass Cloche Small")</f>
        <v>Glass Cloche Small</v>
      </c>
      <c r="I140" s="3">
        <v>3.0</v>
      </c>
      <c r="J140" s="7">
        <v>40513.40347222222</v>
      </c>
      <c r="K140" s="8" t="str">
        <f t="shared" si="4"/>
        <v>2010-12</v>
      </c>
      <c r="L140" s="5">
        <v>3.95</v>
      </c>
      <c r="M140" s="3">
        <v>15311.0</v>
      </c>
      <c r="N140" s="1" t="str">
        <f t="shared" si="5"/>
        <v>Registered</v>
      </c>
      <c r="O140" s="1" t="s">
        <v>19</v>
      </c>
      <c r="P140" s="9" t="str">
        <f t="shared" si="6"/>
        <v>UK</v>
      </c>
      <c r="Q140" s="8">
        <f t="shared" si="7"/>
        <v>11.85</v>
      </c>
    </row>
    <row r="141">
      <c r="A141" s="1">
        <v>536381.0</v>
      </c>
      <c r="B141" s="1" t="str">
        <f t="shared" si="1"/>
        <v>536381</v>
      </c>
      <c r="C141" s="1" t="str">
        <f t="shared" si="2"/>
        <v>Sale</v>
      </c>
      <c r="D141" s="1">
        <v>22719.0</v>
      </c>
      <c r="E141" s="1" t="str">
        <f>IFERROR(__xludf.DUMMYFUNCTION("IF(LEN(D141)&gt;4, IFERROR(REGEXEXTRACT(TO_TEXT(D141),""\d+""),""""),"""")"),"22719")</f>
        <v>22719</v>
      </c>
      <c r="F141" s="6" t="str">
        <f t="shared" si="3"/>
        <v>Product</v>
      </c>
      <c r="G141" s="1" t="s">
        <v>145</v>
      </c>
      <c r="H141" s="6" t="str">
        <f>IFERROR(__xludf.DUMMYFUNCTION("IF(REGEXMATCH(LOWER(G141), ""^(\?)+\s*(missing)?\s*(\?)*$""), """", PROPER(SUBSTITUTE(SUBSTITUTE(G141, ""?"", """"), ""*"", """")))"),"Gumball Monochrome Coat Rack")</f>
        <v>Gumball Monochrome Coat Rack</v>
      </c>
      <c r="I141" s="3">
        <v>36.0</v>
      </c>
      <c r="J141" s="7">
        <v>40513.40347222222</v>
      </c>
      <c r="K141" s="8" t="str">
        <f t="shared" si="4"/>
        <v>2010-12</v>
      </c>
      <c r="L141" s="5">
        <v>1.06</v>
      </c>
      <c r="M141" s="3">
        <v>15311.0</v>
      </c>
      <c r="N141" s="1" t="str">
        <f t="shared" si="5"/>
        <v>Registered</v>
      </c>
      <c r="O141" s="1" t="s">
        <v>19</v>
      </c>
      <c r="P141" s="9" t="str">
        <f t="shared" si="6"/>
        <v>UK</v>
      </c>
      <c r="Q141" s="8">
        <f t="shared" si="7"/>
        <v>38.16</v>
      </c>
    </row>
    <row r="142">
      <c r="A142" s="1">
        <v>536381.0</v>
      </c>
      <c r="B142" s="1" t="str">
        <f t="shared" si="1"/>
        <v>536381</v>
      </c>
      <c r="C142" s="1" t="str">
        <f t="shared" si="2"/>
        <v>Sale</v>
      </c>
      <c r="D142" s="1">
        <v>21523.0</v>
      </c>
      <c r="E142" s="1" t="str">
        <f>IFERROR(__xludf.DUMMYFUNCTION("IF(LEN(D142)&gt;4, IFERROR(REGEXEXTRACT(TO_TEXT(D142),""\d+""),""""),"""")"),"21523")</f>
        <v>21523</v>
      </c>
      <c r="F142" s="6" t="str">
        <f t="shared" si="3"/>
        <v>Product</v>
      </c>
      <c r="G142" s="1" t="s">
        <v>146</v>
      </c>
      <c r="H142" s="6" t="str">
        <f>IFERROR(__xludf.DUMMYFUNCTION("IF(REGEXMATCH(LOWER(G142), ""^(\?)+\s*(missing)?\s*(\?)*$""), """", PROPER(SUBSTITUTE(SUBSTITUTE(G142, ""?"", """"), ""*"", """")))"),"Doormat Fancy Font Home Sweet Home")</f>
        <v>Doormat Fancy Font Home Sweet Home</v>
      </c>
      <c r="I142" s="3">
        <v>10.0</v>
      </c>
      <c r="J142" s="7">
        <v>40513.40347222222</v>
      </c>
      <c r="K142" s="8" t="str">
        <f t="shared" si="4"/>
        <v>2010-12</v>
      </c>
      <c r="L142" s="5">
        <v>6.75</v>
      </c>
      <c r="M142" s="3">
        <v>15311.0</v>
      </c>
      <c r="N142" s="1" t="str">
        <f t="shared" si="5"/>
        <v>Registered</v>
      </c>
      <c r="O142" s="1" t="s">
        <v>19</v>
      </c>
      <c r="P142" s="9" t="str">
        <f t="shared" si="6"/>
        <v>UK</v>
      </c>
      <c r="Q142" s="8">
        <f t="shared" si="7"/>
        <v>67.5</v>
      </c>
    </row>
    <row r="143">
      <c r="A143" s="1" t="s">
        <v>147</v>
      </c>
      <c r="B143" s="1" t="str">
        <f t="shared" si="1"/>
        <v>536379</v>
      </c>
      <c r="C143" s="1" t="str">
        <f t="shared" si="2"/>
        <v>Return</v>
      </c>
      <c r="D143" s="1" t="s">
        <v>148</v>
      </c>
      <c r="E143" s="1" t="str">
        <f>IFERROR(__xludf.DUMMYFUNCTION("IF(LEN(D143)&gt;4, IFERROR(REGEXEXTRACT(TO_TEXT(D143),""\d+""),""""),"""")"),"")</f>
        <v/>
      </c>
      <c r="F143" s="6" t="str">
        <f t="shared" si="3"/>
        <v>Discount</v>
      </c>
      <c r="G143" s="1" t="s">
        <v>149</v>
      </c>
      <c r="H143" s="6" t="str">
        <f>IFERROR(__xludf.DUMMYFUNCTION("IF(REGEXMATCH(LOWER(G143), ""^(\?)+\s*(missing)?\s*(\?)*$""), """", PROPER(SUBSTITUTE(SUBSTITUTE(G143, ""?"", """"), ""*"", """")))"),"Discount")</f>
        <v>Discount</v>
      </c>
      <c r="I143" s="3">
        <v>-1.0</v>
      </c>
      <c r="J143" s="7">
        <v>40513.40347222222</v>
      </c>
      <c r="K143" s="8" t="str">
        <f t="shared" si="4"/>
        <v>2010-12</v>
      </c>
      <c r="L143" s="5">
        <v>27.5</v>
      </c>
      <c r="M143" s="3">
        <v>14527.0</v>
      </c>
      <c r="N143" s="1" t="str">
        <f t="shared" si="5"/>
        <v>Registered</v>
      </c>
      <c r="O143" s="1" t="s">
        <v>19</v>
      </c>
      <c r="P143" s="9" t="str">
        <f t="shared" si="6"/>
        <v>UK</v>
      </c>
      <c r="Q143" s="8">
        <f t="shared" si="7"/>
        <v>-27.5</v>
      </c>
    </row>
    <row r="144">
      <c r="A144" s="1">
        <v>536382.0</v>
      </c>
      <c r="B144" s="1" t="str">
        <f t="shared" si="1"/>
        <v>536382</v>
      </c>
      <c r="C144" s="1" t="str">
        <f t="shared" si="2"/>
        <v>Sale</v>
      </c>
      <c r="D144" s="1">
        <v>10002.0</v>
      </c>
      <c r="E144" s="1" t="str">
        <f>IFERROR(__xludf.DUMMYFUNCTION("IF(LEN(D144)&gt;4, IFERROR(REGEXEXTRACT(TO_TEXT(D144),""\d+""),""""),"""")"),"10002")</f>
        <v>10002</v>
      </c>
      <c r="F144" s="6" t="str">
        <f t="shared" si="3"/>
        <v>Product</v>
      </c>
      <c r="G144" s="1" t="s">
        <v>54</v>
      </c>
      <c r="H144" s="6" t="str">
        <f>IFERROR(__xludf.DUMMYFUNCTION("IF(REGEXMATCH(LOWER(G144), ""^(\?)+\s*(missing)?\s*(\?)*$""), """", PROPER(SUBSTITUTE(SUBSTITUTE(G144, ""?"", """"), ""*"", """")))"),"Inflatable Political Globe")</f>
        <v>Inflatable Political Globe</v>
      </c>
      <c r="I144" s="3">
        <v>12.0</v>
      </c>
      <c r="J144" s="7">
        <v>40513.40625</v>
      </c>
      <c r="K144" s="8" t="str">
        <f t="shared" si="4"/>
        <v>2010-12</v>
      </c>
      <c r="L144" s="5">
        <v>0.85</v>
      </c>
      <c r="M144" s="3">
        <v>16098.0</v>
      </c>
      <c r="N144" s="1" t="str">
        <f t="shared" si="5"/>
        <v>Registered</v>
      </c>
      <c r="O144" s="1" t="s">
        <v>19</v>
      </c>
      <c r="P144" s="9" t="str">
        <f t="shared" si="6"/>
        <v>UK</v>
      </c>
      <c r="Q144" s="8">
        <f t="shared" si="7"/>
        <v>10.2</v>
      </c>
    </row>
    <row r="145">
      <c r="A145" s="1">
        <v>536382.0</v>
      </c>
      <c r="B145" s="1" t="str">
        <f t="shared" si="1"/>
        <v>536382</v>
      </c>
      <c r="C145" s="1" t="str">
        <f t="shared" si="2"/>
        <v>Sale</v>
      </c>
      <c r="D145" s="1">
        <v>21912.0</v>
      </c>
      <c r="E145" s="1" t="str">
        <f>IFERROR(__xludf.DUMMYFUNCTION("IF(LEN(D145)&gt;4, IFERROR(REGEXEXTRACT(TO_TEXT(D145),""\d+""),""""),"""")"),"21912")</f>
        <v>21912</v>
      </c>
      <c r="F145" s="6" t="str">
        <f t="shared" si="3"/>
        <v>Product</v>
      </c>
      <c r="G145" s="1" t="s">
        <v>150</v>
      </c>
      <c r="H145" s="6" t="str">
        <f>IFERROR(__xludf.DUMMYFUNCTION("IF(REGEXMATCH(LOWER(G145), ""^(\?)+\s*(missing)?\s*(\?)*$""), """", PROPER(SUBSTITUTE(SUBSTITUTE(G145, ""?"", """"), ""*"", """")))"),"Vintage Snakes &amp; Ladders")</f>
        <v>Vintage Snakes &amp; Ladders</v>
      </c>
      <c r="I145" s="3">
        <v>8.0</v>
      </c>
      <c r="J145" s="7">
        <v>40513.40625</v>
      </c>
      <c r="K145" s="8" t="str">
        <f t="shared" si="4"/>
        <v>2010-12</v>
      </c>
      <c r="L145" s="5">
        <v>3.75</v>
      </c>
      <c r="M145" s="3">
        <v>16098.0</v>
      </c>
      <c r="N145" s="1" t="str">
        <f t="shared" si="5"/>
        <v>Registered</v>
      </c>
      <c r="O145" s="1" t="s">
        <v>19</v>
      </c>
      <c r="P145" s="9" t="str">
        <f t="shared" si="6"/>
        <v>UK</v>
      </c>
      <c r="Q145" s="8">
        <f t="shared" si="7"/>
        <v>30</v>
      </c>
    </row>
    <row r="146">
      <c r="A146" s="1">
        <v>536382.0</v>
      </c>
      <c r="B146" s="1" t="str">
        <f t="shared" si="1"/>
        <v>536382</v>
      </c>
      <c r="C146" s="1" t="str">
        <f t="shared" si="2"/>
        <v>Sale</v>
      </c>
      <c r="D146" s="1">
        <v>21832.0</v>
      </c>
      <c r="E146" s="1" t="str">
        <f>IFERROR(__xludf.DUMMYFUNCTION("IF(LEN(D146)&gt;4, IFERROR(REGEXEXTRACT(TO_TEXT(D146),""\d+""),""""),"""")"),"21832")</f>
        <v>21832</v>
      </c>
      <c r="F146" s="6" t="str">
        <f t="shared" si="3"/>
        <v>Product</v>
      </c>
      <c r="G146" s="1" t="s">
        <v>151</v>
      </c>
      <c r="H146" s="6" t="str">
        <f>IFERROR(__xludf.DUMMYFUNCTION("IF(REGEXMATCH(LOWER(G146), ""^(\?)+\s*(missing)?\s*(\?)*$""), """", PROPER(SUBSTITUTE(SUBSTITUTE(G146, ""?"", """"), ""*"", """")))"),"Chocolate Calculator")</f>
        <v>Chocolate Calculator</v>
      </c>
      <c r="I146" s="3">
        <v>12.0</v>
      </c>
      <c r="J146" s="7">
        <v>40513.40625</v>
      </c>
      <c r="K146" s="8" t="str">
        <f t="shared" si="4"/>
        <v>2010-12</v>
      </c>
      <c r="L146" s="5">
        <v>1.65</v>
      </c>
      <c r="M146" s="3">
        <v>16098.0</v>
      </c>
      <c r="N146" s="1" t="str">
        <f t="shared" si="5"/>
        <v>Registered</v>
      </c>
      <c r="O146" s="1" t="s">
        <v>19</v>
      </c>
      <c r="P146" s="9" t="str">
        <f t="shared" si="6"/>
        <v>UK</v>
      </c>
      <c r="Q146" s="8">
        <f t="shared" si="7"/>
        <v>19.8</v>
      </c>
    </row>
    <row r="147">
      <c r="A147" s="1">
        <v>536382.0</v>
      </c>
      <c r="B147" s="1" t="str">
        <f t="shared" si="1"/>
        <v>536382</v>
      </c>
      <c r="C147" s="1" t="str">
        <f t="shared" si="2"/>
        <v>Sale</v>
      </c>
      <c r="D147" s="1">
        <v>22411.0</v>
      </c>
      <c r="E147" s="1" t="str">
        <f>IFERROR(__xludf.DUMMYFUNCTION("IF(LEN(D147)&gt;4, IFERROR(REGEXEXTRACT(TO_TEXT(D147),""\d+""),""""),"""")"),"22411")</f>
        <v>22411</v>
      </c>
      <c r="F147" s="6" t="str">
        <f t="shared" si="3"/>
        <v>Product</v>
      </c>
      <c r="G147" s="1" t="s">
        <v>112</v>
      </c>
      <c r="H147" s="6" t="str">
        <f>IFERROR(__xludf.DUMMYFUNCTION("IF(REGEXMATCH(LOWER(G147), ""^(\?)+\s*(missing)?\s*(\?)*$""), """", PROPER(SUBSTITUTE(SUBSTITUTE(G147, ""?"", """"), ""*"", """")))"),"Jumbo Shopper Vintage Red Paisley")</f>
        <v>Jumbo Shopper Vintage Red Paisley</v>
      </c>
      <c r="I147" s="3">
        <v>10.0</v>
      </c>
      <c r="J147" s="7">
        <v>40513.40625</v>
      </c>
      <c r="K147" s="8" t="str">
        <f t="shared" si="4"/>
        <v>2010-12</v>
      </c>
      <c r="L147" s="5">
        <v>1.95</v>
      </c>
      <c r="M147" s="3">
        <v>16098.0</v>
      </c>
      <c r="N147" s="1" t="str">
        <f t="shared" si="5"/>
        <v>Registered</v>
      </c>
      <c r="O147" s="1" t="s">
        <v>19</v>
      </c>
      <c r="P147" s="9" t="str">
        <f t="shared" si="6"/>
        <v>UK</v>
      </c>
      <c r="Q147" s="8">
        <f t="shared" si="7"/>
        <v>19.5</v>
      </c>
    </row>
    <row r="148">
      <c r="A148" s="1">
        <v>536382.0</v>
      </c>
      <c r="B148" s="1" t="str">
        <f t="shared" si="1"/>
        <v>536382</v>
      </c>
      <c r="C148" s="1" t="str">
        <f t="shared" si="2"/>
        <v>Sale</v>
      </c>
      <c r="D148" s="1">
        <v>22379.0</v>
      </c>
      <c r="E148" s="1" t="str">
        <f>IFERROR(__xludf.DUMMYFUNCTION("IF(LEN(D148)&gt;4, IFERROR(REGEXEXTRACT(TO_TEXT(D148),""\d+""),""""),"""")"),"22379")</f>
        <v>22379</v>
      </c>
      <c r="F148" s="6" t="str">
        <f t="shared" si="3"/>
        <v>Product</v>
      </c>
      <c r="G148" s="1" t="s">
        <v>152</v>
      </c>
      <c r="H148" s="6" t="str">
        <f>IFERROR(__xludf.DUMMYFUNCTION("IF(REGEXMATCH(LOWER(G148), ""^(\?)+\s*(missing)?\s*(\?)*$""), """", PROPER(SUBSTITUTE(SUBSTITUTE(G148, ""?"", """"), ""*"", """")))"),"Recycling Bag Retrospot")</f>
        <v>Recycling Bag Retrospot</v>
      </c>
      <c r="I148" s="3">
        <v>10.0</v>
      </c>
      <c r="J148" s="7">
        <v>40513.40625</v>
      </c>
      <c r="K148" s="8" t="str">
        <f t="shared" si="4"/>
        <v>2010-12</v>
      </c>
      <c r="L148" s="5">
        <v>2.1</v>
      </c>
      <c r="M148" s="3">
        <v>16098.0</v>
      </c>
      <c r="N148" s="1" t="str">
        <f t="shared" si="5"/>
        <v>Registered</v>
      </c>
      <c r="O148" s="1" t="s">
        <v>19</v>
      </c>
      <c r="P148" s="9" t="str">
        <f t="shared" si="6"/>
        <v>UK</v>
      </c>
      <c r="Q148" s="8">
        <f t="shared" si="7"/>
        <v>21</v>
      </c>
    </row>
    <row r="149">
      <c r="A149" s="1">
        <v>536382.0</v>
      </c>
      <c r="B149" s="1" t="str">
        <f t="shared" si="1"/>
        <v>536382</v>
      </c>
      <c r="C149" s="1" t="str">
        <f t="shared" si="2"/>
        <v>Sale</v>
      </c>
      <c r="D149" s="1">
        <v>22381.0</v>
      </c>
      <c r="E149" s="1" t="str">
        <f>IFERROR(__xludf.DUMMYFUNCTION("IF(LEN(D149)&gt;4, IFERROR(REGEXEXTRACT(TO_TEXT(D149),""\d+""),""""),"""")"),"22381")</f>
        <v>22381</v>
      </c>
      <c r="F149" s="6" t="str">
        <f t="shared" si="3"/>
        <v>Product</v>
      </c>
      <c r="G149" s="1" t="s">
        <v>153</v>
      </c>
      <c r="H149" s="6" t="str">
        <f>IFERROR(__xludf.DUMMYFUNCTION("IF(REGEXMATCH(LOWER(G149), ""^(\?)+\s*(missing)?\s*(\?)*$""), """", PROPER(SUBSTITUTE(SUBSTITUTE(G149, ""?"", """"), ""*"", """")))"),"Toy Tidy Pink Polkadot")</f>
        <v>Toy Tidy Pink Polkadot</v>
      </c>
      <c r="I149" s="3">
        <v>50.0</v>
      </c>
      <c r="J149" s="7">
        <v>40513.40625</v>
      </c>
      <c r="K149" s="8" t="str">
        <f t="shared" si="4"/>
        <v>2010-12</v>
      </c>
      <c r="L149" s="5">
        <v>1.85</v>
      </c>
      <c r="M149" s="3">
        <v>16098.0</v>
      </c>
      <c r="N149" s="1" t="str">
        <f t="shared" si="5"/>
        <v>Registered</v>
      </c>
      <c r="O149" s="1" t="s">
        <v>19</v>
      </c>
      <c r="P149" s="9" t="str">
        <f t="shared" si="6"/>
        <v>UK</v>
      </c>
      <c r="Q149" s="8">
        <f t="shared" si="7"/>
        <v>92.5</v>
      </c>
    </row>
    <row r="150">
      <c r="A150" s="1">
        <v>536382.0</v>
      </c>
      <c r="B150" s="1" t="str">
        <f t="shared" si="1"/>
        <v>536382</v>
      </c>
      <c r="C150" s="1" t="str">
        <f t="shared" si="2"/>
        <v>Sale</v>
      </c>
      <c r="D150" s="1">
        <v>22798.0</v>
      </c>
      <c r="E150" s="1" t="str">
        <f>IFERROR(__xludf.DUMMYFUNCTION("IF(LEN(D150)&gt;4, IFERROR(REGEXEXTRACT(TO_TEXT(D150),""\d+""),""""),"""")"),"22798")</f>
        <v>22798</v>
      </c>
      <c r="F150" s="6" t="str">
        <f t="shared" si="3"/>
        <v>Product</v>
      </c>
      <c r="G150" s="1" t="s">
        <v>154</v>
      </c>
      <c r="H150" s="6" t="str">
        <f>IFERROR(__xludf.DUMMYFUNCTION("IF(REGEXMATCH(LOWER(G150), ""^(\?)+\s*(missing)?\s*(\?)*$""), """", PROPER(SUBSTITUTE(SUBSTITUTE(G150, ""?"", """"), ""*"", """")))"),"Antique Glass Dressing Table Pot")</f>
        <v>Antique Glass Dressing Table Pot</v>
      </c>
      <c r="I150" s="3">
        <v>8.0</v>
      </c>
      <c r="J150" s="7">
        <v>40513.40625</v>
      </c>
      <c r="K150" s="8" t="str">
        <f t="shared" si="4"/>
        <v>2010-12</v>
      </c>
      <c r="L150" s="5">
        <v>2.95</v>
      </c>
      <c r="M150" s="3">
        <v>16098.0</v>
      </c>
      <c r="N150" s="1" t="str">
        <f t="shared" si="5"/>
        <v>Registered</v>
      </c>
      <c r="O150" s="1" t="s">
        <v>19</v>
      </c>
      <c r="P150" s="9" t="str">
        <f t="shared" si="6"/>
        <v>UK</v>
      </c>
      <c r="Q150" s="8">
        <f t="shared" si="7"/>
        <v>23.6</v>
      </c>
    </row>
    <row r="151">
      <c r="A151" s="1">
        <v>536382.0</v>
      </c>
      <c r="B151" s="1" t="str">
        <f t="shared" si="1"/>
        <v>536382</v>
      </c>
      <c r="C151" s="1" t="str">
        <f t="shared" si="2"/>
        <v>Sale</v>
      </c>
      <c r="D151" s="1">
        <v>22726.0</v>
      </c>
      <c r="E151" s="1" t="str">
        <f>IFERROR(__xludf.DUMMYFUNCTION("IF(LEN(D151)&gt;4, IFERROR(REGEXEXTRACT(TO_TEXT(D151),""\d+""),""""),"""")"),"22726")</f>
        <v>22726</v>
      </c>
      <c r="F151" s="6" t="str">
        <f t="shared" si="3"/>
        <v>Product</v>
      </c>
      <c r="G151" s="1" t="s">
        <v>51</v>
      </c>
      <c r="H151" s="6" t="str">
        <f>IFERROR(__xludf.DUMMYFUNCTION("IF(REGEXMATCH(LOWER(G151), ""^(\?)+\s*(missing)?\s*(\?)*$""), """", PROPER(SUBSTITUTE(SUBSTITUTE(G151, ""?"", """"), ""*"", """")))"),"Alarm Clock Bakelike Green")</f>
        <v>Alarm Clock Bakelike Green</v>
      </c>
      <c r="I151" s="3">
        <v>4.0</v>
      </c>
      <c r="J151" s="7">
        <v>40513.40625</v>
      </c>
      <c r="K151" s="8" t="str">
        <f t="shared" si="4"/>
        <v>2010-12</v>
      </c>
      <c r="L151" s="5">
        <v>3.75</v>
      </c>
      <c r="M151" s="3">
        <v>16098.0</v>
      </c>
      <c r="N151" s="1" t="str">
        <f t="shared" si="5"/>
        <v>Registered</v>
      </c>
      <c r="O151" s="1" t="s">
        <v>19</v>
      </c>
      <c r="P151" s="9" t="str">
        <f t="shared" si="6"/>
        <v>UK</v>
      </c>
      <c r="Q151" s="8">
        <f t="shared" si="7"/>
        <v>15</v>
      </c>
    </row>
    <row r="152">
      <c r="A152" s="1">
        <v>536382.0</v>
      </c>
      <c r="B152" s="1" t="str">
        <f t="shared" si="1"/>
        <v>536382</v>
      </c>
      <c r="C152" s="1" t="str">
        <f t="shared" si="2"/>
        <v>Sale</v>
      </c>
      <c r="D152" s="1">
        <v>22926.0</v>
      </c>
      <c r="E152" s="1" t="str">
        <f>IFERROR(__xludf.DUMMYFUNCTION("IF(LEN(D152)&gt;4, IFERROR(REGEXEXTRACT(TO_TEXT(D152),""\d+""),""""),"""")"),"22926")</f>
        <v>22926</v>
      </c>
      <c r="F152" s="6" t="str">
        <f t="shared" si="3"/>
        <v>Product</v>
      </c>
      <c r="G152" s="1" t="s">
        <v>155</v>
      </c>
      <c r="H152" s="6" t="str">
        <f>IFERROR(__xludf.DUMMYFUNCTION("IF(REGEXMATCH(LOWER(G152), ""^(\?)+\s*(missing)?\s*(\?)*$""), """", PROPER(SUBSTITUTE(SUBSTITUTE(G152, ""?"", """"), ""*"", """")))"),"Ivory Giant Garden Thermometer")</f>
        <v>Ivory Giant Garden Thermometer</v>
      </c>
      <c r="I152" s="3">
        <v>12.0</v>
      </c>
      <c r="J152" s="7">
        <v>40513.40625</v>
      </c>
      <c r="K152" s="8" t="str">
        <f t="shared" si="4"/>
        <v>2010-12</v>
      </c>
      <c r="L152" s="5">
        <v>5.95</v>
      </c>
      <c r="M152" s="3">
        <v>16098.0</v>
      </c>
      <c r="N152" s="1" t="str">
        <f t="shared" si="5"/>
        <v>Registered</v>
      </c>
      <c r="O152" s="1" t="s">
        <v>19</v>
      </c>
      <c r="P152" s="9" t="str">
        <f t="shared" si="6"/>
        <v>UK</v>
      </c>
      <c r="Q152" s="8">
        <f t="shared" si="7"/>
        <v>71.4</v>
      </c>
    </row>
    <row r="153">
      <c r="A153" s="1">
        <v>536382.0</v>
      </c>
      <c r="B153" s="1" t="str">
        <f t="shared" si="1"/>
        <v>536382</v>
      </c>
      <c r="C153" s="1" t="str">
        <f t="shared" si="2"/>
        <v>Sale</v>
      </c>
      <c r="D153" s="1">
        <v>22839.0</v>
      </c>
      <c r="E153" s="1" t="str">
        <f>IFERROR(__xludf.DUMMYFUNCTION("IF(LEN(D153)&gt;4, IFERROR(REGEXEXTRACT(TO_TEXT(D153),""\d+""),""""),"""")"),"22839")</f>
        <v>22839</v>
      </c>
      <c r="F153" s="6" t="str">
        <f t="shared" si="3"/>
        <v>Product</v>
      </c>
      <c r="G153" s="1" t="s">
        <v>156</v>
      </c>
      <c r="H153" s="6" t="str">
        <f>IFERROR(__xludf.DUMMYFUNCTION("IF(REGEXMATCH(LOWER(G153), ""^(\?)+\s*(missing)?\s*(\?)*$""), """", PROPER(SUBSTITUTE(SUBSTITUTE(G153, ""?"", """"), ""*"", """")))"),"3 Tier Cake Tin Green And Cream")</f>
        <v>3 Tier Cake Tin Green And Cream</v>
      </c>
      <c r="I153" s="3">
        <v>2.0</v>
      </c>
      <c r="J153" s="7">
        <v>40513.40625</v>
      </c>
      <c r="K153" s="8" t="str">
        <f t="shared" si="4"/>
        <v>2010-12</v>
      </c>
      <c r="L153" s="5">
        <v>14.95</v>
      </c>
      <c r="M153" s="3">
        <v>16098.0</v>
      </c>
      <c r="N153" s="1" t="str">
        <f t="shared" si="5"/>
        <v>Registered</v>
      </c>
      <c r="O153" s="1" t="s">
        <v>19</v>
      </c>
      <c r="P153" s="9" t="str">
        <f t="shared" si="6"/>
        <v>UK</v>
      </c>
      <c r="Q153" s="8">
        <f t="shared" si="7"/>
        <v>29.9</v>
      </c>
    </row>
    <row r="154">
      <c r="A154" s="1">
        <v>536382.0</v>
      </c>
      <c r="B154" s="1" t="str">
        <f t="shared" si="1"/>
        <v>536382</v>
      </c>
      <c r="C154" s="1" t="str">
        <f t="shared" si="2"/>
        <v>Sale</v>
      </c>
      <c r="D154" s="1">
        <v>22838.0</v>
      </c>
      <c r="E154" s="1" t="str">
        <f>IFERROR(__xludf.DUMMYFUNCTION("IF(LEN(D154)&gt;4, IFERROR(REGEXEXTRACT(TO_TEXT(D154),""\d+""),""""),"""")"),"22838")</f>
        <v>22838</v>
      </c>
      <c r="F154" s="6" t="str">
        <f t="shared" si="3"/>
        <v>Product</v>
      </c>
      <c r="G154" s="1" t="s">
        <v>157</v>
      </c>
      <c r="H154" s="6" t="str">
        <f>IFERROR(__xludf.DUMMYFUNCTION("IF(REGEXMATCH(LOWER(G154), ""^(\?)+\s*(missing)?\s*(\?)*$""), """", PROPER(SUBSTITUTE(SUBSTITUTE(G154, ""?"", """"), ""*"", """")))"),"3 Tier Cake Tin Red And Cream")</f>
        <v>3 Tier Cake Tin Red And Cream</v>
      </c>
      <c r="I154" s="3">
        <v>2.0</v>
      </c>
      <c r="J154" s="7">
        <v>40513.40625</v>
      </c>
      <c r="K154" s="8" t="str">
        <f t="shared" si="4"/>
        <v>2010-12</v>
      </c>
      <c r="L154" s="5">
        <v>14.95</v>
      </c>
      <c r="M154" s="3">
        <v>16098.0</v>
      </c>
      <c r="N154" s="1" t="str">
        <f t="shared" si="5"/>
        <v>Registered</v>
      </c>
      <c r="O154" s="1" t="s">
        <v>19</v>
      </c>
      <c r="P154" s="9" t="str">
        <f t="shared" si="6"/>
        <v>UK</v>
      </c>
      <c r="Q154" s="8">
        <f t="shared" si="7"/>
        <v>29.9</v>
      </c>
    </row>
    <row r="155">
      <c r="A155" s="1">
        <v>536382.0</v>
      </c>
      <c r="B155" s="1" t="str">
        <f t="shared" si="1"/>
        <v>536382</v>
      </c>
      <c r="C155" s="1" t="str">
        <f t="shared" si="2"/>
        <v>Sale</v>
      </c>
      <c r="D155" s="1">
        <v>22783.0</v>
      </c>
      <c r="E155" s="1" t="str">
        <f>IFERROR(__xludf.DUMMYFUNCTION("IF(LEN(D155)&gt;4, IFERROR(REGEXEXTRACT(TO_TEXT(D155),""\d+""),""""),"""")"),"22783")</f>
        <v>22783</v>
      </c>
      <c r="F155" s="6" t="str">
        <f t="shared" si="3"/>
        <v>Product</v>
      </c>
      <c r="G155" s="1" t="s">
        <v>158</v>
      </c>
      <c r="H155" s="6" t="str">
        <f>IFERROR(__xludf.DUMMYFUNCTION("IF(REGEXMATCH(LOWER(G155), ""^(\?)+\s*(missing)?\s*(\?)*$""), """", PROPER(SUBSTITUTE(SUBSTITUTE(G155, ""?"", """"), ""*"", """")))"),"Set 3 Wicker Oval Baskets W Lids")</f>
        <v>Set 3 Wicker Oval Baskets W Lids</v>
      </c>
      <c r="I155" s="3">
        <v>4.0</v>
      </c>
      <c r="J155" s="7">
        <v>40513.40625</v>
      </c>
      <c r="K155" s="8" t="str">
        <f t="shared" si="4"/>
        <v>2010-12</v>
      </c>
      <c r="L155" s="5">
        <v>16.95</v>
      </c>
      <c r="M155" s="3">
        <v>16098.0</v>
      </c>
      <c r="N155" s="1" t="str">
        <f t="shared" si="5"/>
        <v>Registered</v>
      </c>
      <c r="O155" s="1" t="s">
        <v>19</v>
      </c>
      <c r="P155" s="9" t="str">
        <f t="shared" si="6"/>
        <v>UK</v>
      </c>
      <c r="Q155" s="8">
        <f t="shared" si="7"/>
        <v>67.8</v>
      </c>
    </row>
    <row r="156">
      <c r="A156" s="1" t="s">
        <v>159</v>
      </c>
      <c r="B156" s="1" t="str">
        <f t="shared" si="1"/>
        <v>536383</v>
      </c>
      <c r="C156" s="1" t="str">
        <f t="shared" si="2"/>
        <v>Return</v>
      </c>
      <c r="D156" s="1" t="s">
        <v>160</v>
      </c>
      <c r="E156" s="1" t="str">
        <f>IFERROR(__xludf.DUMMYFUNCTION("IF(LEN(D156)&gt;4, IFERROR(REGEXEXTRACT(TO_TEXT(D156),""\d+""),""""),"""")"),"35004")</f>
        <v>35004</v>
      </c>
      <c r="F156" s="6" t="str">
        <f t="shared" si="3"/>
        <v>Product</v>
      </c>
      <c r="G156" s="1" t="s">
        <v>161</v>
      </c>
      <c r="H156" s="6" t="str">
        <f>IFERROR(__xludf.DUMMYFUNCTION("IF(REGEXMATCH(LOWER(G156), ""^(\?)+\s*(missing)?\s*(\?)*$""), """", PROPER(SUBSTITUTE(SUBSTITUTE(G156, ""?"", """"), ""*"", """")))"),"Set Of 3 Coloured Flying Ducks")</f>
        <v>Set Of 3 Coloured Flying Ducks</v>
      </c>
      <c r="I156" s="3">
        <v>-1.0</v>
      </c>
      <c r="J156" s="7">
        <v>40513.40902777778</v>
      </c>
      <c r="K156" s="8" t="str">
        <f t="shared" si="4"/>
        <v>2010-12</v>
      </c>
      <c r="L156" s="5">
        <v>4.65</v>
      </c>
      <c r="M156" s="3">
        <v>15311.0</v>
      </c>
      <c r="N156" s="1" t="str">
        <f t="shared" si="5"/>
        <v>Registered</v>
      </c>
      <c r="O156" s="1" t="s">
        <v>19</v>
      </c>
      <c r="P156" s="9" t="str">
        <f t="shared" si="6"/>
        <v>UK</v>
      </c>
      <c r="Q156" s="8">
        <f t="shared" si="7"/>
        <v>-4.65</v>
      </c>
    </row>
    <row r="157">
      <c r="A157" s="1">
        <v>536384.0</v>
      </c>
      <c r="B157" s="1" t="str">
        <f t="shared" si="1"/>
        <v>536384</v>
      </c>
      <c r="C157" s="1" t="str">
        <f t="shared" si="2"/>
        <v>Sale</v>
      </c>
      <c r="D157" s="1">
        <v>82484.0</v>
      </c>
      <c r="E157" s="1" t="str">
        <f>IFERROR(__xludf.DUMMYFUNCTION("IF(LEN(D157)&gt;4, IFERROR(REGEXEXTRACT(TO_TEXT(D157),""\d+""),""""),"""")"),"82484")</f>
        <v>82484</v>
      </c>
      <c r="F157" s="6" t="str">
        <f t="shared" si="3"/>
        <v>Product</v>
      </c>
      <c r="G157" s="1" t="s">
        <v>162</v>
      </c>
      <c r="H157" s="6" t="str">
        <f>IFERROR(__xludf.DUMMYFUNCTION("IF(REGEXMATCH(LOWER(G157), ""^(\?)+\s*(missing)?\s*(\?)*$""), """", PROPER(SUBSTITUTE(SUBSTITUTE(G157, ""?"", """"), ""*"", """")))"),"Wood Black Board Ant White Finish")</f>
        <v>Wood Black Board Ant White Finish</v>
      </c>
      <c r="I157" s="3">
        <v>3.0</v>
      </c>
      <c r="J157" s="7">
        <v>40513.41180555556</v>
      </c>
      <c r="K157" s="8" t="str">
        <f t="shared" si="4"/>
        <v>2010-12</v>
      </c>
      <c r="L157" s="5">
        <v>6.45</v>
      </c>
      <c r="M157" s="3">
        <v>18074.0</v>
      </c>
      <c r="N157" s="1" t="str">
        <f t="shared" si="5"/>
        <v>Registered</v>
      </c>
      <c r="O157" s="1" t="s">
        <v>19</v>
      </c>
      <c r="P157" s="9" t="str">
        <f t="shared" si="6"/>
        <v>UK</v>
      </c>
      <c r="Q157" s="8">
        <f t="shared" si="7"/>
        <v>19.35</v>
      </c>
    </row>
    <row r="158">
      <c r="A158" s="1">
        <v>536384.0</v>
      </c>
      <c r="B158" s="1" t="str">
        <f t="shared" si="1"/>
        <v>536384</v>
      </c>
      <c r="C158" s="1" t="str">
        <f t="shared" si="2"/>
        <v>Sale</v>
      </c>
      <c r="D158" s="1">
        <v>84755.0</v>
      </c>
      <c r="E158" s="1" t="str">
        <f>IFERROR(__xludf.DUMMYFUNCTION("IF(LEN(D158)&gt;4, IFERROR(REGEXEXTRACT(TO_TEXT(D158),""\d+""),""""),"""")"),"84755")</f>
        <v>84755</v>
      </c>
      <c r="F158" s="6" t="str">
        <f t="shared" si="3"/>
        <v>Product</v>
      </c>
      <c r="G158" s="1" t="s">
        <v>163</v>
      </c>
      <c r="H158" s="6" t="str">
        <f>IFERROR(__xludf.DUMMYFUNCTION("IF(REGEXMATCH(LOWER(G158), ""^(\?)+\s*(missing)?\s*(\?)*$""), """", PROPER(SUBSTITUTE(SUBSTITUTE(G158, ""?"", """"), ""*"", """")))"),"Colour Glass T-Light Holder Hanging")</f>
        <v>Colour Glass T-Light Holder Hanging</v>
      </c>
      <c r="I158" s="3">
        <v>48.0</v>
      </c>
      <c r="J158" s="7">
        <v>40513.41180555556</v>
      </c>
      <c r="K158" s="8" t="str">
        <f t="shared" si="4"/>
        <v>2010-12</v>
      </c>
      <c r="L158" s="5">
        <v>0.65</v>
      </c>
      <c r="M158" s="3">
        <v>18074.0</v>
      </c>
      <c r="N158" s="1" t="str">
        <f t="shared" si="5"/>
        <v>Registered</v>
      </c>
      <c r="O158" s="1" t="s">
        <v>19</v>
      </c>
      <c r="P158" s="9" t="str">
        <f t="shared" si="6"/>
        <v>UK</v>
      </c>
      <c r="Q158" s="8">
        <f t="shared" si="7"/>
        <v>31.2</v>
      </c>
    </row>
    <row r="159">
      <c r="A159" s="1">
        <v>536384.0</v>
      </c>
      <c r="B159" s="1" t="str">
        <f t="shared" si="1"/>
        <v>536384</v>
      </c>
      <c r="C159" s="1" t="str">
        <f t="shared" si="2"/>
        <v>Sale</v>
      </c>
      <c r="D159" s="1">
        <v>22464.0</v>
      </c>
      <c r="E159" s="1" t="str">
        <f>IFERROR(__xludf.DUMMYFUNCTION("IF(LEN(D159)&gt;4, IFERROR(REGEXEXTRACT(TO_TEXT(D159),""\d+""),""""),"""")"),"22464")</f>
        <v>22464</v>
      </c>
      <c r="F159" s="6" t="str">
        <f t="shared" si="3"/>
        <v>Product</v>
      </c>
      <c r="G159" s="1" t="s">
        <v>164</v>
      </c>
      <c r="H159" s="6" t="str">
        <f>IFERROR(__xludf.DUMMYFUNCTION("IF(REGEXMATCH(LOWER(G159), ""^(\?)+\s*(missing)?\s*(\?)*$""), """", PROPER(SUBSTITUTE(SUBSTITUTE(G159, ""?"", """"), ""*"", """")))"),"Hanging Metal Heart Lantern")</f>
        <v>Hanging Metal Heart Lantern</v>
      </c>
      <c r="I159" s="3">
        <v>12.0</v>
      </c>
      <c r="J159" s="7">
        <v>40513.41180555556</v>
      </c>
      <c r="K159" s="8" t="str">
        <f t="shared" si="4"/>
        <v>2010-12</v>
      </c>
      <c r="L159" s="5">
        <v>1.65</v>
      </c>
      <c r="M159" s="3">
        <v>18074.0</v>
      </c>
      <c r="N159" s="1" t="str">
        <f t="shared" si="5"/>
        <v>Registered</v>
      </c>
      <c r="O159" s="1" t="s">
        <v>19</v>
      </c>
      <c r="P159" s="9" t="str">
        <f t="shared" si="6"/>
        <v>UK</v>
      </c>
      <c r="Q159" s="8">
        <f t="shared" si="7"/>
        <v>19.8</v>
      </c>
    </row>
    <row r="160">
      <c r="A160" s="1">
        <v>536384.0</v>
      </c>
      <c r="B160" s="1" t="str">
        <f t="shared" si="1"/>
        <v>536384</v>
      </c>
      <c r="C160" s="1" t="str">
        <f t="shared" si="2"/>
        <v>Sale</v>
      </c>
      <c r="D160" s="1">
        <v>21324.0</v>
      </c>
      <c r="E160" s="1" t="str">
        <f>IFERROR(__xludf.DUMMYFUNCTION("IF(LEN(D160)&gt;4, IFERROR(REGEXEXTRACT(TO_TEXT(D160),""\d+""),""""),"""")"),"21324")</f>
        <v>21324</v>
      </c>
      <c r="F160" s="6" t="str">
        <f t="shared" si="3"/>
        <v>Product</v>
      </c>
      <c r="G160" s="1" t="s">
        <v>165</v>
      </c>
      <c r="H160" s="6" t="str">
        <f>IFERROR(__xludf.DUMMYFUNCTION("IF(REGEXMATCH(LOWER(G160), ""^(\?)+\s*(missing)?\s*(\?)*$""), """", PROPER(SUBSTITUTE(SUBSTITUTE(G160, ""?"", """"), ""*"", """")))"),"Hanging Medina Lantern Small")</f>
        <v>Hanging Medina Lantern Small</v>
      </c>
      <c r="I160" s="3">
        <v>6.0</v>
      </c>
      <c r="J160" s="7">
        <v>40513.41180555556</v>
      </c>
      <c r="K160" s="8" t="str">
        <f t="shared" si="4"/>
        <v>2010-12</v>
      </c>
      <c r="L160" s="5">
        <v>2.95</v>
      </c>
      <c r="M160" s="3">
        <v>18074.0</v>
      </c>
      <c r="N160" s="1" t="str">
        <f t="shared" si="5"/>
        <v>Registered</v>
      </c>
      <c r="O160" s="1" t="s">
        <v>19</v>
      </c>
      <c r="P160" s="9" t="str">
        <f t="shared" si="6"/>
        <v>UK</v>
      </c>
      <c r="Q160" s="8">
        <f t="shared" si="7"/>
        <v>17.7</v>
      </c>
    </row>
    <row r="161">
      <c r="A161" s="1">
        <v>536384.0</v>
      </c>
      <c r="B161" s="1" t="str">
        <f t="shared" si="1"/>
        <v>536384</v>
      </c>
      <c r="C161" s="1" t="str">
        <f t="shared" si="2"/>
        <v>Sale</v>
      </c>
      <c r="D161" s="1">
        <v>22457.0</v>
      </c>
      <c r="E161" s="1" t="str">
        <f>IFERROR(__xludf.DUMMYFUNCTION("IF(LEN(D161)&gt;4, IFERROR(REGEXEXTRACT(TO_TEXT(D161),""\d+""),""""),"""")"),"22457")</f>
        <v>22457</v>
      </c>
      <c r="F161" s="6" t="str">
        <f t="shared" si="3"/>
        <v>Product</v>
      </c>
      <c r="G161" s="1" t="s">
        <v>166</v>
      </c>
      <c r="H161" s="6" t="str">
        <f>IFERROR(__xludf.DUMMYFUNCTION("IF(REGEXMATCH(LOWER(G161), ""^(\?)+\s*(missing)?\s*(\?)*$""), """", PROPER(SUBSTITUTE(SUBSTITUTE(G161, ""?"", """"), ""*"", """")))"),"Natural Slate Heart Chalkboard")</f>
        <v>Natural Slate Heart Chalkboard</v>
      </c>
      <c r="I161" s="3">
        <v>12.0</v>
      </c>
      <c r="J161" s="7">
        <v>40513.41180555556</v>
      </c>
      <c r="K161" s="8" t="str">
        <f t="shared" si="4"/>
        <v>2010-12</v>
      </c>
      <c r="L161" s="5">
        <v>2.95</v>
      </c>
      <c r="M161" s="3">
        <v>18074.0</v>
      </c>
      <c r="N161" s="1" t="str">
        <f t="shared" si="5"/>
        <v>Registered</v>
      </c>
      <c r="O161" s="1" t="s">
        <v>19</v>
      </c>
      <c r="P161" s="9" t="str">
        <f t="shared" si="6"/>
        <v>UK</v>
      </c>
      <c r="Q161" s="8">
        <f t="shared" si="7"/>
        <v>35.4</v>
      </c>
    </row>
    <row r="162">
      <c r="A162" s="1">
        <v>536384.0</v>
      </c>
      <c r="B162" s="1" t="str">
        <f t="shared" si="1"/>
        <v>536384</v>
      </c>
      <c r="C162" s="1" t="str">
        <f t="shared" si="2"/>
        <v>Sale</v>
      </c>
      <c r="D162" s="1">
        <v>22469.0</v>
      </c>
      <c r="E162" s="1" t="str">
        <f>IFERROR(__xludf.DUMMYFUNCTION("IF(LEN(D162)&gt;4, IFERROR(REGEXEXTRACT(TO_TEXT(D162),""\d+""),""""),"""")"),"22469")</f>
        <v>22469</v>
      </c>
      <c r="F162" s="6" t="str">
        <f t="shared" si="3"/>
        <v>Product</v>
      </c>
      <c r="G162" s="1" t="s">
        <v>167</v>
      </c>
      <c r="H162" s="6" t="str">
        <f>IFERROR(__xludf.DUMMYFUNCTION("IF(REGEXMATCH(LOWER(G162), ""^(\?)+\s*(missing)?\s*(\?)*$""), """", PROPER(SUBSTITUTE(SUBSTITUTE(G162, ""?"", """"), ""*"", """")))"),"Heart Of Wicker Small")</f>
        <v>Heart Of Wicker Small</v>
      </c>
      <c r="I162" s="3">
        <v>40.0</v>
      </c>
      <c r="J162" s="7">
        <v>40513.41180555556</v>
      </c>
      <c r="K162" s="8" t="str">
        <f t="shared" si="4"/>
        <v>2010-12</v>
      </c>
      <c r="L162" s="5">
        <v>1.45</v>
      </c>
      <c r="M162" s="3">
        <v>18074.0</v>
      </c>
      <c r="N162" s="1" t="str">
        <f t="shared" si="5"/>
        <v>Registered</v>
      </c>
      <c r="O162" s="1" t="s">
        <v>19</v>
      </c>
      <c r="P162" s="9" t="str">
        <f t="shared" si="6"/>
        <v>UK</v>
      </c>
      <c r="Q162" s="8">
        <f t="shared" si="7"/>
        <v>58</v>
      </c>
    </row>
    <row r="163">
      <c r="A163" s="1">
        <v>536384.0</v>
      </c>
      <c r="B163" s="1" t="str">
        <f t="shared" si="1"/>
        <v>536384</v>
      </c>
      <c r="C163" s="1" t="str">
        <f t="shared" si="2"/>
        <v>Sale</v>
      </c>
      <c r="D163" s="1">
        <v>22470.0</v>
      </c>
      <c r="E163" s="1" t="str">
        <f>IFERROR(__xludf.DUMMYFUNCTION("IF(LEN(D163)&gt;4, IFERROR(REGEXEXTRACT(TO_TEXT(D163),""\d+""),""""),"""")"),"22470")</f>
        <v>22470</v>
      </c>
      <c r="F163" s="6" t="str">
        <f t="shared" si="3"/>
        <v>Product</v>
      </c>
      <c r="G163" s="1" t="s">
        <v>168</v>
      </c>
      <c r="H163" s="6" t="str">
        <f>IFERROR(__xludf.DUMMYFUNCTION("IF(REGEXMATCH(LOWER(G163), ""^(\?)+\s*(missing)?\s*(\?)*$""), """", PROPER(SUBSTITUTE(SUBSTITUTE(G163, ""?"", """"), ""*"", """")))"),"Heart Of Wicker Large")</f>
        <v>Heart Of Wicker Large</v>
      </c>
      <c r="I163" s="3">
        <v>40.0</v>
      </c>
      <c r="J163" s="7">
        <v>40513.41180555556</v>
      </c>
      <c r="K163" s="8" t="str">
        <f t="shared" si="4"/>
        <v>2010-12</v>
      </c>
      <c r="L163" s="5">
        <v>2.55</v>
      </c>
      <c r="M163" s="3">
        <v>18074.0</v>
      </c>
      <c r="N163" s="1" t="str">
        <f t="shared" si="5"/>
        <v>Registered</v>
      </c>
      <c r="O163" s="1" t="s">
        <v>19</v>
      </c>
      <c r="P163" s="9" t="str">
        <f t="shared" si="6"/>
        <v>UK</v>
      </c>
      <c r="Q163" s="8">
        <f t="shared" si="7"/>
        <v>102</v>
      </c>
    </row>
    <row r="164">
      <c r="A164" s="1">
        <v>536384.0</v>
      </c>
      <c r="B164" s="1" t="str">
        <f t="shared" si="1"/>
        <v>536384</v>
      </c>
      <c r="C164" s="1" t="str">
        <f t="shared" si="2"/>
        <v>Sale</v>
      </c>
      <c r="D164" s="1">
        <v>22224.0</v>
      </c>
      <c r="E164" s="1" t="str">
        <f>IFERROR(__xludf.DUMMYFUNCTION("IF(LEN(D164)&gt;4, IFERROR(REGEXEXTRACT(TO_TEXT(D164),""\d+""),""""),"""")"),"22224")</f>
        <v>22224</v>
      </c>
      <c r="F164" s="6" t="str">
        <f t="shared" si="3"/>
        <v>Product</v>
      </c>
      <c r="G164" s="1" t="s">
        <v>169</v>
      </c>
      <c r="H164" s="6" t="str">
        <f>IFERROR(__xludf.DUMMYFUNCTION("IF(REGEXMATCH(LOWER(G164), ""^(\?)+\s*(missing)?\s*(\?)*$""), """", PROPER(SUBSTITUTE(SUBSTITUTE(G164, ""?"", """"), ""*"", """")))"),"White Lovebird Lantern")</f>
        <v>White Lovebird Lantern</v>
      </c>
      <c r="I164" s="3">
        <v>6.0</v>
      </c>
      <c r="J164" s="7">
        <v>40513.41180555556</v>
      </c>
      <c r="K164" s="8" t="str">
        <f t="shared" si="4"/>
        <v>2010-12</v>
      </c>
      <c r="L164" s="5">
        <v>2.95</v>
      </c>
      <c r="M164" s="3">
        <v>18074.0</v>
      </c>
      <c r="N164" s="1" t="str">
        <f t="shared" si="5"/>
        <v>Registered</v>
      </c>
      <c r="O164" s="1" t="s">
        <v>19</v>
      </c>
      <c r="P164" s="9" t="str">
        <f t="shared" si="6"/>
        <v>UK</v>
      </c>
      <c r="Q164" s="8">
        <f t="shared" si="7"/>
        <v>17.7</v>
      </c>
    </row>
    <row r="165">
      <c r="A165" s="1">
        <v>536384.0</v>
      </c>
      <c r="B165" s="1" t="str">
        <f t="shared" si="1"/>
        <v>536384</v>
      </c>
      <c r="C165" s="1" t="str">
        <f t="shared" si="2"/>
        <v>Sale</v>
      </c>
      <c r="D165" s="1">
        <v>21340.0</v>
      </c>
      <c r="E165" s="1" t="str">
        <f>IFERROR(__xludf.DUMMYFUNCTION("IF(LEN(D165)&gt;4, IFERROR(REGEXEXTRACT(TO_TEXT(D165),""\d+""),""""),"""")"),"21340")</f>
        <v>21340</v>
      </c>
      <c r="F165" s="6" t="str">
        <f t="shared" si="3"/>
        <v>Product</v>
      </c>
      <c r="G165" s="1" t="s">
        <v>170</v>
      </c>
      <c r="H165" s="6" t="str">
        <f>IFERROR(__xludf.DUMMYFUNCTION("IF(REGEXMATCH(LOWER(G165), ""^(\?)+\s*(missing)?\s*(\?)*$""), """", PROPER(SUBSTITUTE(SUBSTITUTE(G165, ""?"", """"), ""*"", """")))"),"Classic Metal Birdcage Plant Holder")</f>
        <v>Classic Metal Birdcage Plant Holder</v>
      </c>
      <c r="I165" s="3">
        <v>2.0</v>
      </c>
      <c r="J165" s="7">
        <v>40513.41180555556</v>
      </c>
      <c r="K165" s="8" t="str">
        <f t="shared" si="4"/>
        <v>2010-12</v>
      </c>
      <c r="L165" s="5">
        <v>12.75</v>
      </c>
      <c r="M165" s="3">
        <v>18074.0</v>
      </c>
      <c r="N165" s="1" t="str">
        <f t="shared" si="5"/>
        <v>Registered</v>
      </c>
      <c r="O165" s="1" t="s">
        <v>19</v>
      </c>
      <c r="P165" s="9" t="str">
        <f t="shared" si="6"/>
        <v>UK</v>
      </c>
      <c r="Q165" s="8">
        <f t="shared" si="7"/>
        <v>25.5</v>
      </c>
    </row>
    <row r="166">
      <c r="A166" s="1">
        <v>536384.0</v>
      </c>
      <c r="B166" s="1" t="str">
        <f t="shared" si="1"/>
        <v>536384</v>
      </c>
      <c r="C166" s="1" t="str">
        <f t="shared" si="2"/>
        <v>Sale</v>
      </c>
      <c r="D166" s="1">
        <v>22189.0</v>
      </c>
      <c r="E166" s="1" t="str">
        <f>IFERROR(__xludf.DUMMYFUNCTION("IF(LEN(D166)&gt;4, IFERROR(REGEXEXTRACT(TO_TEXT(D166),""\d+""),""""),"""")"),"22189")</f>
        <v>22189</v>
      </c>
      <c r="F166" s="6" t="str">
        <f t="shared" si="3"/>
        <v>Product</v>
      </c>
      <c r="G166" s="1" t="s">
        <v>171</v>
      </c>
      <c r="H166" s="6" t="str">
        <f>IFERROR(__xludf.DUMMYFUNCTION("IF(REGEXMATCH(LOWER(G166), ""^(\?)+\s*(missing)?\s*(\?)*$""), """", PROPER(SUBSTITUTE(SUBSTITUTE(G166, ""?"", """"), ""*"", """")))"),"Cream Heart Card Holder")</f>
        <v>Cream Heart Card Holder</v>
      </c>
      <c r="I166" s="3">
        <v>4.0</v>
      </c>
      <c r="J166" s="7">
        <v>40513.41180555556</v>
      </c>
      <c r="K166" s="8" t="str">
        <f t="shared" si="4"/>
        <v>2010-12</v>
      </c>
      <c r="L166" s="5">
        <v>3.95</v>
      </c>
      <c r="M166" s="3">
        <v>18074.0</v>
      </c>
      <c r="N166" s="1" t="str">
        <f t="shared" si="5"/>
        <v>Registered</v>
      </c>
      <c r="O166" s="1" t="s">
        <v>19</v>
      </c>
      <c r="P166" s="9" t="str">
        <f t="shared" si="6"/>
        <v>UK</v>
      </c>
      <c r="Q166" s="8">
        <f t="shared" si="7"/>
        <v>15.8</v>
      </c>
    </row>
    <row r="167">
      <c r="A167" s="1">
        <v>536384.0</v>
      </c>
      <c r="B167" s="1" t="str">
        <f t="shared" si="1"/>
        <v>536384</v>
      </c>
      <c r="C167" s="1" t="str">
        <f t="shared" si="2"/>
        <v>Sale</v>
      </c>
      <c r="D167" s="1">
        <v>22427.0</v>
      </c>
      <c r="E167" s="1" t="str">
        <f>IFERROR(__xludf.DUMMYFUNCTION("IF(LEN(D167)&gt;4, IFERROR(REGEXEXTRACT(TO_TEXT(D167),""\d+""),""""),"""")"),"22427")</f>
        <v>22427</v>
      </c>
      <c r="F167" s="6" t="str">
        <f t="shared" si="3"/>
        <v>Product</v>
      </c>
      <c r="G167" s="1" t="s">
        <v>172</v>
      </c>
      <c r="H167" s="6" t="str">
        <f>IFERROR(__xludf.DUMMYFUNCTION("IF(REGEXMATCH(LOWER(G167), ""^(\?)+\s*(missing)?\s*(\?)*$""), """", PROPER(SUBSTITUTE(SUBSTITUTE(G167, ""?"", """"), ""*"", """")))"),"Enamel Flower Jug Cream")</f>
        <v>Enamel Flower Jug Cream</v>
      </c>
      <c r="I167" s="3">
        <v>3.0</v>
      </c>
      <c r="J167" s="7">
        <v>40513.41180555556</v>
      </c>
      <c r="K167" s="8" t="str">
        <f t="shared" si="4"/>
        <v>2010-12</v>
      </c>
      <c r="L167" s="5">
        <v>5.95</v>
      </c>
      <c r="M167" s="3">
        <v>18074.0</v>
      </c>
      <c r="N167" s="1" t="str">
        <f t="shared" si="5"/>
        <v>Registered</v>
      </c>
      <c r="O167" s="1" t="s">
        <v>19</v>
      </c>
      <c r="P167" s="9" t="str">
        <f t="shared" si="6"/>
        <v>UK</v>
      </c>
      <c r="Q167" s="8">
        <f t="shared" si="7"/>
        <v>17.85</v>
      </c>
    </row>
    <row r="168">
      <c r="A168" s="1">
        <v>536384.0</v>
      </c>
      <c r="B168" s="1" t="str">
        <f t="shared" si="1"/>
        <v>536384</v>
      </c>
      <c r="C168" s="1" t="str">
        <f t="shared" si="2"/>
        <v>Sale</v>
      </c>
      <c r="D168" s="1">
        <v>22428.0</v>
      </c>
      <c r="E168" s="1" t="str">
        <f>IFERROR(__xludf.DUMMYFUNCTION("IF(LEN(D168)&gt;4, IFERROR(REGEXEXTRACT(TO_TEXT(D168),""\d+""),""""),"""")"),"22428")</f>
        <v>22428</v>
      </c>
      <c r="F168" s="6" t="str">
        <f t="shared" si="3"/>
        <v>Product</v>
      </c>
      <c r="G168" s="1" t="s">
        <v>173</v>
      </c>
      <c r="H168" s="6" t="str">
        <f>IFERROR(__xludf.DUMMYFUNCTION("IF(REGEXMATCH(LOWER(G168), ""^(\?)+\s*(missing)?\s*(\?)*$""), """", PROPER(SUBSTITUTE(SUBSTITUTE(G168, ""?"", """"), ""*"", """")))"),"Enamel Fire Bucket Cream")</f>
        <v>Enamel Fire Bucket Cream</v>
      </c>
      <c r="I168" s="3">
        <v>6.0</v>
      </c>
      <c r="J168" s="7">
        <v>40513.41180555556</v>
      </c>
      <c r="K168" s="8" t="str">
        <f t="shared" si="4"/>
        <v>2010-12</v>
      </c>
      <c r="L168" s="5">
        <v>6.95</v>
      </c>
      <c r="M168" s="3">
        <v>18074.0</v>
      </c>
      <c r="N168" s="1" t="str">
        <f t="shared" si="5"/>
        <v>Registered</v>
      </c>
      <c r="O168" s="1" t="s">
        <v>19</v>
      </c>
      <c r="P168" s="9" t="str">
        <f t="shared" si="6"/>
        <v>UK</v>
      </c>
      <c r="Q168" s="8">
        <f t="shared" si="7"/>
        <v>41.7</v>
      </c>
    </row>
    <row r="169">
      <c r="A169" s="1">
        <v>536384.0</v>
      </c>
      <c r="B169" s="1" t="str">
        <f t="shared" si="1"/>
        <v>536384</v>
      </c>
      <c r="C169" s="1" t="str">
        <f t="shared" si="2"/>
        <v>Sale</v>
      </c>
      <c r="D169" s="1">
        <v>22424.0</v>
      </c>
      <c r="E169" s="1" t="str">
        <f>IFERROR(__xludf.DUMMYFUNCTION("IF(LEN(D169)&gt;4, IFERROR(REGEXEXTRACT(TO_TEXT(D169),""\d+""),""""),"""")"),"22424")</f>
        <v>22424</v>
      </c>
      <c r="F169" s="6" t="str">
        <f t="shared" si="3"/>
        <v>Product</v>
      </c>
      <c r="G169" s="1" t="s">
        <v>174</v>
      </c>
      <c r="H169" s="6" t="str">
        <f>IFERROR(__xludf.DUMMYFUNCTION("IF(REGEXMATCH(LOWER(G169), ""^(\?)+\s*(missing)?\s*(\?)*$""), """", PROPER(SUBSTITUTE(SUBSTITUTE(G169, ""?"", """"), ""*"", """")))"),"Enamel Bread Bin Cream")</f>
        <v>Enamel Bread Bin Cream</v>
      </c>
      <c r="I169" s="3">
        <v>8.0</v>
      </c>
      <c r="J169" s="7">
        <v>40513.41180555556</v>
      </c>
      <c r="K169" s="8" t="str">
        <f t="shared" si="4"/>
        <v>2010-12</v>
      </c>
      <c r="L169" s="5">
        <v>10.95</v>
      </c>
      <c r="M169" s="3">
        <v>18074.0</v>
      </c>
      <c r="N169" s="1" t="str">
        <f t="shared" si="5"/>
        <v>Registered</v>
      </c>
      <c r="O169" s="1" t="s">
        <v>19</v>
      </c>
      <c r="P169" s="9" t="str">
        <f t="shared" si="6"/>
        <v>UK</v>
      </c>
      <c r="Q169" s="8">
        <f t="shared" si="7"/>
        <v>87.6</v>
      </c>
    </row>
    <row r="170">
      <c r="A170" s="1">
        <v>536385.0</v>
      </c>
      <c r="B170" s="1" t="str">
        <f t="shared" si="1"/>
        <v>536385</v>
      </c>
      <c r="C170" s="1" t="str">
        <f t="shared" si="2"/>
        <v>Sale</v>
      </c>
      <c r="D170" s="1">
        <v>22783.0</v>
      </c>
      <c r="E170" s="1" t="str">
        <f>IFERROR(__xludf.DUMMYFUNCTION("IF(LEN(D170)&gt;4, IFERROR(REGEXEXTRACT(TO_TEXT(D170),""\d+""),""""),"""")"),"22783")</f>
        <v>22783</v>
      </c>
      <c r="F170" s="6" t="str">
        <f t="shared" si="3"/>
        <v>Product</v>
      </c>
      <c r="G170" s="1" t="s">
        <v>158</v>
      </c>
      <c r="H170" s="6" t="str">
        <f>IFERROR(__xludf.DUMMYFUNCTION("IF(REGEXMATCH(LOWER(G170), ""^(\?)+\s*(missing)?\s*(\?)*$""), """", PROPER(SUBSTITUTE(SUBSTITUTE(G170, ""?"", """"), ""*"", """")))"),"Set 3 Wicker Oval Baskets W Lids")</f>
        <v>Set 3 Wicker Oval Baskets W Lids</v>
      </c>
      <c r="I170" s="3">
        <v>1.0</v>
      </c>
      <c r="J170" s="7">
        <v>40513.41388888889</v>
      </c>
      <c r="K170" s="8" t="str">
        <f t="shared" si="4"/>
        <v>2010-12</v>
      </c>
      <c r="L170" s="5">
        <v>19.95</v>
      </c>
      <c r="M170" s="3">
        <v>17420.0</v>
      </c>
      <c r="N170" s="1" t="str">
        <f t="shared" si="5"/>
        <v>Registered</v>
      </c>
      <c r="O170" s="1" t="s">
        <v>19</v>
      </c>
      <c r="P170" s="9" t="str">
        <f t="shared" si="6"/>
        <v>UK</v>
      </c>
      <c r="Q170" s="8">
        <f t="shared" si="7"/>
        <v>19.95</v>
      </c>
    </row>
    <row r="171">
      <c r="A171" s="1">
        <v>536385.0</v>
      </c>
      <c r="B171" s="1" t="str">
        <f t="shared" si="1"/>
        <v>536385</v>
      </c>
      <c r="C171" s="1" t="str">
        <f t="shared" si="2"/>
        <v>Sale</v>
      </c>
      <c r="D171" s="1">
        <v>22961.0</v>
      </c>
      <c r="E171" s="1" t="str">
        <f>IFERROR(__xludf.DUMMYFUNCTION("IF(LEN(D171)&gt;4, IFERROR(REGEXEXTRACT(TO_TEXT(D171),""\d+""),""""),"""")"),"22961")</f>
        <v>22961</v>
      </c>
      <c r="F171" s="6" t="str">
        <f t="shared" si="3"/>
        <v>Product</v>
      </c>
      <c r="G171" s="1" t="s">
        <v>109</v>
      </c>
      <c r="H171" s="6" t="str">
        <f>IFERROR(__xludf.DUMMYFUNCTION("IF(REGEXMATCH(LOWER(G171), ""^(\?)+\s*(missing)?\s*(\?)*$""), """", PROPER(SUBSTITUTE(SUBSTITUTE(G171, ""?"", """"), ""*"", """")))"),"Jam Making Set Printed")</f>
        <v>Jam Making Set Printed</v>
      </c>
      <c r="I171" s="3">
        <v>12.0</v>
      </c>
      <c r="J171" s="7">
        <v>40513.41388888889</v>
      </c>
      <c r="K171" s="8" t="str">
        <f t="shared" si="4"/>
        <v>2010-12</v>
      </c>
      <c r="L171" s="5">
        <v>1.45</v>
      </c>
      <c r="M171" s="3">
        <v>17420.0</v>
      </c>
      <c r="N171" s="1" t="str">
        <f t="shared" si="5"/>
        <v>Registered</v>
      </c>
      <c r="O171" s="1" t="s">
        <v>19</v>
      </c>
      <c r="P171" s="9" t="str">
        <f t="shared" si="6"/>
        <v>UK</v>
      </c>
      <c r="Q171" s="8">
        <f t="shared" si="7"/>
        <v>17.4</v>
      </c>
    </row>
    <row r="172">
      <c r="A172" s="1">
        <v>536385.0</v>
      </c>
      <c r="B172" s="1" t="str">
        <f t="shared" si="1"/>
        <v>536385</v>
      </c>
      <c r="C172" s="1" t="str">
        <f t="shared" si="2"/>
        <v>Sale</v>
      </c>
      <c r="D172" s="1">
        <v>22960.0</v>
      </c>
      <c r="E172" s="1" t="str">
        <f>IFERROR(__xludf.DUMMYFUNCTION("IF(LEN(D172)&gt;4, IFERROR(REGEXEXTRACT(TO_TEXT(D172),""\d+""),""""),"""")"),"22960")</f>
        <v>22960</v>
      </c>
      <c r="F172" s="6" t="str">
        <f t="shared" si="3"/>
        <v>Product</v>
      </c>
      <c r="G172" s="1" t="s">
        <v>43</v>
      </c>
      <c r="H172" s="6" t="str">
        <f>IFERROR(__xludf.DUMMYFUNCTION("IF(REGEXMATCH(LOWER(G172), ""^(\?)+\s*(missing)?\s*(\?)*$""), """", PROPER(SUBSTITUTE(SUBSTITUTE(G172, ""?"", """"), ""*"", """")))"),"Jam Making Set With Jars")</f>
        <v>Jam Making Set With Jars</v>
      </c>
      <c r="I172" s="3">
        <v>6.0</v>
      </c>
      <c r="J172" s="7">
        <v>40513.41388888889</v>
      </c>
      <c r="K172" s="8" t="str">
        <f t="shared" si="4"/>
        <v>2010-12</v>
      </c>
      <c r="L172" s="5">
        <v>4.25</v>
      </c>
      <c r="M172" s="3">
        <v>17420.0</v>
      </c>
      <c r="N172" s="1" t="str">
        <f t="shared" si="5"/>
        <v>Registered</v>
      </c>
      <c r="O172" s="1" t="s">
        <v>19</v>
      </c>
      <c r="P172" s="9" t="str">
        <f t="shared" si="6"/>
        <v>UK</v>
      </c>
      <c r="Q172" s="8">
        <f t="shared" si="7"/>
        <v>25.5</v>
      </c>
    </row>
    <row r="173">
      <c r="A173" s="1">
        <v>536385.0</v>
      </c>
      <c r="B173" s="1" t="str">
        <f t="shared" si="1"/>
        <v>536385</v>
      </c>
      <c r="C173" s="1" t="str">
        <f t="shared" si="2"/>
        <v>Sale</v>
      </c>
      <c r="D173" s="1">
        <v>22663.0</v>
      </c>
      <c r="E173" s="1" t="str">
        <f>IFERROR(__xludf.DUMMYFUNCTION("IF(LEN(D173)&gt;4, IFERROR(REGEXEXTRACT(TO_TEXT(D173),""\d+""),""""),"""")"),"22663")</f>
        <v>22663</v>
      </c>
      <c r="F173" s="6" t="str">
        <f t="shared" si="3"/>
        <v>Product</v>
      </c>
      <c r="G173" s="1" t="s">
        <v>175</v>
      </c>
      <c r="H173" s="6" t="str">
        <f>IFERROR(__xludf.DUMMYFUNCTION("IF(REGEXMATCH(LOWER(G173), ""^(\?)+\s*(missing)?\s*(\?)*$""), """", PROPER(SUBSTITUTE(SUBSTITUTE(G173, ""?"", """"), ""*"", """")))"),"Jumbo Bag Dolly Girl Design")</f>
        <v>Jumbo Bag Dolly Girl Design</v>
      </c>
      <c r="I173" s="3">
        <v>10.0</v>
      </c>
      <c r="J173" s="7">
        <v>40513.41388888889</v>
      </c>
      <c r="K173" s="8" t="str">
        <f t="shared" si="4"/>
        <v>2010-12</v>
      </c>
      <c r="L173" s="5">
        <v>1.95</v>
      </c>
      <c r="M173" s="3">
        <v>17420.0</v>
      </c>
      <c r="N173" s="1" t="str">
        <f t="shared" si="5"/>
        <v>Registered</v>
      </c>
      <c r="O173" s="1" t="s">
        <v>19</v>
      </c>
      <c r="P173" s="9" t="str">
        <f t="shared" si="6"/>
        <v>UK</v>
      </c>
      <c r="Q173" s="8">
        <f t="shared" si="7"/>
        <v>19.5</v>
      </c>
    </row>
    <row r="174">
      <c r="A174" s="1">
        <v>536385.0</v>
      </c>
      <c r="B174" s="1" t="str">
        <f t="shared" si="1"/>
        <v>536385</v>
      </c>
      <c r="C174" s="1" t="str">
        <f t="shared" si="2"/>
        <v>Sale</v>
      </c>
      <c r="D174" s="1" t="s">
        <v>176</v>
      </c>
      <c r="E174" s="1" t="str">
        <f>IFERROR(__xludf.DUMMYFUNCTION("IF(LEN(D174)&gt;4, IFERROR(REGEXEXTRACT(TO_TEXT(D174),""\d+""),""""),"""")"),"85049")</f>
        <v>85049</v>
      </c>
      <c r="F174" s="6" t="str">
        <f t="shared" si="3"/>
        <v>Product</v>
      </c>
      <c r="G174" s="1" t="s">
        <v>177</v>
      </c>
      <c r="H174" s="6" t="str">
        <f>IFERROR(__xludf.DUMMYFUNCTION("IF(REGEXMATCH(LOWER(G174), ""^(\?)+\s*(missing)?\s*(\?)*$""), """", PROPER(SUBSTITUTE(SUBSTITUTE(G174, ""?"", """"), ""*"", """")))"),"Traditional Christmas Ribbons")</f>
        <v>Traditional Christmas Ribbons</v>
      </c>
      <c r="I174" s="3">
        <v>12.0</v>
      </c>
      <c r="J174" s="7">
        <v>40513.41388888889</v>
      </c>
      <c r="K174" s="8" t="str">
        <f t="shared" si="4"/>
        <v>2010-12</v>
      </c>
      <c r="L174" s="5">
        <v>1.25</v>
      </c>
      <c r="M174" s="3">
        <v>17420.0</v>
      </c>
      <c r="N174" s="1" t="str">
        <f t="shared" si="5"/>
        <v>Registered</v>
      </c>
      <c r="O174" s="1" t="s">
        <v>19</v>
      </c>
      <c r="P174" s="9" t="str">
        <f t="shared" si="6"/>
        <v>UK</v>
      </c>
      <c r="Q174" s="8">
        <f t="shared" si="7"/>
        <v>15</v>
      </c>
    </row>
    <row r="175">
      <c r="A175" s="1">
        <v>536385.0</v>
      </c>
      <c r="B175" s="1" t="str">
        <f t="shared" si="1"/>
        <v>536385</v>
      </c>
      <c r="C175" s="1" t="str">
        <f t="shared" si="2"/>
        <v>Sale</v>
      </c>
      <c r="D175" s="1">
        <v>22168.0</v>
      </c>
      <c r="E175" s="1" t="str">
        <f>IFERROR(__xludf.DUMMYFUNCTION("IF(LEN(D175)&gt;4, IFERROR(REGEXEXTRACT(TO_TEXT(D175),""\d+""),""""),"""")"),"22168")</f>
        <v>22168</v>
      </c>
      <c r="F175" s="6" t="str">
        <f t="shared" si="3"/>
        <v>Product</v>
      </c>
      <c r="G175" s="1" t="s">
        <v>178</v>
      </c>
      <c r="H175" s="6" t="str">
        <f>IFERROR(__xludf.DUMMYFUNCTION("IF(REGEXMATCH(LOWER(G175), ""^(\?)+\s*(missing)?\s*(\?)*$""), """", PROPER(SUBSTITUTE(SUBSTITUTE(G175, ""?"", """"), ""*"", """")))"),"Organiser Wood Antique White")</f>
        <v>Organiser Wood Antique White</v>
      </c>
      <c r="I175" s="3">
        <v>2.0</v>
      </c>
      <c r="J175" s="7">
        <v>40513.41388888889</v>
      </c>
      <c r="K175" s="8" t="str">
        <f t="shared" si="4"/>
        <v>2010-12</v>
      </c>
      <c r="L175" s="5">
        <v>8.5</v>
      </c>
      <c r="M175" s="3">
        <v>17420.0</v>
      </c>
      <c r="N175" s="1" t="str">
        <f t="shared" si="5"/>
        <v>Registered</v>
      </c>
      <c r="O175" s="1" t="s">
        <v>19</v>
      </c>
      <c r="P175" s="9" t="str">
        <f t="shared" si="6"/>
        <v>UK</v>
      </c>
      <c r="Q175" s="8">
        <f t="shared" si="7"/>
        <v>17</v>
      </c>
    </row>
    <row r="176">
      <c r="A176" s="1">
        <v>536385.0</v>
      </c>
      <c r="B176" s="1" t="str">
        <f t="shared" si="1"/>
        <v>536385</v>
      </c>
      <c r="C176" s="1" t="str">
        <f t="shared" si="2"/>
        <v>Sale</v>
      </c>
      <c r="D176" s="1">
        <v>22662.0</v>
      </c>
      <c r="E176" s="1" t="str">
        <f>IFERROR(__xludf.DUMMYFUNCTION("IF(LEN(D176)&gt;4, IFERROR(REGEXEXTRACT(TO_TEXT(D176),""\d+""),""""),"""")"),"22662")</f>
        <v>22662</v>
      </c>
      <c r="F176" s="6" t="str">
        <f t="shared" si="3"/>
        <v>Product</v>
      </c>
      <c r="G176" s="1" t="s">
        <v>179</v>
      </c>
      <c r="H176" s="6" t="str">
        <f>IFERROR(__xludf.DUMMYFUNCTION("IF(REGEXMATCH(LOWER(G176), ""^(\?)+\s*(missing)?\s*(\?)*$""), """", PROPER(SUBSTITUTE(SUBSTITUTE(G176, ""?"", """"), ""*"", """")))"),"Lunch Bag Dolly Girl Design")</f>
        <v>Lunch Bag Dolly Girl Design</v>
      </c>
      <c r="I176" s="3">
        <v>10.0</v>
      </c>
      <c r="J176" s="7">
        <v>40513.41388888889</v>
      </c>
      <c r="K176" s="8" t="str">
        <f t="shared" si="4"/>
        <v>2010-12</v>
      </c>
      <c r="L176" s="5">
        <v>1.65</v>
      </c>
      <c r="M176" s="3">
        <v>17420.0</v>
      </c>
      <c r="N176" s="1" t="str">
        <f t="shared" si="5"/>
        <v>Registered</v>
      </c>
      <c r="O176" s="1" t="s">
        <v>19</v>
      </c>
      <c r="P176" s="9" t="str">
        <f t="shared" si="6"/>
        <v>UK</v>
      </c>
      <c r="Q176" s="8">
        <f t="shared" si="7"/>
        <v>16.5</v>
      </c>
    </row>
    <row r="177">
      <c r="A177" s="1">
        <v>536386.0</v>
      </c>
      <c r="B177" s="1" t="str">
        <f t="shared" si="1"/>
        <v>536386</v>
      </c>
      <c r="C177" s="1" t="str">
        <f t="shared" si="2"/>
        <v>Sale</v>
      </c>
      <c r="D177" s="1">
        <v>84880.0</v>
      </c>
      <c r="E177" s="1" t="str">
        <f>IFERROR(__xludf.DUMMYFUNCTION("IF(LEN(D177)&gt;4, IFERROR(REGEXEXTRACT(TO_TEXT(D177),""\d+""),""""),"""")"),"84880")</f>
        <v>84880</v>
      </c>
      <c r="F177" s="6" t="str">
        <f t="shared" si="3"/>
        <v>Product</v>
      </c>
      <c r="G177" s="1" t="s">
        <v>180</v>
      </c>
      <c r="H177" s="6" t="str">
        <f>IFERROR(__xludf.DUMMYFUNCTION("IF(REGEXMATCH(LOWER(G177), ""^(\?)+\s*(missing)?\s*(\?)*$""), """", PROPER(SUBSTITUTE(SUBSTITUTE(G177, ""?"", """"), ""*"", """")))"),"White Wire Egg Holder")</f>
        <v>White Wire Egg Holder</v>
      </c>
      <c r="I177" s="3">
        <v>36.0</v>
      </c>
      <c r="J177" s="7">
        <v>40513.41458333333</v>
      </c>
      <c r="K177" s="8" t="str">
        <f t="shared" si="4"/>
        <v>2010-12</v>
      </c>
      <c r="L177" s="5">
        <v>4.95</v>
      </c>
      <c r="M177" s="3">
        <v>16029.0</v>
      </c>
      <c r="N177" s="1" t="str">
        <f t="shared" si="5"/>
        <v>Registered</v>
      </c>
      <c r="O177" s="1" t="s">
        <v>19</v>
      </c>
      <c r="P177" s="9" t="str">
        <f t="shared" si="6"/>
        <v>UK</v>
      </c>
      <c r="Q177" s="8">
        <f t="shared" si="7"/>
        <v>178.2</v>
      </c>
    </row>
    <row r="178">
      <c r="A178" s="1">
        <v>536386.0</v>
      </c>
      <c r="B178" s="1" t="str">
        <f t="shared" si="1"/>
        <v>536386</v>
      </c>
      <c r="C178" s="1" t="str">
        <f t="shared" si="2"/>
        <v>Sale</v>
      </c>
      <c r="D178" s="1" t="s">
        <v>85</v>
      </c>
      <c r="E178" s="1" t="str">
        <f>IFERROR(__xludf.DUMMYFUNCTION("IF(LEN(D178)&gt;4, IFERROR(REGEXEXTRACT(TO_TEXT(D178),""\d+""),""""),"""")"),"85099")</f>
        <v>85099</v>
      </c>
      <c r="F178" s="6" t="str">
        <f t="shared" si="3"/>
        <v>Product</v>
      </c>
      <c r="G178" s="1" t="s">
        <v>86</v>
      </c>
      <c r="H178" s="6" t="str">
        <f>IFERROR(__xludf.DUMMYFUNCTION("IF(REGEXMATCH(LOWER(G178), ""^(\?)+\s*(missing)?\s*(\?)*$""), """", PROPER(SUBSTITUTE(SUBSTITUTE(G178, ""?"", """"), ""*"", """")))"),"Jumbo Bag Baroque Black White")</f>
        <v>Jumbo Bag Baroque Black White</v>
      </c>
      <c r="I178" s="3">
        <v>100.0</v>
      </c>
      <c r="J178" s="7">
        <v>40513.41458333333</v>
      </c>
      <c r="K178" s="8" t="str">
        <f t="shared" si="4"/>
        <v>2010-12</v>
      </c>
      <c r="L178" s="5">
        <v>1.65</v>
      </c>
      <c r="M178" s="3">
        <v>16029.0</v>
      </c>
      <c r="N178" s="1" t="str">
        <f t="shared" si="5"/>
        <v>Registered</v>
      </c>
      <c r="O178" s="1" t="s">
        <v>19</v>
      </c>
      <c r="P178" s="9" t="str">
        <f t="shared" si="6"/>
        <v>UK</v>
      </c>
      <c r="Q178" s="8">
        <f t="shared" si="7"/>
        <v>165</v>
      </c>
    </row>
    <row r="179">
      <c r="A179" s="1">
        <v>536386.0</v>
      </c>
      <c r="B179" s="1" t="str">
        <f t="shared" si="1"/>
        <v>536386</v>
      </c>
      <c r="C179" s="1" t="str">
        <f t="shared" si="2"/>
        <v>Sale</v>
      </c>
      <c r="D179" s="1" t="s">
        <v>181</v>
      </c>
      <c r="E179" s="1" t="str">
        <f>IFERROR(__xludf.DUMMYFUNCTION("IF(LEN(D179)&gt;4, IFERROR(REGEXEXTRACT(TO_TEXT(D179),""\d+""),""""),"""")"),"85099")</f>
        <v>85099</v>
      </c>
      <c r="F179" s="6" t="str">
        <f t="shared" si="3"/>
        <v>Product</v>
      </c>
      <c r="G179" s="1" t="s">
        <v>182</v>
      </c>
      <c r="H179" s="6" t="str">
        <f>IFERROR(__xludf.DUMMYFUNCTION("IF(REGEXMATCH(LOWER(G179), ""^(\?)+\s*(missing)?\s*(\?)*$""), """", PROPER(SUBSTITUTE(SUBSTITUTE(G179, ""?"", """"), ""*"", """")))"),"Jumbo Bag Red Retrospot")</f>
        <v>Jumbo Bag Red Retrospot</v>
      </c>
      <c r="I179" s="3">
        <v>100.0</v>
      </c>
      <c r="J179" s="7">
        <v>40513.41458333333</v>
      </c>
      <c r="K179" s="8" t="str">
        <f t="shared" si="4"/>
        <v>2010-12</v>
      </c>
      <c r="L179" s="5">
        <v>1.65</v>
      </c>
      <c r="M179" s="3">
        <v>16029.0</v>
      </c>
      <c r="N179" s="1" t="str">
        <f t="shared" si="5"/>
        <v>Registered</v>
      </c>
      <c r="O179" s="1" t="s">
        <v>19</v>
      </c>
      <c r="P179" s="9" t="str">
        <f t="shared" si="6"/>
        <v>UK</v>
      </c>
      <c r="Q179" s="8">
        <f t="shared" si="7"/>
        <v>165</v>
      </c>
    </row>
    <row r="180">
      <c r="A180" s="1">
        <v>536387.0</v>
      </c>
      <c r="B180" s="1" t="str">
        <f t="shared" si="1"/>
        <v>536387</v>
      </c>
      <c r="C180" s="1" t="str">
        <f t="shared" si="2"/>
        <v>Sale</v>
      </c>
      <c r="D180" s="1">
        <v>79321.0</v>
      </c>
      <c r="E180" s="1" t="str">
        <f>IFERROR(__xludf.DUMMYFUNCTION("IF(LEN(D180)&gt;4, IFERROR(REGEXEXTRACT(TO_TEXT(D180),""\d+""),""""),"""")"),"79321")</f>
        <v>79321</v>
      </c>
      <c r="F180" s="6" t="str">
        <f t="shared" si="3"/>
        <v>Product</v>
      </c>
      <c r="G180" s="1" t="s">
        <v>183</v>
      </c>
      <c r="H180" s="6" t="str">
        <f>IFERROR(__xludf.DUMMYFUNCTION("IF(REGEXMATCH(LOWER(G180), ""^(\?)+\s*(missing)?\s*(\?)*$""), """", PROPER(SUBSTITUTE(SUBSTITUTE(G180, ""?"", """"), ""*"", """")))"),"Chilli Lights")</f>
        <v>Chilli Lights</v>
      </c>
      <c r="I180" s="3">
        <v>192.0</v>
      </c>
      <c r="J180" s="7">
        <v>40513.41527777778</v>
      </c>
      <c r="K180" s="8" t="str">
        <f t="shared" si="4"/>
        <v>2010-12</v>
      </c>
      <c r="L180" s="5">
        <v>3.82</v>
      </c>
      <c r="M180" s="3">
        <v>16029.0</v>
      </c>
      <c r="N180" s="1" t="str">
        <f t="shared" si="5"/>
        <v>Registered</v>
      </c>
      <c r="O180" s="1" t="s">
        <v>19</v>
      </c>
      <c r="P180" s="9" t="str">
        <f t="shared" si="6"/>
        <v>UK</v>
      </c>
      <c r="Q180" s="8">
        <f t="shared" si="7"/>
        <v>733.44</v>
      </c>
    </row>
    <row r="181">
      <c r="A181" s="1">
        <v>536387.0</v>
      </c>
      <c r="B181" s="1" t="str">
        <f t="shared" si="1"/>
        <v>536387</v>
      </c>
      <c r="C181" s="1" t="str">
        <f t="shared" si="2"/>
        <v>Sale</v>
      </c>
      <c r="D181" s="1">
        <v>22780.0</v>
      </c>
      <c r="E181" s="1" t="str">
        <f>IFERROR(__xludf.DUMMYFUNCTION("IF(LEN(D181)&gt;4, IFERROR(REGEXEXTRACT(TO_TEXT(D181),""\d+""),""""),"""")"),"22780")</f>
        <v>22780</v>
      </c>
      <c r="F181" s="6" t="str">
        <f t="shared" si="3"/>
        <v>Product</v>
      </c>
      <c r="G181" s="1" t="s">
        <v>184</v>
      </c>
      <c r="H181" s="6" t="str">
        <f>IFERROR(__xludf.DUMMYFUNCTION("IF(REGEXMATCH(LOWER(G181), ""^(\?)+\s*(missing)?\s*(\?)*$""), """", PROPER(SUBSTITUTE(SUBSTITUTE(G181, ""?"", """"), ""*"", """")))"),"Light Garland Butterfiles Pink")</f>
        <v>Light Garland Butterfiles Pink</v>
      </c>
      <c r="I181" s="3">
        <v>192.0</v>
      </c>
      <c r="J181" s="7">
        <v>40513.41527777778</v>
      </c>
      <c r="K181" s="8" t="str">
        <f t="shared" si="4"/>
        <v>2010-12</v>
      </c>
      <c r="L181" s="5">
        <v>3.37</v>
      </c>
      <c r="M181" s="3">
        <v>16029.0</v>
      </c>
      <c r="N181" s="1" t="str">
        <f t="shared" si="5"/>
        <v>Registered</v>
      </c>
      <c r="O181" s="1" t="s">
        <v>19</v>
      </c>
      <c r="P181" s="9" t="str">
        <f t="shared" si="6"/>
        <v>UK</v>
      </c>
      <c r="Q181" s="8">
        <f t="shared" si="7"/>
        <v>647.04</v>
      </c>
    </row>
    <row r="182">
      <c r="A182" s="1">
        <v>536387.0</v>
      </c>
      <c r="B182" s="1" t="str">
        <f t="shared" si="1"/>
        <v>536387</v>
      </c>
      <c r="C182" s="1" t="str">
        <f t="shared" si="2"/>
        <v>Sale</v>
      </c>
      <c r="D182" s="1">
        <v>22779.0</v>
      </c>
      <c r="E182" s="1" t="str">
        <f>IFERROR(__xludf.DUMMYFUNCTION("IF(LEN(D182)&gt;4, IFERROR(REGEXEXTRACT(TO_TEXT(D182),""\d+""),""""),"""")"),"22779")</f>
        <v>22779</v>
      </c>
      <c r="F182" s="6" t="str">
        <f t="shared" si="3"/>
        <v>Product</v>
      </c>
      <c r="G182" s="1" t="s">
        <v>185</v>
      </c>
      <c r="H182" s="6" t="str">
        <f>IFERROR(__xludf.DUMMYFUNCTION("IF(REGEXMATCH(LOWER(G182), ""^(\?)+\s*(missing)?\s*(\?)*$""), """", PROPER(SUBSTITUTE(SUBSTITUTE(G182, ""?"", """"), ""*"", """")))"),"Wooden Owls Light Garland")</f>
        <v>Wooden Owls Light Garland</v>
      </c>
      <c r="I182" s="3">
        <v>192.0</v>
      </c>
      <c r="J182" s="7">
        <v>40513.41527777778</v>
      </c>
      <c r="K182" s="8" t="str">
        <f t="shared" si="4"/>
        <v>2010-12</v>
      </c>
      <c r="L182" s="5">
        <v>3.37</v>
      </c>
      <c r="M182" s="3">
        <v>16029.0</v>
      </c>
      <c r="N182" s="1" t="str">
        <f t="shared" si="5"/>
        <v>Registered</v>
      </c>
      <c r="O182" s="1" t="s">
        <v>19</v>
      </c>
      <c r="P182" s="9" t="str">
        <f t="shared" si="6"/>
        <v>UK</v>
      </c>
      <c r="Q182" s="8">
        <f t="shared" si="7"/>
        <v>647.04</v>
      </c>
    </row>
    <row r="183">
      <c r="A183" s="1">
        <v>536387.0</v>
      </c>
      <c r="B183" s="1" t="str">
        <f t="shared" si="1"/>
        <v>536387</v>
      </c>
      <c r="C183" s="1" t="str">
        <f t="shared" si="2"/>
        <v>Sale</v>
      </c>
      <c r="D183" s="1">
        <v>22466.0</v>
      </c>
      <c r="E183" s="1" t="str">
        <f>IFERROR(__xludf.DUMMYFUNCTION("IF(LEN(D183)&gt;4, IFERROR(REGEXEXTRACT(TO_TEXT(D183),""\d+""),""""),"""")"),"22466")</f>
        <v>22466</v>
      </c>
      <c r="F183" s="6" t="str">
        <f t="shared" si="3"/>
        <v>Product</v>
      </c>
      <c r="G183" s="1" t="s">
        <v>186</v>
      </c>
      <c r="H183" s="6" t="str">
        <f>IFERROR(__xludf.DUMMYFUNCTION("IF(REGEXMATCH(LOWER(G183), ""^(\?)+\s*(missing)?\s*(\?)*$""), """", PROPER(SUBSTITUTE(SUBSTITUTE(G183, ""?"", """"), ""*"", """")))"),"Fairy Tale Cottage Nightlight")</f>
        <v>Fairy Tale Cottage Nightlight</v>
      </c>
      <c r="I183" s="3">
        <v>432.0</v>
      </c>
      <c r="J183" s="7">
        <v>40513.41527777778</v>
      </c>
      <c r="K183" s="8" t="str">
        <f t="shared" si="4"/>
        <v>2010-12</v>
      </c>
      <c r="L183" s="5">
        <v>1.45</v>
      </c>
      <c r="M183" s="3">
        <v>16029.0</v>
      </c>
      <c r="N183" s="1" t="str">
        <f t="shared" si="5"/>
        <v>Registered</v>
      </c>
      <c r="O183" s="1" t="s">
        <v>19</v>
      </c>
      <c r="P183" s="9" t="str">
        <f t="shared" si="6"/>
        <v>UK</v>
      </c>
      <c r="Q183" s="8">
        <f t="shared" si="7"/>
        <v>626.4</v>
      </c>
    </row>
    <row r="184">
      <c r="A184" s="1">
        <v>536387.0</v>
      </c>
      <c r="B184" s="1" t="str">
        <f t="shared" si="1"/>
        <v>536387</v>
      </c>
      <c r="C184" s="1" t="str">
        <f t="shared" si="2"/>
        <v>Sale</v>
      </c>
      <c r="D184" s="1">
        <v>21731.0</v>
      </c>
      <c r="E184" s="1" t="str">
        <f>IFERROR(__xludf.DUMMYFUNCTION("IF(LEN(D184)&gt;4, IFERROR(REGEXEXTRACT(TO_TEXT(D184),""\d+""),""""),"""")"),"21731")</f>
        <v>21731</v>
      </c>
      <c r="F184" s="6" t="str">
        <f t="shared" si="3"/>
        <v>Product</v>
      </c>
      <c r="G184" s="1" t="s">
        <v>62</v>
      </c>
      <c r="H184" s="6" t="str">
        <f>IFERROR(__xludf.DUMMYFUNCTION("IF(REGEXMATCH(LOWER(G184), ""^(\?)+\s*(missing)?\s*(\?)*$""), """", PROPER(SUBSTITUTE(SUBSTITUTE(G184, ""?"", """"), ""*"", """")))"),"Red Toadstool Led Night Light")</f>
        <v>Red Toadstool Led Night Light</v>
      </c>
      <c r="I184" s="3">
        <v>432.0</v>
      </c>
      <c r="J184" s="7">
        <v>40513.41527777778</v>
      </c>
      <c r="K184" s="8" t="str">
        <f t="shared" si="4"/>
        <v>2010-12</v>
      </c>
      <c r="L184" s="5">
        <v>1.25</v>
      </c>
      <c r="M184" s="3">
        <v>16029.0</v>
      </c>
      <c r="N184" s="1" t="str">
        <f t="shared" si="5"/>
        <v>Registered</v>
      </c>
      <c r="O184" s="1" t="s">
        <v>19</v>
      </c>
      <c r="P184" s="9" t="str">
        <f t="shared" si="6"/>
        <v>UK</v>
      </c>
      <c r="Q184" s="8">
        <f t="shared" si="7"/>
        <v>540</v>
      </c>
    </row>
    <row r="185">
      <c r="A185" s="1">
        <v>536388.0</v>
      </c>
      <c r="B185" s="1" t="str">
        <f t="shared" si="1"/>
        <v>536388</v>
      </c>
      <c r="C185" s="1" t="str">
        <f t="shared" si="2"/>
        <v>Sale</v>
      </c>
      <c r="D185" s="1">
        <v>21754.0</v>
      </c>
      <c r="E185" s="1" t="str">
        <f>IFERROR(__xludf.DUMMYFUNCTION("IF(LEN(D185)&gt;4, IFERROR(REGEXEXTRACT(TO_TEXT(D185),""\d+""),""""),"""")"),"21754")</f>
        <v>21754</v>
      </c>
      <c r="F185" s="6" t="str">
        <f t="shared" si="3"/>
        <v>Product</v>
      </c>
      <c r="G185" s="1" t="s">
        <v>39</v>
      </c>
      <c r="H185" s="6" t="str">
        <f>IFERROR(__xludf.DUMMYFUNCTION("IF(REGEXMATCH(LOWER(G185), ""^(\?)+\s*(missing)?\s*(\?)*$""), """", PROPER(SUBSTITUTE(SUBSTITUTE(G185, ""?"", """"), ""*"", """")))"),"Home Building Block Word")</f>
        <v>Home Building Block Word</v>
      </c>
      <c r="I185" s="3">
        <v>3.0</v>
      </c>
      <c r="J185" s="7">
        <v>40513.415972222225</v>
      </c>
      <c r="K185" s="8" t="str">
        <f t="shared" si="4"/>
        <v>2010-12</v>
      </c>
      <c r="L185" s="5">
        <v>5.95</v>
      </c>
      <c r="M185" s="3">
        <v>16250.0</v>
      </c>
      <c r="N185" s="1" t="str">
        <f t="shared" si="5"/>
        <v>Registered</v>
      </c>
      <c r="O185" s="1" t="s">
        <v>19</v>
      </c>
      <c r="P185" s="9" t="str">
        <f t="shared" si="6"/>
        <v>UK</v>
      </c>
      <c r="Q185" s="8">
        <f t="shared" si="7"/>
        <v>17.85</v>
      </c>
    </row>
    <row r="186">
      <c r="A186" s="1">
        <v>536388.0</v>
      </c>
      <c r="B186" s="1" t="str">
        <f t="shared" si="1"/>
        <v>536388</v>
      </c>
      <c r="C186" s="1" t="str">
        <f t="shared" si="2"/>
        <v>Sale</v>
      </c>
      <c r="D186" s="1">
        <v>21755.0</v>
      </c>
      <c r="E186" s="1" t="str">
        <f>IFERROR(__xludf.DUMMYFUNCTION("IF(LEN(D186)&gt;4, IFERROR(REGEXEXTRACT(TO_TEXT(D186),""\d+""),""""),"""")"),"21755")</f>
        <v>21755</v>
      </c>
      <c r="F186" s="6" t="str">
        <f t="shared" si="3"/>
        <v>Product</v>
      </c>
      <c r="G186" s="1" t="s">
        <v>40</v>
      </c>
      <c r="H186" s="6" t="str">
        <f>IFERROR(__xludf.DUMMYFUNCTION("IF(REGEXMATCH(LOWER(G186), ""^(\?)+\s*(missing)?\s*(\?)*$""), """", PROPER(SUBSTITUTE(SUBSTITUTE(G186, ""?"", """"), ""*"", """")))"),"Love Building Block Word")</f>
        <v>Love Building Block Word</v>
      </c>
      <c r="I186" s="3">
        <v>3.0</v>
      </c>
      <c r="J186" s="7">
        <v>40513.415972222225</v>
      </c>
      <c r="K186" s="8" t="str">
        <f t="shared" si="4"/>
        <v>2010-12</v>
      </c>
      <c r="L186" s="5">
        <v>5.95</v>
      </c>
      <c r="M186" s="3">
        <v>16250.0</v>
      </c>
      <c r="N186" s="1" t="str">
        <f t="shared" si="5"/>
        <v>Registered</v>
      </c>
      <c r="O186" s="1" t="s">
        <v>19</v>
      </c>
      <c r="P186" s="9" t="str">
        <f t="shared" si="6"/>
        <v>UK</v>
      </c>
      <c r="Q186" s="8">
        <f t="shared" si="7"/>
        <v>17.85</v>
      </c>
    </row>
    <row r="187">
      <c r="A187" s="1">
        <v>536388.0</v>
      </c>
      <c r="B187" s="1" t="str">
        <f t="shared" si="1"/>
        <v>536388</v>
      </c>
      <c r="C187" s="1" t="str">
        <f t="shared" si="2"/>
        <v>Sale</v>
      </c>
      <c r="D187" s="1">
        <v>21523.0</v>
      </c>
      <c r="E187" s="1" t="str">
        <f>IFERROR(__xludf.DUMMYFUNCTION("IF(LEN(D187)&gt;4, IFERROR(REGEXEXTRACT(TO_TEXT(D187),""\d+""),""""),"""")"),"21523")</f>
        <v>21523</v>
      </c>
      <c r="F187" s="6" t="str">
        <f t="shared" si="3"/>
        <v>Product</v>
      </c>
      <c r="G187" s="1" t="s">
        <v>146</v>
      </c>
      <c r="H187" s="6" t="str">
        <f>IFERROR(__xludf.DUMMYFUNCTION("IF(REGEXMATCH(LOWER(G187), ""^(\?)+\s*(missing)?\s*(\?)*$""), """", PROPER(SUBSTITUTE(SUBSTITUTE(G187, ""?"", """"), ""*"", """")))"),"Doormat Fancy Font Home Sweet Home")</f>
        <v>Doormat Fancy Font Home Sweet Home</v>
      </c>
      <c r="I187" s="3">
        <v>2.0</v>
      </c>
      <c r="J187" s="7">
        <v>40513.415972222225</v>
      </c>
      <c r="K187" s="8" t="str">
        <f t="shared" si="4"/>
        <v>2010-12</v>
      </c>
      <c r="L187" s="5">
        <v>7.95</v>
      </c>
      <c r="M187" s="3">
        <v>16250.0</v>
      </c>
      <c r="N187" s="1" t="str">
        <f t="shared" si="5"/>
        <v>Registered</v>
      </c>
      <c r="O187" s="1" t="s">
        <v>19</v>
      </c>
      <c r="P187" s="9" t="str">
        <f t="shared" si="6"/>
        <v>UK</v>
      </c>
      <c r="Q187" s="8">
        <f t="shared" si="7"/>
        <v>15.9</v>
      </c>
    </row>
    <row r="188">
      <c r="A188" s="1">
        <v>536388.0</v>
      </c>
      <c r="B188" s="1" t="str">
        <f t="shared" si="1"/>
        <v>536388</v>
      </c>
      <c r="C188" s="1" t="str">
        <f t="shared" si="2"/>
        <v>Sale</v>
      </c>
      <c r="D188" s="1">
        <v>21363.0</v>
      </c>
      <c r="E188" s="1" t="str">
        <f>IFERROR(__xludf.DUMMYFUNCTION("IF(LEN(D188)&gt;4, IFERROR(REGEXEXTRACT(TO_TEXT(D188),""\d+""),""""),"""")"),"21363")</f>
        <v>21363</v>
      </c>
      <c r="F188" s="6" t="str">
        <f t="shared" si="3"/>
        <v>Product</v>
      </c>
      <c r="G188" s="1" t="s">
        <v>187</v>
      </c>
      <c r="H188" s="6" t="str">
        <f>IFERROR(__xludf.DUMMYFUNCTION("IF(REGEXMATCH(LOWER(G188), ""^(\?)+\s*(missing)?\s*(\?)*$""), """", PROPER(SUBSTITUTE(SUBSTITUTE(G188, ""?"", """"), ""*"", """")))"),"Home Small Wood Letters")</f>
        <v>Home Small Wood Letters</v>
      </c>
      <c r="I188" s="3">
        <v>3.0</v>
      </c>
      <c r="J188" s="7">
        <v>40513.415972222225</v>
      </c>
      <c r="K188" s="8" t="str">
        <f t="shared" si="4"/>
        <v>2010-12</v>
      </c>
      <c r="L188" s="5">
        <v>4.95</v>
      </c>
      <c r="M188" s="3">
        <v>16250.0</v>
      </c>
      <c r="N188" s="1" t="str">
        <f t="shared" si="5"/>
        <v>Registered</v>
      </c>
      <c r="O188" s="1" t="s">
        <v>19</v>
      </c>
      <c r="P188" s="9" t="str">
        <f t="shared" si="6"/>
        <v>UK</v>
      </c>
      <c r="Q188" s="8">
        <f t="shared" si="7"/>
        <v>14.85</v>
      </c>
    </row>
    <row r="189">
      <c r="A189" s="1">
        <v>536388.0</v>
      </c>
      <c r="B189" s="1" t="str">
        <f t="shared" si="1"/>
        <v>536388</v>
      </c>
      <c r="C189" s="1" t="str">
        <f t="shared" si="2"/>
        <v>Sale</v>
      </c>
      <c r="D189" s="1">
        <v>21411.0</v>
      </c>
      <c r="E189" s="1" t="str">
        <f>IFERROR(__xludf.DUMMYFUNCTION("IF(LEN(D189)&gt;4, IFERROR(REGEXEXTRACT(TO_TEXT(D189),""\d+""),""""),"""")"),"21411")</f>
        <v>21411</v>
      </c>
      <c r="F189" s="6" t="str">
        <f t="shared" si="3"/>
        <v>Product</v>
      </c>
      <c r="G189" s="1" t="s">
        <v>188</v>
      </c>
      <c r="H189" s="6" t="str">
        <f>IFERROR(__xludf.DUMMYFUNCTION("IF(REGEXMATCH(LOWER(G189), ""^(\?)+\s*(missing)?\s*(\?)*$""), """", PROPER(SUBSTITUTE(SUBSTITUTE(G189, ""?"", """"), ""*"", """")))"),"Gingham Heart Doorstop Red")</f>
        <v>Gingham Heart Doorstop Red</v>
      </c>
      <c r="I189" s="3">
        <v>3.0</v>
      </c>
      <c r="J189" s="7">
        <v>40513.415972222225</v>
      </c>
      <c r="K189" s="8" t="str">
        <f t="shared" si="4"/>
        <v>2010-12</v>
      </c>
      <c r="L189" s="5">
        <v>4.25</v>
      </c>
      <c r="M189" s="3">
        <v>16250.0</v>
      </c>
      <c r="N189" s="1" t="str">
        <f t="shared" si="5"/>
        <v>Registered</v>
      </c>
      <c r="O189" s="1" t="s">
        <v>19</v>
      </c>
      <c r="P189" s="9" t="str">
        <f t="shared" si="6"/>
        <v>UK</v>
      </c>
      <c r="Q189" s="8">
        <f t="shared" si="7"/>
        <v>12.75</v>
      </c>
    </row>
    <row r="190">
      <c r="A190" s="1">
        <v>536388.0</v>
      </c>
      <c r="B190" s="1" t="str">
        <f t="shared" si="1"/>
        <v>536388</v>
      </c>
      <c r="C190" s="1" t="str">
        <f t="shared" si="2"/>
        <v>Sale</v>
      </c>
      <c r="D190" s="1">
        <v>22318.0</v>
      </c>
      <c r="E190" s="1" t="str">
        <f>IFERROR(__xludf.DUMMYFUNCTION("IF(LEN(D190)&gt;4, IFERROR(REGEXEXTRACT(TO_TEXT(D190),""\d+""),""""),"""")"),"22318")</f>
        <v>22318</v>
      </c>
      <c r="F190" s="6" t="str">
        <f t="shared" si="3"/>
        <v>Product</v>
      </c>
      <c r="G190" s="1" t="s">
        <v>189</v>
      </c>
      <c r="H190" s="6" t="str">
        <f>IFERROR(__xludf.DUMMYFUNCTION("IF(REGEXMATCH(LOWER(G190), ""^(\?)+\s*(missing)?\s*(\?)*$""), """", PROPER(SUBSTITUTE(SUBSTITUTE(G190, ""?"", """"), ""*"", """")))"),"Five Heart Hanging Decoration")</f>
        <v>Five Heart Hanging Decoration</v>
      </c>
      <c r="I190" s="3">
        <v>6.0</v>
      </c>
      <c r="J190" s="7">
        <v>40513.415972222225</v>
      </c>
      <c r="K190" s="8" t="str">
        <f t="shared" si="4"/>
        <v>2010-12</v>
      </c>
      <c r="L190" s="5">
        <v>2.95</v>
      </c>
      <c r="M190" s="3">
        <v>16250.0</v>
      </c>
      <c r="N190" s="1" t="str">
        <f t="shared" si="5"/>
        <v>Registered</v>
      </c>
      <c r="O190" s="1" t="s">
        <v>19</v>
      </c>
      <c r="P190" s="9" t="str">
        <f t="shared" si="6"/>
        <v>UK</v>
      </c>
      <c r="Q190" s="8">
        <f t="shared" si="7"/>
        <v>17.7</v>
      </c>
    </row>
    <row r="191">
      <c r="A191" s="1">
        <v>536388.0</v>
      </c>
      <c r="B191" s="1" t="str">
        <f t="shared" si="1"/>
        <v>536388</v>
      </c>
      <c r="C191" s="1" t="str">
        <f t="shared" si="2"/>
        <v>Sale</v>
      </c>
      <c r="D191" s="1">
        <v>22464.0</v>
      </c>
      <c r="E191" s="1" t="str">
        <f>IFERROR(__xludf.DUMMYFUNCTION("IF(LEN(D191)&gt;4, IFERROR(REGEXEXTRACT(TO_TEXT(D191),""\d+""),""""),"""")"),"22464")</f>
        <v>22464</v>
      </c>
      <c r="F191" s="6" t="str">
        <f t="shared" si="3"/>
        <v>Product</v>
      </c>
      <c r="G191" s="1" t="s">
        <v>164</v>
      </c>
      <c r="H191" s="6" t="str">
        <f>IFERROR(__xludf.DUMMYFUNCTION("IF(REGEXMATCH(LOWER(G191), ""^(\?)+\s*(missing)?\s*(\?)*$""), """", PROPER(SUBSTITUTE(SUBSTITUTE(G191, ""?"", """"), ""*"", """")))"),"Hanging Metal Heart Lantern")</f>
        <v>Hanging Metal Heart Lantern</v>
      </c>
      <c r="I191" s="3">
        <v>12.0</v>
      </c>
      <c r="J191" s="7">
        <v>40513.415972222225</v>
      </c>
      <c r="K191" s="8" t="str">
        <f t="shared" si="4"/>
        <v>2010-12</v>
      </c>
      <c r="L191" s="5">
        <v>1.65</v>
      </c>
      <c r="M191" s="3">
        <v>16250.0</v>
      </c>
      <c r="N191" s="1" t="str">
        <f t="shared" si="5"/>
        <v>Registered</v>
      </c>
      <c r="O191" s="1" t="s">
        <v>19</v>
      </c>
      <c r="P191" s="9" t="str">
        <f t="shared" si="6"/>
        <v>UK</v>
      </c>
      <c r="Q191" s="8">
        <f t="shared" si="7"/>
        <v>19.8</v>
      </c>
    </row>
    <row r="192">
      <c r="A192" s="1">
        <v>536388.0</v>
      </c>
      <c r="B192" s="1" t="str">
        <f t="shared" si="1"/>
        <v>536388</v>
      </c>
      <c r="C192" s="1" t="str">
        <f t="shared" si="2"/>
        <v>Sale</v>
      </c>
      <c r="D192" s="1">
        <v>22915.0</v>
      </c>
      <c r="E192" s="1" t="str">
        <f>IFERROR(__xludf.DUMMYFUNCTION("IF(LEN(D192)&gt;4, IFERROR(REGEXEXTRACT(TO_TEXT(D192),""\d+""),""""),"""")"),"22915")</f>
        <v>22915</v>
      </c>
      <c r="F192" s="6" t="str">
        <f t="shared" si="3"/>
        <v>Product</v>
      </c>
      <c r="G192" s="1" t="s">
        <v>190</v>
      </c>
      <c r="H192" s="6" t="str">
        <f>IFERROR(__xludf.DUMMYFUNCTION("IF(REGEXMATCH(LOWER(G192), ""^(\?)+\s*(missing)?\s*(\?)*$""), """", PROPER(SUBSTITUTE(SUBSTITUTE(G192, ""?"", """"), ""*"", """")))"),"Assorted Bottle Top Magnets")</f>
        <v>Assorted Bottle Top Magnets</v>
      </c>
      <c r="I192" s="3">
        <v>12.0</v>
      </c>
      <c r="J192" s="7">
        <v>40513.415972222225</v>
      </c>
      <c r="K192" s="8" t="str">
        <f t="shared" si="4"/>
        <v>2010-12</v>
      </c>
      <c r="L192" s="5">
        <v>0.42</v>
      </c>
      <c r="M192" s="3">
        <v>16250.0</v>
      </c>
      <c r="N192" s="1" t="str">
        <f t="shared" si="5"/>
        <v>Registered</v>
      </c>
      <c r="O192" s="1" t="s">
        <v>19</v>
      </c>
      <c r="P192" s="9" t="str">
        <f t="shared" si="6"/>
        <v>UK</v>
      </c>
      <c r="Q192" s="8">
        <f t="shared" si="7"/>
        <v>5.04</v>
      </c>
    </row>
    <row r="193">
      <c r="A193" s="1">
        <v>536388.0</v>
      </c>
      <c r="B193" s="1" t="str">
        <f t="shared" si="1"/>
        <v>536388</v>
      </c>
      <c r="C193" s="1" t="str">
        <f t="shared" si="2"/>
        <v>Sale</v>
      </c>
      <c r="D193" s="1">
        <v>22922.0</v>
      </c>
      <c r="E193" s="1" t="str">
        <f>IFERROR(__xludf.DUMMYFUNCTION("IF(LEN(D193)&gt;4, IFERROR(REGEXEXTRACT(TO_TEXT(D193),""\d+""),""""),"""")"),"22922")</f>
        <v>22922</v>
      </c>
      <c r="F193" s="6" t="str">
        <f t="shared" si="3"/>
        <v>Product</v>
      </c>
      <c r="G193" s="1" t="s">
        <v>191</v>
      </c>
      <c r="H193" s="6" t="str">
        <f>IFERROR(__xludf.DUMMYFUNCTION("IF(REGEXMATCH(LOWER(G193), ""^(\?)+\s*(missing)?\s*(\?)*$""), """", PROPER(SUBSTITUTE(SUBSTITUTE(G193, ""?"", """"), ""*"", """")))"),"Fridge Magnets Us Diner Assorted")</f>
        <v>Fridge Magnets Us Diner Assorted</v>
      </c>
      <c r="I193" s="3">
        <v>12.0</v>
      </c>
      <c r="J193" s="7">
        <v>40513.415972222225</v>
      </c>
      <c r="K193" s="8" t="str">
        <f t="shared" si="4"/>
        <v>2010-12</v>
      </c>
      <c r="L193" s="5">
        <v>0.85</v>
      </c>
      <c r="M193" s="3">
        <v>16250.0</v>
      </c>
      <c r="N193" s="1" t="str">
        <f t="shared" si="5"/>
        <v>Registered</v>
      </c>
      <c r="O193" s="1" t="s">
        <v>19</v>
      </c>
      <c r="P193" s="9" t="str">
        <f t="shared" si="6"/>
        <v>UK</v>
      </c>
      <c r="Q193" s="8">
        <f t="shared" si="7"/>
        <v>10.2</v>
      </c>
    </row>
    <row r="194">
      <c r="A194" s="1">
        <v>536388.0</v>
      </c>
      <c r="B194" s="1" t="str">
        <f t="shared" si="1"/>
        <v>536388</v>
      </c>
      <c r="C194" s="1" t="str">
        <f t="shared" si="2"/>
        <v>Sale</v>
      </c>
      <c r="D194" s="1">
        <v>22969.0</v>
      </c>
      <c r="E194" s="1" t="str">
        <f>IFERROR(__xludf.DUMMYFUNCTION("IF(LEN(D194)&gt;4, IFERROR(REGEXEXTRACT(TO_TEXT(D194),""\d+""),""""),"""")"),"22969")</f>
        <v>22969</v>
      </c>
      <c r="F194" s="6" t="str">
        <f t="shared" si="3"/>
        <v>Product</v>
      </c>
      <c r="G194" s="1" t="s">
        <v>192</v>
      </c>
      <c r="H194" s="6" t="str">
        <f>IFERROR(__xludf.DUMMYFUNCTION("IF(REGEXMATCH(LOWER(G194), ""^(\?)+\s*(missing)?\s*(\?)*$""), """", PROPER(SUBSTITUTE(SUBSTITUTE(G194, ""?"", """"), ""*"", """")))"),"Homemade Jam Scented Candles")</f>
        <v>Homemade Jam Scented Candles</v>
      </c>
      <c r="I194" s="3">
        <v>12.0</v>
      </c>
      <c r="J194" s="7">
        <v>40513.415972222225</v>
      </c>
      <c r="K194" s="8" t="str">
        <f t="shared" si="4"/>
        <v>2010-12</v>
      </c>
      <c r="L194" s="5">
        <v>1.45</v>
      </c>
      <c r="M194" s="3">
        <v>16250.0</v>
      </c>
      <c r="N194" s="1" t="str">
        <f t="shared" si="5"/>
        <v>Registered</v>
      </c>
      <c r="O194" s="1" t="s">
        <v>19</v>
      </c>
      <c r="P194" s="9" t="str">
        <f t="shared" si="6"/>
        <v>UK</v>
      </c>
      <c r="Q194" s="8">
        <f t="shared" si="7"/>
        <v>17.4</v>
      </c>
    </row>
    <row r="195">
      <c r="A195" s="1">
        <v>536388.0</v>
      </c>
      <c r="B195" s="1" t="str">
        <f t="shared" si="1"/>
        <v>536388</v>
      </c>
      <c r="C195" s="1" t="str">
        <f t="shared" si="2"/>
        <v>Sale</v>
      </c>
      <c r="D195" s="1">
        <v>22923.0</v>
      </c>
      <c r="E195" s="1" t="str">
        <f>IFERROR(__xludf.DUMMYFUNCTION("IF(LEN(D195)&gt;4, IFERROR(REGEXEXTRACT(TO_TEXT(D195),""\d+""),""""),"""")"),"22923")</f>
        <v>22923</v>
      </c>
      <c r="F195" s="6" t="str">
        <f t="shared" si="3"/>
        <v>Product</v>
      </c>
      <c r="G195" s="1" t="s">
        <v>193</v>
      </c>
      <c r="H195" s="6" t="str">
        <f>IFERROR(__xludf.DUMMYFUNCTION("IF(REGEXMATCH(LOWER(G195), ""^(\?)+\s*(missing)?\s*(\?)*$""), """", PROPER(SUBSTITUTE(SUBSTITUTE(G195, ""?"", """"), ""*"", """")))"),"Fridge Magnets Les Enfants Assorted")</f>
        <v>Fridge Magnets Les Enfants Assorted</v>
      </c>
      <c r="I195" s="3">
        <v>12.0</v>
      </c>
      <c r="J195" s="7">
        <v>40513.415972222225</v>
      </c>
      <c r="K195" s="8" t="str">
        <f t="shared" si="4"/>
        <v>2010-12</v>
      </c>
      <c r="L195" s="5">
        <v>0.85</v>
      </c>
      <c r="M195" s="3">
        <v>16250.0</v>
      </c>
      <c r="N195" s="1" t="str">
        <f t="shared" si="5"/>
        <v>Registered</v>
      </c>
      <c r="O195" s="1" t="s">
        <v>19</v>
      </c>
      <c r="P195" s="9" t="str">
        <f t="shared" si="6"/>
        <v>UK</v>
      </c>
      <c r="Q195" s="8">
        <f t="shared" si="7"/>
        <v>10.2</v>
      </c>
    </row>
    <row r="196">
      <c r="A196" s="1">
        <v>536388.0</v>
      </c>
      <c r="B196" s="1" t="str">
        <f t="shared" si="1"/>
        <v>536388</v>
      </c>
      <c r="C196" s="1" t="str">
        <f t="shared" si="2"/>
        <v>Sale</v>
      </c>
      <c r="D196" s="1">
        <v>21115.0</v>
      </c>
      <c r="E196" s="1" t="str">
        <f>IFERROR(__xludf.DUMMYFUNCTION("IF(LEN(D196)&gt;4, IFERROR(REGEXEXTRACT(TO_TEXT(D196),""\d+""),""""),"""")"),"21115")</f>
        <v>21115</v>
      </c>
      <c r="F196" s="6" t="str">
        <f t="shared" si="3"/>
        <v>Product</v>
      </c>
      <c r="G196" s="1" t="s">
        <v>194</v>
      </c>
      <c r="H196" s="6" t="str">
        <f>IFERROR(__xludf.DUMMYFUNCTION("IF(REGEXMATCH(LOWER(G196), ""^(\?)+\s*(missing)?\s*(\?)*$""), """", PROPER(SUBSTITUTE(SUBSTITUTE(G196, ""?"", """"), ""*"", """")))"),"Rose Caravan Doorstop")</f>
        <v>Rose Caravan Doorstop</v>
      </c>
      <c r="I196" s="3">
        <v>4.0</v>
      </c>
      <c r="J196" s="7">
        <v>40513.415972222225</v>
      </c>
      <c r="K196" s="8" t="str">
        <f t="shared" si="4"/>
        <v>2010-12</v>
      </c>
      <c r="L196" s="5">
        <v>6.75</v>
      </c>
      <c r="M196" s="3">
        <v>16250.0</v>
      </c>
      <c r="N196" s="1" t="str">
        <f t="shared" si="5"/>
        <v>Registered</v>
      </c>
      <c r="O196" s="1" t="s">
        <v>19</v>
      </c>
      <c r="P196" s="9" t="str">
        <f t="shared" si="6"/>
        <v>UK</v>
      </c>
      <c r="Q196" s="8">
        <f t="shared" si="7"/>
        <v>27</v>
      </c>
    </row>
    <row r="197">
      <c r="A197" s="1">
        <v>536388.0</v>
      </c>
      <c r="B197" s="1" t="str">
        <f t="shared" si="1"/>
        <v>536388</v>
      </c>
      <c r="C197" s="1" t="str">
        <f t="shared" si="2"/>
        <v>Sale</v>
      </c>
      <c r="D197" s="1">
        <v>22469.0</v>
      </c>
      <c r="E197" s="1" t="str">
        <f>IFERROR(__xludf.DUMMYFUNCTION("IF(LEN(D197)&gt;4, IFERROR(REGEXEXTRACT(TO_TEXT(D197),""\d+""),""""),"""")"),"22469")</f>
        <v>22469</v>
      </c>
      <c r="F197" s="6" t="str">
        <f t="shared" si="3"/>
        <v>Product</v>
      </c>
      <c r="G197" s="1" t="s">
        <v>167</v>
      </c>
      <c r="H197" s="6" t="str">
        <f>IFERROR(__xludf.DUMMYFUNCTION("IF(REGEXMATCH(LOWER(G197), ""^(\?)+\s*(missing)?\s*(\?)*$""), """", PROPER(SUBSTITUTE(SUBSTITUTE(G197, ""?"", """"), ""*"", """")))"),"Heart Of Wicker Small")</f>
        <v>Heart Of Wicker Small</v>
      </c>
      <c r="I197" s="3">
        <v>12.0</v>
      </c>
      <c r="J197" s="7">
        <v>40513.415972222225</v>
      </c>
      <c r="K197" s="8" t="str">
        <f t="shared" si="4"/>
        <v>2010-12</v>
      </c>
      <c r="L197" s="5">
        <v>1.65</v>
      </c>
      <c r="M197" s="3">
        <v>16250.0</v>
      </c>
      <c r="N197" s="1" t="str">
        <f t="shared" si="5"/>
        <v>Registered</v>
      </c>
      <c r="O197" s="1" t="s">
        <v>19</v>
      </c>
      <c r="P197" s="9" t="str">
        <f t="shared" si="6"/>
        <v>UK</v>
      </c>
      <c r="Q197" s="8">
        <f t="shared" si="7"/>
        <v>19.8</v>
      </c>
    </row>
    <row r="198">
      <c r="A198" s="1">
        <v>536388.0</v>
      </c>
      <c r="B198" s="1" t="str">
        <f t="shared" si="1"/>
        <v>536388</v>
      </c>
      <c r="C198" s="1" t="str">
        <f t="shared" si="2"/>
        <v>Sale</v>
      </c>
      <c r="D198" s="1">
        <v>22242.0</v>
      </c>
      <c r="E198" s="1" t="str">
        <f>IFERROR(__xludf.DUMMYFUNCTION("IF(LEN(D198)&gt;4, IFERROR(REGEXEXTRACT(TO_TEXT(D198),""\d+""),""""),"""")"),"22242")</f>
        <v>22242</v>
      </c>
      <c r="F198" s="6" t="str">
        <f t="shared" si="3"/>
        <v>Product</v>
      </c>
      <c r="G198" s="1" t="s">
        <v>195</v>
      </c>
      <c r="H198" s="6" t="str">
        <f>IFERROR(__xludf.DUMMYFUNCTION("IF(REGEXMATCH(LOWER(G198), ""^(\?)+\s*(missing)?\s*(\?)*$""), """", PROPER(SUBSTITUTE(SUBSTITUTE(G198, ""?"", """"), ""*"", """")))"),"5 Hook Hanger Magic Toadstool")</f>
        <v>5 Hook Hanger Magic Toadstool</v>
      </c>
      <c r="I198" s="3">
        <v>12.0</v>
      </c>
      <c r="J198" s="7">
        <v>40513.415972222225</v>
      </c>
      <c r="K198" s="8" t="str">
        <f t="shared" si="4"/>
        <v>2010-12</v>
      </c>
      <c r="L198" s="5">
        <v>1.65</v>
      </c>
      <c r="M198" s="3">
        <v>16250.0</v>
      </c>
      <c r="N198" s="1" t="str">
        <f t="shared" si="5"/>
        <v>Registered</v>
      </c>
      <c r="O198" s="1" t="s">
        <v>19</v>
      </c>
      <c r="P198" s="9" t="str">
        <f t="shared" si="6"/>
        <v>UK</v>
      </c>
      <c r="Q198" s="8">
        <f t="shared" si="7"/>
        <v>19.8</v>
      </c>
    </row>
    <row r="199">
      <c r="A199" s="1">
        <v>536389.0</v>
      </c>
      <c r="B199" s="1" t="str">
        <f t="shared" si="1"/>
        <v>536389</v>
      </c>
      <c r="C199" s="1" t="str">
        <f t="shared" si="2"/>
        <v>Sale</v>
      </c>
      <c r="D199" s="1">
        <v>22941.0</v>
      </c>
      <c r="E199" s="1" t="str">
        <f>IFERROR(__xludf.DUMMYFUNCTION("IF(LEN(D199)&gt;4, IFERROR(REGEXEXTRACT(TO_TEXT(D199),""\d+""),""""),"""")"),"22941")</f>
        <v>22941</v>
      </c>
      <c r="F199" s="6" t="str">
        <f t="shared" si="3"/>
        <v>Product</v>
      </c>
      <c r="G199" s="1" t="s">
        <v>196</v>
      </c>
      <c r="H199" s="6" t="str">
        <f>IFERROR(__xludf.DUMMYFUNCTION("IF(REGEXMATCH(LOWER(G199), ""^(\?)+\s*(missing)?\s*(\?)*$""), """", PROPER(SUBSTITUTE(SUBSTITUTE(G199, ""?"", """"), ""*"", """")))"),"Christmas Lights 10 Reindeer")</f>
        <v>Christmas Lights 10 Reindeer</v>
      </c>
      <c r="I199" s="3">
        <v>6.0</v>
      </c>
      <c r="J199" s="7">
        <v>40513.41875</v>
      </c>
      <c r="K199" s="8" t="str">
        <f t="shared" si="4"/>
        <v>2010-12</v>
      </c>
      <c r="L199" s="5">
        <v>8.5</v>
      </c>
      <c r="M199" s="3">
        <v>12431.0</v>
      </c>
      <c r="N199" s="1" t="str">
        <f t="shared" si="5"/>
        <v>Registered</v>
      </c>
      <c r="O199" s="1" t="s">
        <v>197</v>
      </c>
      <c r="P199" s="9" t="str">
        <f t="shared" si="6"/>
        <v>International</v>
      </c>
      <c r="Q199" s="8">
        <f t="shared" si="7"/>
        <v>51</v>
      </c>
    </row>
    <row r="200">
      <c r="A200" s="1">
        <v>536389.0</v>
      </c>
      <c r="B200" s="1" t="str">
        <f t="shared" si="1"/>
        <v>536389</v>
      </c>
      <c r="C200" s="1" t="str">
        <f t="shared" si="2"/>
        <v>Sale</v>
      </c>
      <c r="D200" s="1">
        <v>21622.0</v>
      </c>
      <c r="E200" s="1" t="str">
        <f>IFERROR(__xludf.DUMMYFUNCTION("IF(LEN(D200)&gt;4, IFERROR(REGEXEXTRACT(TO_TEXT(D200),""\d+""),""""),"""")"),"21622")</f>
        <v>21622</v>
      </c>
      <c r="F200" s="6" t="str">
        <f t="shared" si="3"/>
        <v>Product</v>
      </c>
      <c r="G200" s="1" t="s">
        <v>198</v>
      </c>
      <c r="H200" s="6" t="str">
        <f>IFERROR(__xludf.DUMMYFUNCTION("IF(REGEXMATCH(LOWER(G200), ""^(\?)+\s*(missing)?\s*(\?)*$""), """", PROPER(SUBSTITUTE(SUBSTITUTE(G200, ""?"", """"), ""*"", """")))"),"Vintage Union Jack Cushion Cover")</f>
        <v>Vintage Union Jack Cushion Cover</v>
      </c>
      <c r="I200" s="3">
        <v>8.0</v>
      </c>
      <c r="J200" s="7">
        <v>40513.41875</v>
      </c>
      <c r="K200" s="8" t="str">
        <f t="shared" si="4"/>
        <v>2010-12</v>
      </c>
      <c r="L200" s="5">
        <v>4.95</v>
      </c>
      <c r="M200" s="3">
        <v>12431.0</v>
      </c>
      <c r="N200" s="1" t="str">
        <f t="shared" si="5"/>
        <v>Registered</v>
      </c>
      <c r="O200" s="1" t="s">
        <v>197</v>
      </c>
      <c r="P200" s="9" t="str">
        <f t="shared" si="6"/>
        <v>International</v>
      </c>
      <c r="Q200" s="8">
        <f t="shared" si="7"/>
        <v>39.6</v>
      </c>
    </row>
    <row r="201">
      <c r="A201" s="1">
        <v>536389.0</v>
      </c>
      <c r="B201" s="1" t="str">
        <f t="shared" si="1"/>
        <v>536389</v>
      </c>
      <c r="C201" s="1" t="str">
        <f t="shared" si="2"/>
        <v>Sale</v>
      </c>
      <c r="D201" s="1">
        <v>21791.0</v>
      </c>
      <c r="E201" s="1" t="str">
        <f>IFERROR(__xludf.DUMMYFUNCTION("IF(LEN(D201)&gt;4, IFERROR(REGEXEXTRACT(TO_TEXT(D201),""\d+""),""""),"""")"),"21791")</f>
        <v>21791</v>
      </c>
      <c r="F201" s="6" t="str">
        <f t="shared" si="3"/>
        <v>Product</v>
      </c>
      <c r="G201" s="1" t="s">
        <v>55</v>
      </c>
      <c r="H201" s="6" t="str">
        <f>IFERROR(__xludf.DUMMYFUNCTION("IF(REGEXMATCH(LOWER(G201), ""^(\?)+\s*(missing)?\s*(\?)*$""), """", PROPER(SUBSTITUTE(SUBSTITUTE(G201, ""?"", """"), ""*"", """")))"),"Vintage Heads And Tails Card Game")</f>
        <v>Vintage Heads And Tails Card Game</v>
      </c>
      <c r="I201" s="3">
        <v>12.0</v>
      </c>
      <c r="J201" s="7">
        <v>40513.41875</v>
      </c>
      <c r="K201" s="8" t="str">
        <f t="shared" si="4"/>
        <v>2010-12</v>
      </c>
      <c r="L201" s="5">
        <v>1.25</v>
      </c>
      <c r="M201" s="3">
        <v>12431.0</v>
      </c>
      <c r="N201" s="1" t="str">
        <f t="shared" si="5"/>
        <v>Registered</v>
      </c>
      <c r="O201" s="1" t="s">
        <v>197</v>
      </c>
      <c r="P201" s="9" t="str">
        <f t="shared" si="6"/>
        <v>International</v>
      </c>
      <c r="Q201" s="8">
        <f t="shared" si="7"/>
        <v>15</v>
      </c>
    </row>
    <row r="202">
      <c r="A202" s="1">
        <v>536389.0</v>
      </c>
      <c r="B202" s="1" t="str">
        <f t="shared" si="1"/>
        <v>536389</v>
      </c>
      <c r="C202" s="1" t="str">
        <f t="shared" si="2"/>
        <v>Sale</v>
      </c>
      <c r="D202" s="1" t="s">
        <v>160</v>
      </c>
      <c r="E202" s="1" t="str">
        <f>IFERROR(__xludf.DUMMYFUNCTION("IF(LEN(D202)&gt;4, IFERROR(REGEXEXTRACT(TO_TEXT(D202),""\d+""),""""),"""")"),"35004")</f>
        <v>35004</v>
      </c>
      <c r="F202" s="6" t="str">
        <f t="shared" si="3"/>
        <v>Product</v>
      </c>
      <c r="G202" s="1" t="s">
        <v>161</v>
      </c>
      <c r="H202" s="6" t="str">
        <f>IFERROR(__xludf.DUMMYFUNCTION("IF(REGEXMATCH(LOWER(G202), ""^(\?)+\s*(missing)?\s*(\?)*$""), """", PROPER(SUBSTITUTE(SUBSTITUTE(G202, ""?"", """"), ""*"", """")))"),"Set Of 3 Coloured Flying Ducks")</f>
        <v>Set Of 3 Coloured Flying Ducks</v>
      </c>
      <c r="I202" s="3">
        <v>6.0</v>
      </c>
      <c r="J202" s="7">
        <v>40513.41875</v>
      </c>
      <c r="K202" s="8" t="str">
        <f t="shared" si="4"/>
        <v>2010-12</v>
      </c>
      <c r="L202" s="5">
        <v>5.45</v>
      </c>
      <c r="M202" s="3">
        <v>12431.0</v>
      </c>
      <c r="N202" s="1" t="str">
        <f t="shared" si="5"/>
        <v>Registered</v>
      </c>
      <c r="O202" s="1" t="s">
        <v>197</v>
      </c>
      <c r="P202" s="9" t="str">
        <f t="shared" si="6"/>
        <v>International</v>
      </c>
      <c r="Q202" s="8">
        <f t="shared" si="7"/>
        <v>32.7</v>
      </c>
    </row>
    <row r="203">
      <c r="A203" s="1">
        <v>536389.0</v>
      </c>
      <c r="B203" s="1" t="str">
        <f t="shared" si="1"/>
        <v>536389</v>
      </c>
      <c r="C203" s="1" t="str">
        <f t="shared" si="2"/>
        <v>Sale</v>
      </c>
      <c r="D203" s="1" t="s">
        <v>199</v>
      </c>
      <c r="E203" s="1" t="str">
        <f>IFERROR(__xludf.DUMMYFUNCTION("IF(LEN(D203)&gt;4, IFERROR(REGEXEXTRACT(TO_TEXT(D203),""\d+""),""""),"""")"),"35004")</f>
        <v>35004</v>
      </c>
      <c r="F203" s="6" t="str">
        <f t="shared" si="3"/>
        <v>Product</v>
      </c>
      <c r="G203" s="1" t="s">
        <v>200</v>
      </c>
      <c r="H203" s="6" t="str">
        <f>IFERROR(__xludf.DUMMYFUNCTION("IF(REGEXMATCH(LOWER(G203), ""^(\?)+\s*(missing)?\s*(\?)*$""), """", PROPER(SUBSTITUTE(SUBSTITUTE(G203, ""?"", """"), ""*"", """")))"),"Set Of 3 Gold Flying Ducks")</f>
        <v>Set Of 3 Gold Flying Ducks</v>
      </c>
      <c r="I203" s="3">
        <v>4.0</v>
      </c>
      <c r="J203" s="7">
        <v>40513.41875</v>
      </c>
      <c r="K203" s="8" t="str">
        <f t="shared" si="4"/>
        <v>2010-12</v>
      </c>
      <c r="L203" s="5">
        <v>6.35</v>
      </c>
      <c r="M203" s="3">
        <v>12431.0</v>
      </c>
      <c r="N203" s="1" t="str">
        <f t="shared" si="5"/>
        <v>Registered</v>
      </c>
      <c r="O203" s="1" t="s">
        <v>197</v>
      </c>
      <c r="P203" s="9" t="str">
        <f t="shared" si="6"/>
        <v>International</v>
      </c>
      <c r="Q203" s="8">
        <f t="shared" si="7"/>
        <v>25.4</v>
      </c>
    </row>
    <row r="204">
      <c r="A204" s="1">
        <v>536389.0</v>
      </c>
      <c r="B204" s="1" t="str">
        <f t="shared" si="1"/>
        <v>536389</v>
      </c>
      <c r="C204" s="1" t="str">
        <f t="shared" si="2"/>
        <v>Sale</v>
      </c>
      <c r="D204" s="1" t="s">
        <v>201</v>
      </c>
      <c r="E204" s="1" t="str">
        <f>IFERROR(__xludf.DUMMYFUNCTION("IF(LEN(D204)&gt;4, IFERROR(REGEXEXTRACT(TO_TEXT(D204),""\d+""),""""),"""")"),"85014")</f>
        <v>85014</v>
      </c>
      <c r="F204" s="6" t="str">
        <f t="shared" si="3"/>
        <v>Product</v>
      </c>
      <c r="G204" s="1" t="s">
        <v>202</v>
      </c>
      <c r="H204" s="6" t="str">
        <f>IFERROR(__xludf.DUMMYFUNCTION("IF(REGEXMATCH(LOWER(G204), ""^(\?)+\s*(missing)?\s*(\?)*$""), """", PROPER(SUBSTITUTE(SUBSTITUTE(G204, ""?"", """"), ""*"", """")))"),"Red Retrospot Umbrella")</f>
        <v>Red Retrospot Umbrella</v>
      </c>
      <c r="I204" s="3">
        <v>6.0</v>
      </c>
      <c r="J204" s="7">
        <v>40513.41875</v>
      </c>
      <c r="K204" s="8" t="str">
        <f t="shared" si="4"/>
        <v>2010-12</v>
      </c>
      <c r="L204" s="5">
        <v>5.95</v>
      </c>
      <c r="M204" s="3">
        <v>12431.0</v>
      </c>
      <c r="N204" s="1" t="str">
        <f t="shared" si="5"/>
        <v>Registered</v>
      </c>
      <c r="O204" s="1" t="s">
        <v>197</v>
      </c>
      <c r="P204" s="9" t="str">
        <f t="shared" si="6"/>
        <v>International</v>
      </c>
      <c r="Q204" s="8">
        <f t="shared" si="7"/>
        <v>35.7</v>
      </c>
    </row>
    <row r="205">
      <c r="A205" s="1">
        <v>536389.0</v>
      </c>
      <c r="B205" s="1" t="str">
        <f t="shared" si="1"/>
        <v>536389</v>
      </c>
      <c r="C205" s="1" t="str">
        <f t="shared" si="2"/>
        <v>Sale</v>
      </c>
      <c r="D205" s="1" t="s">
        <v>203</v>
      </c>
      <c r="E205" s="1" t="str">
        <f>IFERROR(__xludf.DUMMYFUNCTION("IF(LEN(D205)&gt;4, IFERROR(REGEXEXTRACT(TO_TEXT(D205),""\d+""),""""),"""")"),"85014")</f>
        <v>85014</v>
      </c>
      <c r="F205" s="6" t="str">
        <f t="shared" si="3"/>
        <v>Product</v>
      </c>
      <c r="G205" s="1" t="s">
        <v>204</v>
      </c>
      <c r="H205" s="6" t="str">
        <f>IFERROR(__xludf.DUMMYFUNCTION("IF(REGEXMATCH(LOWER(G205), ""^(\?)+\s*(missing)?\s*(\?)*$""), """", PROPER(SUBSTITUTE(SUBSTITUTE(G205, ""?"", """"), ""*"", """")))"),"Black/Blue Polkadot Umbrella")</f>
        <v>Black/Blue Polkadot Umbrella</v>
      </c>
      <c r="I205" s="3">
        <v>3.0</v>
      </c>
      <c r="J205" s="7">
        <v>40513.41875</v>
      </c>
      <c r="K205" s="8" t="str">
        <f t="shared" si="4"/>
        <v>2010-12</v>
      </c>
      <c r="L205" s="5">
        <v>5.95</v>
      </c>
      <c r="M205" s="3">
        <v>12431.0</v>
      </c>
      <c r="N205" s="1" t="str">
        <f t="shared" si="5"/>
        <v>Registered</v>
      </c>
      <c r="O205" s="1" t="s">
        <v>197</v>
      </c>
      <c r="P205" s="9" t="str">
        <f t="shared" si="6"/>
        <v>International</v>
      </c>
      <c r="Q205" s="8">
        <f t="shared" si="7"/>
        <v>17.85</v>
      </c>
    </row>
    <row r="206">
      <c r="A206" s="1">
        <v>536389.0</v>
      </c>
      <c r="B206" s="1" t="str">
        <f t="shared" si="1"/>
        <v>536389</v>
      </c>
      <c r="C206" s="1" t="str">
        <f t="shared" si="2"/>
        <v>Sale</v>
      </c>
      <c r="D206" s="1">
        <v>22193.0</v>
      </c>
      <c r="E206" s="1" t="str">
        <f>IFERROR(__xludf.DUMMYFUNCTION("IF(LEN(D206)&gt;4, IFERROR(REGEXEXTRACT(TO_TEXT(D206),""\d+""),""""),"""")"),"22193")</f>
        <v>22193</v>
      </c>
      <c r="F206" s="6" t="str">
        <f t="shared" si="3"/>
        <v>Product</v>
      </c>
      <c r="G206" s="1" t="s">
        <v>205</v>
      </c>
      <c r="H206" s="6" t="str">
        <f>IFERROR(__xludf.DUMMYFUNCTION("IF(REGEXMATCH(LOWER(G206), ""^(\?)+\s*(missing)?\s*(\?)*$""), """", PROPER(SUBSTITUTE(SUBSTITUTE(G206, ""?"", """"), ""*"", """")))"),"Red Diner Wall Clock")</f>
        <v>Red Diner Wall Clock</v>
      </c>
      <c r="I206" s="3">
        <v>2.0</v>
      </c>
      <c r="J206" s="7">
        <v>40513.41875</v>
      </c>
      <c r="K206" s="8" t="str">
        <f t="shared" si="4"/>
        <v>2010-12</v>
      </c>
      <c r="L206" s="5">
        <v>8.5</v>
      </c>
      <c r="M206" s="3">
        <v>12431.0</v>
      </c>
      <c r="N206" s="1" t="str">
        <f t="shared" si="5"/>
        <v>Registered</v>
      </c>
      <c r="O206" s="1" t="s">
        <v>197</v>
      </c>
      <c r="P206" s="9" t="str">
        <f t="shared" si="6"/>
        <v>International</v>
      </c>
      <c r="Q206" s="8">
        <f t="shared" si="7"/>
        <v>17</v>
      </c>
    </row>
    <row r="207">
      <c r="A207" s="1">
        <v>536389.0</v>
      </c>
      <c r="B207" s="1" t="str">
        <f t="shared" si="1"/>
        <v>536389</v>
      </c>
      <c r="C207" s="1" t="str">
        <f t="shared" si="2"/>
        <v>Sale</v>
      </c>
      <c r="D207" s="1">
        <v>22726.0</v>
      </c>
      <c r="E207" s="1" t="str">
        <f>IFERROR(__xludf.DUMMYFUNCTION("IF(LEN(D207)&gt;4, IFERROR(REGEXEXTRACT(TO_TEXT(D207),""\d+""),""""),"""")"),"22726")</f>
        <v>22726</v>
      </c>
      <c r="F207" s="6" t="str">
        <f t="shared" si="3"/>
        <v>Product</v>
      </c>
      <c r="G207" s="1" t="s">
        <v>51</v>
      </c>
      <c r="H207" s="6" t="str">
        <f>IFERROR(__xludf.DUMMYFUNCTION("IF(REGEXMATCH(LOWER(G207), ""^(\?)+\s*(missing)?\s*(\?)*$""), """", PROPER(SUBSTITUTE(SUBSTITUTE(G207, ""?"", """"), ""*"", """")))"),"Alarm Clock Bakelike Green")</f>
        <v>Alarm Clock Bakelike Green</v>
      </c>
      <c r="I207" s="3">
        <v>4.0</v>
      </c>
      <c r="J207" s="7">
        <v>40513.41875</v>
      </c>
      <c r="K207" s="8" t="str">
        <f t="shared" si="4"/>
        <v>2010-12</v>
      </c>
      <c r="L207" s="5">
        <v>3.75</v>
      </c>
      <c r="M207" s="3">
        <v>12431.0</v>
      </c>
      <c r="N207" s="1" t="str">
        <f t="shared" si="5"/>
        <v>Registered</v>
      </c>
      <c r="O207" s="1" t="s">
        <v>197</v>
      </c>
      <c r="P207" s="9" t="str">
        <f t="shared" si="6"/>
        <v>International</v>
      </c>
      <c r="Q207" s="8">
        <f t="shared" si="7"/>
        <v>15</v>
      </c>
    </row>
    <row r="208">
      <c r="A208" s="1">
        <v>536389.0</v>
      </c>
      <c r="B208" s="1" t="str">
        <f t="shared" si="1"/>
        <v>536389</v>
      </c>
      <c r="C208" s="1" t="str">
        <f t="shared" si="2"/>
        <v>Sale</v>
      </c>
      <c r="D208" s="1">
        <v>22727.0</v>
      </c>
      <c r="E208" s="1" t="str">
        <f>IFERROR(__xludf.DUMMYFUNCTION("IF(LEN(D208)&gt;4, IFERROR(REGEXEXTRACT(TO_TEXT(D208),""\d+""),""""),"""")"),"22727")</f>
        <v>22727</v>
      </c>
      <c r="F208" s="6" t="str">
        <f t="shared" si="3"/>
        <v>Product</v>
      </c>
      <c r="G208" s="1" t="s">
        <v>50</v>
      </c>
      <c r="H208" s="6" t="str">
        <f>IFERROR(__xludf.DUMMYFUNCTION("IF(REGEXMATCH(LOWER(G208), ""^(\?)+\s*(missing)?\s*(\?)*$""), """", PROPER(SUBSTITUTE(SUBSTITUTE(G208, ""?"", """"), ""*"", """")))"),"Alarm Clock Bakelike Red")</f>
        <v>Alarm Clock Bakelike Red</v>
      </c>
      <c r="I208" s="3">
        <v>4.0</v>
      </c>
      <c r="J208" s="7">
        <v>40513.41875</v>
      </c>
      <c r="K208" s="8" t="str">
        <f t="shared" si="4"/>
        <v>2010-12</v>
      </c>
      <c r="L208" s="5">
        <v>3.75</v>
      </c>
      <c r="M208" s="3">
        <v>12431.0</v>
      </c>
      <c r="N208" s="1" t="str">
        <f t="shared" si="5"/>
        <v>Registered</v>
      </c>
      <c r="O208" s="1" t="s">
        <v>197</v>
      </c>
      <c r="P208" s="9" t="str">
        <f t="shared" si="6"/>
        <v>International</v>
      </c>
      <c r="Q208" s="8">
        <f t="shared" si="7"/>
        <v>15</v>
      </c>
    </row>
    <row r="209">
      <c r="A209" s="1">
        <v>536389.0</v>
      </c>
      <c r="B209" s="1" t="str">
        <f t="shared" si="1"/>
        <v>536389</v>
      </c>
      <c r="C209" s="1" t="str">
        <f t="shared" si="2"/>
        <v>Sale</v>
      </c>
      <c r="D209" s="1">
        <v>22192.0</v>
      </c>
      <c r="E209" s="1" t="str">
        <f>IFERROR(__xludf.DUMMYFUNCTION("IF(LEN(D209)&gt;4, IFERROR(REGEXEXTRACT(TO_TEXT(D209),""\d+""),""""),"""")"),"22192")</f>
        <v>22192</v>
      </c>
      <c r="F209" s="6" t="str">
        <f t="shared" si="3"/>
        <v>Product</v>
      </c>
      <c r="G209" s="1" t="s">
        <v>206</v>
      </c>
      <c r="H209" s="6" t="str">
        <f>IFERROR(__xludf.DUMMYFUNCTION("IF(REGEXMATCH(LOWER(G209), ""^(\?)+\s*(missing)?\s*(\?)*$""), """", PROPER(SUBSTITUTE(SUBSTITUTE(G209, ""?"", """"), ""*"", """")))"),"Blue Diner Wall Clock")</f>
        <v>Blue Diner Wall Clock</v>
      </c>
      <c r="I209" s="3">
        <v>2.0</v>
      </c>
      <c r="J209" s="7">
        <v>40513.41875</v>
      </c>
      <c r="K209" s="8" t="str">
        <f t="shared" si="4"/>
        <v>2010-12</v>
      </c>
      <c r="L209" s="5">
        <v>8.5</v>
      </c>
      <c r="M209" s="3">
        <v>12431.0</v>
      </c>
      <c r="N209" s="1" t="str">
        <f t="shared" si="5"/>
        <v>Registered</v>
      </c>
      <c r="O209" s="1" t="s">
        <v>197</v>
      </c>
      <c r="P209" s="9" t="str">
        <f t="shared" si="6"/>
        <v>International</v>
      </c>
      <c r="Q209" s="8">
        <f t="shared" si="7"/>
        <v>17</v>
      </c>
    </row>
    <row r="210">
      <c r="A210" s="1">
        <v>536389.0</v>
      </c>
      <c r="B210" s="1" t="str">
        <f t="shared" si="1"/>
        <v>536389</v>
      </c>
      <c r="C210" s="1" t="str">
        <f t="shared" si="2"/>
        <v>Sale</v>
      </c>
      <c r="D210" s="1">
        <v>22191.0</v>
      </c>
      <c r="E210" s="1" t="str">
        <f>IFERROR(__xludf.DUMMYFUNCTION("IF(LEN(D210)&gt;4, IFERROR(REGEXEXTRACT(TO_TEXT(D210),""\d+""),""""),"""")"),"22191")</f>
        <v>22191</v>
      </c>
      <c r="F210" s="6" t="str">
        <f t="shared" si="3"/>
        <v>Product</v>
      </c>
      <c r="G210" s="1" t="s">
        <v>207</v>
      </c>
      <c r="H210" s="6" t="str">
        <f>IFERROR(__xludf.DUMMYFUNCTION("IF(REGEXMATCH(LOWER(G210), ""^(\?)+\s*(missing)?\s*(\?)*$""), """", PROPER(SUBSTITUTE(SUBSTITUTE(G210, ""?"", """"), ""*"", """")))"),"Ivory Diner Wall Clock")</f>
        <v>Ivory Diner Wall Clock</v>
      </c>
      <c r="I210" s="3">
        <v>2.0</v>
      </c>
      <c r="J210" s="7">
        <v>40513.41875</v>
      </c>
      <c r="K210" s="8" t="str">
        <f t="shared" si="4"/>
        <v>2010-12</v>
      </c>
      <c r="L210" s="5">
        <v>8.5</v>
      </c>
      <c r="M210" s="3">
        <v>12431.0</v>
      </c>
      <c r="N210" s="1" t="str">
        <f t="shared" si="5"/>
        <v>Registered</v>
      </c>
      <c r="O210" s="1" t="s">
        <v>197</v>
      </c>
      <c r="P210" s="9" t="str">
        <f t="shared" si="6"/>
        <v>International</v>
      </c>
      <c r="Q210" s="8">
        <f t="shared" si="7"/>
        <v>17</v>
      </c>
    </row>
    <row r="211">
      <c r="A211" s="1">
        <v>536389.0</v>
      </c>
      <c r="B211" s="1" t="str">
        <f t="shared" si="1"/>
        <v>536389</v>
      </c>
      <c r="C211" s="1" t="str">
        <f t="shared" si="2"/>
        <v>Sale</v>
      </c>
      <c r="D211" s="1">
        <v>22195.0</v>
      </c>
      <c r="E211" s="1" t="str">
        <f>IFERROR(__xludf.DUMMYFUNCTION("IF(LEN(D211)&gt;4, IFERROR(REGEXEXTRACT(TO_TEXT(D211),""\d+""),""""),"""")"),"22195")</f>
        <v>22195</v>
      </c>
      <c r="F211" s="6" t="str">
        <f t="shared" si="3"/>
        <v>Product</v>
      </c>
      <c r="G211" s="1" t="s">
        <v>208</v>
      </c>
      <c r="H211" s="6" t="str">
        <f>IFERROR(__xludf.DUMMYFUNCTION("IF(REGEXMATCH(LOWER(G211), ""^(\?)+\s*(missing)?\s*(\?)*$""), """", PROPER(SUBSTITUTE(SUBSTITUTE(G211, ""?"", """"), ""*"", """")))"),"Large Heart Measuring Spoons")</f>
        <v>Large Heart Measuring Spoons</v>
      </c>
      <c r="I211" s="3">
        <v>24.0</v>
      </c>
      <c r="J211" s="7">
        <v>40513.41875</v>
      </c>
      <c r="K211" s="8" t="str">
        <f t="shared" si="4"/>
        <v>2010-12</v>
      </c>
      <c r="L211" s="5">
        <v>1.65</v>
      </c>
      <c r="M211" s="3">
        <v>12431.0</v>
      </c>
      <c r="N211" s="1" t="str">
        <f t="shared" si="5"/>
        <v>Registered</v>
      </c>
      <c r="O211" s="1" t="s">
        <v>197</v>
      </c>
      <c r="P211" s="9" t="str">
        <f t="shared" si="6"/>
        <v>International</v>
      </c>
      <c r="Q211" s="8">
        <f t="shared" si="7"/>
        <v>39.6</v>
      </c>
    </row>
    <row r="212">
      <c r="A212" s="1">
        <v>536389.0</v>
      </c>
      <c r="B212" s="1" t="str">
        <f t="shared" si="1"/>
        <v>536389</v>
      </c>
      <c r="C212" s="1" t="str">
        <f t="shared" si="2"/>
        <v>Sale</v>
      </c>
      <c r="D212" s="1">
        <v>22196.0</v>
      </c>
      <c r="E212" s="1" t="str">
        <f>IFERROR(__xludf.DUMMYFUNCTION("IF(LEN(D212)&gt;4, IFERROR(REGEXEXTRACT(TO_TEXT(D212),""\d+""),""""),"""")"),"22196")</f>
        <v>22196</v>
      </c>
      <c r="F212" s="6" t="str">
        <f t="shared" si="3"/>
        <v>Product</v>
      </c>
      <c r="G212" s="1" t="s">
        <v>209</v>
      </c>
      <c r="H212" s="6" t="str">
        <f>IFERROR(__xludf.DUMMYFUNCTION("IF(REGEXMATCH(LOWER(G212), ""^(\?)+\s*(missing)?\s*(\?)*$""), """", PROPER(SUBSTITUTE(SUBSTITUTE(G212, ""?"", """"), ""*"", """")))"),"Small Heart Measuring Spoons")</f>
        <v>Small Heart Measuring Spoons</v>
      </c>
      <c r="I212" s="3">
        <v>24.0</v>
      </c>
      <c r="J212" s="7">
        <v>40513.41875</v>
      </c>
      <c r="K212" s="8" t="str">
        <f t="shared" si="4"/>
        <v>2010-12</v>
      </c>
      <c r="L212" s="5">
        <v>0.85</v>
      </c>
      <c r="M212" s="3">
        <v>12431.0</v>
      </c>
      <c r="N212" s="1" t="str">
        <f t="shared" si="5"/>
        <v>Registered</v>
      </c>
      <c r="O212" s="1" t="s">
        <v>197</v>
      </c>
      <c r="P212" s="9" t="str">
        <f t="shared" si="6"/>
        <v>International</v>
      </c>
      <c r="Q212" s="8">
        <f t="shared" si="7"/>
        <v>20.4</v>
      </c>
    </row>
    <row r="213">
      <c r="A213" s="1">
        <v>536390.0</v>
      </c>
      <c r="B213" s="1" t="str">
        <f t="shared" si="1"/>
        <v>536390</v>
      </c>
      <c r="C213" s="1" t="str">
        <f t="shared" si="2"/>
        <v>Sale</v>
      </c>
      <c r="D213" s="1">
        <v>22941.0</v>
      </c>
      <c r="E213" s="1" t="str">
        <f>IFERROR(__xludf.DUMMYFUNCTION("IF(LEN(D213)&gt;4, IFERROR(REGEXEXTRACT(TO_TEXT(D213),""\d+""),""""),"""")"),"22941")</f>
        <v>22941</v>
      </c>
      <c r="F213" s="6" t="str">
        <f t="shared" si="3"/>
        <v>Product</v>
      </c>
      <c r="G213" s="1" t="s">
        <v>196</v>
      </c>
      <c r="H213" s="6" t="str">
        <f>IFERROR(__xludf.DUMMYFUNCTION("IF(REGEXMATCH(LOWER(G213), ""^(\?)+\s*(missing)?\s*(\?)*$""), """", PROPER(SUBSTITUTE(SUBSTITUTE(G213, ""?"", """"), ""*"", """")))"),"Christmas Lights 10 Reindeer")</f>
        <v>Christmas Lights 10 Reindeer</v>
      </c>
      <c r="I213" s="3">
        <v>2.0</v>
      </c>
      <c r="J213" s="7">
        <v>40513.42986111111</v>
      </c>
      <c r="K213" s="8" t="str">
        <f t="shared" si="4"/>
        <v>2010-12</v>
      </c>
      <c r="L213" s="5">
        <v>8.5</v>
      </c>
      <c r="M213" s="3">
        <v>17511.0</v>
      </c>
      <c r="N213" s="1" t="str">
        <f t="shared" si="5"/>
        <v>Registered</v>
      </c>
      <c r="O213" s="1" t="s">
        <v>19</v>
      </c>
      <c r="P213" s="9" t="str">
        <f t="shared" si="6"/>
        <v>UK</v>
      </c>
      <c r="Q213" s="8">
        <f t="shared" si="7"/>
        <v>17</v>
      </c>
    </row>
    <row r="214">
      <c r="A214" s="1">
        <v>536390.0</v>
      </c>
      <c r="B214" s="1" t="str">
        <f t="shared" si="1"/>
        <v>536390</v>
      </c>
      <c r="C214" s="1" t="str">
        <f t="shared" si="2"/>
        <v>Sale</v>
      </c>
      <c r="D214" s="1">
        <v>22960.0</v>
      </c>
      <c r="E214" s="1" t="str">
        <f>IFERROR(__xludf.DUMMYFUNCTION("IF(LEN(D214)&gt;4, IFERROR(REGEXEXTRACT(TO_TEXT(D214),""\d+""),""""),"""")"),"22960")</f>
        <v>22960</v>
      </c>
      <c r="F214" s="6" t="str">
        <f t="shared" si="3"/>
        <v>Product</v>
      </c>
      <c r="G214" s="1" t="s">
        <v>43</v>
      </c>
      <c r="H214" s="6" t="str">
        <f>IFERROR(__xludf.DUMMYFUNCTION("IF(REGEXMATCH(LOWER(G214), ""^(\?)+\s*(missing)?\s*(\?)*$""), """", PROPER(SUBSTITUTE(SUBSTITUTE(G214, ""?"", """"), ""*"", """")))"),"Jam Making Set With Jars")</f>
        <v>Jam Making Set With Jars</v>
      </c>
      <c r="I214" s="3">
        <v>12.0</v>
      </c>
      <c r="J214" s="7">
        <v>40513.42986111111</v>
      </c>
      <c r="K214" s="8" t="str">
        <f t="shared" si="4"/>
        <v>2010-12</v>
      </c>
      <c r="L214" s="5">
        <v>3.75</v>
      </c>
      <c r="M214" s="3">
        <v>17511.0</v>
      </c>
      <c r="N214" s="1" t="str">
        <f t="shared" si="5"/>
        <v>Registered</v>
      </c>
      <c r="O214" s="1" t="s">
        <v>19</v>
      </c>
      <c r="P214" s="9" t="str">
        <f t="shared" si="6"/>
        <v>UK</v>
      </c>
      <c r="Q214" s="8">
        <f t="shared" si="7"/>
        <v>45</v>
      </c>
    </row>
    <row r="215">
      <c r="A215" s="1">
        <v>536390.0</v>
      </c>
      <c r="B215" s="1" t="str">
        <f t="shared" si="1"/>
        <v>536390</v>
      </c>
      <c r="C215" s="1" t="str">
        <f t="shared" si="2"/>
        <v>Sale</v>
      </c>
      <c r="D215" s="1">
        <v>22961.0</v>
      </c>
      <c r="E215" s="1" t="str">
        <f>IFERROR(__xludf.DUMMYFUNCTION("IF(LEN(D215)&gt;4, IFERROR(REGEXEXTRACT(TO_TEXT(D215),""\d+""),""""),"""")"),"22961")</f>
        <v>22961</v>
      </c>
      <c r="F215" s="6" t="str">
        <f t="shared" si="3"/>
        <v>Product</v>
      </c>
      <c r="G215" s="1" t="s">
        <v>109</v>
      </c>
      <c r="H215" s="6" t="str">
        <f>IFERROR(__xludf.DUMMYFUNCTION("IF(REGEXMATCH(LOWER(G215), ""^(\?)+\s*(missing)?\s*(\?)*$""), """", PROPER(SUBSTITUTE(SUBSTITUTE(G215, ""?"", """"), ""*"", """")))"),"Jam Making Set Printed")</f>
        <v>Jam Making Set Printed</v>
      </c>
      <c r="I215" s="3">
        <v>12.0</v>
      </c>
      <c r="J215" s="7">
        <v>40513.42986111111</v>
      </c>
      <c r="K215" s="8" t="str">
        <f t="shared" si="4"/>
        <v>2010-12</v>
      </c>
      <c r="L215" s="5">
        <v>1.45</v>
      </c>
      <c r="M215" s="3">
        <v>17511.0</v>
      </c>
      <c r="N215" s="1" t="str">
        <f t="shared" si="5"/>
        <v>Registered</v>
      </c>
      <c r="O215" s="1" t="s">
        <v>19</v>
      </c>
      <c r="P215" s="9" t="str">
        <f t="shared" si="6"/>
        <v>UK</v>
      </c>
      <c r="Q215" s="8">
        <f t="shared" si="7"/>
        <v>17.4</v>
      </c>
    </row>
    <row r="216">
      <c r="A216" s="1">
        <v>536390.0</v>
      </c>
      <c r="B216" s="1" t="str">
        <f t="shared" si="1"/>
        <v>536390</v>
      </c>
      <c r="C216" s="1" t="str">
        <f t="shared" si="2"/>
        <v>Sale</v>
      </c>
      <c r="D216" s="1">
        <v>22962.0</v>
      </c>
      <c r="E216" s="1" t="str">
        <f>IFERROR(__xludf.DUMMYFUNCTION("IF(LEN(D216)&gt;4, IFERROR(REGEXEXTRACT(TO_TEXT(D216),""\d+""),""""),"""")"),"22962")</f>
        <v>22962</v>
      </c>
      <c r="F216" s="6" t="str">
        <f t="shared" si="3"/>
        <v>Product</v>
      </c>
      <c r="G216" s="1" t="s">
        <v>210</v>
      </c>
      <c r="H216" s="6" t="str">
        <f>IFERROR(__xludf.DUMMYFUNCTION("IF(REGEXMATCH(LOWER(G216), ""^(\?)+\s*(missing)?\s*(\?)*$""), """", PROPER(SUBSTITUTE(SUBSTITUTE(G216, ""?"", """"), ""*"", """")))"),"Jam Jar With Pink Lid")</f>
        <v>Jam Jar With Pink Lid</v>
      </c>
      <c r="I216" s="3">
        <v>48.0</v>
      </c>
      <c r="J216" s="7">
        <v>40513.42986111111</v>
      </c>
      <c r="K216" s="8" t="str">
        <f t="shared" si="4"/>
        <v>2010-12</v>
      </c>
      <c r="L216" s="5">
        <v>0.72</v>
      </c>
      <c r="M216" s="3">
        <v>17511.0</v>
      </c>
      <c r="N216" s="1" t="str">
        <f t="shared" si="5"/>
        <v>Registered</v>
      </c>
      <c r="O216" s="1" t="s">
        <v>19</v>
      </c>
      <c r="P216" s="9" t="str">
        <f t="shared" si="6"/>
        <v>UK</v>
      </c>
      <c r="Q216" s="8">
        <f t="shared" si="7"/>
        <v>34.56</v>
      </c>
    </row>
    <row r="217">
      <c r="A217" s="1">
        <v>536390.0</v>
      </c>
      <c r="B217" s="1" t="str">
        <f t="shared" si="1"/>
        <v>536390</v>
      </c>
      <c r="C217" s="1" t="str">
        <f t="shared" si="2"/>
        <v>Sale</v>
      </c>
      <c r="D217" s="1">
        <v>22963.0</v>
      </c>
      <c r="E217" s="1" t="str">
        <f>IFERROR(__xludf.DUMMYFUNCTION("IF(LEN(D217)&gt;4, IFERROR(REGEXEXTRACT(TO_TEXT(D217),""\d+""),""""),"""")"),"22963")</f>
        <v>22963</v>
      </c>
      <c r="F217" s="6" t="str">
        <f t="shared" si="3"/>
        <v>Product</v>
      </c>
      <c r="G217" s="1" t="s">
        <v>211</v>
      </c>
      <c r="H217" s="6" t="str">
        <f>IFERROR(__xludf.DUMMYFUNCTION("IF(REGEXMATCH(LOWER(G217), ""^(\?)+\s*(missing)?\s*(\?)*$""), """", PROPER(SUBSTITUTE(SUBSTITUTE(G217, ""?"", """"), ""*"", """")))"),"Jam Jar With Green Lid")</f>
        <v>Jam Jar With Green Lid</v>
      </c>
      <c r="I217" s="3">
        <v>48.0</v>
      </c>
      <c r="J217" s="7">
        <v>40513.42986111111</v>
      </c>
      <c r="K217" s="8" t="str">
        <f t="shared" si="4"/>
        <v>2010-12</v>
      </c>
      <c r="L217" s="5">
        <v>0.72</v>
      </c>
      <c r="M217" s="3">
        <v>17511.0</v>
      </c>
      <c r="N217" s="1" t="str">
        <f t="shared" si="5"/>
        <v>Registered</v>
      </c>
      <c r="O217" s="1" t="s">
        <v>19</v>
      </c>
      <c r="P217" s="9" t="str">
        <f t="shared" si="6"/>
        <v>UK</v>
      </c>
      <c r="Q217" s="8">
        <f t="shared" si="7"/>
        <v>34.56</v>
      </c>
    </row>
    <row r="218">
      <c r="A218" s="1">
        <v>536390.0</v>
      </c>
      <c r="B218" s="1" t="str">
        <f t="shared" si="1"/>
        <v>536390</v>
      </c>
      <c r="C218" s="1" t="str">
        <f t="shared" si="2"/>
        <v>Sale</v>
      </c>
      <c r="D218" s="1">
        <v>22968.0</v>
      </c>
      <c r="E218" s="1" t="str">
        <f>IFERROR(__xludf.DUMMYFUNCTION("IF(LEN(D218)&gt;4, IFERROR(REGEXEXTRACT(TO_TEXT(D218),""\d+""),""""),"""")"),"22968")</f>
        <v>22968</v>
      </c>
      <c r="F218" s="6" t="str">
        <f t="shared" si="3"/>
        <v>Product</v>
      </c>
      <c r="G218" s="1" t="s">
        <v>212</v>
      </c>
      <c r="H218" s="6" t="str">
        <f>IFERROR(__xludf.DUMMYFUNCTION("IF(REGEXMATCH(LOWER(G218), ""^(\?)+\s*(missing)?\s*(\?)*$""), """", PROPER(SUBSTITUTE(SUBSTITUTE(G218, ""?"", """"), ""*"", """")))"),"Rose Cottage Keepsake Box")</f>
        <v>Rose Cottage Keepsake Box</v>
      </c>
      <c r="I218" s="3">
        <v>8.0</v>
      </c>
      <c r="J218" s="7">
        <v>40513.42986111111</v>
      </c>
      <c r="K218" s="8" t="str">
        <f t="shared" si="4"/>
        <v>2010-12</v>
      </c>
      <c r="L218" s="5">
        <v>8.5</v>
      </c>
      <c r="M218" s="3">
        <v>17511.0</v>
      </c>
      <c r="N218" s="1" t="str">
        <f t="shared" si="5"/>
        <v>Registered</v>
      </c>
      <c r="O218" s="1" t="s">
        <v>19</v>
      </c>
      <c r="P218" s="9" t="str">
        <f t="shared" si="6"/>
        <v>UK</v>
      </c>
      <c r="Q218" s="8">
        <f t="shared" si="7"/>
        <v>68</v>
      </c>
    </row>
    <row r="219">
      <c r="A219" s="1">
        <v>536390.0</v>
      </c>
      <c r="B219" s="1" t="str">
        <f t="shared" si="1"/>
        <v>536390</v>
      </c>
      <c r="C219" s="1" t="str">
        <f t="shared" si="2"/>
        <v>Sale</v>
      </c>
      <c r="D219" s="1" t="s">
        <v>213</v>
      </c>
      <c r="E219" s="1" t="str">
        <f>IFERROR(__xludf.DUMMYFUNCTION("IF(LEN(D219)&gt;4, IFERROR(REGEXEXTRACT(TO_TEXT(D219),""\d+""),""""),"""")"),"84970")</f>
        <v>84970</v>
      </c>
      <c r="F219" s="6" t="str">
        <f t="shared" si="3"/>
        <v>Product</v>
      </c>
      <c r="G219" s="1" t="s">
        <v>214</v>
      </c>
      <c r="H219" s="6" t="str">
        <f>IFERROR(__xludf.DUMMYFUNCTION("IF(REGEXMATCH(LOWER(G219), ""^(\?)+\s*(missing)?\s*(\?)*$""), """", PROPER(SUBSTITUTE(SUBSTITUTE(G219, ""?"", """"), ""*"", """")))"),"Hanging Heart Zinc T-Light Holder")</f>
        <v>Hanging Heart Zinc T-Light Holder</v>
      </c>
      <c r="I219" s="3">
        <v>144.0</v>
      </c>
      <c r="J219" s="7">
        <v>40513.42986111111</v>
      </c>
      <c r="K219" s="8" t="str">
        <f t="shared" si="4"/>
        <v>2010-12</v>
      </c>
      <c r="L219" s="5">
        <v>0.64</v>
      </c>
      <c r="M219" s="3">
        <v>17511.0</v>
      </c>
      <c r="N219" s="1" t="str">
        <f t="shared" si="5"/>
        <v>Registered</v>
      </c>
      <c r="O219" s="1" t="s">
        <v>19</v>
      </c>
      <c r="P219" s="9" t="str">
        <f t="shared" si="6"/>
        <v>UK</v>
      </c>
      <c r="Q219" s="8">
        <f t="shared" si="7"/>
        <v>92.16</v>
      </c>
    </row>
    <row r="220">
      <c r="A220" s="1">
        <v>536390.0</v>
      </c>
      <c r="B220" s="1" t="str">
        <f t="shared" si="1"/>
        <v>536390</v>
      </c>
      <c r="C220" s="1" t="str">
        <f t="shared" si="2"/>
        <v>Sale</v>
      </c>
      <c r="D220" s="1">
        <v>22910.0</v>
      </c>
      <c r="E220" s="1" t="str">
        <f>IFERROR(__xludf.DUMMYFUNCTION("IF(LEN(D220)&gt;4, IFERROR(REGEXEXTRACT(TO_TEXT(D220),""\d+""),""""),"""")"),"22910")</f>
        <v>22910</v>
      </c>
      <c r="F220" s="6" t="str">
        <f t="shared" si="3"/>
        <v>Product</v>
      </c>
      <c r="G220" s="1" t="s">
        <v>215</v>
      </c>
      <c r="H220" s="6" t="str">
        <f>IFERROR(__xludf.DUMMYFUNCTION("IF(REGEXMATCH(LOWER(G220), ""^(\?)+\s*(missing)?\s*(\?)*$""), """", PROPER(SUBSTITUTE(SUBSTITUTE(G220, ""?"", """"), ""*"", """")))"),"Paper Chain Kit Vintage Christmas")</f>
        <v>Paper Chain Kit Vintage Christmas</v>
      </c>
      <c r="I220" s="3">
        <v>40.0</v>
      </c>
      <c r="J220" s="7">
        <v>40513.42986111111</v>
      </c>
      <c r="K220" s="8" t="str">
        <f t="shared" si="4"/>
        <v>2010-12</v>
      </c>
      <c r="L220" s="5">
        <v>2.55</v>
      </c>
      <c r="M220" s="3">
        <v>17511.0</v>
      </c>
      <c r="N220" s="1" t="str">
        <f t="shared" si="5"/>
        <v>Registered</v>
      </c>
      <c r="O220" s="1" t="s">
        <v>19</v>
      </c>
      <c r="P220" s="9" t="str">
        <f t="shared" si="6"/>
        <v>UK</v>
      </c>
      <c r="Q220" s="8">
        <f t="shared" si="7"/>
        <v>102</v>
      </c>
    </row>
    <row r="221">
      <c r="A221" s="1">
        <v>536390.0</v>
      </c>
      <c r="B221" s="1" t="str">
        <f t="shared" si="1"/>
        <v>536390</v>
      </c>
      <c r="C221" s="1" t="str">
        <f t="shared" si="2"/>
        <v>Sale</v>
      </c>
      <c r="D221" s="1">
        <v>20668.0</v>
      </c>
      <c r="E221" s="1" t="str">
        <f>IFERROR(__xludf.DUMMYFUNCTION("IF(LEN(D221)&gt;4, IFERROR(REGEXEXTRACT(TO_TEXT(D221),""\d+""),""""),"""")"),"20668")</f>
        <v>20668</v>
      </c>
      <c r="F221" s="6" t="str">
        <f t="shared" si="3"/>
        <v>Product</v>
      </c>
      <c r="G221" s="1" t="s">
        <v>216</v>
      </c>
      <c r="H221" s="6" t="str">
        <f>IFERROR(__xludf.DUMMYFUNCTION("IF(REGEXMATCH(LOWER(G221), ""^(\?)+\s*(missing)?\s*(\?)*$""), """", PROPER(SUBSTITUTE(SUBSTITUTE(G221, ""?"", """"), ""*"", """")))"),"Disco Ball Christmas Decoration")</f>
        <v>Disco Ball Christmas Decoration</v>
      </c>
      <c r="I221" s="3">
        <v>288.0</v>
      </c>
      <c r="J221" s="7">
        <v>40513.42986111111</v>
      </c>
      <c r="K221" s="8" t="str">
        <f t="shared" si="4"/>
        <v>2010-12</v>
      </c>
      <c r="L221" s="5">
        <v>0.1</v>
      </c>
      <c r="M221" s="3">
        <v>17511.0</v>
      </c>
      <c r="N221" s="1" t="str">
        <f t="shared" si="5"/>
        <v>Registered</v>
      </c>
      <c r="O221" s="1" t="s">
        <v>19</v>
      </c>
      <c r="P221" s="9" t="str">
        <f t="shared" si="6"/>
        <v>UK</v>
      </c>
      <c r="Q221" s="8">
        <f t="shared" si="7"/>
        <v>28.8</v>
      </c>
    </row>
    <row r="222">
      <c r="A222" s="1">
        <v>536390.0</v>
      </c>
      <c r="B222" s="1" t="str">
        <f t="shared" si="1"/>
        <v>536390</v>
      </c>
      <c r="C222" s="1" t="str">
        <f t="shared" si="2"/>
        <v>Sale</v>
      </c>
      <c r="D222" s="1" t="s">
        <v>17</v>
      </c>
      <c r="E222" s="1" t="str">
        <f>IFERROR(__xludf.DUMMYFUNCTION("IF(LEN(D222)&gt;4, IFERROR(REGEXEXTRACT(TO_TEXT(D222),""\d+""),""""),"""")"),"85123")</f>
        <v>85123</v>
      </c>
      <c r="F222" s="6" t="str">
        <f t="shared" si="3"/>
        <v>Product</v>
      </c>
      <c r="G222" s="1" t="s">
        <v>18</v>
      </c>
      <c r="H222" s="6" t="str">
        <f>IFERROR(__xludf.DUMMYFUNCTION("IF(REGEXMATCH(LOWER(G222), ""^(\?)+\s*(missing)?\s*(\?)*$""), """", PROPER(SUBSTITUTE(SUBSTITUTE(G222, ""?"", """"), ""*"", """")))"),"White Hanging Heart T-Light Holder")</f>
        <v>White Hanging Heart T-Light Holder</v>
      </c>
      <c r="I222" s="3">
        <v>64.0</v>
      </c>
      <c r="J222" s="7">
        <v>40513.42986111111</v>
      </c>
      <c r="K222" s="8" t="str">
        <f t="shared" si="4"/>
        <v>2010-12</v>
      </c>
      <c r="L222" s="5">
        <v>2.55</v>
      </c>
      <c r="M222" s="3">
        <v>17511.0</v>
      </c>
      <c r="N222" s="1" t="str">
        <f t="shared" si="5"/>
        <v>Registered</v>
      </c>
      <c r="O222" s="1" t="s">
        <v>19</v>
      </c>
      <c r="P222" s="9" t="str">
        <f t="shared" si="6"/>
        <v>UK</v>
      </c>
      <c r="Q222" s="8">
        <f t="shared" si="7"/>
        <v>163.2</v>
      </c>
    </row>
    <row r="223">
      <c r="A223" s="1">
        <v>536390.0</v>
      </c>
      <c r="B223" s="1" t="str">
        <f t="shared" si="1"/>
        <v>536390</v>
      </c>
      <c r="C223" s="1" t="str">
        <f t="shared" si="2"/>
        <v>Sale</v>
      </c>
      <c r="D223" s="1">
        <v>22197.0</v>
      </c>
      <c r="E223" s="1" t="str">
        <f>IFERROR(__xludf.DUMMYFUNCTION("IF(LEN(D223)&gt;4, IFERROR(REGEXEXTRACT(TO_TEXT(D223),""\d+""),""""),"""")"),"22197")</f>
        <v>22197</v>
      </c>
      <c r="F223" s="6" t="str">
        <f t="shared" si="3"/>
        <v>Product</v>
      </c>
      <c r="G223" s="1" t="s">
        <v>217</v>
      </c>
      <c r="H223" s="6" t="str">
        <f>IFERROR(__xludf.DUMMYFUNCTION("IF(REGEXMATCH(LOWER(G223), ""^(\?)+\s*(missing)?\s*(\?)*$""), """", PROPER(SUBSTITUTE(SUBSTITUTE(G223, ""?"", """"), ""*"", """")))"),"Small Popcorn Holder")</f>
        <v>Small Popcorn Holder</v>
      </c>
      <c r="I223" s="3">
        <v>100.0</v>
      </c>
      <c r="J223" s="7">
        <v>40513.42986111111</v>
      </c>
      <c r="K223" s="8" t="str">
        <f t="shared" si="4"/>
        <v>2010-12</v>
      </c>
      <c r="L223" s="5">
        <v>0.72</v>
      </c>
      <c r="M223" s="3">
        <v>17511.0</v>
      </c>
      <c r="N223" s="1" t="str">
        <f t="shared" si="5"/>
        <v>Registered</v>
      </c>
      <c r="O223" s="1" t="s">
        <v>19</v>
      </c>
      <c r="P223" s="9" t="str">
        <f t="shared" si="6"/>
        <v>UK</v>
      </c>
      <c r="Q223" s="8">
        <f t="shared" si="7"/>
        <v>72</v>
      </c>
    </row>
    <row r="224">
      <c r="A224" s="1">
        <v>536390.0</v>
      </c>
      <c r="B224" s="1" t="str">
        <f t="shared" si="1"/>
        <v>536390</v>
      </c>
      <c r="C224" s="1" t="str">
        <f t="shared" si="2"/>
        <v>Sale</v>
      </c>
      <c r="D224" s="1">
        <v>22198.0</v>
      </c>
      <c r="E224" s="1" t="str">
        <f>IFERROR(__xludf.DUMMYFUNCTION("IF(LEN(D224)&gt;4, IFERROR(REGEXEXTRACT(TO_TEXT(D224),""\d+""),""""),"""")"),"22198")</f>
        <v>22198</v>
      </c>
      <c r="F224" s="6" t="str">
        <f t="shared" si="3"/>
        <v>Product</v>
      </c>
      <c r="G224" s="1" t="s">
        <v>218</v>
      </c>
      <c r="H224" s="6" t="str">
        <f>IFERROR(__xludf.DUMMYFUNCTION("IF(REGEXMATCH(LOWER(G224), ""^(\?)+\s*(missing)?\s*(\?)*$""), """", PROPER(SUBSTITUTE(SUBSTITUTE(G224, ""?"", """"), ""*"", """")))"),"Large Popcorn Holder")</f>
        <v>Large Popcorn Holder</v>
      </c>
      <c r="I224" s="3">
        <v>50.0</v>
      </c>
      <c r="J224" s="7">
        <v>40513.42986111111</v>
      </c>
      <c r="K224" s="8" t="str">
        <f t="shared" si="4"/>
        <v>2010-12</v>
      </c>
      <c r="L224" s="5">
        <v>1.45</v>
      </c>
      <c r="M224" s="3">
        <v>17511.0</v>
      </c>
      <c r="N224" s="1" t="str">
        <f t="shared" si="5"/>
        <v>Registered</v>
      </c>
      <c r="O224" s="1" t="s">
        <v>19</v>
      </c>
      <c r="P224" s="9" t="str">
        <f t="shared" si="6"/>
        <v>UK</v>
      </c>
      <c r="Q224" s="8">
        <f t="shared" si="7"/>
        <v>72.5</v>
      </c>
    </row>
    <row r="225">
      <c r="A225" s="1">
        <v>536390.0</v>
      </c>
      <c r="B225" s="1" t="str">
        <f t="shared" si="1"/>
        <v>536390</v>
      </c>
      <c r="C225" s="1" t="str">
        <f t="shared" si="2"/>
        <v>Sale</v>
      </c>
      <c r="D225" s="1">
        <v>21533.0</v>
      </c>
      <c r="E225" s="1" t="str">
        <f>IFERROR(__xludf.DUMMYFUNCTION("IF(LEN(D225)&gt;4, IFERROR(REGEXEXTRACT(TO_TEXT(D225),""\d+""),""""),"""")"),"21533")</f>
        <v>21533</v>
      </c>
      <c r="F225" s="6" t="str">
        <f t="shared" si="3"/>
        <v>Product</v>
      </c>
      <c r="G225" s="1" t="s">
        <v>135</v>
      </c>
      <c r="H225" s="6" t="str">
        <f>IFERROR(__xludf.DUMMYFUNCTION("IF(REGEXMATCH(LOWER(G225), ""^(\?)+\s*(missing)?\s*(\?)*$""), """", PROPER(SUBSTITUTE(SUBSTITUTE(G225, ""?"", """"), ""*"", """")))"),"Retrospot Large Milk Jug")</f>
        <v>Retrospot Large Milk Jug</v>
      </c>
      <c r="I225" s="3">
        <v>12.0</v>
      </c>
      <c r="J225" s="7">
        <v>40513.42986111111</v>
      </c>
      <c r="K225" s="8" t="str">
        <f t="shared" si="4"/>
        <v>2010-12</v>
      </c>
      <c r="L225" s="5">
        <v>4.25</v>
      </c>
      <c r="M225" s="3">
        <v>17511.0</v>
      </c>
      <c r="N225" s="1" t="str">
        <f t="shared" si="5"/>
        <v>Registered</v>
      </c>
      <c r="O225" s="1" t="s">
        <v>19</v>
      </c>
      <c r="P225" s="9" t="str">
        <f t="shared" si="6"/>
        <v>UK</v>
      </c>
      <c r="Q225" s="8">
        <f t="shared" si="7"/>
        <v>51</v>
      </c>
    </row>
    <row r="226">
      <c r="A226" s="1">
        <v>536390.0</v>
      </c>
      <c r="B226" s="1" t="str">
        <f t="shared" si="1"/>
        <v>536390</v>
      </c>
      <c r="C226" s="1" t="str">
        <f t="shared" si="2"/>
        <v>Sale</v>
      </c>
      <c r="D226" s="1">
        <v>21080.0</v>
      </c>
      <c r="E226" s="1" t="str">
        <f>IFERROR(__xludf.DUMMYFUNCTION("IF(LEN(D226)&gt;4, IFERROR(REGEXEXTRACT(TO_TEXT(D226),""\d+""),""""),"""")"),"21080")</f>
        <v>21080</v>
      </c>
      <c r="F226" s="6" t="str">
        <f t="shared" si="3"/>
        <v>Product</v>
      </c>
      <c r="G226" s="1" t="s">
        <v>219</v>
      </c>
      <c r="H226" s="6" t="str">
        <f>IFERROR(__xludf.DUMMYFUNCTION("IF(REGEXMATCH(LOWER(G226), ""^(\?)+\s*(missing)?\s*(\?)*$""), """", PROPER(SUBSTITUTE(SUBSTITUTE(G226, ""?"", """"), ""*"", """")))"),"Set/20 Red Retrospot Paper Napkins")</f>
        <v>Set/20 Red Retrospot Paper Napkins</v>
      </c>
      <c r="I226" s="3">
        <v>96.0</v>
      </c>
      <c r="J226" s="7">
        <v>40513.42986111111</v>
      </c>
      <c r="K226" s="8" t="str">
        <f t="shared" si="4"/>
        <v>2010-12</v>
      </c>
      <c r="L226" s="5">
        <v>0.64</v>
      </c>
      <c r="M226" s="3">
        <v>17511.0</v>
      </c>
      <c r="N226" s="1" t="str">
        <f t="shared" si="5"/>
        <v>Registered</v>
      </c>
      <c r="O226" s="1" t="s">
        <v>19</v>
      </c>
      <c r="P226" s="9" t="str">
        <f t="shared" si="6"/>
        <v>UK</v>
      </c>
      <c r="Q226" s="8">
        <f t="shared" si="7"/>
        <v>61.44</v>
      </c>
    </row>
    <row r="227">
      <c r="A227" s="1">
        <v>536390.0</v>
      </c>
      <c r="B227" s="1" t="str">
        <f t="shared" si="1"/>
        <v>536390</v>
      </c>
      <c r="C227" s="1" t="str">
        <f t="shared" si="2"/>
        <v>Sale</v>
      </c>
      <c r="D227" s="1">
        <v>21094.0</v>
      </c>
      <c r="E227" s="1" t="str">
        <f>IFERROR(__xludf.DUMMYFUNCTION("IF(LEN(D227)&gt;4, IFERROR(REGEXEXTRACT(TO_TEXT(D227),""\d+""),""""),"""")"),"21094")</f>
        <v>21094</v>
      </c>
      <c r="F227" s="6" t="str">
        <f t="shared" si="3"/>
        <v>Product</v>
      </c>
      <c r="G227" s="1" t="s">
        <v>93</v>
      </c>
      <c r="H227" s="6" t="str">
        <f>IFERROR(__xludf.DUMMYFUNCTION("IF(REGEXMATCH(LOWER(G227), ""^(\?)+\s*(missing)?\s*(\?)*$""), """", PROPER(SUBSTITUTE(SUBSTITUTE(G227, ""?"", """"), ""*"", """")))"),"Set/6 Red Spotty Paper Plates")</f>
        <v>Set/6 Red Spotty Paper Plates</v>
      </c>
      <c r="I227" s="3">
        <v>96.0</v>
      </c>
      <c r="J227" s="7">
        <v>40513.42986111111</v>
      </c>
      <c r="K227" s="8" t="str">
        <f t="shared" si="4"/>
        <v>2010-12</v>
      </c>
      <c r="L227" s="5">
        <v>0.64</v>
      </c>
      <c r="M227" s="3">
        <v>17511.0</v>
      </c>
      <c r="N227" s="1" t="str">
        <f t="shared" si="5"/>
        <v>Registered</v>
      </c>
      <c r="O227" s="1" t="s">
        <v>19</v>
      </c>
      <c r="P227" s="9" t="str">
        <f t="shared" si="6"/>
        <v>UK</v>
      </c>
      <c r="Q227" s="8">
        <f t="shared" si="7"/>
        <v>61.44</v>
      </c>
    </row>
    <row r="228">
      <c r="A228" s="1">
        <v>536390.0</v>
      </c>
      <c r="B228" s="1" t="str">
        <f t="shared" si="1"/>
        <v>536390</v>
      </c>
      <c r="C228" s="1" t="str">
        <f t="shared" si="2"/>
        <v>Sale</v>
      </c>
      <c r="D228" s="1">
        <v>21086.0</v>
      </c>
      <c r="E228" s="1" t="str">
        <f>IFERROR(__xludf.DUMMYFUNCTION("IF(LEN(D228)&gt;4, IFERROR(REGEXEXTRACT(TO_TEXT(D228),""\d+""),""""),"""")"),"21086")</f>
        <v>21086</v>
      </c>
      <c r="F228" s="6" t="str">
        <f t="shared" si="3"/>
        <v>Product</v>
      </c>
      <c r="G228" s="1" t="s">
        <v>220</v>
      </c>
      <c r="H228" s="6" t="str">
        <f>IFERROR(__xludf.DUMMYFUNCTION("IF(REGEXMATCH(LOWER(G228), ""^(\?)+\s*(missing)?\s*(\?)*$""), """", PROPER(SUBSTITUTE(SUBSTITUTE(G228, ""?"", """"), ""*"", """")))"),"Set/6 Red Spotty Paper Cups")</f>
        <v>Set/6 Red Spotty Paper Cups</v>
      </c>
      <c r="I228" s="3">
        <v>48.0</v>
      </c>
      <c r="J228" s="7">
        <v>40513.42986111111</v>
      </c>
      <c r="K228" s="8" t="str">
        <f t="shared" si="4"/>
        <v>2010-12</v>
      </c>
      <c r="L228" s="5">
        <v>0.65</v>
      </c>
      <c r="M228" s="3">
        <v>17511.0</v>
      </c>
      <c r="N228" s="1" t="str">
        <f t="shared" si="5"/>
        <v>Registered</v>
      </c>
      <c r="O228" s="1" t="s">
        <v>19</v>
      </c>
      <c r="P228" s="9" t="str">
        <f t="shared" si="6"/>
        <v>UK</v>
      </c>
      <c r="Q228" s="8">
        <f t="shared" si="7"/>
        <v>31.2</v>
      </c>
    </row>
    <row r="229">
      <c r="A229" s="1">
        <v>536390.0</v>
      </c>
      <c r="B229" s="1" t="str">
        <f t="shared" si="1"/>
        <v>536390</v>
      </c>
      <c r="C229" s="1" t="str">
        <f t="shared" si="2"/>
        <v>Sale</v>
      </c>
      <c r="D229" s="1">
        <v>21786.0</v>
      </c>
      <c r="E229" s="1" t="str">
        <f>IFERROR(__xludf.DUMMYFUNCTION("IF(LEN(D229)&gt;4, IFERROR(REGEXEXTRACT(TO_TEXT(D229),""\d+""),""""),"""")"),"21786")</f>
        <v>21786</v>
      </c>
      <c r="F229" s="6" t="str">
        <f t="shared" si="3"/>
        <v>Product</v>
      </c>
      <c r="G229" s="1" t="s">
        <v>221</v>
      </c>
      <c r="H229" s="6" t="str">
        <f>IFERROR(__xludf.DUMMYFUNCTION("IF(REGEXMATCH(LOWER(G229), ""^(\?)+\s*(missing)?\s*(\?)*$""), """", PROPER(SUBSTITUTE(SUBSTITUTE(G229, ""?"", """"), ""*"", """")))"),"Polkadot Rain Hat")</f>
        <v>Polkadot Rain Hat</v>
      </c>
      <c r="I229" s="3">
        <v>144.0</v>
      </c>
      <c r="J229" s="7">
        <v>40513.42986111111</v>
      </c>
      <c r="K229" s="8" t="str">
        <f t="shared" si="4"/>
        <v>2010-12</v>
      </c>
      <c r="L229" s="5">
        <v>0.32</v>
      </c>
      <c r="M229" s="3">
        <v>17511.0</v>
      </c>
      <c r="N229" s="1" t="str">
        <f t="shared" si="5"/>
        <v>Registered</v>
      </c>
      <c r="O229" s="1" t="s">
        <v>19</v>
      </c>
      <c r="P229" s="9" t="str">
        <f t="shared" si="6"/>
        <v>UK</v>
      </c>
      <c r="Q229" s="8">
        <f t="shared" si="7"/>
        <v>46.08</v>
      </c>
    </row>
    <row r="230">
      <c r="A230" s="1">
        <v>536390.0</v>
      </c>
      <c r="B230" s="1" t="str">
        <f t="shared" si="1"/>
        <v>536390</v>
      </c>
      <c r="C230" s="1" t="str">
        <f t="shared" si="2"/>
        <v>Sale</v>
      </c>
      <c r="D230" s="1">
        <v>22654.0</v>
      </c>
      <c r="E230" s="1" t="str">
        <f>IFERROR(__xludf.DUMMYFUNCTION("IF(LEN(D230)&gt;4, IFERROR(REGEXEXTRACT(TO_TEXT(D230),""\d+""),""""),"""")"),"22654")</f>
        <v>22654</v>
      </c>
      <c r="F230" s="6" t="str">
        <f t="shared" si="3"/>
        <v>Product</v>
      </c>
      <c r="G230" s="1" t="s">
        <v>222</v>
      </c>
      <c r="H230" s="6" t="str">
        <f>IFERROR(__xludf.DUMMYFUNCTION("IF(REGEXMATCH(LOWER(G230), ""^(\?)+\s*(missing)?\s*(\?)*$""), """", PROPER(SUBSTITUTE(SUBSTITUTE(G230, ""?"", """"), ""*"", """")))"),"Deluxe Sewing Kit")</f>
        <v>Deluxe Sewing Kit</v>
      </c>
      <c r="I230" s="3">
        <v>40.0</v>
      </c>
      <c r="J230" s="7">
        <v>40513.42986111111</v>
      </c>
      <c r="K230" s="8" t="str">
        <f t="shared" si="4"/>
        <v>2010-12</v>
      </c>
      <c r="L230" s="5">
        <v>4.95</v>
      </c>
      <c r="M230" s="3">
        <v>17511.0</v>
      </c>
      <c r="N230" s="1" t="str">
        <f t="shared" si="5"/>
        <v>Registered</v>
      </c>
      <c r="O230" s="1" t="s">
        <v>19</v>
      </c>
      <c r="P230" s="9" t="str">
        <f t="shared" si="6"/>
        <v>UK</v>
      </c>
      <c r="Q230" s="8">
        <f t="shared" si="7"/>
        <v>198</v>
      </c>
    </row>
    <row r="231">
      <c r="A231" s="1">
        <v>536390.0</v>
      </c>
      <c r="B231" s="1" t="str">
        <f t="shared" si="1"/>
        <v>536390</v>
      </c>
      <c r="C231" s="1" t="str">
        <f t="shared" si="2"/>
        <v>Sale</v>
      </c>
      <c r="D231" s="1">
        <v>21485.0</v>
      </c>
      <c r="E231" s="1" t="str">
        <f>IFERROR(__xludf.DUMMYFUNCTION("IF(LEN(D231)&gt;4, IFERROR(REGEXEXTRACT(TO_TEXT(D231),""\d+""),""""),"""")"),"21485")</f>
        <v>21485</v>
      </c>
      <c r="F231" s="6" t="str">
        <f t="shared" si="3"/>
        <v>Product</v>
      </c>
      <c r="G231" s="1" t="s">
        <v>223</v>
      </c>
      <c r="H231" s="6" t="str">
        <f>IFERROR(__xludf.DUMMYFUNCTION("IF(REGEXMATCH(LOWER(G231), ""^(\?)+\s*(missing)?\s*(\?)*$""), """", PROPER(SUBSTITUTE(SUBSTITUTE(G231, ""?"", """"), ""*"", """")))"),"Retrospot Heart Hot Water Bottle")</f>
        <v>Retrospot Heart Hot Water Bottle</v>
      </c>
      <c r="I231" s="3">
        <v>24.0</v>
      </c>
      <c r="J231" s="7">
        <v>40513.42986111111</v>
      </c>
      <c r="K231" s="8" t="str">
        <f t="shared" si="4"/>
        <v>2010-12</v>
      </c>
      <c r="L231" s="5">
        <v>4.25</v>
      </c>
      <c r="M231" s="3">
        <v>17511.0</v>
      </c>
      <c r="N231" s="1" t="str">
        <f t="shared" si="5"/>
        <v>Registered</v>
      </c>
      <c r="O231" s="1" t="s">
        <v>19</v>
      </c>
      <c r="P231" s="9" t="str">
        <f t="shared" si="6"/>
        <v>UK</v>
      </c>
      <c r="Q231" s="8">
        <f t="shared" si="7"/>
        <v>102</v>
      </c>
    </row>
    <row r="232">
      <c r="A232" s="1">
        <v>536390.0</v>
      </c>
      <c r="B232" s="1" t="str">
        <f t="shared" si="1"/>
        <v>536390</v>
      </c>
      <c r="C232" s="1" t="str">
        <f t="shared" si="2"/>
        <v>Sale</v>
      </c>
      <c r="D232" s="1" t="s">
        <v>23</v>
      </c>
      <c r="E232" s="1" t="str">
        <f>IFERROR(__xludf.DUMMYFUNCTION("IF(LEN(D232)&gt;4, IFERROR(REGEXEXTRACT(TO_TEXT(D232),""\d+""),""""),"""")"),"84029")</f>
        <v>84029</v>
      </c>
      <c r="F232" s="6" t="str">
        <f t="shared" si="3"/>
        <v>Product</v>
      </c>
      <c r="G232" s="1" t="s">
        <v>24</v>
      </c>
      <c r="H232" s="6" t="str">
        <f>IFERROR(__xludf.DUMMYFUNCTION("IF(REGEXMATCH(LOWER(G232), ""^(\?)+\s*(missing)?\s*(\?)*$""), """", PROPER(SUBSTITUTE(SUBSTITUTE(G232, ""?"", """"), ""*"", """")))"),"Knitted Union Flag Hot Water Bottle")</f>
        <v>Knitted Union Flag Hot Water Bottle</v>
      </c>
      <c r="I232" s="3">
        <v>24.0</v>
      </c>
      <c r="J232" s="7">
        <v>40513.42986111111</v>
      </c>
      <c r="K232" s="8" t="str">
        <f t="shared" si="4"/>
        <v>2010-12</v>
      </c>
      <c r="L232" s="5">
        <v>3.39</v>
      </c>
      <c r="M232" s="3">
        <v>17511.0</v>
      </c>
      <c r="N232" s="1" t="str">
        <f t="shared" si="5"/>
        <v>Registered</v>
      </c>
      <c r="O232" s="1" t="s">
        <v>19</v>
      </c>
      <c r="P232" s="9" t="str">
        <f t="shared" si="6"/>
        <v>UK</v>
      </c>
      <c r="Q232" s="8">
        <f t="shared" si="7"/>
        <v>81.36</v>
      </c>
    </row>
    <row r="233">
      <c r="A233" s="1">
        <v>536390.0</v>
      </c>
      <c r="B233" s="1" t="str">
        <f t="shared" si="1"/>
        <v>536390</v>
      </c>
      <c r="C233" s="1" t="str">
        <f t="shared" si="2"/>
        <v>Sale</v>
      </c>
      <c r="D233" s="1" t="s">
        <v>224</v>
      </c>
      <c r="E233" s="1" t="str">
        <f>IFERROR(__xludf.DUMMYFUNCTION("IF(LEN(D233)&gt;4, IFERROR(REGEXEXTRACT(TO_TEXT(D233),""\d+""),""""),"""")"),"84030")</f>
        <v>84030</v>
      </c>
      <c r="F233" s="6" t="str">
        <f t="shared" si="3"/>
        <v>Product</v>
      </c>
      <c r="G233" s="1" t="s">
        <v>225</v>
      </c>
      <c r="H233" s="6" t="str">
        <f>IFERROR(__xludf.DUMMYFUNCTION("IF(REGEXMATCH(LOWER(G233), ""^(\?)+\s*(missing)?\s*(\?)*$""), """", PROPER(SUBSTITUTE(SUBSTITUTE(G233, ""?"", """"), ""*"", """")))"),"English Rose Hot Water Bottle")</f>
        <v>English Rose Hot Water Bottle</v>
      </c>
      <c r="I233" s="3">
        <v>24.0</v>
      </c>
      <c r="J233" s="7">
        <v>40513.42986111111</v>
      </c>
      <c r="K233" s="8" t="str">
        <f t="shared" si="4"/>
        <v>2010-12</v>
      </c>
      <c r="L233" s="5">
        <v>3.75</v>
      </c>
      <c r="M233" s="3">
        <v>17511.0</v>
      </c>
      <c r="N233" s="1" t="str">
        <f t="shared" si="5"/>
        <v>Registered</v>
      </c>
      <c r="O233" s="1" t="s">
        <v>19</v>
      </c>
      <c r="P233" s="9" t="str">
        <f t="shared" si="6"/>
        <v>UK</v>
      </c>
      <c r="Q233" s="8">
        <f t="shared" si="7"/>
        <v>90</v>
      </c>
    </row>
    <row r="234">
      <c r="A234" s="1">
        <v>536390.0</v>
      </c>
      <c r="B234" s="1" t="str">
        <f t="shared" si="1"/>
        <v>536390</v>
      </c>
      <c r="C234" s="1" t="str">
        <f t="shared" si="2"/>
        <v>Sale</v>
      </c>
      <c r="D234" s="1">
        <v>22174.0</v>
      </c>
      <c r="E234" s="1" t="str">
        <f>IFERROR(__xludf.DUMMYFUNCTION("IF(LEN(D234)&gt;4, IFERROR(REGEXEXTRACT(TO_TEXT(D234),""\d+""),""""),"""")"),"22174")</f>
        <v>22174</v>
      </c>
      <c r="F234" s="6" t="str">
        <f t="shared" si="3"/>
        <v>Product</v>
      </c>
      <c r="G234" s="1" t="s">
        <v>226</v>
      </c>
      <c r="H234" s="6" t="str">
        <f>IFERROR(__xludf.DUMMYFUNCTION("IF(REGEXMATCH(LOWER(G234), ""^(\?)+\s*(missing)?\s*(\?)*$""), """", PROPER(SUBSTITUTE(SUBSTITUTE(G234, ""?"", """"), ""*"", """")))"),"Photo Cube")</f>
        <v>Photo Cube</v>
      </c>
      <c r="I234" s="3">
        <v>48.0</v>
      </c>
      <c r="J234" s="7">
        <v>40513.42986111111</v>
      </c>
      <c r="K234" s="8" t="str">
        <f t="shared" si="4"/>
        <v>2010-12</v>
      </c>
      <c r="L234" s="5">
        <v>1.48</v>
      </c>
      <c r="M234" s="3">
        <v>17511.0</v>
      </c>
      <c r="N234" s="1" t="str">
        <f t="shared" si="5"/>
        <v>Registered</v>
      </c>
      <c r="O234" s="1" t="s">
        <v>19</v>
      </c>
      <c r="P234" s="9" t="str">
        <f t="shared" si="6"/>
        <v>UK</v>
      </c>
      <c r="Q234" s="8">
        <f t="shared" si="7"/>
        <v>71.04</v>
      </c>
    </row>
    <row r="235">
      <c r="A235" s="1">
        <v>536390.0</v>
      </c>
      <c r="B235" s="1" t="str">
        <f t="shared" si="1"/>
        <v>536390</v>
      </c>
      <c r="C235" s="1" t="str">
        <f t="shared" si="2"/>
        <v>Sale</v>
      </c>
      <c r="D235" s="1">
        <v>22969.0</v>
      </c>
      <c r="E235" s="1" t="str">
        <f>IFERROR(__xludf.DUMMYFUNCTION("IF(LEN(D235)&gt;4, IFERROR(REGEXEXTRACT(TO_TEXT(D235),""\d+""),""""),"""")"),"22969")</f>
        <v>22969</v>
      </c>
      <c r="F235" s="6" t="str">
        <f t="shared" si="3"/>
        <v>Product</v>
      </c>
      <c r="G235" s="1" t="s">
        <v>192</v>
      </c>
      <c r="H235" s="6" t="str">
        <f>IFERROR(__xludf.DUMMYFUNCTION("IF(REGEXMATCH(LOWER(G235), ""^(\?)+\s*(missing)?\s*(\?)*$""), """", PROPER(SUBSTITUTE(SUBSTITUTE(G235, ""?"", """"), ""*"", """")))"),"Homemade Jam Scented Candles")</f>
        <v>Homemade Jam Scented Candles</v>
      </c>
      <c r="I235" s="3">
        <v>96.0</v>
      </c>
      <c r="J235" s="7">
        <v>40513.42986111111</v>
      </c>
      <c r="K235" s="8" t="str">
        <f t="shared" si="4"/>
        <v>2010-12</v>
      </c>
      <c r="L235" s="5">
        <v>1.25</v>
      </c>
      <c r="M235" s="3">
        <v>17511.0</v>
      </c>
      <c r="N235" s="1" t="str">
        <f t="shared" si="5"/>
        <v>Registered</v>
      </c>
      <c r="O235" s="1" t="s">
        <v>19</v>
      </c>
      <c r="P235" s="9" t="str">
        <f t="shared" si="6"/>
        <v>UK</v>
      </c>
      <c r="Q235" s="8">
        <f t="shared" si="7"/>
        <v>120</v>
      </c>
    </row>
    <row r="236">
      <c r="A236" s="1">
        <v>536390.0</v>
      </c>
      <c r="B236" s="1" t="str">
        <f t="shared" si="1"/>
        <v>536390</v>
      </c>
      <c r="C236" s="1" t="str">
        <f t="shared" si="2"/>
        <v>Sale</v>
      </c>
      <c r="D236" s="1" t="s">
        <v>181</v>
      </c>
      <c r="E236" s="1" t="str">
        <f>IFERROR(__xludf.DUMMYFUNCTION("IF(LEN(D236)&gt;4, IFERROR(REGEXEXTRACT(TO_TEXT(D236),""\d+""),""""),"""")"),"85099")</f>
        <v>85099</v>
      </c>
      <c r="F236" s="6" t="str">
        <f t="shared" si="3"/>
        <v>Product</v>
      </c>
      <c r="G236" s="1" t="s">
        <v>182</v>
      </c>
      <c r="H236" s="6" t="str">
        <f>IFERROR(__xludf.DUMMYFUNCTION("IF(REGEXMATCH(LOWER(G236), ""^(\?)+\s*(missing)?\s*(\?)*$""), """", PROPER(SUBSTITUTE(SUBSTITUTE(G236, ""?"", """"), ""*"", """")))"),"Jumbo Bag Red Retrospot")</f>
        <v>Jumbo Bag Red Retrospot</v>
      </c>
      <c r="I236" s="3">
        <v>100.0</v>
      </c>
      <c r="J236" s="7">
        <v>40513.42986111111</v>
      </c>
      <c r="K236" s="8" t="str">
        <f t="shared" si="4"/>
        <v>2010-12</v>
      </c>
      <c r="L236" s="5">
        <v>1.65</v>
      </c>
      <c r="M236" s="3">
        <v>17511.0</v>
      </c>
      <c r="N236" s="1" t="str">
        <f t="shared" si="5"/>
        <v>Registered</v>
      </c>
      <c r="O236" s="1" t="s">
        <v>19</v>
      </c>
      <c r="P236" s="9" t="str">
        <f t="shared" si="6"/>
        <v>UK</v>
      </c>
      <c r="Q236" s="8">
        <f t="shared" si="7"/>
        <v>165</v>
      </c>
    </row>
    <row r="237">
      <c r="A237" s="1" t="s">
        <v>227</v>
      </c>
      <c r="B237" s="1" t="str">
        <f t="shared" si="1"/>
        <v>536391</v>
      </c>
      <c r="C237" s="1" t="str">
        <f t="shared" si="2"/>
        <v>Return</v>
      </c>
      <c r="D237" s="1">
        <v>22556.0</v>
      </c>
      <c r="E237" s="1" t="str">
        <f>IFERROR(__xludf.DUMMYFUNCTION("IF(LEN(D237)&gt;4, IFERROR(REGEXEXTRACT(TO_TEXT(D237),""\d+""),""""),"""")"),"22556")</f>
        <v>22556</v>
      </c>
      <c r="F237" s="6" t="str">
        <f t="shared" si="3"/>
        <v>Product</v>
      </c>
      <c r="G237" s="1" t="s">
        <v>228</v>
      </c>
      <c r="H237" s="6" t="str">
        <f>IFERROR(__xludf.DUMMYFUNCTION("IF(REGEXMATCH(LOWER(G237), ""^(\?)+\s*(missing)?\s*(\?)*$""), """", PROPER(SUBSTITUTE(SUBSTITUTE(G237, ""?"", """"), ""*"", """")))"),"Plasters In Tin Circus Parade")</f>
        <v>Plasters In Tin Circus Parade</v>
      </c>
      <c r="I237" s="3">
        <v>-12.0</v>
      </c>
      <c r="J237" s="7">
        <v>40513.433333333334</v>
      </c>
      <c r="K237" s="8" t="str">
        <f t="shared" si="4"/>
        <v>2010-12</v>
      </c>
      <c r="L237" s="5">
        <v>1.65</v>
      </c>
      <c r="M237" s="3">
        <v>17548.0</v>
      </c>
      <c r="N237" s="1" t="str">
        <f t="shared" si="5"/>
        <v>Registered</v>
      </c>
      <c r="O237" s="1" t="s">
        <v>19</v>
      </c>
      <c r="P237" s="9" t="str">
        <f t="shared" si="6"/>
        <v>UK</v>
      </c>
      <c r="Q237" s="8">
        <f t="shared" si="7"/>
        <v>-19.8</v>
      </c>
    </row>
    <row r="238">
      <c r="A238" s="1" t="s">
        <v>227</v>
      </c>
      <c r="B238" s="1" t="str">
        <f t="shared" si="1"/>
        <v>536391</v>
      </c>
      <c r="C238" s="1" t="str">
        <f t="shared" si="2"/>
        <v>Return</v>
      </c>
      <c r="D238" s="1">
        <v>21984.0</v>
      </c>
      <c r="E238" s="1" t="str">
        <f>IFERROR(__xludf.DUMMYFUNCTION("IF(LEN(D238)&gt;4, IFERROR(REGEXEXTRACT(TO_TEXT(D238),""\d+""),""""),"""")"),"21984")</f>
        <v>21984</v>
      </c>
      <c r="F238" s="6" t="str">
        <f t="shared" si="3"/>
        <v>Product</v>
      </c>
      <c r="G238" s="1" t="s">
        <v>229</v>
      </c>
      <c r="H238" s="6" t="str">
        <f>IFERROR(__xludf.DUMMYFUNCTION("IF(REGEXMATCH(LOWER(G238), ""^(\?)+\s*(missing)?\s*(\?)*$""), """", PROPER(SUBSTITUTE(SUBSTITUTE(G238, ""?"", """"), ""*"", """")))"),"Pack Of 12 Pink Paisley Tissues")</f>
        <v>Pack Of 12 Pink Paisley Tissues</v>
      </c>
      <c r="I238" s="3">
        <v>-24.0</v>
      </c>
      <c r="J238" s="7">
        <v>40513.433333333334</v>
      </c>
      <c r="K238" s="8" t="str">
        <f t="shared" si="4"/>
        <v>2010-12</v>
      </c>
      <c r="L238" s="5">
        <v>0.29</v>
      </c>
      <c r="M238" s="3">
        <v>17548.0</v>
      </c>
      <c r="N238" s="1" t="str">
        <f t="shared" si="5"/>
        <v>Registered</v>
      </c>
      <c r="O238" s="1" t="s">
        <v>19</v>
      </c>
      <c r="P238" s="9" t="str">
        <f t="shared" si="6"/>
        <v>UK</v>
      </c>
      <c r="Q238" s="8">
        <f t="shared" si="7"/>
        <v>-6.96</v>
      </c>
    </row>
    <row r="239">
      <c r="A239" s="1" t="s">
        <v>227</v>
      </c>
      <c r="B239" s="1" t="str">
        <f t="shared" si="1"/>
        <v>536391</v>
      </c>
      <c r="C239" s="1" t="str">
        <f t="shared" si="2"/>
        <v>Return</v>
      </c>
      <c r="D239" s="1">
        <v>21983.0</v>
      </c>
      <c r="E239" s="1" t="str">
        <f>IFERROR(__xludf.DUMMYFUNCTION("IF(LEN(D239)&gt;4, IFERROR(REGEXEXTRACT(TO_TEXT(D239),""\d+""),""""),"""")"),"21983")</f>
        <v>21983</v>
      </c>
      <c r="F239" s="6" t="str">
        <f t="shared" si="3"/>
        <v>Product</v>
      </c>
      <c r="G239" s="1" t="s">
        <v>230</v>
      </c>
      <c r="H239" s="6" t="str">
        <f>IFERROR(__xludf.DUMMYFUNCTION("IF(REGEXMATCH(LOWER(G239), ""^(\?)+\s*(missing)?\s*(\?)*$""), """", PROPER(SUBSTITUTE(SUBSTITUTE(G239, ""?"", """"), ""*"", """")))"),"Pack Of 12 Blue Paisley Tissues")</f>
        <v>Pack Of 12 Blue Paisley Tissues</v>
      </c>
      <c r="I239" s="3">
        <v>-24.0</v>
      </c>
      <c r="J239" s="7">
        <v>40513.433333333334</v>
      </c>
      <c r="K239" s="8" t="str">
        <f t="shared" si="4"/>
        <v>2010-12</v>
      </c>
      <c r="L239" s="5">
        <v>0.29</v>
      </c>
      <c r="M239" s="3">
        <v>17548.0</v>
      </c>
      <c r="N239" s="1" t="str">
        <f t="shared" si="5"/>
        <v>Registered</v>
      </c>
      <c r="O239" s="1" t="s">
        <v>19</v>
      </c>
      <c r="P239" s="9" t="str">
        <f t="shared" si="6"/>
        <v>UK</v>
      </c>
      <c r="Q239" s="8">
        <f t="shared" si="7"/>
        <v>-6.96</v>
      </c>
    </row>
    <row r="240">
      <c r="A240" s="1" t="s">
        <v>227</v>
      </c>
      <c r="B240" s="1" t="str">
        <f t="shared" si="1"/>
        <v>536391</v>
      </c>
      <c r="C240" s="1" t="str">
        <f t="shared" si="2"/>
        <v>Return</v>
      </c>
      <c r="D240" s="1">
        <v>21980.0</v>
      </c>
      <c r="E240" s="1" t="str">
        <f>IFERROR(__xludf.DUMMYFUNCTION("IF(LEN(D240)&gt;4, IFERROR(REGEXEXTRACT(TO_TEXT(D240),""\d+""),""""),"""")"),"21980")</f>
        <v>21980</v>
      </c>
      <c r="F240" s="6" t="str">
        <f t="shared" si="3"/>
        <v>Product</v>
      </c>
      <c r="G240" s="1" t="s">
        <v>231</v>
      </c>
      <c r="H240" s="6" t="str">
        <f>IFERROR(__xludf.DUMMYFUNCTION("IF(REGEXMATCH(LOWER(G240), ""^(\?)+\s*(missing)?\s*(\?)*$""), """", PROPER(SUBSTITUTE(SUBSTITUTE(G240, ""?"", """"), ""*"", """")))"),"Pack Of 12 Red Retrospot Tissues")</f>
        <v>Pack Of 12 Red Retrospot Tissues</v>
      </c>
      <c r="I240" s="3">
        <v>-24.0</v>
      </c>
      <c r="J240" s="7">
        <v>40513.433333333334</v>
      </c>
      <c r="K240" s="8" t="str">
        <f t="shared" si="4"/>
        <v>2010-12</v>
      </c>
      <c r="L240" s="5">
        <v>0.29</v>
      </c>
      <c r="M240" s="3">
        <v>17548.0</v>
      </c>
      <c r="N240" s="1" t="str">
        <f t="shared" si="5"/>
        <v>Registered</v>
      </c>
      <c r="O240" s="1" t="s">
        <v>19</v>
      </c>
      <c r="P240" s="9" t="str">
        <f t="shared" si="6"/>
        <v>UK</v>
      </c>
      <c r="Q240" s="8">
        <f t="shared" si="7"/>
        <v>-6.96</v>
      </c>
    </row>
    <row r="241">
      <c r="A241" s="1" t="s">
        <v>227</v>
      </c>
      <c r="B241" s="1" t="str">
        <f t="shared" si="1"/>
        <v>536391</v>
      </c>
      <c r="C241" s="1" t="str">
        <f t="shared" si="2"/>
        <v>Return</v>
      </c>
      <c r="D241" s="1">
        <v>21484.0</v>
      </c>
      <c r="E241" s="1" t="str">
        <f>IFERROR(__xludf.DUMMYFUNCTION("IF(LEN(D241)&gt;4, IFERROR(REGEXEXTRACT(TO_TEXT(D241),""\d+""),""""),"""")"),"21484")</f>
        <v>21484</v>
      </c>
      <c r="F241" s="6" t="str">
        <f t="shared" si="3"/>
        <v>Product</v>
      </c>
      <c r="G241" s="1" t="s">
        <v>232</v>
      </c>
      <c r="H241" s="6" t="str">
        <f>IFERROR(__xludf.DUMMYFUNCTION("IF(REGEXMATCH(LOWER(G241), ""^(\?)+\s*(missing)?\s*(\?)*$""), """", PROPER(SUBSTITUTE(SUBSTITUTE(G241, ""?"", """"), ""*"", """")))"),"Chick Grey Hot Water Bottle")</f>
        <v>Chick Grey Hot Water Bottle</v>
      </c>
      <c r="I241" s="3">
        <v>-12.0</v>
      </c>
      <c r="J241" s="7">
        <v>40513.433333333334</v>
      </c>
      <c r="K241" s="8" t="str">
        <f t="shared" si="4"/>
        <v>2010-12</v>
      </c>
      <c r="L241" s="5">
        <v>3.45</v>
      </c>
      <c r="M241" s="3">
        <v>17548.0</v>
      </c>
      <c r="N241" s="1" t="str">
        <f t="shared" si="5"/>
        <v>Registered</v>
      </c>
      <c r="O241" s="1" t="s">
        <v>19</v>
      </c>
      <c r="P241" s="9" t="str">
        <f t="shared" si="6"/>
        <v>UK</v>
      </c>
      <c r="Q241" s="8">
        <f t="shared" si="7"/>
        <v>-41.4</v>
      </c>
    </row>
    <row r="242">
      <c r="A242" s="1" t="s">
        <v>227</v>
      </c>
      <c r="B242" s="1" t="str">
        <f t="shared" si="1"/>
        <v>536391</v>
      </c>
      <c r="C242" s="1" t="str">
        <f t="shared" si="2"/>
        <v>Return</v>
      </c>
      <c r="D242" s="1">
        <v>22557.0</v>
      </c>
      <c r="E242" s="1" t="str">
        <f>IFERROR(__xludf.DUMMYFUNCTION("IF(LEN(D242)&gt;4, IFERROR(REGEXEXTRACT(TO_TEXT(D242),""\d+""),""""),"""")"),"22557")</f>
        <v>22557</v>
      </c>
      <c r="F242" s="6" t="str">
        <f t="shared" si="3"/>
        <v>Product</v>
      </c>
      <c r="G242" s="1" t="s">
        <v>233</v>
      </c>
      <c r="H242" s="6" t="str">
        <f>IFERROR(__xludf.DUMMYFUNCTION("IF(REGEXMATCH(LOWER(G242), ""^(\?)+\s*(missing)?\s*(\?)*$""), """", PROPER(SUBSTITUTE(SUBSTITUTE(G242, ""?"", """"), ""*"", """")))"),"Plasters In Tin Vintage Paisley")</f>
        <v>Plasters In Tin Vintage Paisley</v>
      </c>
      <c r="I242" s="3">
        <v>-12.0</v>
      </c>
      <c r="J242" s="7">
        <v>40513.433333333334</v>
      </c>
      <c r="K242" s="8" t="str">
        <f t="shared" si="4"/>
        <v>2010-12</v>
      </c>
      <c r="L242" s="5">
        <v>1.65</v>
      </c>
      <c r="M242" s="3">
        <v>17548.0</v>
      </c>
      <c r="N242" s="1" t="str">
        <f t="shared" si="5"/>
        <v>Registered</v>
      </c>
      <c r="O242" s="1" t="s">
        <v>19</v>
      </c>
      <c r="P242" s="9" t="str">
        <f t="shared" si="6"/>
        <v>UK</v>
      </c>
      <c r="Q242" s="8">
        <f t="shared" si="7"/>
        <v>-19.8</v>
      </c>
    </row>
    <row r="243">
      <c r="A243" s="1" t="s">
        <v>227</v>
      </c>
      <c r="B243" s="1" t="str">
        <f t="shared" si="1"/>
        <v>536391</v>
      </c>
      <c r="C243" s="1" t="str">
        <f t="shared" si="2"/>
        <v>Return</v>
      </c>
      <c r="D243" s="1">
        <v>22553.0</v>
      </c>
      <c r="E243" s="1" t="str">
        <f>IFERROR(__xludf.DUMMYFUNCTION("IF(LEN(D243)&gt;4, IFERROR(REGEXEXTRACT(TO_TEXT(D243),""\d+""),""""),"""")"),"22553")</f>
        <v>22553</v>
      </c>
      <c r="F243" s="6" t="str">
        <f t="shared" si="3"/>
        <v>Product</v>
      </c>
      <c r="G243" s="1" t="s">
        <v>234</v>
      </c>
      <c r="H243" s="6" t="str">
        <f>IFERROR(__xludf.DUMMYFUNCTION("IF(REGEXMATCH(LOWER(G243), ""^(\?)+\s*(missing)?\s*(\?)*$""), """", PROPER(SUBSTITUTE(SUBSTITUTE(G243, ""?"", """"), ""*"", """")))"),"Plasters In Tin Skulls")</f>
        <v>Plasters In Tin Skulls</v>
      </c>
      <c r="I243" s="3">
        <v>-24.0</v>
      </c>
      <c r="J243" s="7">
        <v>40513.433333333334</v>
      </c>
      <c r="K243" s="8" t="str">
        <f t="shared" si="4"/>
        <v>2010-12</v>
      </c>
      <c r="L243" s="5">
        <v>1.65</v>
      </c>
      <c r="M243" s="3">
        <v>17548.0</v>
      </c>
      <c r="N243" s="1" t="str">
        <f t="shared" si="5"/>
        <v>Registered</v>
      </c>
      <c r="O243" s="1" t="s">
        <v>19</v>
      </c>
      <c r="P243" s="9" t="str">
        <f t="shared" si="6"/>
        <v>UK</v>
      </c>
      <c r="Q243" s="8">
        <f t="shared" si="7"/>
        <v>-39.6</v>
      </c>
    </row>
    <row r="244">
      <c r="A244" s="1">
        <v>536392.0</v>
      </c>
      <c r="B244" s="1" t="str">
        <f t="shared" si="1"/>
        <v>536392</v>
      </c>
      <c r="C244" s="1" t="str">
        <f t="shared" si="2"/>
        <v>Sale</v>
      </c>
      <c r="D244" s="1">
        <v>22150.0</v>
      </c>
      <c r="E244" s="1" t="str">
        <f>IFERROR(__xludf.DUMMYFUNCTION("IF(LEN(D244)&gt;4, IFERROR(REGEXEXTRACT(TO_TEXT(D244),""\d+""),""""),"""")"),"22150")</f>
        <v>22150</v>
      </c>
      <c r="F244" s="6" t="str">
        <f t="shared" si="3"/>
        <v>Product</v>
      </c>
      <c r="G244" s="1" t="s">
        <v>235</v>
      </c>
      <c r="H244" s="6" t="str">
        <f>IFERROR(__xludf.DUMMYFUNCTION("IF(REGEXMATCH(LOWER(G244), ""^(\?)+\s*(missing)?\s*(\?)*$""), """", PROPER(SUBSTITUTE(SUBSTITUTE(G244, ""?"", """"), ""*"", """")))"),"3 Stripey Mice Feltcraft")</f>
        <v>3 Stripey Mice Feltcraft</v>
      </c>
      <c r="I244" s="3">
        <v>6.0</v>
      </c>
      <c r="J244" s="7">
        <v>40513.43680555555</v>
      </c>
      <c r="K244" s="8" t="str">
        <f t="shared" si="4"/>
        <v>2010-12</v>
      </c>
      <c r="L244" s="5">
        <v>1.95</v>
      </c>
      <c r="M244" s="3">
        <v>13705.0</v>
      </c>
      <c r="N244" s="1" t="str">
        <f t="shared" si="5"/>
        <v>Registered</v>
      </c>
      <c r="O244" s="1" t="s">
        <v>19</v>
      </c>
      <c r="P244" s="9" t="str">
        <f t="shared" si="6"/>
        <v>UK</v>
      </c>
      <c r="Q244" s="8">
        <f t="shared" si="7"/>
        <v>11.7</v>
      </c>
    </row>
    <row r="245">
      <c r="A245" s="1">
        <v>536392.0</v>
      </c>
      <c r="B245" s="1" t="str">
        <f t="shared" si="1"/>
        <v>536392</v>
      </c>
      <c r="C245" s="1" t="str">
        <f t="shared" si="2"/>
        <v>Sale</v>
      </c>
      <c r="D245" s="1">
        <v>22619.0</v>
      </c>
      <c r="E245" s="1" t="str">
        <f>IFERROR(__xludf.DUMMYFUNCTION("IF(LEN(D245)&gt;4, IFERROR(REGEXEXTRACT(TO_TEXT(D245),""\d+""),""""),"""")"),"22619")</f>
        <v>22619</v>
      </c>
      <c r="F245" s="6" t="str">
        <f t="shared" si="3"/>
        <v>Product</v>
      </c>
      <c r="G245" s="1" t="s">
        <v>236</v>
      </c>
      <c r="H245" s="6" t="str">
        <f>IFERROR(__xludf.DUMMYFUNCTION("IF(REGEXMATCH(LOWER(G245), ""^(\?)+\s*(missing)?\s*(\?)*$""), """", PROPER(SUBSTITUTE(SUBSTITUTE(G245, ""?"", """"), ""*"", """")))"),"Set Of 6 Soldier Skittles")</f>
        <v>Set Of 6 Soldier Skittles</v>
      </c>
      <c r="I245" s="3">
        <v>4.0</v>
      </c>
      <c r="J245" s="7">
        <v>40513.43680555555</v>
      </c>
      <c r="K245" s="8" t="str">
        <f t="shared" si="4"/>
        <v>2010-12</v>
      </c>
      <c r="L245" s="5">
        <v>3.75</v>
      </c>
      <c r="M245" s="3">
        <v>13705.0</v>
      </c>
      <c r="N245" s="1" t="str">
        <f t="shared" si="5"/>
        <v>Registered</v>
      </c>
      <c r="O245" s="1" t="s">
        <v>19</v>
      </c>
      <c r="P245" s="9" t="str">
        <f t="shared" si="6"/>
        <v>UK</v>
      </c>
      <c r="Q245" s="8">
        <f t="shared" si="7"/>
        <v>15</v>
      </c>
    </row>
    <row r="246">
      <c r="A246" s="1">
        <v>536392.0</v>
      </c>
      <c r="B246" s="1" t="str">
        <f t="shared" si="1"/>
        <v>536392</v>
      </c>
      <c r="C246" s="1" t="str">
        <f t="shared" si="2"/>
        <v>Sale</v>
      </c>
      <c r="D246" s="1">
        <v>21891.0</v>
      </c>
      <c r="E246" s="1" t="str">
        <f>IFERROR(__xludf.DUMMYFUNCTION("IF(LEN(D246)&gt;4, IFERROR(REGEXEXTRACT(TO_TEXT(D246),""\d+""),""""),"""")"),"21891")</f>
        <v>21891</v>
      </c>
      <c r="F246" s="6" t="str">
        <f t="shared" si="3"/>
        <v>Product</v>
      </c>
      <c r="G246" s="1" t="s">
        <v>237</v>
      </c>
      <c r="H246" s="6" t="str">
        <f>IFERROR(__xludf.DUMMYFUNCTION("IF(REGEXMATCH(LOWER(G246), ""^(\?)+\s*(missing)?\s*(\?)*$""), """", PROPER(SUBSTITUTE(SUBSTITUTE(G246, ""?"", """"), ""*"", """")))"),"Traditional Wooden Skipping Rope")</f>
        <v>Traditional Wooden Skipping Rope</v>
      </c>
      <c r="I246" s="3">
        <v>12.0</v>
      </c>
      <c r="J246" s="7">
        <v>40513.43680555555</v>
      </c>
      <c r="K246" s="8" t="str">
        <f t="shared" si="4"/>
        <v>2010-12</v>
      </c>
      <c r="L246" s="5">
        <v>1.25</v>
      </c>
      <c r="M246" s="3">
        <v>13705.0</v>
      </c>
      <c r="N246" s="1" t="str">
        <f t="shared" si="5"/>
        <v>Registered</v>
      </c>
      <c r="O246" s="1" t="s">
        <v>19</v>
      </c>
      <c r="P246" s="9" t="str">
        <f t="shared" si="6"/>
        <v>UK</v>
      </c>
      <c r="Q246" s="8">
        <f t="shared" si="7"/>
        <v>15</v>
      </c>
    </row>
    <row r="247">
      <c r="A247" s="1">
        <v>536392.0</v>
      </c>
      <c r="B247" s="1" t="str">
        <f t="shared" si="1"/>
        <v>536392</v>
      </c>
      <c r="C247" s="1" t="str">
        <f t="shared" si="2"/>
        <v>Sale</v>
      </c>
      <c r="D247" s="1">
        <v>21889.0</v>
      </c>
      <c r="E247" s="1" t="str">
        <f>IFERROR(__xludf.DUMMYFUNCTION("IF(LEN(D247)&gt;4, IFERROR(REGEXEXTRACT(TO_TEXT(D247),""\d+""),""""),"""")"),"21889")</f>
        <v>21889</v>
      </c>
      <c r="F247" s="6" t="str">
        <f t="shared" si="3"/>
        <v>Product</v>
      </c>
      <c r="G247" s="1" t="s">
        <v>238</v>
      </c>
      <c r="H247" s="6" t="str">
        <f>IFERROR(__xludf.DUMMYFUNCTION("IF(REGEXMATCH(LOWER(G247), ""^(\?)+\s*(missing)?\s*(\?)*$""), """", PROPER(SUBSTITUTE(SUBSTITUTE(G247, ""?"", """"), ""*"", """")))"),"Wooden Box Of Dominoes")</f>
        <v>Wooden Box Of Dominoes</v>
      </c>
      <c r="I247" s="3">
        <v>12.0</v>
      </c>
      <c r="J247" s="7">
        <v>40513.43680555555</v>
      </c>
      <c r="K247" s="8" t="str">
        <f t="shared" si="4"/>
        <v>2010-12</v>
      </c>
      <c r="L247" s="5">
        <v>1.25</v>
      </c>
      <c r="M247" s="3">
        <v>13705.0</v>
      </c>
      <c r="N247" s="1" t="str">
        <f t="shared" si="5"/>
        <v>Registered</v>
      </c>
      <c r="O247" s="1" t="s">
        <v>19</v>
      </c>
      <c r="P247" s="9" t="str">
        <f t="shared" si="6"/>
        <v>UK</v>
      </c>
      <c r="Q247" s="8">
        <f t="shared" si="7"/>
        <v>15</v>
      </c>
    </row>
    <row r="248">
      <c r="A248" s="1">
        <v>536392.0</v>
      </c>
      <c r="B248" s="1" t="str">
        <f t="shared" si="1"/>
        <v>536392</v>
      </c>
      <c r="C248" s="1" t="str">
        <f t="shared" si="2"/>
        <v>Sale</v>
      </c>
      <c r="D248" s="1">
        <v>22827.0</v>
      </c>
      <c r="E248" s="1" t="str">
        <f>IFERROR(__xludf.DUMMYFUNCTION("IF(LEN(D248)&gt;4, IFERROR(REGEXEXTRACT(TO_TEXT(D248),""\d+""),""""),"""")"),"22827")</f>
        <v>22827</v>
      </c>
      <c r="F248" s="6" t="str">
        <f t="shared" si="3"/>
        <v>Product</v>
      </c>
      <c r="G248" s="1" t="s">
        <v>239</v>
      </c>
      <c r="H248" s="6" t="str">
        <f>IFERROR(__xludf.DUMMYFUNCTION("IF(REGEXMATCH(LOWER(G248), ""^(\?)+\s*(missing)?\s*(\?)*$""), """", PROPER(SUBSTITUTE(SUBSTITUTE(G248, ""?"", """"), ""*"", """")))"),"Rustic Seventeen Drawer Sideboard")</f>
        <v>Rustic Seventeen Drawer Sideboard</v>
      </c>
      <c r="I248" s="3">
        <v>1.0</v>
      </c>
      <c r="J248" s="7">
        <v>40513.43680555555</v>
      </c>
      <c r="K248" s="8" t="str">
        <f t="shared" si="4"/>
        <v>2010-12</v>
      </c>
      <c r="L248" s="5">
        <v>165.0</v>
      </c>
      <c r="M248" s="3">
        <v>13705.0</v>
      </c>
      <c r="N248" s="1" t="str">
        <f t="shared" si="5"/>
        <v>Registered</v>
      </c>
      <c r="O248" s="1" t="s">
        <v>19</v>
      </c>
      <c r="P248" s="9" t="str">
        <f t="shared" si="6"/>
        <v>UK</v>
      </c>
      <c r="Q248" s="8">
        <f t="shared" si="7"/>
        <v>165</v>
      </c>
    </row>
    <row r="249">
      <c r="A249" s="1">
        <v>536392.0</v>
      </c>
      <c r="B249" s="1" t="str">
        <f t="shared" si="1"/>
        <v>536392</v>
      </c>
      <c r="C249" s="1" t="str">
        <f t="shared" si="2"/>
        <v>Sale</v>
      </c>
      <c r="D249" s="1">
        <v>22127.0</v>
      </c>
      <c r="E249" s="1" t="str">
        <f>IFERROR(__xludf.DUMMYFUNCTION("IF(LEN(D249)&gt;4, IFERROR(REGEXEXTRACT(TO_TEXT(D249),""\d+""),""""),"""")"),"22127")</f>
        <v>22127</v>
      </c>
      <c r="F249" s="6" t="str">
        <f t="shared" si="3"/>
        <v>Product</v>
      </c>
      <c r="G249" s="1" t="s">
        <v>240</v>
      </c>
      <c r="H249" s="6" t="str">
        <f>IFERROR(__xludf.DUMMYFUNCTION("IF(REGEXMATCH(LOWER(G249), ""^(\?)+\s*(missing)?\s*(\?)*$""), """", PROPER(SUBSTITUTE(SUBSTITUTE(G249, ""?"", """"), ""*"", """")))"),"Party Cones Carnival Assorted")</f>
        <v>Party Cones Carnival Assorted</v>
      </c>
      <c r="I249" s="3">
        <v>12.0</v>
      </c>
      <c r="J249" s="7">
        <v>40513.43680555555</v>
      </c>
      <c r="K249" s="8" t="str">
        <f t="shared" si="4"/>
        <v>2010-12</v>
      </c>
      <c r="L249" s="5">
        <v>1.25</v>
      </c>
      <c r="M249" s="3">
        <v>13705.0</v>
      </c>
      <c r="N249" s="1" t="str">
        <f t="shared" si="5"/>
        <v>Registered</v>
      </c>
      <c r="O249" s="1" t="s">
        <v>19</v>
      </c>
      <c r="P249" s="9" t="str">
        <f t="shared" si="6"/>
        <v>UK</v>
      </c>
      <c r="Q249" s="8">
        <f t="shared" si="7"/>
        <v>15</v>
      </c>
    </row>
    <row r="250">
      <c r="A250" s="1">
        <v>536392.0</v>
      </c>
      <c r="B250" s="1" t="str">
        <f t="shared" si="1"/>
        <v>536392</v>
      </c>
      <c r="C250" s="1" t="str">
        <f t="shared" si="2"/>
        <v>Sale</v>
      </c>
      <c r="D250" s="1">
        <v>22128.0</v>
      </c>
      <c r="E250" s="1" t="str">
        <f>IFERROR(__xludf.DUMMYFUNCTION("IF(LEN(D250)&gt;4, IFERROR(REGEXEXTRACT(TO_TEXT(D250),""\d+""),""""),"""")"),"22128")</f>
        <v>22128</v>
      </c>
      <c r="F250" s="6" t="str">
        <f t="shared" si="3"/>
        <v>Product</v>
      </c>
      <c r="G250" s="1" t="s">
        <v>241</v>
      </c>
      <c r="H250" s="6" t="str">
        <f>IFERROR(__xludf.DUMMYFUNCTION("IF(REGEXMATCH(LOWER(G250), ""^(\?)+\s*(missing)?\s*(\?)*$""), """", PROPER(SUBSTITUTE(SUBSTITUTE(G250, ""?"", """"), ""*"", """")))"),"Party Cones Candy Assorted")</f>
        <v>Party Cones Candy Assorted</v>
      </c>
      <c r="I250" s="3">
        <v>12.0</v>
      </c>
      <c r="J250" s="7">
        <v>40513.43680555555</v>
      </c>
      <c r="K250" s="8" t="str">
        <f t="shared" si="4"/>
        <v>2010-12</v>
      </c>
      <c r="L250" s="5">
        <v>1.25</v>
      </c>
      <c r="M250" s="3">
        <v>13705.0</v>
      </c>
      <c r="N250" s="1" t="str">
        <f t="shared" si="5"/>
        <v>Registered</v>
      </c>
      <c r="O250" s="1" t="s">
        <v>19</v>
      </c>
      <c r="P250" s="9" t="str">
        <f t="shared" si="6"/>
        <v>UK</v>
      </c>
      <c r="Q250" s="8">
        <f t="shared" si="7"/>
        <v>15</v>
      </c>
    </row>
    <row r="251">
      <c r="A251" s="1">
        <v>536392.0</v>
      </c>
      <c r="B251" s="1" t="str">
        <f t="shared" si="1"/>
        <v>536392</v>
      </c>
      <c r="C251" s="1" t="str">
        <f t="shared" si="2"/>
        <v>Sale</v>
      </c>
      <c r="D251" s="1">
        <v>22502.0</v>
      </c>
      <c r="E251" s="1" t="str">
        <f>IFERROR(__xludf.DUMMYFUNCTION("IF(LEN(D251)&gt;4, IFERROR(REGEXEXTRACT(TO_TEXT(D251),""\d+""),""""),"""")"),"22502")</f>
        <v>22502</v>
      </c>
      <c r="F251" s="6" t="str">
        <f t="shared" si="3"/>
        <v>Product</v>
      </c>
      <c r="G251" s="1" t="s">
        <v>242</v>
      </c>
      <c r="H251" s="6" t="str">
        <f>IFERROR(__xludf.DUMMYFUNCTION("IF(REGEXMATCH(LOWER(G251), ""^(\?)+\s*(missing)?\s*(\?)*$""), """", PROPER(SUBSTITUTE(SUBSTITUTE(G251, ""?"", """"), ""*"", """")))"),"Picnic Basket Wicker Small")</f>
        <v>Picnic Basket Wicker Small</v>
      </c>
      <c r="I251" s="3">
        <v>4.0</v>
      </c>
      <c r="J251" s="7">
        <v>40513.43680555555</v>
      </c>
      <c r="K251" s="8" t="str">
        <f t="shared" si="4"/>
        <v>2010-12</v>
      </c>
      <c r="L251" s="5">
        <v>5.95</v>
      </c>
      <c r="M251" s="3">
        <v>13705.0</v>
      </c>
      <c r="N251" s="1" t="str">
        <f t="shared" si="5"/>
        <v>Registered</v>
      </c>
      <c r="O251" s="1" t="s">
        <v>19</v>
      </c>
      <c r="P251" s="9" t="str">
        <f t="shared" si="6"/>
        <v>UK</v>
      </c>
      <c r="Q251" s="8">
        <f t="shared" si="7"/>
        <v>23.8</v>
      </c>
    </row>
    <row r="252">
      <c r="A252" s="1">
        <v>536392.0</v>
      </c>
      <c r="B252" s="1" t="str">
        <f t="shared" si="1"/>
        <v>536392</v>
      </c>
      <c r="C252" s="1" t="str">
        <f t="shared" si="2"/>
        <v>Sale</v>
      </c>
      <c r="D252" s="1">
        <v>84879.0</v>
      </c>
      <c r="E252" s="1" t="str">
        <f>IFERROR(__xludf.DUMMYFUNCTION("IF(LEN(D252)&gt;4, IFERROR(REGEXEXTRACT(TO_TEXT(D252),""\d+""),""""),"""")"),"84879")</f>
        <v>84879</v>
      </c>
      <c r="F252" s="6" t="str">
        <f t="shared" si="3"/>
        <v>Product</v>
      </c>
      <c r="G252" s="1" t="s">
        <v>31</v>
      </c>
      <c r="H252" s="6" t="str">
        <f>IFERROR(__xludf.DUMMYFUNCTION("IF(REGEXMATCH(LOWER(G252), ""^(\?)+\s*(missing)?\s*(\?)*$""), """", PROPER(SUBSTITUTE(SUBSTITUTE(G252, ""?"", """"), ""*"", """")))"),"Assorted Colour Bird Ornament")</f>
        <v>Assorted Colour Bird Ornament</v>
      </c>
      <c r="I252" s="3">
        <v>16.0</v>
      </c>
      <c r="J252" s="7">
        <v>40513.43680555555</v>
      </c>
      <c r="K252" s="8" t="str">
        <f t="shared" si="4"/>
        <v>2010-12</v>
      </c>
      <c r="L252" s="5">
        <v>1.69</v>
      </c>
      <c r="M252" s="3">
        <v>13705.0</v>
      </c>
      <c r="N252" s="1" t="str">
        <f t="shared" si="5"/>
        <v>Registered</v>
      </c>
      <c r="O252" s="1" t="s">
        <v>19</v>
      </c>
      <c r="P252" s="9" t="str">
        <f t="shared" si="6"/>
        <v>UK</v>
      </c>
      <c r="Q252" s="8">
        <f t="shared" si="7"/>
        <v>27.04</v>
      </c>
    </row>
    <row r="253">
      <c r="A253" s="1">
        <v>536392.0</v>
      </c>
      <c r="B253" s="1" t="str">
        <f t="shared" si="1"/>
        <v>536392</v>
      </c>
      <c r="C253" s="1" t="str">
        <f t="shared" si="2"/>
        <v>Sale</v>
      </c>
      <c r="D253" s="1">
        <v>22338.0</v>
      </c>
      <c r="E253" s="1" t="str">
        <f>IFERROR(__xludf.DUMMYFUNCTION("IF(LEN(D253)&gt;4, IFERROR(REGEXEXTRACT(TO_TEXT(D253),""\d+""),""""),"""")"),"22338")</f>
        <v>22338</v>
      </c>
      <c r="F253" s="6" t="str">
        <f t="shared" si="3"/>
        <v>Product</v>
      </c>
      <c r="G253" s="1" t="s">
        <v>243</v>
      </c>
      <c r="H253" s="6" t="str">
        <f>IFERROR(__xludf.DUMMYFUNCTION("IF(REGEXMATCH(LOWER(G253), ""^(\?)+\s*(missing)?\s*(\?)*$""), """", PROPER(SUBSTITUTE(SUBSTITUTE(G253, ""?"", """"), ""*"", """")))"),"Star Decoration Painted Zinc")</f>
        <v>Star Decoration Painted Zinc</v>
      </c>
      <c r="I253" s="3">
        <v>24.0</v>
      </c>
      <c r="J253" s="7">
        <v>40513.43680555555</v>
      </c>
      <c r="K253" s="8" t="str">
        <f t="shared" si="4"/>
        <v>2010-12</v>
      </c>
      <c r="L253" s="5">
        <v>0.65</v>
      </c>
      <c r="M253" s="3">
        <v>13705.0</v>
      </c>
      <c r="N253" s="1" t="str">
        <f t="shared" si="5"/>
        <v>Registered</v>
      </c>
      <c r="O253" s="1" t="s">
        <v>19</v>
      </c>
      <c r="P253" s="9" t="str">
        <f t="shared" si="6"/>
        <v>UK</v>
      </c>
      <c r="Q253" s="8">
        <f t="shared" si="7"/>
        <v>15.6</v>
      </c>
    </row>
    <row r="254">
      <c r="A254" s="1">
        <v>536393.0</v>
      </c>
      <c r="B254" s="1" t="str">
        <f t="shared" si="1"/>
        <v>536393</v>
      </c>
      <c r="C254" s="1" t="str">
        <f t="shared" si="2"/>
        <v>Sale</v>
      </c>
      <c r="D254" s="1">
        <v>22180.0</v>
      </c>
      <c r="E254" s="1" t="str">
        <f>IFERROR(__xludf.DUMMYFUNCTION("IF(LEN(D254)&gt;4, IFERROR(REGEXEXTRACT(TO_TEXT(D254),""\d+""),""""),"""")"),"22180")</f>
        <v>22180</v>
      </c>
      <c r="F254" s="6" t="str">
        <f t="shared" si="3"/>
        <v>Product</v>
      </c>
      <c r="G254" s="1" t="s">
        <v>244</v>
      </c>
      <c r="H254" s="6" t="str">
        <f>IFERROR(__xludf.DUMMYFUNCTION("IF(REGEXMATCH(LOWER(G254), ""^(\?)+\s*(missing)?\s*(\?)*$""), """", PROPER(SUBSTITUTE(SUBSTITUTE(G254, ""?"", """"), ""*"", """")))"),"Retrospot Lamp")</f>
        <v>Retrospot Lamp</v>
      </c>
      <c r="I254" s="3">
        <v>8.0</v>
      </c>
      <c r="J254" s="7">
        <v>40513.44236111111</v>
      </c>
      <c r="K254" s="8" t="str">
        <f t="shared" si="4"/>
        <v>2010-12</v>
      </c>
      <c r="L254" s="5">
        <v>9.95</v>
      </c>
      <c r="M254" s="3">
        <v>13747.0</v>
      </c>
      <c r="N254" s="1" t="str">
        <f t="shared" si="5"/>
        <v>Registered</v>
      </c>
      <c r="O254" s="1" t="s">
        <v>19</v>
      </c>
      <c r="P254" s="9" t="str">
        <f t="shared" si="6"/>
        <v>UK</v>
      </c>
      <c r="Q254" s="8">
        <f t="shared" si="7"/>
        <v>79.6</v>
      </c>
    </row>
    <row r="255">
      <c r="A255" s="1">
        <v>536394.0</v>
      </c>
      <c r="B255" s="1" t="str">
        <f t="shared" si="1"/>
        <v>536394</v>
      </c>
      <c r="C255" s="1" t="str">
        <f t="shared" si="2"/>
        <v>Sale</v>
      </c>
      <c r="D255" s="1">
        <v>21506.0</v>
      </c>
      <c r="E255" s="1" t="str">
        <f>IFERROR(__xludf.DUMMYFUNCTION("IF(LEN(D255)&gt;4, IFERROR(REGEXEXTRACT(TO_TEXT(D255),""\d+""),""""),"""")"),"21506")</f>
        <v>21506</v>
      </c>
      <c r="F255" s="6" t="str">
        <f t="shared" si="3"/>
        <v>Product</v>
      </c>
      <c r="G255" s="1" t="s">
        <v>245</v>
      </c>
      <c r="H255" s="6" t="str">
        <f>IFERROR(__xludf.DUMMYFUNCTION("IF(REGEXMATCH(LOWER(G255), ""^(\?)+\s*(missing)?\s*(\?)*$""), """", PROPER(SUBSTITUTE(SUBSTITUTE(G255, ""?"", """"), ""*"", """")))"),"Fancy Font Birthday Card,")</f>
        <v>Fancy Font Birthday Card,</v>
      </c>
      <c r="I255" s="3">
        <v>24.0</v>
      </c>
      <c r="J255" s="7">
        <v>40513.44375</v>
      </c>
      <c r="K255" s="8" t="str">
        <f t="shared" si="4"/>
        <v>2010-12</v>
      </c>
      <c r="L255" s="5">
        <v>0.42</v>
      </c>
      <c r="M255" s="3">
        <v>13408.0</v>
      </c>
      <c r="N255" s="1" t="str">
        <f t="shared" si="5"/>
        <v>Registered</v>
      </c>
      <c r="O255" s="1" t="s">
        <v>19</v>
      </c>
      <c r="P255" s="9" t="str">
        <f t="shared" si="6"/>
        <v>UK</v>
      </c>
      <c r="Q255" s="8">
        <f t="shared" si="7"/>
        <v>10.08</v>
      </c>
    </row>
    <row r="256">
      <c r="A256" s="1">
        <v>536394.0</v>
      </c>
      <c r="B256" s="1" t="str">
        <f t="shared" si="1"/>
        <v>536394</v>
      </c>
      <c r="C256" s="1" t="str">
        <f t="shared" si="2"/>
        <v>Sale</v>
      </c>
      <c r="D256" s="1">
        <v>22633.0</v>
      </c>
      <c r="E256" s="1" t="str">
        <f>IFERROR(__xludf.DUMMYFUNCTION("IF(LEN(D256)&gt;4, IFERROR(REGEXEXTRACT(TO_TEXT(D256),""\d+""),""""),"""")"),"22633")</f>
        <v>22633</v>
      </c>
      <c r="F256" s="6" t="str">
        <f t="shared" si="3"/>
        <v>Product</v>
      </c>
      <c r="G256" s="1" t="s">
        <v>29</v>
      </c>
      <c r="H256" s="6" t="str">
        <f>IFERROR(__xludf.DUMMYFUNCTION("IF(REGEXMATCH(LOWER(G256), ""^(\?)+\s*(missing)?\s*(\?)*$""), """", PROPER(SUBSTITUTE(SUBSTITUTE(G256, ""?"", """"), ""*"", """")))"),"Hand Warmer Union Jack")</f>
        <v>Hand Warmer Union Jack</v>
      </c>
      <c r="I256" s="3">
        <v>96.0</v>
      </c>
      <c r="J256" s="7">
        <v>40513.44375</v>
      </c>
      <c r="K256" s="8" t="str">
        <f t="shared" si="4"/>
        <v>2010-12</v>
      </c>
      <c r="L256" s="5">
        <v>1.85</v>
      </c>
      <c r="M256" s="3">
        <v>13408.0</v>
      </c>
      <c r="N256" s="1" t="str">
        <f t="shared" si="5"/>
        <v>Registered</v>
      </c>
      <c r="O256" s="1" t="s">
        <v>19</v>
      </c>
      <c r="P256" s="9" t="str">
        <f t="shared" si="6"/>
        <v>UK</v>
      </c>
      <c r="Q256" s="8">
        <f t="shared" si="7"/>
        <v>177.6</v>
      </c>
    </row>
    <row r="257">
      <c r="A257" s="1">
        <v>536394.0</v>
      </c>
      <c r="B257" s="1" t="str">
        <f t="shared" si="1"/>
        <v>536394</v>
      </c>
      <c r="C257" s="1" t="str">
        <f t="shared" si="2"/>
        <v>Sale</v>
      </c>
      <c r="D257" s="1">
        <v>22866.0</v>
      </c>
      <c r="E257" s="1" t="str">
        <f>IFERROR(__xludf.DUMMYFUNCTION("IF(LEN(D257)&gt;4, IFERROR(REGEXEXTRACT(TO_TEXT(D257),""\d+""),""""),"""")"),"22866")</f>
        <v>22866</v>
      </c>
      <c r="F257" s="6" t="str">
        <f t="shared" si="3"/>
        <v>Product</v>
      </c>
      <c r="G257" s="1" t="s">
        <v>246</v>
      </c>
      <c r="H257" s="6" t="str">
        <f>IFERROR(__xludf.DUMMYFUNCTION("IF(REGEXMATCH(LOWER(G257), ""^(\?)+\s*(missing)?\s*(\?)*$""), """", PROPER(SUBSTITUTE(SUBSTITUTE(G257, ""?"", """"), ""*"", """")))"),"Hand Warmer Scotty Dog Design")</f>
        <v>Hand Warmer Scotty Dog Design</v>
      </c>
      <c r="I257" s="3">
        <v>96.0</v>
      </c>
      <c r="J257" s="7">
        <v>40513.44375</v>
      </c>
      <c r="K257" s="8" t="str">
        <f t="shared" si="4"/>
        <v>2010-12</v>
      </c>
      <c r="L257" s="5">
        <v>1.85</v>
      </c>
      <c r="M257" s="3">
        <v>13408.0</v>
      </c>
      <c r="N257" s="1" t="str">
        <f t="shared" si="5"/>
        <v>Registered</v>
      </c>
      <c r="O257" s="1" t="s">
        <v>19</v>
      </c>
      <c r="P257" s="9" t="str">
        <f t="shared" si="6"/>
        <v>UK</v>
      </c>
      <c r="Q257" s="8">
        <f t="shared" si="7"/>
        <v>177.6</v>
      </c>
    </row>
    <row r="258">
      <c r="A258" s="1">
        <v>536394.0</v>
      </c>
      <c r="B258" s="1" t="str">
        <f t="shared" si="1"/>
        <v>536394</v>
      </c>
      <c r="C258" s="1" t="str">
        <f t="shared" si="2"/>
        <v>Sale</v>
      </c>
      <c r="D258" s="1">
        <v>22865.0</v>
      </c>
      <c r="E258" s="1" t="str">
        <f>IFERROR(__xludf.DUMMYFUNCTION("IF(LEN(D258)&gt;4, IFERROR(REGEXEXTRACT(TO_TEXT(D258),""\d+""),""""),"""")"),"22865")</f>
        <v>22865</v>
      </c>
      <c r="F258" s="6" t="str">
        <f t="shared" si="3"/>
        <v>Product</v>
      </c>
      <c r="G258" s="1" t="s">
        <v>247</v>
      </c>
      <c r="H258" s="6" t="str">
        <f>IFERROR(__xludf.DUMMYFUNCTION("IF(REGEXMATCH(LOWER(G258), ""^(\?)+\s*(missing)?\s*(\?)*$""), """", PROPER(SUBSTITUTE(SUBSTITUTE(G258, ""?"", """"), ""*"", """")))"),"Hand Warmer Owl Design")</f>
        <v>Hand Warmer Owl Design</v>
      </c>
      <c r="I258" s="3">
        <v>96.0</v>
      </c>
      <c r="J258" s="7">
        <v>40513.44375</v>
      </c>
      <c r="K258" s="8" t="str">
        <f t="shared" si="4"/>
        <v>2010-12</v>
      </c>
      <c r="L258" s="5">
        <v>1.85</v>
      </c>
      <c r="M258" s="3">
        <v>13408.0</v>
      </c>
      <c r="N258" s="1" t="str">
        <f t="shared" si="5"/>
        <v>Registered</v>
      </c>
      <c r="O258" s="1" t="s">
        <v>19</v>
      </c>
      <c r="P258" s="9" t="str">
        <f t="shared" si="6"/>
        <v>UK</v>
      </c>
      <c r="Q258" s="8">
        <f t="shared" si="7"/>
        <v>177.6</v>
      </c>
    </row>
    <row r="259">
      <c r="A259" s="1">
        <v>536394.0</v>
      </c>
      <c r="B259" s="1" t="str">
        <f t="shared" si="1"/>
        <v>536394</v>
      </c>
      <c r="C259" s="1" t="str">
        <f t="shared" si="2"/>
        <v>Sale</v>
      </c>
      <c r="D259" s="1">
        <v>22632.0</v>
      </c>
      <c r="E259" s="1" t="str">
        <f>IFERROR(__xludf.DUMMYFUNCTION("IF(LEN(D259)&gt;4, IFERROR(REGEXEXTRACT(TO_TEXT(D259),""\d+""),""""),"""")"),"22632")</f>
        <v>22632</v>
      </c>
      <c r="F259" s="6" t="str">
        <f t="shared" si="3"/>
        <v>Product</v>
      </c>
      <c r="G259" s="1" t="s">
        <v>248</v>
      </c>
      <c r="H259" s="6" t="str">
        <f>IFERROR(__xludf.DUMMYFUNCTION("IF(REGEXMATCH(LOWER(G259), ""^(\?)+\s*(missing)?\s*(\?)*$""), """", PROPER(SUBSTITUTE(SUBSTITUTE(G259, ""?"", """"), ""*"", """")))"),"Hand Warmer Red Retrospot")</f>
        <v>Hand Warmer Red Retrospot</v>
      </c>
      <c r="I259" s="3">
        <v>96.0</v>
      </c>
      <c r="J259" s="7">
        <v>40513.44375</v>
      </c>
      <c r="K259" s="8" t="str">
        <f t="shared" si="4"/>
        <v>2010-12</v>
      </c>
      <c r="L259" s="5">
        <v>1.85</v>
      </c>
      <c r="M259" s="3">
        <v>13408.0</v>
      </c>
      <c r="N259" s="1" t="str">
        <f t="shared" si="5"/>
        <v>Registered</v>
      </c>
      <c r="O259" s="1" t="s">
        <v>19</v>
      </c>
      <c r="P259" s="9" t="str">
        <f t="shared" si="6"/>
        <v>UK</v>
      </c>
      <c r="Q259" s="8">
        <f t="shared" si="7"/>
        <v>177.6</v>
      </c>
    </row>
    <row r="260">
      <c r="A260" s="1">
        <v>536394.0</v>
      </c>
      <c r="B260" s="1" t="str">
        <f t="shared" si="1"/>
        <v>536394</v>
      </c>
      <c r="C260" s="1" t="str">
        <f t="shared" si="2"/>
        <v>Sale</v>
      </c>
      <c r="D260" s="1">
        <v>21485.0</v>
      </c>
      <c r="E260" s="1" t="str">
        <f>IFERROR(__xludf.DUMMYFUNCTION("IF(LEN(D260)&gt;4, IFERROR(REGEXEXTRACT(TO_TEXT(D260),""\d+""),""""),"""")"),"21485")</f>
        <v>21485</v>
      </c>
      <c r="F260" s="6" t="str">
        <f t="shared" si="3"/>
        <v>Product</v>
      </c>
      <c r="G260" s="1" t="s">
        <v>223</v>
      </c>
      <c r="H260" s="6" t="str">
        <f>IFERROR(__xludf.DUMMYFUNCTION("IF(REGEXMATCH(LOWER(G260), ""^(\?)+\s*(missing)?\s*(\?)*$""), """", PROPER(SUBSTITUTE(SUBSTITUTE(G260, ""?"", """"), ""*"", """")))"),"Retrospot Heart Hot Water Bottle")</f>
        <v>Retrospot Heart Hot Water Bottle</v>
      </c>
      <c r="I260" s="3">
        <v>12.0</v>
      </c>
      <c r="J260" s="7">
        <v>40513.44375</v>
      </c>
      <c r="K260" s="8" t="str">
        <f t="shared" si="4"/>
        <v>2010-12</v>
      </c>
      <c r="L260" s="5">
        <v>4.95</v>
      </c>
      <c r="M260" s="3">
        <v>13408.0</v>
      </c>
      <c r="N260" s="1" t="str">
        <f t="shared" si="5"/>
        <v>Registered</v>
      </c>
      <c r="O260" s="1" t="s">
        <v>19</v>
      </c>
      <c r="P260" s="9" t="str">
        <f t="shared" si="6"/>
        <v>UK</v>
      </c>
      <c r="Q260" s="8">
        <f t="shared" si="7"/>
        <v>59.4</v>
      </c>
    </row>
    <row r="261">
      <c r="A261" s="1">
        <v>536394.0</v>
      </c>
      <c r="B261" s="1" t="str">
        <f t="shared" si="1"/>
        <v>536394</v>
      </c>
      <c r="C261" s="1" t="str">
        <f t="shared" si="2"/>
        <v>Sale</v>
      </c>
      <c r="D261" s="1">
        <v>22349.0</v>
      </c>
      <c r="E261" s="1" t="str">
        <f>IFERROR(__xludf.DUMMYFUNCTION("IF(LEN(D261)&gt;4, IFERROR(REGEXEXTRACT(TO_TEXT(D261),""\d+""),""""),"""")"),"22349")</f>
        <v>22349</v>
      </c>
      <c r="F261" s="6" t="str">
        <f t="shared" si="3"/>
        <v>Product</v>
      </c>
      <c r="G261" s="1" t="s">
        <v>249</v>
      </c>
      <c r="H261" s="6" t="str">
        <f>IFERROR(__xludf.DUMMYFUNCTION("IF(REGEXMATCH(LOWER(G261), ""^(\?)+\s*(missing)?\s*(\?)*$""), """", PROPER(SUBSTITUTE(SUBSTITUTE(G261, ""?"", """"), ""*"", """")))"),"Dog Bowl Chasing Ball Design")</f>
        <v>Dog Bowl Chasing Ball Design</v>
      </c>
      <c r="I261" s="3">
        <v>12.0</v>
      </c>
      <c r="J261" s="7">
        <v>40513.44375</v>
      </c>
      <c r="K261" s="8" t="str">
        <f t="shared" si="4"/>
        <v>2010-12</v>
      </c>
      <c r="L261" s="5">
        <v>3.75</v>
      </c>
      <c r="M261" s="3">
        <v>13408.0</v>
      </c>
      <c r="N261" s="1" t="str">
        <f t="shared" si="5"/>
        <v>Registered</v>
      </c>
      <c r="O261" s="1" t="s">
        <v>19</v>
      </c>
      <c r="P261" s="9" t="str">
        <f t="shared" si="6"/>
        <v>UK</v>
      </c>
      <c r="Q261" s="8">
        <f t="shared" si="7"/>
        <v>45</v>
      </c>
    </row>
    <row r="262">
      <c r="A262" s="1">
        <v>536394.0</v>
      </c>
      <c r="B262" s="1" t="str">
        <f t="shared" si="1"/>
        <v>536394</v>
      </c>
      <c r="C262" s="1" t="str">
        <f t="shared" si="2"/>
        <v>Sale</v>
      </c>
      <c r="D262" s="1">
        <v>22558.0</v>
      </c>
      <c r="E262" s="1" t="str">
        <f>IFERROR(__xludf.DUMMYFUNCTION("IF(LEN(D262)&gt;4, IFERROR(REGEXEXTRACT(TO_TEXT(D262),""\d+""),""""),"""")"),"22558")</f>
        <v>22558</v>
      </c>
      <c r="F262" s="6" t="str">
        <f t="shared" si="3"/>
        <v>Product</v>
      </c>
      <c r="G262" s="1" t="s">
        <v>250</v>
      </c>
      <c r="H262" s="6" t="str">
        <f>IFERROR(__xludf.DUMMYFUNCTION("IF(REGEXMATCH(LOWER(G262), ""^(\?)+\s*(missing)?\s*(\?)*$""), """", PROPER(SUBSTITUTE(SUBSTITUTE(G262, ""?"", """"), ""*"", """")))"),"Clothes Pegs Retrospot Pack 24")</f>
        <v>Clothes Pegs Retrospot Pack 24</v>
      </c>
      <c r="I262" s="3">
        <v>48.0</v>
      </c>
      <c r="J262" s="7">
        <v>40513.44375</v>
      </c>
      <c r="K262" s="8" t="str">
        <f t="shared" si="4"/>
        <v>2010-12</v>
      </c>
      <c r="L262" s="5">
        <v>1.25</v>
      </c>
      <c r="M262" s="3">
        <v>13408.0</v>
      </c>
      <c r="N262" s="1" t="str">
        <f t="shared" si="5"/>
        <v>Registered</v>
      </c>
      <c r="O262" s="1" t="s">
        <v>19</v>
      </c>
      <c r="P262" s="9" t="str">
        <f t="shared" si="6"/>
        <v>UK</v>
      </c>
      <c r="Q262" s="8">
        <f t="shared" si="7"/>
        <v>60</v>
      </c>
    </row>
    <row r="263">
      <c r="A263" s="1">
        <v>536394.0</v>
      </c>
      <c r="B263" s="1" t="str">
        <f t="shared" si="1"/>
        <v>536394</v>
      </c>
      <c r="C263" s="1" t="str">
        <f t="shared" si="2"/>
        <v>Sale</v>
      </c>
      <c r="D263" s="1">
        <v>85152.0</v>
      </c>
      <c r="E263" s="1" t="str">
        <f>IFERROR(__xludf.DUMMYFUNCTION("IF(LEN(D263)&gt;4, IFERROR(REGEXEXTRACT(TO_TEXT(D263),""\d+""),""""),"""")"),"85152")</f>
        <v>85152</v>
      </c>
      <c r="F263" s="6" t="str">
        <f t="shared" si="3"/>
        <v>Product</v>
      </c>
      <c r="G263" s="1" t="s">
        <v>251</v>
      </c>
      <c r="H263" s="6" t="str">
        <f>IFERROR(__xludf.DUMMYFUNCTION("IF(REGEXMATCH(LOWER(G263), ""^(\?)+\s*(missing)?\s*(\?)*$""), """", PROPER(SUBSTITUTE(SUBSTITUTE(G263, ""?"", """"), ""*"", """")))"),"Hand Over The Chocolate Sign")</f>
        <v>Hand Over The Chocolate Sign</v>
      </c>
      <c r="I263" s="3">
        <v>12.0</v>
      </c>
      <c r="J263" s="7">
        <v>40513.44375</v>
      </c>
      <c r="K263" s="8" t="str">
        <f t="shared" si="4"/>
        <v>2010-12</v>
      </c>
      <c r="L263" s="5">
        <v>2.1</v>
      </c>
      <c r="M263" s="3">
        <v>13408.0</v>
      </c>
      <c r="N263" s="1" t="str">
        <f t="shared" si="5"/>
        <v>Registered</v>
      </c>
      <c r="O263" s="1" t="s">
        <v>19</v>
      </c>
      <c r="P263" s="9" t="str">
        <f t="shared" si="6"/>
        <v>UK</v>
      </c>
      <c r="Q263" s="8">
        <f t="shared" si="7"/>
        <v>25.2</v>
      </c>
    </row>
    <row r="264">
      <c r="A264" s="1">
        <v>536394.0</v>
      </c>
      <c r="B264" s="1" t="str">
        <f t="shared" si="1"/>
        <v>536394</v>
      </c>
      <c r="C264" s="1" t="str">
        <f t="shared" si="2"/>
        <v>Sale</v>
      </c>
      <c r="D264" s="1" t="s">
        <v>17</v>
      </c>
      <c r="E264" s="1" t="str">
        <f>IFERROR(__xludf.DUMMYFUNCTION("IF(LEN(D264)&gt;4, IFERROR(REGEXEXTRACT(TO_TEXT(D264),""\d+""),""""),"""")"),"85123")</f>
        <v>85123</v>
      </c>
      <c r="F264" s="6" t="str">
        <f t="shared" si="3"/>
        <v>Product</v>
      </c>
      <c r="G264" s="1" t="s">
        <v>18</v>
      </c>
      <c r="H264" s="6" t="str">
        <f>IFERROR(__xludf.DUMMYFUNCTION("IF(REGEXMATCH(LOWER(G264), ""^(\?)+\s*(missing)?\s*(\?)*$""), """", PROPER(SUBSTITUTE(SUBSTITUTE(G264, ""?"", """"), ""*"", """")))"),"White Hanging Heart T-Light Holder")</f>
        <v>White Hanging Heart T-Light Holder</v>
      </c>
      <c r="I264" s="3">
        <v>32.0</v>
      </c>
      <c r="J264" s="7">
        <v>40513.44375</v>
      </c>
      <c r="K264" s="8" t="str">
        <f t="shared" si="4"/>
        <v>2010-12</v>
      </c>
      <c r="L264" s="5">
        <v>2.55</v>
      </c>
      <c r="M264" s="3">
        <v>13408.0</v>
      </c>
      <c r="N264" s="1" t="str">
        <f t="shared" si="5"/>
        <v>Registered</v>
      </c>
      <c r="O264" s="1" t="s">
        <v>19</v>
      </c>
      <c r="P264" s="9" t="str">
        <f t="shared" si="6"/>
        <v>UK</v>
      </c>
      <c r="Q264" s="8">
        <f t="shared" si="7"/>
        <v>81.6</v>
      </c>
    </row>
    <row r="265">
      <c r="A265" s="1">
        <v>536394.0</v>
      </c>
      <c r="B265" s="1" t="str">
        <f t="shared" si="1"/>
        <v>536394</v>
      </c>
      <c r="C265" s="1" t="str">
        <f t="shared" si="2"/>
        <v>Sale</v>
      </c>
      <c r="D265" s="1">
        <v>22652.0</v>
      </c>
      <c r="E265" s="1" t="str">
        <f>IFERROR(__xludf.DUMMYFUNCTION("IF(LEN(D265)&gt;4, IFERROR(REGEXEXTRACT(TO_TEXT(D265),""\d+""),""""),"""")"),"22652")</f>
        <v>22652</v>
      </c>
      <c r="F265" s="6" t="str">
        <f t="shared" si="3"/>
        <v>Product</v>
      </c>
      <c r="G265" s="1" t="s">
        <v>252</v>
      </c>
      <c r="H265" s="6" t="str">
        <f>IFERROR(__xludf.DUMMYFUNCTION("IF(REGEXMATCH(LOWER(G265), ""^(\?)+\s*(missing)?\s*(\?)*$""), """", PROPER(SUBSTITUTE(SUBSTITUTE(G265, ""?"", """"), ""*"", """")))"),"Travel Sewing Kit")</f>
        <v>Travel Sewing Kit</v>
      </c>
      <c r="I265" s="3">
        <v>20.0</v>
      </c>
      <c r="J265" s="7">
        <v>40513.44375</v>
      </c>
      <c r="K265" s="8" t="str">
        <f t="shared" si="4"/>
        <v>2010-12</v>
      </c>
      <c r="L265" s="5">
        <v>1.65</v>
      </c>
      <c r="M265" s="3">
        <v>13408.0</v>
      </c>
      <c r="N265" s="1" t="str">
        <f t="shared" si="5"/>
        <v>Registered</v>
      </c>
      <c r="O265" s="1" t="s">
        <v>19</v>
      </c>
      <c r="P265" s="9" t="str">
        <f t="shared" si="6"/>
        <v>UK</v>
      </c>
      <c r="Q265" s="8">
        <f t="shared" si="7"/>
        <v>33</v>
      </c>
    </row>
    <row r="266">
      <c r="A266" s="1">
        <v>536395.0</v>
      </c>
      <c r="B266" s="1" t="str">
        <f t="shared" si="1"/>
        <v>536395</v>
      </c>
      <c r="C266" s="1" t="str">
        <f t="shared" si="2"/>
        <v>Sale</v>
      </c>
      <c r="D266" s="1">
        <v>22188.0</v>
      </c>
      <c r="E266" s="1" t="str">
        <f>IFERROR(__xludf.DUMMYFUNCTION("IF(LEN(D266)&gt;4, IFERROR(REGEXEXTRACT(TO_TEXT(D266),""\d+""),""""),"""")"),"22188")</f>
        <v>22188</v>
      </c>
      <c r="F266" s="6" t="str">
        <f t="shared" si="3"/>
        <v>Product</v>
      </c>
      <c r="G266" s="1" t="s">
        <v>253</v>
      </c>
      <c r="H266" s="6" t="str">
        <f>IFERROR(__xludf.DUMMYFUNCTION("IF(REGEXMATCH(LOWER(G266), ""^(\?)+\s*(missing)?\s*(\?)*$""), """", PROPER(SUBSTITUTE(SUBSTITUTE(G266, ""?"", """"), ""*"", """")))"),"Black Heart Card Holder")</f>
        <v>Black Heart Card Holder</v>
      </c>
      <c r="I266" s="3">
        <v>8.0</v>
      </c>
      <c r="J266" s="7">
        <v>40513.44930555556</v>
      </c>
      <c r="K266" s="8" t="str">
        <f t="shared" si="4"/>
        <v>2010-12</v>
      </c>
      <c r="L266" s="5">
        <v>3.95</v>
      </c>
      <c r="M266" s="3">
        <v>13767.0</v>
      </c>
      <c r="N266" s="1" t="str">
        <f t="shared" si="5"/>
        <v>Registered</v>
      </c>
      <c r="O266" s="1" t="s">
        <v>19</v>
      </c>
      <c r="P266" s="9" t="str">
        <f t="shared" si="6"/>
        <v>UK</v>
      </c>
      <c r="Q266" s="8">
        <f t="shared" si="7"/>
        <v>31.6</v>
      </c>
    </row>
    <row r="267">
      <c r="A267" s="1">
        <v>536395.0</v>
      </c>
      <c r="B267" s="1" t="str">
        <f t="shared" si="1"/>
        <v>536395</v>
      </c>
      <c r="C267" s="1" t="str">
        <f t="shared" si="2"/>
        <v>Sale</v>
      </c>
      <c r="D267" s="1">
        <v>84879.0</v>
      </c>
      <c r="E267" s="1" t="str">
        <f>IFERROR(__xludf.DUMMYFUNCTION("IF(LEN(D267)&gt;4, IFERROR(REGEXEXTRACT(TO_TEXT(D267),""\d+""),""""),"""")"),"84879")</f>
        <v>84879</v>
      </c>
      <c r="F267" s="6" t="str">
        <f t="shared" si="3"/>
        <v>Product</v>
      </c>
      <c r="G267" s="1" t="s">
        <v>31</v>
      </c>
      <c r="H267" s="6" t="str">
        <f>IFERROR(__xludf.DUMMYFUNCTION("IF(REGEXMATCH(LOWER(G267), ""^(\?)+\s*(missing)?\s*(\?)*$""), """", PROPER(SUBSTITUTE(SUBSTITUTE(G267, ""?"", """"), ""*"", """")))"),"Assorted Colour Bird Ornament")</f>
        <v>Assorted Colour Bird Ornament</v>
      </c>
      <c r="I267" s="3">
        <v>32.0</v>
      </c>
      <c r="J267" s="7">
        <v>40513.44930555556</v>
      </c>
      <c r="K267" s="8" t="str">
        <f t="shared" si="4"/>
        <v>2010-12</v>
      </c>
      <c r="L267" s="5">
        <v>1.69</v>
      </c>
      <c r="M267" s="3">
        <v>13767.0</v>
      </c>
      <c r="N267" s="1" t="str">
        <f t="shared" si="5"/>
        <v>Registered</v>
      </c>
      <c r="O267" s="1" t="s">
        <v>19</v>
      </c>
      <c r="P267" s="9" t="str">
        <f t="shared" si="6"/>
        <v>UK</v>
      </c>
      <c r="Q267" s="8">
        <f t="shared" si="7"/>
        <v>54.08</v>
      </c>
    </row>
    <row r="268">
      <c r="A268" s="1">
        <v>536395.0</v>
      </c>
      <c r="B268" s="1" t="str">
        <f t="shared" si="1"/>
        <v>536395</v>
      </c>
      <c r="C268" s="1" t="str">
        <f t="shared" si="2"/>
        <v>Sale</v>
      </c>
      <c r="D268" s="1">
        <v>21977.0</v>
      </c>
      <c r="E268" s="1" t="str">
        <f>IFERROR(__xludf.DUMMYFUNCTION("IF(LEN(D268)&gt;4, IFERROR(REGEXEXTRACT(TO_TEXT(D268),""\d+""),""""),"""")"),"21977")</f>
        <v>21977</v>
      </c>
      <c r="F268" s="6" t="str">
        <f t="shared" si="3"/>
        <v>Product</v>
      </c>
      <c r="G268" s="1" t="s">
        <v>99</v>
      </c>
      <c r="H268" s="6" t="str">
        <f>IFERROR(__xludf.DUMMYFUNCTION("IF(REGEXMATCH(LOWER(G268), ""^(\?)+\s*(missing)?\s*(\?)*$""), """", PROPER(SUBSTITUTE(SUBSTITUTE(G268, ""?"", """"), ""*"", """")))"),"Pack Of 60 Pink Paisley Cake Cases")</f>
        <v>Pack Of 60 Pink Paisley Cake Cases</v>
      </c>
      <c r="I268" s="3">
        <v>24.0</v>
      </c>
      <c r="J268" s="7">
        <v>40513.44930555556</v>
      </c>
      <c r="K268" s="8" t="str">
        <f t="shared" si="4"/>
        <v>2010-12</v>
      </c>
      <c r="L268" s="5">
        <v>0.55</v>
      </c>
      <c r="M268" s="3">
        <v>13767.0</v>
      </c>
      <c r="N268" s="1" t="str">
        <f t="shared" si="5"/>
        <v>Registered</v>
      </c>
      <c r="O268" s="1" t="s">
        <v>19</v>
      </c>
      <c r="P268" s="9" t="str">
        <f t="shared" si="6"/>
        <v>UK</v>
      </c>
      <c r="Q268" s="8">
        <f t="shared" si="7"/>
        <v>13.2</v>
      </c>
    </row>
    <row r="269">
      <c r="A269" s="1">
        <v>536395.0</v>
      </c>
      <c r="B269" s="1" t="str">
        <f t="shared" si="1"/>
        <v>536395</v>
      </c>
      <c r="C269" s="1" t="str">
        <f t="shared" si="2"/>
        <v>Sale</v>
      </c>
      <c r="D269" s="1">
        <v>84991.0</v>
      </c>
      <c r="E269" s="1" t="str">
        <f>IFERROR(__xludf.DUMMYFUNCTION("IF(LEN(D269)&gt;4, IFERROR(REGEXEXTRACT(TO_TEXT(D269),""\d+""),""""),"""")"),"84991")</f>
        <v>84991</v>
      </c>
      <c r="F269" s="6" t="str">
        <f t="shared" si="3"/>
        <v>Product</v>
      </c>
      <c r="G269" s="1" t="s">
        <v>100</v>
      </c>
      <c r="H269" s="6" t="str">
        <f>IFERROR(__xludf.DUMMYFUNCTION("IF(REGEXMATCH(LOWER(G269), ""^(\?)+\s*(missing)?\s*(\?)*$""), """", PROPER(SUBSTITUTE(SUBSTITUTE(G269, ""?"", """"), ""*"", """")))"),"60 Teatime Fairy Cake Cases")</f>
        <v>60 Teatime Fairy Cake Cases</v>
      </c>
      <c r="I269" s="3">
        <v>24.0</v>
      </c>
      <c r="J269" s="7">
        <v>40513.44930555556</v>
      </c>
      <c r="K269" s="8" t="str">
        <f t="shared" si="4"/>
        <v>2010-12</v>
      </c>
      <c r="L269" s="5">
        <v>0.55</v>
      </c>
      <c r="M269" s="3">
        <v>13767.0</v>
      </c>
      <c r="N269" s="1" t="str">
        <f t="shared" si="5"/>
        <v>Registered</v>
      </c>
      <c r="O269" s="1" t="s">
        <v>19</v>
      </c>
      <c r="P269" s="9" t="str">
        <f t="shared" si="6"/>
        <v>UK</v>
      </c>
      <c r="Q269" s="8">
        <f t="shared" si="7"/>
        <v>13.2</v>
      </c>
    </row>
    <row r="270">
      <c r="A270" s="1">
        <v>536395.0</v>
      </c>
      <c r="B270" s="1" t="str">
        <f t="shared" si="1"/>
        <v>536395</v>
      </c>
      <c r="C270" s="1" t="str">
        <f t="shared" si="2"/>
        <v>Sale</v>
      </c>
      <c r="D270" s="1">
        <v>21212.0</v>
      </c>
      <c r="E270" s="1" t="str">
        <f>IFERROR(__xludf.DUMMYFUNCTION("IF(LEN(D270)&gt;4, IFERROR(REGEXEXTRACT(TO_TEXT(D270),""\d+""),""""),"""")"),"21212")</f>
        <v>21212</v>
      </c>
      <c r="F270" s="6" t="str">
        <f t="shared" si="3"/>
        <v>Product</v>
      </c>
      <c r="G270" s="1" t="s">
        <v>97</v>
      </c>
      <c r="H270" s="6" t="str">
        <f>IFERROR(__xludf.DUMMYFUNCTION("IF(REGEXMATCH(LOWER(G270), ""^(\?)+\s*(missing)?\s*(\?)*$""), """", PROPER(SUBSTITUTE(SUBSTITUTE(G270, ""?"", """"), ""*"", """")))"),"Pack Of 72 Retrospot Cake Cases")</f>
        <v>Pack Of 72 Retrospot Cake Cases</v>
      </c>
      <c r="I270" s="3">
        <v>24.0</v>
      </c>
      <c r="J270" s="7">
        <v>40513.44930555556</v>
      </c>
      <c r="K270" s="8" t="str">
        <f t="shared" si="4"/>
        <v>2010-12</v>
      </c>
      <c r="L270" s="5">
        <v>0.55</v>
      </c>
      <c r="M270" s="3">
        <v>13767.0</v>
      </c>
      <c r="N270" s="1" t="str">
        <f t="shared" si="5"/>
        <v>Registered</v>
      </c>
      <c r="O270" s="1" t="s">
        <v>19</v>
      </c>
      <c r="P270" s="9" t="str">
        <f t="shared" si="6"/>
        <v>UK</v>
      </c>
      <c r="Q270" s="8">
        <f t="shared" si="7"/>
        <v>13.2</v>
      </c>
    </row>
    <row r="271">
      <c r="A271" s="1">
        <v>536395.0</v>
      </c>
      <c r="B271" s="1" t="str">
        <f t="shared" si="1"/>
        <v>536395</v>
      </c>
      <c r="C271" s="1" t="str">
        <f t="shared" si="2"/>
        <v>Sale</v>
      </c>
      <c r="D271" s="1">
        <v>21484.0</v>
      </c>
      <c r="E271" s="1" t="str">
        <f>IFERROR(__xludf.DUMMYFUNCTION("IF(LEN(D271)&gt;4, IFERROR(REGEXEXTRACT(TO_TEXT(D271),""\d+""),""""),"""")"),"21484")</f>
        <v>21484</v>
      </c>
      <c r="F271" s="6" t="str">
        <f t="shared" si="3"/>
        <v>Product</v>
      </c>
      <c r="G271" s="1" t="s">
        <v>232</v>
      </c>
      <c r="H271" s="6" t="str">
        <f>IFERROR(__xludf.DUMMYFUNCTION("IF(REGEXMATCH(LOWER(G271), ""^(\?)+\s*(missing)?\s*(\?)*$""), """", PROPER(SUBSTITUTE(SUBSTITUTE(G271, ""?"", """"), ""*"", """")))"),"Chick Grey Hot Water Bottle")</f>
        <v>Chick Grey Hot Water Bottle</v>
      </c>
      <c r="I271" s="3">
        <v>8.0</v>
      </c>
      <c r="J271" s="7">
        <v>40513.44930555556</v>
      </c>
      <c r="K271" s="8" t="str">
        <f t="shared" si="4"/>
        <v>2010-12</v>
      </c>
      <c r="L271" s="5">
        <v>3.45</v>
      </c>
      <c r="M271" s="3">
        <v>13767.0</v>
      </c>
      <c r="N271" s="1" t="str">
        <f t="shared" si="5"/>
        <v>Registered</v>
      </c>
      <c r="O271" s="1" t="s">
        <v>19</v>
      </c>
      <c r="P271" s="9" t="str">
        <f t="shared" si="6"/>
        <v>UK</v>
      </c>
      <c r="Q271" s="8">
        <f t="shared" si="7"/>
        <v>27.6</v>
      </c>
    </row>
    <row r="272">
      <c r="A272" s="1">
        <v>536395.0</v>
      </c>
      <c r="B272" s="1" t="str">
        <f t="shared" si="1"/>
        <v>536395</v>
      </c>
      <c r="C272" s="1" t="str">
        <f t="shared" si="2"/>
        <v>Sale</v>
      </c>
      <c r="D272" s="1">
        <v>21314.0</v>
      </c>
      <c r="E272" s="1" t="str">
        <f>IFERROR(__xludf.DUMMYFUNCTION("IF(LEN(D272)&gt;4, IFERROR(REGEXEXTRACT(TO_TEXT(D272),""\d+""),""""),"""")"),"21314")</f>
        <v>21314</v>
      </c>
      <c r="F272" s="6" t="str">
        <f t="shared" si="3"/>
        <v>Product</v>
      </c>
      <c r="G272" s="1" t="s">
        <v>254</v>
      </c>
      <c r="H272" s="6" t="str">
        <f>IFERROR(__xludf.DUMMYFUNCTION("IF(REGEXMATCH(LOWER(G272), ""^(\?)+\s*(missing)?\s*(\?)*$""), """", PROPER(SUBSTITUTE(SUBSTITUTE(G272, ""?"", """"), ""*"", """")))"),"Small Glass Heart Trinket Pot")</f>
        <v>Small Glass Heart Trinket Pot</v>
      </c>
      <c r="I272" s="3">
        <v>8.0</v>
      </c>
      <c r="J272" s="7">
        <v>40513.44930555556</v>
      </c>
      <c r="K272" s="8" t="str">
        <f t="shared" si="4"/>
        <v>2010-12</v>
      </c>
      <c r="L272" s="5">
        <v>2.1</v>
      </c>
      <c r="M272" s="3">
        <v>13767.0</v>
      </c>
      <c r="N272" s="1" t="str">
        <f t="shared" si="5"/>
        <v>Registered</v>
      </c>
      <c r="O272" s="1" t="s">
        <v>19</v>
      </c>
      <c r="P272" s="9" t="str">
        <f t="shared" si="6"/>
        <v>UK</v>
      </c>
      <c r="Q272" s="8">
        <f t="shared" si="7"/>
        <v>16.8</v>
      </c>
    </row>
    <row r="273">
      <c r="A273" s="1">
        <v>536395.0</v>
      </c>
      <c r="B273" s="1" t="str">
        <f t="shared" si="1"/>
        <v>536395</v>
      </c>
      <c r="C273" s="1" t="str">
        <f t="shared" si="2"/>
        <v>Sale</v>
      </c>
      <c r="D273" s="1">
        <v>22730.0</v>
      </c>
      <c r="E273" s="1" t="str">
        <f>IFERROR(__xludf.DUMMYFUNCTION("IF(LEN(D273)&gt;4, IFERROR(REGEXEXTRACT(TO_TEXT(D273),""\d+""),""""),"""")"),"22730")</f>
        <v>22730</v>
      </c>
      <c r="F273" s="6" t="str">
        <f t="shared" si="3"/>
        <v>Product</v>
      </c>
      <c r="G273" s="1" t="s">
        <v>255</v>
      </c>
      <c r="H273" s="6" t="str">
        <f>IFERROR(__xludf.DUMMYFUNCTION("IF(REGEXMATCH(LOWER(G273), ""^(\?)+\s*(missing)?\s*(\?)*$""), """", PROPER(SUBSTITUTE(SUBSTITUTE(G273, ""?"", """"), ""*"", """")))"),"Alarm Clock Bakelike Ivory")</f>
        <v>Alarm Clock Bakelike Ivory</v>
      </c>
      <c r="I273" s="3">
        <v>4.0</v>
      </c>
      <c r="J273" s="7">
        <v>40513.44930555556</v>
      </c>
      <c r="K273" s="8" t="str">
        <f t="shared" si="4"/>
        <v>2010-12</v>
      </c>
      <c r="L273" s="5">
        <v>3.75</v>
      </c>
      <c r="M273" s="3">
        <v>13767.0</v>
      </c>
      <c r="N273" s="1" t="str">
        <f t="shared" si="5"/>
        <v>Registered</v>
      </c>
      <c r="O273" s="1" t="s">
        <v>19</v>
      </c>
      <c r="P273" s="9" t="str">
        <f t="shared" si="6"/>
        <v>UK</v>
      </c>
      <c r="Q273" s="8">
        <f t="shared" si="7"/>
        <v>15</v>
      </c>
    </row>
    <row r="274">
      <c r="A274" s="1">
        <v>536395.0</v>
      </c>
      <c r="B274" s="1" t="str">
        <f t="shared" si="1"/>
        <v>536395</v>
      </c>
      <c r="C274" s="1" t="str">
        <f t="shared" si="2"/>
        <v>Sale</v>
      </c>
      <c r="D274" s="1">
        <v>22727.0</v>
      </c>
      <c r="E274" s="1" t="str">
        <f>IFERROR(__xludf.DUMMYFUNCTION("IF(LEN(D274)&gt;4, IFERROR(REGEXEXTRACT(TO_TEXT(D274),""\d+""),""""),"""")"),"22727")</f>
        <v>22727</v>
      </c>
      <c r="F274" s="6" t="str">
        <f t="shared" si="3"/>
        <v>Product</v>
      </c>
      <c r="G274" s="1" t="s">
        <v>50</v>
      </c>
      <c r="H274" s="6" t="str">
        <f>IFERROR(__xludf.DUMMYFUNCTION("IF(REGEXMATCH(LOWER(G274), ""^(\?)+\s*(missing)?\s*(\?)*$""), """", PROPER(SUBSTITUTE(SUBSTITUTE(G274, ""?"", """"), ""*"", """")))"),"Alarm Clock Bakelike Red")</f>
        <v>Alarm Clock Bakelike Red</v>
      </c>
      <c r="I274" s="3">
        <v>8.0</v>
      </c>
      <c r="J274" s="7">
        <v>40513.44930555556</v>
      </c>
      <c r="K274" s="8" t="str">
        <f t="shared" si="4"/>
        <v>2010-12</v>
      </c>
      <c r="L274" s="5">
        <v>3.75</v>
      </c>
      <c r="M274" s="3">
        <v>13767.0</v>
      </c>
      <c r="N274" s="1" t="str">
        <f t="shared" si="5"/>
        <v>Registered</v>
      </c>
      <c r="O274" s="1" t="s">
        <v>19</v>
      </c>
      <c r="P274" s="9" t="str">
        <f t="shared" si="6"/>
        <v>UK</v>
      </c>
      <c r="Q274" s="8">
        <f t="shared" si="7"/>
        <v>30</v>
      </c>
    </row>
    <row r="275">
      <c r="A275" s="1">
        <v>536395.0</v>
      </c>
      <c r="B275" s="1" t="str">
        <f t="shared" si="1"/>
        <v>536395</v>
      </c>
      <c r="C275" s="1" t="str">
        <f t="shared" si="2"/>
        <v>Sale</v>
      </c>
      <c r="D275" s="1">
        <v>22729.0</v>
      </c>
      <c r="E275" s="1" t="str">
        <f>IFERROR(__xludf.DUMMYFUNCTION("IF(LEN(D275)&gt;4, IFERROR(REGEXEXTRACT(TO_TEXT(D275),""\d+""),""""),"""")"),"22729")</f>
        <v>22729</v>
      </c>
      <c r="F275" s="6" t="str">
        <f t="shared" si="3"/>
        <v>Product</v>
      </c>
      <c r="G275" s="1" t="s">
        <v>256</v>
      </c>
      <c r="H275" s="6" t="str">
        <f>IFERROR(__xludf.DUMMYFUNCTION("IF(REGEXMATCH(LOWER(G275), ""^(\?)+\s*(missing)?\s*(\?)*$""), """", PROPER(SUBSTITUTE(SUBSTITUTE(G275, ""?"", """"), ""*"", """")))"),"Alarm Clock Bakelike Orange")</f>
        <v>Alarm Clock Bakelike Orange</v>
      </c>
      <c r="I275" s="3">
        <v>8.0</v>
      </c>
      <c r="J275" s="7">
        <v>40513.44930555556</v>
      </c>
      <c r="K275" s="8" t="str">
        <f t="shared" si="4"/>
        <v>2010-12</v>
      </c>
      <c r="L275" s="5">
        <v>3.75</v>
      </c>
      <c r="M275" s="3">
        <v>13767.0</v>
      </c>
      <c r="N275" s="1" t="str">
        <f t="shared" si="5"/>
        <v>Registered</v>
      </c>
      <c r="O275" s="1" t="s">
        <v>19</v>
      </c>
      <c r="P275" s="9" t="str">
        <f t="shared" si="6"/>
        <v>UK</v>
      </c>
      <c r="Q275" s="8">
        <f t="shared" si="7"/>
        <v>30</v>
      </c>
    </row>
    <row r="276">
      <c r="A276" s="1">
        <v>536395.0</v>
      </c>
      <c r="B276" s="1" t="str">
        <f t="shared" si="1"/>
        <v>536395</v>
      </c>
      <c r="C276" s="1" t="str">
        <f t="shared" si="2"/>
        <v>Sale</v>
      </c>
      <c r="D276" s="1">
        <v>22726.0</v>
      </c>
      <c r="E276" s="1" t="str">
        <f>IFERROR(__xludf.DUMMYFUNCTION("IF(LEN(D276)&gt;4, IFERROR(REGEXEXTRACT(TO_TEXT(D276),""\d+""),""""),"""")"),"22726")</f>
        <v>22726</v>
      </c>
      <c r="F276" s="6" t="str">
        <f t="shared" si="3"/>
        <v>Product</v>
      </c>
      <c r="G276" s="1" t="s">
        <v>51</v>
      </c>
      <c r="H276" s="6" t="str">
        <f>IFERROR(__xludf.DUMMYFUNCTION("IF(REGEXMATCH(LOWER(G276), ""^(\?)+\s*(missing)?\s*(\?)*$""), """", PROPER(SUBSTITUTE(SUBSTITUTE(G276, ""?"", """"), ""*"", """")))"),"Alarm Clock Bakelike Green")</f>
        <v>Alarm Clock Bakelike Green</v>
      </c>
      <c r="I276" s="3">
        <v>8.0</v>
      </c>
      <c r="J276" s="7">
        <v>40513.44930555556</v>
      </c>
      <c r="K276" s="8" t="str">
        <f t="shared" si="4"/>
        <v>2010-12</v>
      </c>
      <c r="L276" s="5">
        <v>3.75</v>
      </c>
      <c r="M276" s="3">
        <v>13767.0</v>
      </c>
      <c r="N276" s="1" t="str">
        <f t="shared" si="5"/>
        <v>Registered</v>
      </c>
      <c r="O276" s="1" t="s">
        <v>19</v>
      </c>
      <c r="P276" s="9" t="str">
        <f t="shared" si="6"/>
        <v>UK</v>
      </c>
      <c r="Q276" s="8">
        <f t="shared" si="7"/>
        <v>30</v>
      </c>
    </row>
    <row r="277">
      <c r="A277" s="1">
        <v>536395.0</v>
      </c>
      <c r="B277" s="1" t="str">
        <f t="shared" si="1"/>
        <v>536395</v>
      </c>
      <c r="C277" s="1" t="str">
        <f t="shared" si="2"/>
        <v>Sale</v>
      </c>
      <c r="D277" s="1">
        <v>22114.0</v>
      </c>
      <c r="E277" s="1" t="str">
        <f>IFERROR(__xludf.DUMMYFUNCTION("IF(LEN(D277)&gt;4, IFERROR(REGEXEXTRACT(TO_TEXT(D277),""\d+""),""""),"""")"),"22114")</f>
        <v>22114</v>
      </c>
      <c r="F277" s="6" t="str">
        <f t="shared" si="3"/>
        <v>Product</v>
      </c>
      <c r="G277" s="1" t="s">
        <v>82</v>
      </c>
      <c r="H277" s="6" t="str">
        <f>IFERROR(__xludf.DUMMYFUNCTION("IF(REGEXMATCH(LOWER(G277), ""^(\?)+\s*(missing)?\s*(\?)*$""), """", PROPER(SUBSTITUTE(SUBSTITUTE(G277, ""?"", """"), ""*"", """")))"),"Hot Water Bottle Tea And Sympathy")</f>
        <v>Hot Water Bottle Tea And Sympathy</v>
      </c>
      <c r="I277" s="3">
        <v>8.0</v>
      </c>
      <c r="J277" s="7">
        <v>40513.44930555556</v>
      </c>
      <c r="K277" s="8" t="str">
        <f t="shared" si="4"/>
        <v>2010-12</v>
      </c>
      <c r="L277" s="5">
        <v>3.95</v>
      </c>
      <c r="M277" s="3">
        <v>13767.0</v>
      </c>
      <c r="N277" s="1" t="str">
        <f t="shared" si="5"/>
        <v>Registered</v>
      </c>
      <c r="O277" s="1" t="s">
        <v>19</v>
      </c>
      <c r="P277" s="9" t="str">
        <f t="shared" si="6"/>
        <v>UK</v>
      </c>
      <c r="Q277" s="8">
        <f t="shared" si="7"/>
        <v>31.6</v>
      </c>
    </row>
    <row r="278">
      <c r="A278" s="1">
        <v>536395.0</v>
      </c>
      <c r="B278" s="1" t="str">
        <f t="shared" si="1"/>
        <v>536395</v>
      </c>
      <c r="C278" s="1" t="str">
        <f t="shared" si="2"/>
        <v>Sale</v>
      </c>
      <c r="D278" s="1">
        <v>22867.0</v>
      </c>
      <c r="E278" s="1" t="str">
        <f>IFERROR(__xludf.DUMMYFUNCTION("IF(LEN(D278)&gt;4, IFERROR(REGEXEXTRACT(TO_TEXT(D278),""\d+""),""""),"""")"),"22867")</f>
        <v>22867</v>
      </c>
      <c r="F278" s="6" t="str">
        <f t="shared" si="3"/>
        <v>Product</v>
      </c>
      <c r="G278" s="1" t="s">
        <v>257</v>
      </c>
      <c r="H278" s="6" t="str">
        <f>IFERROR(__xludf.DUMMYFUNCTION("IF(REGEXMATCH(LOWER(G278), ""^(\?)+\s*(missing)?\s*(\?)*$""), """", PROPER(SUBSTITUTE(SUBSTITUTE(G278, ""?"", """"), ""*"", """")))"),"Hand Warmer Bird Design")</f>
        <v>Hand Warmer Bird Design</v>
      </c>
      <c r="I278" s="3">
        <v>48.0</v>
      </c>
      <c r="J278" s="7">
        <v>40513.44930555556</v>
      </c>
      <c r="K278" s="8" t="str">
        <f t="shared" si="4"/>
        <v>2010-12</v>
      </c>
      <c r="L278" s="5">
        <v>2.1</v>
      </c>
      <c r="M278" s="3">
        <v>13767.0</v>
      </c>
      <c r="N278" s="1" t="str">
        <f t="shared" si="5"/>
        <v>Registered</v>
      </c>
      <c r="O278" s="1" t="s">
        <v>19</v>
      </c>
      <c r="P278" s="9" t="str">
        <f t="shared" si="6"/>
        <v>UK</v>
      </c>
      <c r="Q278" s="8">
        <f t="shared" si="7"/>
        <v>100.8</v>
      </c>
    </row>
    <row r="279">
      <c r="A279" s="1">
        <v>536395.0</v>
      </c>
      <c r="B279" s="1" t="str">
        <f t="shared" si="1"/>
        <v>536395</v>
      </c>
      <c r="C279" s="1" t="str">
        <f t="shared" si="2"/>
        <v>Sale</v>
      </c>
      <c r="D279" s="1">
        <v>22866.0</v>
      </c>
      <c r="E279" s="1" t="str">
        <f>IFERROR(__xludf.DUMMYFUNCTION("IF(LEN(D279)&gt;4, IFERROR(REGEXEXTRACT(TO_TEXT(D279),""\d+""),""""),"""")"),"22866")</f>
        <v>22866</v>
      </c>
      <c r="F279" s="6" t="str">
        <f t="shared" si="3"/>
        <v>Product</v>
      </c>
      <c r="G279" s="1" t="s">
        <v>246</v>
      </c>
      <c r="H279" s="6" t="str">
        <f>IFERROR(__xludf.DUMMYFUNCTION("IF(REGEXMATCH(LOWER(G279), ""^(\?)+\s*(missing)?\s*(\?)*$""), """", PROPER(SUBSTITUTE(SUBSTITUTE(G279, ""?"", """"), ""*"", """")))"),"Hand Warmer Scotty Dog Design")</f>
        <v>Hand Warmer Scotty Dog Design</v>
      </c>
      <c r="I279" s="3">
        <v>48.0</v>
      </c>
      <c r="J279" s="7">
        <v>40513.44930555556</v>
      </c>
      <c r="K279" s="8" t="str">
        <f t="shared" si="4"/>
        <v>2010-12</v>
      </c>
      <c r="L279" s="5">
        <v>2.1</v>
      </c>
      <c r="M279" s="3">
        <v>13767.0</v>
      </c>
      <c r="N279" s="1" t="str">
        <f t="shared" si="5"/>
        <v>Registered</v>
      </c>
      <c r="O279" s="1" t="s">
        <v>19</v>
      </c>
      <c r="P279" s="9" t="str">
        <f t="shared" si="6"/>
        <v>UK</v>
      </c>
      <c r="Q279" s="8">
        <f t="shared" si="7"/>
        <v>100.8</v>
      </c>
    </row>
    <row r="280">
      <c r="A280" s="1">
        <v>536396.0</v>
      </c>
      <c r="B280" s="1" t="str">
        <f t="shared" si="1"/>
        <v>536396</v>
      </c>
      <c r="C280" s="1" t="str">
        <f t="shared" si="2"/>
        <v>Sale</v>
      </c>
      <c r="D280" s="1" t="s">
        <v>17</v>
      </c>
      <c r="E280" s="1" t="str">
        <f>IFERROR(__xludf.DUMMYFUNCTION("IF(LEN(D280)&gt;4, IFERROR(REGEXEXTRACT(TO_TEXT(D280),""\d+""),""""),"""")"),"85123")</f>
        <v>85123</v>
      </c>
      <c r="F280" s="6" t="str">
        <f t="shared" si="3"/>
        <v>Product</v>
      </c>
      <c r="G280" s="1" t="s">
        <v>18</v>
      </c>
      <c r="H280" s="6" t="str">
        <f>IFERROR(__xludf.DUMMYFUNCTION("IF(REGEXMATCH(LOWER(G280), ""^(\?)+\s*(missing)?\s*(\?)*$""), """", PROPER(SUBSTITUTE(SUBSTITUTE(G280, ""?"", """"), ""*"", """")))"),"White Hanging Heart T-Light Holder")</f>
        <v>White Hanging Heart T-Light Holder</v>
      </c>
      <c r="I280" s="3">
        <v>6.0</v>
      </c>
      <c r="J280" s="7">
        <v>40513.45208333333</v>
      </c>
      <c r="K280" s="8" t="str">
        <f t="shared" si="4"/>
        <v>2010-12</v>
      </c>
      <c r="L280" s="5">
        <v>2.55</v>
      </c>
      <c r="M280" s="3">
        <v>17850.0</v>
      </c>
      <c r="N280" s="1" t="str">
        <f t="shared" si="5"/>
        <v>Registered</v>
      </c>
      <c r="O280" s="1" t="s">
        <v>19</v>
      </c>
      <c r="P280" s="9" t="str">
        <f t="shared" si="6"/>
        <v>UK</v>
      </c>
      <c r="Q280" s="8">
        <f t="shared" si="7"/>
        <v>15.3</v>
      </c>
    </row>
    <row r="281">
      <c r="A281" s="1">
        <v>536396.0</v>
      </c>
      <c r="B281" s="1" t="str">
        <f t="shared" si="1"/>
        <v>536396</v>
      </c>
      <c r="C281" s="1" t="str">
        <f t="shared" si="2"/>
        <v>Sale</v>
      </c>
      <c r="D281" s="1">
        <v>71053.0</v>
      </c>
      <c r="E281" s="1" t="str">
        <f>IFERROR(__xludf.DUMMYFUNCTION("IF(LEN(D281)&gt;4, IFERROR(REGEXEXTRACT(TO_TEXT(D281),""\d+""),""""),"""")"),"71053")</f>
        <v>71053</v>
      </c>
      <c r="F281" s="6" t="str">
        <f t="shared" si="3"/>
        <v>Product</v>
      </c>
      <c r="G281" s="1" t="s">
        <v>20</v>
      </c>
      <c r="H281" s="6" t="str">
        <f>IFERROR(__xludf.DUMMYFUNCTION("IF(REGEXMATCH(LOWER(G281), ""^(\?)+\s*(missing)?\s*(\?)*$""), """", PROPER(SUBSTITUTE(SUBSTITUTE(G281, ""?"", """"), ""*"", """")))"),"White Metal Lantern")</f>
        <v>White Metal Lantern</v>
      </c>
      <c r="I281" s="3">
        <v>6.0</v>
      </c>
      <c r="J281" s="7">
        <v>40513.45208333333</v>
      </c>
      <c r="K281" s="8" t="str">
        <f t="shared" si="4"/>
        <v>2010-12</v>
      </c>
      <c r="L281" s="5">
        <v>3.39</v>
      </c>
      <c r="M281" s="3">
        <v>17850.0</v>
      </c>
      <c r="N281" s="1" t="str">
        <f t="shared" si="5"/>
        <v>Registered</v>
      </c>
      <c r="O281" s="1" t="s">
        <v>19</v>
      </c>
      <c r="P281" s="9" t="str">
        <f t="shared" si="6"/>
        <v>UK</v>
      </c>
      <c r="Q281" s="8">
        <f t="shared" si="7"/>
        <v>20.34</v>
      </c>
    </row>
    <row r="282">
      <c r="A282" s="1">
        <v>536396.0</v>
      </c>
      <c r="B282" s="1" t="str">
        <f t="shared" si="1"/>
        <v>536396</v>
      </c>
      <c r="C282" s="1" t="str">
        <f t="shared" si="2"/>
        <v>Sale</v>
      </c>
      <c r="D282" s="1" t="s">
        <v>21</v>
      </c>
      <c r="E282" s="1" t="str">
        <f>IFERROR(__xludf.DUMMYFUNCTION("IF(LEN(D282)&gt;4, IFERROR(REGEXEXTRACT(TO_TEXT(D282),""\d+""),""""),"""")"),"84406")</f>
        <v>84406</v>
      </c>
      <c r="F282" s="6" t="str">
        <f t="shared" si="3"/>
        <v>Product</v>
      </c>
      <c r="G282" s="1" t="s">
        <v>22</v>
      </c>
      <c r="H282" s="6" t="str">
        <f>IFERROR(__xludf.DUMMYFUNCTION("IF(REGEXMATCH(LOWER(G282), ""^(\?)+\s*(missing)?\s*(\?)*$""), """", PROPER(SUBSTITUTE(SUBSTITUTE(G282, ""?"", """"), ""*"", """")))"),"Cream Cupid Hearts Coat Hanger")</f>
        <v>Cream Cupid Hearts Coat Hanger</v>
      </c>
      <c r="I282" s="3">
        <v>8.0</v>
      </c>
      <c r="J282" s="7">
        <v>40513.45208333333</v>
      </c>
      <c r="K282" s="8" t="str">
        <f t="shared" si="4"/>
        <v>2010-12</v>
      </c>
      <c r="L282" s="5">
        <v>2.75</v>
      </c>
      <c r="M282" s="3">
        <v>17850.0</v>
      </c>
      <c r="N282" s="1" t="str">
        <f t="shared" si="5"/>
        <v>Registered</v>
      </c>
      <c r="O282" s="1" t="s">
        <v>19</v>
      </c>
      <c r="P282" s="9" t="str">
        <f t="shared" si="6"/>
        <v>UK</v>
      </c>
      <c r="Q282" s="8">
        <f t="shared" si="7"/>
        <v>22</v>
      </c>
    </row>
    <row r="283">
      <c r="A283" s="1">
        <v>536396.0</v>
      </c>
      <c r="B283" s="1" t="str">
        <f t="shared" si="1"/>
        <v>536396</v>
      </c>
      <c r="C283" s="1" t="str">
        <f t="shared" si="2"/>
        <v>Sale</v>
      </c>
      <c r="D283" s="1" t="s">
        <v>137</v>
      </c>
      <c r="E283" s="1" t="str">
        <f>IFERROR(__xludf.DUMMYFUNCTION("IF(LEN(D283)&gt;4, IFERROR(REGEXEXTRACT(TO_TEXT(D283),""\d+""),""""),"""")"),"15056")</f>
        <v>15056</v>
      </c>
      <c r="F283" s="6" t="str">
        <f t="shared" si="3"/>
        <v>Product</v>
      </c>
      <c r="G283" s="1" t="s">
        <v>138</v>
      </c>
      <c r="H283" s="6" t="str">
        <f>IFERROR(__xludf.DUMMYFUNCTION("IF(REGEXMATCH(LOWER(G283), ""^(\?)+\s*(missing)?\s*(\?)*$""), """", PROPER(SUBSTITUTE(SUBSTITUTE(G283, ""?"", """"), ""*"", """")))"),"Edwardian Parasol Black")</f>
        <v>Edwardian Parasol Black</v>
      </c>
      <c r="I283" s="3">
        <v>6.0</v>
      </c>
      <c r="J283" s="7">
        <v>40513.45208333333</v>
      </c>
      <c r="K283" s="8" t="str">
        <f t="shared" si="4"/>
        <v>2010-12</v>
      </c>
      <c r="L283" s="5">
        <v>4.95</v>
      </c>
      <c r="M283" s="3">
        <v>17850.0</v>
      </c>
      <c r="N283" s="1" t="str">
        <f t="shared" si="5"/>
        <v>Registered</v>
      </c>
      <c r="O283" s="1" t="s">
        <v>19</v>
      </c>
      <c r="P283" s="9" t="str">
        <f t="shared" si="6"/>
        <v>UK</v>
      </c>
      <c r="Q283" s="8">
        <f t="shared" si="7"/>
        <v>29.7</v>
      </c>
    </row>
    <row r="284">
      <c r="A284" s="1">
        <v>536396.0</v>
      </c>
      <c r="B284" s="1" t="str">
        <f t="shared" si="1"/>
        <v>536396</v>
      </c>
      <c r="C284" s="1" t="str">
        <f t="shared" si="2"/>
        <v>Sale</v>
      </c>
      <c r="D284" s="1">
        <v>20679.0</v>
      </c>
      <c r="E284" s="1" t="str">
        <f>IFERROR(__xludf.DUMMYFUNCTION("IF(LEN(D284)&gt;4, IFERROR(REGEXEXTRACT(TO_TEXT(D284),""\d+""),""""),"""")"),"20679")</f>
        <v>20679</v>
      </c>
      <c r="F284" s="6" t="str">
        <f t="shared" si="3"/>
        <v>Product</v>
      </c>
      <c r="G284" s="1" t="s">
        <v>71</v>
      </c>
      <c r="H284" s="6" t="str">
        <f>IFERROR(__xludf.DUMMYFUNCTION("IF(REGEXMATCH(LOWER(G284), ""^(\?)+\s*(missing)?\s*(\?)*$""), """", PROPER(SUBSTITUTE(SUBSTITUTE(G284, ""?"", """"), ""*"", """")))"),"Edwardian Parasol Red")</f>
        <v>Edwardian Parasol Red</v>
      </c>
      <c r="I284" s="3">
        <v>6.0</v>
      </c>
      <c r="J284" s="7">
        <v>40513.45208333333</v>
      </c>
      <c r="K284" s="8" t="str">
        <f t="shared" si="4"/>
        <v>2010-12</v>
      </c>
      <c r="L284" s="5">
        <v>4.95</v>
      </c>
      <c r="M284" s="3">
        <v>17850.0</v>
      </c>
      <c r="N284" s="1" t="str">
        <f t="shared" si="5"/>
        <v>Registered</v>
      </c>
      <c r="O284" s="1" t="s">
        <v>19</v>
      </c>
      <c r="P284" s="9" t="str">
        <f t="shared" si="6"/>
        <v>UK</v>
      </c>
      <c r="Q284" s="8">
        <f t="shared" si="7"/>
        <v>29.7</v>
      </c>
    </row>
    <row r="285">
      <c r="A285" s="1">
        <v>536396.0</v>
      </c>
      <c r="B285" s="1" t="str">
        <f t="shared" si="1"/>
        <v>536396</v>
      </c>
      <c r="C285" s="1" t="str">
        <f t="shared" si="2"/>
        <v>Sale</v>
      </c>
      <c r="D285" s="1">
        <v>37370.0</v>
      </c>
      <c r="E285" s="1" t="str">
        <f>IFERROR(__xludf.DUMMYFUNCTION("IF(LEN(D285)&gt;4, IFERROR(REGEXEXTRACT(TO_TEXT(D285),""\d+""),""""),"""")"),"37370")</f>
        <v>37370</v>
      </c>
      <c r="F285" s="6" t="str">
        <f t="shared" si="3"/>
        <v>Product</v>
      </c>
      <c r="G285" s="1" t="s">
        <v>72</v>
      </c>
      <c r="H285" s="6" t="str">
        <f>IFERROR(__xludf.DUMMYFUNCTION("IF(REGEXMATCH(LOWER(G285), ""^(\?)+\s*(missing)?\s*(\?)*$""), """", PROPER(SUBSTITUTE(SUBSTITUTE(G285, ""?"", """"), ""*"", """")))"),"Retro Coffee Mugs Assorted")</f>
        <v>Retro Coffee Mugs Assorted</v>
      </c>
      <c r="I285" s="3">
        <v>6.0</v>
      </c>
      <c r="J285" s="7">
        <v>40513.45208333333</v>
      </c>
      <c r="K285" s="8" t="str">
        <f t="shared" si="4"/>
        <v>2010-12</v>
      </c>
      <c r="L285" s="5">
        <v>1.06</v>
      </c>
      <c r="M285" s="3">
        <v>17850.0</v>
      </c>
      <c r="N285" s="1" t="str">
        <f t="shared" si="5"/>
        <v>Registered</v>
      </c>
      <c r="O285" s="1" t="s">
        <v>19</v>
      </c>
      <c r="P285" s="9" t="str">
        <f t="shared" si="6"/>
        <v>UK</v>
      </c>
      <c r="Q285" s="8">
        <f t="shared" si="7"/>
        <v>6.36</v>
      </c>
    </row>
    <row r="286">
      <c r="A286" s="1">
        <v>536396.0</v>
      </c>
      <c r="B286" s="1" t="str">
        <f t="shared" si="1"/>
        <v>536396</v>
      </c>
      <c r="C286" s="1" t="str">
        <f t="shared" si="2"/>
        <v>Sale</v>
      </c>
      <c r="D286" s="1">
        <v>21871.0</v>
      </c>
      <c r="E286" s="1" t="str">
        <f>IFERROR(__xludf.DUMMYFUNCTION("IF(LEN(D286)&gt;4, IFERROR(REGEXEXTRACT(TO_TEXT(D286),""\d+""),""""),"""")"),"21871")</f>
        <v>21871</v>
      </c>
      <c r="F286" s="6" t="str">
        <f t="shared" si="3"/>
        <v>Product</v>
      </c>
      <c r="G286" s="1" t="s">
        <v>73</v>
      </c>
      <c r="H286" s="6" t="str">
        <f>IFERROR(__xludf.DUMMYFUNCTION("IF(REGEXMATCH(LOWER(G286), ""^(\?)+\s*(missing)?\s*(\?)*$""), """", PROPER(SUBSTITUTE(SUBSTITUTE(G286, ""?"", """"), ""*"", """")))"),"Save The Planet Mug")</f>
        <v>Save The Planet Mug</v>
      </c>
      <c r="I286" s="3">
        <v>6.0</v>
      </c>
      <c r="J286" s="7">
        <v>40513.45208333333</v>
      </c>
      <c r="K286" s="8" t="str">
        <f t="shared" si="4"/>
        <v>2010-12</v>
      </c>
      <c r="L286" s="5">
        <v>1.06</v>
      </c>
      <c r="M286" s="3">
        <v>17850.0</v>
      </c>
      <c r="N286" s="1" t="str">
        <f t="shared" si="5"/>
        <v>Registered</v>
      </c>
      <c r="O286" s="1" t="s">
        <v>19</v>
      </c>
      <c r="P286" s="9" t="str">
        <f t="shared" si="6"/>
        <v>UK</v>
      </c>
      <c r="Q286" s="8">
        <f t="shared" si="7"/>
        <v>6.36</v>
      </c>
    </row>
    <row r="287">
      <c r="A287" s="1">
        <v>536396.0</v>
      </c>
      <c r="B287" s="1" t="str">
        <f t="shared" si="1"/>
        <v>536396</v>
      </c>
      <c r="C287" s="1" t="str">
        <f t="shared" si="2"/>
        <v>Sale</v>
      </c>
      <c r="D287" s="1">
        <v>21071.0</v>
      </c>
      <c r="E287" s="1" t="str">
        <f>IFERROR(__xludf.DUMMYFUNCTION("IF(LEN(D287)&gt;4, IFERROR(REGEXEXTRACT(TO_TEXT(D287),""\d+""),""""),"""")"),"21071")</f>
        <v>21071</v>
      </c>
      <c r="F287" s="6" t="str">
        <f t="shared" si="3"/>
        <v>Product</v>
      </c>
      <c r="G287" s="1" t="s">
        <v>74</v>
      </c>
      <c r="H287" s="6" t="str">
        <f>IFERROR(__xludf.DUMMYFUNCTION("IF(REGEXMATCH(LOWER(G287), ""^(\?)+\s*(missing)?\s*(\?)*$""), """", PROPER(SUBSTITUTE(SUBSTITUTE(G287, ""?"", """"), ""*"", """")))"),"Vintage Billboard Drink Me Mug")</f>
        <v>Vintage Billboard Drink Me Mug</v>
      </c>
      <c r="I287" s="3">
        <v>6.0</v>
      </c>
      <c r="J287" s="7">
        <v>40513.45208333333</v>
      </c>
      <c r="K287" s="8" t="str">
        <f t="shared" si="4"/>
        <v>2010-12</v>
      </c>
      <c r="L287" s="5">
        <v>1.06</v>
      </c>
      <c r="M287" s="3">
        <v>17850.0</v>
      </c>
      <c r="N287" s="1" t="str">
        <f t="shared" si="5"/>
        <v>Registered</v>
      </c>
      <c r="O287" s="1" t="s">
        <v>19</v>
      </c>
      <c r="P287" s="9" t="str">
        <f t="shared" si="6"/>
        <v>UK</v>
      </c>
      <c r="Q287" s="8">
        <f t="shared" si="7"/>
        <v>6.36</v>
      </c>
    </row>
    <row r="288">
      <c r="A288" s="1">
        <v>536396.0</v>
      </c>
      <c r="B288" s="1" t="str">
        <f t="shared" si="1"/>
        <v>536396</v>
      </c>
      <c r="C288" s="1" t="str">
        <f t="shared" si="2"/>
        <v>Sale</v>
      </c>
      <c r="D288" s="1">
        <v>21068.0</v>
      </c>
      <c r="E288" s="1" t="str">
        <f>IFERROR(__xludf.DUMMYFUNCTION("IF(LEN(D288)&gt;4, IFERROR(REGEXEXTRACT(TO_TEXT(D288),""\d+""),""""),"""")"),"21068")</f>
        <v>21068</v>
      </c>
      <c r="F288" s="6" t="str">
        <f t="shared" si="3"/>
        <v>Product</v>
      </c>
      <c r="G288" s="1" t="s">
        <v>75</v>
      </c>
      <c r="H288" s="6" t="str">
        <f>IFERROR(__xludf.DUMMYFUNCTION("IF(REGEXMATCH(LOWER(G288), ""^(\?)+\s*(missing)?\s*(\?)*$""), """", PROPER(SUBSTITUTE(SUBSTITUTE(G288, ""?"", """"), ""*"", """")))"),"Vintage Billboard Love/Hate Mug")</f>
        <v>Vintage Billboard Love/Hate Mug</v>
      </c>
      <c r="I288" s="3">
        <v>6.0</v>
      </c>
      <c r="J288" s="7">
        <v>40513.45208333333</v>
      </c>
      <c r="K288" s="8" t="str">
        <f t="shared" si="4"/>
        <v>2010-12</v>
      </c>
      <c r="L288" s="5">
        <v>1.06</v>
      </c>
      <c r="M288" s="3">
        <v>17850.0</v>
      </c>
      <c r="N288" s="1" t="str">
        <f t="shared" si="5"/>
        <v>Registered</v>
      </c>
      <c r="O288" s="1" t="s">
        <v>19</v>
      </c>
      <c r="P288" s="9" t="str">
        <f t="shared" si="6"/>
        <v>UK</v>
      </c>
      <c r="Q288" s="8">
        <f t="shared" si="7"/>
        <v>6.36</v>
      </c>
    </row>
    <row r="289">
      <c r="A289" s="1">
        <v>536396.0</v>
      </c>
      <c r="B289" s="1" t="str">
        <f t="shared" si="1"/>
        <v>536396</v>
      </c>
      <c r="C289" s="1" t="str">
        <f t="shared" si="2"/>
        <v>Sale</v>
      </c>
      <c r="D289" s="1">
        <v>82483.0</v>
      </c>
      <c r="E289" s="1" t="str">
        <f>IFERROR(__xludf.DUMMYFUNCTION("IF(LEN(D289)&gt;4, IFERROR(REGEXEXTRACT(TO_TEXT(D289),""\d+""),""""),"""")"),"82483")</f>
        <v>82483</v>
      </c>
      <c r="F289" s="6" t="str">
        <f t="shared" si="3"/>
        <v>Product</v>
      </c>
      <c r="G289" s="1" t="s">
        <v>76</v>
      </c>
      <c r="H289" s="6" t="str">
        <f>IFERROR(__xludf.DUMMYFUNCTION("IF(REGEXMATCH(LOWER(G289), ""^(\?)+\s*(missing)?\s*(\?)*$""), """", PROPER(SUBSTITUTE(SUBSTITUTE(G289, ""?"", """"), ""*"", """")))"),"Wood 2 Drawer Cabinet White Finish")</f>
        <v>Wood 2 Drawer Cabinet White Finish</v>
      </c>
      <c r="I289" s="3">
        <v>2.0</v>
      </c>
      <c r="J289" s="7">
        <v>40513.45208333333</v>
      </c>
      <c r="K289" s="8" t="str">
        <f t="shared" si="4"/>
        <v>2010-12</v>
      </c>
      <c r="L289" s="5">
        <v>4.95</v>
      </c>
      <c r="M289" s="3">
        <v>17850.0</v>
      </c>
      <c r="N289" s="1" t="str">
        <f t="shared" si="5"/>
        <v>Registered</v>
      </c>
      <c r="O289" s="1" t="s">
        <v>19</v>
      </c>
      <c r="P289" s="9" t="str">
        <f t="shared" si="6"/>
        <v>UK</v>
      </c>
      <c r="Q289" s="8">
        <f t="shared" si="7"/>
        <v>9.9</v>
      </c>
    </row>
    <row r="290">
      <c r="A290" s="1">
        <v>536396.0</v>
      </c>
      <c r="B290" s="1" t="str">
        <f t="shared" si="1"/>
        <v>536396</v>
      </c>
      <c r="C290" s="1" t="str">
        <f t="shared" si="2"/>
        <v>Sale</v>
      </c>
      <c r="D290" s="1">
        <v>82486.0</v>
      </c>
      <c r="E290" s="1" t="str">
        <f>IFERROR(__xludf.DUMMYFUNCTION("IF(LEN(D290)&gt;4, IFERROR(REGEXEXTRACT(TO_TEXT(D290),""\d+""),""""),"""")"),"82486")</f>
        <v>82486</v>
      </c>
      <c r="F290" s="6" t="str">
        <f t="shared" si="3"/>
        <v>Product</v>
      </c>
      <c r="G290" s="1" t="s">
        <v>77</v>
      </c>
      <c r="H290" s="6" t="str">
        <f>IFERROR(__xludf.DUMMYFUNCTION("IF(REGEXMATCH(LOWER(G290), ""^(\?)+\s*(missing)?\s*(\?)*$""), """", PROPER(SUBSTITUTE(SUBSTITUTE(G290, ""?"", """"), ""*"", """")))"),"Wood S/3 Cabinet Ant White Finish")</f>
        <v>Wood S/3 Cabinet Ant White Finish</v>
      </c>
      <c r="I290" s="3">
        <v>4.0</v>
      </c>
      <c r="J290" s="7">
        <v>40513.45208333333</v>
      </c>
      <c r="K290" s="8" t="str">
        <f t="shared" si="4"/>
        <v>2010-12</v>
      </c>
      <c r="L290" s="5">
        <v>6.95</v>
      </c>
      <c r="M290" s="3">
        <v>17850.0</v>
      </c>
      <c r="N290" s="1" t="str">
        <f t="shared" si="5"/>
        <v>Registered</v>
      </c>
      <c r="O290" s="1" t="s">
        <v>19</v>
      </c>
      <c r="P290" s="9" t="str">
        <f t="shared" si="6"/>
        <v>UK</v>
      </c>
      <c r="Q290" s="8">
        <f t="shared" si="7"/>
        <v>27.8</v>
      </c>
    </row>
    <row r="291">
      <c r="A291" s="1">
        <v>536396.0</v>
      </c>
      <c r="B291" s="1" t="str">
        <f t="shared" si="1"/>
        <v>536396</v>
      </c>
      <c r="C291" s="1" t="str">
        <f t="shared" si="2"/>
        <v>Sale</v>
      </c>
      <c r="D291" s="1">
        <v>82482.0</v>
      </c>
      <c r="E291" s="1" t="str">
        <f>IFERROR(__xludf.DUMMYFUNCTION("IF(LEN(D291)&gt;4, IFERROR(REGEXEXTRACT(TO_TEXT(D291),""\d+""),""""),"""")"),"82482")</f>
        <v>82482</v>
      </c>
      <c r="F291" s="6" t="str">
        <f t="shared" si="3"/>
        <v>Product</v>
      </c>
      <c r="G291" s="1" t="s">
        <v>78</v>
      </c>
      <c r="H291" s="6" t="str">
        <f>IFERROR(__xludf.DUMMYFUNCTION("IF(REGEXMATCH(LOWER(G291), ""^(\?)+\s*(missing)?\s*(\?)*$""), """", PROPER(SUBSTITUTE(SUBSTITUTE(G291, ""?"", """"), ""*"", """")))"),"Wooden Picture Frame White Finish")</f>
        <v>Wooden Picture Frame White Finish</v>
      </c>
      <c r="I291" s="3">
        <v>6.0</v>
      </c>
      <c r="J291" s="7">
        <v>40513.45208333333</v>
      </c>
      <c r="K291" s="8" t="str">
        <f t="shared" si="4"/>
        <v>2010-12</v>
      </c>
      <c r="L291" s="5">
        <v>2.1</v>
      </c>
      <c r="M291" s="3">
        <v>17850.0</v>
      </c>
      <c r="N291" s="1" t="str">
        <f t="shared" si="5"/>
        <v>Registered</v>
      </c>
      <c r="O291" s="1" t="s">
        <v>19</v>
      </c>
      <c r="P291" s="9" t="str">
        <f t="shared" si="6"/>
        <v>UK</v>
      </c>
      <c r="Q291" s="8">
        <f t="shared" si="7"/>
        <v>12.6</v>
      </c>
    </row>
    <row r="292">
      <c r="A292" s="1">
        <v>536396.0</v>
      </c>
      <c r="B292" s="1" t="str">
        <f t="shared" si="1"/>
        <v>536396</v>
      </c>
      <c r="C292" s="1" t="str">
        <f t="shared" si="2"/>
        <v>Sale</v>
      </c>
      <c r="D292" s="1" t="s">
        <v>79</v>
      </c>
      <c r="E292" s="1" t="str">
        <f>IFERROR(__xludf.DUMMYFUNCTION("IF(LEN(D292)&gt;4, IFERROR(REGEXEXTRACT(TO_TEXT(D292),""\d+""),""""),"""")"),"82494")</f>
        <v>82494</v>
      </c>
      <c r="F292" s="6" t="str">
        <f t="shared" si="3"/>
        <v>Product</v>
      </c>
      <c r="G292" s="1" t="s">
        <v>80</v>
      </c>
      <c r="H292" s="6" t="str">
        <f>IFERROR(__xludf.DUMMYFUNCTION("IF(REGEXMATCH(LOWER(G292), ""^(\?)+\s*(missing)?\s*(\?)*$""), """", PROPER(SUBSTITUTE(SUBSTITUTE(G292, ""?"", """"), ""*"", """")))"),"Wooden Frame Antique White")</f>
        <v>Wooden Frame Antique White</v>
      </c>
      <c r="I292" s="3">
        <v>12.0</v>
      </c>
      <c r="J292" s="7">
        <v>40513.45208333333</v>
      </c>
      <c r="K292" s="8" t="str">
        <f t="shared" si="4"/>
        <v>2010-12</v>
      </c>
      <c r="L292" s="5">
        <v>2.55</v>
      </c>
      <c r="M292" s="3">
        <v>17850.0</v>
      </c>
      <c r="N292" s="1" t="str">
        <f t="shared" si="5"/>
        <v>Registered</v>
      </c>
      <c r="O292" s="1" t="s">
        <v>19</v>
      </c>
      <c r="P292" s="9" t="str">
        <f t="shared" si="6"/>
        <v>UK</v>
      </c>
      <c r="Q292" s="8">
        <f t="shared" si="7"/>
        <v>30.6</v>
      </c>
    </row>
    <row r="293">
      <c r="A293" s="1">
        <v>536396.0</v>
      </c>
      <c r="B293" s="1" t="str">
        <f t="shared" si="1"/>
        <v>536396</v>
      </c>
      <c r="C293" s="1" t="str">
        <f t="shared" si="2"/>
        <v>Sale</v>
      </c>
      <c r="D293" s="1" t="s">
        <v>23</v>
      </c>
      <c r="E293" s="1" t="str">
        <f>IFERROR(__xludf.DUMMYFUNCTION("IF(LEN(D293)&gt;4, IFERROR(REGEXEXTRACT(TO_TEXT(D293),""\d+""),""""),"""")"),"84029")</f>
        <v>84029</v>
      </c>
      <c r="F293" s="6" t="str">
        <f t="shared" si="3"/>
        <v>Product</v>
      </c>
      <c r="G293" s="1" t="s">
        <v>24</v>
      </c>
      <c r="H293" s="6" t="str">
        <f>IFERROR(__xludf.DUMMYFUNCTION("IF(REGEXMATCH(LOWER(G293), ""^(\?)+\s*(missing)?\s*(\?)*$""), """", PROPER(SUBSTITUTE(SUBSTITUTE(G293, ""?"", """"), ""*"", """")))"),"Knitted Union Flag Hot Water Bottle")</f>
        <v>Knitted Union Flag Hot Water Bottle</v>
      </c>
      <c r="I293" s="3">
        <v>6.0</v>
      </c>
      <c r="J293" s="7">
        <v>40513.45208333333</v>
      </c>
      <c r="K293" s="8" t="str">
        <f t="shared" si="4"/>
        <v>2010-12</v>
      </c>
      <c r="L293" s="5">
        <v>3.39</v>
      </c>
      <c r="M293" s="3">
        <v>17850.0</v>
      </c>
      <c r="N293" s="1" t="str">
        <f t="shared" si="5"/>
        <v>Registered</v>
      </c>
      <c r="O293" s="1" t="s">
        <v>19</v>
      </c>
      <c r="P293" s="9" t="str">
        <f t="shared" si="6"/>
        <v>UK</v>
      </c>
      <c r="Q293" s="8">
        <f t="shared" si="7"/>
        <v>20.34</v>
      </c>
    </row>
    <row r="294">
      <c r="A294" s="1">
        <v>536396.0</v>
      </c>
      <c r="B294" s="1" t="str">
        <f t="shared" si="1"/>
        <v>536396</v>
      </c>
      <c r="C294" s="1" t="str">
        <f t="shared" si="2"/>
        <v>Sale</v>
      </c>
      <c r="D294" s="1" t="s">
        <v>25</v>
      </c>
      <c r="E294" s="1" t="str">
        <f>IFERROR(__xludf.DUMMYFUNCTION("IF(LEN(D294)&gt;4, IFERROR(REGEXEXTRACT(TO_TEXT(D294),""\d+""),""""),"""")"),"84029")</f>
        <v>84029</v>
      </c>
      <c r="F294" s="6" t="str">
        <f t="shared" si="3"/>
        <v>Product</v>
      </c>
      <c r="G294" s="1" t="s">
        <v>26</v>
      </c>
      <c r="H294" s="6" t="str">
        <f>IFERROR(__xludf.DUMMYFUNCTION("IF(REGEXMATCH(LOWER(G294), ""^(\?)+\s*(missing)?\s*(\?)*$""), """", PROPER(SUBSTITUTE(SUBSTITUTE(G294, ""?"", """"), ""*"", """")))"),"Red Woolly Hottie White Heart.")</f>
        <v>Red Woolly Hottie White Heart.</v>
      </c>
      <c r="I294" s="3">
        <v>6.0</v>
      </c>
      <c r="J294" s="7">
        <v>40513.45208333333</v>
      </c>
      <c r="K294" s="8" t="str">
        <f t="shared" si="4"/>
        <v>2010-12</v>
      </c>
      <c r="L294" s="5">
        <v>3.39</v>
      </c>
      <c r="M294" s="3">
        <v>17850.0</v>
      </c>
      <c r="N294" s="1" t="str">
        <f t="shared" si="5"/>
        <v>Registered</v>
      </c>
      <c r="O294" s="1" t="s">
        <v>19</v>
      </c>
      <c r="P294" s="9" t="str">
        <f t="shared" si="6"/>
        <v>UK</v>
      </c>
      <c r="Q294" s="8">
        <f t="shared" si="7"/>
        <v>20.34</v>
      </c>
    </row>
    <row r="295">
      <c r="A295" s="1">
        <v>536396.0</v>
      </c>
      <c r="B295" s="1" t="str">
        <f t="shared" si="1"/>
        <v>536396</v>
      </c>
      <c r="C295" s="1" t="str">
        <f t="shared" si="2"/>
        <v>Sale</v>
      </c>
      <c r="D295" s="1">
        <v>22752.0</v>
      </c>
      <c r="E295" s="1" t="str">
        <f>IFERROR(__xludf.DUMMYFUNCTION("IF(LEN(D295)&gt;4, IFERROR(REGEXEXTRACT(TO_TEXT(D295),""\d+""),""""),"""")"),"22752")</f>
        <v>22752</v>
      </c>
      <c r="F295" s="6" t="str">
        <f t="shared" si="3"/>
        <v>Product</v>
      </c>
      <c r="G295" s="1" t="s">
        <v>27</v>
      </c>
      <c r="H295" s="6" t="str">
        <f>IFERROR(__xludf.DUMMYFUNCTION("IF(REGEXMATCH(LOWER(G295), ""^(\?)+\s*(missing)?\s*(\?)*$""), """", PROPER(SUBSTITUTE(SUBSTITUTE(G295, ""?"", """"), ""*"", """")))"),"Set 7 Babushka Nesting Boxes")</f>
        <v>Set 7 Babushka Nesting Boxes</v>
      </c>
      <c r="I295" s="3">
        <v>2.0</v>
      </c>
      <c r="J295" s="7">
        <v>40513.45208333333</v>
      </c>
      <c r="K295" s="8" t="str">
        <f t="shared" si="4"/>
        <v>2010-12</v>
      </c>
      <c r="L295" s="5">
        <v>7.65</v>
      </c>
      <c r="M295" s="3">
        <v>17850.0</v>
      </c>
      <c r="N295" s="1" t="str">
        <f t="shared" si="5"/>
        <v>Registered</v>
      </c>
      <c r="O295" s="1" t="s">
        <v>19</v>
      </c>
      <c r="P295" s="9" t="str">
        <f t="shared" si="6"/>
        <v>UK</v>
      </c>
      <c r="Q295" s="8">
        <f t="shared" si="7"/>
        <v>15.3</v>
      </c>
    </row>
    <row r="296">
      <c r="A296" s="1">
        <v>536396.0</v>
      </c>
      <c r="B296" s="1" t="str">
        <f t="shared" si="1"/>
        <v>536396</v>
      </c>
      <c r="C296" s="1" t="str">
        <f t="shared" si="2"/>
        <v>Sale</v>
      </c>
      <c r="D296" s="1">
        <v>22803.0</v>
      </c>
      <c r="E296" s="1" t="str">
        <f>IFERROR(__xludf.DUMMYFUNCTION("IF(LEN(D296)&gt;4, IFERROR(REGEXEXTRACT(TO_TEXT(D296),""\d+""),""""),"""")"),"22803")</f>
        <v>22803</v>
      </c>
      <c r="F296" s="6" t="str">
        <f t="shared" si="3"/>
        <v>Product</v>
      </c>
      <c r="G296" s="1" t="s">
        <v>258</v>
      </c>
      <c r="H296" s="6" t="str">
        <f>IFERROR(__xludf.DUMMYFUNCTION("IF(REGEXMATCH(LOWER(G296), ""^(\?)+\s*(missing)?\s*(\?)*$""), """", PROPER(SUBSTITUTE(SUBSTITUTE(G296, ""?"", """"), ""*"", """")))"),"Ivory Embroidered Quilt")</f>
        <v>Ivory Embroidered Quilt</v>
      </c>
      <c r="I296" s="3">
        <v>2.0</v>
      </c>
      <c r="J296" s="7">
        <v>40513.45208333333</v>
      </c>
      <c r="K296" s="8" t="str">
        <f t="shared" si="4"/>
        <v>2010-12</v>
      </c>
      <c r="L296" s="5">
        <v>35.75</v>
      </c>
      <c r="M296" s="3">
        <v>17850.0</v>
      </c>
      <c r="N296" s="1" t="str">
        <f t="shared" si="5"/>
        <v>Registered</v>
      </c>
      <c r="O296" s="1" t="s">
        <v>19</v>
      </c>
      <c r="P296" s="9" t="str">
        <f t="shared" si="6"/>
        <v>UK</v>
      </c>
      <c r="Q296" s="8">
        <f t="shared" si="7"/>
        <v>71.5</v>
      </c>
    </row>
    <row r="297">
      <c r="A297" s="1">
        <v>536396.0</v>
      </c>
      <c r="B297" s="1" t="str">
        <f t="shared" si="1"/>
        <v>536396</v>
      </c>
      <c r="C297" s="1" t="str">
        <f t="shared" si="2"/>
        <v>Sale</v>
      </c>
      <c r="D297" s="1">
        <v>21730.0</v>
      </c>
      <c r="E297" s="1" t="str">
        <f>IFERROR(__xludf.DUMMYFUNCTION("IF(LEN(D297)&gt;4, IFERROR(REGEXEXTRACT(TO_TEXT(D297),""\d+""),""""),"""")"),"21730")</f>
        <v>21730</v>
      </c>
      <c r="F297" s="6" t="str">
        <f t="shared" si="3"/>
        <v>Product</v>
      </c>
      <c r="G297" s="1" t="s">
        <v>28</v>
      </c>
      <c r="H297" s="6" t="str">
        <f>IFERROR(__xludf.DUMMYFUNCTION("IF(REGEXMATCH(LOWER(G297), ""^(\?)+\s*(missing)?\s*(\?)*$""), """", PROPER(SUBSTITUTE(SUBSTITUTE(G297, ""?"", """"), ""*"", """")))"),"Glass Star Frosted T-Light Holder")</f>
        <v>Glass Star Frosted T-Light Holder</v>
      </c>
      <c r="I297" s="3">
        <v>6.0</v>
      </c>
      <c r="J297" s="7">
        <v>40513.45208333333</v>
      </c>
      <c r="K297" s="8" t="str">
        <f t="shared" si="4"/>
        <v>2010-12</v>
      </c>
      <c r="L297" s="5">
        <v>4.25</v>
      </c>
      <c r="M297" s="3">
        <v>17850.0</v>
      </c>
      <c r="N297" s="1" t="str">
        <f t="shared" si="5"/>
        <v>Registered</v>
      </c>
      <c r="O297" s="1" t="s">
        <v>19</v>
      </c>
      <c r="P297" s="9" t="str">
        <f t="shared" si="6"/>
        <v>UK</v>
      </c>
      <c r="Q297" s="8">
        <f t="shared" si="7"/>
        <v>25.5</v>
      </c>
    </row>
    <row r="298">
      <c r="A298" s="1">
        <v>536397.0</v>
      </c>
      <c r="B298" s="1" t="str">
        <f t="shared" si="1"/>
        <v>536397</v>
      </c>
      <c r="C298" s="1" t="str">
        <f t="shared" si="2"/>
        <v>Sale</v>
      </c>
      <c r="D298" s="1" t="s">
        <v>259</v>
      </c>
      <c r="E298" s="1" t="str">
        <f>IFERROR(__xludf.DUMMYFUNCTION("IF(LEN(D298)&gt;4, IFERROR(REGEXEXTRACT(TO_TEXT(D298),""\d+""),""""),"""")"),"35004")</f>
        <v>35004</v>
      </c>
      <c r="F298" s="6" t="str">
        <f t="shared" si="3"/>
        <v>Product</v>
      </c>
      <c r="G298" s="1" t="s">
        <v>260</v>
      </c>
      <c r="H298" s="6" t="str">
        <f>IFERROR(__xludf.DUMMYFUNCTION("IF(REGEXMATCH(LOWER(G298), ""^(\?)+\s*(missing)?\s*(\?)*$""), """", PROPER(SUBSTITUTE(SUBSTITUTE(G298, ""?"", """"), ""*"", """")))"),"Set Of 3 Black Flying Ducks")</f>
        <v>Set Of 3 Black Flying Ducks</v>
      </c>
      <c r="I298" s="3">
        <v>12.0</v>
      </c>
      <c r="J298" s="7">
        <v>40513.45208333333</v>
      </c>
      <c r="K298" s="8" t="str">
        <f t="shared" si="4"/>
        <v>2010-12</v>
      </c>
      <c r="L298" s="5">
        <v>4.65</v>
      </c>
      <c r="M298" s="3">
        <v>17924.0</v>
      </c>
      <c r="N298" s="1" t="str">
        <f t="shared" si="5"/>
        <v>Registered</v>
      </c>
      <c r="O298" s="1" t="s">
        <v>19</v>
      </c>
      <c r="P298" s="9" t="str">
        <f t="shared" si="6"/>
        <v>UK</v>
      </c>
      <c r="Q298" s="8">
        <f t="shared" si="7"/>
        <v>55.8</v>
      </c>
    </row>
    <row r="299">
      <c r="A299" s="1">
        <v>536397.0</v>
      </c>
      <c r="B299" s="1" t="str">
        <f t="shared" si="1"/>
        <v>536397</v>
      </c>
      <c r="C299" s="1" t="str">
        <f t="shared" si="2"/>
        <v>Sale</v>
      </c>
      <c r="D299" s="1" t="s">
        <v>160</v>
      </c>
      <c r="E299" s="1" t="str">
        <f>IFERROR(__xludf.DUMMYFUNCTION("IF(LEN(D299)&gt;4, IFERROR(REGEXEXTRACT(TO_TEXT(D299),""\d+""),""""),"""")"),"35004")</f>
        <v>35004</v>
      </c>
      <c r="F299" s="6" t="str">
        <f t="shared" si="3"/>
        <v>Product</v>
      </c>
      <c r="G299" s="1" t="s">
        <v>161</v>
      </c>
      <c r="H299" s="6" t="str">
        <f>IFERROR(__xludf.DUMMYFUNCTION("IF(REGEXMATCH(LOWER(G299), ""^(\?)+\s*(missing)?\s*(\?)*$""), """", PROPER(SUBSTITUTE(SUBSTITUTE(G299, ""?"", """"), ""*"", """")))"),"Set Of 3 Coloured Flying Ducks")</f>
        <v>Set Of 3 Coloured Flying Ducks</v>
      </c>
      <c r="I299" s="3">
        <v>48.0</v>
      </c>
      <c r="J299" s="7">
        <v>40513.45208333333</v>
      </c>
      <c r="K299" s="8" t="str">
        <f t="shared" si="4"/>
        <v>2010-12</v>
      </c>
      <c r="L299" s="5">
        <v>4.65</v>
      </c>
      <c r="M299" s="3">
        <v>17924.0</v>
      </c>
      <c r="N299" s="1" t="str">
        <f t="shared" si="5"/>
        <v>Registered</v>
      </c>
      <c r="O299" s="1" t="s">
        <v>19</v>
      </c>
      <c r="P299" s="9" t="str">
        <f t="shared" si="6"/>
        <v>UK</v>
      </c>
      <c r="Q299" s="8">
        <f t="shared" si="7"/>
        <v>223.2</v>
      </c>
    </row>
    <row r="300">
      <c r="A300" s="1">
        <v>536398.0</v>
      </c>
      <c r="B300" s="1" t="str">
        <f t="shared" si="1"/>
        <v>536398</v>
      </c>
      <c r="C300" s="1" t="str">
        <f t="shared" si="2"/>
        <v>Sale</v>
      </c>
      <c r="D300" s="1">
        <v>21980.0</v>
      </c>
      <c r="E300" s="1" t="str">
        <f>IFERROR(__xludf.DUMMYFUNCTION("IF(LEN(D300)&gt;4, IFERROR(REGEXEXTRACT(TO_TEXT(D300),""\d+""),""""),"""")"),"21980")</f>
        <v>21980</v>
      </c>
      <c r="F300" s="6" t="str">
        <f t="shared" si="3"/>
        <v>Product</v>
      </c>
      <c r="G300" s="1" t="s">
        <v>231</v>
      </c>
      <c r="H300" s="6" t="str">
        <f>IFERROR(__xludf.DUMMYFUNCTION("IF(REGEXMATCH(LOWER(G300), ""^(\?)+\s*(missing)?\s*(\?)*$""), """", PROPER(SUBSTITUTE(SUBSTITUTE(G300, ""?"", """"), ""*"", """")))"),"Pack Of 12 Red Retrospot Tissues")</f>
        <v>Pack Of 12 Red Retrospot Tissues</v>
      </c>
      <c r="I300" s="3">
        <v>24.0</v>
      </c>
      <c r="J300" s="7">
        <v>40513.45277777778</v>
      </c>
      <c r="K300" s="8" t="str">
        <f t="shared" si="4"/>
        <v>2010-12</v>
      </c>
      <c r="L300" s="5">
        <v>0.29</v>
      </c>
      <c r="M300" s="3">
        <v>13448.0</v>
      </c>
      <c r="N300" s="1" t="str">
        <f t="shared" si="5"/>
        <v>Registered</v>
      </c>
      <c r="O300" s="1" t="s">
        <v>19</v>
      </c>
      <c r="P300" s="9" t="str">
        <f t="shared" si="6"/>
        <v>UK</v>
      </c>
      <c r="Q300" s="8">
        <f t="shared" si="7"/>
        <v>6.96</v>
      </c>
    </row>
    <row r="301">
      <c r="A301" s="1">
        <v>536398.0</v>
      </c>
      <c r="B301" s="1" t="str">
        <f t="shared" si="1"/>
        <v>536398</v>
      </c>
      <c r="C301" s="1" t="str">
        <f t="shared" si="2"/>
        <v>Sale</v>
      </c>
      <c r="D301" s="1">
        <v>21844.0</v>
      </c>
      <c r="E301" s="1" t="str">
        <f>IFERROR(__xludf.DUMMYFUNCTION("IF(LEN(D301)&gt;4, IFERROR(REGEXEXTRACT(TO_TEXT(D301),""\d+""),""""),"""")"),"21844")</f>
        <v>21844</v>
      </c>
      <c r="F301" s="6" t="str">
        <f t="shared" si="3"/>
        <v>Product</v>
      </c>
      <c r="G301" s="1" t="s">
        <v>261</v>
      </c>
      <c r="H301" s="6" t="str">
        <f>IFERROR(__xludf.DUMMYFUNCTION("IF(REGEXMATCH(LOWER(G301), ""^(\?)+\s*(missing)?\s*(\?)*$""), """", PROPER(SUBSTITUTE(SUBSTITUTE(G301, ""?"", """"), ""*"", """")))"),"Red Retrospot Mug")</f>
        <v>Red Retrospot Mug</v>
      </c>
      <c r="I301" s="3">
        <v>6.0</v>
      </c>
      <c r="J301" s="7">
        <v>40513.45277777778</v>
      </c>
      <c r="K301" s="8" t="str">
        <f t="shared" si="4"/>
        <v>2010-12</v>
      </c>
      <c r="L301" s="5">
        <v>2.95</v>
      </c>
      <c r="M301" s="3">
        <v>13448.0</v>
      </c>
      <c r="N301" s="1" t="str">
        <f t="shared" si="5"/>
        <v>Registered</v>
      </c>
      <c r="O301" s="1" t="s">
        <v>19</v>
      </c>
      <c r="P301" s="9" t="str">
        <f t="shared" si="6"/>
        <v>UK</v>
      </c>
      <c r="Q301" s="8">
        <f t="shared" si="7"/>
        <v>17.7</v>
      </c>
    </row>
    <row r="302">
      <c r="A302" s="1">
        <v>536398.0</v>
      </c>
      <c r="B302" s="1" t="str">
        <f t="shared" si="1"/>
        <v>536398</v>
      </c>
      <c r="C302" s="1" t="str">
        <f t="shared" si="2"/>
        <v>Sale</v>
      </c>
      <c r="D302" s="1">
        <v>22468.0</v>
      </c>
      <c r="E302" s="1" t="str">
        <f>IFERROR(__xludf.DUMMYFUNCTION("IF(LEN(D302)&gt;4, IFERROR(REGEXEXTRACT(TO_TEXT(D302),""\d+""),""""),"""")"),"22468")</f>
        <v>22468</v>
      </c>
      <c r="F302" s="6" t="str">
        <f t="shared" si="3"/>
        <v>Product</v>
      </c>
      <c r="G302" s="1" t="s">
        <v>262</v>
      </c>
      <c r="H302" s="6" t="str">
        <f>IFERROR(__xludf.DUMMYFUNCTION("IF(REGEXMATCH(LOWER(G302), ""^(\?)+\s*(missing)?\s*(\?)*$""), """", PROPER(SUBSTITUTE(SUBSTITUTE(G302, ""?"", """"), ""*"", """")))"),"Babushka Lights String Of 10")</f>
        <v>Babushka Lights String Of 10</v>
      </c>
      <c r="I302" s="3">
        <v>4.0</v>
      </c>
      <c r="J302" s="7">
        <v>40513.45277777778</v>
      </c>
      <c r="K302" s="8" t="str">
        <f t="shared" si="4"/>
        <v>2010-12</v>
      </c>
      <c r="L302" s="5">
        <v>6.75</v>
      </c>
      <c r="M302" s="3">
        <v>13448.0</v>
      </c>
      <c r="N302" s="1" t="str">
        <f t="shared" si="5"/>
        <v>Registered</v>
      </c>
      <c r="O302" s="1" t="s">
        <v>19</v>
      </c>
      <c r="P302" s="9" t="str">
        <f t="shared" si="6"/>
        <v>UK</v>
      </c>
      <c r="Q302" s="8">
        <f t="shared" si="7"/>
        <v>27</v>
      </c>
    </row>
    <row r="303">
      <c r="A303" s="1">
        <v>536398.0</v>
      </c>
      <c r="B303" s="1" t="str">
        <f t="shared" si="1"/>
        <v>536398</v>
      </c>
      <c r="C303" s="1" t="str">
        <f t="shared" si="2"/>
        <v>Sale</v>
      </c>
      <c r="D303" s="1">
        <v>22637.0</v>
      </c>
      <c r="E303" s="1" t="str">
        <f>IFERROR(__xludf.DUMMYFUNCTION("IF(LEN(D303)&gt;4, IFERROR(REGEXEXTRACT(TO_TEXT(D303),""\d+""),""""),"""")"),"22637")</f>
        <v>22637</v>
      </c>
      <c r="F303" s="6" t="str">
        <f t="shared" si="3"/>
        <v>Product</v>
      </c>
      <c r="G303" s="1" t="s">
        <v>119</v>
      </c>
      <c r="H303" s="6" t="str">
        <f>IFERROR(__xludf.DUMMYFUNCTION("IF(REGEXMATCH(LOWER(G303), ""^(\?)+\s*(missing)?\s*(\?)*$""), """", PROPER(SUBSTITUTE(SUBSTITUTE(G303, ""?"", """"), ""*"", """")))"),"Piggy Bank Retrospot")</f>
        <v>Piggy Bank Retrospot</v>
      </c>
      <c r="I303" s="3">
        <v>8.0</v>
      </c>
      <c r="J303" s="7">
        <v>40513.45277777778</v>
      </c>
      <c r="K303" s="8" t="str">
        <f t="shared" si="4"/>
        <v>2010-12</v>
      </c>
      <c r="L303" s="5">
        <v>2.55</v>
      </c>
      <c r="M303" s="3">
        <v>13448.0</v>
      </c>
      <c r="N303" s="1" t="str">
        <f t="shared" si="5"/>
        <v>Registered</v>
      </c>
      <c r="O303" s="1" t="s">
        <v>19</v>
      </c>
      <c r="P303" s="9" t="str">
        <f t="shared" si="6"/>
        <v>UK</v>
      </c>
      <c r="Q303" s="8">
        <f t="shared" si="7"/>
        <v>20.4</v>
      </c>
    </row>
    <row r="304">
      <c r="A304" s="1">
        <v>536398.0</v>
      </c>
      <c r="B304" s="1" t="str">
        <f t="shared" si="1"/>
        <v>536398</v>
      </c>
      <c r="C304" s="1" t="str">
        <f t="shared" si="2"/>
        <v>Sale</v>
      </c>
      <c r="D304" s="1">
        <v>22752.0</v>
      </c>
      <c r="E304" s="1" t="str">
        <f>IFERROR(__xludf.DUMMYFUNCTION("IF(LEN(D304)&gt;4, IFERROR(REGEXEXTRACT(TO_TEXT(D304),""\d+""),""""),"""")"),"22752")</f>
        <v>22752</v>
      </c>
      <c r="F304" s="6" t="str">
        <f t="shared" si="3"/>
        <v>Product</v>
      </c>
      <c r="G304" s="1" t="s">
        <v>27</v>
      </c>
      <c r="H304" s="6" t="str">
        <f>IFERROR(__xludf.DUMMYFUNCTION("IF(REGEXMATCH(LOWER(G304), ""^(\?)+\s*(missing)?\s*(\?)*$""), """", PROPER(SUBSTITUTE(SUBSTITUTE(G304, ""?"", """"), ""*"", """")))"),"Set 7 Babushka Nesting Boxes")</f>
        <v>Set 7 Babushka Nesting Boxes</v>
      </c>
      <c r="I304" s="3">
        <v>6.0</v>
      </c>
      <c r="J304" s="7">
        <v>40513.45277777778</v>
      </c>
      <c r="K304" s="8" t="str">
        <f t="shared" si="4"/>
        <v>2010-12</v>
      </c>
      <c r="L304" s="5">
        <v>8.5</v>
      </c>
      <c r="M304" s="3">
        <v>13448.0</v>
      </c>
      <c r="N304" s="1" t="str">
        <f t="shared" si="5"/>
        <v>Registered</v>
      </c>
      <c r="O304" s="1" t="s">
        <v>19</v>
      </c>
      <c r="P304" s="9" t="str">
        <f t="shared" si="6"/>
        <v>UK</v>
      </c>
      <c r="Q304" s="8">
        <f t="shared" si="7"/>
        <v>51</v>
      </c>
    </row>
    <row r="305">
      <c r="A305" s="1">
        <v>536398.0</v>
      </c>
      <c r="B305" s="1" t="str">
        <f t="shared" si="1"/>
        <v>536398</v>
      </c>
      <c r="C305" s="1" t="str">
        <f t="shared" si="2"/>
        <v>Sale</v>
      </c>
      <c r="D305" s="1">
        <v>48185.0</v>
      </c>
      <c r="E305" s="1" t="str">
        <f>IFERROR(__xludf.DUMMYFUNCTION("IF(LEN(D305)&gt;4, IFERROR(REGEXEXTRACT(TO_TEXT(D305),""\d+""),""""),"""")"),"48185")</f>
        <v>48185</v>
      </c>
      <c r="F305" s="6" t="str">
        <f t="shared" si="3"/>
        <v>Product</v>
      </c>
      <c r="G305" s="1" t="s">
        <v>263</v>
      </c>
      <c r="H305" s="6" t="str">
        <f>IFERROR(__xludf.DUMMYFUNCTION("IF(REGEXMATCH(LOWER(G305), ""^(\?)+\s*(missing)?\s*(\?)*$""), """", PROPER(SUBSTITUTE(SUBSTITUTE(G305, ""?"", """"), ""*"", """")))"),"Doormat Fairy Cake")</f>
        <v>Doormat Fairy Cake</v>
      </c>
      <c r="I305" s="3">
        <v>2.0</v>
      </c>
      <c r="J305" s="7">
        <v>40513.45277777778</v>
      </c>
      <c r="K305" s="8" t="str">
        <f t="shared" si="4"/>
        <v>2010-12</v>
      </c>
      <c r="L305" s="5">
        <v>7.95</v>
      </c>
      <c r="M305" s="3">
        <v>13448.0</v>
      </c>
      <c r="N305" s="1" t="str">
        <f t="shared" si="5"/>
        <v>Registered</v>
      </c>
      <c r="O305" s="1" t="s">
        <v>19</v>
      </c>
      <c r="P305" s="9" t="str">
        <f t="shared" si="6"/>
        <v>UK</v>
      </c>
      <c r="Q305" s="8">
        <f t="shared" si="7"/>
        <v>15.9</v>
      </c>
    </row>
    <row r="306">
      <c r="A306" s="1">
        <v>536398.0</v>
      </c>
      <c r="B306" s="1" t="str">
        <f t="shared" si="1"/>
        <v>536398</v>
      </c>
      <c r="C306" s="1" t="str">
        <f t="shared" si="2"/>
        <v>Sale</v>
      </c>
      <c r="D306" s="1">
        <v>22632.0</v>
      </c>
      <c r="E306" s="1" t="str">
        <f>IFERROR(__xludf.DUMMYFUNCTION("IF(LEN(D306)&gt;4, IFERROR(REGEXEXTRACT(TO_TEXT(D306),""\d+""),""""),"""")"),"22632")</f>
        <v>22632</v>
      </c>
      <c r="F306" s="6" t="str">
        <f t="shared" si="3"/>
        <v>Product</v>
      </c>
      <c r="G306" s="1" t="s">
        <v>248</v>
      </c>
      <c r="H306" s="6" t="str">
        <f>IFERROR(__xludf.DUMMYFUNCTION("IF(REGEXMATCH(LOWER(G306), ""^(\?)+\s*(missing)?\s*(\?)*$""), """", PROPER(SUBSTITUTE(SUBSTITUTE(G306, ""?"", """"), ""*"", """")))"),"Hand Warmer Red Retrospot")</f>
        <v>Hand Warmer Red Retrospot</v>
      </c>
      <c r="I306" s="3">
        <v>12.0</v>
      </c>
      <c r="J306" s="7">
        <v>40513.45277777778</v>
      </c>
      <c r="K306" s="8" t="str">
        <f t="shared" si="4"/>
        <v>2010-12</v>
      </c>
      <c r="L306" s="5">
        <v>2.1</v>
      </c>
      <c r="M306" s="3">
        <v>13448.0</v>
      </c>
      <c r="N306" s="1" t="str">
        <f t="shared" si="5"/>
        <v>Registered</v>
      </c>
      <c r="O306" s="1" t="s">
        <v>19</v>
      </c>
      <c r="P306" s="9" t="str">
        <f t="shared" si="6"/>
        <v>UK</v>
      </c>
      <c r="Q306" s="8">
        <f t="shared" si="7"/>
        <v>25.2</v>
      </c>
    </row>
    <row r="307">
      <c r="A307" s="1">
        <v>536398.0</v>
      </c>
      <c r="B307" s="1" t="str">
        <f t="shared" si="1"/>
        <v>536398</v>
      </c>
      <c r="C307" s="1" t="str">
        <f t="shared" si="2"/>
        <v>Sale</v>
      </c>
      <c r="D307" s="1">
        <v>22866.0</v>
      </c>
      <c r="E307" s="1" t="str">
        <f>IFERROR(__xludf.DUMMYFUNCTION("IF(LEN(D307)&gt;4, IFERROR(REGEXEXTRACT(TO_TEXT(D307),""\d+""),""""),"""")"),"22866")</f>
        <v>22866</v>
      </c>
      <c r="F307" s="6" t="str">
        <f t="shared" si="3"/>
        <v>Product</v>
      </c>
      <c r="G307" s="1" t="s">
        <v>246</v>
      </c>
      <c r="H307" s="6" t="str">
        <f>IFERROR(__xludf.DUMMYFUNCTION("IF(REGEXMATCH(LOWER(G307), ""^(\?)+\s*(missing)?\s*(\?)*$""), """", PROPER(SUBSTITUTE(SUBSTITUTE(G307, ""?"", """"), ""*"", """")))"),"Hand Warmer Scotty Dog Design")</f>
        <v>Hand Warmer Scotty Dog Design</v>
      </c>
      <c r="I307" s="3">
        <v>12.0</v>
      </c>
      <c r="J307" s="7">
        <v>40513.45277777778</v>
      </c>
      <c r="K307" s="8" t="str">
        <f t="shared" si="4"/>
        <v>2010-12</v>
      </c>
      <c r="L307" s="5">
        <v>2.1</v>
      </c>
      <c r="M307" s="3">
        <v>13448.0</v>
      </c>
      <c r="N307" s="1" t="str">
        <f t="shared" si="5"/>
        <v>Registered</v>
      </c>
      <c r="O307" s="1" t="s">
        <v>19</v>
      </c>
      <c r="P307" s="9" t="str">
        <f t="shared" si="6"/>
        <v>UK</v>
      </c>
      <c r="Q307" s="8">
        <f t="shared" si="7"/>
        <v>25.2</v>
      </c>
    </row>
    <row r="308">
      <c r="A308" s="1">
        <v>536398.0</v>
      </c>
      <c r="B308" s="1" t="str">
        <f t="shared" si="1"/>
        <v>536398</v>
      </c>
      <c r="C308" s="1" t="str">
        <f t="shared" si="2"/>
        <v>Sale</v>
      </c>
      <c r="D308" s="1">
        <v>22865.0</v>
      </c>
      <c r="E308" s="1" t="str">
        <f>IFERROR(__xludf.DUMMYFUNCTION("IF(LEN(D308)&gt;4, IFERROR(REGEXEXTRACT(TO_TEXT(D308),""\d+""),""""),"""")"),"22865")</f>
        <v>22865</v>
      </c>
      <c r="F308" s="6" t="str">
        <f t="shared" si="3"/>
        <v>Product</v>
      </c>
      <c r="G308" s="1" t="s">
        <v>247</v>
      </c>
      <c r="H308" s="6" t="str">
        <f>IFERROR(__xludf.DUMMYFUNCTION("IF(REGEXMATCH(LOWER(G308), ""^(\?)+\s*(missing)?\s*(\?)*$""), """", PROPER(SUBSTITUTE(SUBSTITUTE(G308, ""?"", """"), ""*"", """")))"),"Hand Warmer Owl Design")</f>
        <v>Hand Warmer Owl Design</v>
      </c>
      <c r="I308" s="3">
        <v>12.0</v>
      </c>
      <c r="J308" s="7">
        <v>40513.45277777778</v>
      </c>
      <c r="K308" s="8" t="str">
        <f t="shared" si="4"/>
        <v>2010-12</v>
      </c>
      <c r="L308" s="5">
        <v>2.1</v>
      </c>
      <c r="M308" s="3">
        <v>13448.0</v>
      </c>
      <c r="N308" s="1" t="str">
        <f t="shared" si="5"/>
        <v>Registered</v>
      </c>
      <c r="O308" s="1" t="s">
        <v>19</v>
      </c>
      <c r="P308" s="9" t="str">
        <f t="shared" si="6"/>
        <v>UK</v>
      </c>
      <c r="Q308" s="8">
        <f t="shared" si="7"/>
        <v>25.2</v>
      </c>
    </row>
    <row r="309">
      <c r="A309" s="1">
        <v>536398.0</v>
      </c>
      <c r="B309" s="1" t="str">
        <f t="shared" si="1"/>
        <v>536398</v>
      </c>
      <c r="C309" s="1" t="str">
        <f t="shared" si="2"/>
        <v>Sale</v>
      </c>
      <c r="D309" s="1">
        <v>21232.0</v>
      </c>
      <c r="E309" s="1" t="str">
        <f>IFERROR(__xludf.DUMMYFUNCTION("IF(LEN(D309)&gt;4, IFERROR(REGEXEXTRACT(TO_TEXT(D309),""\d+""),""""),"""")"),"21232")</f>
        <v>21232</v>
      </c>
      <c r="F309" s="6" t="str">
        <f t="shared" si="3"/>
        <v>Product</v>
      </c>
      <c r="G309" s="1" t="s">
        <v>264</v>
      </c>
      <c r="H309" s="6" t="str">
        <f>IFERROR(__xludf.DUMMYFUNCTION("IF(REGEXMATCH(LOWER(G309), ""^(\?)+\s*(missing)?\s*(\?)*$""), """", PROPER(SUBSTITUTE(SUBSTITUTE(G309, ""?"", """"), ""*"", """")))"),"Strawberry Ceramic Trinket Box")</f>
        <v>Strawberry Ceramic Trinket Box</v>
      </c>
      <c r="I309" s="3">
        <v>12.0</v>
      </c>
      <c r="J309" s="7">
        <v>40513.45277777778</v>
      </c>
      <c r="K309" s="8" t="str">
        <f t="shared" si="4"/>
        <v>2010-12</v>
      </c>
      <c r="L309" s="5">
        <v>1.25</v>
      </c>
      <c r="M309" s="3">
        <v>13448.0</v>
      </c>
      <c r="N309" s="1" t="str">
        <f t="shared" si="5"/>
        <v>Registered</v>
      </c>
      <c r="O309" s="1" t="s">
        <v>19</v>
      </c>
      <c r="P309" s="9" t="str">
        <f t="shared" si="6"/>
        <v>UK</v>
      </c>
      <c r="Q309" s="8">
        <f t="shared" si="7"/>
        <v>15</v>
      </c>
    </row>
    <row r="310">
      <c r="A310" s="1">
        <v>536398.0</v>
      </c>
      <c r="B310" s="1" t="str">
        <f t="shared" si="1"/>
        <v>536398</v>
      </c>
      <c r="C310" s="1" t="str">
        <f t="shared" si="2"/>
        <v>Sale</v>
      </c>
      <c r="D310" s="1">
        <v>22064.0</v>
      </c>
      <c r="E310" s="1" t="str">
        <f>IFERROR(__xludf.DUMMYFUNCTION("IF(LEN(D310)&gt;4, IFERROR(REGEXEXTRACT(TO_TEXT(D310),""\d+""),""""),"""")"),"22064")</f>
        <v>22064</v>
      </c>
      <c r="F310" s="6" t="str">
        <f t="shared" si="3"/>
        <v>Product</v>
      </c>
      <c r="G310" s="1" t="s">
        <v>265</v>
      </c>
      <c r="H310" s="6" t="str">
        <f>IFERROR(__xludf.DUMMYFUNCTION("IF(REGEXMATCH(LOWER(G310), ""^(\?)+\s*(missing)?\s*(\?)*$""), """", PROPER(SUBSTITUTE(SUBSTITUTE(G310, ""?"", """"), ""*"", """")))"),"Pink Doughnut Trinket Pot")</f>
        <v>Pink Doughnut Trinket Pot</v>
      </c>
      <c r="I310" s="3">
        <v>12.0</v>
      </c>
      <c r="J310" s="7">
        <v>40513.45277777778</v>
      </c>
      <c r="K310" s="8" t="str">
        <f t="shared" si="4"/>
        <v>2010-12</v>
      </c>
      <c r="L310" s="5">
        <v>1.65</v>
      </c>
      <c r="M310" s="3">
        <v>13448.0</v>
      </c>
      <c r="N310" s="1" t="str">
        <f t="shared" si="5"/>
        <v>Registered</v>
      </c>
      <c r="O310" s="1" t="s">
        <v>19</v>
      </c>
      <c r="P310" s="9" t="str">
        <f t="shared" si="6"/>
        <v>UK</v>
      </c>
      <c r="Q310" s="8">
        <f t="shared" si="7"/>
        <v>19.8</v>
      </c>
    </row>
    <row r="311">
      <c r="A311" s="1">
        <v>536398.0</v>
      </c>
      <c r="B311" s="1" t="str">
        <f t="shared" si="1"/>
        <v>536398</v>
      </c>
      <c r="C311" s="1" t="str">
        <f t="shared" si="2"/>
        <v>Sale</v>
      </c>
      <c r="D311" s="1">
        <v>22449.0</v>
      </c>
      <c r="E311" s="1" t="str">
        <f>IFERROR(__xludf.DUMMYFUNCTION("IF(LEN(D311)&gt;4, IFERROR(REGEXEXTRACT(TO_TEXT(D311),""\d+""),""""),"""")"),"22449")</f>
        <v>22449</v>
      </c>
      <c r="F311" s="6" t="str">
        <f t="shared" si="3"/>
        <v>Product</v>
      </c>
      <c r="G311" s="1" t="s">
        <v>266</v>
      </c>
      <c r="H311" s="6" t="str">
        <f>IFERROR(__xludf.DUMMYFUNCTION("IF(REGEXMATCH(LOWER(G311), ""^(\?)+\s*(missing)?\s*(\?)*$""), """", PROPER(SUBSTITUTE(SUBSTITUTE(G311, ""?"", """"), ""*"", """")))"),"Silk Purse Babushka Pink")</f>
        <v>Silk Purse Babushka Pink</v>
      </c>
      <c r="I311" s="3">
        <v>6.0</v>
      </c>
      <c r="J311" s="7">
        <v>40513.45277777778</v>
      </c>
      <c r="K311" s="8" t="str">
        <f t="shared" si="4"/>
        <v>2010-12</v>
      </c>
      <c r="L311" s="5">
        <v>3.35</v>
      </c>
      <c r="M311" s="3">
        <v>13448.0</v>
      </c>
      <c r="N311" s="1" t="str">
        <f t="shared" si="5"/>
        <v>Registered</v>
      </c>
      <c r="O311" s="1" t="s">
        <v>19</v>
      </c>
      <c r="P311" s="9" t="str">
        <f t="shared" si="6"/>
        <v>UK</v>
      </c>
      <c r="Q311" s="8">
        <f t="shared" si="7"/>
        <v>20.1</v>
      </c>
    </row>
    <row r="312">
      <c r="A312" s="1">
        <v>536398.0</v>
      </c>
      <c r="B312" s="1" t="str">
        <f t="shared" si="1"/>
        <v>536398</v>
      </c>
      <c r="C312" s="1" t="str">
        <f t="shared" si="2"/>
        <v>Sale</v>
      </c>
      <c r="D312" s="1">
        <v>22114.0</v>
      </c>
      <c r="E312" s="1" t="str">
        <f>IFERROR(__xludf.DUMMYFUNCTION("IF(LEN(D312)&gt;4, IFERROR(REGEXEXTRACT(TO_TEXT(D312),""\d+""),""""),"""")"),"22114")</f>
        <v>22114</v>
      </c>
      <c r="F312" s="6" t="str">
        <f t="shared" si="3"/>
        <v>Product</v>
      </c>
      <c r="G312" s="1" t="s">
        <v>82</v>
      </c>
      <c r="H312" s="6" t="str">
        <f>IFERROR(__xludf.DUMMYFUNCTION("IF(REGEXMATCH(LOWER(G312), ""^(\?)+\s*(missing)?\s*(\?)*$""), """", PROPER(SUBSTITUTE(SUBSTITUTE(G312, ""?"", """"), ""*"", """")))"),"Hot Water Bottle Tea And Sympathy")</f>
        <v>Hot Water Bottle Tea And Sympathy</v>
      </c>
      <c r="I312" s="3">
        <v>4.0</v>
      </c>
      <c r="J312" s="7">
        <v>40513.45277777778</v>
      </c>
      <c r="K312" s="8" t="str">
        <f t="shared" si="4"/>
        <v>2010-12</v>
      </c>
      <c r="L312" s="5">
        <v>3.95</v>
      </c>
      <c r="M312" s="3">
        <v>13448.0</v>
      </c>
      <c r="N312" s="1" t="str">
        <f t="shared" si="5"/>
        <v>Registered</v>
      </c>
      <c r="O312" s="1" t="s">
        <v>19</v>
      </c>
      <c r="P312" s="9" t="str">
        <f t="shared" si="6"/>
        <v>UK</v>
      </c>
      <c r="Q312" s="8">
        <f t="shared" si="7"/>
        <v>15.8</v>
      </c>
    </row>
    <row r="313">
      <c r="A313" s="1">
        <v>536398.0</v>
      </c>
      <c r="B313" s="1" t="str">
        <f t="shared" si="1"/>
        <v>536398</v>
      </c>
      <c r="C313" s="1" t="str">
        <f t="shared" si="2"/>
        <v>Sale</v>
      </c>
      <c r="D313" s="1">
        <v>22835.0</v>
      </c>
      <c r="E313" s="1" t="str">
        <f>IFERROR(__xludf.DUMMYFUNCTION("IF(LEN(D313)&gt;4, IFERROR(REGEXEXTRACT(TO_TEXT(D313),""\d+""),""""),"""")"),"22835")</f>
        <v>22835</v>
      </c>
      <c r="F313" s="6" t="str">
        <f t="shared" si="3"/>
        <v>Product</v>
      </c>
      <c r="G313" s="1" t="s">
        <v>267</v>
      </c>
      <c r="H313" s="6" t="str">
        <f>IFERROR(__xludf.DUMMYFUNCTION("IF(REGEXMATCH(LOWER(G313), ""^(\?)+\s*(missing)?\s*(\?)*$""), """", PROPER(SUBSTITUTE(SUBSTITUTE(G313, ""?"", """"), ""*"", """")))"),"Hot Water Bottle I Am So Poorly")</f>
        <v>Hot Water Bottle I Am So Poorly</v>
      </c>
      <c r="I313" s="3">
        <v>8.0</v>
      </c>
      <c r="J313" s="7">
        <v>40513.45277777778</v>
      </c>
      <c r="K313" s="8" t="str">
        <f t="shared" si="4"/>
        <v>2010-12</v>
      </c>
      <c r="L313" s="5">
        <v>4.65</v>
      </c>
      <c r="M313" s="3">
        <v>13448.0</v>
      </c>
      <c r="N313" s="1" t="str">
        <f t="shared" si="5"/>
        <v>Registered</v>
      </c>
      <c r="O313" s="1" t="s">
        <v>19</v>
      </c>
      <c r="P313" s="9" t="str">
        <f t="shared" si="6"/>
        <v>UK</v>
      </c>
      <c r="Q313" s="8">
        <f t="shared" si="7"/>
        <v>37.2</v>
      </c>
    </row>
    <row r="314">
      <c r="A314" s="1">
        <v>536398.0</v>
      </c>
      <c r="B314" s="1" t="str">
        <f t="shared" si="1"/>
        <v>536398</v>
      </c>
      <c r="C314" s="1" t="str">
        <f t="shared" si="2"/>
        <v>Sale</v>
      </c>
      <c r="D314" s="1">
        <v>22112.0</v>
      </c>
      <c r="E314" s="1" t="str">
        <f>IFERROR(__xludf.DUMMYFUNCTION("IF(LEN(D314)&gt;4, IFERROR(REGEXEXTRACT(TO_TEXT(D314),""\d+""),""""),"""")"),"22112")</f>
        <v>22112</v>
      </c>
      <c r="F314" s="6" t="str">
        <f t="shared" si="3"/>
        <v>Product</v>
      </c>
      <c r="G314" s="1" t="s">
        <v>268</v>
      </c>
      <c r="H314" s="6" t="str">
        <f>IFERROR(__xludf.DUMMYFUNCTION("IF(REGEXMATCH(LOWER(G314), ""^(\?)+\s*(missing)?\s*(\?)*$""), """", PROPER(SUBSTITUTE(SUBSTITUTE(G314, ""?"", """"), ""*"", """")))"),"Chocolate Hot Water Bottle")</f>
        <v>Chocolate Hot Water Bottle</v>
      </c>
      <c r="I314" s="3">
        <v>9.0</v>
      </c>
      <c r="J314" s="7">
        <v>40513.45277777778</v>
      </c>
      <c r="K314" s="8" t="str">
        <f t="shared" si="4"/>
        <v>2010-12</v>
      </c>
      <c r="L314" s="5">
        <v>4.95</v>
      </c>
      <c r="M314" s="3">
        <v>13448.0</v>
      </c>
      <c r="N314" s="1" t="str">
        <f t="shared" si="5"/>
        <v>Registered</v>
      </c>
      <c r="O314" s="1" t="s">
        <v>19</v>
      </c>
      <c r="P314" s="9" t="str">
        <f t="shared" si="6"/>
        <v>UK</v>
      </c>
      <c r="Q314" s="8">
        <f t="shared" si="7"/>
        <v>44.55</v>
      </c>
    </row>
    <row r="315">
      <c r="A315" s="1">
        <v>536398.0</v>
      </c>
      <c r="B315" s="1" t="str">
        <f t="shared" si="1"/>
        <v>536398</v>
      </c>
      <c r="C315" s="1" t="str">
        <f t="shared" si="2"/>
        <v>Sale</v>
      </c>
      <c r="D315" s="1">
        <v>21479.0</v>
      </c>
      <c r="E315" s="1" t="str">
        <f>IFERROR(__xludf.DUMMYFUNCTION("IF(LEN(D315)&gt;4, IFERROR(REGEXEXTRACT(TO_TEXT(D315),""\d+""),""""),"""")"),"21479")</f>
        <v>21479</v>
      </c>
      <c r="F315" s="6" t="str">
        <f t="shared" si="3"/>
        <v>Product</v>
      </c>
      <c r="G315" s="1" t="s">
        <v>269</v>
      </c>
      <c r="H315" s="6" t="str">
        <f>IFERROR(__xludf.DUMMYFUNCTION("IF(REGEXMATCH(LOWER(G315), ""^(\?)+\s*(missing)?\s*(\?)*$""), """", PROPER(SUBSTITUTE(SUBSTITUTE(G315, ""?"", """"), ""*"", """")))"),"White Skull Hot Water Bottle")</f>
        <v>White Skull Hot Water Bottle</v>
      </c>
      <c r="I315" s="3">
        <v>4.0</v>
      </c>
      <c r="J315" s="7">
        <v>40513.45277777778</v>
      </c>
      <c r="K315" s="8" t="str">
        <f t="shared" si="4"/>
        <v>2010-12</v>
      </c>
      <c r="L315" s="5">
        <v>3.75</v>
      </c>
      <c r="M315" s="3">
        <v>13448.0</v>
      </c>
      <c r="N315" s="1" t="str">
        <f t="shared" si="5"/>
        <v>Registered</v>
      </c>
      <c r="O315" s="1" t="s">
        <v>19</v>
      </c>
      <c r="P315" s="9" t="str">
        <f t="shared" si="6"/>
        <v>UK</v>
      </c>
      <c r="Q315" s="8">
        <f t="shared" si="7"/>
        <v>15</v>
      </c>
    </row>
    <row r="316">
      <c r="A316" s="1">
        <v>536398.0</v>
      </c>
      <c r="B316" s="1" t="str">
        <f t="shared" si="1"/>
        <v>536398</v>
      </c>
      <c r="C316" s="1" t="str">
        <f t="shared" si="2"/>
        <v>Sale</v>
      </c>
      <c r="D316" s="1">
        <v>22111.0</v>
      </c>
      <c r="E316" s="1" t="str">
        <f>IFERROR(__xludf.DUMMYFUNCTION("IF(LEN(D316)&gt;4, IFERROR(REGEXEXTRACT(TO_TEXT(D316),""\d+""),""""),"""")"),"22111")</f>
        <v>22111</v>
      </c>
      <c r="F316" s="6" t="str">
        <f t="shared" si="3"/>
        <v>Product</v>
      </c>
      <c r="G316" s="1" t="s">
        <v>270</v>
      </c>
      <c r="H316" s="6" t="str">
        <f>IFERROR(__xludf.DUMMYFUNCTION("IF(REGEXMATCH(LOWER(G316), ""^(\?)+\s*(missing)?\s*(\?)*$""), """", PROPER(SUBSTITUTE(SUBSTITUTE(G316, ""?"", """"), ""*"", """")))"),"Scottie Dog Hot Water Bottle")</f>
        <v>Scottie Dog Hot Water Bottle</v>
      </c>
      <c r="I316" s="3">
        <v>9.0</v>
      </c>
      <c r="J316" s="7">
        <v>40513.45277777778</v>
      </c>
      <c r="K316" s="8" t="str">
        <f t="shared" si="4"/>
        <v>2010-12</v>
      </c>
      <c r="L316" s="5">
        <v>4.95</v>
      </c>
      <c r="M316" s="3">
        <v>13448.0</v>
      </c>
      <c r="N316" s="1" t="str">
        <f t="shared" si="5"/>
        <v>Registered</v>
      </c>
      <c r="O316" s="1" t="s">
        <v>19</v>
      </c>
      <c r="P316" s="9" t="str">
        <f t="shared" si="6"/>
        <v>UK</v>
      </c>
      <c r="Q316" s="8">
        <f t="shared" si="7"/>
        <v>44.55</v>
      </c>
    </row>
    <row r="317">
      <c r="A317" s="1">
        <v>536399.0</v>
      </c>
      <c r="B317" s="1" t="str">
        <f t="shared" si="1"/>
        <v>536399</v>
      </c>
      <c r="C317" s="1" t="str">
        <f t="shared" si="2"/>
        <v>Sale</v>
      </c>
      <c r="D317" s="1">
        <v>22632.0</v>
      </c>
      <c r="E317" s="1" t="str">
        <f>IFERROR(__xludf.DUMMYFUNCTION("IF(LEN(D317)&gt;4, IFERROR(REGEXEXTRACT(TO_TEXT(D317),""\d+""),""""),"""")"),"22632")</f>
        <v>22632</v>
      </c>
      <c r="F317" s="6" t="str">
        <f t="shared" si="3"/>
        <v>Product</v>
      </c>
      <c r="G317" s="1" t="s">
        <v>30</v>
      </c>
      <c r="H317" s="6" t="str">
        <f>IFERROR(__xludf.DUMMYFUNCTION("IF(REGEXMATCH(LOWER(G317), ""^(\?)+\s*(missing)?\s*(\?)*$""), """", PROPER(SUBSTITUTE(SUBSTITUTE(G317, ""?"", """"), ""*"", """")))"),"Hand Warmer Red Polka Dot")</f>
        <v>Hand Warmer Red Polka Dot</v>
      </c>
      <c r="I317" s="3">
        <v>6.0</v>
      </c>
      <c r="J317" s="7">
        <v>40513.45277777778</v>
      </c>
      <c r="K317" s="8" t="str">
        <f t="shared" si="4"/>
        <v>2010-12</v>
      </c>
      <c r="L317" s="5">
        <v>1.85</v>
      </c>
      <c r="M317" s="3">
        <v>17850.0</v>
      </c>
      <c r="N317" s="1" t="str">
        <f t="shared" si="5"/>
        <v>Registered</v>
      </c>
      <c r="O317" s="1" t="s">
        <v>19</v>
      </c>
      <c r="P317" s="9" t="str">
        <f t="shared" si="6"/>
        <v>UK</v>
      </c>
      <c r="Q317" s="8">
        <f t="shared" si="7"/>
        <v>11.1</v>
      </c>
    </row>
    <row r="318">
      <c r="A318" s="1">
        <v>536399.0</v>
      </c>
      <c r="B318" s="1" t="str">
        <f t="shared" si="1"/>
        <v>536399</v>
      </c>
      <c r="C318" s="1" t="str">
        <f t="shared" si="2"/>
        <v>Sale</v>
      </c>
      <c r="D318" s="1">
        <v>22633.0</v>
      </c>
      <c r="E318" s="1" t="str">
        <f>IFERROR(__xludf.DUMMYFUNCTION("IF(LEN(D318)&gt;4, IFERROR(REGEXEXTRACT(TO_TEXT(D318),""\d+""),""""),"""")"),"22633")</f>
        <v>22633</v>
      </c>
      <c r="F318" s="6" t="str">
        <f t="shared" si="3"/>
        <v>Product</v>
      </c>
      <c r="G318" s="1" t="s">
        <v>29</v>
      </c>
      <c r="H318" s="6" t="str">
        <f>IFERROR(__xludf.DUMMYFUNCTION("IF(REGEXMATCH(LOWER(G318), ""^(\?)+\s*(missing)?\s*(\?)*$""), """", PROPER(SUBSTITUTE(SUBSTITUTE(G318, ""?"", """"), ""*"", """")))"),"Hand Warmer Union Jack")</f>
        <v>Hand Warmer Union Jack</v>
      </c>
      <c r="I318" s="3">
        <v>6.0</v>
      </c>
      <c r="J318" s="7">
        <v>40513.45277777778</v>
      </c>
      <c r="K318" s="8" t="str">
        <f t="shared" si="4"/>
        <v>2010-12</v>
      </c>
      <c r="L318" s="5">
        <v>1.85</v>
      </c>
      <c r="M318" s="3">
        <v>17850.0</v>
      </c>
      <c r="N318" s="1" t="str">
        <f t="shared" si="5"/>
        <v>Registered</v>
      </c>
      <c r="O318" s="1" t="s">
        <v>19</v>
      </c>
      <c r="P318" s="9" t="str">
        <f t="shared" si="6"/>
        <v>UK</v>
      </c>
      <c r="Q318" s="8">
        <f t="shared" si="7"/>
        <v>11.1</v>
      </c>
    </row>
    <row r="319">
      <c r="A319" s="1">
        <v>536400.0</v>
      </c>
      <c r="B319" s="1" t="str">
        <f t="shared" si="1"/>
        <v>536400</v>
      </c>
      <c r="C319" s="1" t="str">
        <f t="shared" si="2"/>
        <v>Sale</v>
      </c>
      <c r="D319" s="1">
        <v>22969.0</v>
      </c>
      <c r="E319" s="1" t="str">
        <f>IFERROR(__xludf.DUMMYFUNCTION("IF(LEN(D319)&gt;4, IFERROR(REGEXEXTRACT(TO_TEXT(D319),""\d+""),""""),"""")"),"22969")</f>
        <v>22969</v>
      </c>
      <c r="F319" s="6" t="str">
        <f t="shared" si="3"/>
        <v>Product</v>
      </c>
      <c r="G319" s="1" t="s">
        <v>192</v>
      </c>
      <c r="H319" s="6" t="str">
        <f>IFERROR(__xludf.DUMMYFUNCTION("IF(REGEXMATCH(LOWER(G319), ""^(\?)+\s*(missing)?\s*(\?)*$""), """", PROPER(SUBSTITUTE(SUBSTITUTE(G319, ""?"", """"), ""*"", """")))"),"Homemade Jam Scented Candles")</f>
        <v>Homemade Jam Scented Candles</v>
      </c>
      <c r="I319" s="3">
        <v>12.0</v>
      </c>
      <c r="J319" s="7">
        <v>40513.45347222222</v>
      </c>
      <c r="K319" s="8" t="str">
        <f t="shared" si="4"/>
        <v>2010-12</v>
      </c>
      <c r="L319" s="5">
        <v>1.45</v>
      </c>
      <c r="M319" s="3">
        <v>13448.0</v>
      </c>
      <c r="N319" s="1" t="str">
        <f t="shared" si="5"/>
        <v>Registered</v>
      </c>
      <c r="O319" s="1" t="s">
        <v>19</v>
      </c>
      <c r="P319" s="9" t="str">
        <f t="shared" si="6"/>
        <v>UK</v>
      </c>
      <c r="Q319" s="8">
        <f t="shared" si="7"/>
        <v>17.4</v>
      </c>
    </row>
    <row r="320">
      <c r="A320" s="1">
        <v>536401.0</v>
      </c>
      <c r="B320" s="1" t="str">
        <f t="shared" si="1"/>
        <v>536401</v>
      </c>
      <c r="C320" s="1" t="str">
        <f t="shared" si="2"/>
        <v>Sale</v>
      </c>
      <c r="D320" s="1">
        <v>22110.0</v>
      </c>
      <c r="E320" s="1" t="str">
        <f>IFERROR(__xludf.DUMMYFUNCTION("IF(LEN(D320)&gt;4, IFERROR(REGEXEXTRACT(TO_TEXT(D320),""\d+""),""""),"""")"),"22110")</f>
        <v>22110</v>
      </c>
      <c r="F320" s="6" t="str">
        <f t="shared" si="3"/>
        <v>Product</v>
      </c>
      <c r="G320" s="1" t="s">
        <v>271</v>
      </c>
      <c r="H320" s="6" t="str">
        <f>IFERROR(__xludf.DUMMYFUNCTION("IF(REGEXMATCH(LOWER(G320), ""^(\?)+\s*(missing)?\s*(\?)*$""), """", PROPER(SUBSTITUTE(SUBSTITUTE(G320, ""?"", """"), ""*"", """")))"),"Bird House Hot Water Bottle")</f>
        <v>Bird House Hot Water Bottle</v>
      </c>
      <c r="I320" s="3">
        <v>1.0</v>
      </c>
      <c r="J320" s="7">
        <v>40513.472916666666</v>
      </c>
      <c r="K320" s="8" t="str">
        <f t="shared" si="4"/>
        <v>2010-12</v>
      </c>
      <c r="L320" s="5">
        <v>2.55</v>
      </c>
      <c r="M320" s="3">
        <v>15862.0</v>
      </c>
      <c r="N320" s="1" t="str">
        <f t="shared" si="5"/>
        <v>Registered</v>
      </c>
      <c r="O320" s="1" t="s">
        <v>19</v>
      </c>
      <c r="P320" s="9" t="str">
        <f t="shared" si="6"/>
        <v>UK</v>
      </c>
      <c r="Q320" s="8">
        <f t="shared" si="7"/>
        <v>2.55</v>
      </c>
    </row>
    <row r="321">
      <c r="A321" s="1">
        <v>536401.0</v>
      </c>
      <c r="B321" s="1" t="str">
        <f t="shared" si="1"/>
        <v>536401</v>
      </c>
      <c r="C321" s="1" t="str">
        <f t="shared" si="2"/>
        <v>Sale</v>
      </c>
      <c r="D321" s="1">
        <v>22098.0</v>
      </c>
      <c r="E321" s="1" t="str">
        <f>IFERROR(__xludf.DUMMYFUNCTION("IF(LEN(D321)&gt;4, IFERROR(REGEXEXTRACT(TO_TEXT(D321),""\d+""),""""),"""")"),"22098")</f>
        <v>22098</v>
      </c>
      <c r="F321" s="6" t="str">
        <f t="shared" si="3"/>
        <v>Product</v>
      </c>
      <c r="G321" s="1" t="s">
        <v>272</v>
      </c>
      <c r="H321" s="6" t="str">
        <f>IFERROR(__xludf.DUMMYFUNCTION("IF(REGEXMATCH(LOWER(G321), ""^(\?)+\s*(missing)?\s*(\?)*$""), """", PROPER(SUBSTITUTE(SUBSTITUTE(G321, ""?"", """"), ""*"", """")))"),"Boudoir Square Tissue Box")</f>
        <v>Boudoir Square Tissue Box</v>
      </c>
      <c r="I321" s="3">
        <v>1.0</v>
      </c>
      <c r="J321" s="7">
        <v>40513.472916666666</v>
      </c>
      <c r="K321" s="8" t="str">
        <f t="shared" si="4"/>
        <v>2010-12</v>
      </c>
      <c r="L321" s="5">
        <v>1.25</v>
      </c>
      <c r="M321" s="3">
        <v>15862.0</v>
      </c>
      <c r="N321" s="1" t="str">
        <f t="shared" si="5"/>
        <v>Registered</v>
      </c>
      <c r="O321" s="1" t="s">
        <v>19</v>
      </c>
      <c r="P321" s="9" t="str">
        <f t="shared" si="6"/>
        <v>UK</v>
      </c>
      <c r="Q321" s="8">
        <f t="shared" si="7"/>
        <v>1.25</v>
      </c>
    </row>
    <row r="322">
      <c r="A322" s="1">
        <v>536401.0</v>
      </c>
      <c r="B322" s="1" t="str">
        <f t="shared" si="1"/>
        <v>536401</v>
      </c>
      <c r="C322" s="1" t="str">
        <f t="shared" si="2"/>
        <v>Sale</v>
      </c>
      <c r="D322" s="1">
        <v>22100.0</v>
      </c>
      <c r="E322" s="1" t="str">
        <f>IFERROR(__xludf.DUMMYFUNCTION("IF(LEN(D322)&gt;4, IFERROR(REGEXEXTRACT(TO_TEXT(D322),""\d+""),""""),"""")"),"22100")</f>
        <v>22100</v>
      </c>
      <c r="F322" s="6" t="str">
        <f t="shared" si="3"/>
        <v>Product</v>
      </c>
      <c r="G322" s="1" t="s">
        <v>273</v>
      </c>
      <c r="H322" s="6" t="str">
        <f>IFERROR(__xludf.DUMMYFUNCTION("IF(REGEXMATCH(LOWER(G322), ""^(\?)+\s*(missing)?\s*(\?)*$""), """", PROPER(SUBSTITUTE(SUBSTITUTE(G322, ""?"", """"), ""*"", """")))"),"Skulls Square Tissue Box")</f>
        <v>Skulls Square Tissue Box</v>
      </c>
      <c r="I322" s="3">
        <v>2.0</v>
      </c>
      <c r="J322" s="7">
        <v>40513.472916666666</v>
      </c>
      <c r="K322" s="8" t="str">
        <f t="shared" si="4"/>
        <v>2010-12</v>
      </c>
      <c r="L322" s="5">
        <v>1.25</v>
      </c>
      <c r="M322" s="3">
        <v>15862.0</v>
      </c>
      <c r="N322" s="1" t="str">
        <f t="shared" si="5"/>
        <v>Registered</v>
      </c>
      <c r="O322" s="1" t="s">
        <v>19</v>
      </c>
      <c r="P322" s="9" t="str">
        <f t="shared" si="6"/>
        <v>UK</v>
      </c>
      <c r="Q322" s="8">
        <f t="shared" si="7"/>
        <v>2.5</v>
      </c>
    </row>
    <row r="323">
      <c r="A323" s="1">
        <v>536401.0</v>
      </c>
      <c r="B323" s="1" t="str">
        <f t="shared" si="1"/>
        <v>536401</v>
      </c>
      <c r="C323" s="1" t="str">
        <f t="shared" si="2"/>
        <v>Sale</v>
      </c>
      <c r="D323" s="1">
        <v>22766.0</v>
      </c>
      <c r="E323" s="1" t="str">
        <f>IFERROR(__xludf.DUMMYFUNCTION("IF(LEN(D323)&gt;4, IFERROR(REGEXEXTRACT(TO_TEXT(D323),""\d+""),""""),"""")"),"22766")</f>
        <v>22766</v>
      </c>
      <c r="F323" s="6" t="str">
        <f t="shared" si="3"/>
        <v>Product</v>
      </c>
      <c r="G323" s="1" t="s">
        <v>274</v>
      </c>
      <c r="H323" s="6" t="str">
        <f>IFERROR(__xludf.DUMMYFUNCTION("IF(REGEXMATCH(LOWER(G323), ""^(\?)+\s*(missing)?\s*(\?)*$""), """", PROPER(SUBSTITUTE(SUBSTITUTE(G323, ""?"", """"), ""*"", """")))"),"Photo Frame Cornice")</f>
        <v>Photo Frame Cornice</v>
      </c>
      <c r="I323" s="3">
        <v>1.0</v>
      </c>
      <c r="J323" s="7">
        <v>40513.472916666666</v>
      </c>
      <c r="K323" s="8" t="str">
        <f t="shared" si="4"/>
        <v>2010-12</v>
      </c>
      <c r="L323" s="5">
        <v>2.95</v>
      </c>
      <c r="M323" s="3">
        <v>15862.0</v>
      </c>
      <c r="N323" s="1" t="str">
        <f t="shared" si="5"/>
        <v>Registered</v>
      </c>
      <c r="O323" s="1" t="s">
        <v>19</v>
      </c>
      <c r="P323" s="9" t="str">
        <f t="shared" si="6"/>
        <v>UK</v>
      </c>
      <c r="Q323" s="8">
        <f t="shared" si="7"/>
        <v>2.95</v>
      </c>
    </row>
    <row r="324">
      <c r="A324" s="1">
        <v>536401.0</v>
      </c>
      <c r="B324" s="1" t="str">
        <f t="shared" si="1"/>
        <v>536401</v>
      </c>
      <c r="C324" s="1" t="str">
        <f t="shared" si="2"/>
        <v>Sale</v>
      </c>
      <c r="D324" s="1">
        <v>22451.0</v>
      </c>
      <c r="E324" s="1" t="str">
        <f>IFERROR(__xludf.DUMMYFUNCTION("IF(LEN(D324)&gt;4, IFERROR(REGEXEXTRACT(TO_TEXT(D324),""\d+""),""""),"""")"),"22451")</f>
        <v>22451</v>
      </c>
      <c r="F324" s="6" t="str">
        <f t="shared" si="3"/>
        <v>Product</v>
      </c>
      <c r="G324" s="1" t="s">
        <v>275</v>
      </c>
      <c r="H324" s="6" t="str">
        <f>IFERROR(__xludf.DUMMYFUNCTION("IF(REGEXMATCH(LOWER(G324), ""^(\?)+\s*(missing)?\s*(\?)*$""), """", PROPER(SUBSTITUTE(SUBSTITUTE(G324, ""?"", """"), ""*"", """")))"),"Silk Purse Babushka Red")</f>
        <v>Silk Purse Babushka Red</v>
      </c>
      <c r="I324" s="3">
        <v>1.0</v>
      </c>
      <c r="J324" s="7">
        <v>40513.472916666666</v>
      </c>
      <c r="K324" s="8" t="str">
        <f t="shared" si="4"/>
        <v>2010-12</v>
      </c>
      <c r="L324" s="5">
        <v>3.35</v>
      </c>
      <c r="M324" s="3">
        <v>15862.0</v>
      </c>
      <c r="N324" s="1" t="str">
        <f t="shared" si="5"/>
        <v>Registered</v>
      </c>
      <c r="O324" s="1" t="s">
        <v>19</v>
      </c>
      <c r="P324" s="9" t="str">
        <f t="shared" si="6"/>
        <v>UK</v>
      </c>
      <c r="Q324" s="8">
        <f t="shared" si="7"/>
        <v>3.35</v>
      </c>
    </row>
    <row r="325">
      <c r="A325" s="1">
        <v>536401.0</v>
      </c>
      <c r="B325" s="1" t="str">
        <f t="shared" si="1"/>
        <v>536401</v>
      </c>
      <c r="C325" s="1" t="str">
        <f t="shared" si="2"/>
        <v>Sale</v>
      </c>
      <c r="D325" s="1">
        <v>22549.0</v>
      </c>
      <c r="E325" s="1" t="str">
        <f>IFERROR(__xludf.DUMMYFUNCTION("IF(LEN(D325)&gt;4, IFERROR(REGEXEXTRACT(TO_TEXT(D325),""\d+""),""""),"""")"),"22549")</f>
        <v>22549</v>
      </c>
      <c r="F325" s="6" t="str">
        <f t="shared" si="3"/>
        <v>Product</v>
      </c>
      <c r="G325" s="1" t="s">
        <v>276</v>
      </c>
      <c r="H325" s="6" t="str">
        <f>IFERROR(__xludf.DUMMYFUNCTION("IF(REGEXMATCH(LOWER(G325), ""^(\?)+\s*(missing)?\s*(\?)*$""), """", PROPER(SUBSTITUTE(SUBSTITUTE(G325, ""?"", """"), ""*"", """")))"),"Picture Dominoes")</f>
        <v>Picture Dominoes</v>
      </c>
      <c r="I325" s="3">
        <v>1.0</v>
      </c>
      <c r="J325" s="7">
        <v>40513.472916666666</v>
      </c>
      <c r="K325" s="8" t="str">
        <f t="shared" si="4"/>
        <v>2010-12</v>
      </c>
      <c r="L325" s="5">
        <v>1.45</v>
      </c>
      <c r="M325" s="3">
        <v>15862.0</v>
      </c>
      <c r="N325" s="1" t="str">
        <f t="shared" si="5"/>
        <v>Registered</v>
      </c>
      <c r="O325" s="1" t="s">
        <v>19</v>
      </c>
      <c r="P325" s="9" t="str">
        <f t="shared" si="6"/>
        <v>UK</v>
      </c>
      <c r="Q325" s="8">
        <f t="shared" si="7"/>
        <v>1.45</v>
      </c>
    </row>
    <row r="326">
      <c r="A326" s="1">
        <v>536401.0</v>
      </c>
      <c r="B326" s="1" t="str">
        <f t="shared" si="1"/>
        <v>536401</v>
      </c>
      <c r="C326" s="1" t="str">
        <f t="shared" si="2"/>
        <v>Sale</v>
      </c>
      <c r="D326" s="1">
        <v>84744.0</v>
      </c>
      <c r="E326" s="1" t="str">
        <f>IFERROR(__xludf.DUMMYFUNCTION("IF(LEN(D326)&gt;4, IFERROR(REGEXEXTRACT(TO_TEXT(D326),""\d+""),""""),"""")"),"84744")</f>
        <v>84744</v>
      </c>
      <c r="F326" s="6" t="str">
        <f t="shared" si="3"/>
        <v>Product</v>
      </c>
      <c r="G326" s="1" t="s">
        <v>277</v>
      </c>
      <c r="H326" s="6" t="str">
        <f>IFERROR(__xludf.DUMMYFUNCTION("IF(REGEXMATCH(LOWER(G326), ""^(\?)+\s*(missing)?\s*(\?)*$""), """", PROPER(SUBSTITUTE(SUBSTITUTE(G326, ""?"", """"), ""*"", """")))"),"S/6 Sew On Crochet Flowers")</f>
        <v>S/6 Sew On Crochet Flowers</v>
      </c>
      <c r="I326" s="3">
        <v>1.0</v>
      </c>
      <c r="J326" s="7">
        <v>40513.472916666666</v>
      </c>
      <c r="K326" s="8" t="str">
        <f t="shared" si="4"/>
        <v>2010-12</v>
      </c>
      <c r="L326" s="5">
        <v>1.25</v>
      </c>
      <c r="M326" s="3">
        <v>15862.0</v>
      </c>
      <c r="N326" s="1" t="str">
        <f t="shared" si="5"/>
        <v>Registered</v>
      </c>
      <c r="O326" s="1" t="s">
        <v>19</v>
      </c>
      <c r="P326" s="9" t="str">
        <f t="shared" si="6"/>
        <v>UK</v>
      </c>
      <c r="Q326" s="8">
        <f t="shared" si="7"/>
        <v>1.25</v>
      </c>
    </row>
    <row r="327">
      <c r="A327" s="1">
        <v>536401.0</v>
      </c>
      <c r="B327" s="1" t="str">
        <f t="shared" si="1"/>
        <v>536401</v>
      </c>
      <c r="C327" s="1" t="str">
        <f t="shared" si="2"/>
        <v>Sale</v>
      </c>
      <c r="D327" s="1" t="s">
        <v>278</v>
      </c>
      <c r="E327" s="1" t="str">
        <f>IFERROR(__xludf.DUMMYFUNCTION("IF(LEN(D327)&gt;4, IFERROR(REGEXEXTRACT(TO_TEXT(D327),""\d+""),""""),"""")"),"85049")</f>
        <v>85049</v>
      </c>
      <c r="F327" s="6" t="str">
        <f t="shared" si="3"/>
        <v>Product</v>
      </c>
      <c r="G327" s="1" t="s">
        <v>279</v>
      </c>
      <c r="H327" s="6" t="str">
        <f>IFERROR(__xludf.DUMMYFUNCTION("IF(REGEXMATCH(LOWER(G327), ""^(\?)+\s*(missing)?\s*(\?)*$""), """", PROPER(SUBSTITUTE(SUBSTITUTE(G327, ""?"", """"), ""*"", """")))"),"Scandinavian Reds Ribbons")</f>
        <v>Scandinavian Reds Ribbons</v>
      </c>
      <c r="I327" s="3">
        <v>2.0</v>
      </c>
      <c r="J327" s="7">
        <v>40513.472916666666</v>
      </c>
      <c r="K327" s="8" t="str">
        <f t="shared" si="4"/>
        <v>2010-12</v>
      </c>
      <c r="L327" s="5">
        <v>1.25</v>
      </c>
      <c r="M327" s="3">
        <v>15862.0</v>
      </c>
      <c r="N327" s="1" t="str">
        <f t="shared" si="5"/>
        <v>Registered</v>
      </c>
      <c r="O327" s="1" t="s">
        <v>19</v>
      </c>
      <c r="P327" s="9" t="str">
        <f t="shared" si="6"/>
        <v>UK</v>
      </c>
      <c r="Q327" s="8">
        <f t="shared" si="7"/>
        <v>2.5</v>
      </c>
    </row>
    <row r="328">
      <c r="A328" s="1">
        <v>536401.0</v>
      </c>
      <c r="B328" s="1" t="str">
        <f t="shared" si="1"/>
        <v>536401</v>
      </c>
      <c r="C328" s="1" t="str">
        <f t="shared" si="2"/>
        <v>Sale</v>
      </c>
      <c r="D328" s="1">
        <v>21328.0</v>
      </c>
      <c r="E328" s="1" t="str">
        <f>IFERROR(__xludf.DUMMYFUNCTION("IF(LEN(D328)&gt;4, IFERROR(REGEXEXTRACT(TO_TEXT(D328),""\d+""),""""),"""")"),"21328")</f>
        <v>21328</v>
      </c>
      <c r="F328" s="6" t="str">
        <f t="shared" si="3"/>
        <v>Product</v>
      </c>
      <c r="G328" s="1" t="s">
        <v>280</v>
      </c>
      <c r="H328" s="6" t="str">
        <f>IFERROR(__xludf.DUMMYFUNCTION("IF(REGEXMATCH(LOWER(G328), ""^(\?)+\s*(missing)?\s*(\?)*$""), """", PROPER(SUBSTITUTE(SUBSTITUTE(G328, ""?"", """"), ""*"", """")))"),"Balloons Writing Set")</f>
        <v>Balloons Writing Set</v>
      </c>
      <c r="I328" s="3">
        <v>1.0</v>
      </c>
      <c r="J328" s="7">
        <v>40513.472916666666</v>
      </c>
      <c r="K328" s="8" t="str">
        <f t="shared" si="4"/>
        <v>2010-12</v>
      </c>
      <c r="L328" s="5">
        <v>1.65</v>
      </c>
      <c r="M328" s="3">
        <v>15862.0</v>
      </c>
      <c r="N328" s="1" t="str">
        <f t="shared" si="5"/>
        <v>Registered</v>
      </c>
      <c r="O328" s="1" t="s">
        <v>19</v>
      </c>
      <c r="P328" s="9" t="str">
        <f t="shared" si="6"/>
        <v>UK</v>
      </c>
      <c r="Q328" s="8">
        <f t="shared" si="7"/>
        <v>1.65</v>
      </c>
    </row>
    <row r="329">
      <c r="A329" s="1">
        <v>536401.0</v>
      </c>
      <c r="B329" s="1" t="str">
        <f t="shared" si="1"/>
        <v>536401</v>
      </c>
      <c r="C329" s="1" t="str">
        <f t="shared" si="2"/>
        <v>Sale</v>
      </c>
      <c r="D329" s="1">
        <v>22961.0</v>
      </c>
      <c r="E329" s="1" t="str">
        <f>IFERROR(__xludf.DUMMYFUNCTION("IF(LEN(D329)&gt;4, IFERROR(REGEXEXTRACT(TO_TEXT(D329),""\d+""),""""),"""")"),"22961")</f>
        <v>22961</v>
      </c>
      <c r="F329" s="6" t="str">
        <f t="shared" si="3"/>
        <v>Product</v>
      </c>
      <c r="G329" s="1" t="s">
        <v>109</v>
      </c>
      <c r="H329" s="6" t="str">
        <f>IFERROR(__xludf.DUMMYFUNCTION("IF(REGEXMATCH(LOWER(G329), ""^(\?)+\s*(missing)?\s*(\?)*$""), """", PROPER(SUBSTITUTE(SUBSTITUTE(G329, ""?"", """"), ""*"", """")))"),"Jam Making Set Printed")</f>
        <v>Jam Making Set Printed</v>
      </c>
      <c r="I329" s="3">
        <v>4.0</v>
      </c>
      <c r="J329" s="7">
        <v>40513.472916666666</v>
      </c>
      <c r="K329" s="8" t="str">
        <f t="shared" si="4"/>
        <v>2010-12</v>
      </c>
      <c r="L329" s="5">
        <v>1.45</v>
      </c>
      <c r="M329" s="3">
        <v>15862.0</v>
      </c>
      <c r="N329" s="1" t="str">
        <f t="shared" si="5"/>
        <v>Registered</v>
      </c>
      <c r="O329" s="1" t="s">
        <v>19</v>
      </c>
      <c r="P329" s="9" t="str">
        <f t="shared" si="6"/>
        <v>UK</v>
      </c>
      <c r="Q329" s="8">
        <f t="shared" si="7"/>
        <v>5.8</v>
      </c>
    </row>
    <row r="330">
      <c r="A330" s="1">
        <v>536401.0</v>
      </c>
      <c r="B330" s="1" t="str">
        <f t="shared" si="1"/>
        <v>536401</v>
      </c>
      <c r="C330" s="1" t="str">
        <f t="shared" si="2"/>
        <v>Sale</v>
      </c>
      <c r="D330" s="1" t="s">
        <v>281</v>
      </c>
      <c r="E330" s="1" t="str">
        <f>IFERROR(__xludf.DUMMYFUNCTION("IF(LEN(D330)&gt;4, IFERROR(REGEXEXTRACT(TO_TEXT(D330),""\d+""),""""),"""")"),"17091")</f>
        <v>17091</v>
      </c>
      <c r="F330" s="6" t="str">
        <f t="shared" si="3"/>
        <v>Product</v>
      </c>
      <c r="G330" s="1" t="s">
        <v>282</v>
      </c>
      <c r="H330" s="6" t="str">
        <f>IFERROR(__xludf.DUMMYFUNCTION("IF(REGEXMATCH(LOWER(G330), ""^(\?)+\s*(missing)?\s*(\?)*$""), """", PROPER(SUBSTITUTE(SUBSTITUTE(G330, ""?"", """"), ""*"", """")))"),"Lavender Incense In Tin")</f>
        <v>Lavender Incense In Tin</v>
      </c>
      <c r="I330" s="3">
        <v>1.0</v>
      </c>
      <c r="J330" s="7">
        <v>40513.472916666666</v>
      </c>
      <c r="K330" s="8" t="str">
        <f t="shared" si="4"/>
        <v>2010-12</v>
      </c>
      <c r="L330" s="5">
        <v>1.25</v>
      </c>
      <c r="M330" s="3">
        <v>15862.0</v>
      </c>
      <c r="N330" s="1" t="str">
        <f t="shared" si="5"/>
        <v>Registered</v>
      </c>
      <c r="O330" s="1" t="s">
        <v>19</v>
      </c>
      <c r="P330" s="9" t="str">
        <f t="shared" si="6"/>
        <v>UK</v>
      </c>
      <c r="Q330" s="8">
        <f t="shared" si="7"/>
        <v>1.25</v>
      </c>
    </row>
    <row r="331">
      <c r="A331" s="1">
        <v>536401.0</v>
      </c>
      <c r="B331" s="1" t="str">
        <f t="shared" si="1"/>
        <v>536401</v>
      </c>
      <c r="C331" s="1" t="str">
        <f t="shared" si="2"/>
        <v>Sale</v>
      </c>
      <c r="D331" s="1">
        <v>22473.0</v>
      </c>
      <c r="E331" s="1" t="str">
        <f>IFERROR(__xludf.DUMMYFUNCTION("IF(LEN(D331)&gt;4, IFERROR(REGEXEXTRACT(TO_TEXT(D331),""\d+""),""""),"""")"),"22473")</f>
        <v>22473</v>
      </c>
      <c r="F331" s="6" t="str">
        <f t="shared" si="3"/>
        <v>Product</v>
      </c>
      <c r="G331" s="1" t="s">
        <v>283</v>
      </c>
      <c r="H331" s="6" t="str">
        <f>IFERROR(__xludf.DUMMYFUNCTION("IF(REGEXMATCH(LOWER(G331), ""^(\?)+\s*(missing)?\s*(\?)*$""), """", PROPER(SUBSTITUTE(SUBSTITUTE(G331, ""?"", """"), ""*"", """")))"),"Tv Dinner Tray Vintage Paisley")</f>
        <v>Tv Dinner Tray Vintage Paisley</v>
      </c>
      <c r="I331" s="3">
        <v>1.0</v>
      </c>
      <c r="J331" s="7">
        <v>40513.472916666666</v>
      </c>
      <c r="K331" s="8" t="str">
        <f t="shared" si="4"/>
        <v>2010-12</v>
      </c>
      <c r="L331" s="5">
        <v>4.95</v>
      </c>
      <c r="M331" s="3">
        <v>15862.0</v>
      </c>
      <c r="N331" s="1" t="str">
        <f t="shared" si="5"/>
        <v>Registered</v>
      </c>
      <c r="O331" s="1" t="s">
        <v>19</v>
      </c>
      <c r="P331" s="9" t="str">
        <f t="shared" si="6"/>
        <v>UK</v>
      </c>
      <c r="Q331" s="8">
        <f t="shared" si="7"/>
        <v>4.95</v>
      </c>
    </row>
    <row r="332">
      <c r="A332" s="1">
        <v>536401.0</v>
      </c>
      <c r="B332" s="1" t="str">
        <f t="shared" si="1"/>
        <v>536401</v>
      </c>
      <c r="C332" s="1" t="str">
        <f t="shared" si="2"/>
        <v>Sale</v>
      </c>
      <c r="D332" s="1" t="s">
        <v>284</v>
      </c>
      <c r="E332" s="1" t="str">
        <f>IFERROR(__xludf.DUMMYFUNCTION("IF(LEN(D332)&gt;4, IFERROR(REGEXEXTRACT(TO_TEXT(D332),""\d+""),""""),"""")"),"84509")</f>
        <v>84509</v>
      </c>
      <c r="F332" s="6" t="str">
        <f t="shared" si="3"/>
        <v>Product</v>
      </c>
      <c r="G332" s="1" t="s">
        <v>285</v>
      </c>
      <c r="H332" s="6" t="str">
        <f>IFERROR(__xludf.DUMMYFUNCTION("IF(REGEXMATCH(LOWER(G332), ""^(\?)+\s*(missing)?\s*(\?)*$""), """", PROPER(SUBSTITUTE(SUBSTITUTE(G332, ""?"", """"), ""*"", """")))"),"Set Of 4 English Rose Placemats")</f>
        <v>Set Of 4 English Rose Placemats</v>
      </c>
      <c r="I332" s="3">
        <v>2.0</v>
      </c>
      <c r="J332" s="7">
        <v>40513.472916666666</v>
      </c>
      <c r="K332" s="8" t="str">
        <f t="shared" si="4"/>
        <v>2010-12</v>
      </c>
      <c r="L332" s="5">
        <v>3.75</v>
      </c>
      <c r="M332" s="3">
        <v>15862.0</v>
      </c>
      <c r="N332" s="1" t="str">
        <f t="shared" si="5"/>
        <v>Registered</v>
      </c>
      <c r="O332" s="1" t="s">
        <v>19</v>
      </c>
      <c r="P332" s="9" t="str">
        <f t="shared" si="6"/>
        <v>UK</v>
      </c>
      <c r="Q332" s="8">
        <f t="shared" si="7"/>
        <v>7.5</v>
      </c>
    </row>
    <row r="333">
      <c r="A333" s="1">
        <v>536401.0</v>
      </c>
      <c r="B333" s="1" t="str">
        <f t="shared" si="1"/>
        <v>536401</v>
      </c>
      <c r="C333" s="1" t="str">
        <f t="shared" si="2"/>
        <v>Sale</v>
      </c>
      <c r="D333" s="1" t="s">
        <v>286</v>
      </c>
      <c r="E333" s="1" t="str">
        <f>IFERROR(__xludf.DUMMYFUNCTION("IF(LEN(D333)&gt;4, IFERROR(REGEXEXTRACT(TO_TEXT(D333),""\d+""),""""),"""")"),"84510")</f>
        <v>84510</v>
      </c>
      <c r="F333" s="6" t="str">
        <f t="shared" si="3"/>
        <v>Product</v>
      </c>
      <c r="G333" s="1" t="s">
        <v>287</v>
      </c>
      <c r="H333" s="6" t="str">
        <f>IFERROR(__xludf.DUMMYFUNCTION("IF(REGEXMATCH(LOWER(G333), ""^(\?)+\s*(missing)?\s*(\?)*$""), """", PROPER(SUBSTITUTE(SUBSTITUTE(G333, ""?"", """"), ""*"", """")))"),"Set Of 4 English Rose Coasters")</f>
        <v>Set Of 4 English Rose Coasters</v>
      </c>
      <c r="I333" s="3">
        <v>2.0</v>
      </c>
      <c r="J333" s="7">
        <v>40513.472916666666</v>
      </c>
      <c r="K333" s="8" t="str">
        <f t="shared" si="4"/>
        <v>2010-12</v>
      </c>
      <c r="L333" s="5">
        <v>1.25</v>
      </c>
      <c r="M333" s="3">
        <v>15862.0</v>
      </c>
      <c r="N333" s="1" t="str">
        <f t="shared" si="5"/>
        <v>Registered</v>
      </c>
      <c r="O333" s="1" t="s">
        <v>19</v>
      </c>
      <c r="P333" s="9" t="str">
        <f t="shared" si="6"/>
        <v>UK</v>
      </c>
      <c r="Q333" s="8">
        <f t="shared" si="7"/>
        <v>2.5</v>
      </c>
    </row>
    <row r="334">
      <c r="A334" s="1">
        <v>536401.0</v>
      </c>
      <c r="B334" s="1" t="str">
        <f t="shared" si="1"/>
        <v>536401</v>
      </c>
      <c r="C334" s="1" t="str">
        <f t="shared" si="2"/>
        <v>Sale</v>
      </c>
      <c r="D334" s="1">
        <v>22767.0</v>
      </c>
      <c r="E334" s="1" t="str">
        <f>IFERROR(__xludf.DUMMYFUNCTION("IF(LEN(D334)&gt;4, IFERROR(REGEXEXTRACT(TO_TEXT(D334),""\d+""),""""),"""")"),"22767")</f>
        <v>22767</v>
      </c>
      <c r="F334" s="6" t="str">
        <f t="shared" si="3"/>
        <v>Product</v>
      </c>
      <c r="G334" s="1" t="s">
        <v>288</v>
      </c>
      <c r="H334" s="6" t="str">
        <f>IFERROR(__xludf.DUMMYFUNCTION("IF(REGEXMATCH(LOWER(G334), ""^(\?)+\s*(missing)?\s*(\?)*$""), """", PROPER(SUBSTITUTE(SUBSTITUTE(G334, ""?"", """"), ""*"", """")))"),"Triple Photo Frame Cornice")</f>
        <v>Triple Photo Frame Cornice</v>
      </c>
      <c r="I334" s="3">
        <v>2.0</v>
      </c>
      <c r="J334" s="7">
        <v>40513.472916666666</v>
      </c>
      <c r="K334" s="8" t="str">
        <f t="shared" si="4"/>
        <v>2010-12</v>
      </c>
      <c r="L334" s="5">
        <v>9.95</v>
      </c>
      <c r="M334" s="3">
        <v>15862.0</v>
      </c>
      <c r="N334" s="1" t="str">
        <f t="shared" si="5"/>
        <v>Registered</v>
      </c>
      <c r="O334" s="1" t="s">
        <v>19</v>
      </c>
      <c r="P334" s="9" t="str">
        <f t="shared" si="6"/>
        <v>UK</v>
      </c>
      <c r="Q334" s="8">
        <f t="shared" si="7"/>
        <v>19.9</v>
      </c>
    </row>
    <row r="335">
      <c r="A335" s="1">
        <v>536401.0</v>
      </c>
      <c r="B335" s="1" t="str">
        <f t="shared" si="1"/>
        <v>536401</v>
      </c>
      <c r="C335" s="1" t="str">
        <f t="shared" si="2"/>
        <v>Sale</v>
      </c>
      <c r="D335" s="1">
        <v>22768.0</v>
      </c>
      <c r="E335" s="1" t="str">
        <f>IFERROR(__xludf.DUMMYFUNCTION("IF(LEN(D335)&gt;4, IFERROR(REGEXEXTRACT(TO_TEXT(D335),""\d+""),""""),"""")"),"22768")</f>
        <v>22768</v>
      </c>
      <c r="F335" s="6" t="str">
        <f t="shared" si="3"/>
        <v>Product</v>
      </c>
      <c r="G335" s="1" t="s">
        <v>289</v>
      </c>
      <c r="H335" s="6" t="str">
        <f>IFERROR(__xludf.DUMMYFUNCTION("IF(REGEXMATCH(LOWER(G335), ""^(\?)+\s*(missing)?\s*(\?)*$""), """", PROPER(SUBSTITUTE(SUBSTITUTE(G335, ""?"", """"), ""*"", """")))"),"Family Photo Frame Cornice")</f>
        <v>Family Photo Frame Cornice</v>
      </c>
      <c r="I335" s="3">
        <v>1.0</v>
      </c>
      <c r="J335" s="7">
        <v>40513.472916666666</v>
      </c>
      <c r="K335" s="8" t="str">
        <f t="shared" si="4"/>
        <v>2010-12</v>
      </c>
      <c r="L335" s="5">
        <v>9.95</v>
      </c>
      <c r="M335" s="3">
        <v>15862.0</v>
      </c>
      <c r="N335" s="1" t="str">
        <f t="shared" si="5"/>
        <v>Registered</v>
      </c>
      <c r="O335" s="1" t="s">
        <v>19</v>
      </c>
      <c r="P335" s="9" t="str">
        <f t="shared" si="6"/>
        <v>UK</v>
      </c>
      <c r="Q335" s="8">
        <f t="shared" si="7"/>
        <v>9.95</v>
      </c>
    </row>
    <row r="336">
      <c r="A336" s="1">
        <v>536401.0</v>
      </c>
      <c r="B336" s="1" t="str">
        <f t="shared" si="1"/>
        <v>536401</v>
      </c>
      <c r="C336" s="1" t="str">
        <f t="shared" si="2"/>
        <v>Sale</v>
      </c>
      <c r="D336" s="1">
        <v>21463.0</v>
      </c>
      <c r="E336" s="1" t="str">
        <f>IFERROR(__xludf.DUMMYFUNCTION("IF(LEN(D336)&gt;4, IFERROR(REGEXEXTRACT(TO_TEXT(D336),""\d+""),""""),"""")"),"21463")</f>
        <v>21463</v>
      </c>
      <c r="F336" s="6" t="str">
        <f t="shared" si="3"/>
        <v>Product</v>
      </c>
      <c r="G336" s="1" t="s">
        <v>290</v>
      </c>
      <c r="H336" s="6" t="str">
        <f>IFERROR(__xludf.DUMMYFUNCTION("IF(REGEXMATCH(LOWER(G336), ""^(\?)+\s*(missing)?\s*(\?)*$""), """", PROPER(SUBSTITUTE(SUBSTITUTE(G336, ""?"", """"), ""*"", """")))"),"Mirrored Disco Ball")</f>
        <v>Mirrored Disco Ball</v>
      </c>
      <c r="I336" s="3">
        <v>1.0</v>
      </c>
      <c r="J336" s="7">
        <v>40513.472916666666</v>
      </c>
      <c r="K336" s="8" t="str">
        <f t="shared" si="4"/>
        <v>2010-12</v>
      </c>
      <c r="L336" s="5">
        <v>5.95</v>
      </c>
      <c r="M336" s="3">
        <v>15862.0</v>
      </c>
      <c r="N336" s="1" t="str">
        <f t="shared" si="5"/>
        <v>Registered</v>
      </c>
      <c r="O336" s="1" t="s">
        <v>19</v>
      </c>
      <c r="P336" s="9" t="str">
        <f t="shared" si="6"/>
        <v>UK</v>
      </c>
      <c r="Q336" s="8">
        <f t="shared" si="7"/>
        <v>5.95</v>
      </c>
    </row>
    <row r="337">
      <c r="A337" s="1">
        <v>536401.0</v>
      </c>
      <c r="B337" s="1" t="str">
        <f t="shared" si="1"/>
        <v>536401</v>
      </c>
      <c r="C337" s="1" t="str">
        <f t="shared" si="2"/>
        <v>Sale</v>
      </c>
      <c r="D337" s="1">
        <v>21464.0</v>
      </c>
      <c r="E337" s="1" t="str">
        <f>IFERROR(__xludf.DUMMYFUNCTION("IF(LEN(D337)&gt;4, IFERROR(REGEXEXTRACT(TO_TEXT(D337),""\d+""),""""),"""")"),"21464")</f>
        <v>21464</v>
      </c>
      <c r="F337" s="6" t="str">
        <f t="shared" si="3"/>
        <v>Product</v>
      </c>
      <c r="G337" s="1" t="s">
        <v>291</v>
      </c>
      <c r="H337" s="6" t="str">
        <f>IFERROR(__xludf.DUMMYFUNCTION("IF(REGEXMATCH(LOWER(G337), ""^(\?)+\s*(missing)?\s*(\?)*$""), """", PROPER(SUBSTITUTE(SUBSTITUTE(G337, ""?"", """"), ""*"", """")))"),"Disco Ball Rotator Battery Operated")</f>
        <v>Disco Ball Rotator Battery Operated</v>
      </c>
      <c r="I337" s="3">
        <v>1.0</v>
      </c>
      <c r="J337" s="7">
        <v>40513.472916666666</v>
      </c>
      <c r="K337" s="8" t="str">
        <f t="shared" si="4"/>
        <v>2010-12</v>
      </c>
      <c r="L337" s="5">
        <v>4.25</v>
      </c>
      <c r="M337" s="3">
        <v>15862.0</v>
      </c>
      <c r="N337" s="1" t="str">
        <f t="shared" si="5"/>
        <v>Registered</v>
      </c>
      <c r="O337" s="1" t="s">
        <v>19</v>
      </c>
      <c r="P337" s="9" t="str">
        <f t="shared" si="6"/>
        <v>UK</v>
      </c>
      <c r="Q337" s="8">
        <f t="shared" si="7"/>
        <v>4.25</v>
      </c>
    </row>
    <row r="338">
      <c r="A338" s="1">
        <v>536401.0</v>
      </c>
      <c r="B338" s="1" t="str">
        <f t="shared" si="1"/>
        <v>536401</v>
      </c>
      <c r="C338" s="1" t="str">
        <f t="shared" si="2"/>
        <v>Sale</v>
      </c>
      <c r="D338" s="1">
        <v>20820.0</v>
      </c>
      <c r="E338" s="1" t="str">
        <f>IFERROR(__xludf.DUMMYFUNCTION("IF(LEN(D338)&gt;4, IFERROR(REGEXEXTRACT(TO_TEXT(D338),""\d+""),""""),"""")"),"20820")</f>
        <v>20820</v>
      </c>
      <c r="F338" s="6" t="str">
        <f t="shared" si="3"/>
        <v>Product</v>
      </c>
      <c r="G338" s="1" t="s">
        <v>292</v>
      </c>
      <c r="H338" s="6" t="str">
        <f>IFERROR(__xludf.DUMMYFUNCTION("IF(REGEXMATCH(LOWER(G338), ""^(\?)+\s*(missing)?\s*(\?)*$""), """", PROPER(SUBSTITUTE(SUBSTITUTE(G338, ""?"", """"), ""*"", """")))"),"Silver Looking Mirror")</f>
        <v>Silver Looking Mirror</v>
      </c>
      <c r="I338" s="3">
        <v>3.0</v>
      </c>
      <c r="J338" s="7">
        <v>40513.472916666666</v>
      </c>
      <c r="K338" s="8" t="str">
        <f t="shared" si="4"/>
        <v>2010-12</v>
      </c>
      <c r="L338" s="5">
        <v>4.95</v>
      </c>
      <c r="M338" s="3">
        <v>15862.0</v>
      </c>
      <c r="N338" s="1" t="str">
        <f t="shared" si="5"/>
        <v>Registered</v>
      </c>
      <c r="O338" s="1" t="s">
        <v>19</v>
      </c>
      <c r="P338" s="9" t="str">
        <f t="shared" si="6"/>
        <v>UK</v>
      </c>
      <c r="Q338" s="8">
        <f t="shared" si="7"/>
        <v>14.85</v>
      </c>
    </row>
    <row r="339">
      <c r="A339" s="1">
        <v>536401.0</v>
      </c>
      <c r="B339" s="1" t="str">
        <f t="shared" si="1"/>
        <v>536401</v>
      </c>
      <c r="C339" s="1" t="str">
        <f t="shared" si="2"/>
        <v>Sale</v>
      </c>
      <c r="D339" s="1">
        <v>85150.0</v>
      </c>
      <c r="E339" s="1" t="str">
        <f>IFERROR(__xludf.DUMMYFUNCTION("IF(LEN(D339)&gt;4, IFERROR(REGEXEXTRACT(TO_TEXT(D339),""\d+""),""""),"""")"),"85150")</f>
        <v>85150</v>
      </c>
      <c r="F339" s="6" t="str">
        <f t="shared" si="3"/>
        <v>Product</v>
      </c>
      <c r="G339" s="1" t="s">
        <v>293</v>
      </c>
      <c r="H339" s="6" t="str">
        <f>IFERROR(__xludf.DUMMYFUNCTION("IF(REGEXMATCH(LOWER(G339), ""^(\?)+\s*(missing)?\s*(\?)*$""), """", PROPER(SUBSTITUTE(SUBSTITUTE(G339, ""?"", """"), ""*"", """")))"),"Ladies &amp; Gentlemen Metal Sign")</f>
        <v>Ladies &amp; Gentlemen Metal Sign</v>
      </c>
      <c r="I339" s="3">
        <v>1.0</v>
      </c>
      <c r="J339" s="7">
        <v>40513.472916666666</v>
      </c>
      <c r="K339" s="8" t="str">
        <f t="shared" si="4"/>
        <v>2010-12</v>
      </c>
      <c r="L339" s="5">
        <v>2.55</v>
      </c>
      <c r="M339" s="3">
        <v>15862.0</v>
      </c>
      <c r="N339" s="1" t="str">
        <f t="shared" si="5"/>
        <v>Registered</v>
      </c>
      <c r="O339" s="1" t="s">
        <v>19</v>
      </c>
      <c r="P339" s="9" t="str">
        <f t="shared" si="6"/>
        <v>UK</v>
      </c>
      <c r="Q339" s="8">
        <f t="shared" si="7"/>
        <v>2.55</v>
      </c>
    </row>
    <row r="340">
      <c r="A340" s="1">
        <v>536401.0</v>
      </c>
      <c r="B340" s="1" t="str">
        <f t="shared" si="1"/>
        <v>536401</v>
      </c>
      <c r="C340" s="1" t="str">
        <f t="shared" si="2"/>
        <v>Sale</v>
      </c>
      <c r="D340" s="1">
        <v>22117.0</v>
      </c>
      <c r="E340" s="1" t="str">
        <f>IFERROR(__xludf.DUMMYFUNCTION("IF(LEN(D340)&gt;4, IFERROR(REGEXEXTRACT(TO_TEXT(D340),""\d+""),""""),"""")"),"22117")</f>
        <v>22117</v>
      </c>
      <c r="F340" s="6" t="str">
        <f t="shared" si="3"/>
        <v>Product</v>
      </c>
      <c r="G340" s="1" t="s">
        <v>294</v>
      </c>
      <c r="H340" s="6" t="str">
        <f>IFERROR(__xludf.DUMMYFUNCTION("IF(REGEXMATCH(LOWER(G340), ""^(\?)+\s*(missing)?\s*(\?)*$""), """", PROPER(SUBSTITUTE(SUBSTITUTE(G340, ""?"", """"), ""*"", """")))"),"Metal Sign Her Dinner Is Served")</f>
        <v>Metal Sign Her Dinner Is Served</v>
      </c>
      <c r="I340" s="3">
        <v>1.0</v>
      </c>
      <c r="J340" s="7">
        <v>40513.472916666666</v>
      </c>
      <c r="K340" s="8" t="str">
        <f t="shared" si="4"/>
        <v>2010-12</v>
      </c>
      <c r="L340" s="5">
        <v>2.95</v>
      </c>
      <c r="M340" s="3">
        <v>15862.0</v>
      </c>
      <c r="N340" s="1" t="str">
        <f t="shared" si="5"/>
        <v>Registered</v>
      </c>
      <c r="O340" s="1" t="s">
        <v>19</v>
      </c>
      <c r="P340" s="9" t="str">
        <f t="shared" si="6"/>
        <v>UK</v>
      </c>
      <c r="Q340" s="8">
        <f t="shared" si="7"/>
        <v>2.95</v>
      </c>
    </row>
    <row r="341">
      <c r="A341" s="1">
        <v>536401.0</v>
      </c>
      <c r="B341" s="1" t="str">
        <f t="shared" si="1"/>
        <v>536401</v>
      </c>
      <c r="C341" s="1" t="str">
        <f t="shared" si="2"/>
        <v>Sale</v>
      </c>
      <c r="D341" s="1">
        <v>21169.0</v>
      </c>
      <c r="E341" s="1" t="str">
        <f>IFERROR(__xludf.DUMMYFUNCTION("IF(LEN(D341)&gt;4, IFERROR(REGEXEXTRACT(TO_TEXT(D341),""\d+""),""""),"""")"),"21169")</f>
        <v>21169</v>
      </c>
      <c r="F341" s="6" t="str">
        <f t="shared" si="3"/>
        <v>Product</v>
      </c>
      <c r="G341" s="1" t="s">
        <v>121</v>
      </c>
      <c r="H341" s="6" t="str">
        <f>IFERROR(__xludf.DUMMYFUNCTION("IF(REGEXMATCH(LOWER(G341), ""^(\?)+\s*(missing)?\s*(\?)*$""), """", PROPER(SUBSTITUTE(SUBSTITUTE(G341, ""?"", """"), ""*"", """")))"),"You'Re Confusing Me Metal Sign")</f>
        <v>You'Re Confusing Me Metal Sign</v>
      </c>
      <c r="I341" s="3">
        <v>2.0</v>
      </c>
      <c r="J341" s="7">
        <v>40513.472916666666</v>
      </c>
      <c r="K341" s="8" t="str">
        <f t="shared" si="4"/>
        <v>2010-12</v>
      </c>
      <c r="L341" s="5">
        <v>1.69</v>
      </c>
      <c r="M341" s="3">
        <v>15862.0</v>
      </c>
      <c r="N341" s="1" t="str">
        <f t="shared" si="5"/>
        <v>Registered</v>
      </c>
      <c r="O341" s="1" t="s">
        <v>19</v>
      </c>
      <c r="P341" s="9" t="str">
        <f t="shared" si="6"/>
        <v>UK</v>
      </c>
      <c r="Q341" s="8">
        <f t="shared" si="7"/>
        <v>3.38</v>
      </c>
    </row>
    <row r="342">
      <c r="A342" s="1">
        <v>536401.0</v>
      </c>
      <c r="B342" s="1" t="str">
        <f t="shared" si="1"/>
        <v>536401</v>
      </c>
      <c r="C342" s="1" t="str">
        <f t="shared" si="2"/>
        <v>Sale</v>
      </c>
      <c r="D342" s="1">
        <v>48129.0</v>
      </c>
      <c r="E342" s="1" t="str">
        <f>IFERROR(__xludf.DUMMYFUNCTION("IF(LEN(D342)&gt;4, IFERROR(REGEXEXTRACT(TO_TEXT(D342),""\d+""),""""),"""")"),"48129")</f>
        <v>48129</v>
      </c>
      <c r="F342" s="6" t="str">
        <f t="shared" si="3"/>
        <v>Product</v>
      </c>
      <c r="G342" s="1" t="s">
        <v>295</v>
      </c>
      <c r="H342" s="6" t="str">
        <f>IFERROR(__xludf.DUMMYFUNCTION("IF(REGEXMATCH(LOWER(G342), ""^(\?)+\s*(missing)?\s*(\?)*$""), """", PROPER(SUBSTITUTE(SUBSTITUTE(G342, ""?"", """"), ""*"", """")))"),"Doormat Topiary")</f>
        <v>Doormat Topiary</v>
      </c>
      <c r="I342" s="3">
        <v>1.0</v>
      </c>
      <c r="J342" s="7">
        <v>40513.472916666666</v>
      </c>
      <c r="K342" s="8" t="str">
        <f t="shared" si="4"/>
        <v>2010-12</v>
      </c>
      <c r="L342" s="5">
        <v>7.95</v>
      </c>
      <c r="M342" s="3">
        <v>15862.0</v>
      </c>
      <c r="N342" s="1" t="str">
        <f t="shared" si="5"/>
        <v>Registered</v>
      </c>
      <c r="O342" s="1" t="s">
        <v>19</v>
      </c>
      <c r="P342" s="9" t="str">
        <f t="shared" si="6"/>
        <v>UK</v>
      </c>
      <c r="Q342" s="8">
        <f t="shared" si="7"/>
        <v>7.95</v>
      </c>
    </row>
    <row r="343">
      <c r="A343" s="1">
        <v>536401.0</v>
      </c>
      <c r="B343" s="1" t="str">
        <f t="shared" si="1"/>
        <v>536401</v>
      </c>
      <c r="C343" s="1" t="str">
        <f t="shared" si="2"/>
        <v>Sale</v>
      </c>
      <c r="D343" s="1">
        <v>82580.0</v>
      </c>
      <c r="E343" s="1" t="str">
        <f>IFERROR(__xludf.DUMMYFUNCTION("IF(LEN(D343)&gt;4, IFERROR(REGEXEXTRACT(TO_TEXT(D343),""\d+""),""""),"""")"),"82580")</f>
        <v>82580</v>
      </c>
      <c r="F343" s="6" t="str">
        <f t="shared" si="3"/>
        <v>Product</v>
      </c>
      <c r="G343" s="1" t="s">
        <v>296</v>
      </c>
      <c r="H343" s="6" t="str">
        <f>IFERROR(__xludf.DUMMYFUNCTION("IF(REGEXMATCH(LOWER(G343), ""^(\?)+\s*(missing)?\s*(\?)*$""), """", PROPER(SUBSTITUTE(SUBSTITUTE(G343, ""?"", """"), ""*"", """")))"),"Bathroom Metal Sign")</f>
        <v>Bathroom Metal Sign</v>
      </c>
      <c r="I343" s="3">
        <v>1.0</v>
      </c>
      <c r="J343" s="7">
        <v>40513.472916666666</v>
      </c>
      <c r="K343" s="8" t="str">
        <f t="shared" si="4"/>
        <v>2010-12</v>
      </c>
      <c r="L343" s="5">
        <v>0.55</v>
      </c>
      <c r="M343" s="3">
        <v>15862.0</v>
      </c>
      <c r="N343" s="1" t="str">
        <f t="shared" si="5"/>
        <v>Registered</v>
      </c>
      <c r="O343" s="1" t="s">
        <v>19</v>
      </c>
      <c r="P343" s="9" t="str">
        <f t="shared" si="6"/>
        <v>UK</v>
      </c>
      <c r="Q343" s="8">
        <f t="shared" si="7"/>
        <v>0.55</v>
      </c>
    </row>
    <row r="344">
      <c r="A344" s="1">
        <v>536401.0</v>
      </c>
      <c r="B344" s="1" t="str">
        <f t="shared" si="1"/>
        <v>536401</v>
      </c>
      <c r="C344" s="1" t="str">
        <f t="shared" si="2"/>
        <v>Sale</v>
      </c>
      <c r="D344" s="1">
        <v>82578.0</v>
      </c>
      <c r="E344" s="1" t="str">
        <f>IFERROR(__xludf.DUMMYFUNCTION("IF(LEN(D344)&gt;4, IFERROR(REGEXEXTRACT(TO_TEXT(D344),""\d+""),""""),"""")"),"82578")</f>
        <v>82578</v>
      </c>
      <c r="F344" s="6" t="str">
        <f t="shared" si="3"/>
        <v>Product</v>
      </c>
      <c r="G344" s="1" t="s">
        <v>297</v>
      </c>
      <c r="H344" s="6" t="str">
        <f>IFERROR(__xludf.DUMMYFUNCTION("IF(REGEXMATCH(LOWER(G344), ""^(\?)+\s*(missing)?\s*(\?)*$""), """", PROPER(SUBSTITUTE(SUBSTITUTE(G344, ""?"", """"), ""*"", """")))"),"Kitchen Metal Sign")</f>
        <v>Kitchen Metal Sign</v>
      </c>
      <c r="I344" s="3">
        <v>1.0</v>
      </c>
      <c r="J344" s="7">
        <v>40513.472916666666</v>
      </c>
      <c r="K344" s="8" t="str">
        <f t="shared" si="4"/>
        <v>2010-12</v>
      </c>
      <c r="L344" s="5">
        <v>0.55</v>
      </c>
      <c r="M344" s="3">
        <v>15862.0</v>
      </c>
      <c r="N344" s="1" t="str">
        <f t="shared" si="5"/>
        <v>Registered</v>
      </c>
      <c r="O344" s="1" t="s">
        <v>19</v>
      </c>
      <c r="P344" s="9" t="str">
        <f t="shared" si="6"/>
        <v>UK</v>
      </c>
      <c r="Q344" s="8">
        <f t="shared" si="7"/>
        <v>0.55</v>
      </c>
    </row>
    <row r="345">
      <c r="A345" s="1">
        <v>536401.0</v>
      </c>
      <c r="B345" s="1" t="str">
        <f t="shared" si="1"/>
        <v>536401</v>
      </c>
      <c r="C345" s="1" t="str">
        <f t="shared" si="2"/>
        <v>Sale</v>
      </c>
      <c r="D345" s="1">
        <v>82581.0</v>
      </c>
      <c r="E345" s="1" t="str">
        <f>IFERROR(__xludf.DUMMYFUNCTION("IF(LEN(D345)&gt;4, IFERROR(REGEXEXTRACT(TO_TEXT(D345),""\d+""),""""),"""")"),"82581")</f>
        <v>82581</v>
      </c>
      <c r="F345" s="6" t="str">
        <f t="shared" si="3"/>
        <v>Product</v>
      </c>
      <c r="G345" s="1" t="s">
        <v>298</v>
      </c>
      <c r="H345" s="6" t="str">
        <f>IFERROR(__xludf.DUMMYFUNCTION("IF(REGEXMATCH(LOWER(G345), ""^(\?)+\s*(missing)?\s*(\?)*$""), """", PROPER(SUBSTITUTE(SUBSTITUTE(G345, ""?"", """"), ""*"", """")))"),"Toilet Metal Sign")</f>
        <v>Toilet Metal Sign</v>
      </c>
      <c r="I345" s="3">
        <v>2.0</v>
      </c>
      <c r="J345" s="7">
        <v>40513.472916666666</v>
      </c>
      <c r="K345" s="8" t="str">
        <f t="shared" si="4"/>
        <v>2010-12</v>
      </c>
      <c r="L345" s="5">
        <v>0.55</v>
      </c>
      <c r="M345" s="3">
        <v>15862.0</v>
      </c>
      <c r="N345" s="1" t="str">
        <f t="shared" si="5"/>
        <v>Registered</v>
      </c>
      <c r="O345" s="1" t="s">
        <v>19</v>
      </c>
      <c r="P345" s="9" t="str">
        <f t="shared" si="6"/>
        <v>UK</v>
      </c>
      <c r="Q345" s="8">
        <f t="shared" si="7"/>
        <v>1.1</v>
      </c>
    </row>
    <row r="346">
      <c r="A346" s="1">
        <v>536401.0</v>
      </c>
      <c r="B346" s="1" t="str">
        <f t="shared" si="1"/>
        <v>536401</v>
      </c>
      <c r="C346" s="1" t="str">
        <f t="shared" si="2"/>
        <v>Sale</v>
      </c>
      <c r="D346" s="1">
        <v>22413.0</v>
      </c>
      <c r="E346" s="1" t="str">
        <f>IFERROR(__xludf.DUMMYFUNCTION("IF(LEN(D346)&gt;4, IFERROR(REGEXEXTRACT(TO_TEXT(D346),""\d+""),""""),"""")"),"22413")</f>
        <v>22413</v>
      </c>
      <c r="F346" s="6" t="str">
        <f t="shared" si="3"/>
        <v>Product</v>
      </c>
      <c r="G346" s="1" t="s">
        <v>299</v>
      </c>
      <c r="H346" s="6" t="str">
        <f>IFERROR(__xludf.DUMMYFUNCTION("IF(REGEXMATCH(LOWER(G346), ""^(\?)+\s*(missing)?\s*(\?)*$""), """", PROPER(SUBSTITUTE(SUBSTITUTE(G346, ""?"", """"), ""*"", """")))"),"Metal Sign Take It Or Leave It")</f>
        <v>Metal Sign Take It Or Leave It</v>
      </c>
      <c r="I346" s="3">
        <v>4.0</v>
      </c>
      <c r="J346" s="7">
        <v>40513.472916666666</v>
      </c>
      <c r="K346" s="8" t="str">
        <f t="shared" si="4"/>
        <v>2010-12</v>
      </c>
      <c r="L346" s="5">
        <v>2.95</v>
      </c>
      <c r="M346" s="3">
        <v>15862.0</v>
      </c>
      <c r="N346" s="1" t="str">
        <f t="shared" si="5"/>
        <v>Registered</v>
      </c>
      <c r="O346" s="1" t="s">
        <v>19</v>
      </c>
      <c r="P346" s="9" t="str">
        <f t="shared" si="6"/>
        <v>UK</v>
      </c>
      <c r="Q346" s="8">
        <f t="shared" si="7"/>
        <v>11.8</v>
      </c>
    </row>
    <row r="347">
      <c r="A347" s="1">
        <v>536401.0</v>
      </c>
      <c r="B347" s="1" t="str">
        <f t="shared" si="1"/>
        <v>536401</v>
      </c>
      <c r="C347" s="1" t="str">
        <f t="shared" si="2"/>
        <v>Sale</v>
      </c>
      <c r="D347" s="1">
        <v>21907.0</v>
      </c>
      <c r="E347" s="1" t="str">
        <f>IFERROR(__xludf.DUMMYFUNCTION("IF(LEN(D347)&gt;4, IFERROR(REGEXEXTRACT(TO_TEXT(D347),""\d+""),""""),"""")"),"21907")</f>
        <v>21907</v>
      </c>
      <c r="F347" s="6" t="str">
        <f t="shared" si="3"/>
        <v>Product</v>
      </c>
      <c r="G347" s="1" t="s">
        <v>300</v>
      </c>
      <c r="H347" s="6" t="str">
        <f>IFERROR(__xludf.DUMMYFUNCTION("IF(REGEXMATCH(LOWER(G347), ""^(\?)+\s*(missing)?\s*(\?)*$""), """", PROPER(SUBSTITUTE(SUBSTITUTE(G347, ""?"", """"), ""*"", """")))"),"I'M On Holiday Metal Sign")</f>
        <v>I'M On Holiday Metal Sign</v>
      </c>
      <c r="I347" s="3">
        <v>2.0</v>
      </c>
      <c r="J347" s="7">
        <v>40513.472916666666</v>
      </c>
      <c r="K347" s="8" t="str">
        <f t="shared" si="4"/>
        <v>2010-12</v>
      </c>
      <c r="L347" s="5">
        <v>2.1</v>
      </c>
      <c r="M347" s="3">
        <v>15862.0</v>
      </c>
      <c r="N347" s="1" t="str">
        <f t="shared" si="5"/>
        <v>Registered</v>
      </c>
      <c r="O347" s="1" t="s">
        <v>19</v>
      </c>
      <c r="P347" s="9" t="str">
        <f t="shared" si="6"/>
        <v>UK</v>
      </c>
      <c r="Q347" s="8">
        <f t="shared" si="7"/>
        <v>4.2</v>
      </c>
    </row>
    <row r="348">
      <c r="A348" s="1">
        <v>536401.0</v>
      </c>
      <c r="B348" s="1" t="str">
        <f t="shared" si="1"/>
        <v>536401</v>
      </c>
      <c r="C348" s="1" t="str">
        <f t="shared" si="2"/>
        <v>Sale</v>
      </c>
      <c r="D348" s="1">
        <v>22441.0</v>
      </c>
      <c r="E348" s="1" t="str">
        <f>IFERROR(__xludf.DUMMYFUNCTION("IF(LEN(D348)&gt;4, IFERROR(REGEXEXTRACT(TO_TEXT(D348),""\d+""),""""),"""")"),"22441")</f>
        <v>22441</v>
      </c>
      <c r="F348" s="6" t="str">
        <f t="shared" si="3"/>
        <v>Product</v>
      </c>
      <c r="G348" s="1" t="s">
        <v>301</v>
      </c>
      <c r="H348" s="6" t="str">
        <f>IFERROR(__xludf.DUMMYFUNCTION("IF(REGEXMATCH(LOWER(G348), ""^(\?)+\s*(missing)?\s*(\?)*$""), """", PROPER(SUBSTITUTE(SUBSTITUTE(G348, ""?"", """"), ""*"", """")))"),"Grow Your Own Basil In Enamel Mug")</f>
        <v>Grow Your Own Basil In Enamel Mug</v>
      </c>
      <c r="I348" s="3">
        <v>1.0</v>
      </c>
      <c r="J348" s="7">
        <v>40513.472916666666</v>
      </c>
      <c r="K348" s="8" t="str">
        <f t="shared" si="4"/>
        <v>2010-12</v>
      </c>
      <c r="L348" s="5">
        <v>2.1</v>
      </c>
      <c r="M348" s="3">
        <v>15862.0</v>
      </c>
      <c r="N348" s="1" t="str">
        <f t="shared" si="5"/>
        <v>Registered</v>
      </c>
      <c r="O348" s="1" t="s">
        <v>19</v>
      </c>
      <c r="P348" s="9" t="str">
        <f t="shared" si="6"/>
        <v>UK</v>
      </c>
      <c r="Q348" s="8">
        <f t="shared" si="7"/>
        <v>2.1</v>
      </c>
    </row>
    <row r="349">
      <c r="A349" s="1">
        <v>536401.0</v>
      </c>
      <c r="B349" s="1" t="str">
        <f t="shared" si="1"/>
        <v>536401</v>
      </c>
      <c r="C349" s="1" t="str">
        <f t="shared" si="2"/>
        <v>Sale</v>
      </c>
      <c r="D349" s="1">
        <v>21122.0</v>
      </c>
      <c r="E349" s="1" t="str">
        <f>IFERROR(__xludf.DUMMYFUNCTION("IF(LEN(D349)&gt;4, IFERROR(REGEXEXTRACT(TO_TEXT(D349),""\d+""),""""),"""")"),"21122")</f>
        <v>21122</v>
      </c>
      <c r="F349" s="6" t="str">
        <f t="shared" si="3"/>
        <v>Product</v>
      </c>
      <c r="G349" s="1" t="s">
        <v>302</v>
      </c>
      <c r="H349" s="6" t="str">
        <f>IFERROR(__xludf.DUMMYFUNCTION("IF(REGEXMATCH(LOWER(G349), ""^(\?)+\s*(missing)?\s*(\?)*$""), """", PROPER(SUBSTITUTE(SUBSTITUTE(G349, ""?"", """"), ""*"", """")))"),"Set/10 Pink Polkadot Party Candles")</f>
        <v>Set/10 Pink Polkadot Party Candles</v>
      </c>
      <c r="I349" s="3">
        <v>1.0</v>
      </c>
      <c r="J349" s="7">
        <v>40513.472916666666</v>
      </c>
      <c r="K349" s="8" t="str">
        <f t="shared" si="4"/>
        <v>2010-12</v>
      </c>
      <c r="L349" s="5">
        <v>1.25</v>
      </c>
      <c r="M349" s="3">
        <v>15862.0</v>
      </c>
      <c r="N349" s="1" t="str">
        <f t="shared" si="5"/>
        <v>Registered</v>
      </c>
      <c r="O349" s="1" t="s">
        <v>19</v>
      </c>
      <c r="P349" s="9" t="str">
        <f t="shared" si="6"/>
        <v>UK</v>
      </c>
      <c r="Q349" s="8">
        <f t="shared" si="7"/>
        <v>1.25</v>
      </c>
    </row>
    <row r="350">
      <c r="A350" s="1">
        <v>536401.0</v>
      </c>
      <c r="B350" s="1" t="str">
        <f t="shared" si="1"/>
        <v>536401</v>
      </c>
      <c r="C350" s="1" t="str">
        <f t="shared" si="2"/>
        <v>Sale</v>
      </c>
      <c r="D350" s="1">
        <v>22851.0</v>
      </c>
      <c r="E350" s="1" t="str">
        <f>IFERROR(__xludf.DUMMYFUNCTION("IF(LEN(D350)&gt;4, IFERROR(REGEXEXTRACT(TO_TEXT(D350),""\d+""),""""),"""")"),"22851")</f>
        <v>22851</v>
      </c>
      <c r="F350" s="6" t="str">
        <f t="shared" si="3"/>
        <v>Product</v>
      </c>
      <c r="G350" s="1" t="s">
        <v>303</v>
      </c>
      <c r="H350" s="6" t="str">
        <f>IFERROR(__xludf.DUMMYFUNCTION("IF(REGEXMATCH(LOWER(G350), ""^(\?)+\s*(missing)?\s*(\?)*$""), """", PROPER(SUBSTITUTE(SUBSTITUTE(G350, ""?"", """"), ""*"", """")))"),"Set 20 Napkins Fairy Cakes Design")</f>
        <v>Set 20 Napkins Fairy Cakes Design</v>
      </c>
      <c r="I350" s="3">
        <v>1.0</v>
      </c>
      <c r="J350" s="7">
        <v>40513.472916666666</v>
      </c>
      <c r="K350" s="8" t="str">
        <f t="shared" si="4"/>
        <v>2010-12</v>
      </c>
      <c r="L350" s="5">
        <v>0.85</v>
      </c>
      <c r="M350" s="3">
        <v>15862.0</v>
      </c>
      <c r="N350" s="1" t="str">
        <f t="shared" si="5"/>
        <v>Registered</v>
      </c>
      <c r="O350" s="1" t="s">
        <v>19</v>
      </c>
      <c r="P350" s="9" t="str">
        <f t="shared" si="6"/>
        <v>UK</v>
      </c>
      <c r="Q350" s="8">
        <f t="shared" si="7"/>
        <v>0.85</v>
      </c>
    </row>
    <row r="351">
      <c r="A351" s="1">
        <v>536401.0</v>
      </c>
      <c r="B351" s="1" t="str">
        <f t="shared" si="1"/>
        <v>536401</v>
      </c>
      <c r="C351" s="1" t="str">
        <f t="shared" si="2"/>
        <v>Sale</v>
      </c>
      <c r="D351" s="1">
        <v>84991.0</v>
      </c>
      <c r="E351" s="1" t="str">
        <f>IFERROR(__xludf.DUMMYFUNCTION("IF(LEN(D351)&gt;4, IFERROR(REGEXEXTRACT(TO_TEXT(D351),""\d+""),""""),"""")"),"84991")</f>
        <v>84991</v>
      </c>
      <c r="F351" s="6" t="str">
        <f t="shared" si="3"/>
        <v>Product</v>
      </c>
      <c r="G351" s="1" t="s">
        <v>100</v>
      </c>
      <c r="H351" s="6" t="str">
        <f>IFERROR(__xludf.DUMMYFUNCTION("IF(REGEXMATCH(LOWER(G351), ""^(\?)+\s*(missing)?\s*(\?)*$""), """", PROPER(SUBSTITUTE(SUBSTITUTE(G351, ""?"", """"), ""*"", """")))"),"60 Teatime Fairy Cake Cases")</f>
        <v>60 Teatime Fairy Cake Cases</v>
      </c>
      <c r="I351" s="3">
        <v>3.0</v>
      </c>
      <c r="J351" s="7">
        <v>40513.472916666666</v>
      </c>
      <c r="K351" s="8" t="str">
        <f t="shared" si="4"/>
        <v>2010-12</v>
      </c>
      <c r="L351" s="5">
        <v>0.55</v>
      </c>
      <c r="M351" s="3">
        <v>15862.0</v>
      </c>
      <c r="N351" s="1" t="str">
        <f t="shared" si="5"/>
        <v>Registered</v>
      </c>
      <c r="O351" s="1" t="s">
        <v>19</v>
      </c>
      <c r="P351" s="9" t="str">
        <f t="shared" si="6"/>
        <v>UK</v>
      </c>
      <c r="Q351" s="8">
        <f t="shared" si="7"/>
        <v>1.65</v>
      </c>
    </row>
    <row r="352">
      <c r="A352" s="1">
        <v>536401.0</v>
      </c>
      <c r="B352" s="1" t="str">
        <f t="shared" si="1"/>
        <v>536401</v>
      </c>
      <c r="C352" s="1" t="str">
        <f t="shared" si="2"/>
        <v>Sale</v>
      </c>
      <c r="D352" s="1">
        <v>22810.0</v>
      </c>
      <c r="E352" s="1" t="str">
        <f>IFERROR(__xludf.DUMMYFUNCTION("IF(LEN(D352)&gt;4, IFERROR(REGEXEXTRACT(TO_TEXT(D352),""\d+""),""""),"""")"),"22810")</f>
        <v>22810</v>
      </c>
      <c r="F352" s="6" t="str">
        <f t="shared" si="3"/>
        <v>Product</v>
      </c>
      <c r="G352" s="1" t="s">
        <v>304</v>
      </c>
      <c r="H352" s="6" t="str">
        <f>IFERROR(__xludf.DUMMYFUNCTION("IF(REGEXMATCH(LOWER(G352), ""^(\?)+\s*(missing)?\s*(\?)*$""), """", PROPER(SUBSTITUTE(SUBSTITUTE(G352, ""?"", """"), ""*"", """")))"),"Set Of 6 T-Lights Snowmen")</f>
        <v>Set Of 6 T-Lights Snowmen</v>
      </c>
      <c r="I352" s="3">
        <v>1.0</v>
      </c>
      <c r="J352" s="7">
        <v>40513.472916666666</v>
      </c>
      <c r="K352" s="8" t="str">
        <f t="shared" si="4"/>
        <v>2010-12</v>
      </c>
      <c r="L352" s="5">
        <v>2.95</v>
      </c>
      <c r="M352" s="3">
        <v>15862.0</v>
      </c>
      <c r="N352" s="1" t="str">
        <f t="shared" si="5"/>
        <v>Registered</v>
      </c>
      <c r="O352" s="1" t="s">
        <v>19</v>
      </c>
      <c r="P352" s="9" t="str">
        <f t="shared" si="6"/>
        <v>UK</v>
      </c>
      <c r="Q352" s="8">
        <f t="shared" si="7"/>
        <v>2.95</v>
      </c>
    </row>
    <row r="353">
      <c r="A353" s="1">
        <v>536401.0</v>
      </c>
      <c r="B353" s="1" t="str">
        <f t="shared" si="1"/>
        <v>536401</v>
      </c>
      <c r="C353" s="1" t="str">
        <f t="shared" si="2"/>
        <v>Sale</v>
      </c>
      <c r="D353" s="1">
        <v>22809.0</v>
      </c>
      <c r="E353" s="1" t="str">
        <f>IFERROR(__xludf.DUMMYFUNCTION("IF(LEN(D353)&gt;4, IFERROR(REGEXEXTRACT(TO_TEXT(D353),""\d+""),""""),"""")"),"22809")</f>
        <v>22809</v>
      </c>
      <c r="F353" s="6" t="str">
        <f t="shared" si="3"/>
        <v>Product</v>
      </c>
      <c r="G353" s="1" t="s">
        <v>305</v>
      </c>
      <c r="H353" s="6" t="str">
        <f>IFERROR(__xludf.DUMMYFUNCTION("IF(REGEXMATCH(LOWER(G353), ""^(\?)+\s*(missing)?\s*(\?)*$""), """", PROPER(SUBSTITUTE(SUBSTITUTE(G353, ""?"", """"), ""*"", """")))"),"Set Of 6 T-Lights Santa")</f>
        <v>Set Of 6 T-Lights Santa</v>
      </c>
      <c r="I353" s="3">
        <v>1.0</v>
      </c>
      <c r="J353" s="7">
        <v>40513.472916666666</v>
      </c>
      <c r="K353" s="8" t="str">
        <f t="shared" si="4"/>
        <v>2010-12</v>
      </c>
      <c r="L353" s="5">
        <v>2.95</v>
      </c>
      <c r="M353" s="3">
        <v>15862.0</v>
      </c>
      <c r="N353" s="1" t="str">
        <f t="shared" si="5"/>
        <v>Registered</v>
      </c>
      <c r="O353" s="1" t="s">
        <v>19</v>
      </c>
      <c r="P353" s="9" t="str">
        <f t="shared" si="6"/>
        <v>UK</v>
      </c>
      <c r="Q353" s="8">
        <f t="shared" si="7"/>
        <v>2.95</v>
      </c>
    </row>
    <row r="354">
      <c r="A354" s="1">
        <v>536401.0</v>
      </c>
      <c r="B354" s="1" t="str">
        <f t="shared" si="1"/>
        <v>536401</v>
      </c>
      <c r="C354" s="1" t="str">
        <f t="shared" si="2"/>
        <v>Sale</v>
      </c>
      <c r="D354" s="1">
        <v>22435.0</v>
      </c>
      <c r="E354" s="1" t="str">
        <f>IFERROR(__xludf.DUMMYFUNCTION("IF(LEN(D354)&gt;4, IFERROR(REGEXEXTRACT(TO_TEXT(D354),""\d+""),""""),"""")"),"22435")</f>
        <v>22435</v>
      </c>
      <c r="F354" s="6" t="str">
        <f t="shared" si="3"/>
        <v>Product</v>
      </c>
      <c r="G354" s="1" t="s">
        <v>306</v>
      </c>
      <c r="H354" s="6" t="str">
        <f>IFERROR(__xludf.DUMMYFUNCTION("IF(REGEXMATCH(LOWER(G354), ""^(\?)+\s*(missing)?\s*(\?)*$""), """", PROPER(SUBSTITUTE(SUBSTITUTE(G354, ""?"", """"), ""*"", """")))"),"Set Of 9 Heart Shaped Balloons")</f>
        <v>Set Of 9 Heart Shaped Balloons</v>
      </c>
      <c r="I354" s="3">
        <v>2.0</v>
      </c>
      <c r="J354" s="7">
        <v>40513.472916666666</v>
      </c>
      <c r="K354" s="8" t="str">
        <f t="shared" si="4"/>
        <v>2010-12</v>
      </c>
      <c r="L354" s="5">
        <v>1.25</v>
      </c>
      <c r="M354" s="3">
        <v>15862.0</v>
      </c>
      <c r="N354" s="1" t="str">
        <f t="shared" si="5"/>
        <v>Registered</v>
      </c>
      <c r="O354" s="1" t="s">
        <v>19</v>
      </c>
      <c r="P354" s="9" t="str">
        <f t="shared" si="6"/>
        <v>UK</v>
      </c>
      <c r="Q354" s="8">
        <f t="shared" si="7"/>
        <v>2.5</v>
      </c>
    </row>
    <row r="355">
      <c r="A355" s="1">
        <v>536401.0</v>
      </c>
      <c r="B355" s="1" t="str">
        <f t="shared" si="1"/>
        <v>536401</v>
      </c>
      <c r="C355" s="1" t="str">
        <f t="shared" si="2"/>
        <v>Sale</v>
      </c>
      <c r="D355" s="1">
        <v>20966.0</v>
      </c>
      <c r="E355" s="1" t="str">
        <f>IFERROR(__xludf.DUMMYFUNCTION("IF(LEN(D355)&gt;4, IFERROR(REGEXEXTRACT(TO_TEXT(D355),""\d+""),""""),"""")"),"20966")</f>
        <v>20966</v>
      </c>
      <c r="F355" s="6" t="str">
        <f t="shared" si="3"/>
        <v>Product</v>
      </c>
      <c r="G355" s="1" t="s">
        <v>307</v>
      </c>
      <c r="H355" s="6" t="str">
        <f>IFERROR(__xludf.DUMMYFUNCTION("IF(REGEXMATCH(LOWER(G355), ""^(\?)+\s*(missing)?\s*(\?)*$""), """", PROPER(SUBSTITUTE(SUBSTITUTE(G355, ""?"", """"), ""*"", """")))"),"Sandwich Bath Sponge")</f>
        <v>Sandwich Bath Sponge</v>
      </c>
      <c r="I355" s="3">
        <v>3.0</v>
      </c>
      <c r="J355" s="7">
        <v>40513.472916666666</v>
      </c>
      <c r="K355" s="8" t="str">
        <f t="shared" si="4"/>
        <v>2010-12</v>
      </c>
      <c r="L355" s="5">
        <v>1.25</v>
      </c>
      <c r="M355" s="3">
        <v>15862.0</v>
      </c>
      <c r="N355" s="1" t="str">
        <f t="shared" si="5"/>
        <v>Registered</v>
      </c>
      <c r="O355" s="1" t="s">
        <v>19</v>
      </c>
      <c r="P355" s="9" t="str">
        <f t="shared" si="6"/>
        <v>UK</v>
      </c>
      <c r="Q355" s="8">
        <f t="shared" si="7"/>
        <v>3.75</v>
      </c>
    </row>
    <row r="356">
      <c r="A356" s="1">
        <v>536401.0</v>
      </c>
      <c r="B356" s="1" t="str">
        <f t="shared" si="1"/>
        <v>536401</v>
      </c>
      <c r="C356" s="1" t="str">
        <f t="shared" si="2"/>
        <v>Sale</v>
      </c>
      <c r="D356" s="1">
        <v>20963.0</v>
      </c>
      <c r="E356" s="1" t="str">
        <f>IFERROR(__xludf.DUMMYFUNCTION("IF(LEN(D356)&gt;4, IFERROR(REGEXEXTRACT(TO_TEXT(D356),""\d+""),""""),"""")"),"20963")</f>
        <v>20963</v>
      </c>
      <c r="F356" s="6" t="str">
        <f t="shared" si="3"/>
        <v>Product</v>
      </c>
      <c r="G356" s="1" t="s">
        <v>308</v>
      </c>
      <c r="H356" s="6" t="str">
        <f>IFERROR(__xludf.DUMMYFUNCTION("IF(REGEXMATCH(LOWER(G356), ""^(\?)+\s*(missing)?\s*(\?)*$""), """", PROPER(SUBSTITUTE(SUBSTITUTE(G356, ""?"", """"), ""*"", """")))"),"Apple Bath Sponge")</f>
        <v>Apple Bath Sponge</v>
      </c>
      <c r="I356" s="3">
        <v>1.0</v>
      </c>
      <c r="J356" s="7">
        <v>40513.472916666666</v>
      </c>
      <c r="K356" s="8" t="str">
        <f t="shared" si="4"/>
        <v>2010-12</v>
      </c>
      <c r="L356" s="5">
        <v>1.25</v>
      </c>
      <c r="M356" s="3">
        <v>15862.0</v>
      </c>
      <c r="N356" s="1" t="str">
        <f t="shared" si="5"/>
        <v>Registered</v>
      </c>
      <c r="O356" s="1" t="s">
        <v>19</v>
      </c>
      <c r="P356" s="9" t="str">
        <f t="shared" si="6"/>
        <v>UK</v>
      </c>
      <c r="Q356" s="8">
        <f t="shared" si="7"/>
        <v>1.25</v>
      </c>
    </row>
    <row r="357">
      <c r="A357" s="1">
        <v>536401.0</v>
      </c>
      <c r="B357" s="1" t="str">
        <f t="shared" si="1"/>
        <v>536401</v>
      </c>
      <c r="C357" s="1" t="str">
        <f t="shared" si="2"/>
        <v>Sale</v>
      </c>
      <c r="D357" s="1">
        <v>20961.0</v>
      </c>
      <c r="E357" s="1" t="str">
        <f>IFERROR(__xludf.DUMMYFUNCTION("IF(LEN(D357)&gt;4, IFERROR(REGEXEXTRACT(TO_TEXT(D357),""\d+""),""""),"""")"),"20961")</f>
        <v>20961</v>
      </c>
      <c r="F357" s="6" t="str">
        <f t="shared" si="3"/>
        <v>Product</v>
      </c>
      <c r="G357" s="1" t="s">
        <v>309</v>
      </c>
      <c r="H357" s="6" t="str">
        <f>IFERROR(__xludf.DUMMYFUNCTION("IF(REGEXMATCH(LOWER(G357), ""^(\?)+\s*(missing)?\s*(\?)*$""), """", PROPER(SUBSTITUTE(SUBSTITUTE(G357, ""?"", """"), ""*"", """")))"),"Strawberry Bath Sponge")</f>
        <v>Strawberry Bath Sponge</v>
      </c>
      <c r="I357" s="3">
        <v>1.0</v>
      </c>
      <c r="J357" s="7">
        <v>40513.472916666666</v>
      </c>
      <c r="K357" s="8" t="str">
        <f t="shared" si="4"/>
        <v>2010-12</v>
      </c>
      <c r="L357" s="5">
        <v>1.25</v>
      </c>
      <c r="M357" s="3">
        <v>15862.0</v>
      </c>
      <c r="N357" s="1" t="str">
        <f t="shared" si="5"/>
        <v>Registered</v>
      </c>
      <c r="O357" s="1" t="s">
        <v>19</v>
      </c>
      <c r="P357" s="9" t="str">
        <f t="shared" si="6"/>
        <v>UK</v>
      </c>
      <c r="Q357" s="8">
        <f t="shared" si="7"/>
        <v>1.25</v>
      </c>
    </row>
    <row r="358">
      <c r="A358" s="1">
        <v>536401.0</v>
      </c>
      <c r="B358" s="1" t="str">
        <f t="shared" si="1"/>
        <v>536401</v>
      </c>
      <c r="C358" s="1" t="str">
        <f t="shared" si="2"/>
        <v>Sale</v>
      </c>
      <c r="D358" s="1">
        <v>22068.0</v>
      </c>
      <c r="E358" s="1" t="str">
        <f>IFERROR(__xludf.DUMMYFUNCTION("IF(LEN(D358)&gt;4, IFERROR(REGEXEXTRACT(TO_TEXT(D358),""\d+""),""""),"""")"),"22068")</f>
        <v>22068</v>
      </c>
      <c r="F358" s="6" t="str">
        <f t="shared" si="3"/>
        <v>Product</v>
      </c>
      <c r="G358" s="1" t="s">
        <v>310</v>
      </c>
      <c r="H358" s="6" t="str">
        <f>IFERROR(__xludf.DUMMYFUNCTION("IF(REGEXMATCH(LOWER(G358), ""^(\?)+\s*(missing)?\s*(\?)*$""), """", PROPER(SUBSTITUTE(SUBSTITUTE(G358, ""?"", """"), ""*"", """")))"),"Black Pirate Treasure Chest")</f>
        <v>Black Pirate Treasure Chest</v>
      </c>
      <c r="I358" s="3">
        <v>2.0</v>
      </c>
      <c r="J358" s="7">
        <v>40513.472916666666</v>
      </c>
      <c r="K358" s="8" t="str">
        <f t="shared" si="4"/>
        <v>2010-12</v>
      </c>
      <c r="L358" s="5">
        <v>1.65</v>
      </c>
      <c r="M358" s="3">
        <v>15862.0</v>
      </c>
      <c r="N358" s="1" t="str">
        <f t="shared" si="5"/>
        <v>Registered</v>
      </c>
      <c r="O358" s="1" t="s">
        <v>19</v>
      </c>
      <c r="P358" s="9" t="str">
        <f t="shared" si="6"/>
        <v>UK</v>
      </c>
      <c r="Q358" s="8">
        <f t="shared" si="7"/>
        <v>3.3</v>
      </c>
    </row>
    <row r="359">
      <c r="A359" s="1">
        <v>536401.0</v>
      </c>
      <c r="B359" s="1" t="str">
        <f t="shared" si="1"/>
        <v>536401</v>
      </c>
      <c r="C359" s="1" t="str">
        <f t="shared" si="2"/>
        <v>Sale</v>
      </c>
      <c r="D359" s="1">
        <v>21743.0</v>
      </c>
      <c r="E359" s="1" t="str">
        <f>IFERROR(__xludf.DUMMYFUNCTION("IF(LEN(D359)&gt;4, IFERROR(REGEXEXTRACT(TO_TEXT(D359),""\d+""),""""),"""")"),"21743")</f>
        <v>21743</v>
      </c>
      <c r="F359" s="6" t="str">
        <f t="shared" si="3"/>
        <v>Product</v>
      </c>
      <c r="G359" s="1" t="s">
        <v>311</v>
      </c>
      <c r="H359" s="6" t="str">
        <f>IFERROR(__xludf.DUMMYFUNCTION("IF(REGEXMATCH(LOWER(G359), ""^(\?)+\s*(missing)?\s*(\?)*$""), """", PROPER(SUBSTITUTE(SUBSTITUTE(G359, ""?"", """"), ""*"", """")))"),"Star Portable Table Light")</f>
        <v>Star Portable Table Light</v>
      </c>
      <c r="I359" s="3">
        <v>2.0</v>
      </c>
      <c r="J359" s="7">
        <v>40513.472916666666</v>
      </c>
      <c r="K359" s="8" t="str">
        <f t="shared" si="4"/>
        <v>2010-12</v>
      </c>
      <c r="L359" s="5">
        <v>2.95</v>
      </c>
      <c r="M359" s="3">
        <v>15862.0</v>
      </c>
      <c r="N359" s="1" t="str">
        <f t="shared" si="5"/>
        <v>Registered</v>
      </c>
      <c r="O359" s="1" t="s">
        <v>19</v>
      </c>
      <c r="P359" s="9" t="str">
        <f t="shared" si="6"/>
        <v>UK</v>
      </c>
      <c r="Q359" s="8">
        <f t="shared" si="7"/>
        <v>5.9</v>
      </c>
    </row>
    <row r="360">
      <c r="A360" s="1">
        <v>536401.0</v>
      </c>
      <c r="B360" s="1" t="str">
        <f t="shared" si="1"/>
        <v>536401</v>
      </c>
      <c r="C360" s="1" t="str">
        <f t="shared" si="2"/>
        <v>Sale</v>
      </c>
      <c r="D360" s="1">
        <v>21744.0</v>
      </c>
      <c r="E360" s="1" t="str">
        <f>IFERROR(__xludf.DUMMYFUNCTION("IF(LEN(D360)&gt;4, IFERROR(REGEXEXTRACT(TO_TEXT(D360),""\d+""),""""),"""")"),"21744")</f>
        <v>21744</v>
      </c>
      <c r="F360" s="6" t="str">
        <f t="shared" si="3"/>
        <v>Product</v>
      </c>
      <c r="G360" s="1" t="s">
        <v>312</v>
      </c>
      <c r="H360" s="6" t="str">
        <f>IFERROR(__xludf.DUMMYFUNCTION("IF(REGEXMATCH(LOWER(G360), ""^(\?)+\s*(missing)?\s*(\?)*$""), """", PROPER(SUBSTITUTE(SUBSTITUTE(G360, ""?"", """"), ""*"", """")))"),"Snowflake Portable Table Light")</f>
        <v>Snowflake Portable Table Light</v>
      </c>
      <c r="I360" s="3">
        <v>2.0</v>
      </c>
      <c r="J360" s="7">
        <v>40513.472916666666</v>
      </c>
      <c r="K360" s="8" t="str">
        <f t="shared" si="4"/>
        <v>2010-12</v>
      </c>
      <c r="L360" s="5">
        <v>2.95</v>
      </c>
      <c r="M360" s="3">
        <v>15862.0</v>
      </c>
      <c r="N360" s="1" t="str">
        <f t="shared" si="5"/>
        <v>Registered</v>
      </c>
      <c r="O360" s="1" t="s">
        <v>19</v>
      </c>
      <c r="P360" s="9" t="str">
        <f t="shared" si="6"/>
        <v>UK</v>
      </c>
      <c r="Q360" s="8">
        <f t="shared" si="7"/>
        <v>5.9</v>
      </c>
    </row>
    <row r="361">
      <c r="A361" s="1">
        <v>536401.0</v>
      </c>
      <c r="B361" s="1" t="str">
        <f t="shared" si="1"/>
        <v>536401</v>
      </c>
      <c r="C361" s="1" t="str">
        <f t="shared" si="2"/>
        <v>Sale</v>
      </c>
      <c r="D361" s="1" t="s">
        <v>313</v>
      </c>
      <c r="E361" s="1" t="str">
        <f>IFERROR(__xludf.DUMMYFUNCTION("IF(LEN(D361)&gt;4, IFERROR(REGEXEXTRACT(TO_TEXT(D361),""\d+""),""""),"""")"),"84709")</f>
        <v>84709</v>
      </c>
      <c r="F361" s="6" t="str">
        <f t="shared" si="3"/>
        <v>Product</v>
      </c>
      <c r="G361" s="1" t="s">
        <v>314</v>
      </c>
      <c r="H361" s="6" t="str">
        <f>IFERROR(__xludf.DUMMYFUNCTION("IF(REGEXMATCH(LOWER(G361), ""^(\?)+\s*(missing)?\s*(\?)*$""), """", PROPER(SUBSTITUTE(SUBSTITUTE(G361, ""?"", """"), ""*"", """")))"),"Pink Oval Jewelled Mirror")</f>
        <v>Pink Oval Jewelled Mirror</v>
      </c>
      <c r="I361" s="3">
        <v>1.0</v>
      </c>
      <c r="J361" s="7">
        <v>40513.472916666666</v>
      </c>
      <c r="K361" s="8" t="str">
        <f t="shared" si="4"/>
        <v>2010-12</v>
      </c>
      <c r="L361" s="5">
        <v>5.95</v>
      </c>
      <c r="M361" s="3">
        <v>15862.0</v>
      </c>
      <c r="N361" s="1" t="str">
        <f t="shared" si="5"/>
        <v>Registered</v>
      </c>
      <c r="O361" s="1" t="s">
        <v>19</v>
      </c>
      <c r="P361" s="9" t="str">
        <f t="shared" si="6"/>
        <v>UK</v>
      </c>
      <c r="Q361" s="8">
        <f t="shared" si="7"/>
        <v>5.95</v>
      </c>
    </row>
    <row r="362">
      <c r="A362" s="1">
        <v>536401.0</v>
      </c>
      <c r="B362" s="1" t="str">
        <f t="shared" si="1"/>
        <v>536401</v>
      </c>
      <c r="C362" s="1" t="str">
        <f t="shared" si="2"/>
        <v>Sale</v>
      </c>
      <c r="D362" s="1">
        <v>21592.0</v>
      </c>
      <c r="E362" s="1" t="str">
        <f>IFERROR(__xludf.DUMMYFUNCTION("IF(LEN(D362)&gt;4, IFERROR(REGEXEXTRACT(TO_TEXT(D362),""\d+""),""""),"""")"),"21592")</f>
        <v>21592</v>
      </c>
      <c r="F362" s="6" t="str">
        <f t="shared" si="3"/>
        <v>Product</v>
      </c>
      <c r="G362" s="1" t="s">
        <v>315</v>
      </c>
      <c r="H362" s="6" t="str">
        <f>IFERROR(__xludf.DUMMYFUNCTION("IF(REGEXMATCH(LOWER(G362), ""^(\?)+\s*(missing)?\s*(\?)*$""), """", PROPER(SUBSTITUTE(SUBSTITUTE(G362, ""?"", """"), ""*"", """")))"),"Retrospot Cigar Box Matches")</f>
        <v>Retrospot Cigar Box Matches</v>
      </c>
      <c r="I362" s="3">
        <v>1.0</v>
      </c>
      <c r="J362" s="7">
        <v>40513.472916666666</v>
      </c>
      <c r="K362" s="8" t="str">
        <f t="shared" si="4"/>
        <v>2010-12</v>
      </c>
      <c r="L362" s="5">
        <v>1.25</v>
      </c>
      <c r="M362" s="3">
        <v>15862.0</v>
      </c>
      <c r="N362" s="1" t="str">
        <f t="shared" si="5"/>
        <v>Registered</v>
      </c>
      <c r="O362" s="1" t="s">
        <v>19</v>
      </c>
      <c r="P362" s="9" t="str">
        <f t="shared" si="6"/>
        <v>UK</v>
      </c>
      <c r="Q362" s="8">
        <f t="shared" si="7"/>
        <v>1.25</v>
      </c>
    </row>
    <row r="363">
      <c r="A363" s="1">
        <v>536401.0</v>
      </c>
      <c r="B363" s="1" t="str">
        <f t="shared" si="1"/>
        <v>536401</v>
      </c>
      <c r="C363" s="1" t="str">
        <f t="shared" si="2"/>
        <v>Sale</v>
      </c>
      <c r="D363" s="1">
        <v>21587.0</v>
      </c>
      <c r="E363" s="1" t="str">
        <f>IFERROR(__xludf.DUMMYFUNCTION("IF(LEN(D363)&gt;4, IFERROR(REGEXEXTRACT(TO_TEXT(D363),""\d+""),""""),"""")"),"21587")</f>
        <v>21587</v>
      </c>
      <c r="F363" s="6" t="str">
        <f t="shared" si="3"/>
        <v>Product</v>
      </c>
      <c r="G363" s="1" t="s">
        <v>316</v>
      </c>
      <c r="H363" s="6" t="str">
        <f>IFERROR(__xludf.DUMMYFUNCTION("IF(REGEXMATCH(LOWER(G363), ""^(\?)+\s*(missing)?\s*(\?)*$""), """", PROPER(SUBSTITUTE(SUBSTITUTE(G363, ""?"", """"), ""*"", """")))"),"Cosy Hour Giant Tube Matches")</f>
        <v>Cosy Hour Giant Tube Matches</v>
      </c>
      <c r="I363" s="3">
        <v>2.0</v>
      </c>
      <c r="J363" s="7">
        <v>40513.472916666666</v>
      </c>
      <c r="K363" s="8" t="str">
        <f t="shared" si="4"/>
        <v>2010-12</v>
      </c>
      <c r="L363" s="5">
        <v>2.55</v>
      </c>
      <c r="M363" s="3">
        <v>15862.0</v>
      </c>
      <c r="N363" s="1" t="str">
        <f t="shared" si="5"/>
        <v>Registered</v>
      </c>
      <c r="O363" s="1" t="s">
        <v>19</v>
      </c>
      <c r="P363" s="9" t="str">
        <f t="shared" si="6"/>
        <v>UK</v>
      </c>
      <c r="Q363" s="8">
        <f t="shared" si="7"/>
        <v>5.1</v>
      </c>
    </row>
    <row r="364">
      <c r="A364" s="1">
        <v>536401.0</v>
      </c>
      <c r="B364" s="1" t="str">
        <f t="shared" si="1"/>
        <v>536401</v>
      </c>
      <c r="C364" s="1" t="str">
        <f t="shared" si="2"/>
        <v>Sale</v>
      </c>
      <c r="D364" s="1">
        <v>20992.0</v>
      </c>
      <c r="E364" s="1" t="str">
        <f>IFERROR(__xludf.DUMMYFUNCTION("IF(LEN(D364)&gt;4, IFERROR(REGEXEXTRACT(TO_TEXT(D364),""\d+""),""""),"""")"),"20992")</f>
        <v>20992</v>
      </c>
      <c r="F364" s="6" t="str">
        <f t="shared" si="3"/>
        <v>Product</v>
      </c>
      <c r="G364" s="1" t="s">
        <v>317</v>
      </c>
      <c r="H364" s="6" t="str">
        <f>IFERROR(__xludf.DUMMYFUNCTION("IF(REGEXMATCH(LOWER(G364), ""^(\?)+\s*(missing)?\s*(\?)*$""), """", PROPER(SUBSTITUTE(SUBSTITUTE(G364, ""?"", """"), ""*"", """")))"),"Jazz Hearts Purse Notebook")</f>
        <v>Jazz Hearts Purse Notebook</v>
      </c>
      <c r="I364" s="3">
        <v>9.0</v>
      </c>
      <c r="J364" s="7">
        <v>40513.472916666666</v>
      </c>
      <c r="K364" s="8" t="str">
        <f t="shared" si="4"/>
        <v>2010-12</v>
      </c>
      <c r="L364" s="5">
        <v>0.85</v>
      </c>
      <c r="M364" s="3">
        <v>15862.0</v>
      </c>
      <c r="N364" s="1" t="str">
        <f t="shared" si="5"/>
        <v>Registered</v>
      </c>
      <c r="O364" s="1" t="s">
        <v>19</v>
      </c>
      <c r="P364" s="9" t="str">
        <f t="shared" si="6"/>
        <v>UK</v>
      </c>
      <c r="Q364" s="8">
        <f t="shared" si="7"/>
        <v>7.65</v>
      </c>
    </row>
    <row r="365">
      <c r="A365" s="1">
        <v>536401.0</v>
      </c>
      <c r="B365" s="1" t="str">
        <f t="shared" si="1"/>
        <v>536401</v>
      </c>
      <c r="C365" s="1" t="str">
        <f t="shared" si="2"/>
        <v>Sale</v>
      </c>
      <c r="D365" s="1">
        <v>22662.0</v>
      </c>
      <c r="E365" s="1" t="str">
        <f>IFERROR(__xludf.DUMMYFUNCTION("IF(LEN(D365)&gt;4, IFERROR(REGEXEXTRACT(TO_TEXT(D365),""\d+""),""""),"""")"),"22662")</f>
        <v>22662</v>
      </c>
      <c r="F365" s="6" t="str">
        <f t="shared" si="3"/>
        <v>Product</v>
      </c>
      <c r="G365" s="1" t="s">
        <v>179</v>
      </c>
      <c r="H365" s="6" t="str">
        <f>IFERROR(__xludf.DUMMYFUNCTION("IF(REGEXMATCH(LOWER(G365), ""^(\?)+\s*(missing)?\s*(\?)*$""), """", PROPER(SUBSTITUTE(SUBSTITUTE(G365, ""?"", """"), ""*"", """")))"),"Lunch Bag Dolly Girl Design")</f>
        <v>Lunch Bag Dolly Girl Design</v>
      </c>
      <c r="I365" s="3">
        <v>1.0</v>
      </c>
      <c r="J365" s="7">
        <v>40513.472916666666</v>
      </c>
      <c r="K365" s="8" t="str">
        <f t="shared" si="4"/>
        <v>2010-12</v>
      </c>
      <c r="L365" s="5">
        <v>1.65</v>
      </c>
      <c r="M365" s="3">
        <v>15862.0</v>
      </c>
      <c r="N365" s="1" t="str">
        <f t="shared" si="5"/>
        <v>Registered</v>
      </c>
      <c r="O365" s="1" t="s">
        <v>19</v>
      </c>
      <c r="P365" s="9" t="str">
        <f t="shared" si="6"/>
        <v>UK</v>
      </c>
      <c r="Q365" s="8">
        <f t="shared" si="7"/>
        <v>1.65</v>
      </c>
    </row>
    <row r="366">
      <c r="A366" s="1">
        <v>536401.0</v>
      </c>
      <c r="B366" s="1" t="str">
        <f t="shared" si="1"/>
        <v>536401</v>
      </c>
      <c r="C366" s="1" t="str">
        <f t="shared" si="2"/>
        <v>Sale</v>
      </c>
      <c r="D366" s="1" t="s">
        <v>17</v>
      </c>
      <c r="E366" s="1" t="str">
        <f>IFERROR(__xludf.DUMMYFUNCTION("IF(LEN(D366)&gt;4, IFERROR(REGEXEXTRACT(TO_TEXT(D366),""\d+""),""""),"""")"),"85123")</f>
        <v>85123</v>
      </c>
      <c r="F366" s="6" t="str">
        <f t="shared" si="3"/>
        <v>Product</v>
      </c>
      <c r="G366" s="1" t="s">
        <v>18</v>
      </c>
      <c r="H366" s="6" t="str">
        <f>IFERROR(__xludf.DUMMYFUNCTION("IF(REGEXMATCH(LOWER(G366), ""^(\?)+\s*(missing)?\s*(\?)*$""), """", PROPER(SUBSTITUTE(SUBSTITUTE(G366, ""?"", """"), ""*"", """")))"),"White Hanging Heart T-Light Holder")</f>
        <v>White Hanging Heart T-Light Holder</v>
      </c>
      <c r="I366" s="3">
        <v>4.0</v>
      </c>
      <c r="J366" s="7">
        <v>40513.472916666666</v>
      </c>
      <c r="K366" s="8" t="str">
        <f t="shared" si="4"/>
        <v>2010-12</v>
      </c>
      <c r="L366" s="5">
        <v>2.95</v>
      </c>
      <c r="M366" s="3">
        <v>15862.0</v>
      </c>
      <c r="N366" s="1" t="str">
        <f t="shared" si="5"/>
        <v>Registered</v>
      </c>
      <c r="O366" s="1" t="s">
        <v>19</v>
      </c>
      <c r="P366" s="9" t="str">
        <f t="shared" si="6"/>
        <v>UK</v>
      </c>
      <c r="Q366" s="8">
        <f t="shared" si="7"/>
        <v>11.8</v>
      </c>
    </row>
    <row r="367">
      <c r="A367" s="1">
        <v>536401.0</v>
      </c>
      <c r="B367" s="1" t="str">
        <f t="shared" si="1"/>
        <v>536401</v>
      </c>
      <c r="C367" s="1" t="str">
        <f t="shared" si="2"/>
        <v>Sale</v>
      </c>
      <c r="D367" s="1">
        <v>22804.0</v>
      </c>
      <c r="E367" s="1" t="str">
        <f>IFERROR(__xludf.DUMMYFUNCTION("IF(LEN(D367)&gt;4, IFERROR(REGEXEXTRACT(TO_TEXT(D367),""\d+""),""""),"""")"),"22804")</f>
        <v>22804</v>
      </c>
      <c r="F367" s="6" t="str">
        <f t="shared" si="3"/>
        <v>Product</v>
      </c>
      <c r="G367" s="1" t="s">
        <v>318</v>
      </c>
      <c r="H367" s="6" t="str">
        <f>IFERROR(__xludf.DUMMYFUNCTION("IF(REGEXMATCH(LOWER(G367), ""^(\?)+\s*(missing)?\s*(\?)*$""), """", PROPER(SUBSTITUTE(SUBSTITUTE(G367, ""?"", """"), ""*"", """")))"),"Candleholder Pink Hanging Heart")</f>
        <v>Candleholder Pink Hanging Heart</v>
      </c>
      <c r="I367" s="3">
        <v>3.0</v>
      </c>
      <c r="J367" s="7">
        <v>40513.472916666666</v>
      </c>
      <c r="K367" s="8" t="str">
        <f t="shared" si="4"/>
        <v>2010-12</v>
      </c>
      <c r="L367" s="5">
        <v>2.95</v>
      </c>
      <c r="M367" s="3">
        <v>15862.0</v>
      </c>
      <c r="N367" s="1" t="str">
        <f t="shared" si="5"/>
        <v>Registered</v>
      </c>
      <c r="O367" s="1" t="s">
        <v>19</v>
      </c>
      <c r="P367" s="9" t="str">
        <f t="shared" si="6"/>
        <v>UK</v>
      </c>
      <c r="Q367" s="8">
        <f t="shared" si="7"/>
        <v>8.85</v>
      </c>
    </row>
    <row r="368">
      <c r="A368" s="1">
        <v>536401.0</v>
      </c>
      <c r="B368" s="1" t="str">
        <f t="shared" si="1"/>
        <v>536401</v>
      </c>
      <c r="C368" s="1" t="str">
        <f t="shared" si="2"/>
        <v>Sale</v>
      </c>
      <c r="D368" s="1">
        <v>82483.0</v>
      </c>
      <c r="E368" s="1" t="str">
        <f>IFERROR(__xludf.DUMMYFUNCTION("IF(LEN(D368)&gt;4, IFERROR(REGEXEXTRACT(TO_TEXT(D368),""\d+""),""""),"""")"),"82483")</f>
        <v>82483</v>
      </c>
      <c r="F368" s="6" t="str">
        <f t="shared" si="3"/>
        <v>Product</v>
      </c>
      <c r="G368" s="1" t="s">
        <v>76</v>
      </c>
      <c r="H368" s="6" t="str">
        <f>IFERROR(__xludf.DUMMYFUNCTION("IF(REGEXMATCH(LOWER(G368), ""^(\?)+\s*(missing)?\s*(\?)*$""), """", PROPER(SUBSTITUTE(SUBSTITUTE(G368, ""?"", """"), ""*"", """")))"),"Wood 2 Drawer Cabinet White Finish")</f>
        <v>Wood 2 Drawer Cabinet White Finish</v>
      </c>
      <c r="I368" s="3">
        <v>1.0</v>
      </c>
      <c r="J368" s="7">
        <v>40513.472916666666</v>
      </c>
      <c r="K368" s="8" t="str">
        <f t="shared" si="4"/>
        <v>2010-12</v>
      </c>
      <c r="L368" s="5">
        <v>5.95</v>
      </c>
      <c r="M368" s="3">
        <v>15862.0</v>
      </c>
      <c r="N368" s="1" t="str">
        <f t="shared" si="5"/>
        <v>Registered</v>
      </c>
      <c r="O368" s="1" t="s">
        <v>19</v>
      </c>
      <c r="P368" s="9" t="str">
        <f t="shared" si="6"/>
        <v>UK</v>
      </c>
      <c r="Q368" s="8">
        <f t="shared" si="7"/>
        <v>5.95</v>
      </c>
    </row>
    <row r="369">
      <c r="A369" s="1">
        <v>536401.0</v>
      </c>
      <c r="B369" s="1" t="str">
        <f t="shared" si="1"/>
        <v>536401</v>
      </c>
      <c r="C369" s="1" t="str">
        <f t="shared" si="2"/>
        <v>Sale</v>
      </c>
      <c r="D369" s="1">
        <v>20749.0</v>
      </c>
      <c r="E369" s="1" t="str">
        <f>IFERROR(__xludf.DUMMYFUNCTION("IF(LEN(D369)&gt;4, IFERROR(REGEXEXTRACT(TO_TEXT(D369),""\d+""),""""),"""")"),"20749")</f>
        <v>20749</v>
      </c>
      <c r="F369" s="6" t="str">
        <f t="shared" si="3"/>
        <v>Product</v>
      </c>
      <c r="G369" s="1" t="s">
        <v>319</v>
      </c>
      <c r="H369" s="6" t="str">
        <f>IFERROR(__xludf.DUMMYFUNCTION("IF(REGEXMATCH(LOWER(G369), ""^(\?)+\s*(missing)?\s*(\?)*$""), """", PROPER(SUBSTITUTE(SUBSTITUTE(G369, ""?"", """"), ""*"", """")))"),"Assorted Colour Mini Cases")</f>
        <v>Assorted Colour Mini Cases</v>
      </c>
      <c r="I369" s="3">
        <v>1.0</v>
      </c>
      <c r="J369" s="7">
        <v>40513.472916666666</v>
      </c>
      <c r="K369" s="8" t="str">
        <f t="shared" si="4"/>
        <v>2010-12</v>
      </c>
      <c r="L369" s="5">
        <v>7.95</v>
      </c>
      <c r="M369" s="3">
        <v>15862.0</v>
      </c>
      <c r="N369" s="1" t="str">
        <f t="shared" si="5"/>
        <v>Registered</v>
      </c>
      <c r="O369" s="1" t="s">
        <v>19</v>
      </c>
      <c r="P369" s="9" t="str">
        <f t="shared" si="6"/>
        <v>UK</v>
      </c>
      <c r="Q369" s="8">
        <f t="shared" si="7"/>
        <v>7.95</v>
      </c>
    </row>
    <row r="370">
      <c r="A370" s="1">
        <v>536401.0</v>
      </c>
      <c r="B370" s="1" t="str">
        <f t="shared" si="1"/>
        <v>536401</v>
      </c>
      <c r="C370" s="1" t="str">
        <f t="shared" si="2"/>
        <v>Sale</v>
      </c>
      <c r="D370" s="1">
        <v>20725.0</v>
      </c>
      <c r="E370" s="1" t="str">
        <f>IFERROR(__xludf.DUMMYFUNCTION("IF(LEN(D370)&gt;4, IFERROR(REGEXEXTRACT(TO_TEXT(D370),""\d+""),""""),"""")"),"20725")</f>
        <v>20725</v>
      </c>
      <c r="F370" s="6" t="str">
        <f t="shared" si="3"/>
        <v>Product</v>
      </c>
      <c r="G370" s="1" t="s">
        <v>94</v>
      </c>
      <c r="H370" s="6" t="str">
        <f>IFERROR(__xludf.DUMMYFUNCTION("IF(REGEXMATCH(LOWER(G370), ""^(\?)+\s*(missing)?\s*(\?)*$""), """", PROPER(SUBSTITUTE(SUBSTITUTE(G370, ""?"", """"), ""*"", """")))"),"Lunch Bag Red Retrospot")</f>
        <v>Lunch Bag Red Retrospot</v>
      </c>
      <c r="I370" s="3">
        <v>1.0</v>
      </c>
      <c r="J370" s="7">
        <v>40513.472916666666</v>
      </c>
      <c r="K370" s="8" t="str">
        <f t="shared" si="4"/>
        <v>2010-12</v>
      </c>
      <c r="L370" s="5">
        <v>1.65</v>
      </c>
      <c r="M370" s="3">
        <v>15862.0</v>
      </c>
      <c r="N370" s="1" t="str">
        <f t="shared" si="5"/>
        <v>Registered</v>
      </c>
      <c r="O370" s="1" t="s">
        <v>19</v>
      </c>
      <c r="P370" s="9" t="str">
        <f t="shared" si="6"/>
        <v>UK</v>
      </c>
      <c r="Q370" s="8">
        <f t="shared" si="7"/>
        <v>1.65</v>
      </c>
    </row>
    <row r="371">
      <c r="A371" s="1">
        <v>536401.0</v>
      </c>
      <c r="B371" s="1" t="str">
        <f t="shared" si="1"/>
        <v>536401</v>
      </c>
      <c r="C371" s="1" t="str">
        <f t="shared" si="2"/>
        <v>Sale</v>
      </c>
      <c r="D371" s="1">
        <v>22382.0</v>
      </c>
      <c r="E371" s="1" t="str">
        <f>IFERROR(__xludf.DUMMYFUNCTION("IF(LEN(D371)&gt;4, IFERROR(REGEXEXTRACT(TO_TEXT(D371),""\d+""),""""),"""")"),"22382")</f>
        <v>22382</v>
      </c>
      <c r="F371" s="6" t="str">
        <f t="shared" si="3"/>
        <v>Product</v>
      </c>
      <c r="G371" s="1" t="s">
        <v>320</v>
      </c>
      <c r="H371" s="6" t="str">
        <f>IFERROR(__xludf.DUMMYFUNCTION("IF(REGEXMATCH(LOWER(G371), ""^(\?)+\s*(missing)?\s*(\?)*$""), """", PROPER(SUBSTITUTE(SUBSTITUTE(G371, ""?"", """"), ""*"", """")))"),"Lunch Bag Spaceboy Design")</f>
        <v>Lunch Bag Spaceboy Design</v>
      </c>
      <c r="I371" s="3">
        <v>2.0</v>
      </c>
      <c r="J371" s="7">
        <v>40513.472916666666</v>
      </c>
      <c r="K371" s="8" t="str">
        <f t="shared" si="4"/>
        <v>2010-12</v>
      </c>
      <c r="L371" s="5">
        <v>1.65</v>
      </c>
      <c r="M371" s="3">
        <v>15862.0</v>
      </c>
      <c r="N371" s="1" t="str">
        <f t="shared" si="5"/>
        <v>Registered</v>
      </c>
      <c r="O371" s="1" t="s">
        <v>19</v>
      </c>
      <c r="P371" s="9" t="str">
        <f t="shared" si="6"/>
        <v>UK</v>
      </c>
      <c r="Q371" s="8">
        <f t="shared" si="7"/>
        <v>3.3</v>
      </c>
    </row>
    <row r="372">
      <c r="A372" s="1">
        <v>536401.0</v>
      </c>
      <c r="B372" s="1" t="str">
        <f t="shared" si="1"/>
        <v>536401</v>
      </c>
      <c r="C372" s="1" t="str">
        <f t="shared" si="2"/>
        <v>Sale</v>
      </c>
      <c r="D372" s="1">
        <v>20726.0</v>
      </c>
      <c r="E372" s="1" t="str">
        <f>IFERROR(__xludf.DUMMYFUNCTION("IF(LEN(D372)&gt;4, IFERROR(REGEXEXTRACT(TO_TEXT(D372),""\d+""),""""),"""")"),"20726")</f>
        <v>20726</v>
      </c>
      <c r="F372" s="6" t="str">
        <f t="shared" si="3"/>
        <v>Product</v>
      </c>
      <c r="G372" s="1" t="s">
        <v>321</v>
      </c>
      <c r="H372" s="6" t="str">
        <f>IFERROR(__xludf.DUMMYFUNCTION("IF(REGEXMATCH(LOWER(G372), ""^(\?)+\s*(missing)?\s*(\?)*$""), """", PROPER(SUBSTITUTE(SUBSTITUTE(G372, ""?"", """"), ""*"", """")))"),"Lunch Bag Woodland")</f>
        <v>Lunch Bag Woodland</v>
      </c>
      <c r="I372" s="3">
        <v>1.0</v>
      </c>
      <c r="J372" s="7">
        <v>40513.472916666666</v>
      </c>
      <c r="K372" s="8" t="str">
        <f t="shared" si="4"/>
        <v>2010-12</v>
      </c>
      <c r="L372" s="5">
        <v>1.65</v>
      </c>
      <c r="M372" s="3">
        <v>15862.0</v>
      </c>
      <c r="N372" s="1" t="str">
        <f t="shared" si="5"/>
        <v>Registered</v>
      </c>
      <c r="O372" s="1" t="s">
        <v>19</v>
      </c>
      <c r="P372" s="9" t="str">
        <f t="shared" si="6"/>
        <v>UK</v>
      </c>
      <c r="Q372" s="8">
        <f t="shared" si="7"/>
        <v>1.65</v>
      </c>
    </row>
    <row r="373">
      <c r="A373" s="1">
        <v>536401.0</v>
      </c>
      <c r="B373" s="1" t="str">
        <f t="shared" si="1"/>
        <v>536401</v>
      </c>
      <c r="C373" s="1" t="str">
        <f t="shared" si="2"/>
        <v>Sale</v>
      </c>
      <c r="D373" s="1">
        <v>22384.0</v>
      </c>
      <c r="E373" s="1" t="str">
        <f>IFERROR(__xludf.DUMMYFUNCTION("IF(LEN(D373)&gt;4, IFERROR(REGEXEXTRACT(TO_TEXT(D373),""\d+""),""""),"""")"),"22384")</f>
        <v>22384</v>
      </c>
      <c r="F373" s="6" t="str">
        <f t="shared" si="3"/>
        <v>Product</v>
      </c>
      <c r="G373" s="1" t="s">
        <v>322</v>
      </c>
      <c r="H373" s="6" t="str">
        <f>IFERROR(__xludf.DUMMYFUNCTION("IF(REGEXMATCH(LOWER(G373), ""^(\?)+\s*(missing)?\s*(\?)*$""), """", PROPER(SUBSTITUTE(SUBSTITUTE(G373, ""?"", """"), ""*"", """")))"),"Lunch Bag Pink Polkadot")</f>
        <v>Lunch Bag Pink Polkadot</v>
      </c>
      <c r="I373" s="3">
        <v>1.0</v>
      </c>
      <c r="J373" s="7">
        <v>40513.472916666666</v>
      </c>
      <c r="K373" s="8" t="str">
        <f t="shared" si="4"/>
        <v>2010-12</v>
      </c>
      <c r="L373" s="5">
        <v>1.65</v>
      </c>
      <c r="M373" s="3">
        <v>15862.0</v>
      </c>
      <c r="N373" s="1" t="str">
        <f t="shared" si="5"/>
        <v>Registered</v>
      </c>
      <c r="O373" s="1" t="s">
        <v>19</v>
      </c>
      <c r="P373" s="9" t="str">
        <f t="shared" si="6"/>
        <v>UK</v>
      </c>
      <c r="Q373" s="8">
        <f t="shared" si="7"/>
        <v>1.65</v>
      </c>
    </row>
    <row r="374">
      <c r="A374" s="1">
        <v>536401.0</v>
      </c>
      <c r="B374" s="1" t="str">
        <f t="shared" si="1"/>
        <v>536401</v>
      </c>
      <c r="C374" s="1" t="str">
        <f t="shared" si="2"/>
        <v>Sale</v>
      </c>
      <c r="D374" s="1">
        <v>22467.0</v>
      </c>
      <c r="E374" s="1" t="str">
        <f>IFERROR(__xludf.DUMMYFUNCTION("IF(LEN(D374)&gt;4, IFERROR(REGEXEXTRACT(TO_TEXT(D374),""\d+""),""""),"""")"),"22467")</f>
        <v>22467</v>
      </c>
      <c r="F374" s="6" t="str">
        <f t="shared" si="3"/>
        <v>Product</v>
      </c>
      <c r="G374" s="1" t="s">
        <v>323</v>
      </c>
      <c r="H374" s="6" t="str">
        <f>IFERROR(__xludf.DUMMYFUNCTION("IF(REGEXMATCH(LOWER(G374), ""^(\?)+\s*(missing)?\s*(\?)*$""), """", PROPER(SUBSTITUTE(SUBSTITUTE(G374, ""?"", """"), ""*"", """")))"),"Gumball Coat Rack")</f>
        <v>Gumball Coat Rack</v>
      </c>
      <c r="I374" s="3">
        <v>5.0</v>
      </c>
      <c r="J374" s="7">
        <v>40513.472916666666</v>
      </c>
      <c r="K374" s="8" t="str">
        <f t="shared" si="4"/>
        <v>2010-12</v>
      </c>
      <c r="L374" s="5">
        <v>2.55</v>
      </c>
      <c r="M374" s="3">
        <v>15862.0</v>
      </c>
      <c r="N374" s="1" t="str">
        <f t="shared" si="5"/>
        <v>Registered</v>
      </c>
      <c r="O374" s="1" t="s">
        <v>19</v>
      </c>
      <c r="P374" s="9" t="str">
        <f t="shared" si="6"/>
        <v>UK</v>
      </c>
      <c r="Q374" s="8">
        <f t="shared" si="7"/>
        <v>12.75</v>
      </c>
    </row>
    <row r="375">
      <c r="A375" s="1">
        <v>536401.0</v>
      </c>
      <c r="B375" s="1" t="str">
        <f t="shared" si="1"/>
        <v>536401</v>
      </c>
      <c r="C375" s="1" t="str">
        <f t="shared" si="2"/>
        <v>Sale</v>
      </c>
      <c r="D375" s="1" t="s">
        <v>324</v>
      </c>
      <c r="E375" s="1" t="str">
        <f>IFERROR(__xludf.DUMMYFUNCTION("IF(LEN(D375)&gt;4, IFERROR(REGEXEXTRACT(TO_TEXT(D375),""\d+""),""""),"""")"),"84625")</f>
        <v>84625</v>
      </c>
      <c r="F375" s="6" t="str">
        <f t="shared" si="3"/>
        <v>Product</v>
      </c>
      <c r="G375" s="1" t="s">
        <v>325</v>
      </c>
      <c r="H375" s="6" t="str">
        <f>IFERROR(__xludf.DUMMYFUNCTION("IF(REGEXMATCH(LOWER(G375), ""^(\?)+\s*(missing)?\s*(\?)*$""), """", PROPER(SUBSTITUTE(SUBSTITUTE(G375, ""?"", """"), ""*"", """")))"),"Blue New Baroque Candlestick Candle")</f>
        <v>Blue New Baroque Candlestick Candle</v>
      </c>
      <c r="I375" s="3">
        <v>3.0</v>
      </c>
      <c r="J375" s="7">
        <v>40513.472916666666</v>
      </c>
      <c r="K375" s="8" t="str">
        <f t="shared" si="4"/>
        <v>2010-12</v>
      </c>
      <c r="L375" s="5">
        <v>2.95</v>
      </c>
      <c r="M375" s="3">
        <v>15862.0</v>
      </c>
      <c r="N375" s="1" t="str">
        <f t="shared" si="5"/>
        <v>Registered</v>
      </c>
      <c r="O375" s="1" t="s">
        <v>19</v>
      </c>
      <c r="P375" s="9" t="str">
        <f t="shared" si="6"/>
        <v>UK</v>
      </c>
      <c r="Q375" s="8">
        <f t="shared" si="7"/>
        <v>8.85</v>
      </c>
    </row>
    <row r="376">
      <c r="A376" s="1">
        <v>536401.0</v>
      </c>
      <c r="B376" s="1" t="str">
        <f t="shared" si="1"/>
        <v>536401</v>
      </c>
      <c r="C376" s="1" t="str">
        <f t="shared" si="2"/>
        <v>Sale</v>
      </c>
      <c r="D376" s="1" t="s">
        <v>326</v>
      </c>
      <c r="E376" s="1" t="str">
        <f>IFERROR(__xludf.DUMMYFUNCTION("IF(LEN(D376)&gt;4, IFERROR(REGEXEXTRACT(TO_TEXT(D376),""\d+""),""""),"""")"),"84625")</f>
        <v>84625</v>
      </c>
      <c r="F376" s="6" t="str">
        <f t="shared" si="3"/>
        <v>Product</v>
      </c>
      <c r="G376" s="1" t="s">
        <v>327</v>
      </c>
      <c r="H376" s="6" t="str">
        <f>IFERROR(__xludf.DUMMYFUNCTION("IF(REGEXMATCH(LOWER(G376), ""^(\?)+\s*(missing)?\s*(\?)*$""), """", PROPER(SUBSTITUTE(SUBSTITUTE(G376, ""?"", """"), ""*"", """")))"),"Pink New Baroquecandlestick Candle")</f>
        <v>Pink New Baroquecandlestick Candle</v>
      </c>
      <c r="I376" s="3">
        <v>3.0</v>
      </c>
      <c r="J376" s="7">
        <v>40513.472916666666</v>
      </c>
      <c r="K376" s="8" t="str">
        <f t="shared" si="4"/>
        <v>2010-12</v>
      </c>
      <c r="L376" s="5">
        <v>2.95</v>
      </c>
      <c r="M376" s="3">
        <v>15862.0</v>
      </c>
      <c r="N376" s="1" t="str">
        <f t="shared" si="5"/>
        <v>Registered</v>
      </c>
      <c r="O376" s="1" t="s">
        <v>19</v>
      </c>
      <c r="P376" s="9" t="str">
        <f t="shared" si="6"/>
        <v>UK</v>
      </c>
      <c r="Q376" s="8">
        <f t="shared" si="7"/>
        <v>8.85</v>
      </c>
    </row>
    <row r="377">
      <c r="A377" s="1">
        <v>536401.0</v>
      </c>
      <c r="B377" s="1" t="str">
        <f t="shared" si="1"/>
        <v>536401</v>
      </c>
      <c r="C377" s="1" t="str">
        <f t="shared" si="2"/>
        <v>Sale</v>
      </c>
      <c r="D377" s="1">
        <v>21108.0</v>
      </c>
      <c r="E377" s="1" t="str">
        <f>IFERROR(__xludf.DUMMYFUNCTION("IF(LEN(D377)&gt;4, IFERROR(REGEXEXTRACT(TO_TEXT(D377),""\d+""),""""),"""")"),"21108")</f>
        <v>21108</v>
      </c>
      <c r="F377" s="6" t="str">
        <f t="shared" si="3"/>
        <v>Product</v>
      </c>
      <c r="G377" s="1" t="s">
        <v>328</v>
      </c>
      <c r="H377" s="6" t="str">
        <f>IFERROR(__xludf.DUMMYFUNCTION("IF(REGEXMATCH(LOWER(G377), ""^(\?)+\s*(missing)?\s*(\?)*$""), """", PROPER(SUBSTITUTE(SUBSTITUTE(G377, ""?"", """"), ""*"", """")))"),"Fairy Cake Flannel Assorted Colour")</f>
        <v>Fairy Cake Flannel Assorted Colour</v>
      </c>
      <c r="I377" s="3">
        <v>9.0</v>
      </c>
      <c r="J377" s="7">
        <v>40513.472916666666</v>
      </c>
      <c r="K377" s="8" t="str">
        <f t="shared" si="4"/>
        <v>2010-12</v>
      </c>
      <c r="L377" s="5">
        <v>2.55</v>
      </c>
      <c r="M377" s="3">
        <v>15862.0</v>
      </c>
      <c r="N377" s="1" t="str">
        <f t="shared" si="5"/>
        <v>Registered</v>
      </c>
      <c r="O377" s="1" t="s">
        <v>19</v>
      </c>
      <c r="P377" s="9" t="str">
        <f t="shared" si="6"/>
        <v>UK</v>
      </c>
      <c r="Q377" s="8">
        <f t="shared" si="7"/>
        <v>22.95</v>
      </c>
    </row>
    <row r="378">
      <c r="A378" s="1">
        <v>536401.0</v>
      </c>
      <c r="B378" s="1" t="str">
        <f t="shared" si="1"/>
        <v>536401</v>
      </c>
      <c r="C378" s="1" t="str">
        <f t="shared" si="2"/>
        <v>Sale</v>
      </c>
      <c r="D378" s="1">
        <v>22848.0</v>
      </c>
      <c r="E378" s="1" t="str">
        <f>IFERROR(__xludf.DUMMYFUNCTION("IF(LEN(D378)&gt;4, IFERROR(REGEXEXTRACT(TO_TEXT(D378),""\d+""),""""),"""")"),"22848")</f>
        <v>22848</v>
      </c>
      <c r="F378" s="6" t="str">
        <f t="shared" si="3"/>
        <v>Product</v>
      </c>
      <c r="G378" s="1" t="s">
        <v>329</v>
      </c>
      <c r="H378" s="6" t="str">
        <f>IFERROR(__xludf.DUMMYFUNCTION("IF(REGEXMATCH(LOWER(G378), ""^(\?)+\s*(missing)?\s*(\?)*$""), """", PROPER(SUBSTITUTE(SUBSTITUTE(G378, ""?"", """"), ""*"", """")))"),"Bread Bin Diner Style Pink")</f>
        <v>Bread Bin Diner Style Pink</v>
      </c>
      <c r="I378" s="3">
        <v>1.0</v>
      </c>
      <c r="J378" s="7">
        <v>40513.472916666666</v>
      </c>
      <c r="K378" s="8" t="str">
        <f t="shared" si="4"/>
        <v>2010-12</v>
      </c>
      <c r="L378" s="5">
        <v>16.95</v>
      </c>
      <c r="M378" s="3">
        <v>15862.0</v>
      </c>
      <c r="N378" s="1" t="str">
        <f t="shared" si="5"/>
        <v>Registered</v>
      </c>
      <c r="O378" s="1" t="s">
        <v>19</v>
      </c>
      <c r="P378" s="9" t="str">
        <f t="shared" si="6"/>
        <v>UK</v>
      </c>
      <c r="Q378" s="8">
        <f t="shared" si="7"/>
        <v>16.95</v>
      </c>
    </row>
    <row r="379">
      <c r="A379" s="1">
        <v>536401.0</v>
      </c>
      <c r="B379" s="1" t="str">
        <f t="shared" si="1"/>
        <v>536401</v>
      </c>
      <c r="C379" s="1" t="str">
        <f t="shared" si="2"/>
        <v>Sale</v>
      </c>
      <c r="D379" s="1">
        <v>21033.0</v>
      </c>
      <c r="E379" s="1" t="str">
        <f>IFERROR(__xludf.DUMMYFUNCTION("IF(LEN(D379)&gt;4, IFERROR(REGEXEXTRACT(TO_TEXT(D379),""\d+""),""""),"""")"),"21033")</f>
        <v>21033</v>
      </c>
      <c r="F379" s="6" t="str">
        <f t="shared" si="3"/>
        <v>Product</v>
      </c>
      <c r="G379" s="1" t="s">
        <v>87</v>
      </c>
      <c r="H379" s="6" t="str">
        <f>IFERROR(__xludf.DUMMYFUNCTION("IF(REGEXMATCH(LOWER(G379), ""^(\?)+\s*(missing)?\s*(\?)*$""), """", PROPER(SUBSTITUTE(SUBSTITUTE(G379, ""?"", """"), ""*"", """")))"),"Jumbo Bag Charlie And Lola Toys")</f>
        <v>Jumbo Bag Charlie And Lola Toys</v>
      </c>
      <c r="I379" s="3">
        <v>4.0</v>
      </c>
      <c r="J379" s="7">
        <v>40513.472916666666</v>
      </c>
      <c r="K379" s="8" t="str">
        <f t="shared" si="4"/>
        <v>2010-12</v>
      </c>
      <c r="L379" s="5">
        <v>2.95</v>
      </c>
      <c r="M379" s="3">
        <v>15862.0</v>
      </c>
      <c r="N379" s="1" t="str">
        <f t="shared" si="5"/>
        <v>Registered</v>
      </c>
      <c r="O379" s="1" t="s">
        <v>19</v>
      </c>
      <c r="P379" s="9" t="str">
        <f t="shared" si="6"/>
        <v>UK</v>
      </c>
      <c r="Q379" s="8">
        <f t="shared" si="7"/>
        <v>11.8</v>
      </c>
    </row>
    <row r="380">
      <c r="A380" s="1">
        <v>536401.0</v>
      </c>
      <c r="B380" s="1" t="str">
        <f t="shared" si="1"/>
        <v>536401</v>
      </c>
      <c r="C380" s="1" t="str">
        <f t="shared" si="2"/>
        <v>Sale</v>
      </c>
      <c r="D380" s="1" t="s">
        <v>330</v>
      </c>
      <c r="E380" s="1" t="str">
        <f>IFERROR(__xludf.DUMMYFUNCTION("IF(LEN(D380)&gt;4, IFERROR(REGEXEXTRACT(TO_TEXT(D380),""\d+""),""""),"""")"),"47570")</f>
        <v>47570</v>
      </c>
      <c r="F380" s="6" t="str">
        <f t="shared" si="3"/>
        <v>Product</v>
      </c>
      <c r="G380" s="1" t="s">
        <v>331</v>
      </c>
      <c r="H380" s="6" t="str">
        <f>IFERROR(__xludf.DUMMYFUNCTION("IF(REGEXMATCH(LOWER(G380), ""^(\?)+\s*(missing)?\s*(\?)*$""), """", PROPER(SUBSTITUTE(SUBSTITUTE(G380, ""?"", """"), ""*"", """")))"),"Tea Time Table Cloth")</f>
        <v>Tea Time Table Cloth</v>
      </c>
      <c r="I380" s="3">
        <v>1.0</v>
      </c>
      <c r="J380" s="7">
        <v>40513.472916666666</v>
      </c>
      <c r="K380" s="8" t="str">
        <f t="shared" si="4"/>
        <v>2010-12</v>
      </c>
      <c r="L380" s="5">
        <v>10.65</v>
      </c>
      <c r="M380" s="3">
        <v>15862.0</v>
      </c>
      <c r="N380" s="1" t="str">
        <f t="shared" si="5"/>
        <v>Registered</v>
      </c>
      <c r="O380" s="1" t="s">
        <v>19</v>
      </c>
      <c r="P380" s="9" t="str">
        <f t="shared" si="6"/>
        <v>UK</v>
      </c>
      <c r="Q380" s="8">
        <f t="shared" si="7"/>
        <v>10.65</v>
      </c>
    </row>
    <row r="381">
      <c r="A381" s="1">
        <v>536401.0</v>
      </c>
      <c r="B381" s="1" t="str">
        <f t="shared" si="1"/>
        <v>536401</v>
      </c>
      <c r="C381" s="1" t="str">
        <f t="shared" si="2"/>
        <v>Sale</v>
      </c>
      <c r="D381" s="1" t="s">
        <v>224</v>
      </c>
      <c r="E381" s="1" t="str">
        <f>IFERROR(__xludf.DUMMYFUNCTION("IF(LEN(D381)&gt;4, IFERROR(REGEXEXTRACT(TO_TEXT(D381),""\d+""),""""),"""")"),"84030")</f>
        <v>84030</v>
      </c>
      <c r="F381" s="6" t="str">
        <f t="shared" si="3"/>
        <v>Product</v>
      </c>
      <c r="G381" s="1" t="s">
        <v>225</v>
      </c>
      <c r="H381" s="6" t="str">
        <f>IFERROR(__xludf.DUMMYFUNCTION("IF(REGEXMATCH(LOWER(G381), ""^(\?)+\s*(missing)?\s*(\?)*$""), """", PROPER(SUBSTITUTE(SUBSTITUTE(G381, ""?"", """"), ""*"", """")))"),"English Rose Hot Water Bottle")</f>
        <v>English Rose Hot Water Bottle</v>
      </c>
      <c r="I381" s="3">
        <v>1.0</v>
      </c>
      <c r="J381" s="7">
        <v>40513.472916666666</v>
      </c>
      <c r="K381" s="8" t="str">
        <f t="shared" si="4"/>
        <v>2010-12</v>
      </c>
      <c r="L381" s="5">
        <v>4.25</v>
      </c>
      <c r="M381" s="3">
        <v>15862.0</v>
      </c>
      <c r="N381" s="1" t="str">
        <f t="shared" si="5"/>
        <v>Registered</v>
      </c>
      <c r="O381" s="1" t="s">
        <v>19</v>
      </c>
      <c r="P381" s="9" t="str">
        <f t="shared" si="6"/>
        <v>UK</v>
      </c>
      <c r="Q381" s="8">
        <f t="shared" si="7"/>
        <v>4.25</v>
      </c>
    </row>
    <row r="382">
      <c r="A382" s="1">
        <v>536401.0</v>
      </c>
      <c r="B382" s="1" t="str">
        <f t="shared" si="1"/>
        <v>536401</v>
      </c>
      <c r="C382" s="1" t="str">
        <f t="shared" si="2"/>
        <v>Sale</v>
      </c>
      <c r="D382" s="1">
        <v>22428.0</v>
      </c>
      <c r="E382" s="1" t="str">
        <f>IFERROR(__xludf.DUMMYFUNCTION("IF(LEN(D382)&gt;4, IFERROR(REGEXEXTRACT(TO_TEXT(D382),""\d+""),""""),"""")"),"22428")</f>
        <v>22428</v>
      </c>
      <c r="F382" s="6" t="str">
        <f t="shared" si="3"/>
        <v>Product</v>
      </c>
      <c r="G382" s="1" t="s">
        <v>173</v>
      </c>
      <c r="H382" s="6" t="str">
        <f>IFERROR(__xludf.DUMMYFUNCTION("IF(REGEXMATCH(LOWER(G382), ""^(\?)+\s*(missing)?\s*(\?)*$""), """", PROPER(SUBSTITUTE(SUBSTITUTE(G382, ""?"", """"), ""*"", """")))"),"Enamel Fire Bucket Cream")</f>
        <v>Enamel Fire Bucket Cream</v>
      </c>
      <c r="I382" s="3">
        <v>2.0</v>
      </c>
      <c r="J382" s="7">
        <v>40513.472916666666</v>
      </c>
      <c r="K382" s="8" t="str">
        <f t="shared" si="4"/>
        <v>2010-12</v>
      </c>
      <c r="L382" s="5">
        <v>6.95</v>
      </c>
      <c r="M382" s="3">
        <v>15862.0</v>
      </c>
      <c r="N382" s="1" t="str">
        <f t="shared" si="5"/>
        <v>Registered</v>
      </c>
      <c r="O382" s="1" t="s">
        <v>19</v>
      </c>
      <c r="P382" s="9" t="str">
        <f t="shared" si="6"/>
        <v>UK</v>
      </c>
      <c r="Q382" s="8">
        <f t="shared" si="7"/>
        <v>13.9</v>
      </c>
    </row>
    <row r="383">
      <c r="A383" s="1">
        <v>536401.0</v>
      </c>
      <c r="B383" s="1" t="str">
        <f t="shared" si="1"/>
        <v>536401</v>
      </c>
      <c r="C383" s="1" t="str">
        <f t="shared" si="2"/>
        <v>Sale</v>
      </c>
      <c r="D383" s="1">
        <v>22502.0</v>
      </c>
      <c r="E383" s="1" t="str">
        <f>IFERROR(__xludf.DUMMYFUNCTION("IF(LEN(D383)&gt;4, IFERROR(REGEXEXTRACT(TO_TEXT(D383),""\d+""),""""),"""")"),"22502")</f>
        <v>22502</v>
      </c>
      <c r="F383" s="6" t="str">
        <f t="shared" si="3"/>
        <v>Product</v>
      </c>
      <c r="G383" s="1" t="s">
        <v>242</v>
      </c>
      <c r="H383" s="6" t="str">
        <f>IFERROR(__xludf.DUMMYFUNCTION("IF(REGEXMATCH(LOWER(G383), ""^(\?)+\s*(missing)?\s*(\?)*$""), """", PROPER(SUBSTITUTE(SUBSTITUTE(G383, ""?"", """"), ""*"", """")))"),"Picnic Basket Wicker Small")</f>
        <v>Picnic Basket Wicker Small</v>
      </c>
      <c r="I383" s="3">
        <v>2.0</v>
      </c>
      <c r="J383" s="7">
        <v>40513.472916666666</v>
      </c>
      <c r="K383" s="8" t="str">
        <f t="shared" si="4"/>
        <v>2010-12</v>
      </c>
      <c r="L383" s="5">
        <v>5.95</v>
      </c>
      <c r="M383" s="3">
        <v>15862.0</v>
      </c>
      <c r="N383" s="1" t="str">
        <f t="shared" si="5"/>
        <v>Registered</v>
      </c>
      <c r="O383" s="1" t="s">
        <v>19</v>
      </c>
      <c r="P383" s="9" t="str">
        <f t="shared" si="6"/>
        <v>UK</v>
      </c>
      <c r="Q383" s="8">
        <f t="shared" si="7"/>
        <v>11.9</v>
      </c>
    </row>
    <row r="384">
      <c r="A384" s="1">
        <v>536402.0</v>
      </c>
      <c r="B384" s="1" t="str">
        <f t="shared" si="1"/>
        <v>536402</v>
      </c>
      <c r="C384" s="1" t="str">
        <f t="shared" si="2"/>
        <v>Sale</v>
      </c>
      <c r="D384" s="1">
        <v>22086.0</v>
      </c>
      <c r="E384" s="1" t="str">
        <f>IFERROR(__xludf.DUMMYFUNCTION("IF(LEN(D384)&gt;4, IFERROR(REGEXEXTRACT(TO_TEXT(D384),""\d+""),""""),"""")"),"22086")</f>
        <v>22086</v>
      </c>
      <c r="F384" s="6" t="str">
        <f t="shared" si="3"/>
        <v>Product</v>
      </c>
      <c r="G384" s="1" t="s">
        <v>70</v>
      </c>
      <c r="H384" s="6" t="str">
        <f>IFERROR(__xludf.DUMMYFUNCTION("IF(REGEXMATCH(LOWER(G384), ""^(\?)+\s*(missing)?\s*(\?)*$""), """", PROPER(SUBSTITUTE(SUBSTITUTE(G384, ""?"", """"), ""*"", """")))"),"Paper Chain Kit 50'S Christmas")</f>
        <v>Paper Chain Kit 50'S Christmas</v>
      </c>
      <c r="I384" s="3">
        <v>40.0</v>
      </c>
      <c r="J384" s="7">
        <v>40513.47361111111</v>
      </c>
      <c r="K384" s="8" t="str">
        <f t="shared" si="4"/>
        <v>2010-12</v>
      </c>
      <c r="L384" s="5">
        <v>2.55</v>
      </c>
      <c r="M384" s="3">
        <v>15513.0</v>
      </c>
      <c r="N384" s="1" t="str">
        <f t="shared" si="5"/>
        <v>Registered</v>
      </c>
      <c r="O384" s="1" t="s">
        <v>19</v>
      </c>
      <c r="P384" s="9" t="str">
        <f t="shared" si="6"/>
        <v>UK</v>
      </c>
      <c r="Q384" s="8">
        <f t="shared" si="7"/>
        <v>102</v>
      </c>
    </row>
    <row r="385">
      <c r="A385" s="1">
        <v>536402.0</v>
      </c>
      <c r="B385" s="1" t="str">
        <f t="shared" si="1"/>
        <v>536402</v>
      </c>
      <c r="C385" s="1" t="str">
        <f t="shared" si="2"/>
        <v>Sale</v>
      </c>
      <c r="D385" s="1">
        <v>22910.0</v>
      </c>
      <c r="E385" s="1" t="str">
        <f>IFERROR(__xludf.DUMMYFUNCTION("IF(LEN(D385)&gt;4, IFERROR(REGEXEXTRACT(TO_TEXT(D385),""\d+""),""""),"""")"),"22910")</f>
        <v>22910</v>
      </c>
      <c r="F385" s="6" t="str">
        <f t="shared" si="3"/>
        <v>Product</v>
      </c>
      <c r="G385" s="1" t="s">
        <v>215</v>
      </c>
      <c r="H385" s="6" t="str">
        <f>IFERROR(__xludf.DUMMYFUNCTION("IF(REGEXMATCH(LOWER(G385), ""^(\?)+\s*(missing)?\s*(\?)*$""), """", PROPER(SUBSTITUTE(SUBSTITUTE(G385, ""?"", """"), ""*"", """")))"),"Paper Chain Kit Vintage Christmas")</f>
        <v>Paper Chain Kit Vintage Christmas</v>
      </c>
      <c r="I385" s="3">
        <v>40.0</v>
      </c>
      <c r="J385" s="7">
        <v>40513.47361111111</v>
      </c>
      <c r="K385" s="8" t="str">
        <f t="shared" si="4"/>
        <v>2010-12</v>
      </c>
      <c r="L385" s="5">
        <v>2.55</v>
      </c>
      <c r="M385" s="3">
        <v>15513.0</v>
      </c>
      <c r="N385" s="1" t="str">
        <f t="shared" si="5"/>
        <v>Registered</v>
      </c>
      <c r="O385" s="1" t="s">
        <v>19</v>
      </c>
      <c r="P385" s="9" t="str">
        <f t="shared" si="6"/>
        <v>UK</v>
      </c>
      <c r="Q385" s="8">
        <f t="shared" si="7"/>
        <v>102</v>
      </c>
    </row>
    <row r="386">
      <c r="A386" s="1">
        <v>536402.0</v>
      </c>
      <c r="B386" s="1" t="str">
        <f t="shared" si="1"/>
        <v>536402</v>
      </c>
      <c r="C386" s="1" t="str">
        <f t="shared" si="2"/>
        <v>Sale</v>
      </c>
      <c r="D386" s="1">
        <v>22837.0</v>
      </c>
      <c r="E386" s="1" t="str">
        <f>IFERROR(__xludf.DUMMYFUNCTION("IF(LEN(D386)&gt;4, IFERROR(REGEXEXTRACT(TO_TEXT(D386),""\d+""),""""),"""")"),"22837")</f>
        <v>22837</v>
      </c>
      <c r="F386" s="6" t="str">
        <f t="shared" si="3"/>
        <v>Product</v>
      </c>
      <c r="G386" s="1" t="s">
        <v>332</v>
      </c>
      <c r="H386" s="6" t="str">
        <f>IFERROR(__xludf.DUMMYFUNCTION("IF(REGEXMATCH(LOWER(G386), ""^(\?)+\s*(missing)?\s*(\?)*$""), """", PROPER(SUBSTITUTE(SUBSTITUTE(G386, ""?"", """"), ""*"", """")))"),"Hot Water Bottle Babushka")</f>
        <v>Hot Water Bottle Babushka</v>
      </c>
      <c r="I386" s="3">
        <v>36.0</v>
      </c>
      <c r="J386" s="7">
        <v>40513.47361111111</v>
      </c>
      <c r="K386" s="8" t="str">
        <f t="shared" si="4"/>
        <v>2010-12</v>
      </c>
      <c r="L386" s="5">
        <v>4.25</v>
      </c>
      <c r="M386" s="3">
        <v>15513.0</v>
      </c>
      <c r="N386" s="1" t="str">
        <f t="shared" si="5"/>
        <v>Registered</v>
      </c>
      <c r="O386" s="1" t="s">
        <v>19</v>
      </c>
      <c r="P386" s="9" t="str">
        <f t="shared" si="6"/>
        <v>UK</v>
      </c>
      <c r="Q386" s="8">
        <f t="shared" si="7"/>
        <v>153</v>
      </c>
    </row>
    <row r="387">
      <c r="A387" s="1">
        <v>536403.0</v>
      </c>
      <c r="B387" s="1" t="str">
        <f t="shared" si="1"/>
        <v>536403</v>
      </c>
      <c r="C387" s="1" t="str">
        <f t="shared" si="2"/>
        <v>Sale</v>
      </c>
      <c r="D387" s="1">
        <v>22867.0</v>
      </c>
      <c r="E387" s="1" t="str">
        <f>IFERROR(__xludf.DUMMYFUNCTION("IF(LEN(D387)&gt;4, IFERROR(REGEXEXTRACT(TO_TEXT(D387),""\d+""),""""),"""")"),"22867")</f>
        <v>22867</v>
      </c>
      <c r="F387" s="6" t="str">
        <f t="shared" si="3"/>
        <v>Product</v>
      </c>
      <c r="G387" s="1" t="s">
        <v>257</v>
      </c>
      <c r="H387" s="6" t="str">
        <f>IFERROR(__xludf.DUMMYFUNCTION("IF(REGEXMATCH(LOWER(G387), ""^(\?)+\s*(missing)?\s*(\?)*$""), """", PROPER(SUBSTITUTE(SUBSTITUTE(G387, ""?"", """"), ""*"", """")))"),"Hand Warmer Bird Design")</f>
        <v>Hand Warmer Bird Design</v>
      </c>
      <c r="I387" s="3">
        <v>96.0</v>
      </c>
      <c r="J387" s="7">
        <v>40513.47708333333</v>
      </c>
      <c r="K387" s="8" t="str">
        <f t="shared" si="4"/>
        <v>2010-12</v>
      </c>
      <c r="L387" s="5">
        <v>1.85</v>
      </c>
      <c r="M387" s="3">
        <v>12791.0</v>
      </c>
      <c r="N387" s="1" t="str">
        <f t="shared" si="5"/>
        <v>Registered</v>
      </c>
      <c r="O387" s="1" t="s">
        <v>333</v>
      </c>
      <c r="P387" s="9" t="str">
        <f t="shared" si="6"/>
        <v>International</v>
      </c>
      <c r="Q387" s="8">
        <f t="shared" si="7"/>
        <v>177.6</v>
      </c>
    </row>
    <row r="388">
      <c r="A388" s="1">
        <v>536403.0</v>
      </c>
      <c r="B388" s="1" t="str">
        <f t="shared" si="1"/>
        <v>536403</v>
      </c>
      <c r="C388" s="1" t="str">
        <f t="shared" si="2"/>
        <v>Sale</v>
      </c>
      <c r="D388" s="1" t="s">
        <v>68</v>
      </c>
      <c r="E388" s="1" t="str">
        <f>IFERROR(__xludf.DUMMYFUNCTION("IF(LEN(D388)&gt;4, IFERROR(REGEXEXTRACT(TO_TEXT(D388),""\d+""),""""),"""")"),"")</f>
        <v/>
      </c>
      <c r="F388" s="6" t="str">
        <f t="shared" si="3"/>
        <v>Shipping</v>
      </c>
      <c r="G388" s="1" t="s">
        <v>69</v>
      </c>
      <c r="H388" s="6" t="str">
        <f>IFERROR(__xludf.DUMMYFUNCTION("IF(REGEXMATCH(LOWER(G388), ""^(\?)+\s*(missing)?\s*(\?)*$""), """", PROPER(SUBSTITUTE(SUBSTITUTE(G388, ""?"", """"), ""*"", """")))"),"Postage")</f>
        <v>Postage</v>
      </c>
      <c r="I388" s="3">
        <v>1.0</v>
      </c>
      <c r="J388" s="7">
        <v>40513.47708333333</v>
      </c>
      <c r="K388" s="8" t="str">
        <f t="shared" si="4"/>
        <v>2010-12</v>
      </c>
      <c r="L388" s="5">
        <v>15.0</v>
      </c>
      <c r="M388" s="3">
        <v>12791.0</v>
      </c>
      <c r="N388" s="1" t="str">
        <f t="shared" si="5"/>
        <v>Registered</v>
      </c>
      <c r="O388" s="1" t="s">
        <v>333</v>
      </c>
      <c r="P388" s="9" t="str">
        <f t="shared" si="6"/>
        <v>International</v>
      </c>
      <c r="Q388" s="8">
        <f t="shared" si="7"/>
        <v>15</v>
      </c>
    </row>
    <row r="389">
      <c r="A389" s="1">
        <v>536404.0</v>
      </c>
      <c r="B389" s="1" t="str">
        <f t="shared" si="1"/>
        <v>536404</v>
      </c>
      <c r="C389" s="1" t="str">
        <f t="shared" si="2"/>
        <v>Sale</v>
      </c>
      <c r="D389" s="1">
        <v>22297.0</v>
      </c>
      <c r="E389" s="1" t="str">
        <f>IFERROR(__xludf.DUMMYFUNCTION("IF(LEN(D389)&gt;4, IFERROR(REGEXEXTRACT(TO_TEXT(D389),""\d+""),""""),"""")"),"22297")</f>
        <v>22297</v>
      </c>
      <c r="F389" s="6" t="str">
        <f t="shared" si="3"/>
        <v>Product</v>
      </c>
      <c r="G389" s="1" t="s">
        <v>334</v>
      </c>
      <c r="H389" s="6" t="str">
        <f>IFERROR(__xludf.DUMMYFUNCTION("IF(REGEXMATCH(LOWER(G389), ""^(\?)+\s*(missing)?\s*(\?)*$""), """", PROPER(SUBSTITUTE(SUBSTITUTE(G389, ""?"", """"), ""*"", """")))"),"Heart Ivory Trellis Small")</f>
        <v>Heart Ivory Trellis Small</v>
      </c>
      <c r="I389" s="3">
        <v>24.0</v>
      </c>
      <c r="J389" s="7">
        <v>40513.478472222225</v>
      </c>
      <c r="K389" s="8" t="str">
        <f t="shared" si="4"/>
        <v>2010-12</v>
      </c>
      <c r="L389" s="5">
        <v>1.25</v>
      </c>
      <c r="M389" s="3">
        <v>16218.0</v>
      </c>
      <c r="N389" s="1" t="str">
        <f t="shared" si="5"/>
        <v>Registered</v>
      </c>
      <c r="O389" s="1" t="s">
        <v>19</v>
      </c>
      <c r="P389" s="9" t="str">
        <f t="shared" si="6"/>
        <v>UK</v>
      </c>
      <c r="Q389" s="8">
        <f t="shared" si="7"/>
        <v>30</v>
      </c>
    </row>
    <row r="390">
      <c r="A390" s="1">
        <v>536404.0</v>
      </c>
      <c r="B390" s="1" t="str">
        <f t="shared" si="1"/>
        <v>536404</v>
      </c>
      <c r="C390" s="1" t="str">
        <f t="shared" si="2"/>
        <v>Sale</v>
      </c>
      <c r="D390" s="1">
        <v>22771.0</v>
      </c>
      <c r="E390" s="1" t="str">
        <f>IFERROR(__xludf.DUMMYFUNCTION("IF(LEN(D390)&gt;4, IFERROR(REGEXEXTRACT(TO_TEXT(D390),""\d+""),""""),"""")"),"22771")</f>
        <v>22771</v>
      </c>
      <c r="F390" s="6" t="str">
        <f t="shared" si="3"/>
        <v>Product</v>
      </c>
      <c r="G390" s="1" t="s">
        <v>116</v>
      </c>
      <c r="H390" s="6" t="str">
        <f>IFERROR(__xludf.DUMMYFUNCTION("IF(REGEXMATCH(LOWER(G390), ""^(\?)+\s*(missing)?\s*(\?)*$""), """", PROPER(SUBSTITUTE(SUBSTITUTE(G390, ""?"", """"), ""*"", """")))"),"Clear Drawer Knob Acrylic Edwardian")</f>
        <v>Clear Drawer Knob Acrylic Edwardian</v>
      </c>
      <c r="I390" s="3">
        <v>12.0</v>
      </c>
      <c r="J390" s="7">
        <v>40513.478472222225</v>
      </c>
      <c r="K390" s="8" t="str">
        <f t="shared" si="4"/>
        <v>2010-12</v>
      </c>
      <c r="L390" s="5">
        <v>1.25</v>
      </c>
      <c r="M390" s="3">
        <v>16218.0</v>
      </c>
      <c r="N390" s="1" t="str">
        <f t="shared" si="5"/>
        <v>Registered</v>
      </c>
      <c r="O390" s="1" t="s">
        <v>19</v>
      </c>
      <c r="P390" s="9" t="str">
        <f t="shared" si="6"/>
        <v>UK</v>
      </c>
      <c r="Q390" s="8">
        <f t="shared" si="7"/>
        <v>15</v>
      </c>
    </row>
    <row r="391">
      <c r="A391" s="1">
        <v>536404.0</v>
      </c>
      <c r="B391" s="1" t="str">
        <f t="shared" si="1"/>
        <v>536404</v>
      </c>
      <c r="C391" s="1" t="str">
        <f t="shared" si="2"/>
        <v>Sale</v>
      </c>
      <c r="D391" s="1">
        <v>22772.0</v>
      </c>
      <c r="E391" s="1" t="str">
        <f>IFERROR(__xludf.DUMMYFUNCTION("IF(LEN(D391)&gt;4, IFERROR(REGEXEXTRACT(TO_TEXT(D391),""\d+""),""""),"""")"),"22772")</f>
        <v>22772</v>
      </c>
      <c r="F391" s="6" t="str">
        <f t="shared" si="3"/>
        <v>Product</v>
      </c>
      <c r="G391" s="1" t="s">
        <v>335</v>
      </c>
      <c r="H391" s="6" t="str">
        <f>IFERROR(__xludf.DUMMYFUNCTION("IF(REGEXMATCH(LOWER(G391), ""^(\?)+\s*(missing)?\s*(\?)*$""), """", PROPER(SUBSTITUTE(SUBSTITUTE(G391, ""?"", """"), ""*"", """")))"),"Pink Drawer Knob Acrylic Edwardian")</f>
        <v>Pink Drawer Knob Acrylic Edwardian</v>
      </c>
      <c r="I391" s="3">
        <v>12.0</v>
      </c>
      <c r="J391" s="7">
        <v>40513.478472222225</v>
      </c>
      <c r="K391" s="8" t="str">
        <f t="shared" si="4"/>
        <v>2010-12</v>
      </c>
      <c r="L391" s="5">
        <v>1.25</v>
      </c>
      <c r="M391" s="3">
        <v>16218.0</v>
      </c>
      <c r="N391" s="1" t="str">
        <f t="shared" si="5"/>
        <v>Registered</v>
      </c>
      <c r="O391" s="1" t="s">
        <v>19</v>
      </c>
      <c r="P391" s="9" t="str">
        <f t="shared" si="6"/>
        <v>UK</v>
      </c>
      <c r="Q391" s="8">
        <f t="shared" si="7"/>
        <v>15</v>
      </c>
    </row>
    <row r="392">
      <c r="A392" s="1">
        <v>536404.0</v>
      </c>
      <c r="B392" s="1" t="str">
        <f t="shared" si="1"/>
        <v>536404</v>
      </c>
      <c r="C392" s="1" t="str">
        <f t="shared" si="2"/>
        <v>Sale</v>
      </c>
      <c r="D392" s="1">
        <v>22773.0</v>
      </c>
      <c r="E392" s="1" t="str">
        <f>IFERROR(__xludf.DUMMYFUNCTION("IF(LEN(D392)&gt;4, IFERROR(REGEXEXTRACT(TO_TEXT(D392),""\d+""),""""),"""")"),"22773")</f>
        <v>22773</v>
      </c>
      <c r="F392" s="6" t="str">
        <f t="shared" si="3"/>
        <v>Product</v>
      </c>
      <c r="G392" s="1" t="s">
        <v>336</v>
      </c>
      <c r="H392" s="6" t="str">
        <f>IFERROR(__xludf.DUMMYFUNCTION("IF(REGEXMATCH(LOWER(G392), ""^(\?)+\s*(missing)?\s*(\?)*$""), """", PROPER(SUBSTITUTE(SUBSTITUTE(G392, ""?"", """"), ""*"", """")))"),"Green Drawer Knob Acrylic Edwardian")</f>
        <v>Green Drawer Knob Acrylic Edwardian</v>
      </c>
      <c r="I392" s="3">
        <v>12.0</v>
      </c>
      <c r="J392" s="7">
        <v>40513.478472222225</v>
      </c>
      <c r="K392" s="8" t="str">
        <f t="shared" si="4"/>
        <v>2010-12</v>
      </c>
      <c r="L392" s="5">
        <v>1.25</v>
      </c>
      <c r="M392" s="3">
        <v>16218.0</v>
      </c>
      <c r="N392" s="1" t="str">
        <f t="shared" si="5"/>
        <v>Registered</v>
      </c>
      <c r="O392" s="1" t="s">
        <v>19</v>
      </c>
      <c r="P392" s="9" t="str">
        <f t="shared" si="6"/>
        <v>UK</v>
      </c>
      <c r="Q392" s="8">
        <f t="shared" si="7"/>
        <v>15</v>
      </c>
    </row>
    <row r="393">
      <c r="A393" s="1">
        <v>536404.0</v>
      </c>
      <c r="B393" s="1" t="str">
        <f t="shared" si="1"/>
        <v>536404</v>
      </c>
      <c r="C393" s="1" t="str">
        <f t="shared" si="2"/>
        <v>Sale</v>
      </c>
      <c r="D393" s="1">
        <v>22805.0</v>
      </c>
      <c r="E393" s="1" t="str">
        <f>IFERROR(__xludf.DUMMYFUNCTION("IF(LEN(D393)&gt;4, IFERROR(REGEXEXTRACT(TO_TEXT(D393),""\d+""),""""),"""")"),"22805")</f>
        <v>22805</v>
      </c>
      <c r="F393" s="6" t="str">
        <f t="shared" si="3"/>
        <v>Product</v>
      </c>
      <c r="G393" s="1" t="s">
        <v>337</v>
      </c>
      <c r="H393" s="6" t="str">
        <f>IFERROR(__xludf.DUMMYFUNCTION("IF(REGEXMATCH(LOWER(G393), ""^(\?)+\s*(missing)?\s*(\?)*$""), """", PROPER(SUBSTITUTE(SUBSTITUTE(G393, ""?"", """"), ""*"", """")))"),"Blue Drawer Knob Acrylic Edwardian")</f>
        <v>Blue Drawer Knob Acrylic Edwardian</v>
      </c>
      <c r="I393" s="3">
        <v>12.0</v>
      </c>
      <c r="J393" s="7">
        <v>40513.478472222225</v>
      </c>
      <c r="K393" s="8" t="str">
        <f t="shared" si="4"/>
        <v>2010-12</v>
      </c>
      <c r="L393" s="5">
        <v>1.25</v>
      </c>
      <c r="M393" s="3">
        <v>16218.0</v>
      </c>
      <c r="N393" s="1" t="str">
        <f t="shared" si="5"/>
        <v>Registered</v>
      </c>
      <c r="O393" s="1" t="s">
        <v>19</v>
      </c>
      <c r="P393" s="9" t="str">
        <f t="shared" si="6"/>
        <v>UK</v>
      </c>
      <c r="Q393" s="8">
        <f t="shared" si="7"/>
        <v>15</v>
      </c>
    </row>
    <row r="394">
      <c r="A394" s="1">
        <v>536404.0</v>
      </c>
      <c r="B394" s="1" t="str">
        <f t="shared" si="1"/>
        <v>536404</v>
      </c>
      <c r="C394" s="1" t="str">
        <f t="shared" si="2"/>
        <v>Sale</v>
      </c>
      <c r="D394" s="1">
        <v>22469.0</v>
      </c>
      <c r="E394" s="1" t="str">
        <f>IFERROR(__xludf.DUMMYFUNCTION("IF(LEN(D394)&gt;4, IFERROR(REGEXEXTRACT(TO_TEXT(D394),""\d+""),""""),"""")"),"22469")</f>
        <v>22469</v>
      </c>
      <c r="F394" s="6" t="str">
        <f t="shared" si="3"/>
        <v>Product</v>
      </c>
      <c r="G394" s="1" t="s">
        <v>167</v>
      </c>
      <c r="H394" s="6" t="str">
        <f>IFERROR(__xludf.DUMMYFUNCTION("IF(REGEXMATCH(LOWER(G394), ""^(\?)+\s*(missing)?\s*(\?)*$""), """", PROPER(SUBSTITUTE(SUBSTITUTE(G394, ""?"", """"), ""*"", """")))"),"Heart Of Wicker Small")</f>
        <v>Heart Of Wicker Small</v>
      </c>
      <c r="I394" s="3">
        <v>12.0</v>
      </c>
      <c r="J394" s="7">
        <v>40513.478472222225</v>
      </c>
      <c r="K394" s="8" t="str">
        <f t="shared" si="4"/>
        <v>2010-12</v>
      </c>
      <c r="L394" s="5">
        <v>1.65</v>
      </c>
      <c r="M394" s="3">
        <v>16218.0</v>
      </c>
      <c r="N394" s="1" t="str">
        <f t="shared" si="5"/>
        <v>Registered</v>
      </c>
      <c r="O394" s="1" t="s">
        <v>19</v>
      </c>
      <c r="P394" s="9" t="str">
        <f t="shared" si="6"/>
        <v>UK</v>
      </c>
      <c r="Q394" s="8">
        <f t="shared" si="7"/>
        <v>19.8</v>
      </c>
    </row>
    <row r="395">
      <c r="A395" s="1">
        <v>536404.0</v>
      </c>
      <c r="B395" s="1" t="str">
        <f t="shared" si="1"/>
        <v>536404</v>
      </c>
      <c r="C395" s="1" t="str">
        <f t="shared" si="2"/>
        <v>Sale</v>
      </c>
      <c r="D395" s="1">
        <v>22197.0</v>
      </c>
      <c r="E395" s="1" t="str">
        <f>IFERROR(__xludf.DUMMYFUNCTION("IF(LEN(D395)&gt;4, IFERROR(REGEXEXTRACT(TO_TEXT(D395),""\d+""),""""),"""")"),"22197")</f>
        <v>22197</v>
      </c>
      <c r="F395" s="6" t="str">
        <f t="shared" si="3"/>
        <v>Product</v>
      </c>
      <c r="G395" s="1" t="s">
        <v>217</v>
      </c>
      <c r="H395" s="6" t="str">
        <f>IFERROR(__xludf.DUMMYFUNCTION("IF(REGEXMATCH(LOWER(G395), ""^(\?)+\s*(missing)?\s*(\?)*$""), """", PROPER(SUBSTITUTE(SUBSTITUTE(G395, ""?"", """"), ""*"", """")))"),"Small Popcorn Holder")</f>
        <v>Small Popcorn Holder</v>
      </c>
      <c r="I395" s="3">
        <v>36.0</v>
      </c>
      <c r="J395" s="7">
        <v>40513.478472222225</v>
      </c>
      <c r="K395" s="8" t="str">
        <f t="shared" si="4"/>
        <v>2010-12</v>
      </c>
      <c r="L395" s="5">
        <v>0.85</v>
      </c>
      <c r="M395" s="3">
        <v>16218.0</v>
      </c>
      <c r="N395" s="1" t="str">
        <f t="shared" si="5"/>
        <v>Registered</v>
      </c>
      <c r="O395" s="1" t="s">
        <v>19</v>
      </c>
      <c r="P395" s="9" t="str">
        <f t="shared" si="6"/>
        <v>UK</v>
      </c>
      <c r="Q395" s="8">
        <f t="shared" si="7"/>
        <v>30.6</v>
      </c>
    </row>
    <row r="396">
      <c r="A396" s="1">
        <v>536404.0</v>
      </c>
      <c r="B396" s="1" t="str">
        <f t="shared" si="1"/>
        <v>536404</v>
      </c>
      <c r="C396" s="1" t="str">
        <f t="shared" si="2"/>
        <v>Sale</v>
      </c>
      <c r="D396" s="1">
        <v>21125.0</v>
      </c>
      <c r="E396" s="1" t="str">
        <f>IFERROR(__xludf.DUMMYFUNCTION("IF(LEN(D396)&gt;4, IFERROR(REGEXEXTRACT(TO_TEXT(D396),""\d+""),""""),"""")"),"21125")</f>
        <v>21125</v>
      </c>
      <c r="F396" s="6" t="str">
        <f t="shared" si="3"/>
        <v>Product</v>
      </c>
      <c r="G396" s="1" t="s">
        <v>338</v>
      </c>
      <c r="H396" s="6" t="str">
        <f>IFERROR(__xludf.DUMMYFUNCTION("IF(REGEXMATCH(LOWER(G396), ""^(\?)+\s*(missing)?\s*(\?)*$""), """", PROPER(SUBSTITUTE(SUBSTITUTE(G396, ""?"", """"), ""*"", """")))"),"Set 6 Football Celebration Candles")</f>
        <v>Set 6 Football Celebration Candles</v>
      </c>
      <c r="I396" s="3">
        <v>12.0</v>
      </c>
      <c r="J396" s="7">
        <v>40513.478472222225</v>
      </c>
      <c r="K396" s="8" t="str">
        <f t="shared" si="4"/>
        <v>2010-12</v>
      </c>
      <c r="L396" s="5">
        <v>1.25</v>
      </c>
      <c r="M396" s="3">
        <v>16218.0</v>
      </c>
      <c r="N396" s="1" t="str">
        <f t="shared" si="5"/>
        <v>Registered</v>
      </c>
      <c r="O396" s="1" t="s">
        <v>19</v>
      </c>
      <c r="P396" s="9" t="str">
        <f t="shared" si="6"/>
        <v>UK</v>
      </c>
      <c r="Q396" s="8">
        <f t="shared" si="7"/>
        <v>15</v>
      </c>
    </row>
    <row r="397">
      <c r="A397" s="1">
        <v>536404.0</v>
      </c>
      <c r="B397" s="1" t="str">
        <f t="shared" si="1"/>
        <v>536404</v>
      </c>
      <c r="C397" s="1" t="str">
        <f t="shared" si="2"/>
        <v>Sale</v>
      </c>
      <c r="D397" s="1">
        <v>21126.0</v>
      </c>
      <c r="E397" s="1" t="str">
        <f>IFERROR(__xludf.DUMMYFUNCTION("IF(LEN(D397)&gt;4, IFERROR(REGEXEXTRACT(TO_TEXT(D397),""\d+""),""""),"""")"),"21126")</f>
        <v>21126</v>
      </c>
      <c r="F397" s="6" t="str">
        <f t="shared" si="3"/>
        <v>Product</v>
      </c>
      <c r="G397" s="1" t="s">
        <v>339</v>
      </c>
      <c r="H397" s="6" t="str">
        <f>IFERROR(__xludf.DUMMYFUNCTION("IF(REGEXMATCH(LOWER(G397), ""^(\?)+\s*(missing)?\s*(\?)*$""), """", PROPER(SUBSTITUTE(SUBSTITUTE(G397, ""?"", """"), ""*"", """")))"),"Set Of 6 Girls Celebration Candles")</f>
        <v>Set Of 6 Girls Celebration Candles</v>
      </c>
      <c r="I397" s="3">
        <v>12.0</v>
      </c>
      <c r="J397" s="7">
        <v>40513.478472222225</v>
      </c>
      <c r="K397" s="8" t="str">
        <f t="shared" si="4"/>
        <v>2010-12</v>
      </c>
      <c r="L397" s="5">
        <v>1.25</v>
      </c>
      <c r="M397" s="3">
        <v>16218.0</v>
      </c>
      <c r="N397" s="1" t="str">
        <f t="shared" si="5"/>
        <v>Registered</v>
      </c>
      <c r="O397" s="1" t="s">
        <v>19</v>
      </c>
      <c r="P397" s="9" t="str">
        <f t="shared" si="6"/>
        <v>UK</v>
      </c>
      <c r="Q397" s="8">
        <f t="shared" si="7"/>
        <v>15</v>
      </c>
    </row>
    <row r="398">
      <c r="A398" s="1">
        <v>536404.0</v>
      </c>
      <c r="B398" s="1" t="str">
        <f t="shared" si="1"/>
        <v>536404</v>
      </c>
      <c r="C398" s="1" t="str">
        <f t="shared" si="2"/>
        <v>Sale</v>
      </c>
      <c r="D398" s="1" t="s">
        <v>340</v>
      </c>
      <c r="E398" s="1" t="str">
        <f>IFERROR(__xludf.DUMMYFUNCTION("IF(LEN(D398)&gt;4, IFERROR(REGEXEXTRACT(TO_TEXT(D398),""\d+""),""""),"""")"),"85049")</f>
        <v>85049</v>
      </c>
      <c r="F398" s="6" t="str">
        <f t="shared" si="3"/>
        <v>Product</v>
      </c>
      <c r="G398" s="1" t="s">
        <v>341</v>
      </c>
      <c r="H398" s="6" t="str">
        <f>IFERROR(__xludf.DUMMYFUNCTION("IF(REGEXMATCH(LOWER(G398), ""^(\?)+\s*(missing)?\s*(\?)*$""), """", PROPER(SUBSTITUTE(SUBSTITUTE(G398, ""?"", """"), ""*"", """")))"),"Romantic Pinks Ribbons")</f>
        <v>Romantic Pinks Ribbons</v>
      </c>
      <c r="I398" s="3">
        <v>12.0</v>
      </c>
      <c r="J398" s="7">
        <v>40513.478472222225</v>
      </c>
      <c r="K398" s="8" t="str">
        <f t="shared" si="4"/>
        <v>2010-12</v>
      </c>
      <c r="L398" s="5">
        <v>1.25</v>
      </c>
      <c r="M398" s="3">
        <v>16218.0</v>
      </c>
      <c r="N398" s="1" t="str">
        <f t="shared" si="5"/>
        <v>Registered</v>
      </c>
      <c r="O398" s="1" t="s">
        <v>19</v>
      </c>
      <c r="P398" s="9" t="str">
        <f t="shared" si="6"/>
        <v>UK</v>
      </c>
      <c r="Q398" s="8">
        <f t="shared" si="7"/>
        <v>15</v>
      </c>
    </row>
    <row r="399">
      <c r="A399" s="1">
        <v>536404.0</v>
      </c>
      <c r="B399" s="1" t="str">
        <f t="shared" si="1"/>
        <v>536404</v>
      </c>
      <c r="C399" s="1" t="str">
        <f t="shared" si="2"/>
        <v>Sale</v>
      </c>
      <c r="D399" s="1" t="s">
        <v>342</v>
      </c>
      <c r="E399" s="1" t="str">
        <f>IFERROR(__xludf.DUMMYFUNCTION("IF(LEN(D399)&gt;4, IFERROR(REGEXEXTRACT(TO_TEXT(D399),""\d+""),""""),"""")"),"85049")</f>
        <v>85049</v>
      </c>
      <c r="F399" s="6" t="str">
        <f t="shared" si="3"/>
        <v>Product</v>
      </c>
      <c r="G399" s="1" t="s">
        <v>343</v>
      </c>
      <c r="H399" s="6" t="str">
        <f>IFERROR(__xludf.DUMMYFUNCTION("IF(REGEXMATCH(LOWER(G399), ""^(\?)+\s*(missing)?\s*(\?)*$""), """", PROPER(SUBSTITUTE(SUBSTITUTE(G399, ""?"", """"), ""*"", """")))"),"Bright Blues Ribbons")</f>
        <v>Bright Blues Ribbons</v>
      </c>
      <c r="I399" s="3">
        <v>12.0</v>
      </c>
      <c r="J399" s="7">
        <v>40513.478472222225</v>
      </c>
      <c r="K399" s="8" t="str">
        <f t="shared" si="4"/>
        <v>2010-12</v>
      </c>
      <c r="L399" s="5">
        <v>1.25</v>
      </c>
      <c r="M399" s="3">
        <v>16218.0</v>
      </c>
      <c r="N399" s="1" t="str">
        <f t="shared" si="5"/>
        <v>Registered</v>
      </c>
      <c r="O399" s="1" t="s">
        <v>19</v>
      </c>
      <c r="P399" s="9" t="str">
        <f t="shared" si="6"/>
        <v>UK</v>
      </c>
      <c r="Q399" s="8">
        <f t="shared" si="7"/>
        <v>15</v>
      </c>
    </row>
    <row r="400">
      <c r="A400" s="1">
        <v>536404.0</v>
      </c>
      <c r="B400" s="1" t="str">
        <f t="shared" si="1"/>
        <v>536404</v>
      </c>
      <c r="C400" s="1" t="str">
        <f t="shared" si="2"/>
        <v>Sale</v>
      </c>
      <c r="D400" s="1" t="s">
        <v>278</v>
      </c>
      <c r="E400" s="1" t="str">
        <f>IFERROR(__xludf.DUMMYFUNCTION("IF(LEN(D400)&gt;4, IFERROR(REGEXEXTRACT(TO_TEXT(D400),""\d+""),""""),"""")"),"85049")</f>
        <v>85049</v>
      </c>
      <c r="F400" s="6" t="str">
        <f t="shared" si="3"/>
        <v>Product</v>
      </c>
      <c r="G400" s="1" t="s">
        <v>279</v>
      </c>
      <c r="H400" s="6" t="str">
        <f>IFERROR(__xludf.DUMMYFUNCTION("IF(REGEXMATCH(LOWER(G400), ""^(\?)+\s*(missing)?\s*(\?)*$""), """", PROPER(SUBSTITUTE(SUBSTITUTE(G400, ""?"", """"), ""*"", """")))"),"Scandinavian Reds Ribbons")</f>
        <v>Scandinavian Reds Ribbons</v>
      </c>
      <c r="I400" s="3">
        <v>12.0</v>
      </c>
      <c r="J400" s="7">
        <v>40513.478472222225</v>
      </c>
      <c r="K400" s="8" t="str">
        <f t="shared" si="4"/>
        <v>2010-12</v>
      </c>
      <c r="L400" s="5">
        <v>1.25</v>
      </c>
      <c r="M400" s="3">
        <v>16218.0</v>
      </c>
      <c r="N400" s="1" t="str">
        <f t="shared" si="5"/>
        <v>Registered</v>
      </c>
      <c r="O400" s="1" t="s">
        <v>19</v>
      </c>
      <c r="P400" s="9" t="str">
        <f t="shared" si="6"/>
        <v>UK</v>
      </c>
      <c r="Q400" s="8">
        <f t="shared" si="7"/>
        <v>15</v>
      </c>
    </row>
    <row r="401">
      <c r="A401" s="1">
        <v>536404.0</v>
      </c>
      <c r="B401" s="1" t="str">
        <f t="shared" si="1"/>
        <v>536404</v>
      </c>
      <c r="C401" s="1" t="str">
        <f t="shared" si="2"/>
        <v>Sale</v>
      </c>
      <c r="D401" s="1" t="s">
        <v>344</v>
      </c>
      <c r="E401" s="1" t="str">
        <f>IFERROR(__xludf.DUMMYFUNCTION("IF(LEN(D401)&gt;4, IFERROR(REGEXEXTRACT(TO_TEXT(D401),""\d+""),""""),"""")"),"85049")</f>
        <v>85049</v>
      </c>
      <c r="F401" s="6" t="str">
        <f t="shared" si="3"/>
        <v>Product</v>
      </c>
      <c r="G401" s="1" t="s">
        <v>345</v>
      </c>
      <c r="H401" s="6" t="str">
        <f>IFERROR(__xludf.DUMMYFUNCTION("IF(REGEXMATCH(LOWER(G401), ""^(\?)+\s*(missing)?\s*(\?)*$""), """", PROPER(SUBSTITUTE(SUBSTITUTE(G401, ""?"", """"), ""*"", """")))"),"Chocolate Box Ribbons")</f>
        <v>Chocolate Box Ribbons</v>
      </c>
      <c r="I401" s="3">
        <v>12.0</v>
      </c>
      <c r="J401" s="7">
        <v>40513.478472222225</v>
      </c>
      <c r="K401" s="8" t="str">
        <f t="shared" si="4"/>
        <v>2010-12</v>
      </c>
      <c r="L401" s="5">
        <v>1.25</v>
      </c>
      <c r="M401" s="3">
        <v>16218.0</v>
      </c>
      <c r="N401" s="1" t="str">
        <f t="shared" si="5"/>
        <v>Registered</v>
      </c>
      <c r="O401" s="1" t="s">
        <v>19</v>
      </c>
      <c r="P401" s="9" t="str">
        <f t="shared" si="6"/>
        <v>UK</v>
      </c>
      <c r="Q401" s="8">
        <f t="shared" si="7"/>
        <v>15</v>
      </c>
    </row>
    <row r="402">
      <c r="A402" s="1">
        <v>536404.0</v>
      </c>
      <c r="B402" s="1" t="str">
        <f t="shared" si="1"/>
        <v>536404</v>
      </c>
      <c r="C402" s="1" t="str">
        <f t="shared" si="2"/>
        <v>Sale</v>
      </c>
      <c r="D402" s="1">
        <v>21061.0</v>
      </c>
      <c r="E402" s="1" t="str">
        <f>IFERROR(__xludf.DUMMYFUNCTION("IF(LEN(D402)&gt;4, IFERROR(REGEXEXTRACT(TO_TEXT(D402),""\d+""),""""),"""")"),"21061")</f>
        <v>21061</v>
      </c>
      <c r="F402" s="6" t="str">
        <f t="shared" si="3"/>
        <v>Product</v>
      </c>
      <c r="G402" s="1" t="s">
        <v>346</v>
      </c>
      <c r="H402" s="6" t="str">
        <f>IFERROR(__xludf.DUMMYFUNCTION("IF(REGEXMATCH(LOWER(G402), ""^(\?)+\s*(missing)?\s*(\?)*$""), """", PROPER(SUBSTITUTE(SUBSTITUTE(G402, ""?"", """"), ""*"", """")))"),"Party Invites Football")</f>
        <v>Party Invites Football</v>
      </c>
      <c r="I402" s="3">
        <v>12.0</v>
      </c>
      <c r="J402" s="7">
        <v>40513.478472222225</v>
      </c>
      <c r="K402" s="8" t="str">
        <f t="shared" si="4"/>
        <v>2010-12</v>
      </c>
      <c r="L402" s="5">
        <v>0.85</v>
      </c>
      <c r="M402" s="3">
        <v>16218.0</v>
      </c>
      <c r="N402" s="1" t="str">
        <f t="shared" si="5"/>
        <v>Registered</v>
      </c>
      <c r="O402" s="1" t="s">
        <v>19</v>
      </c>
      <c r="P402" s="9" t="str">
        <f t="shared" si="6"/>
        <v>UK</v>
      </c>
      <c r="Q402" s="8">
        <f t="shared" si="7"/>
        <v>10.2</v>
      </c>
    </row>
    <row r="403">
      <c r="A403" s="1">
        <v>536404.0</v>
      </c>
      <c r="B403" s="1" t="str">
        <f t="shared" si="1"/>
        <v>536404</v>
      </c>
      <c r="C403" s="1" t="str">
        <f t="shared" si="2"/>
        <v>Sale</v>
      </c>
      <c r="D403" s="1">
        <v>21063.0</v>
      </c>
      <c r="E403" s="1" t="str">
        <f>IFERROR(__xludf.DUMMYFUNCTION("IF(LEN(D403)&gt;4, IFERROR(REGEXEXTRACT(TO_TEXT(D403),""\d+""),""""),"""")"),"21063")</f>
        <v>21063</v>
      </c>
      <c r="F403" s="6" t="str">
        <f t="shared" si="3"/>
        <v>Product</v>
      </c>
      <c r="G403" s="1" t="s">
        <v>347</v>
      </c>
      <c r="H403" s="6" t="str">
        <f>IFERROR(__xludf.DUMMYFUNCTION("IF(REGEXMATCH(LOWER(G403), ""^(\?)+\s*(missing)?\s*(\?)*$""), """", PROPER(SUBSTITUTE(SUBSTITUTE(G403, ""?"", """"), ""*"", """")))"),"Party Invites Jazz Hearts")</f>
        <v>Party Invites Jazz Hearts</v>
      </c>
      <c r="I403" s="3">
        <v>12.0</v>
      </c>
      <c r="J403" s="7">
        <v>40513.478472222225</v>
      </c>
      <c r="K403" s="8" t="str">
        <f t="shared" si="4"/>
        <v>2010-12</v>
      </c>
      <c r="L403" s="5">
        <v>0.85</v>
      </c>
      <c r="M403" s="3">
        <v>16218.0</v>
      </c>
      <c r="N403" s="1" t="str">
        <f t="shared" si="5"/>
        <v>Registered</v>
      </c>
      <c r="O403" s="1" t="s">
        <v>19</v>
      </c>
      <c r="P403" s="9" t="str">
        <f t="shared" si="6"/>
        <v>UK</v>
      </c>
      <c r="Q403" s="8">
        <f t="shared" si="7"/>
        <v>10.2</v>
      </c>
    </row>
    <row r="404">
      <c r="A404" s="1">
        <v>536404.0</v>
      </c>
      <c r="B404" s="1" t="str">
        <f t="shared" si="1"/>
        <v>536404</v>
      </c>
      <c r="C404" s="1" t="str">
        <f t="shared" si="2"/>
        <v>Sale</v>
      </c>
      <c r="D404" s="1">
        <v>21062.0</v>
      </c>
      <c r="E404" s="1" t="str">
        <f>IFERROR(__xludf.DUMMYFUNCTION("IF(LEN(D404)&gt;4, IFERROR(REGEXEXTRACT(TO_TEXT(D404),""\d+""),""""),"""")"),"21062")</f>
        <v>21062</v>
      </c>
      <c r="F404" s="6" t="str">
        <f t="shared" si="3"/>
        <v>Product</v>
      </c>
      <c r="G404" s="1" t="s">
        <v>348</v>
      </c>
      <c r="H404" s="6" t="str">
        <f>IFERROR(__xludf.DUMMYFUNCTION("IF(REGEXMATCH(LOWER(G404), ""^(\?)+\s*(missing)?\s*(\?)*$""), """", PROPER(SUBSTITUTE(SUBSTITUTE(G404, ""?"", """"), ""*"", """")))"),"Party Invites Spaceman")</f>
        <v>Party Invites Spaceman</v>
      </c>
      <c r="I404" s="3">
        <v>12.0</v>
      </c>
      <c r="J404" s="7">
        <v>40513.478472222225</v>
      </c>
      <c r="K404" s="8" t="str">
        <f t="shared" si="4"/>
        <v>2010-12</v>
      </c>
      <c r="L404" s="5">
        <v>0.85</v>
      </c>
      <c r="M404" s="3">
        <v>16218.0</v>
      </c>
      <c r="N404" s="1" t="str">
        <f t="shared" si="5"/>
        <v>Registered</v>
      </c>
      <c r="O404" s="1" t="s">
        <v>19</v>
      </c>
      <c r="P404" s="9" t="str">
        <f t="shared" si="6"/>
        <v>UK</v>
      </c>
      <c r="Q404" s="8">
        <f t="shared" si="7"/>
        <v>10.2</v>
      </c>
    </row>
    <row r="405">
      <c r="A405" s="1">
        <v>536404.0</v>
      </c>
      <c r="B405" s="1" t="str">
        <f t="shared" si="1"/>
        <v>536404</v>
      </c>
      <c r="C405" s="1" t="str">
        <f t="shared" si="2"/>
        <v>Sale</v>
      </c>
      <c r="D405" s="1">
        <v>84380.0</v>
      </c>
      <c r="E405" s="1" t="str">
        <f>IFERROR(__xludf.DUMMYFUNCTION("IF(LEN(D405)&gt;4, IFERROR(REGEXEXTRACT(TO_TEXT(D405),""\d+""),""""),"""")"),"84380")</f>
        <v>84380</v>
      </c>
      <c r="F405" s="6" t="str">
        <f t="shared" si="3"/>
        <v>Product</v>
      </c>
      <c r="G405" s="1" t="s">
        <v>349</v>
      </c>
      <c r="H405" s="6" t="str">
        <f>IFERROR(__xludf.DUMMYFUNCTION("IF(REGEXMATCH(LOWER(G405), ""^(\?)+\s*(missing)?\s*(\?)*$""), """", PROPER(SUBSTITUTE(SUBSTITUTE(G405, ""?"", """"), ""*"", """")))"),"Set Of 3 Butterfly Cookie Cutters")</f>
        <v>Set Of 3 Butterfly Cookie Cutters</v>
      </c>
      <c r="I405" s="3">
        <v>12.0</v>
      </c>
      <c r="J405" s="7">
        <v>40513.478472222225</v>
      </c>
      <c r="K405" s="8" t="str">
        <f t="shared" si="4"/>
        <v>2010-12</v>
      </c>
      <c r="L405" s="5">
        <v>1.25</v>
      </c>
      <c r="M405" s="3">
        <v>16218.0</v>
      </c>
      <c r="N405" s="1" t="str">
        <f t="shared" si="5"/>
        <v>Registered</v>
      </c>
      <c r="O405" s="1" t="s">
        <v>19</v>
      </c>
      <c r="P405" s="9" t="str">
        <f t="shared" si="6"/>
        <v>UK</v>
      </c>
      <c r="Q405" s="8">
        <f t="shared" si="7"/>
        <v>15</v>
      </c>
    </row>
    <row r="406">
      <c r="A406" s="1">
        <v>536404.0</v>
      </c>
      <c r="B406" s="1" t="str">
        <f t="shared" si="1"/>
        <v>536404</v>
      </c>
      <c r="C406" s="1" t="str">
        <f t="shared" si="2"/>
        <v>Sale</v>
      </c>
      <c r="D406" s="1">
        <v>84378.0</v>
      </c>
      <c r="E406" s="1" t="str">
        <f>IFERROR(__xludf.DUMMYFUNCTION("IF(LEN(D406)&gt;4, IFERROR(REGEXEXTRACT(TO_TEXT(D406),""\d+""),""""),"""")"),"84378")</f>
        <v>84378</v>
      </c>
      <c r="F406" s="6" t="str">
        <f t="shared" si="3"/>
        <v>Product</v>
      </c>
      <c r="G406" s="1" t="s">
        <v>350</v>
      </c>
      <c r="H406" s="6" t="str">
        <f>IFERROR(__xludf.DUMMYFUNCTION("IF(REGEXMATCH(LOWER(G406), ""^(\?)+\s*(missing)?\s*(\?)*$""), """", PROPER(SUBSTITUTE(SUBSTITUTE(G406, ""?"", """"), ""*"", """")))"),"Set Of 3 Heart Cookie Cutters")</f>
        <v>Set Of 3 Heart Cookie Cutters</v>
      </c>
      <c r="I406" s="3">
        <v>12.0</v>
      </c>
      <c r="J406" s="7">
        <v>40513.478472222225</v>
      </c>
      <c r="K406" s="8" t="str">
        <f t="shared" si="4"/>
        <v>2010-12</v>
      </c>
      <c r="L406" s="5">
        <v>1.25</v>
      </c>
      <c r="M406" s="3">
        <v>16218.0</v>
      </c>
      <c r="N406" s="1" t="str">
        <f t="shared" si="5"/>
        <v>Registered</v>
      </c>
      <c r="O406" s="1" t="s">
        <v>19</v>
      </c>
      <c r="P406" s="9" t="str">
        <f t="shared" si="6"/>
        <v>UK</v>
      </c>
      <c r="Q406" s="8">
        <f t="shared" si="7"/>
        <v>15</v>
      </c>
    </row>
    <row r="407">
      <c r="A407" s="1">
        <v>536404.0</v>
      </c>
      <c r="B407" s="1" t="str">
        <f t="shared" si="1"/>
        <v>536404</v>
      </c>
      <c r="C407" s="1" t="str">
        <f t="shared" si="2"/>
        <v>Sale</v>
      </c>
      <c r="D407" s="1">
        <v>22964.0</v>
      </c>
      <c r="E407" s="1" t="str">
        <f>IFERROR(__xludf.DUMMYFUNCTION("IF(LEN(D407)&gt;4, IFERROR(REGEXEXTRACT(TO_TEXT(D407),""\d+""),""""),"""")"),"22964")</f>
        <v>22964</v>
      </c>
      <c r="F407" s="6" t="str">
        <f t="shared" si="3"/>
        <v>Product</v>
      </c>
      <c r="G407" s="1" t="s">
        <v>351</v>
      </c>
      <c r="H407" s="6" t="str">
        <f>IFERROR(__xludf.DUMMYFUNCTION("IF(REGEXMATCH(LOWER(G407), ""^(\?)+\s*(missing)?\s*(\?)*$""), """", PROPER(SUBSTITUTE(SUBSTITUTE(G407, ""?"", """"), ""*"", """")))"),"3 Piece Spaceboy Cookie Cutter Set")</f>
        <v>3 Piece Spaceboy Cookie Cutter Set</v>
      </c>
      <c r="I407" s="3">
        <v>12.0</v>
      </c>
      <c r="J407" s="7">
        <v>40513.478472222225</v>
      </c>
      <c r="K407" s="8" t="str">
        <f t="shared" si="4"/>
        <v>2010-12</v>
      </c>
      <c r="L407" s="5">
        <v>2.1</v>
      </c>
      <c r="M407" s="3">
        <v>16218.0</v>
      </c>
      <c r="N407" s="1" t="str">
        <f t="shared" si="5"/>
        <v>Registered</v>
      </c>
      <c r="O407" s="1" t="s">
        <v>19</v>
      </c>
      <c r="P407" s="9" t="str">
        <f t="shared" si="6"/>
        <v>UK</v>
      </c>
      <c r="Q407" s="8">
        <f t="shared" si="7"/>
        <v>25.2</v>
      </c>
    </row>
    <row r="408">
      <c r="A408" s="1">
        <v>536404.0</v>
      </c>
      <c r="B408" s="1" t="str">
        <f t="shared" si="1"/>
        <v>536404</v>
      </c>
      <c r="C408" s="1" t="str">
        <f t="shared" si="2"/>
        <v>Sale</v>
      </c>
      <c r="D408" s="1">
        <v>21213.0</v>
      </c>
      <c r="E408" s="1" t="str">
        <f>IFERROR(__xludf.DUMMYFUNCTION("IF(LEN(D408)&gt;4, IFERROR(REGEXEXTRACT(TO_TEXT(D408),""\d+""),""""),"""")"),"21213")</f>
        <v>21213</v>
      </c>
      <c r="F408" s="6" t="str">
        <f t="shared" si="3"/>
        <v>Product</v>
      </c>
      <c r="G408" s="1" t="s">
        <v>352</v>
      </c>
      <c r="H408" s="6" t="str">
        <f>IFERROR(__xludf.DUMMYFUNCTION("IF(REGEXMATCH(LOWER(G408), ""^(\?)+\s*(missing)?\s*(\?)*$""), """", PROPER(SUBSTITUTE(SUBSTITUTE(G408, ""?"", """"), ""*"", """")))"),"Pack Of 72 Skull Cake Cases")</f>
        <v>Pack Of 72 Skull Cake Cases</v>
      </c>
      <c r="I408" s="3">
        <v>24.0</v>
      </c>
      <c r="J408" s="7">
        <v>40513.478472222225</v>
      </c>
      <c r="K408" s="8" t="str">
        <f t="shared" si="4"/>
        <v>2010-12</v>
      </c>
      <c r="L408" s="5">
        <v>0.55</v>
      </c>
      <c r="M408" s="3">
        <v>16218.0</v>
      </c>
      <c r="N408" s="1" t="str">
        <f t="shared" si="5"/>
        <v>Registered</v>
      </c>
      <c r="O408" s="1" t="s">
        <v>19</v>
      </c>
      <c r="P408" s="9" t="str">
        <f t="shared" si="6"/>
        <v>UK</v>
      </c>
      <c r="Q408" s="8">
        <f t="shared" si="7"/>
        <v>13.2</v>
      </c>
    </row>
    <row r="409">
      <c r="A409" s="1">
        <v>536404.0</v>
      </c>
      <c r="B409" s="1" t="str">
        <f t="shared" si="1"/>
        <v>536404</v>
      </c>
      <c r="C409" s="1" t="str">
        <f t="shared" si="2"/>
        <v>Sale</v>
      </c>
      <c r="D409" s="1">
        <v>22417.0</v>
      </c>
      <c r="E409" s="1" t="str">
        <f>IFERROR(__xludf.DUMMYFUNCTION("IF(LEN(D409)&gt;4, IFERROR(REGEXEXTRACT(TO_TEXT(D409),""\d+""),""""),"""")"),"22417")</f>
        <v>22417</v>
      </c>
      <c r="F409" s="6" t="str">
        <f t="shared" si="3"/>
        <v>Product</v>
      </c>
      <c r="G409" s="1" t="s">
        <v>353</v>
      </c>
      <c r="H409" s="6" t="str">
        <f>IFERROR(__xludf.DUMMYFUNCTION("IF(REGEXMATCH(LOWER(G409), ""^(\?)+\s*(missing)?\s*(\?)*$""), """", PROPER(SUBSTITUTE(SUBSTITUTE(G409, ""?"", """"), ""*"", """")))"),"Pack Of 60 Spaceboy Cake Cases")</f>
        <v>Pack Of 60 Spaceboy Cake Cases</v>
      </c>
      <c r="I409" s="3">
        <v>24.0</v>
      </c>
      <c r="J409" s="7">
        <v>40513.478472222225</v>
      </c>
      <c r="K409" s="8" t="str">
        <f t="shared" si="4"/>
        <v>2010-12</v>
      </c>
      <c r="L409" s="5">
        <v>0.55</v>
      </c>
      <c r="M409" s="3">
        <v>16218.0</v>
      </c>
      <c r="N409" s="1" t="str">
        <f t="shared" si="5"/>
        <v>Registered</v>
      </c>
      <c r="O409" s="1" t="s">
        <v>19</v>
      </c>
      <c r="P409" s="9" t="str">
        <f t="shared" si="6"/>
        <v>UK</v>
      </c>
      <c r="Q409" s="8">
        <f t="shared" si="7"/>
        <v>13.2</v>
      </c>
    </row>
    <row r="410">
      <c r="A410" s="1">
        <v>536404.0</v>
      </c>
      <c r="B410" s="1" t="str">
        <f t="shared" si="1"/>
        <v>536404</v>
      </c>
      <c r="C410" s="1" t="str">
        <f t="shared" si="2"/>
        <v>Sale</v>
      </c>
      <c r="D410" s="1">
        <v>21212.0</v>
      </c>
      <c r="E410" s="1" t="str">
        <f>IFERROR(__xludf.DUMMYFUNCTION("IF(LEN(D410)&gt;4, IFERROR(REGEXEXTRACT(TO_TEXT(D410),""\d+""),""""),"""")"),"21212")</f>
        <v>21212</v>
      </c>
      <c r="F410" s="6" t="str">
        <f t="shared" si="3"/>
        <v>Product</v>
      </c>
      <c r="G410" s="1" t="s">
        <v>97</v>
      </c>
      <c r="H410" s="6" t="str">
        <f>IFERROR(__xludf.DUMMYFUNCTION("IF(REGEXMATCH(LOWER(G410), ""^(\?)+\s*(missing)?\s*(\?)*$""), """", PROPER(SUBSTITUTE(SUBSTITUTE(G410, ""?"", """"), ""*"", """")))"),"Pack Of 72 Retrospot Cake Cases")</f>
        <v>Pack Of 72 Retrospot Cake Cases</v>
      </c>
      <c r="I410" s="3">
        <v>24.0</v>
      </c>
      <c r="J410" s="7">
        <v>40513.478472222225</v>
      </c>
      <c r="K410" s="8" t="str">
        <f t="shared" si="4"/>
        <v>2010-12</v>
      </c>
      <c r="L410" s="5">
        <v>0.55</v>
      </c>
      <c r="M410" s="3">
        <v>16218.0</v>
      </c>
      <c r="N410" s="1" t="str">
        <f t="shared" si="5"/>
        <v>Registered</v>
      </c>
      <c r="O410" s="1" t="s">
        <v>19</v>
      </c>
      <c r="P410" s="9" t="str">
        <f t="shared" si="6"/>
        <v>UK</v>
      </c>
      <c r="Q410" s="8">
        <f t="shared" si="7"/>
        <v>13.2</v>
      </c>
    </row>
    <row r="411">
      <c r="A411" s="1">
        <v>536404.0</v>
      </c>
      <c r="B411" s="1" t="str">
        <f t="shared" si="1"/>
        <v>536404</v>
      </c>
      <c r="C411" s="1" t="str">
        <f t="shared" si="2"/>
        <v>Sale</v>
      </c>
      <c r="D411" s="1">
        <v>84992.0</v>
      </c>
      <c r="E411" s="1" t="str">
        <f>IFERROR(__xludf.DUMMYFUNCTION("IF(LEN(D411)&gt;4, IFERROR(REGEXEXTRACT(TO_TEXT(D411),""\d+""),""""),"""")"),"84992")</f>
        <v>84992</v>
      </c>
      <c r="F411" s="6" t="str">
        <f t="shared" si="3"/>
        <v>Product</v>
      </c>
      <c r="G411" s="1" t="s">
        <v>354</v>
      </c>
      <c r="H411" s="6" t="str">
        <f>IFERROR(__xludf.DUMMYFUNCTION("IF(REGEXMATCH(LOWER(G411), ""^(\?)+\s*(missing)?\s*(\?)*$""), """", PROPER(SUBSTITUTE(SUBSTITUTE(G411, ""?"", """"), ""*"", """")))"),"72 Sweetheart Fairy Cake Cases")</f>
        <v>72 Sweetheart Fairy Cake Cases</v>
      </c>
      <c r="I411" s="3">
        <v>24.0</v>
      </c>
      <c r="J411" s="7">
        <v>40513.478472222225</v>
      </c>
      <c r="K411" s="8" t="str">
        <f t="shared" si="4"/>
        <v>2010-12</v>
      </c>
      <c r="L411" s="5">
        <v>0.55</v>
      </c>
      <c r="M411" s="3">
        <v>16218.0</v>
      </c>
      <c r="N411" s="1" t="str">
        <f t="shared" si="5"/>
        <v>Registered</v>
      </c>
      <c r="O411" s="1" t="s">
        <v>19</v>
      </c>
      <c r="P411" s="9" t="str">
        <f t="shared" si="6"/>
        <v>UK</v>
      </c>
      <c r="Q411" s="8">
        <f t="shared" si="7"/>
        <v>13.2</v>
      </c>
    </row>
    <row r="412">
      <c r="A412" s="1">
        <v>536404.0</v>
      </c>
      <c r="B412" s="1" t="str">
        <f t="shared" si="1"/>
        <v>536404</v>
      </c>
      <c r="C412" s="1" t="str">
        <f t="shared" si="2"/>
        <v>Sale</v>
      </c>
      <c r="D412" s="1">
        <v>21975.0</v>
      </c>
      <c r="E412" s="1" t="str">
        <f>IFERROR(__xludf.DUMMYFUNCTION("IF(LEN(D412)&gt;4, IFERROR(REGEXEXTRACT(TO_TEXT(D412),""\d+""),""""),"""")"),"21975")</f>
        <v>21975</v>
      </c>
      <c r="F412" s="6" t="str">
        <f t="shared" si="3"/>
        <v>Product</v>
      </c>
      <c r="G412" s="1" t="s">
        <v>98</v>
      </c>
      <c r="H412" s="6" t="str">
        <f>IFERROR(__xludf.DUMMYFUNCTION("IF(REGEXMATCH(LOWER(G412), ""^(\?)+\s*(missing)?\s*(\?)*$""), """", PROPER(SUBSTITUTE(SUBSTITUTE(G412, ""?"", """"), ""*"", """")))"),"Pack Of 60 Dinosaur Cake Cases")</f>
        <v>Pack Of 60 Dinosaur Cake Cases</v>
      </c>
      <c r="I412" s="3">
        <v>24.0</v>
      </c>
      <c r="J412" s="7">
        <v>40513.478472222225</v>
      </c>
      <c r="K412" s="8" t="str">
        <f t="shared" si="4"/>
        <v>2010-12</v>
      </c>
      <c r="L412" s="5">
        <v>0.55</v>
      </c>
      <c r="M412" s="3">
        <v>16218.0</v>
      </c>
      <c r="N412" s="1" t="str">
        <f t="shared" si="5"/>
        <v>Registered</v>
      </c>
      <c r="O412" s="1" t="s">
        <v>19</v>
      </c>
      <c r="P412" s="9" t="str">
        <f t="shared" si="6"/>
        <v>UK</v>
      </c>
      <c r="Q412" s="8">
        <f t="shared" si="7"/>
        <v>13.2</v>
      </c>
    </row>
    <row r="413">
      <c r="A413" s="1">
        <v>536404.0</v>
      </c>
      <c r="B413" s="1" t="str">
        <f t="shared" si="1"/>
        <v>536404</v>
      </c>
      <c r="C413" s="1" t="str">
        <f t="shared" si="2"/>
        <v>Sale</v>
      </c>
      <c r="D413" s="1">
        <v>22383.0</v>
      </c>
      <c r="E413" s="1" t="str">
        <f>IFERROR(__xludf.DUMMYFUNCTION("IF(LEN(D413)&gt;4, IFERROR(REGEXEXTRACT(TO_TEXT(D413),""\d+""),""""),"""")"),"22383")</f>
        <v>22383</v>
      </c>
      <c r="F413" s="6" t="str">
        <f t="shared" si="3"/>
        <v>Product</v>
      </c>
      <c r="G413" s="1" t="s">
        <v>355</v>
      </c>
      <c r="H413" s="6" t="str">
        <f>IFERROR(__xludf.DUMMYFUNCTION("IF(REGEXMATCH(LOWER(G413), ""^(\?)+\s*(missing)?\s*(\?)*$""), """", PROPER(SUBSTITUTE(SUBSTITUTE(G413, ""?"", """"), ""*"", """")))"),"Lunch Bag Suki Design")</f>
        <v>Lunch Bag Suki Design</v>
      </c>
      <c r="I413" s="3">
        <v>10.0</v>
      </c>
      <c r="J413" s="7">
        <v>40513.478472222225</v>
      </c>
      <c r="K413" s="8" t="str">
        <f t="shared" si="4"/>
        <v>2010-12</v>
      </c>
      <c r="L413" s="5">
        <v>1.65</v>
      </c>
      <c r="M413" s="3">
        <v>16218.0</v>
      </c>
      <c r="N413" s="1" t="str">
        <f t="shared" si="5"/>
        <v>Registered</v>
      </c>
      <c r="O413" s="1" t="s">
        <v>19</v>
      </c>
      <c r="P413" s="9" t="str">
        <f t="shared" si="6"/>
        <v>UK</v>
      </c>
      <c r="Q413" s="8">
        <f t="shared" si="7"/>
        <v>16.5</v>
      </c>
    </row>
    <row r="414">
      <c r="A414" s="1">
        <v>536404.0</v>
      </c>
      <c r="B414" s="1" t="str">
        <f t="shared" si="1"/>
        <v>536404</v>
      </c>
      <c r="C414" s="1" t="str">
        <f t="shared" si="2"/>
        <v>Sale</v>
      </c>
      <c r="D414" s="1">
        <v>20728.0</v>
      </c>
      <c r="E414" s="1" t="str">
        <f>IFERROR(__xludf.DUMMYFUNCTION("IF(LEN(D414)&gt;4, IFERROR(REGEXEXTRACT(TO_TEXT(D414),""\d+""),""""),"""")"),"20728")</f>
        <v>20728</v>
      </c>
      <c r="F414" s="6" t="str">
        <f t="shared" si="3"/>
        <v>Product</v>
      </c>
      <c r="G414" s="1" t="s">
        <v>356</v>
      </c>
      <c r="H414" s="6" t="str">
        <f>IFERROR(__xludf.DUMMYFUNCTION("IF(REGEXMATCH(LOWER(G414), ""^(\?)+\s*(missing)?\s*(\?)*$""), """", PROPER(SUBSTITUTE(SUBSTITUTE(G414, ""?"", """"), ""*"", """")))"),"Lunch Bag Cars Blue")</f>
        <v>Lunch Bag Cars Blue</v>
      </c>
      <c r="I414" s="3">
        <v>10.0</v>
      </c>
      <c r="J414" s="7">
        <v>40513.478472222225</v>
      </c>
      <c r="K414" s="8" t="str">
        <f t="shared" si="4"/>
        <v>2010-12</v>
      </c>
      <c r="L414" s="5">
        <v>1.65</v>
      </c>
      <c r="M414" s="3">
        <v>16218.0</v>
      </c>
      <c r="N414" s="1" t="str">
        <f t="shared" si="5"/>
        <v>Registered</v>
      </c>
      <c r="O414" s="1" t="s">
        <v>19</v>
      </c>
      <c r="P414" s="9" t="str">
        <f t="shared" si="6"/>
        <v>UK</v>
      </c>
      <c r="Q414" s="8">
        <f t="shared" si="7"/>
        <v>16.5</v>
      </c>
    </row>
    <row r="415">
      <c r="A415" s="1">
        <v>536404.0</v>
      </c>
      <c r="B415" s="1" t="str">
        <f t="shared" si="1"/>
        <v>536404</v>
      </c>
      <c r="C415" s="1" t="str">
        <f t="shared" si="2"/>
        <v>Sale</v>
      </c>
      <c r="D415" s="1">
        <v>20727.0</v>
      </c>
      <c r="E415" s="1" t="str">
        <f>IFERROR(__xludf.DUMMYFUNCTION("IF(LEN(D415)&gt;4, IFERROR(REGEXEXTRACT(TO_TEXT(D415),""\d+""),""""),"""")"),"20727")</f>
        <v>20727</v>
      </c>
      <c r="F415" s="6" t="str">
        <f t="shared" si="3"/>
        <v>Product</v>
      </c>
      <c r="G415" s="1" t="s">
        <v>357</v>
      </c>
      <c r="H415" s="6" t="str">
        <f>IFERROR(__xludf.DUMMYFUNCTION("IF(REGEXMATCH(LOWER(G415), ""^(\?)+\s*(missing)?\s*(\?)*$""), """", PROPER(SUBSTITUTE(SUBSTITUTE(G415, ""?"", """"), ""*"", """")))"),"Lunch Bag Black Skull.")</f>
        <v>Lunch Bag Black Skull.</v>
      </c>
      <c r="I415" s="3">
        <v>10.0</v>
      </c>
      <c r="J415" s="7">
        <v>40513.478472222225</v>
      </c>
      <c r="K415" s="8" t="str">
        <f t="shared" si="4"/>
        <v>2010-12</v>
      </c>
      <c r="L415" s="5">
        <v>1.65</v>
      </c>
      <c r="M415" s="3">
        <v>16218.0</v>
      </c>
      <c r="N415" s="1" t="str">
        <f t="shared" si="5"/>
        <v>Registered</v>
      </c>
      <c r="O415" s="1" t="s">
        <v>19</v>
      </c>
      <c r="P415" s="9" t="str">
        <f t="shared" si="6"/>
        <v>UK</v>
      </c>
      <c r="Q415" s="8">
        <f t="shared" si="7"/>
        <v>16.5</v>
      </c>
    </row>
    <row r="416">
      <c r="A416" s="1">
        <v>536404.0</v>
      </c>
      <c r="B416" s="1" t="str">
        <f t="shared" si="1"/>
        <v>536404</v>
      </c>
      <c r="C416" s="1" t="str">
        <f t="shared" si="2"/>
        <v>Sale</v>
      </c>
      <c r="D416" s="1">
        <v>22296.0</v>
      </c>
      <c r="E416" s="1" t="str">
        <f>IFERROR(__xludf.DUMMYFUNCTION("IF(LEN(D416)&gt;4, IFERROR(REGEXEXTRACT(TO_TEXT(D416),""\d+""),""""),"""")"),"22296")</f>
        <v>22296</v>
      </c>
      <c r="F416" s="6" t="str">
        <f t="shared" si="3"/>
        <v>Product</v>
      </c>
      <c r="G416" s="1" t="s">
        <v>358</v>
      </c>
      <c r="H416" s="6" t="str">
        <f>IFERROR(__xludf.DUMMYFUNCTION("IF(REGEXMATCH(LOWER(G416), ""^(\?)+\s*(missing)?\s*(\?)*$""), """", PROPER(SUBSTITUTE(SUBSTITUTE(G416, ""?"", """"), ""*"", """")))"),"Heart Ivory Trellis Large")</f>
        <v>Heart Ivory Trellis Large</v>
      </c>
      <c r="I416" s="3">
        <v>24.0</v>
      </c>
      <c r="J416" s="7">
        <v>40513.478472222225</v>
      </c>
      <c r="K416" s="8" t="str">
        <f t="shared" si="4"/>
        <v>2010-12</v>
      </c>
      <c r="L416" s="5">
        <v>1.65</v>
      </c>
      <c r="M416" s="3">
        <v>16218.0</v>
      </c>
      <c r="N416" s="1" t="str">
        <f t="shared" si="5"/>
        <v>Registered</v>
      </c>
      <c r="O416" s="1" t="s">
        <v>19</v>
      </c>
      <c r="P416" s="9" t="str">
        <f t="shared" si="6"/>
        <v>UK</v>
      </c>
      <c r="Q416" s="8">
        <f t="shared" si="7"/>
        <v>39.6</v>
      </c>
    </row>
    <row r="417">
      <c r="A417" s="1">
        <v>536405.0</v>
      </c>
      <c r="B417" s="1" t="str">
        <f t="shared" si="1"/>
        <v>536405</v>
      </c>
      <c r="C417" s="1" t="str">
        <f t="shared" si="2"/>
        <v>Sale</v>
      </c>
      <c r="D417" s="1">
        <v>20914.0</v>
      </c>
      <c r="E417" s="1" t="str">
        <f>IFERROR(__xludf.DUMMYFUNCTION("IF(LEN(D417)&gt;4, IFERROR(REGEXEXTRACT(TO_TEXT(D417),""\d+""),""""),"""")"),"20914")</f>
        <v>20914</v>
      </c>
      <c r="F417" s="6" t="str">
        <f t="shared" si="3"/>
        <v>Product</v>
      </c>
      <c r="G417" s="1" t="s">
        <v>359</v>
      </c>
      <c r="H417" s="6" t="str">
        <f>IFERROR(__xludf.DUMMYFUNCTION("IF(REGEXMATCH(LOWER(G417), ""^(\?)+\s*(missing)?\s*(\?)*$""), """", PROPER(SUBSTITUTE(SUBSTITUTE(G417, ""?"", """"), ""*"", """")))"),"Set/5 Red Retrospot Lid Glass Bowls")</f>
        <v>Set/5 Red Retrospot Lid Glass Bowls</v>
      </c>
      <c r="I417" s="3">
        <v>128.0</v>
      </c>
      <c r="J417" s="7">
        <v>40513.48055555556</v>
      </c>
      <c r="K417" s="8" t="str">
        <f t="shared" si="4"/>
        <v>2010-12</v>
      </c>
      <c r="L417" s="5">
        <v>2.55</v>
      </c>
      <c r="M417" s="3">
        <v>14045.0</v>
      </c>
      <c r="N417" s="1" t="str">
        <f t="shared" si="5"/>
        <v>Registered</v>
      </c>
      <c r="O417" s="1" t="s">
        <v>19</v>
      </c>
      <c r="P417" s="9" t="str">
        <f t="shared" si="6"/>
        <v>UK</v>
      </c>
      <c r="Q417" s="8">
        <f t="shared" si="7"/>
        <v>326.4</v>
      </c>
    </row>
    <row r="418">
      <c r="A418" s="1">
        <v>536406.0</v>
      </c>
      <c r="B418" s="1" t="str">
        <f t="shared" si="1"/>
        <v>536406</v>
      </c>
      <c r="C418" s="1" t="str">
        <f t="shared" si="2"/>
        <v>Sale</v>
      </c>
      <c r="D418" s="1" t="s">
        <v>17</v>
      </c>
      <c r="E418" s="1" t="str">
        <f>IFERROR(__xludf.DUMMYFUNCTION("IF(LEN(D418)&gt;4, IFERROR(REGEXEXTRACT(TO_TEXT(D418),""\d+""),""""),"""")"),"85123")</f>
        <v>85123</v>
      </c>
      <c r="F418" s="6" t="str">
        <f t="shared" si="3"/>
        <v>Product</v>
      </c>
      <c r="G418" s="1" t="s">
        <v>18</v>
      </c>
      <c r="H418" s="6" t="str">
        <f>IFERROR(__xludf.DUMMYFUNCTION("IF(REGEXMATCH(LOWER(G418), ""^(\?)+\s*(missing)?\s*(\?)*$""), """", PROPER(SUBSTITUTE(SUBSTITUTE(G418, ""?"", """"), ""*"", """")))"),"White Hanging Heart T-Light Holder")</f>
        <v>White Hanging Heart T-Light Holder</v>
      </c>
      <c r="I418" s="3">
        <v>8.0</v>
      </c>
      <c r="J418" s="7">
        <v>40513.48125</v>
      </c>
      <c r="K418" s="8" t="str">
        <f t="shared" si="4"/>
        <v>2010-12</v>
      </c>
      <c r="L418" s="5">
        <v>2.55</v>
      </c>
      <c r="M418" s="3">
        <v>17850.0</v>
      </c>
      <c r="N418" s="1" t="str">
        <f t="shared" si="5"/>
        <v>Registered</v>
      </c>
      <c r="O418" s="1" t="s">
        <v>19</v>
      </c>
      <c r="P418" s="9" t="str">
        <f t="shared" si="6"/>
        <v>UK</v>
      </c>
      <c r="Q418" s="8">
        <f t="shared" si="7"/>
        <v>20.4</v>
      </c>
    </row>
    <row r="419">
      <c r="A419" s="1">
        <v>536406.0</v>
      </c>
      <c r="B419" s="1" t="str">
        <f t="shared" si="1"/>
        <v>536406</v>
      </c>
      <c r="C419" s="1" t="str">
        <f t="shared" si="2"/>
        <v>Sale</v>
      </c>
      <c r="D419" s="1">
        <v>71053.0</v>
      </c>
      <c r="E419" s="1" t="str">
        <f>IFERROR(__xludf.DUMMYFUNCTION("IF(LEN(D419)&gt;4, IFERROR(REGEXEXTRACT(TO_TEXT(D419),""\d+""),""""),"""")"),"71053")</f>
        <v>71053</v>
      </c>
      <c r="F419" s="6" t="str">
        <f t="shared" si="3"/>
        <v>Product</v>
      </c>
      <c r="G419" s="1" t="s">
        <v>20</v>
      </c>
      <c r="H419" s="6" t="str">
        <f>IFERROR(__xludf.DUMMYFUNCTION("IF(REGEXMATCH(LOWER(G419), ""^(\?)+\s*(missing)?\s*(\?)*$""), """", PROPER(SUBSTITUTE(SUBSTITUTE(G419, ""?"", """"), ""*"", """")))"),"White Metal Lantern")</f>
        <v>White Metal Lantern</v>
      </c>
      <c r="I419" s="3">
        <v>8.0</v>
      </c>
      <c r="J419" s="7">
        <v>40513.48125</v>
      </c>
      <c r="K419" s="8" t="str">
        <f t="shared" si="4"/>
        <v>2010-12</v>
      </c>
      <c r="L419" s="5">
        <v>3.39</v>
      </c>
      <c r="M419" s="3">
        <v>17850.0</v>
      </c>
      <c r="N419" s="1" t="str">
        <f t="shared" si="5"/>
        <v>Registered</v>
      </c>
      <c r="O419" s="1" t="s">
        <v>19</v>
      </c>
      <c r="P419" s="9" t="str">
        <f t="shared" si="6"/>
        <v>UK</v>
      </c>
      <c r="Q419" s="8">
        <f t="shared" si="7"/>
        <v>27.12</v>
      </c>
    </row>
    <row r="420">
      <c r="A420" s="1">
        <v>536406.0</v>
      </c>
      <c r="B420" s="1" t="str">
        <f t="shared" si="1"/>
        <v>536406</v>
      </c>
      <c r="C420" s="1" t="str">
        <f t="shared" si="2"/>
        <v>Sale</v>
      </c>
      <c r="D420" s="1" t="s">
        <v>21</v>
      </c>
      <c r="E420" s="1" t="str">
        <f>IFERROR(__xludf.DUMMYFUNCTION("IF(LEN(D420)&gt;4, IFERROR(REGEXEXTRACT(TO_TEXT(D420),""\d+""),""""),"""")"),"84406")</f>
        <v>84406</v>
      </c>
      <c r="F420" s="6" t="str">
        <f t="shared" si="3"/>
        <v>Product</v>
      </c>
      <c r="G420" s="1" t="s">
        <v>22</v>
      </c>
      <c r="H420" s="6" t="str">
        <f>IFERROR(__xludf.DUMMYFUNCTION("IF(REGEXMATCH(LOWER(G420), ""^(\?)+\s*(missing)?\s*(\?)*$""), """", PROPER(SUBSTITUTE(SUBSTITUTE(G420, ""?"", """"), ""*"", """")))"),"Cream Cupid Hearts Coat Hanger")</f>
        <v>Cream Cupid Hearts Coat Hanger</v>
      </c>
      <c r="I420" s="3">
        <v>8.0</v>
      </c>
      <c r="J420" s="7">
        <v>40513.48125</v>
      </c>
      <c r="K420" s="8" t="str">
        <f t="shared" si="4"/>
        <v>2010-12</v>
      </c>
      <c r="L420" s="5">
        <v>2.75</v>
      </c>
      <c r="M420" s="3">
        <v>17850.0</v>
      </c>
      <c r="N420" s="1" t="str">
        <f t="shared" si="5"/>
        <v>Registered</v>
      </c>
      <c r="O420" s="1" t="s">
        <v>19</v>
      </c>
      <c r="P420" s="9" t="str">
        <f t="shared" si="6"/>
        <v>UK</v>
      </c>
      <c r="Q420" s="8">
        <f t="shared" si="7"/>
        <v>22</v>
      </c>
    </row>
    <row r="421">
      <c r="A421" s="1">
        <v>536406.0</v>
      </c>
      <c r="B421" s="1" t="str">
        <f t="shared" si="1"/>
        <v>536406</v>
      </c>
      <c r="C421" s="1" t="str">
        <f t="shared" si="2"/>
        <v>Sale</v>
      </c>
      <c r="D421" s="1">
        <v>20679.0</v>
      </c>
      <c r="E421" s="1" t="str">
        <f>IFERROR(__xludf.DUMMYFUNCTION("IF(LEN(D421)&gt;4, IFERROR(REGEXEXTRACT(TO_TEXT(D421),""\d+""),""""),"""")"),"20679")</f>
        <v>20679</v>
      </c>
      <c r="F421" s="6" t="str">
        <f t="shared" si="3"/>
        <v>Product</v>
      </c>
      <c r="G421" s="1" t="s">
        <v>71</v>
      </c>
      <c r="H421" s="6" t="str">
        <f>IFERROR(__xludf.DUMMYFUNCTION("IF(REGEXMATCH(LOWER(G421), ""^(\?)+\s*(missing)?\s*(\?)*$""), """", PROPER(SUBSTITUTE(SUBSTITUTE(G421, ""?"", """"), ""*"", """")))"),"Edwardian Parasol Red")</f>
        <v>Edwardian Parasol Red</v>
      </c>
      <c r="I421" s="3">
        <v>6.0</v>
      </c>
      <c r="J421" s="7">
        <v>40513.48125</v>
      </c>
      <c r="K421" s="8" t="str">
        <f t="shared" si="4"/>
        <v>2010-12</v>
      </c>
      <c r="L421" s="5">
        <v>4.95</v>
      </c>
      <c r="M421" s="3">
        <v>17850.0</v>
      </c>
      <c r="N421" s="1" t="str">
        <f t="shared" si="5"/>
        <v>Registered</v>
      </c>
      <c r="O421" s="1" t="s">
        <v>19</v>
      </c>
      <c r="P421" s="9" t="str">
        <f t="shared" si="6"/>
        <v>UK</v>
      </c>
      <c r="Q421" s="8">
        <f t="shared" si="7"/>
        <v>29.7</v>
      </c>
    </row>
    <row r="422">
      <c r="A422" s="1">
        <v>536406.0</v>
      </c>
      <c r="B422" s="1" t="str">
        <f t="shared" si="1"/>
        <v>536406</v>
      </c>
      <c r="C422" s="1" t="str">
        <f t="shared" si="2"/>
        <v>Sale</v>
      </c>
      <c r="D422" s="1">
        <v>37370.0</v>
      </c>
      <c r="E422" s="1" t="str">
        <f>IFERROR(__xludf.DUMMYFUNCTION("IF(LEN(D422)&gt;4, IFERROR(REGEXEXTRACT(TO_TEXT(D422),""\d+""),""""),"""")"),"37370")</f>
        <v>37370</v>
      </c>
      <c r="F422" s="6" t="str">
        <f t="shared" si="3"/>
        <v>Product</v>
      </c>
      <c r="G422" s="1" t="s">
        <v>72</v>
      </c>
      <c r="H422" s="6" t="str">
        <f>IFERROR(__xludf.DUMMYFUNCTION("IF(REGEXMATCH(LOWER(G422), ""^(\?)+\s*(missing)?\s*(\?)*$""), """", PROPER(SUBSTITUTE(SUBSTITUTE(G422, ""?"", """"), ""*"", """")))"),"Retro Coffee Mugs Assorted")</f>
        <v>Retro Coffee Mugs Assorted</v>
      </c>
      <c r="I422" s="3">
        <v>6.0</v>
      </c>
      <c r="J422" s="7">
        <v>40513.48125</v>
      </c>
      <c r="K422" s="8" t="str">
        <f t="shared" si="4"/>
        <v>2010-12</v>
      </c>
      <c r="L422" s="5">
        <v>1.06</v>
      </c>
      <c r="M422" s="3">
        <v>17850.0</v>
      </c>
      <c r="N422" s="1" t="str">
        <f t="shared" si="5"/>
        <v>Registered</v>
      </c>
      <c r="O422" s="1" t="s">
        <v>19</v>
      </c>
      <c r="P422" s="9" t="str">
        <f t="shared" si="6"/>
        <v>UK</v>
      </c>
      <c r="Q422" s="8">
        <f t="shared" si="7"/>
        <v>6.36</v>
      </c>
    </row>
    <row r="423">
      <c r="A423" s="1">
        <v>536406.0</v>
      </c>
      <c r="B423" s="1" t="str">
        <f t="shared" si="1"/>
        <v>536406</v>
      </c>
      <c r="C423" s="1" t="str">
        <f t="shared" si="2"/>
        <v>Sale</v>
      </c>
      <c r="D423" s="1">
        <v>21871.0</v>
      </c>
      <c r="E423" s="1" t="str">
        <f>IFERROR(__xludf.DUMMYFUNCTION("IF(LEN(D423)&gt;4, IFERROR(REGEXEXTRACT(TO_TEXT(D423),""\d+""),""""),"""")"),"21871")</f>
        <v>21871</v>
      </c>
      <c r="F423" s="6" t="str">
        <f t="shared" si="3"/>
        <v>Product</v>
      </c>
      <c r="G423" s="1" t="s">
        <v>73</v>
      </c>
      <c r="H423" s="6" t="str">
        <f>IFERROR(__xludf.DUMMYFUNCTION("IF(REGEXMATCH(LOWER(G423), ""^(\?)+\s*(missing)?\s*(\?)*$""), """", PROPER(SUBSTITUTE(SUBSTITUTE(G423, ""?"", """"), ""*"", """")))"),"Save The Planet Mug")</f>
        <v>Save The Planet Mug</v>
      </c>
      <c r="I423" s="3">
        <v>6.0</v>
      </c>
      <c r="J423" s="7">
        <v>40513.48125</v>
      </c>
      <c r="K423" s="8" t="str">
        <f t="shared" si="4"/>
        <v>2010-12</v>
      </c>
      <c r="L423" s="5">
        <v>1.06</v>
      </c>
      <c r="M423" s="3">
        <v>17850.0</v>
      </c>
      <c r="N423" s="1" t="str">
        <f t="shared" si="5"/>
        <v>Registered</v>
      </c>
      <c r="O423" s="1" t="s">
        <v>19</v>
      </c>
      <c r="P423" s="9" t="str">
        <f t="shared" si="6"/>
        <v>UK</v>
      </c>
      <c r="Q423" s="8">
        <f t="shared" si="7"/>
        <v>6.36</v>
      </c>
    </row>
    <row r="424">
      <c r="A424" s="1">
        <v>536406.0</v>
      </c>
      <c r="B424" s="1" t="str">
        <f t="shared" si="1"/>
        <v>536406</v>
      </c>
      <c r="C424" s="1" t="str">
        <f t="shared" si="2"/>
        <v>Sale</v>
      </c>
      <c r="D424" s="1">
        <v>21071.0</v>
      </c>
      <c r="E424" s="1" t="str">
        <f>IFERROR(__xludf.DUMMYFUNCTION("IF(LEN(D424)&gt;4, IFERROR(REGEXEXTRACT(TO_TEXT(D424),""\d+""),""""),"""")"),"21071")</f>
        <v>21071</v>
      </c>
      <c r="F424" s="6" t="str">
        <f t="shared" si="3"/>
        <v>Product</v>
      </c>
      <c r="G424" s="1" t="s">
        <v>74</v>
      </c>
      <c r="H424" s="6" t="str">
        <f>IFERROR(__xludf.DUMMYFUNCTION("IF(REGEXMATCH(LOWER(G424), ""^(\?)+\s*(missing)?\s*(\?)*$""), """", PROPER(SUBSTITUTE(SUBSTITUTE(G424, ""?"", """"), ""*"", """")))"),"Vintage Billboard Drink Me Mug")</f>
        <v>Vintage Billboard Drink Me Mug</v>
      </c>
      <c r="I424" s="3">
        <v>6.0</v>
      </c>
      <c r="J424" s="7">
        <v>40513.48125</v>
      </c>
      <c r="K424" s="8" t="str">
        <f t="shared" si="4"/>
        <v>2010-12</v>
      </c>
      <c r="L424" s="5">
        <v>1.06</v>
      </c>
      <c r="M424" s="3">
        <v>17850.0</v>
      </c>
      <c r="N424" s="1" t="str">
        <f t="shared" si="5"/>
        <v>Registered</v>
      </c>
      <c r="O424" s="1" t="s">
        <v>19</v>
      </c>
      <c r="P424" s="9" t="str">
        <f t="shared" si="6"/>
        <v>UK</v>
      </c>
      <c r="Q424" s="8">
        <f t="shared" si="7"/>
        <v>6.36</v>
      </c>
    </row>
    <row r="425">
      <c r="A425" s="1">
        <v>536406.0</v>
      </c>
      <c r="B425" s="1" t="str">
        <f t="shared" si="1"/>
        <v>536406</v>
      </c>
      <c r="C425" s="1" t="str">
        <f t="shared" si="2"/>
        <v>Sale</v>
      </c>
      <c r="D425" s="1">
        <v>21068.0</v>
      </c>
      <c r="E425" s="1" t="str">
        <f>IFERROR(__xludf.DUMMYFUNCTION("IF(LEN(D425)&gt;4, IFERROR(REGEXEXTRACT(TO_TEXT(D425),""\d+""),""""),"""")"),"21068")</f>
        <v>21068</v>
      </c>
      <c r="F425" s="6" t="str">
        <f t="shared" si="3"/>
        <v>Product</v>
      </c>
      <c r="G425" s="1" t="s">
        <v>75</v>
      </c>
      <c r="H425" s="6" t="str">
        <f>IFERROR(__xludf.DUMMYFUNCTION("IF(REGEXMATCH(LOWER(G425), ""^(\?)+\s*(missing)?\s*(\?)*$""), """", PROPER(SUBSTITUTE(SUBSTITUTE(G425, ""?"", """"), ""*"", """")))"),"Vintage Billboard Love/Hate Mug")</f>
        <v>Vintage Billboard Love/Hate Mug</v>
      </c>
      <c r="I425" s="3">
        <v>6.0</v>
      </c>
      <c r="J425" s="7">
        <v>40513.48125</v>
      </c>
      <c r="K425" s="8" t="str">
        <f t="shared" si="4"/>
        <v>2010-12</v>
      </c>
      <c r="L425" s="5">
        <v>1.06</v>
      </c>
      <c r="M425" s="3">
        <v>17850.0</v>
      </c>
      <c r="N425" s="1" t="str">
        <f t="shared" si="5"/>
        <v>Registered</v>
      </c>
      <c r="O425" s="1" t="s">
        <v>19</v>
      </c>
      <c r="P425" s="9" t="str">
        <f t="shared" si="6"/>
        <v>UK</v>
      </c>
      <c r="Q425" s="8">
        <f t="shared" si="7"/>
        <v>6.36</v>
      </c>
    </row>
    <row r="426">
      <c r="A426" s="1">
        <v>536406.0</v>
      </c>
      <c r="B426" s="1" t="str">
        <f t="shared" si="1"/>
        <v>536406</v>
      </c>
      <c r="C426" s="1" t="str">
        <f t="shared" si="2"/>
        <v>Sale</v>
      </c>
      <c r="D426" s="1">
        <v>82483.0</v>
      </c>
      <c r="E426" s="1" t="str">
        <f>IFERROR(__xludf.DUMMYFUNCTION("IF(LEN(D426)&gt;4, IFERROR(REGEXEXTRACT(TO_TEXT(D426),""\d+""),""""),"""")"),"82483")</f>
        <v>82483</v>
      </c>
      <c r="F426" s="6" t="str">
        <f t="shared" si="3"/>
        <v>Product</v>
      </c>
      <c r="G426" s="1" t="s">
        <v>76</v>
      </c>
      <c r="H426" s="6" t="str">
        <f>IFERROR(__xludf.DUMMYFUNCTION("IF(REGEXMATCH(LOWER(G426), ""^(\?)+\s*(missing)?\s*(\?)*$""), """", PROPER(SUBSTITUTE(SUBSTITUTE(G426, ""?"", """"), ""*"", """")))"),"Wood 2 Drawer Cabinet White Finish")</f>
        <v>Wood 2 Drawer Cabinet White Finish</v>
      </c>
      <c r="I426" s="3">
        <v>4.0</v>
      </c>
      <c r="J426" s="7">
        <v>40513.48125</v>
      </c>
      <c r="K426" s="8" t="str">
        <f t="shared" si="4"/>
        <v>2010-12</v>
      </c>
      <c r="L426" s="5">
        <v>4.95</v>
      </c>
      <c r="M426" s="3">
        <v>17850.0</v>
      </c>
      <c r="N426" s="1" t="str">
        <f t="shared" si="5"/>
        <v>Registered</v>
      </c>
      <c r="O426" s="1" t="s">
        <v>19</v>
      </c>
      <c r="P426" s="9" t="str">
        <f t="shared" si="6"/>
        <v>UK</v>
      </c>
      <c r="Q426" s="8">
        <f t="shared" si="7"/>
        <v>19.8</v>
      </c>
    </row>
    <row r="427">
      <c r="A427" s="1">
        <v>536406.0</v>
      </c>
      <c r="B427" s="1" t="str">
        <f t="shared" si="1"/>
        <v>536406</v>
      </c>
      <c r="C427" s="1" t="str">
        <f t="shared" si="2"/>
        <v>Sale</v>
      </c>
      <c r="D427" s="1">
        <v>82486.0</v>
      </c>
      <c r="E427" s="1" t="str">
        <f>IFERROR(__xludf.DUMMYFUNCTION("IF(LEN(D427)&gt;4, IFERROR(REGEXEXTRACT(TO_TEXT(D427),""\d+""),""""),"""")"),"82486")</f>
        <v>82486</v>
      </c>
      <c r="F427" s="6" t="str">
        <f t="shared" si="3"/>
        <v>Product</v>
      </c>
      <c r="G427" s="1" t="s">
        <v>77</v>
      </c>
      <c r="H427" s="6" t="str">
        <f>IFERROR(__xludf.DUMMYFUNCTION("IF(REGEXMATCH(LOWER(G427), ""^(\?)+\s*(missing)?\s*(\?)*$""), """", PROPER(SUBSTITUTE(SUBSTITUTE(G427, ""?"", """"), ""*"", """")))"),"Wood S/3 Cabinet Ant White Finish")</f>
        <v>Wood S/3 Cabinet Ant White Finish</v>
      </c>
      <c r="I427" s="3">
        <v>4.0</v>
      </c>
      <c r="J427" s="7">
        <v>40513.48125</v>
      </c>
      <c r="K427" s="8" t="str">
        <f t="shared" si="4"/>
        <v>2010-12</v>
      </c>
      <c r="L427" s="5">
        <v>6.95</v>
      </c>
      <c r="M427" s="3">
        <v>17850.0</v>
      </c>
      <c r="N427" s="1" t="str">
        <f t="shared" si="5"/>
        <v>Registered</v>
      </c>
      <c r="O427" s="1" t="s">
        <v>19</v>
      </c>
      <c r="P427" s="9" t="str">
        <f t="shared" si="6"/>
        <v>UK</v>
      </c>
      <c r="Q427" s="8">
        <f t="shared" si="7"/>
        <v>27.8</v>
      </c>
    </row>
    <row r="428">
      <c r="A428" s="1">
        <v>536406.0</v>
      </c>
      <c r="B428" s="1" t="str">
        <f t="shared" si="1"/>
        <v>536406</v>
      </c>
      <c r="C428" s="1" t="str">
        <f t="shared" si="2"/>
        <v>Sale</v>
      </c>
      <c r="D428" s="1">
        <v>82482.0</v>
      </c>
      <c r="E428" s="1" t="str">
        <f>IFERROR(__xludf.DUMMYFUNCTION("IF(LEN(D428)&gt;4, IFERROR(REGEXEXTRACT(TO_TEXT(D428),""\d+""),""""),"""")"),"82482")</f>
        <v>82482</v>
      </c>
      <c r="F428" s="6" t="str">
        <f t="shared" si="3"/>
        <v>Product</v>
      </c>
      <c r="G428" s="1" t="s">
        <v>78</v>
      </c>
      <c r="H428" s="6" t="str">
        <f>IFERROR(__xludf.DUMMYFUNCTION("IF(REGEXMATCH(LOWER(G428), ""^(\?)+\s*(missing)?\s*(\?)*$""), """", PROPER(SUBSTITUTE(SUBSTITUTE(G428, ""?"", """"), ""*"", """")))"),"Wooden Picture Frame White Finish")</f>
        <v>Wooden Picture Frame White Finish</v>
      </c>
      <c r="I428" s="3">
        <v>6.0</v>
      </c>
      <c r="J428" s="7">
        <v>40513.48125</v>
      </c>
      <c r="K428" s="8" t="str">
        <f t="shared" si="4"/>
        <v>2010-12</v>
      </c>
      <c r="L428" s="5">
        <v>2.1</v>
      </c>
      <c r="M428" s="3">
        <v>17850.0</v>
      </c>
      <c r="N428" s="1" t="str">
        <f t="shared" si="5"/>
        <v>Registered</v>
      </c>
      <c r="O428" s="1" t="s">
        <v>19</v>
      </c>
      <c r="P428" s="9" t="str">
        <f t="shared" si="6"/>
        <v>UK</v>
      </c>
      <c r="Q428" s="8">
        <f t="shared" si="7"/>
        <v>12.6</v>
      </c>
    </row>
    <row r="429">
      <c r="A429" s="1">
        <v>536406.0</v>
      </c>
      <c r="B429" s="1" t="str">
        <f t="shared" si="1"/>
        <v>536406</v>
      </c>
      <c r="C429" s="1" t="str">
        <f t="shared" si="2"/>
        <v>Sale</v>
      </c>
      <c r="D429" s="1" t="s">
        <v>79</v>
      </c>
      <c r="E429" s="1" t="str">
        <f>IFERROR(__xludf.DUMMYFUNCTION("IF(LEN(D429)&gt;4, IFERROR(REGEXEXTRACT(TO_TEXT(D429),""\d+""),""""),"""")"),"82494")</f>
        <v>82494</v>
      </c>
      <c r="F429" s="6" t="str">
        <f t="shared" si="3"/>
        <v>Product</v>
      </c>
      <c r="G429" s="1" t="s">
        <v>80</v>
      </c>
      <c r="H429" s="6" t="str">
        <f>IFERROR(__xludf.DUMMYFUNCTION("IF(REGEXMATCH(LOWER(G429), ""^(\?)+\s*(missing)?\s*(\?)*$""), """", PROPER(SUBSTITUTE(SUBSTITUTE(G429, ""?"", """"), ""*"", """")))"),"Wooden Frame Antique White")</f>
        <v>Wooden Frame Antique White</v>
      </c>
      <c r="I429" s="3">
        <v>6.0</v>
      </c>
      <c r="J429" s="7">
        <v>40513.48125</v>
      </c>
      <c r="K429" s="8" t="str">
        <f t="shared" si="4"/>
        <v>2010-12</v>
      </c>
      <c r="L429" s="5">
        <v>2.55</v>
      </c>
      <c r="M429" s="3">
        <v>17850.0</v>
      </c>
      <c r="N429" s="1" t="str">
        <f t="shared" si="5"/>
        <v>Registered</v>
      </c>
      <c r="O429" s="1" t="s">
        <v>19</v>
      </c>
      <c r="P429" s="9" t="str">
        <f t="shared" si="6"/>
        <v>UK</v>
      </c>
      <c r="Q429" s="8">
        <f t="shared" si="7"/>
        <v>15.3</v>
      </c>
    </row>
    <row r="430">
      <c r="A430" s="1">
        <v>536406.0</v>
      </c>
      <c r="B430" s="1" t="str">
        <f t="shared" si="1"/>
        <v>536406</v>
      </c>
      <c r="C430" s="1" t="str">
        <f t="shared" si="2"/>
        <v>Sale</v>
      </c>
      <c r="D430" s="1" t="s">
        <v>23</v>
      </c>
      <c r="E430" s="1" t="str">
        <f>IFERROR(__xludf.DUMMYFUNCTION("IF(LEN(D430)&gt;4, IFERROR(REGEXEXTRACT(TO_TEXT(D430),""\d+""),""""),"""")"),"84029")</f>
        <v>84029</v>
      </c>
      <c r="F430" s="6" t="str">
        <f t="shared" si="3"/>
        <v>Product</v>
      </c>
      <c r="G430" s="1" t="s">
        <v>24</v>
      </c>
      <c r="H430" s="6" t="str">
        <f>IFERROR(__xludf.DUMMYFUNCTION("IF(REGEXMATCH(LOWER(G430), ""^(\?)+\s*(missing)?\s*(\?)*$""), """", PROPER(SUBSTITUTE(SUBSTITUTE(G430, ""?"", """"), ""*"", """")))"),"Knitted Union Flag Hot Water Bottle")</f>
        <v>Knitted Union Flag Hot Water Bottle</v>
      </c>
      <c r="I430" s="3">
        <v>6.0</v>
      </c>
      <c r="J430" s="7">
        <v>40513.48125</v>
      </c>
      <c r="K430" s="8" t="str">
        <f t="shared" si="4"/>
        <v>2010-12</v>
      </c>
      <c r="L430" s="5">
        <v>3.39</v>
      </c>
      <c r="M430" s="3">
        <v>17850.0</v>
      </c>
      <c r="N430" s="1" t="str">
        <f t="shared" si="5"/>
        <v>Registered</v>
      </c>
      <c r="O430" s="1" t="s">
        <v>19</v>
      </c>
      <c r="P430" s="9" t="str">
        <f t="shared" si="6"/>
        <v>UK</v>
      </c>
      <c r="Q430" s="8">
        <f t="shared" si="7"/>
        <v>20.34</v>
      </c>
    </row>
    <row r="431">
      <c r="A431" s="1">
        <v>536406.0</v>
      </c>
      <c r="B431" s="1" t="str">
        <f t="shared" si="1"/>
        <v>536406</v>
      </c>
      <c r="C431" s="1" t="str">
        <f t="shared" si="2"/>
        <v>Sale</v>
      </c>
      <c r="D431" s="1" t="s">
        <v>25</v>
      </c>
      <c r="E431" s="1" t="str">
        <f>IFERROR(__xludf.DUMMYFUNCTION("IF(LEN(D431)&gt;4, IFERROR(REGEXEXTRACT(TO_TEXT(D431),""\d+""),""""),"""")"),"84029")</f>
        <v>84029</v>
      </c>
      <c r="F431" s="6" t="str">
        <f t="shared" si="3"/>
        <v>Product</v>
      </c>
      <c r="G431" s="1" t="s">
        <v>26</v>
      </c>
      <c r="H431" s="6" t="str">
        <f>IFERROR(__xludf.DUMMYFUNCTION("IF(REGEXMATCH(LOWER(G431), ""^(\?)+\s*(missing)?\s*(\?)*$""), """", PROPER(SUBSTITUTE(SUBSTITUTE(G431, ""?"", """"), ""*"", """")))"),"Red Woolly Hottie White Heart.")</f>
        <v>Red Woolly Hottie White Heart.</v>
      </c>
      <c r="I431" s="3">
        <v>6.0</v>
      </c>
      <c r="J431" s="7">
        <v>40513.48125</v>
      </c>
      <c r="K431" s="8" t="str">
        <f t="shared" si="4"/>
        <v>2010-12</v>
      </c>
      <c r="L431" s="5">
        <v>3.39</v>
      </c>
      <c r="M431" s="3">
        <v>17850.0</v>
      </c>
      <c r="N431" s="1" t="str">
        <f t="shared" si="5"/>
        <v>Registered</v>
      </c>
      <c r="O431" s="1" t="s">
        <v>19</v>
      </c>
      <c r="P431" s="9" t="str">
        <f t="shared" si="6"/>
        <v>UK</v>
      </c>
      <c r="Q431" s="8">
        <f t="shared" si="7"/>
        <v>20.34</v>
      </c>
    </row>
    <row r="432">
      <c r="A432" s="1">
        <v>536406.0</v>
      </c>
      <c r="B432" s="1" t="str">
        <f t="shared" si="1"/>
        <v>536406</v>
      </c>
      <c r="C432" s="1" t="str">
        <f t="shared" si="2"/>
        <v>Sale</v>
      </c>
      <c r="D432" s="1">
        <v>22752.0</v>
      </c>
      <c r="E432" s="1" t="str">
        <f>IFERROR(__xludf.DUMMYFUNCTION("IF(LEN(D432)&gt;4, IFERROR(REGEXEXTRACT(TO_TEXT(D432),""\d+""),""""),"""")"),"22752")</f>
        <v>22752</v>
      </c>
      <c r="F432" s="6" t="str">
        <f t="shared" si="3"/>
        <v>Product</v>
      </c>
      <c r="G432" s="1" t="s">
        <v>27</v>
      </c>
      <c r="H432" s="6" t="str">
        <f>IFERROR(__xludf.DUMMYFUNCTION("IF(REGEXMATCH(LOWER(G432), ""^(\?)+\s*(missing)?\s*(\?)*$""), """", PROPER(SUBSTITUTE(SUBSTITUTE(G432, ""?"", """"), ""*"", """")))"),"Set 7 Babushka Nesting Boxes")</f>
        <v>Set 7 Babushka Nesting Boxes</v>
      </c>
      <c r="I432" s="3">
        <v>2.0</v>
      </c>
      <c r="J432" s="7">
        <v>40513.48125</v>
      </c>
      <c r="K432" s="8" t="str">
        <f t="shared" si="4"/>
        <v>2010-12</v>
      </c>
      <c r="L432" s="5">
        <v>7.65</v>
      </c>
      <c r="M432" s="3">
        <v>17850.0</v>
      </c>
      <c r="N432" s="1" t="str">
        <f t="shared" si="5"/>
        <v>Registered</v>
      </c>
      <c r="O432" s="1" t="s">
        <v>19</v>
      </c>
      <c r="P432" s="9" t="str">
        <f t="shared" si="6"/>
        <v>UK</v>
      </c>
      <c r="Q432" s="8">
        <f t="shared" si="7"/>
        <v>15.3</v>
      </c>
    </row>
    <row r="433">
      <c r="A433" s="1">
        <v>536406.0</v>
      </c>
      <c r="B433" s="1" t="str">
        <f t="shared" si="1"/>
        <v>536406</v>
      </c>
      <c r="C433" s="1" t="str">
        <f t="shared" si="2"/>
        <v>Sale</v>
      </c>
      <c r="D433" s="1">
        <v>22803.0</v>
      </c>
      <c r="E433" s="1" t="str">
        <f>IFERROR(__xludf.DUMMYFUNCTION("IF(LEN(D433)&gt;4, IFERROR(REGEXEXTRACT(TO_TEXT(D433),""\d+""),""""),"""")"),"22803")</f>
        <v>22803</v>
      </c>
      <c r="F433" s="6" t="str">
        <f t="shared" si="3"/>
        <v>Product</v>
      </c>
      <c r="G433" s="1" t="s">
        <v>258</v>
      </c>
      <c r="H433" s="6" t="str">
        <f>IFERROR(__xludf.DUMMYFUNCTION("IF(REGEXMATCH(LOWER(G433), ""^(\?)+\s*(missing)?\s*(\?)*$""), """", PROPER(SUBSTITUTE(SUBSTITUTE(G433, ""?"", """"), ""*"", """")))"),"Ivory Embroidered Quilt")</f>
        <v>Ivory Embroidered Quilt</v>
      </c>
      <c r="I433" s="3">
        <v>2.0</v>
      </c>
      <c r="J433" s="7">
        <v>40513.48125</v>
      </c>
      <c r="K433" s="8" t="str">
        <f t="shared" si="4"/>
        <v>2010-12</v>
      </c>
      <c r="L433" s="5">
        <v>35.75</v>
      </c>
      <c r="M433" s="3">
        <v>17850.0</v>
      </c>
      <c r="N433" s="1" t="str">
        <f t="shared" si="5"/>
        <v>Registered</v>
      </c>
      <c r="O433" s="1" t="s">
        <v>19</v>
      </c>
      <c r="P433" s="9" t="str">
        <f t="shared" si="6"/>
        <v>UK</v>
      </c>
      <c r="Q433" s="8">
        <f t="shared" si="7"/>
        <v>71.5</v>
      </c>
    </row>
    <row r="434">
      <c r="A434" s="1">
        <v>536406.0</v>
      </c>
      <c r="B434" s="1" t="str">
        <f t="shared" si="1"/>
        <v>536406</v>
      </c>
      <c r="C434" s="1" t="str">
        <f t="shared" si="2"/>
        <v>Sale</v>
      </c>
      <c r="D434" s="1">
        <v>21730.0</v>
      </c>
      <c r="E434" s="1" t="str">
        <f>IFERROR(__xludf.DUMMYFUNCTION("IF(LEN(D434)&gt;4, IFERROR(REGEXEXTRACT(TO_TEXT(D434),""\d+""),""""),"""")"),"21730")</f>
        <v>21730</v>
      </c>
      <c r="F434" s="6" t="str">
        <f t="shared" si="3"/>
        <v>Product</v>
      </c>
      <c r="G434" s="1" t="s">
        <v>28</v>
      </c>
      <c r="H434" s="6" t="str">
        <f>IFERROR(__xludf.DUMMYFUNCTION("IF(REGEXMATCH(LOWER(G434), ""^(\?)+\s*(missing)?\s*(\?)*$""), """", PROPER(SUBSTITUTE(SUBSTITUTE(G434, ""?"", """"), ""*"", """")))"),"Glass Star Frosted T-Light Holder")</f>
        <v>Glass Star Frosted T-Light Holder</v>
      </c>
      <c r="I434" s="3">
        <v>6.0</v>
      </c>
      <c r="J434" s="7">
        <v>40513.48125</v>
      </c>
      <c r="K434" s="8" t="str">
        <f t="shared" si="4"/>
        <v>2010-12</v>
      </c>
      <c r="L434" s="5">
        <v>4.25</v>
      </c>
      <c r="M434" s="3">
        <v>17850.0</v>
      </c>
      <c r="N434" s="1" t="str">
        <f t="shared" si="5"/>
        <v>Registered</v>
      </c>
      <c r="O434" s="1" t="s">
        <v>19</v>
      </c>
      <c r="P434" s="9" t="str">
        <f t="shared" si="6"/>
        <v>UK</v>
      </c>
      <c r="Q434" s="8">
        <f t="shared" si="7"/>
        <v>25.5</v>
      </c>
    </row>
    <row r="435">
      <c r="A435" s="1">
        <v>536407.0</v>
      </c>
      <c r="B435" s="1" t="str">
        <f t="shared" si="1"/>
        <v>536407</v>
      </c>
      <c r="C435" s="1" t="str">
        <f t="shared" si="2"/>
        <v>Sale</v>
      </c>
      <c r="D435" s="1">
        <v>22632.0</v>
      </c>
      <c r="E435" s="1" t="str">
        <f>IFERROR(__xludf.DUMMYFUNCTION("IF(LEN(D435)&gt;4, IFERROR(REGEXEXTRACT(TO_TEXT(D435),""\d+""),""""),"""")"),"22632")</f>
        <v>22632</v>
      </c>
      <c r="F435" s="6" t="str">
        <f t="shared" si="3"/>
        <v>Product</v>
      </c>
      <c r="G435" s="1" t="s">
        <v>30</v>
      </c>
      <c r="H435" s="6" t="str">
        <f>IFERROR(__xludf.DUMMYFUNCTION("IF(REGEXMATCH(LOWER(G435), ""^(\?)+\s*(missing)?\s*(\?)*$""), """", PROPER(SUBSTITUTE(SUBSTITUTE(G435, ""?"", """"), ""*"", """")))"),"Hand Warmer Red Polka Dot")</f>
        <v>Hand Warmer Red Polka Dot</v>
      </c>
      <c r="I435" s="3">
        <v>6.0</v>
      </c>
      <c r="J435" s="7">
        <v>40513.481944444444</v>
      </c>
      <c r="K435" s="8" t="str">
        <f t="shared" si="4"/>
        <v>2010-12</v>
      </c>
      <c r="L435" s="5">
        <v>1.85</v>
      </c>
      <c r="M435" s="3">
        <v>17850.0</v>
      </c>
      <c r="N435" s="1" t="str">
        <f t="shared" si="5"/>
        <v>Registered</v>
      </c>
      <c r="O435" s="1" t="s">
        <v>19</v>
      </c>
      <c r="P435" s="9" t="str">
        <f t="shared" si="6"/>
        <v>UK</v>
      </c>
      <c r="Q435" s="8">
        <f t="shared" si="7"/>
        <v>11.1</v>
      </c>
    </row>
    <row r="436">
      <c r="A436" s="1">
        <v>536407.0</v>
      </c>
      <c r="B436" s="1" t="str">
        <f t="shared" si="1"/>
        <v>536407</v>
      </c>
      <c r="C436" s="1" t="str">
        <f t="shared" si="2"/>
        <v>Sale</v>
      </c>
      <c r="D436" s="1">
        <v>22633.0</v>
      </c>
      <c r="E436" s="1" t="str">
        <f>IFERROR(__xludf.DUMMYFUNCTION("IF(LEN(D436)&gt;4, IFERROR(REGEXEXTRACT(TO_TEXT(D436),""\d+""),""""),"""")"),"22633")</f>
        <v>22633</v>
      </c>
      <c r="F436" s="6" t="str">
        <f t="shared" si="3"/>
        <v>Product</v>
      </c>
      <c r="G436" s="1" t="s">
        <v>29</v>
      </c>
      <c r="H436" s="6" t="str">
        <f>IFERROR(__xludf.DUMMYFUNCTION("IF(REGEXMATCH(LOWER(G436), ""^(\?)+\s*(missing)?\s*(\?)*$""), """", PROPER(SUBSTITUTE(SUBSTITUTE(G436, ""?"", """"), ""*"", """")))"),"Hand Warmer Union Jack")</f>
        <v>Hand Warmer Union Jack</v>
      </c>
      <c r="I436" s="3">
        <v>6.0</v>
      </c>
      <c r="J436" s="7">
        <v>40513.481944444444</v>
      </c>
      <c r="K436" s="8" t="str">
        <f t="shared" si="4"/>
        <v>2010-12</v>
      </c>
      <c r="L436" s="5">
        <v>1.85</v>
      </c>
      <c r="M436" s="3">
        <v>17850.0</v>
      </c>
      <c r="N436" s="1" t="str">
        <f t="shared" si="5"/>
        <v>Registered</v>
      </c>
      <c r="O436" s="1" t="s">
        <v>19</v>
      </c>
      <c r="P436" s="9" t="str">
        <f t="shared" si="6"/>
        <v>UK</v>
      </c>
      <c r="Q436" s="8">
        <f t="shared" si="7"/>
        <v>11.1</v>
      </c>
    </row>
    <row r="437">
      <c r="A437" s="1">
        <v>536408.0</v>
      </c>
      <c r="B437" s="1" t="str">
        <f t="shared" si="1"/>
        <v>536408</v>
      </c>
      <c r="C437" s="1" t="str">
        <f t="shared" si="2"/>
        <v>Sale</v>
      </c>
      <c r="D437" s="1">
        <v>22537.0</v>
      </c>
      <c r="E437" s="1" t="str">
        <f>IFERROR(__xludf.DUMMYFUNCTION("IF(LEN(D437)&gt;4, IFERROR(REGEXEXTRACT(TO_TEXT(D437),""\d+""),""""),"""")"),"22537")</f>
        <v>22537</v>
      </c>
      <c r="F437" s="6" t="str">
        <f t="shared" si="3"/>
        <v>Product</v>
      </c>
      <c r="G437" s="1" t="s">
        <v>360</v>
      </c>
      <c r="H437" s="6" t="str">
        <f>IFERROR(__xludf.DUMMYFUNCTION("IF(REGEXMATCH(LOWER(G437), ""^(\?)+\s*(missing)?\s*(\?)*$""), """", PROPER(SUBSTITUTE(SUBSTITUTE(G437, ""?"", """"), ""*"", """")))"),"Magic Drawing Slate Dinosaur")</f>
        <v>Magic Drawing Slate Dinosaur</v>
      </c>
      <c r="I437" s="3">
        <v>24.0</v>
      </c>
      <c r="J437" s="7">
        <v>40513.486805555556</v>
      </c>
      <c r="K437" s="8" t="str">
        <f t="shared" si="4"/>
        <v>2010-12</v>
      </c>
      <c r="L437" s="5">
        <v>0.42</v>
      </c>
      <c r="M437" s="3">
        <v>14307.0</v>
      </c>
      <c r="N437" s="1" t="str">
        <f t="shared" si="5"/>
        <v>Registered</v>
      </c>
      <c r="O437" s="1" t="s">
        <v>19</v>
      </c>
      <c r="P437" s="9" t="str">
        <f t="shared" si="6"/>
        <v>UK</v>
      </c>
      <c r="Q437" s="8">
        <f t="shared" si="7"/>
        <v>10.08</v>
      </c>
    </row>
    <row r="438">
      <c r="A438" s="1">
        <v>536408.0</v>
      </c>
      <c r="B438" s="1" t="str">
        <f t="shared" si="1"/>
        <v>536408</v>
      </c>
      <c r="C438" s="1" t="str">
        <f t="shared" si="2"/>
        <v>Sale</v>
      </c>
      <c r="D438" s="1">
        <v>22533.0</v>
      </c>
      <c r="E438" s="1" t="str">
        <f>IFERROR(__xludf.DUMMYFUNCTION("IF(LEN(D438)&gt;4, IFERROR(REGEXEXTRACT(TO_TEXT(D438),""\d+""),""""),"""")"),"22533")</f>
        <v>22533</v>
      </c>
      <c r="F438" s="6" t="str">
        <f t="shared" si="3"/>
        <v>Product</v>
      </c>
      <c r="G438" s="1" t="s">
        <v>361</v>
      </c>
      <c r="H438" s="6" t="str">
        <f>IFERROR(__xludf.DUMMYFUNCTION("IF(REGEXMATCH(LOWER(G438), ""^(\?)+\s*(missing)?\s*(\?)*$""), """", PROPER(SUBSTITUTE(SUBSTITUTE(G438, ""?"", """"), ""*"", """")))"),"Magic Drawing Slate Bake A Cake")</f>
        <v>Magic Drawing Slate Bake A Cake</v>
      </c>
      <c r="I438" s="3">
        <v>24.0</v>
      </c>
      <c r="J438" s="7">
        <v>40513.486805555556</v>
      </c>
      <c r="K438" s="8" t="str">
        <f t="shared" si="4"/>
        <v>2010-12</v>
      </c>
      <c r="L438" s="5">
        <v>0.42</v>
      </c>
      <c r="M438" s="3">
        <v>14307.0</v>
      </c>
      <c r="N438" s="1" t="str">
        <f t="shared" si="5"/>
        <v>Registered</v>
      </c>
      <c r="O438" s="1" t="s">
        <v>19</v>
      </c>
      <c r="P438" s="9" t="str">
        <f t="shared" si="6"/>
        <v>UK</v>
      </c>
      <c r="Q438" s="8">
        <f t="shared" si="7"/>
        <v>10.08</v>
      </c>
    </row>
    <row r="439">
      <c r="A439" s="1">
        <v>536408.0</v>
      </c>
      <c r="B439" s="1" t="str">
        <f t="shared" si="1"/>
        <v>536408</v>
      </c>
      <c r="C439" s="1" t="str">
        <f t="shared" si="2"/>
        <v>Sale</v>
      </c>
      <c r="D439" s="1">
        <v>20982.0</v>
      </c>
      <c r="E439" s="1" t="str">
        <f>IFERROR(__xludf.DUMMYFUNCTION("IF(LEN(D439)&gt;4, IFERROR(REGEXEXTRACT(TO_TEXT(D439),""\d+""),""""),"""")"),"20982")</f>
        <v>20982</v>
      </c>
      <c r="F439" s="6" t="str">
        <f t="shared" si="3"/>
        <v>Product</v>
      </c>
      <c r="G439" s="1" t="s">
        <v>362</v>
      </c>
      <c r="H439" s="6" t="str">
        <f>IFERROR(__xludf.DUMMYFUNCTION("IF(REGEXMATCH(LOWER(G439), ""^(\?)+\s*(missing)?\s*(\?)*$""), """", PROPER(SUBSTITUTE(SUBSTITUTE(G439, ""?"", """"), ""*"", """")))"),"12 Pencils Tall Tube Skulls")</f>
        <v>12 Pencils Tall Tube Skulls</v>
      </c>
      <c r="I439" s="3">
        <v>12.0</v>
      </c>
      <c r="J439" s="7">
        <v>40513.486805555556</v>
      </c>
      <c r="K439" s="8" t="str">
        <f t="shared" si="4"/>
        <v>2010-12</v>
      </c>
      <c r="L439" s="5">
        <v>0.85</v>
      </c>
      <c r="M439" s="3">
        <v>14307.0</v>
      </c>
      <c r="N439" s="1" t="str">
        <f t="shared" si="5"/>
        <v>Registered</v>
      </c>
      <c r="O439" s="1" t="s">
        <v>19</v>
      </c>
      <c r="P439" s="9" t="str">
        <f t="shared" si="6"/>
        <v>UK</v>
      </c>
      <c r="Q439" s="8">
        <f t="shared" si="7"/>
        <v>10.2</v>
      </c>
    </row>
    <row r="440">
      <c r="A440" s="1">
        <v>536408.0</v>
      </c>
      <c r="B440" s="1" t="str">
        <f t="shared" si="1"/>
        <v>536408</v>
      </c>
      <c r="C440" s="1" t="str">
        <f t="shared" si="2"/>
        <v>Sale</v>
      </c>
      <c r="D440" s="1">
        <v>21832.0</v>
      </c>
      <c r="E440" s="1" t="str">
        <f>IFERROR(__xludf.DUMMYFUNCTION("IF(LEN(D440)&gt;4, IFERROR(REGEXEXTRACT(TO_TEXT(D440),""\d+""),""""),"""")"),"21832")</f>
        <v>21832</v>
      </c>
      <c r="F440" s="6" t="str">
        <f t="shared" si="3"/>
        <v>Product</v>
      </c>
      <c r="G440" s="1" t="s">
        <v>151</v>
      </c>
      <c r="H440" s="6" t="str">
        <f>IFERROR(__xludf.DUMMYFUNCTION("IF(REGEXMATCH(LOWER(G440), ""^(\?)+\s*(missing)?\s*(\?)*$""), """", PROPER(SUBSTITUTE(SUBSTITUTE(G440, ""?"", """"), ""*"", """")))"),"Chocolate Calculator")</f>
        <v>Chocolate Calculator</v>
      </c>
      <c r="I440" s="3">
        <v>12.0</v>
      </c>
      <c r="J440" s="7">
        <v>40513.486805555556</v>
      </c>
      <c r="K440" s="8" t="str">
        <f t="shared" si="4"/>
        <v>2010-12</v>
      </c>
      <c r="L440" s="5">
        <v>1.65</v>
      </c>
      <c r="M440" s="3">
        <v>14307.0</v>
      </c>
      <c r="N440" s="1" t="str">
        <f t="shared" si="5"/>
        <v>Registered</v>
      </c>
      <c r="O440" s="1" t="s">
        <v>19</v>
      </c>
      <c r="P440" s="9" t="str">
        <f t="shared" si="6"/>
        <v>UK</v>
      </c>
      <c r="Q440" s="8">
        <f t="shared" si="7"/>
        <v>19.8</v>
      </c>
    </row>
    <row r="441">
      <c r="A441" s="1">
        <v>536408.0</v>
      </c>
      <c r="B441" s="1" t="str">
        <f t="shared" si="1"/>
        <v>536408</v>
      </c>
      <c r="C441" s="1" t="str">
        <f t="shared" si="2"/>
        <v>Sale</v>
      </c>
      <c r="D441" s="1">
        <v>21915.0</v>
      </c>
      <c r="E441" s="1" t="str">
        <f>IFERROR(__xludf.DUMMYFUNCTION("IF(LEN(D441)&gt;4, IFERROR(REGEXEXTRACT(TO_TEXT(D441),""\d+""),""""),"""")"),"21915")</f>
        <v>21915</v>
      </c>
      <c r="F441" s="6" t="str">
        <f t="shared" si="3"/>
        <v>Product</v>
      </c>
      <c r="G441" s="1" t="s">
        <v>363</v>
      </c>
      <c r="H441" s="6" t="str">
        <f>IFERROR(__xludf.DUMMYFUNCTION("IF(REGEXMATCH(LOWER(G441), ""^(\?)+\s*(missing)?\s*(\?)*$""), """", PROPER(SUBSTITUTE(SUBSTITUTE(G441, ""?"", """"), ""*"", """")))"),"Red Harmonica In Box")</f>
        <v>Red Harmonica In Box</v>
      </c>
      <c r="I441" s="3">
        <v>12.0</v>
      </c>
      <c r="J441" s="7">
        <v>40513.486805555556</v>
      </c>
      <c r="K441" s="8" t="str">
        <f t="shared" si="4"/>
        <v>2010-12</v>
      </c>
      <c r="L441" s="5">
        <v>1.25</v>
      </c>
      <c r="M441" s="3">
        <v>14307.0</v>
      </c>
      <c r="N441" s="1" t="str">
        <f t="shared" si="5"/>
        <v>Registered</v>
      </c>
      <c r="O441" s="1" t="s">
        <v>19</v>
      </c>
      <c r="P441" s="9" t="str">
        <f t="shared" si="6"/>
        <v>UK</v>
      </c>
      <c r="Q441" s="8">
        <f t="shared" si="7"/>
        <v>15</v>
      </c>
    </row>
    <row r="442">
      <c r="A442" s="1">
        <v>536408.0</v>
      </c>
      <c r="B442" s="1" t="str">
        <f t="shared" si="1"/>
        <v>536408</v>
      </c>
      <c r="C442" s="1" t="str">
        <f t="shared" si="2"/>
        <v>Sale</v>
      </c>
      <c r="D442" s="1">
        <v>21914.0</v>
      </c>
      <c r="E442" s="1" t="str">
        <f>IFERROR(__xludf.DUMMYFUNCTION("IF(LEN(D442)&gt;4, IFERROR(REGEXEXTRACT(TO_TEXT(D442),""\d+""),""""),"""")"),"21914")</f>
        <v>21914</v>
      </c>
      <c r="F442" s="6" t="str">
        <f t="shared" si="3"/>
        <v>Product</v>
      </c>
      <c r="G442" s="1" t="s">
        <v>364</v>
      </c>
      <c r="H442" s="6" t="str">
        <f>IFERROR(__xludf.DUMMYFUNCTION("IF(REGEXMATCH(LOWER(G442), ""^(\?)+\s*(missing)?\s*(\?)*$""), """", PROPER(SUBSTITUTE(SUBSTITUTE(G442, ""?"", """"), ""*"", """")))"),"Blue Harmonica In Box")</f>
        <v>Blue Harmonica In Box</v>
      </c>
      <c r="I442" s="3">
        <v>12.0</v>
      </c>
      <c r="J442" s="7">
        <v>40513.486805555556</v>
      </c>
      <c r="K442" s="8" t="str">
        <f t="shared" si="4"/>
        <v>2010-12</v>
      </c>
      <c r="L442" s="5">
        <v>1.25</v>
      </c>
      <c r="M442" s="3">
        <v>14307.0</v>
      </c>
      <c r="N442" s="1" t="str">
        <f t="shared" si="5"/>
        <v>Registered</v>
      </c>
      <c r="O442" s="1" t="s">
        <v>19</v>
      </c>
      <c r="P442" s="9" t="str">
        <f t="shared" si="6"/>
        <v>UK</v>
      </c>
      <c r="Q442" s="8">
        <f t="shared" si="7"/>
        <v>15</v>
      </c>
    </row>
    <row r="443">
      <c r="A443" s="1">
        <v>536408.0</v>
      </c>
      <c r="B443" s="1" t="str">
        <f t="shared" si="1"/>
        <v>536408</v>
      </c>
      <c r="C443" s="1" t="str">
        <f t="shared" si="2"/>
        <v>Sale</v>
      </c>
      <c r="D443" s="1">
        <v>21544.0</v>
      </c>
      <c r="E443" s="1" t="str">
        <f>IFERROR(__xludf.DUMMYFUNCTION("IF(LEN(D443)&gt;4, IFERROR(REGEXEXTRACT(TO_TEXT(D443),""\d+""),""""),"""")"),"21544")</f>
        <v>21544</v>
      </c>
      <c r="F443" s="6" t="str">
        <f t="shared" si="3"/>
        <v>Product</v>
      </c>
      <c r="G443" s="1" t="s">
        <v>365</v>
      </c>
      <c r="H443" s="6" t="str">
        <f>IFERROR(__xludf.DUMMYFUNCTION("IF(REGEXMATCH(LOWER(G443), ""^(\?)+\s*(missing)?\s*(\?)*$""), """", PROPER(SUBSTITUTE(SUBSTITUTE(G443, ""?"", """"), ""*"", """")))"),"Skulls Water Transfer Tattoos")</f>
        <v>Skulls Water Transfer Tattoos</v>
      </c>
      <c r="I443" s="3">
        <v>12.0</v>
      </c>
      <c r="J443" s="7">
        <v>40513.486805555556</v>
      </c>
      <c r="K443" s="8" t="str">
        <f t="shared" si="4"/>
        <v>2010-12</v>
      </c>
      <c r="L443" s="5">
        <v>0.85</v>
      </c>
      <c r="M443" s="3">
        <v>14307.0</v>
      </c>
      <c r="N443" s="1" t="str">
        <f t="shared" si="5"/>
        <v>Registered</v>
      </c>
      <c r="O443" s="1" t="s">
        <v>19</v>
      </c>
      <c r="P443" s="9" t="str">
        <f t="shared" si="6"/>
        <v>UK</v>
      </c>
      <c r="Q443" s="8">
        <f t="shared" si="7"/>
        <v>10.2</v>
      </c>
    </row>
    <row r="444">
      <c r="A444" s="1">
        <v>536408.0</v>
      </c>
      <c r="B444" s="1" t="str">
        <f t="shared" si="1"/>
        <v>536408</v>
      </c>
      <c r="C444" s="1" t="str">
        <f t="shared" si="2"/>
        <v>Sale</v>
      </c>
      <c r="D444" s="1">
        <v>22813.0</v>
      </c>
      <c r="E444" s="1" t="str">
        <f>IFERROR(__xludf.DUMMYFUNCTION("IF(LEN(D444)&gt;4, IFERROR(REGEXEXTRACT(TO_TEXT(D444),""\d+""),""""),"""")"),"22813")</f>
        <v>22813</v>
      </c>
      <c r="F444" s="6" t="str">
        <f t="shared" si="3"/>
        <v>Product</v>
      </c>
      <c r="G444" s="1" t="s">
        <v>366</v>
      </c>
      <c r="H444" s="6" t="str">
        <f>IFERROR(__xludf.DUMMYFUNCTION("IF(REGEXMATCH(LOWER(G444), ""^(\?)+\s*(missing)?\s*(\?)*$""), """", PROPER(SUBSTITUTE(SUBSTITUTE(G444, ""?"", """"), ""*"", """")))"),"Pack 3 Boxes Bird Pannetone")</f>
        <v>Pack 3 Boxes Bird Pannetone</v>
      </c>
      <c r="I444" s="3">
        <v>12.0</v>
      </c>
      <c r="J444" s="7">
        <v>40513.486805555556</v>
      </c>
      <c r="K444" s="8" t="str">
        <f t="shared" si="4"/>
        <v>2010-12</v>
      </c>
      <c r="L444" s="5">
        <v>1.95</v>
      </c>
      <c r="M444" s="3">
        <v>14307.0</v>
      </c>
      <c r="N444" s="1" t="str">
        <f t="shared" si="5"/>
        <v>Registered</v>
      </c>
      <c r="O444" s="1" t="s">
        <v>19</v>
      </c>
      <c r="P444" s="9" t="str">
        <f t="shared" si="6"/>
        <v>UK</v>
      </c>
      <c r="Q444" s="8">
        <f t="shared" si="7"/>
        <v>23.4</v>
      </c>
    </row>
    <row r="445">
      <c r="A445" s="1">
        <v>536408.0</v>
      </c>
      <c r="B445" s="1" t="str">
        <f t="shared" si="1"/>
        <v>536408</v>
      </c>
      <c r="C445" s="1" t="str">
        <f t="shared" si="2"/>
        <v>Sale</v>
      </c>
      <c r="D445" s="1">
        <v>22114.0</v>
      </c>
      <c r="E445" s="1" t="str">
        <f>IFERROR(__xludf.DUMMYFUNCTION("IF(LEN(D445)&gt;4, IFERROR(REGEXEXTRACT(TO_TEXT(D445),""\d+""),""""),"""")"),"22114")</f>
        <v>22114</v>
      </c>
      <c r="F445" s="6" t="str">
        <f t="shared" si="3"/>
        <v>Product</v>
      </c>
      <c r="G445" s="1" t="s">
        <v>82</v>
      </c>
      <c r="H445" s="6" t="str">
        <f>IFERROR(__xludf.DUMMYFUNCTION("IF(REGEXMATCH(LOWER(G445), ""^(\?)+\s*(missing)?\s*(\?)*$""), """", PROPER(SUBSTITUTE(SUBSTITUTE(G445, ""?"", """"), ""*"", """")))"),"Hot Water Bottle Tea And Sympathy")</f>
        <v>Hot Water Bottle Tea And Sympathy</v>
      </c>
      <c r="I445" s="3">
        <v>4.0</v>
      </c>
      <c r="J445" s="7">
        <v>40513.486805555556</v>
      </c>
      <c r="K445" s="8" t="str">
        <f t="shared" si="4"/>
        <v>2010-12</v>
      </c>
      <c r="L445" s="5">
        <v>3.95</v>
      </c>
      <c r="M445" s="3">
        <v>14307.0</v>
      </c>
      <c r="N445" s="1" t="str">
        <f t="shared" si="5"/>
        <v>Registered</v>
      </c>
      <c r="O445" s="1" t="s">
        <v>19</v>
      </c>
      <c r="P445" s="9" t="str">
        <f t="shared" si="6"/>
        <v>UK</v>
      </c>
      <c r="Q445" s="8">
        <f t="shared" si="7"/>
        <v>15.8</v>
      </c>
    </row>
    <row r="446">
      <c r="A446" s="1">
        <v>536408.0</v>
      </c>
      <c r="B446" s="1" t="str">
        <f t="shared" si="1"/>
        <v>536408</v>
      </c>
      <c r="C446" s="1" t="str">
        <f t="shared" si="2"/>
        <v>Sale</v>
      </c>
      <c r="D446" s="1" t="s">
        <v>25</v>
      </c>
      <c r="E446" s="1" t="str">
        <f>IFERROR(__xludf.DUMMYFUNCTION("IF(LEN(D446)&gt;4, IFERROR(REGEXEXTRACT(TO_TEXT(D446),""\d+""),""""),"""")"),"84029")</f>
        <v>84029</v>
      </c>
      <c r="F446" s="6" t="str">
        <f t="shared" si="3"/>
        <v>Product</v>
      </c>
      <c r="G446" s="1" t="s">
        <v>26</v>
      </c>
      <c r="H446" s="6" t="str">
        <f>IFERROR(__xludf.DUMMYFUNCTION("IF(REGEXMATCH(LOWER(G446), ""^(\?)+\s*(missing)?\s*(\?)*$""), """", PROPER(SUBSTITUTE(SUBSTITUTE(G446, ""?"", """"), ""*"", """")))"),"Red Woolly Hottie White Heart.")</f>
        <v>Red Woolly Hottie White Heart.</v>
      </c>
      <c r="I446" s="3">
        <v>4.0</v>
      </c>
      <c r="J446" s="7">
        <v>40513.486805555556</v>
      </c>
      <c r="K446" s="8" t="str">
        <f t="shared" si="4"/>
        <v>2010-12</v>
      </c>
      <c r="L446" s="5">
        <v>3.75</v>
      </c>
      <c r="M446" s="3">
        <v>14307.0</v>
      </c>
      <c r="N446" s="1" t="str">
        <f t="shared" si="5"/>
        <v>Registered</v>
      </c>
      <c r="O446" s="1" t="s">
        <v>19</v>
      </c>
      <c r="P446" s="9" t="str">
        <f t="shared" si="6"/>
        <v>UK</v>
      </c>
      <c r="Q446" s="8">
        <f t="shared" si="7"/>
        <v>15</v>
      </c>
    </row>
    <row r="447">
      <c r="A447" s="1">
        <v>536408.0</v>
      </c>
      <c r="B447" s="1" t="str">
        <f t="shared" si="1"/>
        <v>536408</v>
      </c>
      <c r="C447" s="1" t="str">
        <f t="shared" si="2"/>
        <v>Sale</v>
      </c>
      <c r="D447" s="1">
        <v>21479.0</v>
      </c>
      <c r="E447" s="1" t="str">
        <f>IFERROR(__xludf.DUMMYFUNCTION("IF(LEN(D447)&gt;4, IFERROR(REGEXEXTRACT(TO_TEXT(D447),""\d+""),""""),"""")"),"21479")</f>
        <v>21479</v>
      </c>
      <c r="F447" s="6" t="str">
        <f t="shared" si="3"/>
        <v>Product</v>
      </c>
      <c r="G447" s="1" t="s">
        <v>269</v>
      </c>
      <c r="H447" s="6" t="str">
        <f>IFERROR(__xludf.DUMMYFUNCTION("IF(REGEXMATCH(LOWER(G447), ""^(\?)+\s*(missing)?\s*(\?)*$""), """", PROPER(SUBSTITUTE(SUBSTITUTE(G447, ""?"", """"), ""*"", """")))"),"White Skull Hot Water Bottle")</f>
        <v>White Skull Hot Water Bottle</v>
      </c>
      <c r="I447" s="3">
        <v>4.0</v>
      </c>
      <c r="J447" s="7">
        <v>40513.486805555556</v>
      </c>
      <c r="K447" s="8" t="str">
        <f t="shared" si="4"/>
        <v>2010-12</v>
      </c>
      <c r="L447" s="5">
        <v>3.75</v>
      </c>
      <c r="M447" s="3">
        <v>14307.0</v>
      </c>
      <c r="N447" s="1" t="str">
        <f t="shared" si="5"/>
        <v>Registered</v>
      </c>
      <c r="O447" s="1" t="s">
        <v>19</v>
      </c>
      <c r="P447" s="9" t="str">
        <f t="shared" si="6"/>
        <v>UK</v>
      </c>
      <c r="Q447" s="8">
        <f t="shared" si="7"/>
        <v>15</v>
      </c>
    </row>
    <row r="448">
      <c r="A448" s="1">
        <v>536408.0</v>
      </c>
      <c r="B448" s="1" t="str">
        <f t="shared" si="1"/>
        <v>536408</v>
      </c>
      <c r="C448" s="1" t="str">
        <f t="shared" si="2"/>
        <v>Sale</v>
      </c>
      <c r="D448" s="1">
        <v>22964.0</v>
      </c>
      <c r="E448" s="1" t="str">
        <f>IFERROR(__xludf.DUMMYFUNCTION("IF(LEN(D448)&gt;4, IFERROR(REGEXEXTRACT(TO_TEXT(D448),""\d+""),""""),"""")"),"22964")</f>
        <v>22964</v>
      </c>
      <c r="F448" s="6" t="str">
        <f t="shared" si="3"/>
        <v>Product</v>
      </c>
      <c r="G448" s="1" t="s">
        <v>351</v>
      </c>
      <c r="H448" s="6" t="str">
        <f>IFERROR(__xludf.DUMMYFUNCTION("IF(REGEXMATCH(LOWER(G448), ""^(\?)+\s*(missing)?\s*(\?)*$""), """", PROPER(SUBSTITUTE(SUBSTITUTE(G448, ""?"", """"), ""*"", """")))"),"3 Piece Spaceboy Cookie Cutter Set")</f>
        <v>3 Piece Spaceboy Cookie Cutter Set</v>
      </c>
      <c r="I448" s="3">
        <v>6.0</v>
      </c>
      <c r="J448" s="7">
        <v>40513.486805555556</v>
      </c>
      <c r="K448" s="8" t="str">
        <f t="shared" si="4"/>
        <v>2010-12</v>
      </c>
      <c r="L448" s="5">
        <v>2.1</v>
      </c>
      <c r="M448" s="3">
        <v>14307.0</v>
      </c>
      <c r="N448" s="1" t="str">
        <f t="shared" si="5"/>
        <v>Registered</v>
      </c>
      <c r="O448" s="1" t="s">
        <v>19</v>
      </c>
      <c r="P448" s="9" t="str">
        <f t="shared" si="6"/>
        <v>UK</v>
      </c>
      <c r="Q448" s="8">
        <f t="shared" si="7"/>
        <v>12.6</v>
      </c>
    </row>
    <row r="449">
      <c r="A449" s="1">
        <v>536408.0</v>
      </c>
      <c r="B449" s="1" t="str">
        <f t="shared" si="1"/>
        <v>536408</v>
      </c>
      <c r="C449" s="1" t="str">
        <f t="shared" si="2"/>
        <v>Sale</v>
      </c>
      <c r="D449" s="1">
        <v>84375.0</v>
      </c>
      <c r="E449" s="1" t="str">
        <f>IFERROR(__xludf.DUMMYFUNCTION("IF(LEN(D449)&gt;4, IFERROR(REGEXEXTRACT(TO_TEXT(D449),""\d+""),""""),"""")"),"84375")</f>
        <v>84375</v>
      </c>
      <c r="F449" s="6" t="str">
        <f t="shared" si="3"/>
        <v>Product</v>
      </c>
      <c r="G449" s="1" t="s">
        <v>367</v>
      </c>
      <c r="H449" s="6" t="str">
        <f>IFERROR(__xludf.DUMMYFUNCTION("IF(REGEXMATCH(LOWER(G449), ""^(\?)+\s*(missing)?\s*(\?)*$""), """", PROPER(SUBSTITUTE(SUBSTITUTE(G449, ""?"", """"), ""*"", """")))"),"Set Of 20 Kids Cookie Cutters")</f>
        <v>Set Of 20 Kids Cookie Cutters</v>
      </c>
      <c r="I449" s="3">
        <v>12.0</v>
      </c>
      <c r="J449" s="7">
        <v>40513.486805555556</v>
      </c>
      <c r="K449" s="8" t="str">
        <f t="shared" si="4"/>
        <v>2010-12</v>
      </c>
      <c r="L449" s="5">
        <v>2.1</v>
      </c>
      <c r="M449" s="3">
        <v>14307.0</v>
      </c>
      <c r="N449" s="1" t="str">
        <f t="shared" si="5"/>
        <v>Registered</v>
      </c>
      <c r="O449" s="1" t="s">
        <v>19</v>
      </c>
      <c r="P449" s="9" t="str">
        <f t="shared" si="6"/>
        <v>UK</v>
      </c>
      <c r="Q449" s="8">
        <f t="shared" si="7"/>
        <v>25.2</v>
      </c>
    </row>
    <row r="450">
      <c r="A450" s="1">
        <v>536408.0</v>
      </c>
      <c r="B450" s="1" t="str">
        <f t="shared" si="1"/>
        <v>536408</v>
      </c>
      <c r="C450" s="1" t="str">
        <f t="shared" si="2"/>
        <v>Sale</v>
      </c>
      <c r="D450" s="1">
        <v>22418.0</v>
      </c>
      <c r="E450" s="1" t="str">
        <f>IFERROR(__xludf.DUMMYFUNCTION("IF(LEN(D450)&gt;4, IFERROR(REGEXEXTRACT(TO_TEXT(D450),""\d+""),""""),"""")"),"22418")</f>
        <v>22418</v>
      </c>
      <c r="F450" s="6" t="str">
        <f t="shared" si="3"/>
        <v>Product</v>
      </c>
      <c r="G450" s="1" t="s">
        <v>368</v>
      </c>
      <c r="H450" s="6" t="str">
        <f>IFERROR(__xludf.DUMMYFUNCTION("IF(REGEXMATCH(LOWER(G450), ""^(\?)+\s*(missing)?\s*(\?)*$""), """", PROPER(SUBSTITUTE(SUBSTITUTE(G450, ""?"", """"), ""*"", """")))"),"10 Colour Spaceboy Pen")</f>
        <v>10 Colour Spaceboy Pen</v>
      </c>
      <c r="I450" s="3">
        <v>24.0</v>
      </c>
      <c r="J450" s="7">
        <v>40513.486805555556</v>
      </c>
      <c r="K450" s="8" t="str">
        <f t="shared" si="4"/>
        <v>2010-12</v>
      </c>
      <c r="L450" s="5">
        <v>0.85</v>
      </c>
      <c r="M450" s="3">
        <v>14307.0</v>
      </c>
      <c r="N450" s="1" t="str">
        <f t="shared" si="5"/>
        <v>Registered</v>
      </c>
      <c r="O450" s="1" t="s">
        <v>19</v>
      </c>
      <c r="P450" s="9" t="str">
        <f t="shared" si="6"/>
        <v>UK</v>
      </c>
      <c r="Q450" s="8">
        <f t="shared" si="7"/>
        <v>20.4</v>
      </c>
    </row>
    <row r="451">
      <c r="A451" s="1">
        <v>536408.0</v>
      </c>
      <c r="B451" s="1" t="str">
        <f t="shared" si="1"/>
        <v>536408</v>
      </c>
      <c r="C451" s="1" t="str">
        <f t="shared" si="2"/>
        <v>Sale</v>
      </c>
      <c r="D451" s="1">
        <v>22178.0</v>
      </c>
      <c r="E451" s="1" t="str">
        <f>IFERROR(__xludf.DUMMYFUNCTION("IF(LEN(D451)&gt;4, IFERROR(REGEXEXTRACT(TO_TEXT(D451),""\d+""),""""),"""")"),"22178")</f>
        <v>22178</v>
      </c>
      <c r="F451" s="6" t="str">
        <f t="shared" si="3"/>
        <v>Product</v>
      </c>
      <c r="G451" s="1" t="s">
        <v>369</v>
      </c>
      <c r="H451" s="6" t="str">
        <f>IFERROR(__xludf.DUMMYFUNCTION("IF(REGEXMATCH(LOWER(G451), ""^(\?)+\s*(missing)?\s*(\?)*$""), """", PROPER(SUBSTITUTE(SUBSTITUTE(G451, ""?"", """"), ""*"", """")))"),"Victorian Glass Hanging T-Light")</f>
        <v>Victorian Glass Hanging T-Light</v>
      </c>
      <c r="I451" s="3">
        <v>12.0</v>
      </c>
      <c r="J451" s="7">
        <v>40513.486805555556</v>
      </c>
      <c r="K451" s="8" t="str">
        <f t="shared" si="4"/>
        <v>2010-12</v>
      </c>
      <c r="L451" s="5">
        <v>1.25</v>
      </c>
      <c r="M451" s="3">
        <v>14307.0</v>
      </c>
      <c r="N451" s="1" t="str">
        <f t="shared" si="5"/>
        <v>Registered</v>
      </c>
      <c r="O451" s="1" t="s">
        <v>19</v>
      </c>
      <c r="P451" s="9" t="str">
        <f t="shared" si="6"/>
        <v>UK</v>
      </c>
      <c r="Q451" s="8">
        <f t="shared" si="7"/>
        <v>15</v>
      </c>
    </row>
    <row r="452">
      <c r="A452" s="1">
        <v>536408.0</v>
      </c>
      <c r="B452" s="1" t="str">
        <f t="shared" si="1"/>
        <v>536408</v>
      </c>
      <c r="C452" s="1" t="str">
        <f t="shared" si="2"/>
        <v>Sale</v>
      </c>
      <c r="D452" s="1" t="s">
        <v>370</v>
      </c>
      <c r="E452" s="1" t="str">
        <f>IFERROR(__xludf.DUMMYFUNCTION("IF(LEN(D452)&gt;4, IFERROR(REGEXEXTRACT(TO_TEXT(D452),""\d+""),""""),"""")"),"84970")</f>
        <v>84970</v>
      </c>
      <c r="F452" s="6" t="str">
        <f t="shared" si="3"/>
        <v>Product</v>
      </c>
      <c r="G452" s="1" t="s">
        <v>371</v>
      </c>
      <c r="H452" s="6" t="str">
        <f>IFERROR(__xludf.DUMMYFUNCTION("IF(REGEXMATCH(LOWER(G452), ""^(\?)+\s*(missing)?\s*(\?)*$""), """", PROPER(SUBSTITUTE(SUBSTITUTE(G452, ""?"", """"), ""*"", """")))"),"Single Heart Zinc T-Light Holder")</f>
        <v>Single Heart Zinc T-Light Holder</v>
      </c>
      <c r="I452" s="3">
        <v>12.0</v>
      </c>
      <c r="J452" s="7">
        <v>40513.486805555556</v>
      </c>
      <c r="K452" s="8" t="str">
        <f t="shared" si="4"/>
        <v>2010-12</v>
      </c>
      <c r="L452" s="5">
        <v>0.95</v>
      </c>
      <c r="M452" s="3">
        <v>14307.0</v>
      </c>
      <c r="N452" s="1" t="str">
        <f t="shared" si="5"/>
        <v>Registered</v>
      </c>
      <c r="O452" s="1" t="s">
        <v>19</v>
      </c>
      <c r="P452" s="9" t="str">
        <f t="shared" si="6"/>
        <v>UK</v>
      </c>
      <c r="Q452" s="8">
        <f t="shared" si="7"/>
        <v>11.4</v>
      </c>
    </row>
    <row r="453">
      <c r="A453" s="1">
        <v>536408.0</v>
      </c>
      <c r="B453" s="1" t="str">
        <f t="shared" si="1"/>
        <v>536408</v>
      </c>
      <c r="C453" s="1" t="str">
        <f t="shared" si="2"/>
        <v>Sale</v>
      </c>
      <c r="D453" s="1">
        <v>21733.0</v>
      </c>
      <c r="E453" s="1" t="str">
        <f>IFERROR(__xludf.DUMMYFUNCTION("IF(LEN(D453)&gt;4, IFERROR(REGEXEXTRACT(TO_TEXT(D453),""\d+""),""""),"""")"),"21733")</f>
        <v>21733</v>
      </c>
      <c r="F453" s="6" t="str">
        <f t="shared" si="3"/>
        <v>Product</v>
      </c>
      <c r="G453" s="1" t="s">
        <v>83</v>
      </c>
      <c r="H453" s="6" t="str">
        <f>IFERROR(__xludf.DUMMYFUNCTION("IF(REGEXMATCH(LOWER(G453), ""^(\?)+\s*(missing)?\s*(\?)*$""), """", PROPER(SUBSTITUTE(SUBSTITUTE(G453, ""?"", """"), ""*"", """")))"),"Red Hanging Heart T-Light Holder")</f>
        <v>Red Hanging Heart T-Light Holder</v>
      </c>
      <c r="I453" s="3">
        <v>6.0</v>
      </c>
      <c r="J453" s="7">
        <v>40513.486805555556</v>
      </c>
      <c r="K453" s="8" t="str">
        <f t="shared" si="4"/>
        <v>2010-12</v>
      </c>
      <c r="L453" s="5">
        <v>2.95</v>
      </c>
      <c r="M453" s="3">
        <v>14307.0</v>
      </c>
      <c r="N453" s="1" t="str">
        <f t="shared" si="5"/>
        <v>Registered</v>
      </c>
      <c r="O453" s="1" t="s">
        <v>19</v>
      </c>
      <c r="P453" s="9" t="str">
        <f t="shared" si="6"/>
        <v>UK</v>
      </c>
      <c r="Q453" s="8">
        <f t="shared" si="7"/>
        <v>17.7</v>
      </c>
    </row>
    <row r="454">
      <c r="A454" s="1">
        <v>536408.0</v>
      </c>
      <c r="B454" s="1" t="str">
        <f t="shared" si="1"/>
        <v>536408</v>
      </c>
      <c r="C454" s="1" t="str">
        <f t="shared" si="2"/>
        <v>Sale</v>
      </c>
      <c r="D454" s="1">
        <v>22465.0</v>
      </c>
      <c r="E454" s="1" t="str">
        <f>IFERROR(__xludf.DUMMYFUNCTION("IF(LEN(D454)&gt;4, IFERROR(REGEXEXTRACT(TO_TEXT(D454),""\d+""),""""),"""")"),"22465")</f>
        <v>22465</v>
      </c>
      <c r="F454" s="6" t="str">
        <f t="shared" si="3"/>
        <v>Product</v>
      </c>
      <c r="G454" s="1" t="s">
        <v>372</v>
      </c>
      <c r="H454" s="6" t="str">
        <f>IFERROR(__xludf.DUMMYFUNCTION("IF(REGEXMATCH(LOWER(G454), ""^(\?)+\s*(missing)?\s*(\?)*$""), """", PROPER(SUBSTITUTE(SUBSTITUTE(G454, ""?"", """"), ""*"", """")))"),"Hanging Metal Star Lantern")</f>
        <v>Hanging Metal Star Lantern</v>
      </c>
      <c r="I454" s="3">
        <v>12.0</v>
      </c>
      <c r="J454" s="7">
        <v>40513.486805555556</v>
      </c>
      <c r="K454" s="8" t="str">
        <f t="shared" si="4"/>
        <v>2010-12</v>
      </c>
      <c r="L454" s="5">
        <v>1.65</v>
      </c>
      <c r="M454" s="3">
        <v>14307.0</v>
      </c>
      <c r="N454" s="1" t="str">
        <f t="shared" si="5"/>
        <v>Registered</v>
      </c>
      <c r="O454" s="1" t="s">
        <v>19</v>
      </c>
      <c r="P454" s="9" t="str">
        <f t="shared" si="6"/>
        <v>UK</v>
      </c>
      <c r="Q454" s="8">
        <f t="shared" si="7"/>
        <v>19.8</v>
      </c>
    </row>
    <row r="455">
      <c r="A455" s="1">
        <v>536408.0</v>
      </c>
      <c r="B455" s="1" t="str">
        <f t="shared" si="1"/>
        <v>536408</v>
      </c>
      <c r="C455" s="1" t="str">
        <f t="shared" si="2"/>
        <v>Sale</v>
      </c>
      <c r="D455" s="1">
        <v>84949.0</v>
      </c>
      <c r="E455" s="1" t="str">
        <f>IFERROR(__xludf.DUMMYFUNCTION("IF(LEN(D455)&gt;4, IFERROR(REGEXEXTRACT(TO_TEXT(D455),""\d+""),""""),"""")"),"84949")</f>
        <v>84949</v>
      </c>
      <c r="F455" s="6" t="str">
        <f t="shared" si="3"/>
        <v>Product</v>
      </c>
      <c r="G455" s="1" t="s">
        <v>373</v>
      </c>
      <c r="H455" s="6" t="str">
        <f>IFERROR(__xludf.DUMMYFUNCTION("IF(REGEXMATCH(LOWER(G455), ""^(\?)+\s*(missing)?\s*(\?)*$""), """", PROPER(SUBSTITUTE(SUBSTITUTE(G455, ""?"", """"), ""*"", """")))"),"Silver Hanging T-Light Holder")</f>
        <v>Silver Hanging T-Light Holder</v>
      </c>
      <c r="I455" s="3">
        <v>6.0</v>
      </c>
      <c r="J455" s="7">
        <v>40513.486805555556</v>
      </c>
      <c r="K455" s="8" t="str">
        <f t="shared" si="4"/>
        <v>2010-12</v>
      </c>
      <c r="L455" s="5">
        <v>1.65</v>
      </c>
      <c r="M455" s="3">
        <v>14307.0</v>
      </c>
      <c r="N455" s="1" t="str">
        <f t="shared" si="5"/>
        <v>Registered</v>
      </c>
      <c r="O455" s="1" t="s">
        <v>19</v>
      </c>
      <c r="P455" s="9" t="str">
        <f t="shared" si="6"/>
        <v>UK</v>
      </c>
      <c r="Q455" s="8">
        <f t="shared" si="7"/>
        <v>9.9</v>
      </c>
    </row>
    <row r="456">
      <c r="A456" s="1">
        <v>536408.0</v>
      </c>
      <c r="B456" s="1" t="str">
        <f t="shared" si="1"/>
        <v>536408</v>
      </c>
      <c r="C456" s="1" t="str">
        <f t="shared" si="2"/>
        <v>Sale</v>
      </c>
      <c r="D456" s="1">
        <v>20685.0</v>
      </c>
      <c r="E456" s="1" t="str">
        <f>IFERROR(__xludf.DUMMYFUNCTION("IF(LEN(D456)&gt;4, IFERROR(REGEXEXTRACT(TO_TEXT(D456),""\d+""),""""),"""")"),"20685")</f>
        <v>20685</v>
      </c>
      <c r="F456" s="6" t="str">
        <f t="shared" si="3"/>
        <v>Product</v>
      </c>
      <c r="G456" s="1" t="s">
        <v>374</v>
      </c>
      <c r="H456" s="6" t="str">
        <f>IFERROR(__xludf.DUMMYFUNCTION("IF(REGEXMATCH(LOWER(G456), ""^(\?)+\s*(missing)?\s*(\?)*$""), """", PROPER(SUBSTITUTE(SUBSTITUTE(G456, ""?"", """"), ""*"", """")))"),"Doormat Red Retrospot")</f>
        <v>Doormat Red Retrospot</v>
      </c>
      <c r="I456" s="3">
        <v>2.0</v>
      </c>
      <c r="J456" s="7">
        <v>40513.486805555556</v>
      </c>
      <c r="K456" s="8" t="str">
        <f t="shared" si="4"/>
        <v>2010-12</v>
      </c>
      <c r="L456" s="5">
        <v>7.95</v>
      </c>
      <c r="M456" s="3">
        <v>14307.0</v>
      </c>
      <c r="N456" s="1" t="str">
        <f t="shared" si="5"/>
        <v>Registered</v>
      </c>
      <c r="O456" s="1" t="s">
        <v>19</v>
      </c>
      <c r="P456" s="9" t="str">
        <f t="shared" si="6"/>
        <v>UK</v>
      </c>
      <c r="Q456" s="8">
        <f t="shared" si="7"/>
        <v>15.9</v>
      </c>
    </row>
    <row r="457">
      <c r="A457" s="1">
        <v>536408.0</v>
      </c>
      <c r="B457" s="1" t="str">
        <f t="shared" si="1"/>
        <v>536408</v>
      </c>
      <c r="C457" s="1" t="str">
        <f t="shared" si="2"/>
        <v>Sale</v>
      </c>
      <c r="D457" s="1">
        <v>48194.0</v>
      </c>
      <c r="E457" s="1" t="str">
        <f>IFERROR(__xludf.DUMMYFUNCTION("IF(LEN(D457)&gt;4, IFERROR(REGEXEXTRACT(TO_TEXT(D457),""\d+""),""""),"""")"),"48194")</f>
        <v>48194</v>
      </c>
      <c r="F457" s="6" t="str">
        <f t="shared" si="3"/>
        <v>Product</v>
      </c>
      <c r="G457" s="1" t="s">
        <v>375</v>
      </c>
      <c r="H457" s="6" t="str">
        <f>IFERROR(__xludf.DUMMYFUNCTION("IF(REGEXMATCH(LOWER(G457), ""^(\?)+\s*(missing)?\s*(\?)*$""), """", PROPER(SUBSTITUTE(SUBSTITUTE(G457, ""?"", """"), ""*"", """")))"),"Doormat Hearts")</f>
        <v>Doormat Hearts</v>
      </c>
      <c r="I457" s="3">
        <v>2.0</v>
      </c>
      <c r="J457" s="7">
        <v>40513.486805555556</v>
      </c>
      <c r="K457" s="8" t="str">
        <f t="shared" si="4"/>
        <v>2010-12</v>
      </c>
      <c r="L457" s="5">
        <v>7.95</v>
      </c>
      <c r="M457" s="3">
        <v>14307.0</v>
      </c>
      <c r="N457" s="1" t="str">
        <f t="shared" si="5"/>
        <v>Registered</v>
      </c>
      <c r="O457" s="1" t="s">
        <v>19</v>
      </c>
      <c r="P457" s="9" t="str">
        <f t="shared" si="6"/>
        <v>UK</v>
      </c>
      <c r="Q457" s="8">
        <f t="shared" si="7"/>
        <v>15.9</v>
      </c>
    </row>
    <row r="458">
      <c r="A458" s="1">
        <v>536408.0</v>
      </c>
      <c r="B458" s="1" t="str">
        <f t="shared" si="1"/>
        <v>536408</v>
      </c>
      <c r="C458" s="1" t="str">
        <f t="shared" si="2"/>
        <v>Sale</v>
      </c>
      <c r="D458" s="1">
        <v>22488.0</v>
      </c>
      <c r="E458" s="1" t="str">
        <f>IFERROR(__xludf.DUMMYFUNCTION("IF(LEN(D458)&gt;4, IFERROR(REGEXEXTRACT(TO_TEXT(D458),""\d+""),""""),"""")"),"22488")</f>
        <v>22488</v>
      </c>
      <c r="F458" s="6" t="str">
        <f t="shared" si="3"/>
        <v>Product</v>
      </c>
      <c r="G458" s="1" t="s">
        <v>376</v>
      </c>
      <c r="H458" s="6" t="str">
        <f>IFERROR(__xludf.DUMMYFUNCTION("IF(REGEXMATCH(LOWER(G458), ""^(\?)+\s*(missing)?\s*(\?)*$""), """", PROPER(SUBSTITUTE(SUBSTITUTE(G458, ""?"", """"), ""*"", """")))"),"Natural Slate Rectangle Chalkboard")</f>
        <v>Natural Slate Rectangle Chalkboard</v>
      </c>
      <c r="I458" s="3">
        <v>12.0</v>
      </c>
      <c r="J458" s="7">
        <v>40513.486805555556</v>
      </c>
      <c r="K458" s="8" t="str">
        <f t="shared" si="4"/>
        <v>2010-12</v>
      </c>
      <c r="L458" s="5">
        <v>1.65</v>
      </c>
      <c r="M458" s="3">
        <v>14307.0</v>
      </c>
      <c r="N458" s="1" t="str">
        <f t="shared" si="5"/>
        <v>Registered</v>
      </c>
      <c r="O458" s="1" t="s">
        <v>19</v>
      </c>
      <c r="P458" s="9" t="str">
        <f t="shared" si="6"/>
        <v>UK</v>
      </c>
      <c r="Q458" s="8">
        <f t="shared" si="7"/>
        <v>19.8</v>
      </c>
    </row>
    <row r="459">
      <c r="A459" s="1">
        <v>536408.0</v>
      </c>
      <c r="B459" s="1" t="str">
        <f t="shared" si="1"/>
        <v>536408</v>
      </c>
      <c r="C459" s="1" t="str">
        <f t="shared" si="2"/>
        <v>Sale</v>
      </c>
      <c r="D459" s="1">
        <v>22219.0</v>
      </c>
      <c r="E459" s="1" t="str">
        <f>IFERROR(__xludf.DUMMYFUNCTION("IF(LEN(D459)&gt;4, IFERROR(REGEXEXTRACT(TO_TEXT(D459),""\d+""),""""),"""")"),"22219")</f>
        <v>22219</v>
      </c>
      <c r="F459" s="6" t="str">
        <f t="shared" si="3"/>
        <v>Product</v>
      </c>
      <c r="G459" s="1" t="s">
        <v>377</v>
      </c>
      <c r="H459" s="6" t="str">
        <f>IFERROR(__xludf.DUMMYFUNCTION("IF(REGEXMATCH(LOWER(G459), ""^(\?)+\s*(missing)?\s*(\?)*$""), """", PROPER(SUBSTITUTE(SUBSTITUTE(G459, ""?"", """"), ""*"", """")))"),"Lovebird Hanging Decoration White")</f>
        <v>Lovebird Hanging Decoration White</v>
      </c>
      <c r="I459" s="3">
        <v>12.0</v>
      </c>
      <c r="J459" s="7">
        <v>40513.486805555556</v>
      </c>
      <c r="K459" s="8" t="str">
        <f t="shared" si="4"/>
        <v>2010-12</v>
      </c>
      <c r="L459" s="5">
        <v>0.85</v>
      </c>
      <c r="M459" s="3">
        <v>14307.0</v>
      </c>
      <c r="N459" s="1" t="str">
        <f t="shared" si="5"/>
        <v>Registered</v>
      </c>
      <c r="O459" s="1" t="s">
        <v>19</v>
      </c>
      <c r="P459" s="9" t="str">
        <f t="shared" si="6"/>
        <v>UK</v>
      </c>
      <c r="Q459" s="8">
        <f t="shared" si="7"/>
        <v>10.2</v>
      </c>
    </row>
    <row r="460">
      <c r="A460" s="1">
        <v>536408.0</v>
      </c>
      <c r="B460" s="1" t="str">
        <f t="shared" si="1"/>
        <v>536408</v>
      </c>
      <c r="C460" s="1" t="str">
        <f t="shared" si="2"/>
        <v>Sale</v>
      </c>
      <c r="D460" s="1">
        <v>84879.0</v>
      </c>
      <c r="E460" s="1" t="str">
        <f>IFERROR(__xludf.DUMMYFUNCTION("IF(LEN(D460)&gt;4, IFERROR(REGEXEXTRACT(TO_TEXT(D460),""\d+""),""""),"""")"),"84879")</f>
        <v>84879</v>
      </c>
      <c r="F460" s="6" t="str">
        <f t="shared" si="3"/>
        <v>Product</v>
      </c>
      <c r="G460" s="1" t="s">
        <v>31</v>
      </c>
      <c r="H460" s="6" t="str">
        <f>IFERROR(__xludf.DUMMYFUNCTION("IF(REGEXMATCH(LOWER(G460), ""^(\?)+\s*(missing)?\s*(\?)*$""), """", PROPER(SUBSTITUTE(SUBSTITUTE(G460, ""?"", """"), ""*"", """")))"),"Assorted Colour Bird Ornament")</f>
        <v>Assorted Colour Bird Ornament</v>
      </c>
      <c r="I460" s="3">
        <v>8.0</v>
      </c>
      <c r="J460" s="7">
        <v>40513.486805555556</v>
      </c>
      <c r="K460" s="8" t="str">
        <f t="shared" si="4"/>
        <v>2010-12</v>
      </c>
      <c r="L460" s="5">
        <v>1.69</v>
      </c>
      <c r="M460" s="3">
        <v>14307.0</v>
      </c>
      <c r="N460" s="1" t="str">
        <f t="shared" si="5"/>
        <v>Registered</v>
      </c>
      <c r="O460" s="1" t="s">
        <v>19</v>
      </c>
      <c r="P460" s="9" t="str">
        <f t="shared" si="6"/>
        <v>UK</v>
      </c>
      <c r="Q460" s="8">
        <f t="shared" si="7"/>
        <v>13.52</v>
      </c>
    </row>
    <row r="461">
      <c r="A461" s="1">
        <v>536408.0</v>
      </c>
      <c r="B461" s="1" t="str">
        <f t="shared" si="1"/>
        <v>536408</v>
      </c>
      <c r="C461" s="1" t="str">
        <f t="shared" si="2"/>
        <v>Sale</v>
      </c>
      <c r="D461" s="1">
        <v>21754.0</v>
      </c>
      <c r="E461" s="1" t="str">
        <f>IFERROR(__xludf.DUMMYFUNCTION("IF(LEN(D461)&gt;4, IFERROR(REGEXEXTRACT(TO_TEXT(D461),""\d+""),""""),"""")"),"21754")</f>
        <v>21754</v>
      </c>
      <c r="F461" s="6" t="str">
        <f t="shared" si="3"/>
        <v>Product</v>
      </c>
      <c r="G461" s="1" t="s">
        <v>39</v>
      </c>
      <c r="H461" s="6" t="str">
        <f>IFERROR(__xludf.DUMMYFUNCTION("IF(REGEXMATCH(LOWER(G461), ""^(\?)+\s*(missing)?\s*(\?)*$""), """", PROPER(SUBSTITUTE(SUBSTITUTE(G461, ""?"", """"), ""*"", """")))"),"Home Building Block Word")</f>
        <v>Home Building Block Word</v>
      </c>
      <c r="I461" s="3">
        <v>3.0</v>
      </c>
      <c r="J461" s="7">
        <v>40513.486805555556</v>
      </c>
      <c r="K461" s="8" t="str">
        <f t="shared" si="4"/>
        <v>2010-12</v>
      </c>
      <c r="L461" s="5">
        <v>5.95</v>
      </c>
      <c r="M461" s="3">
        <v>14307.0</v>
      </c>
      <c r="N461" s="1" t="str">
        <f t="shared" si="5"/>
        <v>Registered</v>
      </c>
      <c r="O461" s="1" t="s">
        <v>19</v>
      </c>
      <c r="P461" s="9" t="str">
        <f t="shared" si="6"/>
        <v>UK</v>
      </c>
      <c r="Q461" s="8">
        <f t="shared" si="7"/>
        <v>17.85</v>
      </c>
    </row>
    <row r="462">
      <c r="A462" s="1">
        <v>536408.0</v>
      </c>
      <c r="B462" s="1" t="str">
        <f t="shared" si="1"/>
        <v>536408</v>
      </c>
      <c r="C462" s="1" t="str">
        <f t="shared" si="2"/>
        <v>Sale</v>
      </c>
      <c r="D462" s="1">
        <v>21755.0</v>
      </c>
      <c r="E462" s="1" t="str">
        <f>IFERROR(__xludf.DUMMYFUNCTION("IF(LEN(D462)&gt;4, IFERROR(REGEXEXTRACT(TO_TEXT(D462),""\d+""),""""),"""")"),"21755")</f>
        <v>21755</v>
      </c>
      <c r="F462" s="6" t="str">
        <f t="shared" si="3"/>
        <v>Product</v>
      </c>
      <c r="G462" s="1" t="s">
        <v>40</v>
      </c>
      <c r="H462" s="6" t="str">
        <f>IFERROR(__xludf.DUMMYFUNCTION("IF(REGEXMATCH(LOWER(G462), ""^(\?)+\s*(missing)?\s*(\?)*$""), """", PROPER(SUBSTITUTE(SUBSTITUTE(G462, ""?"", """"), ""*"", """")))"),"Love Building Block Word")</f>
        <v>Love Building Block Word</v>
      </c>
      <c r="I462" s="3">
        <v>3.0</v>
      </c>
      <c r="J462" s="7">
        <v>40513.486805555556</v>
      </c>
      <c r="K462" s="8" t="str">
        <f t="shared" si="4"/>
        <v>2010-12</v>
      </c>
      <c r="L462" s="5">
        <v>5.95</v>
      </c>
      <c r="M462" s="3">
        <v>14307.0</v>
      </c>
      <c r="N462" s="1" t="str">
        <f t="shared" si="5"/>
        <v>Registered</v>
      </c>
      <c r="O462" s="1" t="s">
        <v>19</v>
      </c>
      <c r="P462" s="9" t="str">
        <f t="shared" si="6"/>
        <v>UK</v>
      </c>
      <c r="Q462" s="8">
        <f t="shared" si="7"/>
        <v>17.85</v>
      </c>
    </row>
    <row r="463">
      <c r="A463" s="1">
        <v>536408.0</v>
      </c>
      <c r="B463" s="1" t="str">
        <f t="shared" si="1"/>
        <v>536408</v>
      </c>
      <c r="C463" s="1" t="str">
        <f t="shared" si="2"/>
        <v>Sale</v>
      </c>
      <c r="D463" s="1">
        <v>22766.0</v>
      </c>
      <c r="E463" s="1" t="str">
        <f>IFERROR(__xludf.DUMMYFUNCTION("IF(LEN(D463)&gt;4, IFERROR(REGEXEXTRACT(TO_TEXT(D463),""\d+""),""""),"""")"),"22766")</f>
        <v>22766</v>
      </c>
      <c r="F463" s="6" t="str">
        <f t="shared" si="3"/>
        <v>Product</v>
      </c>
      <c r="G463" s="1" t="s">
        <v>274</v>
      </c>
      <c r="H463" s="6" t="str">
        <f>IFERROR(__xludf.DUMMYFUNCTION("IF(REGEXMATCH(LOWER(G463), ""^(\?)+\s*(missing)?\s*(\?)*$""), """", PROPER(SUBSTITUTE(SUBSTITUTE(G463, ""?"", """"), ""*"", """")))"),"Photo Frame Cornice")</f>
        <v>Photo Frame Cornice</v>
      </c>
      <c r="I463" s="3">
        <v>8.0</v>
      </c>
      <c r="J463" s="7">
        <v>40513.486805555556</v>
      </c>
      <c r="K463" s="8" t="str">
        <f t="shared" si="4"/>
        <v>2010-12</v>
      </c>
      <c r="L463" s="5">
        <v>2.95</v>
      </c>
      <c r="M463" s="3">
        <v>14307.0</v>
      </c>
      <c r="N463" s="1" t="str">
        <f t="shared" si="5"/>
        <v>Registered</v>
      </c>
      <c r="O463" s="1" t="s">
        <v>19</v>
      </c>
      <c r="P463" s="9" t="str">
        <f t="shared" si="6"/>
        <v>UK</v>
      </c>
      <c r="Q463" s="8">
        <f t="shared" si="7"/>
        <v>23.6</v>
      </c>
    </row>
    <row r="464">
      <c r="A464" s="1">
        <v>536408.0</v>
      </c>
      <c r="B464" s="1" t="str">
        <f t="shared" si="1"/>
        <v>536408</v>
      </c>
      <c r="C464" s="1" t="str">
        <f t="shared" si="2"/>
        <v>Sale</v>
      </c>
      <c r="D464" s="1">
        <v>22610.0</v>
      </c>
      <c r="E464" s="1" t="str">
        <f>IFERROR(__xludf.DUMMYFUNCTION("IF(LEN(D464)&gt;4, IFERROR(REGEXEXTRACT(TO_TEXT(D464),""\d+""),""""),"""")"),"22610")</f>
        <v>22610</v>
      </c>
      <c r="F464" s="6" t="str">
        <f t="shared" si="3"/>
        <v>Product</v>
      </c>
      <c r="G464" s="1" t="s">
        <v>378</v>
      </c>
      <c r="H464" s="6" t="str">
        <f>IFERROR(__xludf.DUMMYFUNCTION("IF(REGEXMATCH(LOWER(G464), ""^(\?)+\s*(missing)?\s*(\?)*$""), """", PROPER(SUBSTITUTE(SUBSTITUTE(G464, ""?"", """"), ""*"", """")))"),"Pens Assorted Funny Face")</f>
        <v>Pens Assorted Funny Face</v>
      </c>
      <c r="I464" s="3">
        <v>36.0</v>
      </c>
      <c r="J464" s="7">
        <v>40513.486805555556</v>
      </c>
      <c r="K464" s="8" t="str">
        <f t="shared" si="4"/>
        <v>2010-12</v>
      </c>
      <c r="L464" s="5">
        <v>0.85</v>
      </c>
      <c r="M464" s="3">
        <v>14307.0</v>
      </c>
      <c r="N464" s="1" t="str">
        <f t="shared" si="5"/>
        <v>Registered</v>
      </c>
      <c r="O464" s="1" t="s">
        <v>19</v>
      </c>
      <c r="P464" s="9" t="str">
        <f t="shared" si="6"/>
        <v>UK</v>
      </c>
      <c r="Q464" s="8">
        <f t="shared" si="7"/>
        <v>30.6</v>
      </c>
    </row>
    <row r="465">
      <c r="A465" s="1">
        <v>536408.0</v>
      </c>
      <c r="B465" s="1" t="str">
        <f t="shared" si="1"/>
        <v>536408</v>
      </c>
      <c r="C465" s="1" t="str">
        <f t="shared" si="2"/>
        <v>Sale</v>
      </c>
      <c r="D465" s="1">
        <v>22716.0</v>
      </c>
      <c r="E465" s="1" t="str">
        <f>IFERROR(__xludf.DUMMYFUNCTION("IF(LEN(D465)&gt;4, IFERROR(REGEXEXTRACT(TO_TEXT(D465),""\d+""),""""),"""")"),"22716")</f>
        <v>22716</v>
      </c>
      <c r="F465" s="6" t="str">
        <f t="shared" si="3"/>
        <v>Product</v>
      </c>
      <c r="G465" s="1" t="s">
        <v>379</v>
      </c>
      <c r="H465" s="6" t="str">
        <f>IFERROR(__xludf.DUMMYFUNCTION("IF(REGEXMATCH(LOWER(G465), ""^(\?)+\s*(missing)?\s*(\?)*$""), """", PROPER(SUBSTITUTE(SUBSTITUTE(G465, ""?"", """"), ""*"", """")))"),"Card Circus Parade")</f>
        <v>Card Circus Parade</v>
      </c>
      <c r="I465" s="3">
        <v>12.0</v>
      </c>
      <c r="J465" s="7">
        <v>40513.486805555556</v>
      </c>
      <c r="K465" s="8" t="str">
        <f t="shared" si="4"/>
        <v>2010-12</v>
      </c>
      <c r="L465" s="5">
        <v>0.42</v>
      </c>
      <c r="M465" s="3">
        <v>14307.0</v>
      </c>
      <c r="N465" s="1" t="str">
        <f t="shared" si="5"/>
        <v>Registered</v>
      </c>
      <c r="O465" s="1" t="s">
        <v>19</v>
      </c>
      <c r="P465" s="9" t="str">
        <f t="shared" si="6"/>
        <v>UK</v>
      </c>
      <c r="Q465" s="8">
        <f t="shared" si="7"/>
        <v>5.04</v>
      </c>
    </row>
    <row r="466">
      <c r="A466" s="1">
        <v>536408.0</v>
      </c>
      <c r="B466" s="1" t="str">
        <f t="shared" si="1"/>
        <v>536408</v>
      </c>
      <c r="C466" s="1" t="str">
        <f t="shared" si="2"/>
        <v>Sale</v>
      </c>
      <c r="D466" s="1">
        <v>22706.0</v>
      </c>
      <c r="E466" s="1" t="str">
        <f>IFERROR(__xludf.DUMMYFUNCTION("IF(LEN(D466)&gt;4, IFERROR(REGEXEXTRACT(TO_TEXT(D466),""\d+""),""""),"""")"),"22706")</f>
        <v>22706</v>
      </c>
      <c r="F466" s="6" t="str">
        <f t="shared" si="3"/>
        <v>Product</v>
      </c>
      <c r="G466" s="1" t="s">
        <v>380</v>
      </c>
      <c r="H466" s="6" t="str">
        <f>IFERROR(__xludf.DUMMYFUNCTION("IF(REGEXMATCH(LOWER(G466), ""^(\?)+\s*(missing)?\s*(\?)*$""), """", PROPER(SUBSTITUTE(SUBSTITUTE(G466, ""?"", """"), ""*"", """")))"),"Wrap Cowboys")</f>
        <v>Wrap Cowboys</v>
      </c>
      <c r="I466" s="3">
        <v>25.0</v>
      </c>
      <c r="J466" s="7">
        <v>40513.486805555556</v>
      </c>
      <c r="K466" s="8" t="str">
        <f t="shared" si="4"/>
        <v>2010-12</v>
      </c>
      <c r="L466" s="5">
        <v>0.42</v>
      </c>
      <c r="M466" s="3">
        <v>14307.0</v>
      </c>
      <c r="N466" s="1" t="str">
        <f t="shared" si="5"/>
        <v>Registered</v>
      </c>
      <c r="O466" s="1" t="s">
        <v>19</v>
      </c>
      <c r="P466" s="9" t="str">
        <f t="shared" si="6"/>
        <v>UK</v>
      </c>
      <c r="Q466" s="8">
        <f t="shared" si="7"/>
        <v>10.5</v>
      </c>
    </row>
    <row r="467">
      <c r="A467" s="1">
        <v>536408.0</v>
      </c>
      <c r="B467" s="1" t="str">
        <f t="shared" si="1"/>
        <v>536408</v>
      </c>
      <c r="C467" s="1" t="str">
        <f t="shared" si="2"/>
        <v>Sale</v>
      </c>
      <c r="D467" s="1">
        <v>22371.0</v>
      </c>
      <c r="E467" s="1" t="str">
        <f>IFERROR(__xludf.DUMMYFUNCTION("IF(LEN(D467)&gt;4, IFERROR(REGEXEXTRACT(TO_TEXT(D467),""\d+""),""""),"""")"),"22371")</f>
        <v>22371</v>
      </c>
      <c r="F467" s="6" t="str">
        <f t="shared" si="3"/>
        <v>Product</v>
      </c>
      <c r="G467" s="1" t="s">
        <v>381</v>
      </c>
      <c r="H467" s="6" t="str">
        <f>IFERROR(__xludf.DUMMYFUNCTION("IF(REGEXMATCH(LOWER(G467), ""^(\?)+\s*(missing)?\s*(\?)*$""), """", PROPER(SUBSTITUTE(SUBSTITUTE(G467, ""?"", """"), ""*"", """")))"),"Airline Bag Vintage Tokyo 78")</f>
        <v>Airline Bag Vintage Tokyo 78</v>
      </c>
      <c r="I467" s="3">
        <v>4.0</v>
      </c>
      <c r="J467" s="7">
        <v>40513.486805555556</v>
      </c>
      <c r="K467" s="8" t="str">
        <f t="shared" si="4"/>
        <v>2010-12</v>
      </c>
      <c r="L467" s="5">
        <v>4.25</v>
      </c>
      <c r="M467" s="3">
        <v>14307.0</v>
      </c>
      <c r="N467" s="1" t="str">
        <f t="shared" si="5"/>
        <v>Registered</v>
      </c>
      <c r="O467" s="1" t="s">
        <v>19</v>
      </c>
      <c r="P467" s="9" t="str">
        <f t="shared" si="6"/>
        <v>UK</v>
      </c>
      <c r="Q467" s="8">
        <f t="shared" si="7"/>
        <v>17</v>
      </c>
    </row>
    <row r="468">
      <c r="A468" s="1">
        <v>536408.0</v>
      </c>
      <c r="B468" s="1" t="str">
        <f t="shared" si="1"/>
        <v>536408</v>
      </c>
      <c r="C468" s="1" t="str">
        <f t="shared" si="2"/>
        <v>Sale</v>
      </c>
      <c r="D468" s="1" t="s">
        <v>201</v>
      </c>
      <c r="E468" s="1" t="str">
        <f>IFERROR(__xludf.DUMMYFUNCTION("IF(LEN(D468)&gt;4, IFERROR(REGEXEXTRACT(TO_TEXT(D468),""\d+""),""""),"""")"),"85014")</f>
        <v>85014</v>
      </c>
      <c r="F468" s="6" t="str">
        <f t="shared" si="3"/>
        <v>Product</v>
      </c>
      <c r="G468" s="1" t="s">
        <v>202</v>
      </c>
      <c r="H468" s="6" t="str">
        <f>IFERROR(__xludf.DUMMYFUNCTION("IF(REGEXMATCH(LOWER(G468), ""^(\?)+\s*(missing)?\s*(\?)*$""), """", PROPER(SUBSTITUTE(SUBSTITUTE(G468, ""?"", """"), ""*"", """")))"),"Red Retrospot Umbrella")</f>
        <v>Red Retrospot Umbrella</v>
      </c>
      <c r="I468" s="3">
        <v>3.0</v>
      </c>
      <c r="J468" s="7">
        <v>40513.486805555556</v>
      </c>
      <c r="K468" s="8" t="str">
        <f t="shared" si="4"/>
        <v>2010-12</v>
      </c>
      <c r="L468" s="5">
        <v>5.95</v>
      </c>
      <c r="M468" s="3">
        <v>14307.0</v>
      </c>
      <c r="N468" s="1" t="str">
        <f t="shared" si="5"/>
        <v>Registered</v>
      </c>
      <c r="O468" s="1" t="s">
        <v>19</v>
      </c>
      <c r="P468" s="9" t="str">
        <f t="shared" si="6"/>
        <v>UK</v>
      </c>
      <c r="Q468" s="8">
        <f t="shared" si="7"/>
        <v>17.85</v>
      </c>
    </row>
    <row r="469">
      <c r="A469" s="1">
        <v>536408.0</v>
      </c>
      <c r="B469" s="1" t="str">
        <f t="shared" si="1"/>
        <v>536408</v>
      </c>
      <c r="C469" s="1" t="str">
        <f t="shared" si="2"/>
        <v>Sale</v>
      </c>
      <c r="D469" s="1" t="s">
        <v>203</v>
      </c>
      <c r="E469" s="1" t="str">
        <f>IFERROR(__xludf.DUMMYFUNCTION("IF(LEN(D469)&gt;4, IFERROR(REGEXEXTRACT(TO_TEXT(D469),""\d+""),""""),"""")"),"85014")</f>
        <v>85014</v>
      </c>
      <c r="F469" s="6" t="str">
        <f t="shared" si="3"/>
        <v>Product</v>
      </c>
      <c r="G469" s="1" t="s">
        <v>204</v>
      </c>
      <c r="H469" s="6" t="str">
        <f>IFERROR(__xludf.DUMMYFUNCTION("IF(REGEXMATCH(LOWER(G469), ""^(\?)+\s*(missing)?\s*(\?)*$""), """", PROPER(SUBSTITUTE(SUBSTITUTE(G469, ""?"", """"), ""*"", """")))"),"Black/Blue Polkadot Umbrella")</f>
        <v>Black/Blue Polkadot Umbrella</v>
      </c>
      <c r="I469" s="3">
        <v>3.0</v>
      </c>
      <c r="J469" s="7">
        <v>40513.486805555556</v>
      </c>
      <c r="K469" s="8" t="str">
        <f t="shared" si="4"/>
        <v>2010-12</v>
      </c>
      <c r="L469" s="5">
        <v>5.95</v>
      </c>
      <c r="M469" s="3">
        <v>14307.0</v>
      </c>
      <c r="N469" s="1" t="str">
        <f t="shared" si="5"/>
        <v>Registered</v>
      </c>
      <c r="O469" s="1" t="s">
        <v>19</v>
      </c>
      <c r="P469" s="9" t="str">
        <f t="shared" si="6"/>
        <v>UK</v>
      </c>
      <c r="Q469" s="8">
        <f t="shared" si="7"/>
        <v>17.85</v>
      </c>
    </row>
    <row r="470">
      <c r="A470" s="1">
        <v>536408.0</v>
      </c>
      <c r="B470" s="1" t="str">
        <f t="shared" si="1"/>
        <v>536408</v>
      </c>
      <c r="C470" s="1" t="str">
        <f t="shared" si="2"/>
        <v>Sale</v>
      </c>
      <c r="D470" s="1" t="s">
        <v>89</v>
      </c>
      <c r="E470" s="1" t="str">
        <f>IFERROR(__xludf.DUMMYFUNCTION("IF(LEN(D470)&gt;4, IFERROR(REGEXEXTRACT(TO_TEXT(D470),""\d+""),""""),"""")"),"84997")</f>
        <v>84997</v>
      </c>
      <c r="F470" s="6" t="str">
        <f t="shared" si="3"/>
        <v>Product</v>
      </c>
      <c r="G470" s="1" t="s">
        <v>90</v>
      </c>
      <c r="H470" s="6" t="str">
        <f>IFERROR(__xludf.DUMMYFUNCTION("IF(REGEXMATCH(LOWER(G470), ""^(\?)+\s*(missing)?\s*(\?)*$""), """", PROPER(SUBSTITUTE(SUBSTITUTE(G470, ""?"", """"), ""*"", """")))"),"Red 3 Piece Retrospot Cutlery Set")</f>
        <v>Red 3 Piece Retrospot Cutlery Set</v>
      </c>
      <c r="I470" s="3">
        <v>6.0</v>
      </c>
      <c r="J470" s="7">
        <v>40513.486805555556</v>
      </c>
      <c r="K470" s="8" t="str">
        <f t="shared" si="4"/>
        <v>2010-12</v>
      </c>
      <c r="L470" s="5">
        <v>3.75</v>
      </c>
      <c r="M470" s="3">
        <v>14307.0</v>
      </c>
      <c r="N470" s="1" t="str">
        <f t="shared" si="5"/>
        <v>Registered</v>
      </c>
      <c r="O470" s="1" t="s">
        <v>19</v>
      </c>
      <c r="P470" s="9" t="str">
        <f t="shared" si="6"/>
        <v>UK</v>
      </c>
      <c r="Q470" s="8">
        <f t="shared" si="7"/>
        <v>22.5</v>
      </c>
    </row>
    <row r="471">
      <c r="A471" s="1">
        <v>536408.0</v>
      </c>
      <c r="B471" s="1" t="str">
        <f t="shared" si="1"/>
        <v>536408</v>
      </c>
      <c r="C471" s="1" t="str">
        <f t="shared" si="2"/>
        <v>Sale</v>
      </c>
      <c r="D471" s="1">
        <v>21212.0</v>
      </c>
      <c r="E471" s="1" t="str">
        <f>IFERROR(__xludf.DUMMYFUNCTION("IF(LEN(D471)&gt;4, IFERROR(REGEXEXTRACT(TO_TEXT(D471),""\d+""),""""),"""")"),"21212")</f>
        <v>21212</v>
      </c>
      <c r="F471" s="6" t="str">
        <f t="shared" si="3"/>
        <v>Product</v>
      </c>
      <c r="G471" s="1" t="s">
        <v>97</v>
      </c>
      <c r="H471" s="6" t="str">
        <f>IFERROR(__xludf.DUMMYFUNCTION("IF(REGEXMATCH(LOWER(G471), ""^(\?)+\s*(missing)?\s*(\?)*$""), """", PROPER(SUBSTITUTE(SUBSTITUTE(G471, ""?"", """"), ""*"", """")))"),"Pack Of 72 Retrospot Cake Cases")</f>
        <v>Pack Of 72 Retrospot Cake Cases</v>
      </c>
      <c r="I471" s="3">
        <v>24.0</v>
      </c>
      <c r="J471" s="7">
        <v>40513.486805555556</v>
      </c>
      <c r="K471" s="8" t="str">
        <f t="shared" si="4"/>
        <v>2010-12</v>
      </c>
      <c r="L471" s="5">
        <v>0.55</v>
      </c>
      <c r="M471" s="3">
        <v>14307.0</v>
      </c>
      <c r="N471" s="1" t="str">
        <f t="shared" si="5"/>
        <v>Registered</v>
      </c>
      <c r="O471" s="1" t="s">
        <v>19</v>
      </c>
      <c r="P471" s="9" t="str">
        <f t="shared" si="6"/>
        <v>UK</v>
      </c>
      <c r="Q471" s="8">
        <f t="shared" si="7"/>
        <v>13.2</v>
      </c>
    </row>
    <row r="472">
      <c r="A472" s="1">
        <v>536408.0</v>
      </c>
      <c r="B472" s="1" t="str">
        <f t="shared" si="1"/>
        <v>536408</v>
      </c>
      <c r="C472" s="1" t="str">
        <f t="shared" si="2"/>
        <v>Sale</v>
      </c>
      <c r="D472" s="1">
        <v>21210.0</v>
      </c>
      <c r="E472" s="1" t="str">
        <f>IFERROR(__xludf.DUMMYFUNCTION("IF(LEN(D472)&gt;4, IFERROR(REGEXEXTRACT(TO_TEXT(D472),""\d+""),""""),"""")"),"21210")</f>
        <v>21210</v>
      </c>
      <c r="F472" s="6" t="str">
        <f t="shared" si="3"/>
        <v>Product</v>
      </c>
      <c r="G472" s="1" t="s">
        <v>382</v>
      </c>
      <c r="H472" s="6" t="str">
        <f>IFERROR(__xludf.DUMMYFUNCTION("IF(REGEXMATCH(LOWER(G472), ""^(\?)+\s*(missing)?\s*(\?)*$""), """", PROPER(SUBSTITUTE(SUBSTITUTE(G472, ""?"", """"), ""*"", """")))"),"Set Of 72 Retrospot Paper Doilies")</f>
        <v>Set Of 72 Retrospot Paper Doilies</v>
      </c>
      <c r="I472" s="3">
        <v>12.0</v>
      </c>
      <c r="J472" s="7">
        <v>40513.486805555556</v>
      </c>
      <c r="K472" s="8" t="str">
        <f t="shared" si="4"/>
        <v>2010-12</v>
      </c>
      <c r="L472" s="5">
        <v>1.45</v>
      </c>
      <c r="M472" s="3">
        <v>14307.0</v>
      </c>
      <c r="N472" s="1" t="str">
        <f t="shared" si="5"/>
        <v>Registered</v>
      </c>
      <c r="O472" s="1" t="s">
        <v>19</v>
      </c>
      <c r="P472" s="9" t="str">
        <f t="shared" si="6"/>
        <v>UK</v>
      </c>
      <c r="Q472" s="8">
        <f t="shared" si="7"/>
        <v>17.4</v>
      </c>
    </row>
    <row r="473">
      <c r="A473" s="1">
        <v>536408.0</v>
      </c>
      <c r="B473" s="1" t="str">
        <f t="shared" si="1"/>
        <v>536408</v>
      </c>
      <c r="C473" s="1" t="str">
        <f t="shared" si="2"/>
        <v>Sale</v>
      </c>
      <c r="D473" s="1">
        <v>22914.0</v>
      </c>
      <c r="E473" s="1" t="str">
        <f>IFERROR(__xludf.DUMMYFUNCTION("IF(LEN(D473)&gt;4, IFERROR(REGEXEXTRACT(TO_TEXT(D473),""\d+""),""""),"""")"),"22914")</f>
        <v>22914</v>
      </c>
      <c r="F473" s="6" t="str">
        <f t="shared" si="3"/>
        <v>Product</v>
      </c>
      <c r="G473" s="1" t="s">
        <v>46</v>
      </c>
      <c r="H473" s="6" t="str">
        <f>IFERROR(__xludf.DUMMYFUNCTION("IF(REGEXMATCH(LOWER(G473), ""^(\?)+\s*(missing)?\s*(\?)*$""), """", PROPER(SUBSTITUTE(SUBSTITUTE(G473, ""?"", """"), ""*"", """")))"),"Blue Coat Rack Paris Fashion")</f>
        <v>Blue Coat Rack Paris Fashion</v>
      </c>
      <c r="I473" s="3">
        <v>3.0</v>
      </c>
      <c r="J473" s="7">
        <v>40513.486805555556</v>
      </c>
      <c r="K473" s="8" t="str">
        <f t="shared" si="4"/>
        <v>2010-12</v>
      </c>
      <c r="L473" s="5">
        <v>4.95</v>
      </c>
      <c r="M473" s="3">
        <v>14307.0</v>
      </c>
      <c r="N473" s="1" t="str">
        <f t="shared" si="5"/>
        <v>Registered</v>
      </c>
      <c r="O473" s="1" t="s">
        <v>19</v>
      </c>
      <c r="P473" s="9" t="str">
        <f t="shared" si="6"/>
        <v>UK</v>
      </c>
      <c r="Q473" s="8">
        <f t="shared" si="7"/>
        <v>14.85</v>
      </c>
    </row>
    <row r="474">
      <c r="A474" s="1">
        <v>536408.0</v>
      </c>
      <c r="B474" s="1" t="str">
        <f t="shared" si="1"/>
        <v>536408</v>
      </c>
      <c r="C474" s="1" t="str">
        <f t="shared" si="2"/>
        <v>Sale</v>
      </c>
      <c r="D474" s="1">
        <v>22553.0</v>
      </c>
      <c r="E474" s="1" t="str">
        <f>IFERROR(__xludf.DUMMYFUNCTION("IF(LEN(D474)&gt;4, IFERROR(REGEXEXTRACT(TO_TEXT(D474),""\d+""),""""),"""")"),"22553")</f>
        <v>22553</v>
      </c>
      <c r="F474" s="6" t="str">
        <f t="shared" si="3"/>
        <v>Product</v>
      </c>
      <c r="G474" s="1" t="s">
        <v>234</v>
      </c>
      <c r="H474" s="6" t="str">
        <f>IFERROR(__xludf.DUMMYFUNCTION("IF(REGEXMATCH(LOWER(G474), ""^(\?)+\s*(missing)?\s*(\?)*$""), """", PROPER(SUBSTITUTE(SUBSTITUTE(G474, ""?"", """"), ""*"", """")))"),"Plasters In Tin Skulls")</f>
        <v>Plasters In Tin Skulls</v>
      </c>
      <c r="I474" s="3">
        <v>12.0</v>
      </c>
      <c r="J474" s="7">
        <v>40513.486805555556</v>
      </c>
      <c r="K474" s="8" t="str">
        <f t="shared" si="4"/>
        <v>2010-12</v>
      </c>
      <c r="L474" s="5">
        <v>1.65</v>
      </c>
      <c r="M474" s="3">
        <v>14307.0</v>
      </c>
      <c r="N474" s="1" t="str">
        <f t="shared" si="5"/>
        <v>Registered</v>
      </c>
      <c r="O474" s="1" t="s">
        <v>19</v>
      </c>
      <c r="P474" s="9" t="str">
        <f t="shared" si="6"/>
        <v>UK</v>
      </c>
      <c r="Q474" s="8">
        <f t="shared" si="7"/>
        <v>19.8</v>
      </c>
    </row>
    <row r="475">
      <c r="A475" s="1">
        <v>536408.0</v>
      </c>
      <c r="B475" s="1" t="str">
        <f t="shared" si="1"/>
        <v>536408</v>
      </c>
      <c r="C475" s="1" t="str">
        <f t="shared" si="2"/>
        <v>Sale</v>
      </c>
      <c r="D475" s="1">
        <v>16237.0</v>
      </c>
      <c r="E475" s="1" t="str">
        <f>IFERROR(__xludf.DUMMYFUNCTION("IF(LEN(D475)&gt;4, IFERROR(REGEXEXTRACT(TO_TEXT(D475),""\d+""),""""),"""")"),"16237")</f>
        <v>16237</v>
      </c>
      <c r="F475" s="6" t="str">
        <f t="shared" si="3"/>
        <v>Product</v>
      </c>
      <c r="G475" s="1" t="s">
        <v>383</v>
      </c>
      <c r="H475" s="6" t="str">
        <f>IFERROR(__xludf.DUMMYFUNCTION("IF(REGEXMATCH(LOWER(G475), ""^(\?)+\s*(missing)?\s*(\?)*$""), """", PROPER(SUBSTITUTE(SUBSTITUTE(G475, ""?"", """"), ""*"", """")))"),"Sleeping Cat Erasers")</f>
        <v>Sleeping Cat Erasers</v>
      </c>
      <c r="I475" s="3">
        <v>30.0</v>
      </c>
      <c r="J475" s="7">
        <v>40513.486805555556</v>
      </c>
      <c r="K475" s="8" t="str">
        <f t="shared" si="4"/>
        <v>2010-12</v>
      </c>
      <c r="L475" s="5">
        <v>0.21</v>
      </c>
      <c r="M475" s="3">
        <v>14307.0</v>
      </c>
      <c r="N475" s="1" t="str">
        <f t="shared" si="5"/>
        <v>Registered</v>
      </c>
      <c r="O475" s="1" t="s">
        <v>19</v>
      </c>
      <c r="P475" s="9" t="str">
        <f t="shared" si="6"/>
        <v>UK</v>
      </c>
      <c r="Q475" s="8">
        <f t="shared" si="7"/>
        <v>6.3</v>
      </c>
    </row>
    <row r="476">
      <c r="A476" s="1">
        <v>536408.0</v>
      </c>
      <c r="B476" s="1" t="str">
        <f t="shared" si="1"/>
        <v>536408</v>
      </c>
      <c r="C476" s="1" t="str">
        <f t="shared" si="2"/>
        <v>Sale</v>
      </c>
      <c r="D476" s="1">
        <v>22714.0</v>
      </c>
      <c r="E476" s="1" t="str">
        <f>IFERROR(__xludf.DUMMYFUNCTION("IF(LEN(D476)&gt;4, IFERROR(REGEXEXTRACT(TO_TEXT(D476),""\d+""),""""),"""")"),"22714")</f>
        <v>22714</v>
      </c>
      <c r="F476" s="6" t="str">
        <f t="shared" si="3"/>
        <v>Product</v>
      </c>
      <c r="G476" s="1" t="s">
        <v>384</v>
      </c>
      <c r="H476" s="6" t="str">
        <f>IFERROR(__xludf.DUMMYFUNCTION("IF(REGEXMATCH(LOWER(G476), ""^(\?)+\s*(missing)?\s*(\?)*$""), """", PROPER(SUBSTITUTE(SUBSTITUTE(G476, ""?"", """"), ""*"", """")))"),"Card Birthday Cowboy")</f>
        <v>Card Birthday Cowboy</v>
      </c>
      <c r="I476" s="3">
        <v>12.0</v>
      </c>
      <c r="J476" s="7">
        <v>40513.486805555556</v>
      </c>
      <c r="K476" s="8" t="str">
        <f t="shared" si="4"/>
        <v>2010-12</v>
      </c>
      <c r="L476" s="5">
        <v>0.42</v>
      </c>
      <c r="M476" s="3">
        <v>14307.0</v>
      </c>
      <c r="N476" s="1" t="str">
        <f t="shared" si="5"/>
        <v>Registered</v>
      </c>
      <c r="O476" s="1" t="s">
        <v>19</v>
      </c>
      <c r="P476" s="9" t="str">
        <f t="shared" si="6"/>
        <v>UK</v>
      </c>
      <c r="Q476" s="8">
        <f t="shared" si="7"/>
        <v>5.04</v>
      </c>
    </row>
    <row r="477">
      <c r="A477" s="1">
        <v>536408.0</v>
      </c>
      <c r="B477" s="1" t="str">
        <f t="shared" si="1"/>
        <v>536408</v>
      </c>
      <c r="C477" s="1" t="str">
        <f t="shared" si="2"/>
        <v>Sale</v>
      </c>
      <c r="D477" s="1">
        <v>22812.0</v>
      </c>
      <c r="E477" s="1" t="str">
        <f>IFERROR(__xludf.DUMMYFUNCTION("IF(LEN(D477)&gt;4, IFERROR(REGEXEXTRACT(TO_TEXT(D477),""\d+""),""""),"""")"),"22812")</f>
        <v>22812</v>
      </c>
      <c r="F477" s="6" t="str">
        <f t="shared" si="3"/>
        <v>Product</v>
      </c>
      <c r="G477" s="1" t="s">
        <v>385</v>
      </c>
      <c r="H477" s="6" t="str">
        <f>IFERROR(__xludf.DUMMYFUNCTION("IF(REGEXMATCH(LOWER(G477), ""^(\?)+\s*(missing)?\s*(\?)*$""), """", PROPER(SUBSTITUTE(SUBSTITUTE(G477, ""?"", """"), ""*"", """")))"),"Pack 3 Boxes Christmas Pannetone")</f>
        <v>Pack 3 Boxes Christmas Pannetone</v>
      </c>
      <c r="I477" s="3">
        <v>12.0</v>
      </c>
      <c r="J477" s="7">
        <v>40513.486805555556</v>
      </c>
      <c r="K477" s="8" t="str">
        <f t="shared" si="4"/>
        <v>2010-12</v>
      </c>
      <c r="L477" s="5">
        <v>1.95</v>
      </c>
      <c r="M477" s="3">
        <v>14307.0</v>
      </c>
      <c r="N477" s="1" t="str">
        <f t="shared" si="5"/>
        <v>Registered</v>
      </c>
      <c r="O477" s="1" t="s">
        <v>19</v>
      </c>
      <c r="P477" s="9" t="str">
        <f t="shared" si="6"/>
        <v>UK</v>
      </c>
      <c r="Q477" s="8">
        <f t="shared" si="7"/>
        <v>23.4</v>
      </c>
    </row>
    <row r="478">
      <c r="A478" s="1">
        <v>536408.0</v>
      </c>
      <c r="B478" s="1" t="str">
        <f t="shared" si="1"/>
        <v>536408</v>
      </c>
      <c r="C478" s="1" t="str">
        <f t="shared" si="2"/>
        <v>Sale</v>
      </c>
      <c r="D478" s="1">
        <v>84347.0</v>
      </c>
      <c r="E478" s="1" t="str">
        <f>IFERROR(__xludf.DUMMYFUNCTION("IF(LEN(D478)&gt;4, IFERROR(REGEXEXTRACT(TO_TEXT(D478),""\d+""),""""),"""")"),"84347")</f>
        <v>84347</v>
      </c>
      <c r="F478" s="6" t="str">
        <f t="shared" si="3"/>
        <v>Product</v>
      </c>
      <c r="G478" s="1" t="s">
        <v>386</v>
      </c>
      <c r="H478" s="6" t="str">
        <f>IFERROR(__xludf.DUMMYFUNCTION("IF(REGEXMATCH(LOWER(G478), ""^(\?)+\s*(missing)?\s*(\?)*$""), """", PROPER(SUBSTITUTE(SUBSTITUTE(G478, ""?"", """"), ""*"", """")))"),"Rotating Silver Angels T-Light Hldr")</f>
        <v>Rotating Silver Angels T-Light Hldr</v>
      </c>
      <c r="I478" s="3">
        <v>6.0</v>
      </c>
      <c r="J478" s="7">
        <v>40513.486805555556</v>
      </c>
      <c r="K478" s="8" t="str">
        <f t="shared" si="4"/>
        <v>2010-12</v>
      </c>
      <c r="L478" s="5">
        <v>2.55</v>
      </c>
      <c r="M478" s="3">
        <v>14307.0</v>
      </c>
      <c r="N478" s="1" t="str">
        <f t="shared" si="5"/>
        <v>Registered</v>
      </c>
      <c r="O478" s="1" t="s">
        <v>19</v>
      </c>
      <c r="P478" s="9" t="str">
        <f t="shared" si="6"/>
        <v>UK</v>
      </c>
      <c r="Q478" s="8">
        <f t="shared" si="7"/>
        <v>15.3</v>
      </c>
    </row>
    <row r="479">
      <c r="A479" s="1">
        <v>536408.0</v>
      </c>
      <c r="B479" s="1" t="str">
        <f t="shared" si="1"/>
        <v>536408</v>
      </c>
      <c r="C479" s="1" t="str">
        <f t="shared" si="2"/>
        <v>Sale</v>
      </c>
      <c r="D479" s="1">
        <v>21587.0</v>
      </c>
      <c r="E479" s="1" t="str">
        <f>IFERROR(__xludf.DUMMYFUNCTION("IF(LEN(D479)&gt;4, IFERROR(REGEXEXTRACT(TO_TEXT(D479),""\d+""),""""),"""")"),"21587")</f>
        <v>21587</v>
      </c>
      <c r="F479" s="6" t="str">
        <f t="shared" si="3"/>
        <v>Product</v>
      </c>
      <c r="G479" s="1" t="s">
        <v>316</v>
      </c>
      <c r="H479" s="6" t="str">
        <f>IFERROR(__xludf.DUMMYFUNCTION("IF(REGEXMATCH(LOWER(G479), ""^(\?)+\s*(missing)?\s*(\?)*$""), """", PROPER(SUBSTITUTE(SUBSTITUTE(G479, ""?"", """"), ""*"", """")))"),"Cosy Hour Giant Tube Matches")</f>
        <v>Cosy Hour Giant Tube Matches</v>
      </c>
      <c r="I479" s="3">
        <v>12.0</v>
      </c>
      <c r="J479" s="7">
        <v>40513.486805555556</v>
      </c>
      <c r="K479" s="8" t="str">
        <f t="shared" si="4"/>
        <v>2010-12</v>
      </c>
      <c r="L479" s="5">
        <v>2.55</v>
      </c>
      <c r="M479" s="3">
        <v>14307.0</v>
      </c>
      <c r="N479" s="1" t="str">
        <f t="shared" si="5"/>
        <v>Registered</v>
      </c>
      <c r="O479" s="1" t="s">
        <v>19</v>
      </c>
      <c r="P479" s="9" t="str">
        <f t="shared" si="6"/>
        <v>UK</v>
      </c>
      <c r="Q479" s="8">
        <f t="shared" si="7"/>
        <v>30.6</v>
      </c>
    </row>
    <row r="480">
      <c r="A480" s="1">
        <v>536408.0</v>
      </c>
      <c r="B480" s="1" t="str">
        <f t="shared" si="1"/>
        <v>536408</v>
      </c>
      <c r="C480" s="1" t="str">
        <f t="shared" si="2"/>
        <v>Sale</v>
      </c>
      <c r="D480" s="1">
        <v>22736.0</v>
      </c>
      <c r="E480" s="1" t="str">
        <f>IFERROR(__xludf.DUMMYFUNCTION("IF(LEN(D480)&gt;4, IFERROR(REGEXEXTRACT(TO_TEXT(D480),""\d+""),""""),"""")"),"22736")</f>
        <v>22736</v>
      </c>
      <c r="F480" s="6" t="str">
        <f t="shared" si="3"/>
        <v>Product</v>
      </c>
      <c r="G480" s="1" t="s">
        <v>387</v>
      </c>
      <c r="H480" s="6" t="str">
        <f>IFERROR(__xludf.DUMMYFUNCTION("IF(REGEXMATCH(LOWER(G480), ""^(\?)+\s*(missing)?\s*(\?)*$""), """", PROPER(SUBSTITUTE(SUBSTITUTE(G480, ""?"", """"), ""*"", """")))"),"Ribbon Reel Making Snowmen")</f>
        <v>Ribbon Reel Making Snowmen</v>
      </c>
      <c r="I480" s="3">
        <v>10.0</v>
      </c>
      <c r="J480" s="7">
        <v>40513.486805555556</v>
      </c>
      <c r="K480" s="8" t="str">
        <f t="shared" si="4"/>
        <v>2010-12</v>
      </c>
      <c r="L480" s="5">
        <v>1.65</v>
      </c>
      <c r="M480" s="3">
        <v>14307.0</v>
      </c>
      <c r="N480" s="1" t="str">
        <f t="shared" si="5"/>
        <v>Registered</v>
      </c>
      <c r="O480" s="1" t="s">
        <v>19</v>
      </c>
      <c r="P480" s="9" t="str">
        <f t="shared" si="6"/>
        <v>UK</v>
      </c>
      <c r="Q480" s="8">
        <f t="shared" si="7"/>
        <v>16.5</v>
      </c>
    </row>
    <row r="481">
      <c r="A481" s="1">
        <v>536408.0</v>
      </c>
      <c r="B481" s="1" t="str">
        <f t="shared" si="1"/>
        <v>536408</v>
      </c>
      <c r="C481" s="1" t="str">
        <f t="shared" si="2"/>
        <v>Sale</v>
      </c>
      <c r="D481" s="1">
        <v>22492.0</v>
      </c>
      <c r="E481" s="1" t="str">
        <f>IFERROR(__xludf.DUMMYFUNCTION("IF(LEN(D481)&gt;4, IFERROR(REGEXEXTRACT(TO_TEXT(D481),""\d+""),""""),"""")"),"22492")</f>
        <v>22492</v>
      </c>
      <c r="F481" s="6" t="str">
        <f t="shared" si="3"/>
        <v>Product</v>
      </c>
      <c r="G481" s="1" t="s">
        <v>67</v>
      </c>
      <c r="H481" s="6" t="str">
        <f>IFERROR(__xludf.DUMMYFUNCTION("IF(REGEXMATCH(LOWER(G481), ""^(\?)+\s*(missing)?\s*(\?)*$""), """", PROPER(SUBSTITUTE(SUBSTITUTE(G481, ""?"", """"), ""*"", """")))"),"Mini Paint Set Vintage")</f>
        <v>Mini Paint Set Vintage</v>
      </c>
      <c r="I481" s="3">
        <v>36.0</v>
      </c>
      <c r="J481" s="7">
        <v>40513.486805555556</v>
      </c>
      <c r="K481" s="8" t="str">
        <f t="shared" si="4"/>
        <v>2010-12</v>
      </c>
      <c r="L481" s="5">
        <v>0.65</v>
      </c>
      <c r="M481" s="3">
        <v>14307.0</v>
      </c>
      <c r="N481" s="1" t="str">
        <f t="shared" si="5"/>
        <v>Registered</v>
      </c>
      <c r="O481" s="1" t="s">
        <v>19</v>
      </c>
      <c r="P481" s="9" t="str">
        <f t="shared" si="6"/>
        <v>UK</v>
      </c>
      <c r="Q481" s="8">
        <f t="shared" si="7"/>
        <v>23.4</v>
      </c>
    </row>
    <row r="482">
      <c r="A482" s="1">
        <v>536408.0</v>
      </c>
      <c r="B482" s="1" t="str">
        <f t="shared" si="1"/>
        <v>536408</v>
      </c>
      <c r="C482" s="1" t="str">
        <f t="shared" si="2"/>
        <v>Sale</v>
      </c>
      <c r="D482" s="1">
        <v>22620.0</v>
      </c>
      <c r="E482" s="1" t="str">
        <f>IFERROR(__xludf.DUMMYFUNCTION("IF(LEN(D482)&gt;4, IFERROR(REGEXEXTRACT(TO_TEXT(D482),""\d+""),""""),"""")"),"22620")</f>
        <v>22620</v>
      </c>
      <c r="F482" s="6" t="str">
        <f t="shared" si="3"/>
        <v>Product</v>
      </c>
      <c r="G482" s="1" t="s">
        <v>388</v>
      </c>
      <c r="H482" s="6" t="str">
        <f>IFERROR(__xludf.DUMMYFUNCTION("IF(REGEXMATCH(LOWER(G482), ""^(\?)+\s*(missing)?\s*(\?)*$""), """", PROPER(SUBSTITUTE(SUBSTITUTE(G482, ""?"", """"), ""*"", """")))"),"4 Traditional Spinning Tops")</f>
        <v>4 Traditional Spinning Tops</v>
      </c>
      <c r="I482" s="3">
        <v>12.0</v>
      </c>
      <c r="J482" s="7">
        <v>40513.486805555556</v>
      </c>
      <c r="K482" s="8" t="str">
        <f t="shared" si="4"/>
        <v>2010-12</v>
      </c>
      <c r="L482" s="5">
        <v>1.25</v>
      </c>
      <c r="M482" s="3">
        <v>14307.0</v>
      </c>
      <c r="N482" s="1" t="str">
        <f t="shared" si="5"/>
        <v>Registered</v>
      </c>
      <c r="O482" s="1" t="s">
        <v>19</v>
      </c>
      <c r="P482" s="9" t="str">
        <f t="shared" si="6"/>
        <v>UK</v>
      </c>
      <c r="Q482" s="8">
        <f t="shared" si="7"/>
        <v>15</v>
      </c>
    </row>
    <row r="483">
      <c r="A483" s="1">
        <v>536408.0</v>
      </c>
      <c r="B483" s="1" t="str">
        <f t="shared" si="1"/>
        <v>536408</v>
      </c>
      <c r="C483" s="1" t="str">
        <f t="shared" si="2"/>
        <v>Sale</v>
      </c>
      <c r="D483" s="1">
        <v>22619.0</v>
      </c>
      <c r="E483" s="1" t="str">
        <f>IFERROR(__xludf.DUMMYFUNCTION("IF(LEN(D483)&gt;4, IFERROR(REGEXEXTRACT(TO_TEXT(D483),""\d+""),""""),"""")"),"22619")</f>
        <v>22619</v>
      </c>
      <c r="F483" s="6" t="str">
        <f t="shared" si="3"/>
        <v>Product</v>
      </c>
      <c r="G483" s="1" t="s">
        <v>236</v>
      </c>
      <c r="H483" s="6" t="str">
        <f>IFERROR(__xludf.DUMMYFUNCTION("IF(REGEXMATCH(LOWER(G483), ""^(\?)+\s*(missing)?\s*(\?)*$""), """", PROPER(SUBSTITUTE(SUBSTITUTE(G483, ""?"", """"), ""*"", """")))"),"Set Of 6 Soldier Skittles")</f>
        <v>Set Of 6 Soldier Skittles</v>
      </c>
      <c r="I483" s="3">
        <v>4.0</v>
      </c>
      <c r="J483" s="7">
        <v>40513.486805555556</v>
      </c>
      <c r="K483" s="8" t="str">
        <f t="shared" si="4"/>
        <v>2010-12</v>
      </c>
      <c r="L483" s="5">
        <v>3.75</v>
      </c>
      <c r="M483" s="3">
        <v>14307.0</v>
      </c>
      <c r="N483" s="1" t="str">
        <f t="shared" si="5"/>
        <v>Registered</v>
      </c>
      <c r="O483" s="1" t="s">
        <v>19</v>
      </c>
      <c r="P483" s="9" t="str">
        <f t="shared" si="6"/>
        <v>UK</v>
      </c>
      <c r="Q483" s="8">
        <f t="shared" si="7"/>
        <v>15</v>
      </c>
    </row>
    <row r="484">
      <c r="A484" s="1">
        <v>536408.0</v>
      </c>
      <c r="B484" s="1" t="str">
        <f t="shared" si="1"/>
        <v>536408</v>
      </c>
      <c r="C484" s="1" t="str">
        <f t="shared" si="2"/>
        <v>Sale</v>
      </c>
      <c r="D484" s="1">
        <v>21705.0</v>
      </c>
      <c r="E484" s="1" t="str">
        <f>IFERROR(__xludf.DUMMYFUNCTION("IF(LEN(D484)&gt;4, IFERROR(REGEXEXTRACT(TO_TEXT(D484),""\d+""),""""),"""")"),"21705")</f>
        <v>21705</v>
      </c>
      <c r="F484" s="6" t="str">
        <f t="shared" si="3"/>
        <v>Product</v>
      </c>
      <c r="G484" s="1" t="s">
        <v>389</v>
      </c>
      <c r="H484" s="6" t="str">
        <f>IFERROR(__xludf.DUMMYFUNCTION("IF(REGEXMATCH(LOWER(G484), ""^(\?)+\s*(missing)?\s*(\?)*$""), """", PROPER(SUBSTITUTE(SUBSTITUTE(G484, ""?"", """"), ""*"", """")))"),"Bag 500G Swirly Marbles")</f>
        <v>Bag 500G Swirly Marbles</v>
      </c>
      <c r="I484" s="3">
        <v>12.0</v>
      </c>
      <c r="J484" s="7">
        <v>40513.486805555556</v>
      </c>
      <c r="K484" s="8" t="str">
        <f t="shared" si="4"/>
        <v>2010-12</v>
      </c>
      <c r="L484" s="5">
        <v>1.65</v>
      </c>
      <c r="M484" s="3">
        <v>14307.0</v>
      </c>
      <c r="N484" s="1" t="str">
        <f t="shared" si="5"/>
        <v>Registered</v>
      </c>
      <c r="O484" s="1" t="s">
        <v>19</v>
      </c>
      <c r="P484" s="9" t="str">
        <f t="shared" si="6"/>
        <v>UK</v>
      </c>
      <c r="Q484" s="8">
        <f t="shared" si="7"/>
        <v>19.8</v>
      </c>
    </row>
    <row r="485">
      <c r="A485" s="1">
        <v>536409.0</v>
      </c>
      <c r="B485" s="1" t="str">
        <f t="shared" si="1"/>
        <v>536409</v>
      </c>
      <c r="C485" s="1" t="str">
        <f t="shared" si="2"/>
        <v>Sale</v>
      </c>
      <c r="D485" s="1" t="s">
        <v>390</v>
      </c>
      <c r="E485" s="1" t="str">
        <f>IFERROR(__xludf.DUMMYFUNCTION("IF(LEN(D485)&gt;4, IFERROR(REGEXEXTRACT(TO_TEXT(D485),""\d+""),""""),"""")"),"90199")</f>
        <v>90199</v>
      </c>
      <c r="F485" s="6" t="str">
        <f t="shared" si="3"/>
        <v>Product</v>
      </c>
      <c r="G485" s="1" t="s">
        <v>391</v>
      </c>
      <c r="H485" s="6" t="str">
        <f>IFERROR(__xludf.DUMMYFUNCTION("IF(REGEXMATCH(LOWER(G485), ""^(\?)+\s*(missing)?\s*(\?)*$""), """", PROPER(SUBSTITUTE(SUBSTITUTE(G485, ""?"", """"), ""*"", """")))"),"5 Strand Glass Necklace Crystal")</f>
        <v>5 Strand Glass Necklace Crystal</v>
      </c>
      <c r="I485" s="3">
        <v>3.0</v>
      </c>
      <c r="J485" s="7">
        <v>40513.489583333336</v>
      </c>
      <c r="K485" s="8" t="str">
        <f t="shared" si="4"/>
        <v>2010-12</v>
      </c>
      <c r="L485" s="5">
        <v>6.35</v>
      </c>
      <c r="M485" s="3">
        <v>17908.0</v>
      </c>
      <c r="N485" s="1" t="str">
        <f t="shared" si="5"/>
        <v>Registered</v>
      </c>
      <c r="O485" s="1" t="s">
        <v>19</v>
      </c>
      <c r="P485" s="9" t="str">
        <f t="shared" si="6"/>
        <v>UK</v>
      </c>
      <c r="Q485" s="8">
        <f t="shared" si="7"/>
        <v>19.05</v>
      </c>
    </row>
    <row r="486">
      <c r="A486" s="1">
        <v>536409.0</v>
      </c>
      <c r="B486" s="1" t="str">
        <f t="shared" si="1"/>
        <v>536409</v>
      </c>
      <c r="C486" s="1" t="str">
        <f t="shared" si="2"/>
        <v>Sale</v>
      </c>
      <c r="D486" s="1">
        <v>21479.0</v>
      </c>
      <c r="E486" s="1" t="str">
        <f>IFERROR(__xludf.DUMMYFUNCTION("IF(LEN(D486)&gt;4, IFERROR(REGEXEXTRACT(TO_TEXT(D486),""\d+""),""""),"""")"),"21479")</f>
        <v>21479</v>
      </c>
      <c r="F486" s="6" t="str">
        <f t="shared" si="3"/>
        <v>Product</v>
      </c>
      <c r="G486" s="1" t="s">
        <v>269</v>
      </c>
      <c r="H486" s="6" t="str">
        <f>IFERROR(__xludf.DUMMYFUNCTION("IF(REGEXMATCH(LOWER(G486), ""^(\?)+\s*(missing)?\s*(\?)*$""), """", PROPER(SUBSTITUTE(SUBSTITUTE(G486, ""?"", """"), ""*"", """")))"),"White Skull Hot Water Bottle")</f>
        <v>White Skull Hot Water Bottle</v>
      </c>
      <c r="I486" s="3">
        <v>1.0</v>
      </c>
      <c r="J486" s="7">
        <v>40513.489583333336</v>
      </c>
      <c r="K486" s="8" t="str">
        <f t="shared" si="4"/>
        <v>2010-12</v>
      </c>
      <c r="L486" s="5">
        <v>3.75</v>
      </c>
      <c r="M486" s="3">
        <v>17908.0</v>
      </c>
      <c r="N486" s="1" t="str">
        <f t="shared" si="5"/>
        <v>Registered</v>
      </c>
      <c r="O486" s="1" t="s">
        <v>19</v>
      </c>
      <c r="P486" s="9" t="str">
        <f t="shared" si="6"/>
        <v>UK</v>
      </c>
      <c r="Q486" s="8">
        <f t="shared" si="7"/>
        <v>3.75</v>
      </c>
    </row>
    <row r="487">
      <c r="A487" s="1">
        <v>536409.0</v>
      </c>
      <c r="B487" s="1" t="str">
        <f t="shared" si="1"/>
        <v>536409</v>
      </c>
      <c r="C487" s="1" t="str">
        <f t="shared" si="2"/>
        <v>Sale</v>
      </c>
      <c r="D487" s="1">
        <v>22111.0</v>
      </c>
      <c r="E487" s="1" t="str">
        <f>IFERROR(__xludf.DUMMYFUNCTION("IF(LEN(D487)&gt;4, IFERROR(REGEXEXTRACT(TO_TEXT(D487),""\d+""),""""),"""")"),"22111")</f>
        <v>22111</v>
      </c>
      <c r="F487" s="6" t="str">
        <f t="shared" si="3"/>
        <v>Product</v>
      </c>
      <c r="G487" s="1" t="s">
        <v>270</v>
      </c>
      <c r="H487" s="6" t="str">
        <f>IFERROR(__xludf.DUMMYFUNCTION("IF(REGEXMATCH(LOWER(G487), ""^(\?)+\s*(missing)?\s*(\?)*$""), """", PROPER(SUBSTITUTE(SUBSTITUTE(G487, ""?"", """"), ""*"", """")))"),"Scottie Dog Hot Water Bottle")</f>
        <v>Scottie Dog Hot Water Bottle</v>
      </c>
      <c r="I487" s="3">
        <v>1.0</v>
      </c>
      <c r="J487" s="7">
        <v>40513.489583333336</v>
      </c>
      <c r="K487" s="8" t="str">
        <f t="shared" si="4"/>
        <v>2010-12</v>
      </c>
      <c r="L487" s="5">
        <v>4.95</v>
      </c>
      <c r="M487" s="3">
        <v>17908.0</v>
      </c>
      <c r="N487" s="1" t="str">
        <f t="shared" si="5"/>
        <v>Registered</v>
      </c>
      <c r="O487" s="1" t="s">
        <v>19</v>
      </c>
      <c r="P487" s="9" t="str">
        <f t="shared" si="6"/>
        <v>UK</v>
      </c>
      <c r="Q487" s="8">
        <f t="shared" si="7"/>
        <v>4.95</v>
      </c>
    </row>
    <row r="488">
      <c r="A488" s="1">
        <v>536409.0</v>
      </c>
      <c r="B488" s="1" t="str">
        <f t="shared" si="1"/>
        <v>536409</v>
      </c>
      <c r="C488" s="1" t="str">
        <f t="shared" si="2"/>
        <v>Sale</v>
      </c>
      <c r="D488" s="1">
        <v>22785.0</v>
      </c>
      <c r="E488" s="1" t="str">
        <f>IFERROR(__xludf.DUMMYFUNCTION("IF(LEN(D488)&gt;4, IFERROR(REGEXEXTRACT(TO_TEXT(D488),""\d+""),""""),"""")"),"22785")</f>
        <v>22785</v>
      </c>
      <c r="F488" s="6" t="str">
        <f t="shared" si="3"/>
        <v>Product</v>
      </c>
      <c r="G488" s="1" t="s">
        <v>392</v>
      </c>
      <c r="H488" s="6" t="str">
        <f>IFERROR(__xludf.DUMMYFUNCTION("IF(REGEXMATCH(LOWER(G488), ""^(\?)+\s*(missing)?\s*(\?)*$""), """", PROPER(SUBSTITUTE(SUBSTITUTE(G488, ""?"", """"), ""*"", """")))"),"Squarecushion Cover Pink Union Flag")</f>
        <v>Squarecushion Cover Pink Union Flag</v>
      </c>
      <c r="I488" s="3">
        <v>1.0</v>
      </c>
      <c r="J488" s="7">
        <v>40513.489583333336</v>
      </c>
      <c r="K488" s="8" t="str">
        <f t="shared" si="4"/>
        <v>2010-12</v>
      </c>
      <c r="L488" s="5">
        <v>6.75</v>
      </c>
      <c r="M488" s="3">
        <v>17908.0</v>
      </c>
      <c r="N488" s="1" t="str">
        <f t="shared" si="5"/>
        <v>Registered</v>
      </c>
      <c r="O488" s="1" t="s">
        <v>19</v>
      </c>
      <c r="P488" s="9" t="str">
        <f t="shared" si="6"/>
        <v>UK</v>
      </c>
      <c r="Q488" s="8">
        <f t="shared" si="7"/>
        <v>6.75</v>
      </c>
    </row>
    <row r="489">
      <c r="A489" s="1">
        <v>536409.0</v>
      </c>
      <c r="B489" s="1" t="str">
        <f t="shared" si="1"/>
        <v>536409</v>
      </c>
      <c r="C489" s="1" t="str">
        <f t="shared" si="2"/>
        <v>Sale</v>
      </c>
      <c r="D489" s="1">
        <v>22975.0</v>
      </c>
      <c r="E489" s="1" t="str">
        <f>IFERROR(__xludf.DUMMYFUNCTION("IF(LEN(D489)&gt;4, IFERROR(REGEXEXTRACT(TO_TEXT(D489),""\d+""),""""),"""")"),"22975")</f>
        <v>22975</v>
      </c>
      <c r="F489" s="6" t="str">
        <f t="shared" si="3"/>
        <v>Product</v>
      </c>
      <c r="G489" s="1" t="s">
        <v>393</v>
      </c>
      <c r="H489" s="6" t="str">
        <f>IFERROR(__xludf.DUMMYFUNCTION("IF(REGEXMATCH(LOWER(G489), ""^(\?)+\s*(missing)?\s*(\?)*$""), """", PROPER(SUBSTITUTE(SUBSTITUTE(G489, ""?"", """"), ""*"", """")))"),"Spaceboy Childrens Egg Cup")</f>
        <v>Spaceboy Childrens Egg Cup</v>
      </c>
      <c r="I489" s="3">
        <v>1.0</v>
      </c>
      <c r="J489" s="7">
        <v>40513.489583333336</v>
      </c>
      <c r="K489" s="8" t="str">
        <f t="shared" si="4"/>
        <v>2010-12</v>
      </c>
      <c r="L489" s="5">
        <v>1.25</v>
      </c>
      <c r="M489" s="3">
        <v>17908.0</v>
      </c>
      <c r="N489" s="1" t="str">
        <f t="shared" si="5"/>
        <v>Registered</v>
      </c>
      <c r="O489" s="1" t="s">
        <v>19</v>
      </c>
      <c r="P489" s="9" t="str">
        <f t="shared" si="6"/>
        <v>UK</v>
      </c>
      <c r="Q489" s="8">
        <f t="shared" si="7"/>
        <v>1.25</v>
      </c>
    </row>
    <row r="490">
      <c r="A490" s="1">
        <v>536409.0</v>
      </c>
      <c r="B490" s="1" t="str">
        <f t="shared" si="1"/>
        <v>536409</v>
      </c>
      <c r="C490" s="1" t="str">
        <f t="shared" si="2"/>
        <v>Sale</v>
      </c>
      <c r="D490" s="1">
        <v>22972.0</v>
      </c>
      <c r="E490" s="1" t="str">
        <f>IFERROR(__xludf.DUMMYFUNCTION("IF(LEN(D490)&gt;4, IFERROR(REGEXEXTRACT(TO_TEXT(D490),""\d+""),""""),"""")"),"22972")</f>
        <v>22972</v>
      </c>
      <c r="F490" s="6" t="str">
        <f t="shared" si="3"/>
        <v>Product</v>
      </c>
      <c r="G490" s="1" t="s">
        <v>394</v>
      </c>
      <c r="H490" s="6" t="str">
        <f>IFERROR(__xludf.DUMMYFUNCTION("IF(REGEXMATCH(LOWER(G490), ""^(\?)+\s*(missing)?\s*(\?)*$""), """", PROPER(SUBSTITUTE(SUBSTITUTE(G490, ""?"", """"), ""*"", """")))"),"Children'S Spaceboy Mug")</f>
        <v>Children'S Spaceboy Mug</v>
      </c>
      <c r="I490" s="3">
        <v>1.0</v>
      </c>
      <c r="J490" s="7">
        <v>40513.489583333336</v>
      </c>
      <c r="K490" s="8" t="str">
        <f t="shared" si="4"/>
        <v>2010-12</v>
      </c>
      <c r="L490" s="5">
        <v>1.65</v>
      </c>
      <c r="M490" s="3">
        <v>17908.0</v>
      </c>
      <c r="N490" s="1" t="str">
        <f t="shared" si="5"/>
        <v>Registered</v>
      </c>
      <c r="O490" s="1" t="s">
        <v>19</v>
      </c>
      <c r="P490" s="9" t="str">
        <f t="shared" si="6"/>
        <v>UK</v>
      </c>
      <c r="Q490" s="8">
        <f t="shared" si="7"/>
        <v>1.65</v>
      </c>
    </row>
    <row r="491">
      <c r="A491" s="1">
        <v>536409.0</v>
      </c>
      <c r="B491" s="1" t="str">
        <f t="shared" si="1"/>
        <v>536409</v>
      </c>
      <c r="C491" s="1" t="str">
        <f t="shared" si="2"/>
        <v>Sale</v>
      </c>
      <c r="D491" s="1">
        <v>22866.0</v>
      </c>
      <c r="E491" s="1" t="str">
        <f>IFERROR(__xludf.DUMMYFUNCTION("IF(LEN(D491)&gt;4, IFERROR(REGEXEXTRACT(TO_TEXT(D491),""\d+""),""""),"""")"),"22866")</f>
        <v>22866</v>
      </c>
      <c r="F491" s="6" t="str">
        <f t="shared" si="3"/>
        <v>Product</v>
      </c>
      <c r="G491" s="1" t="s">
        <v>246</v>
      </c>
      <c r="H491" s="6" t="str">
        <f>IFERROR(__xludf.DUMMYFUNCTION("IF(REGEXMATCH(LOWER(G491), ""^(\?)+\s*(missing)?\s*(\?)*$""), """", PROPER(SUBSTITUTE(SUBSTITUTE(G491, ""?"", """"), ""*"", """")))"),"Hand Warmer Scotty Dog Design")</f>
        <v>Hand Warmer Scotty Dog Design</v>
      </c>
      <c r="I491" s="3">
        <v>1.0</v>
      </c>
      <c r="J491" s="7">
        <v>40513.489583333336</v>
      </c>
      <c r="K491" s="8" t="str">
        <f t="shared" si="4"/>
        <v>2010-12</v>
      </c>
      <c r="L491" s="5">
        <v>2.1</v>
      </c>
      <c r="M491" s="3">
        <v>17908.0</v>
      </c>
      <c r="N491" s="1" t="str">
        <f t="shared" si="5"/>
        <v>Registered</v>
      </c>
      <c r="O491" s="1" t="s">
        <v>19</v>
      </c>
      <c r="P491" s="9" t="str">
        <f t="shared" si="6"/>
        <v>UK</v>
      </c>
      <c r="Q491" s="8">
        <f t="shared" si="7"/>
        <v>2.1</v>
      </c>
    </row>
    <row r="492">
      <c r="A492" s="1">
        <v>536409.0</v>
      </c>
      <c r="B492" s="1" t="str">
        <f t="shared" si="1"/>
        <v>536409</v>
      </c>
      <c r="C492" s="1" t="str">
        <f t="shared" si="2"/>
        <v>Sale</v>
      </c>
      <c r="D492" s="1">
        <v>22568.0</v>
      </c>
      <c r="E492" s="1" t="str">
        <f>IFERROR(__xludf.DUMMYFUNCTION("IF(LEN(D492)&gt;4, IFERROR(REGEXEXTRACT(TO_TEXT(D492),""\d+""),""""),"""")"),"22568")</f>
        <v>22568</v>
      </c>
      <c r="F492" s="6" t="str">
        <f t="shared" si="3"/>
        <v>Product</v>
      </c>
      <c r="G492" s="1" t="s">
        <v>395</v>
      </c>
      <c r="H492" s="6" t="str">
        <f>IFERROR(__xludf.DUMMYFUNCTION("IF(REGEXMATCH(LOWER(G492), ""^(\?)+\s*(missing)?\s*(\?)*$""), """", PROPER(SUBSTITUTE(SUBSTITUTE(G492, ""?"", """"), ""*"", """")))"),"Feltcraft Cushion Owl")</f>
        <v>Feltcraft Cushion Owl</v>
      </c>
      <c r="I492" s="3">
        <v>1.0</v>
      </c>
      <c r="J492" s="7">
        <v>40513.489583333336</v>
      </c>
      <c r="K492" s="8" t="str">
        <f t="shared" si="4"/>
        <v>2010-12</v>
      </c>
      <c r="L492" s="5">
        <v>3.75</v>
      </c>
      <c r="M492" s="3">
        <v>17908.0</v>
      </c>
      <c r="N492" s="1" t="str">
        <f t="shared" si="5"/>
        <v>Registered</v>
      </c>
      <c r="O492" s="1" t="s">
        <v>19</v>
      </c>
      <c r="P492" s="9" t="str">
        <f t="shared" si="6"/>
        <v>UK</v>
      </c>
      <c r="Q492" s="8">
        <f t="shared" si="7"/>
        <v>3.75</v>
      </c>
    </row>
    <row r="493">
      <c r="A493" s="1">
        <v>536409.0</v>
      </c>
      <c r="B493" s="1" t="str">
        <f t="shared" si="1"/>
        <v>536409</v>
      </c>
      <c r="C493" s="1" t="str">
        <f t="shared" si="2"/>
        <v>Sale</v>
      </c>
      <c r="D493" s="1">
        <v>85116.0</v>
      </c>
      <c r="E493" s="1" t="str">
        <f>IFERROR(__xludf.DUMMYFUNCTION("IF(LEN(D493)&gt;4, IFERROR(REGEXEXTRACT(TO_TEXT(D493),""\d+""),""""),"""")"),"85116")</f>
        <v>85116</v>
      </c>
      <c r="F493" s="6" t="str">
        <f t="shared" si="3"/>
        <v>Product</v>
      </c>
      <c r="G493" s="1" t="s">
        <v>396</v>
      </c>
      <c r="H493" s="6" t="str">
        <f>IFERROR(__xludf.DUMMYFUNCTION("IF(REGEXMATCH(LOWER(G493), ""^(\?)+\s*(missing)?\s*(\?)*$""), """", PROPER(SUBSTITUTE(SUBSTITUTE(G493, ""?"", """"), ""*"", """")))"),"Black Candelabra T-Light Holder")</f>
        <v>Black Candelabra T-Light Holder</v>
      </c>
      <c r="I493" s="3">
        <v>1.0</v>
      </c>
      <c r="J493" s="7">
        <v>40513.489583333336</v>
      </c>
      <c r="K493" s="8" t="str">
        <f t="shared" si="4"/>
        <v>2010-12</v>
      </c>
      <c r="L493" s="5">
        <v>2.1</v>
      </c>
      <c r="M493" s="3">
        <v>17908.0</v>
      </c>
      <c r="N493" s="1" t="str">
        <f t="shared" si="5"/>
        <v>Registered</v>
      </c>
      <c r="O493" s="1" t="s">
        <v>19</v>
      </c>
      <c r="P493" s="9" t="str">
        <f t="shared" si="6"/>
        <v>UK</v>
      </c>
      <c r="Q493" s="8">
        <f t="shared" si="7"/>
        <v>2.1</v>
      </c>
    </row>
    <row r="494">
      <c r="A494" s="1">
        <v>536409.0</v>
      </c>
      <c r="B494" s="1" t="str">
        <f t="shared" si="1"/>
        <v>536409</v>
      </c>
      <c r="C494" s="1" t="str">
        <f t="shared" si="2"/>
        <v>Sale</v>
      </c>
      <c r="D494" s="1">
        <v>22664.0</v>
      </c>
      <c r="E494" s="1" t="str">
        <f>IFERROR(__xludf.DUMMYFUNCTION("IF(LEN(D494)&gt;4, IFERROR(REGEXEXTRACT(TO_TEXT(D494),""\d+""),""""),"""")"),"22664")</f>
        <v>22664</v>
      </c>
      <c r="F494" s="6" t="str">
        <f t="shared" si="3"/>
        <v>Product</v>
      </c>
      <c r="G494" s="1" t="s">
        <v>397</v>
      </c>
      <c r="H494" s="6" t="str">
        <f>IFERROR(__xludf.DUMMYFUNCTION("IF(REGEXMATCH(LOWER(G494), ""^(\?)+\s*(missing)?\s*(\?)*$""), """", PROPER(SUBSTITUTE(SUBSTITUTE(G494, ""?"", """"), ""*"", """")))"),"Toy Tidy Dolly Girl Design")</f>
        <v>Toy Tidy Dolly Girl Design</v>
      </c>
      <c r="I494" s="3">
        <v>1.0</v>
      </c>
      <c r="J494" s="7">
        <v>40513.489583333336</v>
      </c>
      <c r="K494" s="8" t="str">
        <f t="shared" si="4"/>
        <v>2010-12</v>
      </c>
      <c r="L494" s="5">
        <v>2.1</v>
      </c>
      <c r="M494" s="3">
        <v>17908.0</v>
      </c>
      <c r="N494" s="1" t="str">
        <f t="shared" si="5"/>
        <v>Registered</v>
      </c>
      <c r="O494" s="1" t="s">
        <v>19</v>
      </c>
      <c r="P494" s="9" t="str">
        <f t="shared" si="6"/>
        <v>UK</v>
      </c>
      <c r="Q494" s="8">
        <f t="shared" si="7"/>
        <v>2.1</v>
      </c>
    </row>
    <row r="495">
      <c r="A495" s="1">
        <v>536409.0</v>
      </c>
      <c r="B495" s="1" t="str">
        <f t="shared" si="1"/>
        <v>536409</v>
      </c>
      <c r="C495" s="1" t="str">
        <f t="shared" si="2"/>
        <v>Sale</v>
      </c>
      <c r="D495" s="1">
        <v>21609.0</v>
      </c>
      <c r="E495" s="1" t="str">
        <f>IFERROR(__xludf.DUMMYFUNCTION("IF(LEN(D495)&gt;4, IFERROR(REGEXEXTRACT(TO_TEXT(D495),""\d+""),""""),"""")"),"21609")</f>
        <v>21609</v>
      </c>
      <c r="F495" s="6" t="str">
        <f t="shared" si="3"/>
        <v>Product</v>
      </c>
      <c r="G495" s="1" t="s">
        <v>398</v>
      </c>
      <c r="H495" s="6" t="str">
        <f>IFERROR(__xludf.DUMMYFUNCTION("IF(REGEXMATCH(LOWER(G495), ""^(\?)+\s*(missing)?\s*(\?)*$""), """", PROPER(SUBSTITUTE(SUBSTITUTE(G495, ""?"", """"), ""*"", """")))"),"Set 12 Lavender Botanical T-Lights")</f>
        <v>Set 12 Lavender Botanical T-Lights</v>
      </c>
      <c r="I495" s="3">
        <v>1.0</v>
      </c>
      <c r="J495" s="7">
        <v>40513.489583333336</v>
      </c>
      <c r="K495" s="8" t="str">
        <f t="shared" si="4"/>
        <v>2010-12</v>
      </c>
      <c r="L495" s="5">
        <v>2.95</v>
      </c>
      <c r="M495" s="3">
        <v>17908.0</v>
      </c>
      <c r="N495" s="1" t="str">
        <f t="shared" si="5"/>
        <v>Registered</v>
      </c>
      <c r="O495" s="1" t="s">
        <v>19</v>
      </c>
      <c r="P495" s="9" t="str">
        <f t="shared" si="6"/>
        <v>UK</v>
      </c>
      <c r="Q495" s="8">
        <f t="shared" si="7"/>
        <v>2.95</v>
      </c>
    </row>
    <row r="496">
      <c r="A496" s="1">
        <v>536409.0</v>
      </c>
      <c r="B496" s="1" t="str">
        <f t="shared" si="1"/>
        <v>536409</v>
      </c>
      <c r="C496" s="1" t="str">
        <f t="shared" si="2"/>
        <v>Sale</v>
      </c>
      <c r="D496" s="1">
        <v>21866.0</v>
      </c>
      <c r="E496" s="1" t="str">
        <f>IFERROR(__xludf.DUMMYFUNCTION("IF(LEN(D496)&gt;4, IFERROR(REGEXEXTRACT(TO_TEXT(D496),""\d+""),""""),"""")"),"21866")</f>
        <v>21866</v>
      </c>
      <c r="F496" s="6" t="str">
        <f t="shared" si="3"/>
        <v>Product</v>
      </c>
      <c r="G496" s="1" t="s">
        <v>399</v>
      </c>
      <c r="H496" s="6" t="str">
        <f>IFERROR(__xludf.DUMMYFUNCTION("IF(REGEXMATCH(LOWER(G496), ""^(\?)+\s*(missing)?\s*(\?)*$""), """", PROPER(SUBSTITUTE(SUBSTITUTE(G496, ""?"", """"), ""*"", """")))"),"Union Jack Flag Luggage Tag")</f>
        <v>Union Jack Flag Luggage Tag</v>
      </c>
      <c r="I496" s="3">
        <v>1.0</v>
      </c>
      <c r="J496" s="7">
        <v>40513.489583333336</v>
      </c>
      <c r="K496" s="8" t="str">
        <f t="shared" si="4"/>
        <v>2010-12</v>
      </c>
      <c r="L496" s="5">
        <v>1.25</v>
      </c>
      <c r="M496" s="3">
        <v>17908.0</v>
      </c>
      <c r="N496" s="1" t="str">
        <f t="shared" si="5"/>
        <v>Registered</v>
      </c>
      <c r="O496" s="1" t="s">
        <v>19</v>
      </c>
      <c r="P496" s="9" t="str">
        <f t="shared" si="6"/>
        <v>UK</v>
      </c>
      <c r="Q496" s="8">
        <f t="shared" si="7"/>
        <v>1.25</v>
      </c>
    </row>
    <row r="497">
      <c r="A497" s="1">
        <v>536409.0</v>
      </c>
      <c r="B497" s="1" t="str">
        <f t="shared" si="1"/>
        <v>536409</v>
      </c>
      <c r="C497" s="1" t="str">
        <f t="shared" si="2"/>
        <v>Sale</v>
      </c>
      <c r="D497" s="1">
        <v>20669.0</v>
      </c>
      <c r="E497" s="1" t="str">
        <f>IFERROR(__xludf.DUMMYFUNCTION("IF(LEN(D497)&gt;4, IFERROR(REGEXEXTRACT(TO_TEXT(D497),""\d+""),""""),"""")"),"20669")</f>
        <v>20669</v>
      </c>
      <c r="F497" s="6" t="str">
        <f t="shared" si="3"/>
        <v>Product</v>
      </c>
      <c r="G497" s="1" t="s">
        <v>400</v>
      </c>
      <c r="H497" s="6" t="str">
        <f>IFERROR(__xludf.DUMMYFUNCTION("IF(REGEXMATCH(LOWER(G497), ""^(\?)+\s*(missing)?\s*(\?)*$""), """", PROPER(SUBSTITUTE(SUBSTITUTE(G497, ""?"", """"), ""*"", """")))"),"Red Heart Luggage Tag")</f>
        <v>Red Heart Luggage Tag</v>
      </c>
      <c r="I497" s="3">
        <v>1.0</v>
      </c>
      <c r="J497" s="7">
        <v>40513.489583333336</v>
      </c>
      <c r="K497" s="8" t="str">
        <f t="shared" si="4"/>
        <v>2010-12</v>
      </c>
      <c r="L497" s="5">
        <v>1.25</v>
      </c>
      <c r="M497" s="3">
        <v>17908.0</v>
      </c>
      <c r="N497" s="1" t="str">
        <f t="shared" si="5"/>
        <v>Registered</v>
      </c>
      <c r="O497" s="1" t="s">
        <v>19</v>
      </c>
      <c r="P497" s="9" t="str">
        <f t="shared" si="6"/>
        <v>UK</v>
      </c>
      <c r="Q497" s="8">
        <f t="shared" si="7"/>
        <v>1.25</v>
      </c>
    </row>
    <row r="498">
      <c r="A498" s="1">
        <v>536409.0</v>
      </c>
      <c r="B498" s="1" t="str">
        <f t="shared" si="1"/>
        <v>536409</v>
      </c>
      <c r="C498" s="1" t="str">
        <f t="shared" si="2"/>
        <v>Sale</v>
      </c>
      <c r="D498" s="1" t="s">
        <v>401</v>
      </c>
      <c r="E498" s="1" t="str">
        <f>IFERROR(__xludf.DUMMYFUNCTION("IF(LEN(D498)&gt;4, IFERROR(REGEXEXTRACT(TO_TEXT(D498),""\d+""),""""),"""")"),"90129")</f>
        <v>90129</v>
      </c>
      <c r="F498" s="6" t="str">
        <f t="shared" si="3"/>
        <v>Product</v>
      </c>
      <c r="G498" s="1" t="s">
        <v>402</v>
      </c>
      <c r="H498" s="6" t="str">
        <f>IFERROR(__xludf.DUMMYFUNCTION("IF(REGEXMATCH(LOWER(G498), ""^(\?)+\s*(missing)?\s*(\?)*$""), """", PROPER(SUBSTITUTE(SUBSTITUTE(G498, ""?"", """"), ""*"", """")))"),"Red Glass Tassle Bag Charm")</f>
        <v>Red Glass Tassle Bag Charm</v>
      </c>
      <c r="I498" s="3">
        <v>1.0</v>
      </c>
      <c r="J498" s="7">
        <v>40513.489583333336</v>
      </c>
      <c r="K498" s="8" t="str">
        <f t="shared" si="4"/>
        <v>2010-12</v>
      </c>
      <c r="L498" s="5">
        <v>2.95</v>
      </c>
      <c r="M498" s="3">
        <v>17908.0</v>
      </c>
      <c r="N498" s="1" t="str">
        <f t="shared" si="5"/>
        <v>Registered</v>
      </c>
      <c r="O498" s="1" t="s">
        <v>19</v>
      </c>
      <c r="P498" s="9" t="str">
        <f t="shared" si="6"/>
        <v>UK</v>
      </c>
      <c r="Q498" s="8">
        <f t="shared" si="7"/>
        <v>2.95</v>
      </c>
    </row>
    <row r="499">
      <c r="A499" s="1">
        <v>536409.0</v>
      </c>
      <c r="B499" s="1" t="str">
        <f t="shared" si="1"/>
        <v>536409</v>
      </c>
      <c r="C499" s="1" t="str">
        <f t="shared" si="2"/>
        <v>Sale</v>
      </c>
      <c r="D499" s="1" t="s">
        <v>403</v>
      </c>
      <c r="E499" s="1" t="str">
        <f>IFERROR(__xludf.DUMMYFUNCTION("IF(LEN(D499)&gt;4, IFERROR(REGEXEXTRACT(TO_TEXT(D499),""\d+""),""""),"""")"),"90210")</f>
        <v>90210</v>
      </c>
      <c r="F499" s="6" t="str">
        <f t="shared" si="3"/>
        <v>Product</v>
      </c>
      <c r="G499" s="1" t="s">
        <v>404</v>
      </c>
      <c r="H499" s="6" t="str">
        <f>IFERROR(__xludf.DUMMYFUNCTION("IF(REGEXMATCH(LOWER(G499), ""^(\?)+\s*(missing)?\s*(\?)*$""), """", PROPER(SUBSTITUTE(SUBSTITUTE(G499, ""?"", """"), ""*"", """")))"),"Clear Acrylic Faceted Bangle")</f>
        <v>Clear Acrylic Faceted Bangle</v>
      </c>
      <c r="I499" s="3">
        <v>1.0</v>
      </c>
      <c r="J499" s="7">
        <v>40513.489583333336</v>
      </c>
      <c r="K499" s="8" t="str">
        <f t="shared" si="4"/>
        <v>2010-12</v>
      </c>
      <c r="L499" s="5">
        <v>2.95</v>
      </c>
      <c r="M499" s="3">
        <v>17908.0</v>
      </c>
      <c r="N499" s="1" t="str">
        <f t="shared" si="5"/>
        <v>Registered</v>
      </c>
      <c r="O499" s="1" t="s">
        <v>19</v>
      </c>
      <c r="P499" s="9" t="str">
        <f t="shared" si="6"/>
        <v>UK</v>
      </c>
      <c r="Q499" s="8">
        <f t="shared" si="7"/>
        <v>2.95</v>
      </c>
    </row>
    <row r="500">
      <c r="A500" s="1">
        <v>536409.0</v>
      </c>
      <c r="B500" s="1" t="str">
        <f t="shared" si="1"/>
        <v>536409</v>
      </c>
      <c r="C500" s="1" t="str">
        <f t="shared" si="2"/>
        <v>Sale</v>
      </c>
      <c r="D500" s="1" t="s">
        <v>390</v>
      </c>
      <c r="E500" s="1" t="str">
        <f>IFERROR(__xludf.DUMMYFUNCTION("IF(LEN(D500)&gt;4, IFERROR(REGEXEXTRACT(TO_TEXT(D500),""\d+""),""""),"""")"),"90199")</f>
        <v>90199</v>
      </c>
      <c r="F500" s="6" t="str">
        <f t="shared" si="3"/>
        <v>Product</v>
      </c>
      <c r="G500" s="1" t="s">
        <v>391</v>
      </c>
      <c r="H500" s="6" t="str">
        <f>IFERROR(__xludf.DUMMYFUNCTION("IF(REGEXMATCH(LOWER(G500), ""^(\?)+\s*(missing)?\s*(\?)*$""), """", PROPER(SUBSTITUTE(SUBSTITUTE(G500, ""?"", """"), ""*"", """")))"),"5 Strand Glass Necklace Crystal")</f>
        <v>5 Strand Glass Necklace Crystal</v>
      </c>
      <c r="I500" s="3">
        <v>1.0</v>
      </c>
      <c r="J500" s="7">
        <v>40513.489583333336</v>
      </c>
      <c r="K500" s="8" t="str">
        <f t="shared" si="4"/>
        <v>2010-12</v>
      </c>
      <c r="L500" s="5">
        <v>6.35</v>
      </c>
      <c r="M500" s="3">
        <v>17908.0</v>
      </c>
      <c r="N500" s="1" t="str">
        <f t="shared" si="5"/>
        <v>Registered</v>
      </c>
      <c r="O500" s="1" t="s">
        <v>19</v>
      </c>
      <c r="P500" s="9" t="str">
        <f t="shared" si="6"/>
        <v>UK</v>
      </c>
      <c r="Q500" s="8">
        <f t="shared" si="7"/>
        <v>6.35</v>
      </c>
    </row>
    <row r="501">
      <c r="A501" s="1">
        <v>536409.0</v>
      </c>
      <c r="B501" s="1" t="str">
        <f t="shared" si="1"/>
        <v>536409</v>
      </c>
      <c r="C501" s="1" t="str">
        <f t="shared" si="2"/>
        <v>Sale</v>
      </c>
      <c r="D501" s="1">
        <v>21955.0</v>
      </c>
      <c r="E501" s="1" t="str">
        <f>IFERROR(__xludf.DUMMYFUNCTION("IF(LEN(D501)&gt;4, IFERROR(REGEXEXTRACT(TO_TEXT(D501),""\d+""),""""),"""")"),"21955")</f>
        <v>21955</v>
      </c>
      <c r="F501" s="6" t="str">
        <f t="shared" si="3"/>
        <v>Product</v>
      </c>
      <c r="G501" s="1" t="s">
        <v>405</v>
      </c>
      <c r="H501" s="6" t="str">
        <f>IFERROR(__xludf.DUMMYFUNCTION("IF(REGEXMATCH(LOWER(G501), ""^(\?)+\s*(missing)?\s*(\?)*$""), """", PROPER(SUBSTITUTE(SUBSTITUTE(G501, ""?"", """"), ""*"", """")))"),"Doormat Union Jack Guns And Roses")</f>
        <v>Doormat Union Jack Guns And Roses</v>
      </c>
      <c r="I501" s="3">
        <v>1.0</v>
      </c>
      <c r="J501" s="7">
        <v>40513.489583333336</v>
      </c>
      <c r="K501" s="8" t="str">
        <f t="shared" si="4"/>
        <v>2010-12</v>
      </c>
      <c r="L501" s="5">
        <v>7.95</v>
      </c>
      <c r="M501" s="3">
        <v>17908.0</v>
      </c>
      <c r="N501" s="1" t="str">
        <f t="shared" si="5"/>
        <v>Registered</v>
      </c>
      <c r="O501" s="1" t="s">
        <v>19</v>
      </c>
      <c r="P501" s="9" t="str">
        <f t="shared" si="6"/>
        <v>UK</v>
      </c>
      <c r="Q501" s="8">
        <f t="shared" si="7"/>
        <v>7.95</v>
      </c>
    </row>
    <row r="502">
      <c r="A502" s="1">
        <v>536409.0</v>
      </c>
      <c r="B502" s="1" t="str">
        <f t="shared" si="1"/>
        <v>536409</v>
      </c>
      <c r="C502" s="1" t="str">
        <f t="shared" si="2"/>
        <v>Sale</v>
      </c>
      <c r="D502" s="1" t="s">
        <v>406</v>
      </c>
      <c r="E502" s="1" t="str">
        <f>IFERROR(__xludf.DUMMYFUNCTION("IF(LEN(D502)&gt;4, IFERROR(REGEXEXTRACT(TO_TEXT(D502),""\d+""),""""),"""")"),"72802")</f>
        <v>72802</v>
      </c>
      <c r="F502" s="6" t="str">
        <f t="shared" si="3"/>
        <v>Product</v>
      </c>
      <c r="G502" s="1" t="s">
        <v>407</v>
      </c>
      <c r="H502" s="6" t="str">
        <f>IFERROR(__xludf.DUMMYFUNCTION("IF(REGEXMATCH(LOWER(G502), ""^(\?)+\s*(missing)?\s*(\?)*$""), """", PROPER(SUBSTITUTE(SUBSTITUTE(G502, ""?"", """"), ""*"", """")))"),"Vanilla Scent Candle Jewelled Box")</f>
        <v>Vanilla Scent Candle Jewelled Box</v>
      </c>
      <c r="I502" s="3">
        <v>1.0</v>
      </c>
      <c r="J502" s="7">
        <v>40513.489583333336</v>
      </c>
      <c r="K502" s="8" t="str">
        <f t="shared" si="4"/>
        <v>2010-12</v>
      </c>
      <c r="L502" s="5">
        <v>4.25</v>
      </c>
      <c r="M502" s="3">
        <v>17908.0</v>
      </c>
      <c r="N502" s="1" t="str">
        <f t="shared" si="5"/>
        <v>Registered</v>
      </c>
      <c r="O502" s="1" t="s">
        <v>19</v>
      </c>
      <c r="P502" s="9" t="str">
        <f t="shared" si="6"/>
        <v>UK</v>
      </c>
      <c r="Q502" s="8">
        <f t="shared" si="7"/>
        <v>4.25</v>
      </c>
    </row>
    <row r="503">
      <c r="A503" s="1">
        <v>536409.0</v>
      </c>
      <c r="B503" s="1" t="str">
        <f t="shared" si="1"/>
        <v>536409</v>
      </c>
      <c r="C503" s="1" t="str">
        <f t="shared" si="2"/>
        <v>Sale</v>
      </c>
      <c r="D503" s="1">
        <v>22109.0</v>
      </c>
      <c r="E503" s="1" t="str">
        <f>IFERROR(__xludf.DUMMYFUNCTION("IF(LEN(D503)&gt;4, IFERROR(REGEXEXTRACT(TO_TEXT(D503),""\d+""),""""),"""")"),"22109")</f>
        <v>22109</v>
      </c>
      <c r="F503" s="6" t="str">
        <f t="shared" si="3"/>
        <v>Product</v>
      </c>
      <c r="G503" s="1" t="s">
        <v>408</v>
      </c>
      <c r="H503" s="6" t="str">
        <f>IFERROR(__xludf.DUMMYFUNCTION("IF(REGEXMATCH(LOWER(G503), ""^(\?)+\s*(missing)?\s*(\?)*$""), """", PROPER(SUBSTITUTE(SUBSTITUTE(G503, ""?"", """"), ""*"", """")))"),"Full English Breakfast Plate")</f>
        <v>Full English Breakfast Plate</v>
      </c>
      <c r="I503" s="3">
        <v>1.0</v>
      </c>
      <c r="J503" s="7">
        <v>40513.489583333336</v>
      </c>
      <c r="K503" s="8" t="str">
        <f t="shared" si="4"/>
        <v>2010-12</v>
      </c>
      <c r="L503" s="5">
        <v>3.75</v>
      </c>
      <c r="M503" s="3">
        <v>17908.0</v>
      </c>
      <c r="N503" s="1" t="str">
        <f t="shared" si="5"/>
        <v>Registered</v>
      </c>
      <c r="O503" s="1" t="s">
        <v>19</v>
      </c>
      <c r="P503" s="9" t="str">
        <f t="shared" si="6"/>
        <v>UK</v>
      </c>
      <c r="Q503" s="8">
        <f t="shared" si="7"/>
        <v>3.75</v>
      </c>
    </row>
    <row r="504">
      <c r="A504" s="1">
        <v>536409.0</v>
      </c>
      <c r="B504" s="1" t="str">
        <f t="shared" si="1"/>
        <v>536409</v>
      </c>
      <c r="C504" s="1" t="str">
        <f t="shared" si="2"/>
        <v>Sale</v>
      </c>
      <c r="D504" s="1">
        <v>85116.0</v>
      </c>
      <c r="E504" s="1" t="str">
        <f>IFERROR(__xludf.DUMMYFUNCTION("IF(LEN(D504)&gt;4, IFERROR(REGEXEXTRACT(TO_TEXT(D504),""\d+""),""""),"""")"),"85116")</f>
        <v>85116</v>
      </c>
      <c r="F504" s="6" t="str">
        <f t="shared" si="3"/>
        <v>Product</v>
      </c>
      <c r="G504" s="1" t="s">
        <v>396</v>
      </c>
      <c r="H504" s="6" t="str">
        <f>IFERROR(__xludf.DUMMYFUNCTION("IF(REGEXMATCH(LOWER(G504), ""^(\?)+\s*(missing)?\s*(\?)*$""), """", PROPER(SUBSTITUTE(SUBSTITUTE(G504, ""?"", """"), ""*"", """")))"),"Black Candelabra T-Light Holder")</f>
        <v>Black Candelabra T-Light Holder</v>
      </c>
      <c r="I504" s="3">
        <v>5.0</v>
      </c>
      <c r="J504" s="7">
        <v>40513.489583333336</v>
      </c>
      <c r="K504" s="8" t="str">
        <f t="shared" si="4"/>
        <v>2010-12</v>
      </c>
      <c r="L504" s="5">
        <v>2.1</v>
      </c>
      <c r="M504" s="3">
        <v>17908.0</v>
      </c>
      <c r="N504" s="1" t="str">
        <f t="shared" si="5"/>
        <v>Registered</v>
      </c>
      <c r="O504" s="1" t="s">
        <v>19</v>
      </c>
      <c r="P504" s="9" t="str">
        <f t="shared" si="6"/>
        <v>UK</v>
      </c>
      <c r="Q504" s="8">
        <f t="shared" si="7"/>
        <v>10.5</v>
      </c>
    </row>
    <row r="505">
      <c r="A505" s="1">
        <v>536409.0</v>
      </c>
      <c r="B505" s="1" t="str">
        <f t="shared" si="1"/>
        <v>536409</v>
      </c>
      <c r="C505" s="1" t="str">
        <f t="shared" si="2"/>
        <v>Sale</v>
      </c>
      <c r="D505" s="1">
        <v>22531.0</v>
      </c>
      <c r="E505" s="1" t="str">
        <f>IFERROR(__xludf.DUMMYFUNCTION("IF(LEN(D505)&gt;4, IFERROR(REGEXEXTRACT(TO_TEXT(D505),""\d+""),""""),"""")"),"22531")</f>
        <v>22531</v>
      </c>
      <c r="F505" s="6" t="str">
        <f t="shared" si="3"/>
        <v>Product</v>
      </c>
      <c r="G505" s="1" t="s">
        <v>409</v>
      </c>
      <c r="H505" s="6" t="str">
        <f>IFERROR(__xludf.DUMMYFUNCTION("IF(REGEXMATCH(LOWER(G505), ""^(\?)+\s*(missing)?\s*(\?)*$""), """", PROPER(SUBSTITUTE(SUBSTITUTE(G505, ""?"", """"), ""*"", """")))"),"Magic Drawing Slate Circus Parade")</f>
        <v>Magic Drawing Slate Circus Parade</v>
      </c>
      <c r="I505" s="3">
        <v>1.0</v>
      </c>
      <c r="J505" s="7">
        <v>40513.489583333336</v>
      </c>
      <c r="K505" s="8" t="str">
        <f t="shared" si="4"/>
        <v>2010-12</v>
      </c>
      <c r="L505" s="5">
        <v>0.42</v>
      </c>
      <c r="M505" s="3">
        <v>17908.0</v>
      </c>
      <c r="N505" s="1" t="str">
        <f t="shared" si="5"/>
        <v>Registered</v>
      </c>
      <c r="O505" s="1" t="s">
        <v>19</v>
      </c>
      <c r="P505" s="9" t="str">
        <f t="shared" si="6"/>
        <v>UK</v>
      </c>
      <c r="Q505" s="8">
        <f t="shared" si="7"/>
        <v>0.42</v>
      </c>
    </row>
    <row r="506">
      <c r="A506" s="1">
        <v>536409.0</v>
      </c>
      <c r="B506" s="1" t="str">
        <f t="shared" si="1"/>
        <v>536409</v>
      </c>
      <c r="C506" s="1" t="str">
        <f t="shared" si="2"/>
        <v>Sale</v>
      </c>
      <c r="D506" s="1">
        <v>21811.0</v>
      </c>
      <c r="E506" s="1" t="str">
        <f>IFERROR(__xludf.DUMMYFUNCTION("IF(LEN(D506)&gt;4, IFERROR(REGEXEXTRACT(TO_TEXT(D506),""\d+""),""""),"""")"),"21811")</f>
        <v>21811</v>
      </c>
      <c r="F506" s="6" t="str">
        <f t="shared" si="3"/>
        <v>Product</v>
      </c>
      <c r="G506" s="1" t="s">
        <v>410</v>
      </c>
      <c r="H506" s="6" t="str">
        <f>IFERROR(__xludf.DUMMYFUNCTION("IF(REGEXMATCH(LOWER(G506), ""^(\?)+\s*(missing)?\s*(\?)*$""), """", PROPER(SUBSTITUTE(SUBSTITUTE(G506, ""?"", """"), ""*"", """")))"),"Christmas Hanging Heart With Bell")</f>
        <v>Christmas Hanging Heart With Bell</v>
      </c>
      <c r="I506" s="3">
        <v>1.0</v>
      </c>
      <c r="J506" s="7">
        <v>40513.489583333336</v>
      </c>
      <c r="K506" s="8" t="str">
        <f t="shared" si="4"/>
        <v>2010-12</v>
      </c>
      <c r="L506" s="5">
        <v>1.25</v>
      </c>
      <c r="M506" s="3">
        <v>17908.0</v>
      </c>
      <c r="N506" s="1" t="str">
        <f t="shared" si="5"/>
        <v>Registered</v>
      </c>
      <c r="O506" s="1" t="s">
        <v>19</v>
      </c>
      <c r="P506" s="9" t="str">
        <f t="shared" si="6"/>
        <v>UK</v>
      </c>
      <c r="Q506" s="8">
        <f t="shared" si="7"/>
        <v>1.25</v>
      </c>
    </row>
    <row r="507">
      <c r="A507" s="1">
        <v>536409.0</v>
      </c>
      <c r="B507" s="1" t="str">
        <f t="shared" si="1"/>
        <v>536409</v>
      </c>
      <c r="C507" s="1" t="str">
        <f t="shared" si="2"/>
        <v>Sale</v>
      </c>
      <c r="D507" s="1">
        <v>22183.0</v>
      </c>
      <c r="E507" s="1" t="str">
        <f>IFERROR(__xludf.DUMMYFUNCTION("IF(LEN(D507)&gt;4, IFERROR(REGEXEXTRACT(TO_TEXT(D507),""\d+""),""""),"""")"),"22183")</f>
        <v>22183</v>
      </c>
      <c r="F507" s="6" t="str">
        <f t="shared" si="3"/>
        <v>Product</v>
      </c>
      <c r="G507" s="1" t="s">
        <v>411</v>
      </c>
      <c r="H507" s="6" t="str">
        <f>IFERROR(__xludf.DUMMYFUNCTION("IF(REGEXMATCH(LOWER(G507), ""^(\?)+\s*(missing)?\s*(\?)*$""), """", PROPER(SUBSTITUTE(SUBSTITUTE(G507, ""?"", """"), ""*"", """")))"),"Cake Stand Victorian Filigree Med")</f>
        <v>Cake Stand Victorian Filigree Med</v>
      </c>
      <c r="I507" s="3">
        <v>1.0</v>
      </c>
      <c r="J507" s="7">
        <v>40513.489583333336</v>
      </c>
      <c r="K507" s="8" t="str">
        <f t="shared" si="4"/>
        <v>2010-12</v>
      </c>
      <c r="L507" s="5">
        <v>6.75</v>
      </c>
      <c r="M507" s="3">
        <v>17908.0</v>
      </c>
      <c r="N507" s="1" t="str">
        <f t="shared" si="5"/>
        <v>Registered</v>
      </c>
      <c r="O507" s="1" t="s">
        <v>19</v>
      </c>
      <c r="P507" s="9" t="str">
        <f t="shared" si="6"/>
        <v>UK</v>
      </c>
      <c r="Q507" s="8">
        <f t="shared" si="7"/>
        <v>6.75</v>
      </c>
    </row>
    <row r="508">
      <c r="A508" s="1">
        <v>536409.0</v>
      </c>
      <c r="B508" s="1" t="str">
        <f t="shared" si="1"/>
        <v>536409</v>
      </c>
      <c r="C508" s="1" t="str">
        <f t="shared" si="2"/>
        <v>Sale</v>
      </c>
      <c r="D508" s="1">
        <v>21678.0</v>
      </c>
      <c r="E508" s="1" t="str">
        <f>IFERROR(__xludf.DUMMYFUNCTION("IF(LEN(D508)&gt;4, IFERROR(REGEXEXTRACT(TO_TEXT(D508),""\d+""),""""),"""")"),"21678")</f>
        <v>21678</v>
      </c>
      <c r="F508" s="6" t="str">
        <f t="shared" si="3"/>
        <v>Product</v>
      </c>
      <c r="G508" s="1" t="s">
        <v>412</v>
      </c>
      <c r="H508" s="6" t="str">
        <f>IFERROR(__xludf.DUMMYFUNCTION("IF(REGEXMATCH(LOWER(G508), ""^(\?)+\s*(missing)?\s*(\?)*$""), """", PROPER(SUBSTITUTE(SUBSTITUTE(G508, ""?"", """"), ""*"", """")))"),"Paisley Pattern Stickers")</f>
        <v>Paisley Pattern Stickers</v>
      </c>
      <c r="I508" s="3">
        <v>6.0</v>
      </c>
      <c r="J508" s="7">
        <v>40513.489583333336</v>
      </c>
      <c r="K508" s="8" t="str">
        <f t="shared" si="4"/>
        <v>2010-12</v>
      </c>
      <c r="L508" s="5">
        <v>0.85</v>
      </c>
      <c r="M508" s="3">
        <v>17908.0</v>
      </c>
      <c r="N508" s="1" t="str">
        <f t="shared" si="5"/>
        <v>Registered</v>
      </c>
      <c r="O508" s="1" t="s">
        <v>19</v>
      </c>
      <c r="P508" s="9" t="str">
        <f t="shared" si="6"/>
        <v>UK</v>
      </c>
      <c r="Q508" s="8">
        <f t="shared" si="7"/>
        <v>5.1</v>
      </c>
    </row>
    <row r="509">
      <c r="A509" s="1">
        <v>536409.0</v>
      </c>
      <c r="B509" s="1" t="str">
        <f t="shared" si="1"/>
        <v>536409</v>
      </c>
      <c r="C509" s="1" t="str">
        <f t="shared" si="2"/>
        <v>Sale</v>
      </c>
      <c r="D509" s="1">
        <v>21676.0</v>
      </c>
      <c r="E509" s="1" t="str">
        <f>IFERROR(__xludf.DUMMYFUNCTION("IF(LEN(D509)&gt;4, IFERROR(REGEXEXTRACT(TO_TEXT(D509),""\d+""),""""),"""")"),"21676")</f>
        <v>21676</v>
      </c>
      <c r="F509" s="6" t="str">
        <f t="shared" si="3"/>
        <v>Product</v>
      </c>
      <c r="G509" s="1" t="s">
        <v>413</v>
      </c>
      <c r="H509" s="6" t="str">
        <f>IFERROR(__xludf.DUMMYFUNCTION("IF(REGEXMATCH(LOWER(G509), ""^(\?)+\s*(missing)?\s*(\?)*$""), """", PROPER(SUBSTITUTE(SUBSTITUTE(G509, ""?"", """"), ""*"", """")))"),"Flowers Stickers")</f>
        <v>Flowers Stickers</v>
      </c>
      <c r="I509" s="3">
        <v>6.0</v>
      </c>
      <c r="J509" s="7">
        <v>40513.489583333336</v>
      </c>
      <c r="K509" s="8" t="str">
        <f t="shared" si="4"/>
        <v>2010-12</v>
      </c>
      <c r="L509" s="5">
        <v>0.85</v>
      </c>
      <c r="M509" s="3">
        <v>17908.0</v>
      </c>
      <c r="N509" s="1" t="str">
        <f t="shared" si="5"/>
        <v>Registered</v>
      </c>
      <c r="O509" s="1" t="s">
        <v>19</v>
      </c>
      <c r="P509" s="9" t="str">
        <f t="shared" si="6"/>
        <v>UK</v>
      </c>
      <c r="Q509" s="8">
        <f t="shared" si="7"/>
        <v>5.1</v>
      </c>
    </row>
    <row r="510">
      <c r="A510" s="1">
        <v>536409.0</v>
      </c>
      <c r="B510" s="1" t="str">
        <f t="shared" si="1"/>
        <v>536409</v>
      </c>
      <c r="C510" s="1" t="str">
        <f t="shared" si="2"/>
        <v>Sale</v>
      </c>
      <c r="D510" s="1" t="s">
        <v>326</v>
      </c>
      <c r="E510" s="1" t="str">
        <f>IFERROR(__xludf.DUMMYFUNCTION("IF(LEN(D510)&gt;4, IFERROR(REGEXEXTRACT(TO_TEXT(D510),""\d+""),""""),"""")"),"84625")</f>
        <v>84625</v>
      </c>
      <c r="F510" s="6" t="str">
        <f t="shared" si="3"/>
        <v>Product</v>
      </c>
      <c r="G510" s="1" t="s">
        <v>327</v>
      </c>
      <c r="H510" s="6" t="str">
        <f>IFERROR(__xludf.DUMMYFUNCTION("IF(REGEXMATCH(LOWER(G510), ""^(\?)+\s*(missing)?\s*(\?)*$""), """", PROPER(SUBSTITUTE(SUBSTITUTE(G510, ""?"", """"), ""*"", """")))"),"Pink New Baroquecandlestick Candle")</f>
        <v>Pink New Baroquecandlestick Candle</v>
      </c>
      <c r="I510" s="3">
        <v>1.0</v>
      </c>
      <c r="J510" s="7">
        <v>40513.489583333336</v>
      </c>
      <c r="K510" s="8" t="str">
        <f t="shared" si="4"/>
        <v>2010-12</v>
      </c>
      <c r="L510" s="5">
        <v>2.95</v>
      </c>
      <c r="M510" s="3">
        <v>17908.0</v>
      </c>
      <c r="N510" s="1" t="str">
        <f t="shared" si="5"/>
        <v>Registered</v>
      </c>
      <c r="O510" s="1" t="s">
        <v>19</v>
      </c>
      <c r="P510" s="9" t="str">
        <f t="shared" si="6"/>
        <v>UK</v>
      </c>
      <c r="Q510" s="8">
        <f t="shared" si="7"/>
        <v>2.95</v>
      </c>
    </row>
    <row r="511">
      <c r="A511" s="1">
        <v>536409.0</v>
      </c>
      <c r="B511" s="1" t="str">
        <f t="shared" si="1"/>
        <v>536409</v>
      </c>
      <c r="C511" s="1" t="str">
        <f t="shared" si="2"/>
        <v>Sale</v>
      </c>
      <c r="D511" s="1" t="s">
        <v>324</v>
      </c>
      <c r="E511" s="1" t="str">
        <f>IFERROR(__xludf.DUMMYFUNCTION("IF(LEN(D511)&gt;4, IFERROR(REGEXEXTRACT(TO_TEXT(D511),""\d+""),""""),"""")"),"84625")</f>
        <v>84625</v>
      </c>
      <c r="F511" s="6" t="str">
        <f t="shared" si="3"/>
        <v>Product</v>
      </c>
      <c r="G511" s="1" t="s">
        <v>325</v>
      </c>
      <c r="H511" s="6" t="str">
        <f>IFERROR(__xludf.DUMMYFUNCTION("IF(REGEXMATCH(LOWER(G511), ""^(\?)+\s*(missing)?\s*(\?)*$""), """", PROPER(SUBSTITUTE(SUBSTITUTE(G511, ""?"", """"), ""*"", """")))"),"Blue New Baroque Candlestick Candle")</f>
        <v>Blue New Baroque Candlestick Candle</v>
      </c>
      <c r="I511" s="3">
        <v>3.0</v>
      </c>
      <c r="J511" s="7">
        <v>40513.489583333336</v>
      </c>
      <c r="K511" s="8" t="str">
        <f t="shared" si="4"/>
        <v>2010-12</v>
      </c>
      <c r="L511" s="5">
        <v>2.95</v>
      </c>
      <c r="M511" s="3">
        <v>17908.0</v>
      </c>
      <c r="N511" s="1" t="str">
        <f t="shared" si="5"/>
        <v>Registered</v>
      </c>
      <c r="O511" s="1" t="s">
        <v>19</v>
      </c>
      <c r="P511" s="9" t="str">
        <f t="shared" si="6"/>
        <v>UK</v>
      </c>
      <c r="Q511" s="8">
        <f t="shared" si="7"/>
        <v>8.85</v>
      </c>
    </row>
    <row r="512">
      <c r="A512" s="1">
        <v>536409.0</v>
      </c>
      <c r="B512" s="1" t="str">
        <f t="shared" si="1"/>
        <v>536409</v>
      </c>
      <c r="C512" s="1" t="str">
        <f t="shared" si="2"/>
        <v>Sale</v>
      </c>
      <c r="D512" s="1">
        <v>21931.0</v>
      </c>
      <c r="E512" s="1" t="str">
        <f>IFERROR(__xludf.DUMMYFUNCTION("IF(LEN(D512)&gt;4, IFERROR(REGEXEXTRACT(TO_TEXT(D512),""\d+""),""""),"""")"),"21931")</f>
        <v>21931</v>
      </c>
      <c r="F512" s="6" t="str">
        <f t="shared" si="3"/>
        <v>Product</v>
      </c>
      <c r="G512" s="1" t="s">
        <v>107</v>
      </c>
      <c r="H512" s="6" t="str">
        <f>IFERROR(__xludf.DUMMYFUNCTION("IF(REGEXMATCH(LOWER(G512), ""^(\?)+\s*(missing)?\s*(\?)*$""), """", PROPER(SUBSTITUTE(SUBSTITUTE(G512, ""?"", """"), ""*"", """")))"),"Jumbo Storage Bag Suki")</f>
        <v>Jumbo Storage Bag Suki</v>
      </c>
      <c r="I512" s="3">
        <v>2.0</v>
      </c>
      <c r="J512" s="7">
        <v>40513.489583333336</v>
      </c>
      <c r="K512" s="8" t="str">
        <f t="shared" si="4"/>
        <v>2010-12</v>
      </c>
      <c r="L512" s="5">
        <v>1.95</v>
      </c>
      <c r="M512" s="3">
        <v>17908.0</v>
      </c>
      <c r="N512" s="1" t="str">
        <f t="shared" si="5"/>
        <v>Registered</v>
      </c>
      <c r="O512" s="1" t="s">
        <v>19</v>
      </c>
      <c r="P512" s="9" t="str">
        <f t="shared" si="6"/>
        <v>UK</v>
      </c>
      <c r="Q512" s="8">
        <f t="shared" si="7"/>
        <v>3.9</v>
      </c>
    </row>
    <row r="513">
      <c r="A513" s="1">
        <v>536409.0</v>
      </c>
      <c r="B513" s="1" t="str">
        <f t="shared" si="1"/>
        <v>536409</v>
      </c>
      <c r="C513" s="1" t="str">
        <f t="shared" si="2"/>
        <v>Sale</v>
      </c>
      <c r="D513" s="1" t="s">
        <v>414</v>
      </c>
      <c r="E513" s="1" t="str">
        <f>IFERROR(__xludf.DUMMYFUNCTION("IF(LEN(D513)&gt;4, IFERROR(REGEXEXTRACT(TO_TEXT(D513),""\d+""),""""),"""")"),"85169")</f>
        <v>85169</v>
      </c>
      <c r="F513" s="6" t="str">
        <f t="shared" si="3"/>
        <v>Product</v>
      </c>
      <c r="G513" s="1" t="s">
        <v>415</v>
      </c>
      <c r="H513" s="6" t="str">
        <f>IFERROR(__xludf.DUMMYFUNCTION("IF(REGEXMATCH(LOWER(G513), ""^(\?)+\s*(missing)?\s*(\?)*$""), """", PROPER(SUBSTITUTE(SUBSTITUTE(G513, ""?"", """"), ""*"", """")))"),"Black Love Bird Candle")</f>
        <v>Black Love Bird Candle</v>
      </c>
      <c r="I513" s="3">
        <v>12.0</v>
      </c>
      <c r="J513" s="7">
        <v>40513.489583333336</v>
      </c>
      <c r="K513" s="8" t="str">
        <f t="shared" si="4"/>
        <v>2010-12</v>
      </c>
      <c r="L513" s="5">
        <v>1.25</v>
      </c>
      <c r="M513" s="3">
        <v>17908.0</v>
      </c>
      <c r="N513" s="1" t="str">
        <f t="shared" si="5"/>
        <v>Registered</v>
      </c>
      <c r="O513" s="1" t="s">
        <v>19</v>
      </c>
      <c r="P513" s="9" t="str">
        <f t="shared" si="6"/>
        <v>UK</v>
      </c>
      <c r="Q513" s="8">
        <f t="shared" si="7"/>
        <v>15</v>
      </c>
    </row>
    <row r="514">
      <c r="A514" s="1">
        <v>536409.0</v>
      </c>
      <c r="B514" s="1" t="str">
        <f t="shared" si="1"/>
        <v>536409</v>
      </c>
      <c r="C514" s="1" t="str">
        <f t="shared" si="2"/>
        <v>Sale</v>
      </c>
      <c r="D514" s="1">
        <v>16238.0</v>
      </c>
      <c r="E514" s="1" t="str">
        <f>IFERROR(__xludf.DUMMYFUNCTION("IF(LEN(D514)&gt;4, IFERROR(REGEXEXTRACT(TO_TEXT(D514),""\d+""),""""),"""")"),"16238")</f>
        <v>16238</v>
      </c>
      <c r="F514" s="6" t="str">
        <f t="shared" si="3"/>
        <v>Product</v>
      </c>
      <c r="G514" s="1" t="s">
        <v>416</v>
      </c>
      <c r="H514" s="6" t="str">
        <f>IFERROR(__xludf.DUMMYFUNCTION("IF(REGEXMATCH(LOWER(G514), ""^(\?)+\s*(missing)?\s*(\?)*$""), """", PROPER(SUBSTITUTE(SUBSTITUTE(G514, ""?"", """"), ""*"", """")))"),"Party Time Pencil Erasers")</f>
        <v>Party Time Pencil Erasers</v>
      </c>
      <c r="I514" s="3">
        <v>28.0</v>
      </c>
      <c r="J514" s="7">
        <v>40513.489583333336</v>
      </c>
      <c r="K514" s="8" t="str">
        <f t="shared" si="4"/>
        <v>2010-12</v>
      </c>
      <c r="L514" s="5">
        <v>0.21</v>
      </c>
      <c r="M514" s="3">
        <v>17908.0</v>
      </c>
      <c r="N514" s="1" t="str">
        <f t="shared" si="5"/>
        <v>Registered</v>
      </c>
      <c r="O514" s="1" t="s">
        <v>19</v>
      </c>
      <c r="P514" s="9" t="str">
        <f t="shared" si="6"/>
        <v>UK</v>
      </c>
      <c r="Q514" s="8">
        <f t="shared" si="7"/>
        <v>5.88</v>
      </c>
    </row>
    <row r="515">
      <c r="A515" s="1">
        <v>536409.0</v>
      </c>
      <c r="B515" s="1" t="str">
        <f t="shared" si="1"/>
        <v>536409</v>
      </c>
      <c r="C515" s="1" t="str">
        <f t="shared" si="2"/>
        <v>Sale</v>
      </c>
      <c r="D515" s="1">
        <v>20668.0</v>
      </c>
      <c r="E515" s="1" t="str">
        <f>IFERROR(__xludf.DUMMYFUNCTION("IF(LEN(D515)&gt;4, IFERROR(REGEXEXTRACT(TO_TEXT(D515),""\d+""),""""),"""")"),"20668")</f>
        <v>20668</v>
      </c>
      <c r="F515" s="6" t="str">
        <f t="shared" si="3"/>
        <v>Product</v>
      </c>
      <c r="G515" s="1" t="s">
        <v>216</v>
      </c>
      <c r="H515" s="6" t="str">
        <f>IFERROR(__xludf.DUMMYFUNCTION("IF(REGEXMATCH(LOWER(G515), ""^(\?)+\s*(missing)?\s*(\?)*$""), """", PROPER(SUBSTITUTE(SUBSTITUTE(G515, ""?"", """"), ""*"", """")))"),"Disco Ball Christmas Decoration")</f>
        <v>Disco Ball Christmas Decoration</v>
      </c>
      <c r="I515" s="3">
        <v>24.0</v>
      </c>
      <c r="J515" s="7">
        <v>40513.489583333336</v>
      </c>
      <c r="K515" s="8" t="str">
        <f t="shared" si="4"/>
        <v>2010-12</v>
      </c>
      <c r="L515" s="5">
        <v>0.12</v>
      </c>
      <c r="M515" s="3">
        <v>17908.0</v>
      </c>
      <c r="N515" s="1" t="str">
        <f t="shared" si="5"/>
        <v>Registered</v>
      </c>
      <c r="O515" s="1" t="s">
        <v>19</v>
      </c>
      <c r="P515" s="9" t="str">
        <f t="shared" si="6"/>
        <v>UK</v>
      </c>
      <c r="Q515" s="8">
        <f t="shared" si="7"/>
        <v>2.88</v>
      </c>
    </row>
    <row r="516">
      <c r="A516" s="1">
        <v>536409.0</v>
      </c>
      <c r="B516" s="1" t="str">
        <f t="shared" si="1"/>
        <v>536409</v>
      </c>
      <c r="C516" s="1" t="str">
        <f t="shared" si="2"/>
        <v>Sale</v>
      </c>
      <c r="D516" s="1">
        <v>84906.0</v>
      </c>
      <c r="E516" s="1" t="str">
        <f>IFERROR(__xludf.DUMMYFUNCTION("IF(LEN(D516)&gt;4, IFERROR(REGEXEXTRACT(TO_TEXT(D516),""\d+""),""""),"""")"),"84906")</f>
        <v>84906</v>
      </c>
      <c r="F516" s="6" t="str">
        <f t="shared" si="3"/>
        <v>Product</v>
      </c>
      <c r="G516" s="1" t="s">
        <v>417</v>
      </c>
      <c r="H516" s="6" t="str">
        <f>IFERROR(__xludf.DUMMYFUNCTION("IF(REGEXMATCH(LOWER(G516), ""^(\?)+\s*(missing)?\s*(\?)*$""), """", PROPER(SUBSTITUTE(SUBSTITUTE(G516, ""?"", """"), ""*"", """")))"),"Pink B'Fly C/Cover W Bobbles")</f>
        <v>Pink B'Fly C/Cover W Bobbles</v>
      </c>
      <c r="I516" s="3">
        <v>1.0</v>
      </c>
      <c r="J516" s="7">
        <v>40513.489583333336</v>
      </c>
      <c r="K516" s="8" t="str">
        <f t="shared" si="4"/>
        <v>2010-12</v>
      </c>
      <c r="L516" s="5">
        <v>5.95</v>
      </c>
      <c r="M516" s="3">
        <v>17908.0</v>
      </c>
      <c r="N516" s="1" t="str">
        <f t="shared" si="5"/>
        <v>Registered</v>
      </c>
      <c r="O516" s="1" t="s">
        <v>19</v>
      </c>
      <c r="P516" s="9" t="str">
        <f t="shared" si="6"/>
        <v>UK</v>
      </c>
      <c r="Q516" s="8">
        <f t="shared" si="7"/>
        <v>5.95</v>
      </c>
    </row>
    <row r="517">
      <c r="A517" s="1">
        <v>536409.0</v>
      </c>
      <c r="B517" s="1" t="str">
        <f t="shared" si="1"/>
        <v>536409</v>
      </c>
      <c r="C517" s="1" t="str">
        <f t="shared" si="2"/>
        <v>Sale</v>
      </c>
      <c r="D517" s="1">
        <v>21867.0</v>
      </c>
      <c r="E517" s="1" t="str">
        <f>IFERROR(__xludf.DUMMYFUNCTION("IF(LEN(D517)&gt;4, IFERROR(REGEXEXTRACT(TO_TEXT(D517),""\d+""),""""),"""")"),"21867")</f>
        <v>21867</v>
      </c>
      <c r="F517" s="6" t="str">
        <f t="shared" si="3"/>
        <v>Product</v>
      </c>
      <c r="G517" s="1" t="s">
        <v>418</v>
      </c>
      <c r="H517" s="6" t="str">
        <f>IFERROR(__xludf.DUMMYFUNCTION("IF(REGEXMATCH(LOWER(G517), ""^(\?)+\s*(missing)?\s*(\?)*$""), """", PROPER(SUBSTITUTE(SUBSTITUTE(G517, ""?"", """"), ""*"", """")))"),"Pink Union Jack Luggage Tag")</f>
        <v>Pink Union Jack Luggage Tag</v>
      </c>
      <c r="I517" s="3">
        <v>1.0</v>
      </c>
      <c r="J517" s="7">
        <v>40513.489583333336</v>
      </c>
      <c r="K517" s="8" t="str">
        <f t="shared" si="4"/>
        <v>2010-12</v>
      </c>
      <c r="L517" s="5">
        <v>1.25</v>
      </c>
      <c r="M517" s="3">
        <v>17908.0</v>
      </c>
      <c r="N517" s="1" t="str">
        <f t="shared" si="5"/>
        <v>Registered</v>
      </c>
      <c r="O517" s="1" t="s">
        <v>19</v>
      </c>
      <c r="P517" s="9" t="str">
        <f t="shared" si="6"/>
        <v>UK</v>
      </c>
      <c r="Q517" s="8">
        <f t="shared" si="7"/>
        <v>1.25</v>
      </c>
    </row>
    <row r="518">
      <c r="A518" s="1">
        <v>536409.0</v>
      </c>
      <c r="B518" s="1" t="str">
        <f t="shared" si="1"/>
        <v>536409</v>
      </c>
      <c r="C518" s="1" t="str">
        <f t="shared" si="2"/>
        <v>Sale</v>
      </c>
      <c r="D518" s="1">
        <v>22075.0</v>
      </c>
      <c r="E518" s="1" t="str">
        <f>IFERROR(__xludf.DUMMYFUNCTION("IF(LEN(D518)&gt;4, IFERROR(REGEXEXTRACT(TO_TEXT(D518),""\d+""),""""),"""")"),"22075")</f>
        <v>22075</v>
      </c>
      <c r="F518" s="6" t="str">
        <f t="shared" si="3"/>
        <v>Product</v>
      </c>
      <c r="G518" s="1" t="s">
        <v>419</v>
      </c>
      <c r="H518" s="6" t="str">
        <f>IFERROR(__xludf.DUMMYFUNCTION("IF(REGEXMATCH(LOWER(G518), ""^(\?)+\s*(missing)?\s*(\?)*$""), """", PROPER(SUBSTITUTE(SUBSTITUTE(G518, ""?"", """"), ""*"", """")))"),"6 Ribbons Elegant Christmas")</f>
        <v>6 Ribbons Elegant Christmas</v>
      </c>
      <c r="I518" s="3">
        <v>1.0</v>
      </c>
      <c r="J518" s="7">
        <v>40513.489583333336</v>
      </c>
      <c r="K518" s="8" t="str">
        <f t="shared" si="4"/>
        <v>2010-12</v>
      </c>
      <c r="L518" s="5">
        <v>1.65</v>
      </c>
      <c r="M518" s="3">
        <v>17908.0</v>
      </c>
      <c r="N518" s="1" t="str">
        <f t="shared" si="5"/>
        <v>Registered</v>
      </c>
      <c r="O518" s="1" t="s">
        <v>19</v>
      </c>
      <c r="P518" s="9" t="str">
        <f t="shared" si="6"/>
        <v>UK</v>
      </c>
      <c r="Q518" s="8">
        <f t="shared" si="7"/>
        <v>1.65</v>
      </c>
    </row>
    <row r="519">
      <c r="A519" s="1">
        <v>536409.0</v>
      </c>
      <c r="B519" s="1" t="str">
        <f t="shared" si="1"/>
        <v>536409</v>
      </c>
      <c r="C519" s="1" t="str">
        <f t="shared" si="2"/>
        <v>Sale</v>
      </c>
      <c r="D519" s="1">
        <v>21866.0</v>
      </c>
      <c r="E519" s="1" t="str">
        <f>IFERROR(__xludf.DUMMYFUNCTION("IF(LEN(D519)&gt;4, IFERROR(REGEXEXTRACT(TO_TEXT(D519),""\d+""),""""),"""")"),"21866")</f>
        <v>21866</v>
      </c>
      <c r="F519" s="6" t="str">
        <f t="shared" si="3"/>
        <v>Product</v>
      </c>
      <c r="G519" s="1" t="s">
        <v>399</v>
      </c>
      <c r="H519" s="6" t="str">
        <f>IFERROR(__xludf.DUMMYFUNCTION("IF(REGEXMATCH(LOWER(G519), ""^(\?)+\s*(missing)?\s*(\?)*$""), """", PROPER(SUBSTITUTE(SUBSTITUTE(G519, ""?"", """"), ""*"", """")))"),"Union Jack Flag Luggage Tag")</f>
        <v>Union Jack Flag Luggage Tag</v>
      </c>
      <c r="I519" s="3">
        <v>1.0</v>
      </c>
      <c r="J519" s="7">
        <v>40513.489583333336</v>
      </c>
      <c r="K519" s="8" t="str">
        <f t="shared" si="4"/>
        <v>2010-12</v>
      </c>
      <c r="L519" s="5">
        <v>1.25</v>
      </c>
      <c r="M519" s="3">
        <v>17908.0</v>
      </c>
      <c r="N519" s="1" t="str">
        <f t="shared" si="5"/>
        <v>Registered</v>
      </c>
      <c r="O519" s="1" t="s">
        <v>19</v>
      </c>
      <c r="P519" s="9" t="str">
        <f t="shared" si="6"/>
        <v>UK</v>
      </c>
      <c r="Q519" s="8">
        <f t="shared" si="7"/>
        <v>1.25</v>
      </c>
    </row>
    <row r="520">
      <c r="A520" s="1">
        <v>536409.0</v>
      </c>
      <c r="B520" s="1" t="str">
        <f t="shared" si="1"/>
        <v>536409</v>
      </c>
      <c r="C520" s="1" t="str">
        <f t="shared" si="2"/>
        <v>Sale</v>
      </c>
      <c r="D520" s="1">
        <v>21326.0</v>
      </c>
      <c r="E520" s="1" t="str">
        <f>IFERROR(__xludf.DUMMYFUNCTION("IF(LEN(D520)&gt;4, IFERROR(REGEXEXTRACT(TO_TEXT(D520),""\d+""),""""),"""")"),"21326")</f>
        <v>21326</v>
      </c>
      <c r="F520" s="6" t="str">
        <f t="shared" si="3"/>
        <v>Product</v>
      </c>
      <c r="G520" s="1" t="s">
        <v>420</v>
      </c>
      <c r="H520" s="6" t="str">
        <f>IFERROR(__xludf.DUMMYFUNCTION("IF(REGEXMATCH(LOWER(G520), ""^(\?)+\s*(missing)?\s*(\?)*$""), """", PROPER(SUBSTITUTE(SUBSTITUTE(G520, ""?"", """"), ""*"", """")))"),"Aged Glass Silver T-Light Holder")</f>
        <v>Aged Glass Silver T-Light Holder</v>
      </c>
      <c r="I520" s="3">
        <v>12.0</v>
      </c>
      <c r="J520" s="7">
        <v>40513.489583333336</v>
      </c>
      <c r="K520" s="8" t="str">
        <f t="shared" si="4"/>
        <v>2010-12</v>
      </c>
      <c r="L520" s="5">
        <v>0.65</v>
      </c>
      <c r="M520" s="3">
        <v>17908.0</v>
      </c>
      <c r="N520" s="1" t="str">
        <f t="shared" si="5"/>
        <v>Registered</v>
      </c>
      <c r="O520" s="1" t="s">
        <v>19</v>
      </c>
      <c r="P520" s="9" t="str">
        <f t="shared" si="6"/>
        <v>UK</v>
      </c>
      <c r="Q520" s="8">
        <f t="shared" si="7"/>
        <v>7.8</v>
      </c>
    </row>
    <row r="521">
      <c r="A521" s="1">
        <v>536409.0</v>
      </c>
      <c r="B521" s="1" t="str">
        <f t="shared" si="1"/>
        <v>536409</v>
      </c>
      <c r="C521" s="1" t="str">
        <f t="shared" si="2"/>
        <v>Sale</v>
      </c>
      <c r="D521" s="1">
        <v>21065.0</v>
      </c>
      <c r="E521" s="1" t="str">
        <f>IFERROR(__xludf.DUMMYFUNCTION("IF(LEN(D521)&gt;4, IFERROR(REGEXEXTRACT(TO_TEXT(D521),""\d+""),""""),"""")"),"21065")</f>
        <v>21065</v>
      </c>
      <c r="F521" s="6" t="str">
        <f t="shared" si="3"/>
        <v>Product</v>
      </c>
      <c r="G521" s="1" t="s">
        <v>421</v>
      </c>
      <c r="H521" s="6" t="str">
        <f>IFERROR(__xludf.DUMMYFUNCTION("IF(REGEXMATCH(LOWER(G521), ""^(\?)+\s*(missing)?\s*(\?)*$""), """", PROPER(SUBSTITUTE(SUBSTITUTE(G521, ""?"", """"), ""*"", """")))"),"Boom Box Speaker Girls")</f>
        <v>Boom Box Speaker Girls</v>
      </c>
      <c r="I521" s="3">
        <v>1.0</v>
      </c>
      <c r="J521" s="7">
        <v>40513.489583333336</v>
      </c>
      <c r="K521" s="8" t="str">
        <f t="shared" si="4"/>
        <v>2010-12</v>
      </c>
      <c r="L521" s="5">
        <v>5.95</v>
      </c>
      <c r="M521" s="3">
        <v>17908.0</v>
      </c>
      <c r="N521" s="1" t="str">
        <f t="shared" si="5"/>
        <v>Registered</v>
      </c>
      <c r="O521" s="1" t="s">
        <v>19</v>
      </c>
      <c r="P521" s="9" t="str">
        <f t="shared" si="6"/>
        <v>UK</v>
      </c>
      <c r="Q521" s="8">
        <f t="shared" si="7"/>
        <v>5.95</v>
      </c>
    </row>
    <row r="522">
      <c r="A522" s="1">
        <v>536409.0</v>
      </c>
      <c r="B522" s="1" t="str">
        <f t="shared" si="1"/>
        <v>536409</v>
      </c>
      <c r="C522" s="1" t="str">
        <f t="shared" si="2"/>
        <v>Sale</v>
      </c>
      <c r="D522" s="1">
        <v>22074.0</v>
      </c>
      <c r="E522" s="1" t="str">
        <f>IFERROR(__xludf.DUMMYFUNCTION("IF(LEN(D522)&gt;4, IFERROR(REGEXEXTRACT(TO_TEXT(D522),""\d+""),""""),"""")"),"22074")</f>
        <v>22074</v>
      </c>
      <c r="F522" s="6" t="str">
        <f t="shared" si="3"/>
        <v>Product</v>
      </c>
      <c r="G522" s="1" t="s">
        <v>422</v>
      </c>
      <c r="H522" s="6" t="str">
        <f>IFERROR(__xludf.DUMMYFUNCTION("IF(REGEXMATCH(LOWER(G522), ""^(\?)+\s*(missing)?\s*(\?)*$""), """", PROPER(SUBSTITUTE(SUBSTITUTE(G522, ""?"", """"), ""*"", """")))"),"6 Ribbons Shimmering Pinks")</f>
        <v>6 Ribbons Shimmering Pinks</v>
      </c>
      <c r="I522" s="3">
        <v>1.0</v>
      </c>
      <c r="J522" s="7">
        <v>40513.489583333336</v>
      </c>
      <c r="K522" s="8" t="str">
        <f t="shared" si="4"/>
        <v>2010-12</v>
      </c>
      <c r="L522" s="5">
        <v>1.65</v>
      </c>
      <c r="M522" s="3">
        <v>17908.0</v>
      </c>
      <c r="N522" s="1" t="str">
        <f t="shared" si="5"/>
        <v>Registered</v>
      </c>
      <c r="O522" s="1" t="s">
        <v>19</v>
      </c>
      <c r="P522" s="9" t="str">
        <f t="shared" si="6"/>
        <v>UK</v>
      </c>
      <c r="Q522" s="8">
        <f t="shared" si="7"/>
        <v>1.65</v>
      </c>
    </row>
    <row r="523">
      <c r="A523" s="1">
        <v>536409.0</v>
      </c>
      <c r="B523" s="1" t="str">
        <f t="shared" si="1"/>
        <v>536409</v>
      </c>
      <c r="C523" s="1" t="str">
        <f t="shared" si="2"/>
        <v>Sale</v>
      </c>
      <c r="D523" s="1">
        <v>22900.0</v>
      </c>
      <c r="E523" s="1" t="str">
        <f>IFERROR(__xludf.DUMMYFUNCTION("IF(LEN(D523)&gt;4, IFERROR(REGEXEXTRACT(TO_TEXT(D523),""\d+""),""""),"""")"),"22900")</f>
        <v>22900</v>
      </c>
      <c r="F523" s="6" t="str">
        <f t="shared" si="3"/>
        <v>Product</v>
      </c>
      <c r="G523" s="1" t="s">
        <v>63</v>
      </c>
      <c r="H523" s="6" t="str">
        <f>IFERROR(__xludf.DUMMYFUNCTION("IF(REGEXMATCH(LOWER(G523), ""^(\?)+\s*(missing)?\s*(\?)*$""), """", PROPER(SUBSTITUTE(SUBSTITUTE(G523, ""?"", """"), ""*"", """")))"),"Set 2 Tea Towels I Love London")</f>
        <v>Set 2 Tea Towels I Love London</v>
      </c>
      <c r="I523" s="3">
        <v>1.0</v>
      </c>
      <c r="J523" s="7">
        <v>40513.489583333336</v>
      </c>
      <c r="K523" s="8" t="str">
        <f t="shared" si="4"/>
        <v>2010-12</v>
      </c>
      <c r="L523" s="5">
        <v>2.95</v>
      </c>
      <c r="M523" s="3">
        <v>17908.0</v>
      </c>
      <c r="N523" s="1" t="str">
        <f t="shared" si="5"/>
        <v>Registered</v>
      </c>
      <c r="O523" s="1" t="s">
        <v>19</v>
      </c>
      <c r="P523" s="9" t="str">
        <f t="shared" si="6"/>
        <v>UK</v>
      </c>
      <c r="Q523" s="8">
        <f t="shared" si="7"/>
        <v>2.95</v>
      </c>
    </row>
    <row r="524">
      <c r="A524" s="1">
        <v>536409.0</v>
      </c>
      <c r="B524" s="1" t="str">
        <f t="shared" si="1"/>
        <v>536409</v>
      </c>
      <c r="C524" s="1" t="str">
        <f t="shared" si="2"/>
        <v>Sale</v>
      </c>
      <c r="D524" s="1">
        <v>20713.0</v>
      </c>
      <c r="E524" s="1" t="str">
        <f>IFERROR(__xludf.DUMMYFUNCTION("IF(LEN(D524)&gt;4, IFERROR(REGEXEXTRACT(TO_TEXT(D524),""\d+""),""""),"""")"),"20713")</f>
        <v>20713</v>
      </c>
      <c r="F524" s="6" t="str">
        <f t="shared" si="3"/>
        <v>Product</v>
      </c>
      <c r="G524" s="1" t="s">
        <v>423</v>
      </c>
      <c r="H524" s="6" t="str">
        <f>IFERROR(__xludf.DUMMYFUNCTION("IF(REGEXMATCH(LOWER(G524), ""^(\?)+\s*(missing)?\s*(\?)*$""), """", PROPER(SUBSTITUTE(SUBSTITUTE(G524, ""?"", """"), ""*"", """")))"),"Jumbo Bag Owls")</f>
        <v>Jumbo Bag Owls</v>
      </c>
      <c r="I524" s="3">
        <v>1.0</v>
      </c>
      <c r="J524" s="7">
        <v>40513.489583333336</v>
      </c>
      <c r="K524" s="8" t="str">
        <f t="shared" si="4"/>
        <v>2010-12</v>
      </c>
      <c r="L524" s="5">
        <v>1.95</v>
      </c>
      <c r="M524" s="3">
        <v>17908.0</v>
      </c>
      <c r="N524" s="1" t="str">
        <f t="shared" si="5"/>
        <v>Registered</v>
      </c>
      <c r="O524" s="1" t="s">
        <v>19</v>
      </c>
      <c r="P524" s="9" t="str">
        <f t="shared" si="6"/>
        <v>UK</v>
      </c>
      <c r="Q524" s="8">
        <f t="shared" si="7"/>
        <v>1.95</v>
      </c>
    </row>
    <row r="525">
      <c r="A525" s="1">
        <v>536409.0</v>
      </c>
      <c r="B525" s="1" t="str">
        <f t="shared" si="1"/>
        <v>536409</v>
      </c>
      <c r="C525" s="1" t="str">
        <f t="shared" si="2"/>
        <v>Sale</v>
      </c>
      <c r="D525" s="1">
        <v>20966.0</v>
      </c>
      <c r="E525" s="1" t="str">
        <f>IFERROR(__xludf.DUMMYFUNCTION("IF(LEN(D525)&gt;4, IFERROR(REGEXEXTRACT(TO_TEXT(D525),""\d+""),""""),"""")"),"20966")</f>
        <v>20966</v>
      </c>
      <c r="F525" s="6" t="str">
        <f t="shared" si="3"/>
        <v>Product</v>
      </c>
      <c r="G525" s="1" t="s">
        <v>307</v>
      </c>
      <c r="H525" s="6" t="str">
        <f>IFERROR(__xludf.DUMMYFUNCTION("IF(REGEXMATCH(LOWER(G525), ""^(\?)+\s*(missing)?\s*(\?)*$""), """", PROPER(SUBSTITUTE(SUBSTITUTE(G525, ""?"", """"), ""*"", """")))"),"Sandwich Bath Sponge")</f>
        <v>Sandwich Bath Sponge</v>
      </c>
      <c r="I525" s="3">
        <v>2.0</v>
      </c>
      <c r="J525" s="7">
        <v>40513.489583333336</v>
      </c>
      <c r="K525" s="8" t="str">
        <f t="shared" si="4"/>
        <v>2010-12</v>
      </c>
      <c r="L525" s="5">
        <v>1.25</v>
      </c>
      <c r="M525" s="3">
        <v>17908.0</v>
      </c>
      <c r="N525" s="1" t="str">
        <f t="shared" si="5"/>
        <v>Registered</v>
      </c>
      <c r="O525" s="1" t="s">
        <v>19</v>
      </c>
      <c r="P525" s="9" t="str">
        <f t="shared" si="6"/>
        <v>UK</v>
      </c>
      <c r="Q525" s="8">
        <f t="shared" si="7"/>
        <v>2.5</v>
      </c>
    </row>
    <row r="526">
      <c r="A526" s="1">
        <v>536409.0</v>
      </c>
      <c r="B526" s="1" t="str">
        <f t="shared" si="1"/>
        <v>536409</v>
      </c>
      <c r="C526" s="1" t="str">
        <f t="shared" si="2"/>
        <v>Sale</v>
      </c>
      <c r="D526" s="1">
        <v>21116.0</v>
      </c>
      <c r="E526" s="1" t="str">
        <f>IFERROR(__xludf.DUMMYFUNCTION("IF(LEN(D526)&gt;4, IFERROR(REGEXEXTRACT(TO_TEXT(D526),""\d+""),""""),"""")"),"21116")</f>
        <v>21116</v>
      </c>
      <c r="F526" s="6" t="str">
        <f t="shared" si="3"/>
        <v>Product</v>
      </c>
      <c r="G526" s="1" t="s">
        <v>424</v>
      </c>
      <c r="H526" s="6" t="str">
        <f>IFERROR(__xludf.DUMMYFUNCTION("IF(REGEXMATCH(LOWER(G526), ""^(\?)+\s*(missing)?\s*(\?)*$""), """", PROPER(SUBSTITUTE(SUBSTITUTE(G526, ""?"", """"), ""*"", """")))"),"Owl Doorstop")</f>
        <v>Owl Doorstop</v>
      </c>
      <c r="I526" s="3">
        <v>1.0</v>
      </c>
      <c r="J526" s="7">
        <v>40513.489583333336</v>
      </c>
      <c r="K526" s="8" t="str">
        <f t="shared" si="4"/>
        <v>2010-12</v>
      </c>
      <c r="L526" s="5">
        <v>4.95</v>
      </c>
      <c r="M526" s="3">
        <v>17908.0</v>
      </c>
      <c r="N526" s="1" t="str">
        <f t="shared" si="5"/>
        <v>Registered</v>
      </c>
      <c r="O526" s="1" t="s">
        <v>19</v>
      </c>
      <c r="P526" s="9" t="str">
        <f t="shared" si="6"/>
        <v>UK</v>
      </c>
      <c r="Q526" s="8">
        <f t="shared" si="7"/>
        <v>4.95</v>
      </c>
    </row>
    <row r="527">
      <c r="A527" s="1">
        <v>536409.0</v>
      </c>
      <c r="B527" s="1" t="str">
        <f t="shared" si="1"/>
        <v>536409</v>
      </c>
      <c r="C527" s="1" t="str">
        <f t="shared" si="2"/>
        <v>Sale</v>
      </c>
      <c r="D527" s="1" t="s">
        <v>390</v>
      </c>
      <c r="E527" s="1" t="str">
        <f>IFERROR(__xludf.DUMMYFUNCTION("IF(LEN(D527)&gt;4, IFERROR(REGEXEXTRACT(TO_TEXT(D527),""\d+""),""""),"""")"),"90199")</f>
        <v>90199</v>
      </c>
      <c r="F527" s="6" t="str">
        <f t="shared" si="3"/>
        <v>Product</v>
      </c>
      <c r="G527" s="1" t="s">
        <v>391</v>
      </c>
      <c r="H527" s="6" t="str">
        <f>IFERROR(__xludf.DUMMYFUNCTION("IF(REGEXMATCH(LOWER(G527), ""^(\?)+\s*(missing)?\s*(\?)*$""), """", PROPER(SUBSTITUTE(SUBSTITUTE(G527, ""?"", """"), ""*"", """")))"),"5 Strand Glass Necklace Crystal")</f>
        <v>5 Strand Glass Necklace Crystal</v>
      </c>
      <c r="I527" s="3">
        <v>2.0</v>
      </c>
      <c r="J527" s="7">
        <v>40513.489583333336</v>
      </c>
      <c r="K527" s="8" t="str">
        <f t="shared" si="4"/>
        <v>2010-12</v>
      </c>
      <c r="L527" s="5">
        <v>6.35</v>
      </c>
      <c r="M527" s="3">
        <v>17908.0</v>
      </c>
      <c r="N527" s="1" t="str">
        <f t="shared" si="5"/>
        <v>Registered</v>
      </c>
      <c r="O527" s="1" t="s">
        <v>19</v>
      </c>
      <c r="P527" s="9" t="str">
        <f t="shared" si="6"/>
        <v>UK</v>
      </c>
      <c r="Q527" s="8">
        <f t="shared" si="7"/>
        <v>12.7</v>
      </c>
    </row>
    <row r="528">
      <c r="A528" s="1">
        <v>536409.0</v>
      </c>
      <c r="B528" s="1" t="str">
        <f t="shared" si="1"/>
        <v>536409</v>
      </c>
      <c r="C528" s="1" t="str">
        <f t="shared" si="2"/>
        <v>Sale</v>
      </c>
      <c r="D528" s="1">
        <v>22633.0</v>
      </c>
      <c r="E528" s="1" t="str">
        <f>IFERROR(__xludf.DUMMYFUNCTION("IF(LEN(D528)&gt;4, IFERROR(REGEXEXTRACT(TO_TEXT(D528),""\d+""),""""),"""")"),"22633")</f>
        <v>22633</v>
      </c>
      <c r="F528" s="6" t="str">
        <f t="shared" si="3"/>
        <v>Product</v>
      </c>
      <c r="G528" s="1" t="s">
        <v>29</v>
      </c>
      <c r="H528" s="6" t="str">
        <f>IFERROR(__xludf.DUMMYFUNCTION("IF(REGEXMATCH(LOWER(G528), ""^(\?)+\s*(missing)?\s*(\?)*$""), """", PROPER(SUBSTITUTE(SUBSTITUTE(G528, ""?"", """"), ""*"", """")))"),"Hand Warmer Union Jack")</f>
        <v>Hand Warmer Union Jack</v>
      </c>
      <c r="I528" s="3">
        <v>1.0</v>
      </c>
      <c r="J528" s="7">
        <v>40513.489583333336</v>
      </c>
      <c r="K528" s="8" t="str">
        <f t="shared" si="4"/>
        <v>2010-12</v>
      </c>
      <c r="L528" s="5">
        <v>2.1</v>
      </c>
      <c r="M528" s="3">
        <v>17908.0</v>
      </c>
      <c r="N528" s="1" t="str">
        <f t="shared" si="5"/>
        <v>Registered</v>
      </c>
      <c r="O528" s="1" t="s">
        <v>19</v>
      </c>
      <c r="P528" s="9" t="str">
        <f t="shared" si="6"/>
        <v>UK</v>
      </c>
      <c r="Q528" s="8">
        <f t="shared" si="7"/>
        <v>2.1</v>
      </c>
    </row>
    <row r="529">
      <c r="A529" s="1">
        <v>536409.0</v>
      </c>
      <c r="B529" s="1" t="str">
        <f t="shared" si="1"/>
        <v>536409</v>
      </c>
      <c r="C529" s="1" t="str">
        <f t="shared" si="2"/>
        <v>Sale</v>
      </c>
      <c r="D529" s="1">
        <v>22866.0</v>
      </c>
      <c r="E529" s="1" t="str">
        <f>IFERROR(__xludf.DUMMYFUNCTION("IF(LEN(D529)&gt;4, IFERROR(REGEXEXTRACT(TO_TEXT(D529),""\d+""),""""),"""")"),"22866")</f>
        <v>22866</v>
      </c>
      <c r="F529" s="6" t="str">
        <f t="shared" si="3"/>
        <v>Product</v>
      </c>
      <c r="G529" s="1" t="s">
        <v>246</v>
      </c>
      <c r="H529" s="6" t="str">
        <f>IFERROR(__xludf.DUMMYFUNCTION("IF(REGEXMATCH(LOWER(G529), ""^(\?)+\s*(missing)?\s*(\?)*$""), """", PROPER(SUBSTITUTE(SUBSTITUTE(G529, ""?"", """"), ""*"", """")))"),"Hand Warmer Scotty Dog Design")</f>
        <v>Hand Warmer Scotty Dog Design</v>
      </c>
      <c r="I529" s="3">
        <v>1.0</v>
      </c>
      <c r="J529" s="7">
        <v>40513.489583333336</v>
      </c>
      <c r="K529" s="8" t="str">
        <f t="shared" si="4"/>
        <v>2010-12</v>
      </c>
      <c r="L529" s="5">
        <v>2.1</v>
      </c>
      <c r="M529" s="3">
        <v>17908.0</v>
      </c>
      <c r="N529" s="1" t="str">
        <f t="shared" si="5"/>
        <v>Registered</v>
      </c>
      <c r="O529" s="1" t="s">
        <v>19</v>
      </c>
      <c r="P529" s="9" t="str">
        <f t="shared" si="6"/>
        <v>UK</v>
      </c>
      <c r="Q529" s="8">
        <f t="shared" si="7"/>
        <v>2.1</v>
      </c>
    </row>
    <row r="530">
      <c r="A530" s="1">
        <v>536409.0</v>
      </c>
      <c r="B530" s="1" t="str">
        <f t="shared" si="1"/>
        <v>536409</v>
      </c>
      <c r="C530" s="1" t="str">
        <f t="shared" si="2"/>
        <v>Sale</v>
      </c>
      <c r="D530" s="1">
        <v>22198.0</v>
      </c>
      <c r="E530" s="1" t="str">
        <f>IFERROR(__xludf.DUMMYFUNCTION("IF(LEN(D530)&gt;4, IFERROR(REGEXEXTRACT(TO_TEXT(D530),""\d+""),""""),"""")"),"22198")</f>
        <v>22198</v>
      </c>
      <c r="F530" s="6" t="str">
        <f t="shared" si="3"/>
        <v>Product</v>
      </c>
      <c r="G530" s="1" t="s">
        <v>218</v>
      </c>
      <c r="H530" s="6" t="str">
        <f>IFERROR(__xludf.DUMMYFUNCTION("IF(REGEXMATCH(LOWER(G530), ""^(\?)+\s*(missing)?\s*(\?)*$""), """", PROPER(SUBSTITUTE(SUBSTITUTE(G530, ""?"", """"), ""*"", """")))"),"Large Popcorn Holder")</f>
        <v>Large Popcorn Holder</v>
      </c>
      <c r="I530" s="3">
        <v>1.0</v>
      </c>
      <c r="J530" s="7">
        <v>40513.489583333336</v>
      </c>
      <c r="K530" s="8" t="str">
        <f t="shared" si="4"/>
        <v>2010-12</v>
      </c>
      <c r="L530" s="5">
        <v>1.65</v>
      </c>
      <c r="M530" s="3">
        <v>17908.0</v>
      </c>
      <c r="N530" s="1" t="str">
        <f t="shared" si="5"/>
        <v>Registered</v>
      </c>
      <c r="O530" s="1" t="s">
        <v>19</v>
      </c>
      <c r="P530" s="9" t="str">
        <f t="shared" si="6"/>
        <v>UK</v>
      </c>
      <c r="Q530" s="8">
        <f t="shared" si="7"/>
        <v>1.65</v>
      </c>
    </row>
    <row r="531">
      <c r="A531" s="1">
        <v>536409.0</v>
      </c>
      <c r="B531" s="1" t="str">
        <f t="shared" si="1"/>
        <v>536409</v>
      </c>
      <c r="C531" s="1" t="str">
        <f t="shared" si="2"/>
        <v>Sale</v>
      </c>
      <c r="D531" s="1">
        <v>21824.0</v>
      </c>
      <c r="E531" s="1" t="str">
        <f>IFERROR(__xludf.DUMMYFUNCTION("IF(LEN(D531)&gt;4, IFERROR(REGEXEXTRACT(TO_TEXT(D531),""\d+""),""""),"""")"),"21824")</f>
        <v>21824</v>
      </c>
      <c r="F531" s="6" t="str">
        <f t="shared" si="3"/>
        <v>Product</v>
      </c>
      <c r="G531" s="1" t="s">
        <v>425</v>
      </c>
      <c r="H531" s="6" t="str">
        <f>IFERROR(__xludf.DUMMYFUNCTION("IF(REGEXMATCH(LOWER(G531), ""^(\?)+\s*(missing)?\s*(\?)*$""), """", PROPER(SUBSTITUTE(SUBSTITUTE(G531, ""?"", """"), ""*"", """")))"),"Painted Metal Star With Holly Bells")</f>
        <v>Painted Metal Star With Holly Bells</v>
      </c>
      <c r="I531" s="3">
        <v>3.0</v>
      </c>
      <c r="J531" s="7">
        <v>40513.489583333336</v>
      </c>
      <c r="K531" s="8" t="str">
        <f t="shared" si="4"/>
        <v>2010-12</v>
      </c>
      <c r="L531" s="5">
        <v>1.45</v>
      </c>
      <c r="M531" s="3">
        <v>17908.0</v>
      </c>
      <c r="N531" s="1" t="str">
        <f t="shared" si="5"/>
        <v>Registered</v>
      </c>
      <c r="O531" s="1" t="s">
        <v>19</v>
      </c>
      <c r="P531" s="9" t="str">
        <f t="shared" si="6"/>
        <v>UK</v>
      </c>
      <c r="Q531" s="8">
        <f t="shared" si="7"/>
        <v>4.35</v>
      </c>
    </row>
    <row r="532">
      <c r="A532" s="1">
        <v>536409.0</v>
      </c>
      <c r="B532" s="1" t="str">
        <f t="shared" si="1"/>
        <v>536409</v>
      </c>
      <c r="C532" s="1" t="str">
        <f t="shared" si="2"/>
        <v>Sale</v>
      </c>
      <c r="D532" s="1">
        <v>21823.0</v>
      </c>
      <c r="E532" s="1" t="str">
        <f>IFERROR(__xludf.DUMMYFUNCTION("IF(LEN(D532)&gt;4, IFERROR(REGEXEXTRACT(TO_TEXT(D532),""\d+""),""""),"""")"),"21823")</f>
        <v>21823</v>
      </c>
      <c r="F532" s="6" t="str">
        <f t="shared" si="3"/>
        <v>Product</v>
      </c>
      <c r="G532" s="1" t="s">
        <v>426</v>
      </c>
      <c r="H532" s="6" t="str">
        <f>IFERROR(__xludf.DUMMYFUNCTION("IF(REGEXMATCH(LOWER(G532), ""^(\?)+\s*(missing)?\s*(\?)*$""), """", PROPER(SUBSTITUTE(SUBSTITUTE(G532, ""?"", """"), ""*"", """")))"),"Painted Metal Heart With Holly Bell")</f>
        <v>Painted Metal Heart With Holly Bell</v>
      </c>
      <c r="I532" s="3">
        <v>3.0</v>
      </c>
      <c r="J532" s="7">
        <v>40513.489583333336</v>
      </c>
      <c r="K532" s="8" t="str">
        <f t="shared" si="4"/>
        <v>2010-12</v>
      </c>
      <c r="L532" s="5">
        <v>1.45</v>
      </c>
      <c r="M532" s="3">
        <v>17908.0</v>
      </c>
      <c r="N532" s="1" t="str">
        <f t="shared" si="5"/>
        <v>Registered</v>
      </c>
      <c r="O532" s="1" t="s">
        <v>19</v>
      </c>
      <c r="P532" s="9" t="str">
        <f t="shared" si="6"/>
        <v>UK</v>
      </c>
      <c r="Q532" s="8">
        <f t="shared" si="7"/>
        <v>4.35</v>
      </c>
    </row>
    <row r="533">
      <c r="A533" s="1">
        <v>536409.0</v>
      </c>
      <c r="B533" s="1" t="str">
        <f t="shared" si="1"/>
        <v>536409</v>
      </c>
      <c r="C533" s="1" t="str">
        <f t="shared" si="2"/>
        <v>Sale</v>
      </c>
      <c r="D533" s="1">
        <v>22153.0</v>
      </c>
      <c r="E533" s="1" t="str">
        <f>IFERROR(__xludf.DUMMYFUNCTION("IF(LEN(D533)&gt;4, IFERROR(REGEXEXTRACT(TO_TEXT(D533),""\d+""),""""),"""")"),"22153")</f>
        <v>22153</v>
      </c>
      <c r="F533" s="6" t="str">
        <f t="shared" si="3"/>
        <v>Product</v>
      </c>
      <c r="G533" s="1" t="s">
        <v>427</v>
      </c>
      <c r="H533" s="6" t="str">
        <f>IFERROR(__xludf.DUMMYFUNCTION("IF(REGEXMATCH(LOWER(G533), ""^(\?)+\s*(missing)?\s*(\?)*$""), """", PROPER(SUBSTITUTE(SUBSTITUTE(G533, ""?"", """"), ""*"", """")))"),"Angel Decoration Stars On Dress")</f>
        <v>Angel Decoration Stars On Dress</v>
      </c>
      <c r="I533" s="3">
        <v>6.0</v>
      </c>
      <c r="J533" s="7">
        <v>40513.489583333336</v>
      </c>
      <c r="K533" s="8" t="str">
        <f t="shared" si="4"/>
        <v>2010-12</v>
      </c>
      <c r="L533" s="5">
        <v>0.42</v>
      </c>
      <c r="M533" s="3">
        <v>17908.0</v>
      </c>
      <c r="N533" s="1" t="str">
        <f t="shared" si="5"/>
        <v>Registered</v>
      </c>
      <c r="O533" s="1" t="s">
        <v>19</v>
      </c>
      <c r="P533" s="9" t="str">
        <f t="shared" si="6"/>
        <v>UK</v>
      </c>
      <c r="Q533" s="8">
        <f t="shared" si="7"/>
        <v>2.52</v>
      </c>
    </row>
    <row r="534">
      <c r="A534" s="1">
        <v>536409.0</v>
      </c>
      <c r="B534" s="1" t="str">
        <f t="shared" si="1"/>
        <v>536409</v>
      </c>
      <c r="C534" s="1" t="str">
        <f t="shared" si="2"/>
        <v>Sale</v>
      </c>
      <c r="D534" s="1">
        <v>22197.0</v>
      </c>
      <c r="E534" s="1" t="str">
        <f>IFERROR(__xludf.DUMMYFUNCTION("IF(LEN(D534)&gt;4, IFERROR(REGEXEXTRACT(TO_TEXT(D534),""\d+""),""""),"""")"),"22197")</f>
        <v>22197</v>
      </c>
      <c r="F534" s="6" t="str">
        <f t="shared" si="3"/>
        <v>Product</v>
      </c>
      <c r="G534" s="1" t="s">
        <v>217</v>
      </c>
      <c r="H534" s="6" t="str">
        <f>IFERROR(__xludf.DUMMYFUNCTION("IF(REGEXMATCH(LOWER(G534), ""^(\?)+\s*(missing)?\s*(\?)*$""), """", PROPER(SUBSTITUTE(SUBSTITUTE(G534, ""?"", """"), ""*"", """")))"),"Small Popcorn Holder")</f>
        <v>Small Popcorn Holder</v>
      </c>
      <c r="I534" s="3">
        <v>2.0</v>
      </c>
      <c r="J534" s="7">
        <v>40513.489583333336</v>
      </c>
      <c r="K534" s="8" t="str">
        <f t="shared" si="4"/>
        <v>2010-12</v>
      </c>
      <c r="L534" s="5">
        <v>0.85</v>
      </c>
      <c r="M534" s="3">
        <v>17908.0</v>
      </c>
      <c r="N534" s="1" t="str">
        <f t="shared" si="5"/>
        <v>Registered</v>
      </c>
      <c r="O534" s="1" t="s">
        <v>19</v>
      </c>
      <c r="P534" s="9" t="str">
        <f t="shared" si="6"/>
        <v>UK</v>
      </c>
      <c r="Q534" s="8">
        <f t="shared" si="7"/>
        <v>1.7</v>
      </c>
    </row>
    <row r="535">
      <c r="A535" s="1">
        <v>536409.0</v>
      </c>
      <c r="B535" s="1" t="str">
        <f t="shared" si="1"/>
        <v>536409</v>
      </c>
      <c r="C535" s="1" t="str">
        <f t="shared" si="2"/>
        <v>Sale</v>
      </c>
      <c r="D535" s="1" t="s">
        <v>181</v>
      </c>
      <c r="E535" s="1" t="str">
        <f>IFERROR(__xludf.DUMMYFUNCTION("IF(LEN(D535)&gt;4, IFERROR(REGEXEXTRACT(TO_TEXT(D535),""\d+""),""""),"""")"),"85099")</f>
        <v>85099</v>
      </c>
      <c r="F535" s="6" t="str">
        <f t="shared" si="3"/>
        <v>Product</v>
      </c>
      <c r="G535" s="1" t="s">
        <v>182</v>
      </c>
      <c r="H535" s="6" t="str">
        <f>IFERROR(__xludf.DUMMYFUNCTION("IF(REGEXMATCH(LOWER(G535), ""^(\?)+\s*(missing)?\s*(\?)*$""), """", PROPER(SUBSTITUTE(SUBSTITUTE(G535, ""?"", """"), ""*"", """")))"),"Jumbo Bag Red Retrospot")</f>
        <v>Jumbo Bag Red Retrospot</v>
      </c>
      <c r="I535" s="3">
        <v>2.0</v>
      </c>
      <c r="J535" s="7">
        <v>40513.489583333336</v>
      </c>
      <c r="K535" s="8" t="str">
        <f t="shared" si="4"/>
        <v>2010-12</v>
      </c>
      <c r="L535" s="5">
        <v>1.95</v>
      </c>
      <c r="M535" s="3">
        <v>17908.0</v>
      </c>
      <c r="N535" s="1" t="str">
        <f t="shared" si="5"/>
        <v>Registered</v>
      </c>
      <c r="O535" s="1" t="s">
        <v>19</v>
      </c>
      <c r="P535" s="9" t="str">
        <f t="shared" si="6"/>
        <v>UK</v>
      </c>
      <c r="Q535" s="8">
        <f t="shared" si="7"/>
        <v>3.9</v>
      </c>
    </row>
    <row r="536">
      <c r="A536" s="1">
        <v>536409.0</v>
      </c>
      <c r="B536" s="1" t="str">
        <f t="shared" si="1"/>
        <v>536409</v>
      </c>
      <c r="C536" s="1" t="str">
        <f t="shared" si="2"/>
        <v>Sale</v>
      </c>
      <c r="D536" s="1" t="s">
        <v>428</v>
      </c>
      <c r="E536" s="1" t="str">
        <f>IFERROR(__xludf.DUMMYFUNCTION("IF(LEN(D536)&gt;4, IFERROR(REGEXEXTRACT(TO_TEXT(D536),""\d+""),""""),"""")"),"85099")</f>
        <v>85099</v>
      </c>
      <c r="F536" s="6" t="str">
        <f t="shared" si="3"/>
        <v>Product</v>
      </c>
      <c r="G536" s="1" t="s">
        <v>429</v>
      </c>
      <c r="H536" s="6" t="str">
        <f>IFERROR(__xludf.DUMMYFUNCTION("IF(REGEXMATCH(LOWER(G536), ""^(\?)+\s*(missing)?\s*(\?)*$""), """", PROPER(SUBSTITUTE(SUBSTITUTE(G536, ""?"", """"), ""*"", """")))"),"Jumbo Bag Strawberry")</f>
        <v>Jumbo Bag Strawberry</v>
      </c>
      <c r="I536" s="3">
        <v>1.0</v>
      </c>
      <c r="J536" s="7">
        <v>40513.489583333336</v>
      </c>
      <c r="K536" s="8" t="str">
        <f t="shared" si="4"/>
        <v>2010-12</v>
      </c>
      <c r="L536" s="5">
        <v>1.95</v>
      </c>
      <c r="M536" s="3">
        <v>17908.0</v>
      </c>
      <c r="N536" s="1" t="str">
        <f t="shared" si="5"/>
        <v>Registered</v>
      </c>
      <c r="O536" s="1" t="s">
        <v>19</v>
      </c>
      <c r="P536" s="9" t="str">
        <f t="shared" si="6"/>
        <v>UK</v>
      </c>
      <c r="Q536" s="8">
        <f t="shared" si="7"/>
        <v>1.95</v>
      </c>
    </row>
    <row r="537">
      <c r="A537" s="1">
        <v>536409.0</v>
      </c>
      <c r="B537" s="1" t="str">
        <f t="shared" si="1"/>
        <v>536409</v>
      </c>
      <c r="C537" s="1" t="str">
        <f t="shared" si="2"/>
        <v>Sale</v>
      </c>
      <c r="D537" s="1">
        <v>20717.0</v>
      </c>
      <c r="E537" s="1" t="str">
        <f>IFERROR(__xludf.DUMMYFUNCTION("IF(LEN(D537)&gt;4, IFERROR(REGEXEXTRACT(TO_TEXT(D537),""\d+""),""""),"""")"),"20717")</f>
        <v>20717</v>
      </c>
      <c r="F537" s="6" t="str">
        <f t="shared" si="3"/>
        <v>Product</v>
      </c>
      <c r="G537" s="1" t="s">
        <v>430</v>
      </c>
      <c r="H537" s="6" t="str">
        <f>IFERROR(__xludf.DUMMYFUNCTION("IF(REGEXMATCH(LOWER(G537), ""^(\?)+\s*(missing)?\s*(\?)*$""), """", PROPER(SUBSTITUTE(SUBSTITUTE(G537, ""?"", """"), ""*"", """")))"),"Strawberry Shopper Bag")</f>
        <v>Strawberry Shopper Bag</v>
      </c>
      <c r="I537" s="3">
        <v>1.0</v>
      </c>
      <c r="J537" s="7">
        <v>40513.489583333336</v>
      </c>
      <c r="K537" s="8" t="str">
        <f t="shared" si="4"/>
        <v>2010-12</v>
      </c>
      <c r="L537" s="5">
        <v>1.25</v>
      </c>
      <c r="M537" s="3">
        <v>17908.0</v>
      </c>
      <c r="N537" s="1" t="str">
        <f t="shared" si="5"/>
        <v>Registered</v>
      </c>
      <c r="O537" s="1" t="s">
        <v>19</v>
      </c>
      <c r="P537" s="9" t="str">
        <f t="shared" si="6"/>
        <v>UK</v>
      </c>
      <c r="Q537" s="8">
        <f t="shared" si="7"/>
        <v>1.25</v>
      </c>
    </row>
    <row r="538">
      <c r="A538" s="1">
        <v>536409.0</v>
      </c>
      <c r="B538" s="1" t="str">
        <f t="shared" si="1"/>
        <v>536409</v>
      </c>
      <c r="C538" s="1" t="str">
        <f t="shared" si="2"/>
        <v>Sale</v>
      </c>
      <c r="D538" s="1">
        <v>20723.0</v>
      </c>
      <c r="E538" s="1" t="str">
        <f>IFERROR(__xludf.DUMMYFUNCTION("IF(LEN(D538)&gt;4, IFERROR(REGEXEXTRACT(TO_TEXT(D538),""\d+""),""""),"""")"),"20723")</f>
        <v>20723</v>
      </c>
      <c r="F538" s="6" t="str">
        <f t="shared" si="3"/>
        <v>Product</v>
      </c>
      <c r="G538" s="1" t="s">
        <v>88</v>
      </c>
      <c r="H538" s="6" t="str">
        <f>IFERROR(__xludf.DUMMYFUNCTION("IF(REGEXMATCH(LOWER(G538), ""^(\?)+\s*(missing)?\s*(\?)*$""), """", PROPER(SUBSTITUTE(SUBSTITUTE(G538, ""?"", """"), ""*"", """")))"),"Strawberry Charlotte Bag")</f>
        <v>Strawberry Charlotte Bag</v>
      </c>
      <c r="I538" s="3">
        <v>1.0</v>
      </c>
      <c r="J538" s="7">
        <v>40513.489583333336</v>
      </c>
      <c r="K538" s="8" t="str">
        <f t="shared" si="4"/>
        <v>2010-12</v>
      </c>
      <c r="L538" s="5">
        <v>0.85</v>
      </c>
      <c r="M538" s="3">
        <v>17908.0</v>
      </c>
      <c r="N538" s="1" t="str">
        <f t="shared" si="5"/>
        <v>Registered</v>
      </c>
      <c r="O538" s="1" t="s">
        <v>19</v>
      </c>
      <c r="P538" s="9" t="str">
        <f t="shared" si="6"/>
        <v>UK</v>
      </c>
      <c r="Q538" s="8">
        <f t="shared" si="7"/>
        <v>0.85</v>
      </c>
    </row>
    <row r="539">
      <c r="A539" s="1">
        <v>536409.0</v>
      </c>
      <c r="B539" s="1" t="str">
        <f t="shared" si="1"/>
        <v>536409</v>
      </c>
      <c r="C539" s="1" t="str">
        <f t="shared" si="2"/>
        <v>Sale</v>
      </c>
      <c r="D539" s="1">
        <v>22900.0</v>
      </c>
      <c r="E539" s="1" t="str">
        <f>IFERROR(__xludf.DUMMYFUNCTION("IF(LEN(D539)&gt;4, IFERROR(REGEXEXTRACT(TO_TEXT(D539),""\d+""),""""),"""")"),"22900")</f>
        <v>22900</v>
      </c>
      <c r="F539" s="6" t="str">
        <f t="shared" si="3"/>
        <v>Product</v>
      </c>
      <c r="G539" s="1" t="s">
        <v>63</v>
      </c>
      <c r="H539" s="6" t="str">
        <f>IFERROR(__xludf.DUMMYFUNCTION("IF(REGEXMATCH(LOWER(G539), ""^(\?)+\s*(missing)?\s*(\?)*$""), """", PROPER(SUBSTITUTE(SUBSTITUTE(G539, ""?"", """"), ""*"", """")))"),"Set 2 Tea Towels I Love London")</f>
        <v>Set 2 Tea Towels I Love London</v>
      </c>
      <c r="I539" s="3">
        <v>1.0</v>
      </c>
      <c r="J539" s="7">
        <v>40513.489583333336</v>
      </c>
      <c r="K539" s="8" t="str">
        <f t="shared" si="4"/>
        <v>2010-12</v>
      </c>
      <c r="L539" s="5">
        <v>2.95</v>
      </c>
      <c r="M539" s="3">
        <v>17908.0</v>
      </c>
      <c r="N539" s="1" t="str">
        <f t="shared" si="5"/>
        <v>Registered</v>
      </c>
      <c r="O539" s="1" t="s">
        <v>19</v>
      </c>
      <c r="P539" s="9" t="str">
        <f t="shared" si="6"/>
        <v>UK</v>
      </c>
      <c r="Q539" s="8">
        <f t="shared" si="7"/>
        <v>2.95</v>
      </c>
    </row>
    <row r="540">
      <c r="A540" s="1">
        <v>536409.0</v>
      </c>
      <c r="B540" s="1" t="str">
        <f t="shared" si="1"/>
        <v>536409</v>
      </c>
      <c r="C540" s="1" t="str">
        <f t="shared" si="2"/>
        <v>Sale</v>
      </c>
      <c r="D540" s="1">
        <v>21980.0</v>
      </c>
      <c r="E540" s="1" t="str">
        <f>IFERROR(__xludf.DUMMYFUNCTION("IF(LEN(D540)&gt;4, IFERROR(REGEXEXTRACT(TO_TEXT(D540),""\d+""),""""),"""")"),"21980")</f>
        <v>21980</v>
      </c>
      <c r="F540" s="6" t="str">
        <f t="shared" si="3"/>
        <v>Product</v>
      </c>
      <c r="G540" s="1" t="s">
        <v>231</v>
      </c>
      <c r="H540" s="6" t="str">
        <f>IFERROR(__xludf.DUMMYFUNCTION("IF(REGEXMATCH(LOWER(G540), ""^(\?)+\s*(missing)?\s*(\?)*$""), """", PROPER(SUBSTITUTE(SUBSTITUTE(G540, ""?"", """"), ""*"", """")))"),"Pack Of 12 Red Retrospot Tissues")</f>
        <v>Pack Of 12 Red Retrospot Tissues</v>
      </c>
      <c r="I540" s="3">
        <v>12.0</v>
      </c>
      <c r="J540" s="7">
        <v>40513.489583333336</v>
      </c>
      <c r="K540" s="8" t="str">
        <f t="shared" si="4"/>
        <v>2010-12</v>
      </c>
      <c r="L540" s="5">
        <v>0.29</v>
      </c>
      <c r="M540" s="3">
        <v>17908.0</v>
      </c>
      <c r="N540" s="1" t="str">
        <f t="shared" si="5"/>
        <v>Registered</v>
      </c>
      <c r="O540" s="1" t="s">
        <v>19</v>
      </c>
      <c r="P540" s="9" t="str">
        <f t="shared" si="6"/>
        <v>UK</v>
      </c>
      <c r="Q540" s="8">
        <f t="shared" si="7"/>
        <v>3.48</v>
      </c>
    </row>
    <row r="541">
      <c r="A541" s="1">
        <v>536409.0</v>
      </c>
      <c r="B541" s="1" t="str">
        <f t="shared" si="1"/>
        <v>536409</v>
      </c>
      <c r="C541" s="1" t="str">
        <f t="shared" si="2"/>
        <v>Sale</v>
      </c>
      <c r="D541" s="1">
        <v>22111.0</v>
      </c>
      <c r="E541" s="1" t="str">
        <f>IFERROR(__xludf.DUMMYFUNCTION("IF(LEN(D541)&gt;4, IFERROR(REGEXEXTRACT(TO_TEXT(D541),""\d+""),""""),"""")"),"22111")</f>
        <v>22111</v>
      </c>
      <c r="F541" s="6" t="str">
        <f t="shared" si="3"/>
        <v>Product</v>
      </c>
      <c r="G541" s="1" t="s">
        <v>270</v>
      </c>
      <c r="H541" s="6" t="str">
        <f>IFERROR(__xludf.DUMMYFUNCTION("IF(REGEXMATCH(LOWER(G541), ""^(\?)+\s*(missing)?\s*(\?)*$""), """", PROPER(SUBSTITUTE(SUBSTITUTE(G541, ""?"", """"), ""*"", """")))"),"Scottie Dog Hot Water Bottle")</f>
        <v>Scottie Dog Hot Water Bottle</v>
      </c>
      <c r="I541" s="3">
        <v>1.0</v>
      </c>
      <c r="J541" s="7">
        <v>40513.489583333336</v>
      </c>
      <c r="K541" s="8" t="str">
        <f t="shared" si="4"/>
        <v>2010-12</v>
      </c>
      <c r="L541" s="5">
        <v>4.95</v>
      </c>
      <c r="M541" s="3">
        <v>17908.0</v>
      </c>
      <c r="N541" s="1" t="str">
        <f t="shared" si="5"/>
        <v>Registered</v>
      </c>
      <c r="O541" s="1" t="s">
        <v>19</v>
      </c>
      <c r="P541" s="9" t="str">
        <f t="shared" si="6"/>
        <v>UK</v>
      </c>
      <c r="Q541" s="8">
        <f t="shared" si="7"/>
        <v>4.95</v>
      </c>
    </row>
    <row r="542">
      <c r="A542" s="1">
        <v>536409.0</v>
      </c>
      <c r="B542" s="1" t="str">
        <f t="shared" si="1"/>
        <v>536409</v>
      </c>
      <c r="C542" s="1" t="str">
        <f t="shared" si="2"/>
        <v>Sale</v>
      </c>
      <c r="D542" s="1">
        <v>22112.0</v>
      </c>
      <c r="E542" s="1" t="str">
        <f>IFERROR(__xludf.DUMMYFUNCTION("IF(LEN(D542)&gt;4, IFERROR(REGEXEXTRACT(TO_TEXT(D542),""\d+""),""""),"""")"),"22112")</f>
        <v>22112</v>
      </c>
      <c r="F542" s="6" t="str">
        <f t="shared" si="3"/>
        <v>Product</v>
      </c>
      <c r="G542" s="1" t="s">
        <v>268</v>
      </c>
      <c r="H542" s="6" t="str">
        <f>IFERROR(__xludf.DUMMYFUNCTION("IF(REGEXMATCH(LOWER(G542), ""^(\?)+\s*(missing)?\s*(\?)*$""), """", PROPER(SUBSTITUTE(SUBSTITUTE(G542, ""?"", """"), ""*"", """")))"),"Chocolate Hot Water Bottle")</f>
        <v>Chocolate Hot Water Bottle</v>
      </c>
      <c r="I542" s="3">
        <v>1.0</v>
      </c>
      <c r="J542" s="7">
        <v>40513.489583333336</v>
      </c>
      <c r="K542" s="8" t="str">
        <f t="shared" si="4"/>
        <v>2010-12</v>
      </c>
      <c r="L542" s="5">
        <v>4.95</v>
      </c>
      <c r="M542" s="3">
        <v>17908.0</v>
      </c>
      <c r="N542" s="1" t="str">
        <f t="shared" si="5"/>
        <v>Registered</v>
      </c>
      <c r="O542" s="1" t="s">
        <v>19</v>
      </c>
      <c r="P542" s="9" t="str">
        <f t="shared" si="6"/>
        <v>UK</v>
      </c>
      <c r="Q542" s="8">
        <f t="shared" si="7"/>
        <v>4.95</v>
      </c>
    </row>
    <row r="543">
      <c r="A543" s="1">
        <v>536412.0</v>
      </c>
      <c r="B543" s="1" t="str">
        <f t="shared" si="1"/>
        <v>536412</v>
      </c>
      <c r="C543" s="1" t="str">
        <f t="shared" si="2"/>
        <v>Sale</v>
      </c>
      <c r="D543" s="1">
        <v>20728.0</v>
      </c>
      <c r="E543" s="1" t="str">
        <f>IFERROR(__xludf.DUMMYFUNCTION("IF(LEN(D543)&gt;4, IFERROR(REGEXEXTRACT(TO_TEXT(D543),""\d+""),""""),"""")"),"20728")</f>
        <v>20728</v>
      </c>
      <c r="F543" s="6" t="str">
        <f t="shared" si="3"/>
        <v>Product</v>
      </c>
      <c r="G543" s="1" t="s">
        <v>356</v>
      </c>
      <c r="H543" s="6" t="str">
        <f>IFERROR(__xludf.DUMMYFUNCTION("IF(REGEXMATCH(LOWER(G543), ""^(\?)+\s*(missing)?\s*(\?)*$""), """", PROPER(SUBSTITUTE(SUBSTITUTE(G543, ""?"", """"), ""*"", """")))"),"Lunch Bag Cars Blue")</f>
        <v>Lunch Bag Cars Blue</v>
      </c>
      <c r="I543" s="3">
        <v>3.0</v>
      </c>
      <c r="J543" s="7">
        <v>40513.49236111111</v>
      </c>
      <c r="K543" s="8" t="str">
        <f t="shared" si="4"/>
        <v>2010-12</v>
      </c>
      <c r="L543" s="5">
        <v>1.65</v>
      </c>
      <c r="M543" s="3">
        <v>17920.0</v>
      </c>
      <c r="N543" s="1" t="str">
        <f t="shared" si="5"/>
        <v>Registered</v>
      </c>
      <c r="O543" s="1" t="s">
        <v>19</v>
      </c>
      <c r="P543" s="9" t="str">
        <f t="shared" si="6"/>
        <v>UK</v>
      </c>
      <c r="Q543" s="8">
        <f t="shared" si="7"/>
        <v>4.95</v>
      </c>
    </row>
    <row r="544">
      <c r="A544" s="1">
        <v>536412.0</v>
      </c>
      <c r="B544" s="1" t="str">
        <f t="shared" si="1"/>
        <v>536412</v>
      </c>
      <c r="C544" s="1" t="str">
        <f t="shared" si="2"/>
        <v>Sale</v>
      </c>
      <c r="D544" s="1">
        <v>22382.0</v>
      </c>
      <c r="E544" s="1" t="str">
        <f>IFERROR(__xludf.DUMMYFUNCTION("IF(LEN(D544)&gt;4, IFERROR(REGEXEXTRACT(TO_TEXT(D544),""\d+""),""""),"""")"),"22382")</f>
        <v>22382</v>
      </c>
      <c r="F544" s="6" t="str">
        <f t="shared" si="3"/>
        <v>Product</v>
      </c>
      <c r="G544" s="1" t="s">
        <v>320</v>
      </c>
      <c r="H544" s="6" t="str">
        <f>IFERROR(__xludf.DUMMYFUNCTION("IF(REGEXMATCH(LOWER(G544), ""^(\?)+\s*(missing)?\s*(\?)*$""), """", PROPER(SUBSTITUTE(SUBSTITUTE(G544, ""?"", """"), ""*"", """")))"),"Lunch Bag Spaceboy Design")</f>
        <v>Lunch Bag Spaceboy Design</v>
      </c>
      <c r="I544" s="3">
        <v>3.0</v>
      </c>
      <c r="J544" s="7">
        <v>40513.49236111111</v>
      </c>
      <c r="K544" s="8" t="str">
        <f t="shared" si="4"/>
        <v>2010-12</v>
      </c>
      <c r="L544" s="5">
        <v>1.65</v>
      </c>
      <c r="M544" s="3">
        <v>17920.0</v>
      </c>
      <c r="N544" s="1" t="str">
        <f t="shared" si="5"/>
        <v>Registered</v>
      </c>
      <c r="O544" s="1" t="s">
        <v>19</v>
      </c>
      <c r="P544" s="9" t="str">
        <f t="shared" si="6"/>
        <v>UK</v>
      </c>
      <c r="Q544" s="8">
        <f t="shared" si="7"/>
        <v>4.95</v>
      </c>
    </row>
    <row r="545">
      <c r="A545" s="1">
        <v>536412.0</v>
      </c>
      <c r="B545" s="1" t="str">
        <f t="shared" si="1"/>
        <v>536412</v>
      </c>
      <c r="C545" s="1" t="str">
        <f t="shared" si="2"/>
        <v>Sale</v>
      </c>
      <c r="D545" s="1">
        <v>22326.0</v>
      </c>
      <c r="E545" s="1" t="str">
        <f>IFERROR(__xludf.DUMMYFUNCTION("IF(LEN(D545)&gt;4, IFERROR(REGEXEXTRACT(TO_TEXT(D545),""\d+""),""""),"""")"),"22326")</f>
        <v>22326</v>
      </c>
      <c r="F545" s="6" t="str">
        <f t="shared" si="3"/>
        <v>Product</v>
      </c>
      <c r="G545" s="1" t="s">
        <v>57</v>
      </c>
      <c r="H545" s="6" t="str">
        <f>IFERROR(__xludf.DUMMYFUNCTION("IF(REGEXMATCH(LOWER(G545), ""^(\?)+\s*(missing)?\s*(\?)*$""), """", PROPER(SUBSTITUTE(SUBSTITUTE(G545, ""?"", """"), ""*"", """")))"),"Round Snack Boxes Set Of4 Woodland")</f>
        <v>Round Snack Boxes Set Of4 Woodland</v>
      </c>
      <c r="I545" s="3">
        <v>1.0</v>
      </c>
      <c r="J545" s="7">
        <v>40513.49236111111</v>
      </c>
      <c r="K545" s="8" t="str">
        <f t="shared" si="4"/>
        <v>2010-12</v>
      </c>
      <c r="L545" s="5">
        <v>2.95</v>
      </c>
      <c r="M545" s="3">
        <v>17920.0</v>
      </c>
      <c r="N545" s="1" t="str">
        <f t="shared" si="5"/>
        <v>Registered</v>
      </c>
      <c r="O545" s="1" t="s">
        <v>19</v>
      </c>
      <c r="P545" s="9" t="str">
        <f t="shared" si="6"/>
        <v>UK</v>
      </c>
      <c r="Q545" s="8">
        <f t="shared" si="7"/>
        <v>2.95</v>
      </c>
    </row>
    <row r="546">
      <c r="A546" s="1">
        <v>536412.0</v>
      </c>
      <c r="B546" s="1" t="str">
        <f t="shared" si="1"/>
        <v>536412</v>
      </c>
      <c r="C546" s="1" t="str">
        <f t="shared" si="2"/>
        <v>Sale</v>
      </c>
      <c r="D546" s="1">
        <v>22662.0</v>
      </c>
      <c r="E546" s="1" t="str">
        <f>IFERROR(__xludf.DUMMYFUNCTION("IF(LEN(D546)&gt;4, IFERROR(REGEXEXTRACT(TO_TEXT(D546),""\d+""),""""),"""")"),"22662")</f>
        <v>22662</v>
      </c>
      <c r="F546" s="6" t="str">
        <f t="shared" si="3"/>
        <v>Product</v>
      </c>
      <c r="G546" s="1" t="s">
        <v>179</v>
      </c>
      <c r="H546" s="6" t="str">
        <f>IFERROR(__xludf.DUMMYFUNCTION("IF(REGEXMATCH(LOWER(G546), ""^(\?)+\s*(missing)?\s*(\?)*$""), """", PROPER(SUBSTITUTE(SUBSTITUTE(G546, ""?"", """"), ""*"", """")))"),"Lunch Bag Dolly Girl Design")</f>
        <v>Lunch Bag Dolly Girl Design</v>
      </c>
      <c r="I546" s="3">
        <v>4.0</v>
      </c>
      <c r="J546" s="7">
        <v>40513.49236111111</v>
      </c>
      <c r="K546" s="8" t="str">
        <f t="shared" si="4"/>
        <v>2010-12</v>
      </c>
      <c r="L546" s="5">
        <v>1.65</v>
      </c>
      <c r="M546" s="3">
        <v>17920.0</v>
      </c>
      <c r="N546" s="1" t="str">
        <f t="shared" si="5"/>
        <v>Registered</v>
      </c>
      <c r="O546" s="1" t="s">
        <v>19</v>
      </c>
      <c r="P546" s="9" t="str">
        <f t="shared" si="6"/>
        <v>UK</v>
      </c>
      <c r="Q546" s="8">
        <f t="shared" si="7"/>
        <v>6.6</v>
      </c>
    </row>
    <row r="547">
      <c r="A547" s="1">
        <v>536412.0</v>
      </c>
      <c r="B547" s="1" t="str">
        <f t="shared" si="1"/>
        <v>536412</v>
      </c>
      <c r="C547" s="1" t="str">
        <f t="shared" si="2"/>
        <v>Sale</v>
      </c>
      <c r="D547" s="1">
        <v>22383.0</v>
      </c>
      <c r="E547" s="1" t="str">
        <f>IFERROR(__xludf.DUMMYFUNCTION("IF(LEN(D547)&gt;4, IFERROR(REGEXEXTRACT(TO_TEXT(D547),""\d+""),""""),"""")"),"22383")</f>
        <v>22383</v>
      </c>
      <c r="F547" s="6" t="str">
        <f t="shared" si="3"/>
        <v>Product</v>
      </c>
      <c r="G547" s="1" t="s">
        <v>355</v>
      </c>
      <c r="H547" s="6" t="str">
        <f>IFERROR(__xludf.DUMMYFUNCTION("IF(REGEXMATCH(LOWER(G547), ""^(\?)+\s*(missing)?\s*(\?)*$""), """", PROPER(SUBSTITUTE(SUBSTITUTE(G547, ""?"", """"), ""*"", """")))"),"Lunch Bag Suki Design")</f>
        <v>Lunch Bag Suki Design</v>
      </c>
      <c r="I547" s="3">
        <v>3.0</v>
      </c>
      <c r="J547" s="7">
        <v>40513.49236111111</v>
      </c>
      <c r="K547" s="8" t="str">
        <f t="shared" si="4"/>
        <v>2010-12</v>
      </c>
      <c r="L547" s="5">
        <v>1.65</v>
      </c>
      <c r="M547" s="3">
        <v>17920.0</v>
      </c>
      <c r="N547" s="1" t="str">
        <f t="shared" si="5"/>
        <v>Registered</v>
      </c>
      <c r="O547" s="1" t="s">
        <v>19</v>
      </c>
      <c r="P547" s="9" t="str">
        <f t="shared" si="6"/>
        <v>UK</v>
      </c>
      <c r="Q547" s="8">
        <f t="shared" si="7"/>
        <v>4.95</v>
      </c>
    </row>
    <row r="548">
      <c r="A548" s="1">
        <v>536412.0</v>
      </c>
      <c r="B548" s="1" t="str">
        <f t="shared" si="1"/>
        <v>536412</v>
      </c>
      <c r="C548" s="1" t="str">
        <f t="shared" si="2"/>
        <v>Sale</v>
      </c>
      <c r="D548" s="1">
        <v>20727.0</v>
      </c>
      <c r="E548" s="1" t="str">
        <f>IFERROR(__xludf.DUMMYFUNCTION("IF(LEN(D548)&gt;4, IFERROR(REGEXEXTRACT(TO_TEXT(D548),""\d+""),""""),"""")"),"20727")</f>
        <v>20727</v>
      </c>
      <c r="F548" s="6" t="str">
        <f t="shared" si="3"/>
        <v>Product</v>
      </c>
      <c r="G548" s="1" t="s">
        <v>357</v>
      </c>
      <c r="H548" s="6" t="str">
        <f>IFERROR(__xludf.DUMMYFUNCTION("IF(REGEXMATCH(LOWER(G548), ""^(\?)+\s*(missing)?\s*(\?)*$""), """", PROPER(SUBSTITUTE(SUBSTITUTE(G548, ""?"", """"), ""*"", """")))"),"Lunch Bag Black Skull.")</f>
        <v>Lunch Bag Black Skull.</v>
      </c>
      <c r="I548" s="3">
        <v>3.0</v>
      </c>
      <c r="J548" s="7">
        <v>40513.49236111111</v>
      </c>
      <c r="K548" s="8" t="str">
        <f t="shared" si="4"/>
        <v>2010-12</v>
      </c>
      <c r="L548" s="5">
        <v>1.65</v>
      </c>
      <c r="M548" s="3">
        <v>17920.0</v>
      </c>
      <c r="N548" s="1" t="str">
        <f t="shared" si="5"/>
        <v>Registered</v>
      </c>
      <c r="O548" s="1" t="s">
        <v>19</v>
      </c>
      <c r="P548" s="9" t="str">
        <f t="shared" si="6"/>
        <v>UK</v>
      </c>
      <c r="Q548" s="8">
        <f t="shared" si="7"/>
        <v>4.95</v>
      </c>
    </row>
    <row r="549">
      <c r="A549" s="1">
        <v>536412.0</v>
      </c>
      <c r="B549" s="1" t="str">
        <f t="shared" si="1"/>
        <v>536412</v>
      </c>
      <c r="C549" s="1" t="str">
        <f t="shared" si="2"/>
        <v>Sale</v>
      </c>
      <c r="D549" s="1">
        <v>22328.0</v>
      </c>
      <c r="E549" s="1" t="str">
        <f>IFERROR(__xludf.DUMMYFUNCTION("IF(LEN(D549)&gt;4, IFERROR(REGEXEXTRACT(TO_TEXT(D549),""\d+""),""""),"""")"),"22328")</f>
        <v>22328</v>
      </c>
      <c r="F549" s="6" t="str">
        <f t="shared" si="3"/>
        <v>Product</v>
      </c>
      <c r="G549" s="1" t="s">
        <v>431</v>
      </c>
      <c r="H549" s="6" t="str">
        <f>IFERROR(__xludf.DUMMYFUNCTION("IF(REGEXMATCH(LOWER(G549), ""^(\?)+\s*(missing)?\s*(\?)*$""), """", PROPER(SUBSTITUTE(SUBSTITUTE(G549, ""?"", """"), ""*"", """")))"),"Round Snack Boxes Set Of 4 Fruits")</f>
        <v>Round Snack Boxes Set Of 4 Fruits</v>
      </c>
      <c r="I549" s="3">
        <v>1.0</v>
      </c>
      <c r="J549" s="7">
        <v>40513.49236111111</v>
      </c>
      <c r="K549" s="8" t="str">
        <f t="shared" si="4"/>
        <v>2010-12</v>
      </c>
      <c r="L549" s="5">
        <v>2.95</v>
      </c>
      <c r="M549" s="3">
        <v>17920.0</v>
      </c>
      <c r="N549" s="1" t="str">
        <f t="shared" si="5"/>
        <v>Registered</v>
      </c>
      <c r="O549" s="1" t="s">
        <v>19</v>
      </c>
      <c r="P549" s="9" t="str">
        <f t="shared" si="6"/>
        <v>UK</v>
      </c>
      <c r="Q549" s="8">
        <f t="shared" si="7"/>
        <v>2.95</v>
      </c>
    </row>
    <row r="550">
      <c r="A550" s="1">
        <v>536412.0</v>
      </c>
      <c r="B550" s="1" t="str">
        <f t="shared" si="1"/>
        <v>536412</v>
      </c>
      <c r="C550" s="1" t="str">
        <f t="shared" si="2"/>
        <v>Sale</v>
      </c>
      <c r="D550" s="1">
        <v>22327.0</v>
      </c>
      <c r="E550" s="1" t="str">
        <f>IFERROR(__xludf.DUMMYFUNCTION("IF(LEN(D550)&gt;4, IFERROR(REGEXEXTRACT(TO_TEXT(D550),""\d+""),""""),"""")"),"22327")</f>
        <v>22327</v>
      </c>
      <c r="F550" s="6" t="str">
        <f t="shared" si="3"/>
        <v>Product</v>
      </c>
      <c r="G550" s="1" t="s">
        <v>432</v>
      </c>
      <c r="H550" s="6" t="str">
        <f>IFERROR(__xludf.DUMMYFUNCTION("IF(REGEXMATCH(LOWER(G550), ""^(\?)+\s*(missing)?\s*(\?)*$""), """", PROPER(SUBSTITUTE(SUBSTITUTE(G550, ""?"", """"), ""*"", """")))"),"Round Snack Boxes Set Of 4 Skulls")</f>
        <v>Round Snack Boxes Set Of 4 Skulls</v>
      </c>
      <c r="I550" s="3">
        <v>1.0</v>
      </c>
      <c r="J550" s="7">
        <v>40513.49236111111</v>
      </c>
      <c r="K550" s="8" t="str">
        <f t="shared" si="4"/>
        <v>2010-12</v>
      </c>
      <c r="L550" s="5">
        <v>2.95</v>
      </c>
      <c r="M550" s="3">
        <v>17920.0</v>
      </c>
      <c r="N550" s="1" t="str">
        <f t="shared" si="5"/>
        <v>Registered</v>
      </c>
      <c r="O550" s="1" t="s">
        <v>19</v>
      </c>
      <c r="P550" s="9" t="str">
        <f t="shared" si="6"/>
        <v>UK</v>
      </c>
      <c r="Q550" s="8">
        <f t="shared" si="7"/>
        <v>2.95</v>
      </c>
    </row>
    <row r="551">
      <c r="A551" s="1">
        <v>536412.0</v>
      </c>
      <c r="B551" s="1" t="str">
        <f t="shared" si="1"/>
        <v>536412</v>
      </c>
      <c r="C551" s="1" t="str">
        <f t="shared" si="2"/>
        <v>Sale</v>
      </c>
      <c r="D551" s="1">
        <v>22630.0</v>
      </c>
      <c r="E551" s="1" t="str">
        <f>IFERROR(__xludf.DUMMYFUNCTION("IF(LEN(D551)&gt;4, IFERROR(REGEXEXTRACT(TO_TEXT(D551),""\d+""),""""),"""")"),"22630")</f>
        <v>22630</v>
      </c>
      <c r="F551" s="6" t="str">
        <f t="shared" si="3"/>
        <v>Product</v>
      </c>
      <c r="G551" s="1" t="s">
        <v>433</v>
      </c>
      <c r="H551" s="6" t="str">
        <f>IFERROR(__xludf.DUMMYFUNCTION("IF(REGEXMATCH(LOWER(G551), ""^(\?)+\s*(missing)?\s*(\?)*$""), """", PROPER(SUBSTITUTE(SUBSTITUTE(G551, ""?"", """"), ""*"", """")))"),"Dolly Girl Lunch Box")</f>
        <v>Dolly Girl Lunch Box</v>
      </c>
      <c r="I551" s="3">
        <v>1.0</v>
      </c>
      <c r="J551" s="7">
        <v>40513.49236111111</v>
      </c>
      <c r="K551" s="8" t="str">
        <f t="shared" si="4"/>
        <v>2010-12</v>
      </c>
      <c r="L551" s="5">
        <v>1.95</v>
      </c>
      <c r="M551" s="3">
        <v>17920.0</v>
      </c>
      <c r="N551" s="1" t="str">
        <f t="shared" si="5"/>
        <v>Registered</v>
      </c>
      <c r="O551" s="1" t="s">
        <v>19</v>
      </c>
      <c r="P551" s="9" t="str">
        <f t="shared" si="6"/>
        <v>UK</v>
      </c>
      <c r="Q551" s="8">
        <f t="shared" si="7"/>
        <v>1.95</v>
      </c>
    </row>
    <row r="552">
      <c r="A552" s="1">
        <v>536412.0</v>
      </c>
      <c r="B552" s="1" t="str">
        <f t="shared" si="1"/>
        <v>536412</v>
      </c>
      <c r="C552" s="1" t="str">
        <f t="shared" si="2"/>
        <v>Sale</v>
      </c>
      <c r="D552" s="1">
        <v>22629.0</v>
      </c>
      <c r="E552" s="1" t="str">
        <f>IFERROR(__xludf.DUMMYFUNCTION("IF(LEN(D552)&gt;4, IFERROR(REGEXEXTRACT(TO_TEXT(D552),""\d+""),""""),"""")"),"22629")</f>
        <v>22629</v>
      </c>
      <c r="F552" s="6" t="str">
        <f t="shared" si="3"/>
        <v>Product</v>
      </c>
      <c r="G552" s="1" t="s">
        <v>58</v>
      </c>
      <c r="H552" s="6" t="str">
        <f>IFERROR(__xludf.DUMMYFUNCTION("IF(REGEXMATCH(LOWER(G552), ""^(\?)+\s*(missing)?\s*(\?)*$""), """", PROPER(SUBSTITUTE(SUBSTITUTE(G552, ""?"", """"), ""*"", """")))"),"Spaceboy Lunch Box")</f>
        <v>Spaceboy Lunch Box</v>
      </c>
      <c r="I552" s="3">
        <v>1.0</v>
      </c>
      <c r="J552" s="7">
        <v>40513.49236111111</v>
      </c>
      <c r="K552" s="8" t="str">
        <f t="shared" si="4"/>
        <v>2010-12</v>
      </c>
      <c r="L552" s="5">
        <v>1.95</v>
      </c>
      <c r="M552" s="3">
        <v>17920.0</v>
      </c>
      <c r="N552" s="1" t="str">
        <f t="shared" si="5"/>
        <v>Registered</v>
      </c>
      <c r="O552" s="1" t="s">
        <v>19</v>
      </c>
      <c r="P552" s="9" t="str">
        <f t="shared" si="6"/>
        <v>UK</v>
      </c>
      <c r="Q552" s="8">
        <f t="shared" si="7"/>
        <v>1.95</v>
      </c>
    </row>
    <row r="553">
      <c r="A553" s="1">
        <v>536412.0</v>
      </c>
      <c r="B553" s="1" t="str">
        <f t="shared" si="1"/>
        <v>536412</v>
      </c>
      <c r="C553" s="1" t="str">
        <f t="shared" si="2"/>
        <v>Sale</v>
      </c>
      <c r="D553" s="1">
        <v>21245.0</v>
      </c>
      <c r="E553" s="1" t="str">
        <f>IFERROR(__xludf.DUMMYFUNCTION("IF(LEN(D553)&gt;4, IFERROR(REGEXEXTRACT(TO_TEXT(D553),""\d+""),""""),"""")"),"21245")</f>
        <v>21245</v>
      </c>
      <c r="F553" s="6" t="str">
        <f t="shared" si="3"/>
        <v>Product</v>
      </c>
      <c r="G553" s="1" t="s">
        <v>434</v>
      </c>
      <c r="H553" s="6" t="str">
        <f>IFERROR(__xludf.DUMMYFUNCTION("IF(REGEXMATCH(LOWER(G553), ""^(\?)+\s*(missing)?\s*(\?)*$""), """", PROPER(SUBSTITUTE(SUBSTITUTE(G553, ""?"", """"), ""*"", """")))"),"Green Polkadot Plate")</f>
        <v>Green Polkadot Plate</v>
      </c>
      <c r="I553" s="3">
        <v>1.0</v>
      </c>
      <c r="J553" s="7">
        <v>40513.49236111111</v>
      </c>
      <c r="K553" s="8" t="str">
        <f t="shared" si="4"/>
        <v>2010-12</v>
      </c>
      <c r="L553" s="5">
        <v>1.69</v>
      </c>
      <c r="M553" s="3">
        <v>17920.0</v>
      </c>
      <c r="N553" s="1" t="str">
        <f t="shared" si="5"/>
        <v>Registered</v>
      </c>
      <c r="O553" s="1" t="s">
        <v>19</v>
      </c>
      <c r="P553" s="9" t="str">
        <f t="shared" si="6"/>
        <v>UK</v>
      </c>
      <c r="Q553" s="8">
        <f t="shared" si="7"/>
        <v>1.69</v>
      </c>
    </row>
    <row r="554">
      <c r="A554" s="1">
        <v>536412.0</v>
      </c>
      <c r="B554" s="1" t="str">
        <f t="shared" si="1"/>
        <v>536412</v>
      </c>
      <c r="C554" s="1" t="str">
        <f t="shared" si="2"/>
        <v>Sale</v>
      </c>
      <c r="D554" s="1">
        <v>21244.0</v>
      </c>
      <c r="E554" s="1" t="str">
        <f>IFERROR(__xludf.DUMMYFUNCTION("IF(LEN(D554)&gt;4, IFERROR(REGEXEXTRACT(TO_TEXT(D554),""\d+""),""""),"""")"),"21244")</f>
        <v>21244</v>
      </c>
      <c r="F554" s="6" t="str">
        <f t="shared" si="3"/>
        <v>Product</v>
      </c>
      <c r="G554" s="1" t="s">
        <v>435</v>
      </c>
      <c r="H554" s="6" t="str">
        <f>IFERROR(__xludf.DUMMYFUNCTION("IF(REGEXMATCH(LOWER(G554), ""^(\?)+\s*(missing)?\s*(\?)*$""), """", PROPER(SUBSTITUTE(SUBSTITUTE(G554, ""?"", """"), ""*"", """")))"),"Blue Polkadot Plate")</f>
        <v>Blue Polkadot Plate</v>
      </c>
      <c r="I554" s="3">
        <v>1.0</v>
      </c>
      <c r="J554" s="7">
        <v>40513.49236111111</v>
      </c>
      <c r="K554" s="8" t="str">
        <f t="shared" si="4"/>
        <v>2010-12</v>
      </c>
      <c r="L554" s="5">
        <v>1.69</v>
      </c>
      <c r="M554" s="3">
        <v>17920.0</v>
      </c>
      <c r="N554" s="1" t="str">
        <f t="shared" si="5"/>
        <v>Registered</v>
      </c>
      <c r="O554" s="1" t="s">
        <v>19</v>
      </c>
      <c r="P554" s="9" t="str">
        <f t="shared" si="6"/>
        <v>UK</v>
      </c>
      <c r="Q554" s="8">
        <f t="shared" si="7"/>
        <v>1.69</v>
      </c>
    </row>
    <row r="555">
      <c r="A555" s="1">
        <v>536412.0</v>
      </c>
      <c r="B555" s="1" t="str">
        <f t="shared" si="1"/>
        <v>536412</v>
      </c>
      <c r="C555" s="1" t="str">
        <f t="shared" si="2"/>
        <v>Sale</v>
      </c>
      <c r="D555" s="1">
        <v>21242.0</v>
      </c>
      <c r="E555" s="1" t="str">
        <f>IFERROR(__xludf.DUMMYFUNCTION("IF(LEN(D555)&gt;4, IFERROR(REGEXEXTRACT(TO_TEXT(D555),""\d+""),""""),"""")"),"21242")</f>
        <v>21242</v>
      </c>
      <c r="F555" s="6" t="str">
        <f t="shared" si="3"/>
        <v>Product</v>
      </c>
      <c r="G555" s="1" t="s">
        <v>436</v>
      </c>
      <c r="H555" s="6" t="str">
        <f>IFERROR(__xludf.DUMMYFUNCTION("IF(REGEXMATCH(LOWER(G555), ""^(\?)+\s*(missing)?\s*(\?)*$""), """", PROPER(SUBSTITUTE(SUBSTITUTE(G555, ""?"", """"), ""*"", """")))"),"Red Retrospot Plate")</f>
        <v>Red Retrospot Plate</v>
      </c>
      <c r="I555" s="3">
        <v>1.0</v>
      </c>
      <c r="J555" s="7">
        <v>40513.49236111111</v>
      </c>
      <c r="K555" s="8" t="str">
        <f t="shared" si="4"/>
        <v>2010-12</v>
      </c>
      <c r="L555" s="5">
        <v>1.69</v>
      </c>
      <c r="M555" s="3">
        <v>17920.0</v>
      </c>
      <c r="N555" s="1" t="str">
        <f t="shared" si="5"/>
        <v>Registered</v>
      </c>
      <c r="O555" s="1" t="s">
        <v>19</v>
      </c>
      <c r="P555" s="9" t="str">
        <f t="shared" si="6"/>
        <v>UK</v>
      </c>
      <c r="Q555" s="8">
        <f t="shared" si="7"/>
        <v>1.69</v>
      </c>
    </row>
    <row r="556">
      <c r="A556" s="1">
        <v>536412.0</v>
      </c>
      <c r="B556" s="1" t="str">
        <f t="shared" si="1"/>
        <v>536412</v>
      </c>
      <c r="C556" s="1" t="str">
        <f t="shared" si="2"/>
        <v>Sale</v>
      </c>
      <c r="D556" s="1">
        <v>21243.0</v>
      </c>
      <c r="E556" s="1" t="str">
        <f>IFERROR(__xludf.DUMMYFUNCTION("IF(LEN(D556)&gt;4, IFERROR(REGEXEXTRACT(TO_TEXT(D556),""\d+""),""""),"""")"),"21243")</f>
        <v>21243</v>
      </c>
      <c r="F556" s="6" t="str">
        <f t="shared" si="3"/>
        <v>Product</v>
      </c>
      <c r="G556" s="1" t="s">
        <v>437</v>
      </c>
      <c r="H556" s="6" t="str">
        <f>IFERROR(__xludf.DUMMYFUNCTION("IF(REGEXMATCH(LOWER(G556), ""^(\?)+\s*(missing)?\s*(\?)*$""), """", PROPER(SUBSTITUTE(SUBSTITUTE(G556, ""?"", """"), ""*"", """")))"),"Pink Polkadot Plate")</f>
        <v>Pink Polkadot Plate</v>
      </c>
      <c r="I556" s="3">
        <v>1.0</v>
      </c>
      <c r="J556" s="7">
        <v>40513.49236111111</v>
      </c>
      <c r="K556" s="8" t="str">
        <f t="shared" si="4"/>
        <v>2010-12</v>
      </c>
      <c r="L556" s="5">
        <v>1.69</v>
      </c>
      <c r="M556" s="3">
        <v>17920.0</v>
      </c>
      <c r="N556" s="1" t="str">
        <f t="shared" si="5"/>
        <v>Registered</v>
      </c>
      <c r="O556" s="1" t="s">
        <v>19</v>
      </c>
      <c r="P556" s="9" t="str">
        <f t="shared" si="6"/>
        <v>UK</v>
      </c>
      <c r="Q556" s="8">
        <f t="shared" si="7"/>
        <v>1.69</v>
      </c>
    </row>
    <row r="557">
      <c r="A557" s="1">
        <v>536412.0</v>
      </c>
      <c r="B557" s="1" t="str">
        <f t="shared" si="1"/>
        <v>536412</v>
      </c>
      <c r="C557" s="1" t="str">
        <f t="shared" si="2"/>
        <v>Sale</v>
      </c>
      <c r="D557" s="1">
        <v>22327.0</v>
      </c>
      <c r="E557" s="1" t="str">
        <f>IFERROR(__xludf.DUMMYFUNCTION("IF(LEN(D557)&gt;4, IFERROR(REGEXEXTRACT(TO_TEXT(D557),""\d+""),""""),"""")"),"22327")</f>
        <v>22327</v>
      </c>
      <c r="F557" s="6" t="str">
        <f t="shared" si="3"/>
        <v>Product</v>
      </c>
      <c r="G557" s="1" t="s">
        <v>432</v>
      </c>
      <c r="H557" s="6" t="str">
        <f>IFERROR(__xludf.DUMMYFUNCTION("IF(REGEXMATCH(LOWER(G557), ""^(\?)+\s*(missing)?\s*(\?)*$""), """", PROPER(SUBSTITUTE(SUBSTITUTE(G557, ""?"", """"), ""*"", """")))"),"Round Snack Boxes Set Of 4 Skulls")</f>
        <v>Round Snack Boxes Set Of 4 Skulls</v>
      </c>
      <c r="I557" s="3">
        <v>1.0</v>
      </c>
      <c r="J557" s="7">
        <v>40513.49236111111</v>
      </c>
      <c r="K557" s="8" t="str">
        <f t="shared" si="4"/>
        <v>2010-12</v>
      </c>
      <c r="L557" s="5">
        <v>2.95</v>
      </c>
      <c r="M557" s="3">
        <v>17920.0</v>
      </c>
      <c r="N557" s="1" t="str">
        <f t="shared" si="5"/>
        <v>Registered</v>
      </c>
      <c r="O557" s="1" t="s">
        <v>19</v>
      </c>
      <c r="P557" s="9" t="str">
        <f t="shared" si="6"/>
        <v>UK</v>
      </c>
      <c r="Q557" s="8">
        <f t="shared" si="7"/>
        <v>2.95</v>
      </c>
    </row>
    <row r="558">
      <c r="A558" s="1">
        <v>536412.0</v>
      </c>
      <c r="B558" s="1" t="str">
        <f t="shared" si="1"/>
        <v>536412</v>
      </c>
      <c r="C558" s="1" t="str">
        <f t="shared" si="2"/>
        <v>Sale</v>
      </c>
      <c r="D558" s="1">
        <v>22273.0</v>
      </c>
      <c r="E558" s="1" t="str">
        <f>IFERROR(__xludf.DUMMYFUNCTION("IF(LEN(D558)&gt;4, IFERROR(REGEXEXTRACT(TO_TEXT(D558),""\d+""),""""),"""")"),"22273")</f>
        <v>22273</v>
      </c>
      <c r="F558" s="6" t="str">
        <f t="shared" si="3"/>
        <v>Product</v>
      </c>
      <c r="G558" s="1" t="s">
        <v>438</v>
      </c>
      <c r="H558" s="6" t="str">
        <f>IFERROR(__xludf.DUMMYFUNCTION("IF(REGEXMATCH(LOWER(G558), ""^(\?)+\s*(missing)?\s*(\?)*$""), """", PROPER(SUBSTITUTE(SUBSTITUTE(G558, ""?"", """"), ""*"", """")))"),"Feltcraft Doll Molly")</f>
        <v>Feltcraft Doll Molly</v>
      </c>
      <c r="I558" s="3">
        <v>1.0</v>
      </c>
      <c r="J558" s="7">
        <v>40513.49236111111</v>
      </c>
      <c r="K558" s="8" t="str">
        <f t="shared" si="4"/>
        <v>2010-12</v>
      </c>
      <c r="L558" s="5">
        <v>2.95</v>
      </c>
      <c r="M558" s="3">
        <v>17920.0</v>
      </c>
      <c r="N558" s="1" t="str">
        <f t="shared" si="5"/>
        <v>Registered</v>
      </c>
      <c r="O558" s="1" t="s">
        <v>19</v>
      </c>
      <c r="P558" s="9" t="str">
        <f t="shared" si="6"/>
        <v>UK</v>
      </c>
      <c r="Q558" s="8">
        <f t="shared" si="7"/>
        <v>2.95</v>
      </c>
    </row>
    <row r="559">
      <c r="A559" s="1">
        <v>536412.0</v>
      </c>
      <c r="B559" s="1" t="str">
        <f t="shared" si="1"/>
        <v>536412</v>
      </c>
      <c r="C559" s="1" t="str">
        <f t="shared" si="2"/>
        <v>Sale</v>
      </c>
      <c r="D559" s="1">
        <v>22940.0</v>
      </c>
      <c r="E559" s="1" t="str">
        <f>IFERROR(__xludf.DUMMYFUNCTION("IF(LEN(D559)&gt;4, IFERROR(REGEXEXTRACT(TO_TEXT(D559),""\d+""),""""),"""")"),"22940")</f>
        <v>22940</v>
      </c>
      <c r="F559" s="6" t="str">
        <f t="shared" si="3"/>
        <v>Product</v>
      </c>
      <c r="G559" s="1" t="s">
        <v>439</v>
      </c>
      <c r="H559" s="6" t="str">
        <f>IFERROR(__xludf.DUMMYFUNCTION("IF(REGEXMATCH(LOWER(G559), ""^(\?)+\s*(missing)?\s*(\?)*$""), """", PROPER(SUBSTITUTE(SUBSTITUTE(G559, ""?"", """"), ""*"", """")))"),"Feltcraft Christmas Fairy")</f>
        <v>Feltcraft Christmas Fairy</v>
      </c>
      <c r="I559" s="3">
        <v>3.0</v>
      </c>
      <c r="J559" s="7">
        <v>40513.49236111111</v>
      </c>
      <c r="K559" s="8" t="str">
        <f t="shared" si="4"/>
        <v>2010-12</v>
      </c>
      <c r="L559" s="5">
        <v>4.25</v>
      </c>
      <c r="M559" s="3">
        <v>17920.0</v>
      </c>
      <c r="N559" s="1" t="str">
        <f t="shared" si="5"/>
        <v>Registered</v>
      </c>
      <c r="O559" s="1" t="s">
        <v>19</v>
      </c>
      <c r="P559" s="9" t="str">
        <f t="shared" si="6"/>
        <v>UK</v>
      </c>
      <c r="Q559" s="8">
        <f t="shared" si="7"/>
        <v>12.75</v>
      </c>
    </row>
    <row r="560">
      <c r="A560" s="1">
        <v>536412.0</v>
      </c>
      <c r="B560" s="1" t="str">
        <f t="shared" si="1"/>
        <v>536412</v>
      </c>
      <c r="C560" s="1" t="str">
        <f t="shared" si="2"/>
        <v>Sale</v>
      </c>
      <c r="D560" s="1">
        <v>22652.0</v>
      </c>
      <c r="E560" s="1" t="str">
        <f>IFERROR(__xludf.DUMMYFUNCTION("IF(LEN(D560)&gt;4, IFERROR(REGEXEXTRACT(TO_TEXT(D560),""\d+""),""""),"""")"),"22652")</f>
        <v>22652</v>
      </c>
      <c r="F560" s="6" t="str">
        <f t="shared" si="3"/>
        <v>Product</v>
      </c>
      <c r="G560" s="1" t="s">
        <v>252</v>
      </c>
      <c r="H560" s="6" t="str">
        <f>IFERROR(__xludf.DUMMYFUNCTION("IF(REGEXMATCH(LOWER(G560), ""^(\?)+\s*(missing)?\s*(\?)*$""), """", PROPER(SUBSTITUTE(SUBSTITUTE(G560, ""?"", """"), ""*"", """")))"),"Travel Sewing Kit")</f>
        <v>Travel Sewing Kit</v>
      </c>
      <c r="I560" s="3">
        <v>5.0</v>
      </c>
      <c r="J560" s="7">
        <v>40513.49236111111</v>
      </c>
      <c r="K560" s="8" t="str">
        <f t="shared" si="4"/>
        <v>2010-12</v>
      </c>
      <c r="L560" s="5">
        <v>1.65</v>
      </c>
      <c r="M560" s="3">
        <v>17920.0</v>
      </c>
      <c r="N560" s="1" t="str">
        <f t="shared" si="5"/>
        <v>Registered</v>
      </c>
      <c r="O560" s="1" t="s">
        <v>19</v>
      </c>
      <c r="P560" s="9" t="str">
        <f t="shared" si="6"/>
        <v>UK</v>
      </c>
      <c r="Q560" s="8">
        <f t="shared" si="7"/>
        <v>8.25</v>
      </c>
    </row>
    <row r="561">
      <c r="A561" s="1">
        <v>536412.0</v>
      </c>
      <c r="B561" s="1" t="str">
        <f t="shared" si="1"/>
        <v>536412</v>
      </c>
      <c r="C561" s="1" t="str">
        <f t="shared" si="2"/>
        <v>Sale</v>
      </c>
      <c r="D561" s="1">
        <v>22759.0</v>
      </c>
      <c r="E561" s="1" t="str">
        <f>IFERROR(__xludf.DUMMYFUNCTION("IF(LEN(D561)&gt;4, IFERROR(REGEXEXTRACT(TO_TEXT(D561),""\d+""),""""),"""")"),"22759")</f>
        <v>22759</v>
      </c>
      <c r="F561" s="6" t="str">
        <f t="shared" si="3"/>
        <v>Product</v>
      </c>
      <c r="G561" s="1" t="s">
        <v>440</v>
      </c>
      <c r="H561" s="6" t="str">
        <f>IFERROR(__xludf.DUMMYFUNCTION("IF(REGEXMATCH(LOWER(G561), ""^(\?)+\s*(missing)?\s*(\?)*$""), """", PROPER(SUBSTITUTE(SUBSTITUTE(G561, ""?"", """"), ""*"", """")))"),"Set Of 3 Notebooks In Parcel")</f>
        <v>Set Of 3 Notebooks In Parcel</v>
      </c>
      <c r="I561" s="3">
        <v>1.0</v>
      </c>
      <c r="J561" s="7">
        <v>40513.49236111111</v>
      </c>
      <c r="K561" s="8" t="str">
        <f t="shared" si="4"/>
        <v>2010-12</v>
      </c>
      <c r="L561" s="5">
        <v>1.65</v>
      </c>
      <c r="M561" s="3">
        <v>17920.0</v>
      </c>
      <c r="N561" s="1" t="str">
        <f t="shared" si="5"/>
        <v>Registered</v>
      </c>
      <c r="O561" s="1" t="s">
        <v>19</v>
      </c>
      <c r="P561" s="9" t="str">
        <f t="shared" si="6"/>
        <v>UK</v>
      </c>
      <c r="Q561" s="8">
        <f t="shared" si="7"/>
        <v>1.65</v>
      </c>
    </row>
    <row r="562">
      <c r="A562" s="1">
        <v>536412.0</v>
      </c>
      <c r="B562" s="1" t="str">
        <f t="shared" si="1"/>
        <v>536412</v>
      </c>
      <c r="C562" s="1" t="str">
        <f t="shared" si="2"/>
        <v>Sale</v>
      </c>
      <c r="D562" s="1">
        <v>21880.0</v>
      </c>
      <c r="E562" s="1" t="str">
        <f>IFERROR(__xludf.DUMMYFUNCTION("IF(LEN(D562)&gt;4, IFERROR(REGEXEXTRACT(TO_TEXT(D562),""\d+""),""""),"""")"),"21880")</f>
        <v>21880</v>
      </c>
      <c r="F562" s="6" t="str">
        <f t="shared" si="3"/>
        <v>Product</v>
      </c>
      <c r="G562" s="1" t="s">
        <v>441</v>
      </c>
      <c r="H562" s="6" t="str">
        <f>IFERROR(__xludf.DUMMYFUNCTION("IF(REGEXMATCH(LOWER(G562), ""^(\?)+\s*(missing)?\s*(\?)*$""), """", PROPER(SUBSTITUTE(SUBSTITUTE(G562, ""?"", """"), ""*"", """")))"),"Red Retrospot Tape")</f>
        <v>Red Retrospot Tape</v>
      </c>
      <c r="I562" s="3">
        <v>10.0</v>
      </c>
      <c r="J562" s="7">
        <v>40513.49236111111</v>
      </c>
      <c r="K562" s="8" t="str">
        <f t="shared" si="4"/>
        <v>2010-12</v>
      </c>
      <c r="L562" s="5">
        <v>0.65</v>
      </c>
      <c r="M562" s="3">
        <v>17920.0</v>
      </c>
      <c r="N562" s="1" t="str">
        <f t="shared" si="5"/>
        <v>Registered</v>
      </c>
      <c r="O562" s="1" t="s">
        <v>19</v>
      </c>
      <c r="P562" s="9" t="str">
        <f t="shared" si="6"/>
        <v>UK</v>
      </c>
      <c r="Q562" s="8">
        <f t="shared" si="7"/>
        <v>6.5</v>
      </c>
    </row>
    <row r="563">
      <c r="A563" s="1">
        <v>536412.0</v>
      </c>
      <c r="B563" s="1" t="str">
        <f t="shared" si="1"/>
        <v>536412</v>
      </c>
      <c r="C563" s="1" t="str">
        <f t="shared" si="2"/>
        <v>Sale</v>
      </c>
      <c r="D563" s="1">
        <v>21738.0</v>
      </c>
      <c r="E563" s="1" t="str">
        <f>IFERROR(__xludf.DUMMYFUNCTION("IF(LEN(D563)&gt;4, IFERROR(REGEXEXTRACT(TO_TEXT(D563),""\d+""),""""),"""")"),"21738")</f>
        <v>21738</v>
      </c>
      <c r="F563" s="6" t="str">
        <f t="shared" si="3"/>
        <v>Product</v>
      </c>
      <c r="G563" s="1" t="s">
        <v>442</v>
      </c>
      <c r="H563" s="6" t="str">
        <f>IFERROR(__xludf.DUMMYFUNCTION("IF(REGEXMATCH(LOWER(G563), ""^(\?)+\s*(missing)?\s*(\?)*$""), """", PROPER(SUBSTITUTE(SUBSTITUTE(G563, ""?"", """"), ""*"", """")))"),"Cosy Slipper Shoes Small Red")</f>
        <v>Cosy Slipper Shoes Small Red</v>
      </c>
      <c r="I563" s="3">
        <v>1.0</v>
      </c>
      <c r="J563" s="7">
        <v>40513.49236111111</v>
      </c>
      <c r="K563" s="8" t="str">
        <f t="shared" si="4"/>
        <v>2010-12</v>
      </c>
      <c r="L563" s="5">
        <v>2.95</v>
      </c>
      <c r="M563" s="3">
        <v>17920.0</v>
      </c>
      <c r="N563" s="1" t="str">
        <f t="shared" si="5"/>
        <v>Registered</v>
      </c>
      <c r="O563" s="1" t="s">
        <v>19</v>
      </c>
      <c r="P563" s="9" t="str">
        <f t="shared" si="6"/>
        <v>UK</v>
      </c>
      <c r="Q563" s="8">
        <f t="shared" si="7"/>
        <v>2.95</v>
      </c>
    </row>
    <row r="564">
      <c r="A564" s="1">
        <v>536412.0</v>
      </c>
      <c r="B564" s="1" t="str">
        <f t="shared" si="1"/>
        <v>536412</v>
      </c>
      <c r="C564" s="1" t="str">
        <f t="shared" si="2"/>
        <v>Sale</v>
      </c>
      <c r="D564" s="1">
        <v>22077.0</v>
      </c>
      <c r="E564" s="1" t="str">
        <f>IFERROR(__xludf.DUMMYFUNCTION("IF(LEN(D564)&gt;4, IFERROR(REGEXEXTRACT(TO_TEXT(D564),""\d+""),""""),"""")"),"22077")</f>
        <v>22077</v>
      </c>
      <c r="F564" s="6" t="str">
        <f t="shared" si="3"/>
        <v>Product</v>
      </c>
      <c r="G564" s="1" t="s">
        <v>443</v>
      </c>
      <c r="H564" s="6" t="str">
        <f>IFERROR(__xludf.DUMMYFUNCTION("IF(REGEXMATCH(LOWER(G564), ""^(\?)+\s*(missing)?\s*(\?)*$""), """", PROPER(SUBSTITUTE(SUBSTITUTE(G564, ""?"", """"), ""*"", """")))"),"6 Ribbons Rustic Charm")</f>
        <v>6 Ribbons Rustic Charm</v>
      </c>
      <c r="I564" s="3">
        <v>1.0</v>
      </c>
      <c r="J564" s="7">
        <v>40513.49236111111</v>
      </c>
      <c r="K564" s="8" t="str">
        <f t="shared" si="4"/>
        <v>2010-12</v>
      </c>
      <c r="L564" s="5">
        <v>1.65</v>
      </c>
      <c r="M564" s="3">
        <v>17920.0</v>
      </c>
      <c r="N564" s="1" t="str">
        <f t="shared" si="5"/>
        <v>Registered</v>
      </c>
      <c r="O564" s="1" t="s">
        <v>19</v>
      </c>
      <c r="P564" s="9" t="str">
        <f t="shared" si="6"/>
        <v>UK</v>
      </c>
      <c r="Q564" s="8">
        <f t="shared" si="7"/>
        <v>1.65</v>
      </c>
    </row>
    <row r="565">
      <c r="A565" s="1">
        <v>536412.0</v>
      </c>
      <c r="B565" s="1" t="str">
        <f t="shared" si="1"/>
        <v>536412</v>
      </c>
      <c r="C565" s="1" t="str">
        <f t="shared" si="2"/>
        <v>Sale</v>
      </c>
      <c r="D565" s="1" t="s">
        <v>278</v>
      </c>
      <c r="E565" s="1" t="str">
        <f>IFERROR(__xludf.DUMMYFUNCTION("IF(LEN(D565)&gt;4, IFERROR(REGEXEXTRACT(TO_TEXT(D565),""\d+""),""""),"""")"),"85049")</f>
        <v>85049</v>
      </c>
      <c r="F565" s="6" t="str">
        <f t="shared" si="3"/>
        <v>Product</v>
      </c>
      <c r="G565" s="1" t="s">
        <v>279</v>
      </c>
      <c r="H565" s="6" t="str">
        <f>IFERROR(__xludf.DUMMYFUNCTION("IF(REGEXMATCH(LOWER(G565), ""^(\?)+\s*(missing)?\s*(\?)*$""), """", PROPER(SUBSTITUTE(SUBSTITUTE(G565, ""?"", """"), ""*"", """")))"),"Scandinavian Reds Ribbons")</f>
        <v>Scandinavian Reds Ribbons</v>
      </c>
      <c r="I565" s="3">
        <v>3.0</v>
      </c>
      <c r="J565" s="7">
        <v>40513.49236111111</v>
      </c>
      <c r="K565" s="8" t="str">
        <f t="shared" si="4"/>
        <v>2010-12</v>
      </c>
      <c r="L565" s="5">
        <v>1.25</v>
      </c>
      <c r="M565" s="3">
        <v>17920.0</v>
      </c>
      <c r="N565" s="1" t="str">
        <f t="shared" si="5"/>
        <v>Registered</v>
      </c>
      <c r="O565" s="1" t="s">
        <v>19</v>
      </c>
      <c r="P565" s="9" t="str">
        <f t="shared" si="6"/>
        <v>UK</v>
      </c>
      <c r="Q565" s="8">
        <f t="shared" si="7"/>
        <v>3.75</v>
      </c>
    </row>
    <row r="566">
      <c r="A566" s="1">
        <v>536412.0</v>
      </c>
      <c r="B566" s="1" t="str">
        <f t="shared" si="1"/>
        <v>536412</v>
      </c>
      <c r="C566" s="1" t="str">
        <f t="shared" si="2"/>
        <v>Sale</v>
      </c>
      <c r="D566" s="1">
        <v>22961.0</v>
      </c>
      <c r="E566" s="1" t="str">
        <f>IFERROR(__xludf.DUMMYFUNCTION("IF(LEN(D566)&gt;4, IFERROR(REGEXEXTRACT(TO_TEXT(D566),""\d+""),""""),"""")"),"22961")</f>
        <v>22961</v>
      </c>
      <c r="F566" s="6" t="str">
        <f t="shared" si="3"/>
        <v>Product</v>
      </c>
      <c r="G566" s="1" t="s">
        <v>109</v>
      </c>
      <c r="H566" s="6" t="str">
        <f>IFERROR(__xludf.DUMMYFUNCTION("IF(REGEXMATCH(LOWER(G566), ""^(\?)+\s*(missing)?\s*(\?)*$""), """", PROPER(SUBSTITUTE(SUBSTITUTE(G566, ""?"", """"), ""*"", """")))"),"Jam Making Set Printed")</f>
        <v>Jam Making Set Printed</v>
      </c>
      <c r="I566" s="3">
        <v>24.0</v>
      </c>
      <c r="J566" s="7">
        <v>40513.49236111111</v>
      </c>
      <c r="K566" s="8" t="str">
        <f t="shared" si="4"/>
        <v>2010-12</v>
      </c>
      <c r="L566" s="5">
        <v>1.45</v>
      </c>
      <c r="M566" s="3">
        <v>17920.0</v>
      </c>
      <c r="N566" s="1" t="str">
        <f t="shared" si="5"/>
        <v>Registered</v>
      </c>
      <c r="O566" s="1" t="s">
        <v>19</v>
      </c>
      <c r="P566" s="9" t="str">
        <f t="shared" si="6"/>
        <v>UK</v>
      </c>
      <c r="Q566" s="8">
        <f t="shared" si="7"/>
        <v>34.8</v>
      </c>
    </row>
    <row r="567">
      <c r="A567" s="1">
        <v>536412.0</v>
      </c>
      <c r="B567" s="1" t="str">
        <f t="shared" si="1"/>
        <v>536412</v>
      </c>
      <c r="C567" s="1" t="str">
        <f t="shared" si="2"/>
        <v>Sale</v>
      </c>
      <c r="D567" s="1">
        <v>21448.0</v>
      </c>
      <c r="E567" s="1" t="str">
        <f>IFERROR(__xludf.DUMMYFUNCTION("IF(LEN(D567)&gt;4, IFERROR(REGEXEXTRACT(TO_TEXT(D567),""\d+""),""""),"""")"),"21448")</f>
        <v>21448</v>
      </c>
      <c r="F567" s="6" t="str">
        <f t="shared" si="3"/>
        <v>Product</v>
      </c>
      <c r="G567" s="1" t="s">
        <v>444</v>
      </c>
      <c r="H567" s="6" t="str">
        <f>IFERROR(__xludf.DUMMYFUNCTION("IF(REGEXMATCH(LOWER(G567), ""^(\?)+\s*(missing)?\s*(\?)*$""), """", PROPER(SUBSTITUTE(SUBSTITUTE(G567, ""?"", """"), ""*"", """")))"),"12 Daisy Pegs In Wood Box")</f>
        <v>12 Daisy Pegs In Wood Box</v>
      </c>
      <c r="I567" s="3">
        <v>2.0</v>
      </c>
      <c r="J567" s="7">
        <v>40513.49236111111</v>
      </c>
      <c r="K567" s="8" t="str">
        <f t="shared" si="4"/>
        <v>2010-12</v>
      </c>
      <c r="L567" s="5">
        <v>1.65</v>
      </c>
      <c r="M567" s="3">
        <v>17920.0</v>
      </c>
      <c r="N567" s="1" t="str">
        <f t="shared" si="5"/>
        <v>Registered</v>
      </c>
      <c r="O567" s="1" t="s">
        <v>19</v>
      </c>
      <c r="P567" s="9" t="str">
        <f t="shared" si="6"/>
        <v>UK</v>
      </c>
      <c r="Q567" s="8">
        <f t="shared" si="7"/>
        <v>3.3</v>
      </c>
    </row>
    <row r="568">
      <c r="A568" s="1">
        <v>536412.0</v>
      </c>
      <c r="B568" s="1" t="str">
        <f t="shared" si="1"/>
        <v>536412</v>
      </c>
      <c r="C568" s="1" t="str">
        <f t="shared" si="2"/>
        <v>Sale</v>
      </c>
      <c r="D568" s="1">
        <v>22837.0</v>
      </c>
      <c r="E568" s="1" t="str">
        <f>IFERROR(__xludf.DUMMYFUNCTION("IF(LEN(D568)&gt;4, IFERROR(REGEXEXTRACT(TO_TEXT(D568),""\d+""),""""),"""")"),"22837")</f>
        <v>22837</v>
      </c>
      <c r="F568" s="6" t="str">
        <f t="shared" si="3"/>
        <v>Product</v>
      </c>
      <c r="G568" s="1" t="s">
        <v>332</v>
      </c>
      <c r="H568" s="6" t="str">
        <f>IFERROR(__xludf.DUMMYFUNCTION("IF(REGEXMATCH(LOWER(G568), ""^(\?)+\s*(missing)?\s*(\?)*$""), """", PROPER(SUBSTITUTE(SUBSTITUTE(G568, ""?"", """"), ""*"", """")))"),"Hot Water Bottle Babushka")</f>
        <v>Hot Water Bottle Babushka</v>
      </c>
      <c r="I568" s="3">
        <v>3.0</v>
      </c>
      <c r="J568" s="7">
        <v>40513.49236111111</v>
      </c>
      <c r="K568" s="8" t="str">
        <f t="shared" si="4"/>
        <v>2010-12</v>
      </c>
      <c r="L568" s="5">
        <v>4.65</v>
      </c>
      <c r="M568" s="3">
        <v>17920.0</v>
      </c>
      <c r="N568" s="1" t="str">
        <f t="shared" si="5"/>
        <v>Registered</v>
      </c>
      <c r="O568" s="1" t="s">
        <v>19</v>
      </c>
      <c r="P568" s="9" t="str">
        <f t="shared" si="6"/>
        <v>UK</v>
      </c>
      <c r="Q568" s="8">
        <f t="shared" si="7"/>
        <v>13.95</v>
      </c>
    </row>
    <row r="569">
      <c r="A569" s="1">
        <v>536412.0</v>
      </c>
      <c r="B569" s="1" t="str">
        <f t="shared" si="1"/>
        <v>536412</v>
      </c>
      <c r="C569" s="1" t="str">
        <f t="shared" si="2"/>
        <v>Sale</v>
      </c>
      <c r="D569" s="1">
        <v>22749.0</v>
      </c>
      <c r="E569" s="1" t="str">
        <f>IFERROR(__xludf.DUMMYFUNCTION("IF(LEN(D569)&gt;4, IFERROR(REGEXEXTRACT(TO_TEXT(D569),""\d+""),""""),"""")"),"22749")</f>
        <v>22749</v>
      </c>
      <c r="F569" s="6" t="str">
        <f t="shared" si="3"/>
        <v>Product</v>
      </c>
      <c r="G569" s="1" t="s">
        <v>34</v>
      </c>
      <c r="H569" s="6" t="str">
        <f>IFERROR(__xludf.DUMMYFUNCTION("IF(REGEXMATCH(LOWER(G569), ""^(\?)+\s*(missing)?\s*(\?)*$""), """", PROPER(SUBSTITUTE(SUBSTITUTE(G569, ""?"", """"), ""*"", """")))"),"Feltcraft Princess Charlotte Doll")</f>
        <v>Feltcraft Princess Charlotte Doll</v>
      </c>
      <c r="I569" s="3">
        <v>2.0</v>
      </c>
      <c r="J569" s="7">
        <v>40513.49236111111</v>
      </c>
      <c r="K569" s="8" t="str">
        <f t="shared" si="4"/>
        <v>2010-12</v>
      </c>
      <c r="L569" s="5">
        <v>3.75</v>
      </c>
      <c r="M569" s="3">
        <v>17920.0</v>
      </c>
      <c r="N569" s="1" t="str">
        <f t="shared" si="5"/>
        <v>Registered</v>
      </c>
      <c r="O569" s="1" t="s">
        <v>19</v>
      </c>
      <c r="P569" s="9" t="str">
        <f t="shared" si="6"/>
        <v>UK</v>
      </c>
      <c r="Q569" s="8">
        <f t="shared" si="7"/>
        <v>7.5</v>
      </c>
    </row>
    <row r="570">
      <c r="A570" s="1">
        <v>536412.0</v>
      </c>
      <c r="B570" s="1" t="str">
        <f t="shared" si="1"/>
        <v>536412</v>
      </c>
      <c r="C570" s="1" t="str">
        <f t="shared" si="2"/>
        <v>Sale</v>
      </c>
      <c r="D570" s="1">
        <v>22940.0</v>
      </c>
      <c r="E570" s="1" t="str">
        <f>IFERROR(__xludf.DUMMYFUNCTION("IF(LEN(D570)&gt;4, IFERROR(REGEXEXTRACT(TO_TEXT(D570),""\d+""),""""),"""")"),"22940")</f>
        <v>22940</v>
      </c>
      <c r="F570" s="6" t="str">
        <f t="shared" si="3"/>
        <v>Product</v>
      </c>
      <c r="G570" s="1" t="s">
        <v>439</v>
      </c>
      <c r="H570" s="6" t="str">
        <f>IFERROR(__xludf.DUMMYFUNCTION("IF(REGEXMATCH(LOWER(G570), ""^(\?)+\s*(missing)?\s*(\?)*$""), """", PROPER(SUBSTITUTE(SUBSTITUTE(G570, ""?"", """"), ""*"", """")))"),"Feltcraft Christmas Fairy")</f>
        <v>Feltcraft Christmas Fairy</v>
      </c>
      <c r="I570" s="3">
        <v>1.0</v>
      </c>
      <c r="J570" s="7">
        <v>40513.49236111111</v>
      </c>
      <c r="K570" s="8" t="str">
        <f t="shared" si="4"/>
        <v>2010-12</v>
      </c>
      <c r="L570" s="5">
        <v>4.25</v>
      </c>
      <c r="M570" s="3">
        <v>17920.0</v>
      </c>
      <c r="N570" s="1" t="str">
        <f t="shared" si="5"/>
        <v>Registered</v>
      </c>
      <c r="O570" s="1" t="s">
        <v>19</v>
      </c>
      <c r="P570" s="9" t="str">
        <f t="shared" si="6"/>
        <v>UK</v>
      </c>
      <c r="Q570" s="8">
        <f t="shared" si="7"/>
        <v>4.25</v>
      </c>
    </row>
    <row r="571">
      <c r="A571" s="1">
        <v>536412.0</v>
      </c>
      <c r="B571" s="1" t="str">
        <f t="shared" si="1"/>
        <v>536412</v>
      </c>
      <c r="C571" s="1" t="str">
        <f t="shared" si="2"/>
        <v>Sale</v>
      </c>
      <c r="D571" s="1">
        <v>22749.0</v>
      </c>
      <c r="E571" s="1" t="str">
        <f>IFERROR(__xludf.DUMMYFUNCTION("IF(LEN(D571)&gt;4, IFERROR(REGEXEXTRACT(TO_TEXT(D571),""\d+""),""""),"""")"),"22749")</f>
        <v>22749</v>
      </c>
      <c r="F571" s="6" t="str">
        <f t="shared" si="3"/>
        <v>Product</v>
      </c>
      <c r="G571" s="1" t="s">
        <v>34</v>
      </c>
      <c r="H571" s="6" t="str">
        <f>IFERROR(__xludf.DUMMYFUNCTION("IF(REGEXMATCH(LOWER(G571), ""^(\?)+\s*(missing)?\s*(\?)*$""), """", PROPER(SUBSTITUTE(SUBSTITUTE(G571, ""?"", """"), ""*"", """")))"),"Feltcraft Princess Charlotte Doll")</f>
        <v>Feltcraft Princess Charlotte Doll</v>
      </c>
      <c r="I571" s="3">
        <v>1.0</v>
      </c>
      <c r="J571" s="7">
        <v>40513.49236111111</v>
      </c>
      <c r="K571" s="8" t="str">
        <f t="shared" si="4"/>
        <v>2010-12</v>
      </c>
      <c r="L571" s="5">
        <v>3.75</v>
      </c>
      <c r="M571" s="3">
        <v>17920.0</v>
      </c>
      <c r="N571" s="1" t="str">
        <f t="shared" si="5"/>
        <v>Registered</v>
      </c>
      <c r="O571" s="1" t="s">
        <v>19</v>
      </c>
      <c r="P571" s="9" t="str">
        <f t="shared" si="6"/>
        <v>UK</v>
      </c>
      <c r="Q571" s="8">
        <f t="shared" si="7"/>
        <v>3.75</v>
      </c>
    </row>
    <row r="572">
      <c r="A572" s="1">
        <v>536412.0</v>
      </c>
      <c r="B572" s="1" t="str">
        <f t="shared" si="1"/>
        <v>536412</v>
      </c>
      <c r="C572" s="1" t="str">
        <f t="shared" si="2"/>
        <v>Sale</v>
      </c>
      <c r="D572" s="1">
        <v>22077.0</v>
      </c>
      <c r="E572" s="1" t="str">
        <f>IFERROR(__xludf.DUMMYFUNCTION("IF(LEN(D572)&gt;4, IFERROR(REGEXEXTRACT(TO_TEXT(D572),""\d+""),""""),"""")"),"22077")</f>
        <v>22077</v>
      </c>
      <c r="F572" s="6" t="str">
        <f t="shared" si="3"/>
        <v>Product</v>
      </c>
      <c r="G572" s="1" t="s">
        <v>443</v>
      </c>
      <c r="H572" s="6" t="str">
        <f>IFERROR(__xludf.DUMMYFUNCTION("IF(REGEXMATCH(LOWER(G572), ""^(\?)+\s*(missing)?\s*(\?)*$""), """", PROPER(SUBSTITUTE(SUBSTITUTE(G572, ""?"", """"), ""*"", """")))"),"6 Ribbons Rustic Charm")</f>
        <v>6 Ribbons Rustic Charm</v>
      </c>
      <c r="I572" s="3">
        <v>2.0</v>
      </c>
      <c r="J572" s="7">
        <v>40513.49236111111</v>
      </c>
      <c r="K572" s="8" t="str">
        <f t="shared" si="4"/>
        <v>2010-12</v>
      </c>
      <c r="L572" s="5">
        <v>1.65</v>
      </c>
      <c r="M572" s="3">
        <v>17920.0</v>
      </c>
      <c r="N572" s="1" t="str">
        <f t="shared" si="5"/>
        <v>Registered</v>
      </c>
      <c r="O572" s="1" t="s">
        <v>19</v>
      </c>
      <c r="P572" s="9" t="str">
        <f t="shared" si="6"/>
        <v>UK</v>
      </c>
      <c r="Q572" s="8">
        <f t="shared" si="7"/>
        <v>3.3</v>
      </c>
    </row>
    <row r="573">
      <c r="A573" s="1">
        <v>536412.0</v>
      </c>
      <c r="B573" s="1" t="str">
        <f t="shared" si="1"/>
        <v>536412</v>
      </c>
      <c r="C573" s="1" t="str">
        <f t="shared" si="2"/>
        <v>Sale</v>
      </c>
      <c r="D573" s="1">
        <v>21738.0</v>
      </c>
      <c r="E573" s="1" t="str">
        <f>IFERROR(__xludf.DUMMYFUNCTION("IF(LEN(D573)&gt;4, IFERROR(REGEXEXTRACT(TO_TEXT(D573),""\d+""),""""),"""")"),"21738")</f>
        <v>21738</v>
      </c>
      <c r="F573" s="6" t="str">
        <f t="shared" si="3"/>
        <v>Product</v>
      </c>
      <c r="G573" s="1" t="s">
        <v>442</v>
      </c>
      <c r="H573" s="6" t="str">
        <f>IFERROR(__xludf.DUMMYFUNCTION("IF(REGEXMATCH(LOWER(G573), ""^(\?)+\s*(missing)?\s*(\?)*$""), """", PROPER(SUBSTITUTE(SUBSTITUTE(G573, ""?"", """"), ""*"", """")))"),"Cosy Slipper Shoes Small Red")</f>
        <v>Cosy Slipper Shoes Small Red</v>
      </c>
      <c r="I573" s="3">
        <v>2.0</v>
      </c>
      <c r="J573" s="7">
        <v>40513.49236111111</v>
      </c>
      <c r="K573" s="8" t="str">
        <f t="shared" si="4"/>
        <v>2010-12</v>
      </c>
      <c r="L573" s="5">
        <v>2.95</v>
      </c>
      <c r="M573" s="3">
        <v>17920.0</v>
      </c>
      <c r="N573" s="1" t="str">
        <f t="shared" si="5"/>
        <v>Registered</v>
      </c>
      <c r="O573" s="1" t="s">
        <v>19</v>
      </c>
      <c r="P573" s="9" t="str">
        <f t="shared" si="6"/>
        <v>UK</v>
      </c>
      <c r="Q573" s="8">
        <f t="shared" si="7"/>
        <v>5.9</v>
      </c>
    </row>
    <row r="574">
      <c r="A574" s="1">
        <v>536412.0</v>
      </c>
      <c r="B574" s="1" t="str">
        <f t="shared" si="1"/>
        <v>536412</v>
      </c>
      <c r="C574" s="1" t="str">
        <f t="shared" si="2"/>
        <v>Sale</v>
      </c>
      <c r="D574" s="1" t="s">
        <v>278</v>
      </c>
      <c r="E574" s="1" t="str">
        <f>IFERROR(__xludf.DUMMYFUNCTION("IF(LEN(D574)&gt;4, IFERROR(REGEXEXTRACT(TO_TEXT(D574),""\d+""),""""),"""")"),"85049")</f>
        <v>85049</v>
      </c>
      <c r="F574" s="6" t="str">
        <f t="shared" si="3"/>
        <v>Product</v>
      </c>
      <c r="G574" s="1" t="s">
        <v>279</v>
      </c>
      <c r="H574" s="6" t="str">
        <f>IFERROR(__xludf.DUMMYFUNCTION("IF(REGEXMATCH(LOWER(G574), ""^(\?)+\s*(missing)?\s*(\?)*$""), """", PROPER(SUBSTITUTE(SUBSTITUTE(G574, ""?"", """"), ""*"", """")))"),"Scandinavian Reds Ribbons")</f>
        <v>Scandinavian Reds Ribbons</v>
      </c>
      <c r="I574" s="3">
        <v>1.0</v>
      </c>
      <c r="J574" s="7">
        <v>40513.49236111111</v>
      </c>
      <c r="K574" s="8" t="str">
        <f t="shared" si="4"/>
        <v>2010-12</v>
      </c>
      <c r="L574" s="5">
        <v>1.25</v>
      </c>
      <c r="M574" s="3">
        <v>17920.0</v>
      </c>
      <c r="N574" s="1" t="str">
        <f t="shared" si="5"/>
        <v>Registered</v>
      </c>
      <c r="O574" s="1" t="s">
        <v>19</v>
      </c>
      <c r="P574" s="9" t="str">
        <f t="shared" si="6"/>
        <v>UK</v>
      </c>
      <c r="Q574" s="8">
        <f t="shared" si="7"/>
        <v>1.25</v>
      </c>
    </row>
    <row r="575">
      <c r="A575" s="1">
        <v>536412.0</v>
      </c>
      <c r="B575" s="1" t="str">
        <f t="shared" si="1"/>
        <v>536412</v>
      </c>
      <c r="C575" s="1" t="str">
        <f t="shared" si="2"/>
        <v>Sale</v>
      </c>
      <c r="D575" s="1">
        <v>22243.0</v>
      </c>
      <c r="E575" s="1" t="str">
        <f>IFERROR(__xludf.DUMMYFUNCTION("IF(LEN(D575)&gt;4, IFERROR(REGEXEXTRACT(TO_TEXT(D575),""\d+""),""""),"""")"),"22243")</f>
        <v>22243</v>
      </c>
      <c r="F575" s="6" t="str">
        <f t="shared" si="3"/>
        <v>Product</v>
      </c>
      <c r="G575" s="1" t="s">
        <v>445</v>
      </c>
      <c r="H575" s="6" t="str">
        <f>IFERROR(__xludf.DUMMYFUNCTION("IF(REGEXMATCH(LOWER(G575), ""^(\?)+\s*(missing)?\s*(\?)*$""), """", PROPER(SUBSTITUTE(SUBSTITUTE(G575, ""?"", """"), ""*"", """")))"),"5 Hook Hanger Red Magic Toadstool")</f>
        <v>5 Hook Hanger Red Magic Toadstool</v>
      </c>
      <c r="I575" s="3">
        <v>6.0</v>
      </c>
      <c r="J575" s="7">
        <v>40513.49236111111</v>
      </c>
      <c r="K575" s="8" t="str">
        <f t="shared" si="4"/>
        <v>2010-12</v>
      </c>
      <c r="L575" s="5">
        <v>1.65</v>
      </c>
      <c r="M575" s="3">
        <v>17920.0</v>
      </c>
      <c r="N575" s="1" t="str">
        <f t="shared" si="5"/>
        <v>Registered</v>
      </c>
      <c r="O575" s="1" t="s">
        <v>19</v>
      </c>
      <c r="P575" s="9" t="str">
        <f t="shared" si="6"/>
        <v>UK</v>
      </c>
      <c r="Q575" s="8">
        <f t="shared" si="7"/>
        <v>9.9</v>
      </c>
    </row>
    <row r="576">
      <c r="A576" s="1">
        <v>536412.0</v>
      </c>
      <c r="B576" s="1" t="str">
        <f t="shared" si="1"/>
        <v>536412</v>
      </c>
      <c r="C576" s="1" t="str">
        <f t="shared" si="2"/>
        <v>Sale</v>
      </c>
      <c r="D576" s="1">
        <v>22141.0</v>
      </c>
      <c r="E576" s="1" t="str">
        <f>IFERROR(__xludf.DUMMYFUNCTION("IF(LEN(D576)&gt;4, IFERROR(REGEXEXTRACT(TO_TEXT(D576),""\d+""),""""),"""")"),"22141")</f>
        <v>22141</v>
      </c>
      <c r="F576" s="6" t="str">
        <f t="shared" si="3"/>
        <v>Product</v>
      </c>
      <c r="G576" s="1" t="s">
        <v>446</v>
      </c>
      <c r="H576" s="6" t="str">
        <f>IFERROR(__xludf.DUMMYFUNCTION("IF(REGEXMATCH(LOWER(G576), ""^(\?)+\s*(missing)?\s*(\?)*$""), """", PROPER(SUBSTITUTE(SUBSTITUTE(G576, ""?"", """"), ""*"", """")))"),"Christmas Craft Tree Top Angel")</f>
        <v>Christmas Craft Tree Top Angel</v>
      </c>
      <c r="I576" s="3">
        <v>1.0</v>
      </c>
      <c r="J576" s="7">
        <v>40513.49236111111</v>
      </c>
      <c r="K576" s="8" t="str">
        <f t="shared" si="4"/>
        <v>2010-12</v>
      </c>
      <c r="L576" s="5">
        <v>2.1</v>
      </c>
      <c r="M576" s="3">
        <v>17920.0</v>
      </c>
      <c r="N576" s="1" t="str">
        <f t="shared" si="5"/>
        <v>Registered</v>
      </c>
      <c r="O576" s="1" t="s">
        <v>19</v>
      </c>
      <c r="P576" s="9" t="str">
        <f t="shared" si="6"/>
        <v>UK</v>
      </c>
      <c r="Q576" s="8">
        <f t="shared" si="7"/>
        <v>2.1</v>
      </c>
    </row>
    <row r="577">
      <c r="A577" s="1">
        <v>536412.0</v>
      </c>
      <c r="B577" s="1" t="str">
        <f t="shared" si="1"/>
        <v>536412</v>
      </c>
      <c r="C577" s="1" t="str">
        <f t="shared" si="2"/>
        <v>Sale</v>
      </c>
      <c r="D577" s="1">
        <v>22144.0</v>
      </c>
      <c r="E577" s="1" t="str">
        <f>IFERROR(__xludf.DUMMYFUNCTION("IF(LEN(D577)&gt;4, IFERROR(REGEXEXTRACT(TO_TEXT(D577),""\d+""),""""),"""")"),"22144")</f>
        <v>22144</v>
      </c>
      <c r="F577" s="6" t="str">
        <f t="shared" si="3"/>
        <v>Product</v>
      </c>
      <c r="G577" s="1" t="s">
        <v>447</v>
      </c>
      <c r="H577" s="6" t="str">
        <f>IFERROR(__xludf.DUMMYFUNCTION("IF(REGEXMATCH(LOWER(G577), ""^(\?)+\s*(missing)?\s*(\?)*$""), """", PROPER(SUBSTITUTE(SUBSTITUTE(G577, ""?"", """"), ""*"", """")))"),"Christmas Craft Little Friends")</f>
        <v>Christmas Craft Little Friends</v>
      </c>
      <c r="I577" s="3">
        <v>2.0</v>
      </c>
      <c r="J577" s="7">
        <v>40513.49236111111</v>
      </c>
      <c r="K577" s="8" t="str">
        <f t="shared" si="4"/>
        <v>2010-12</v>
      </c>
      <c r="L577" s="5">
        <v>2.1</v>
      </c>
      <c r="M577" s="3">
        <v>17920.0</v>
      </c>
      <c r="N577" s="1" t="str">
        <f t="shared" si="5"/>
        <v>Registered</v>
      </c>
      <c r="O577" s="1" t="s">
        <v>19</v>
      </c>
      <c r="P577" s="9" t="str">
        <f t="shared" si="6"/>
        <v>UK</v>
      </c>
      <c r="Q577" s="8">
        <f t="shared" si="7"/>
        <v>4.2</v>
      </c>
    </row>
    <row r="578">
      <c r="A578" s="1">
        <v>536412.0</v>
      </c>
      <c r="B578" s="1" t="str">
        <f t="shared" si="1"/>
        <v>536412</v>
      </c>
      <c r="C578" s="1" t="str">
        <f t="shared" si="2"/>
        <v>Sale</v>
      </c>
      <c r="D578" s="1">
        <v>22243.0</v>
      </c>
      <c r="E578" s="1" t="str">
        <f>IFERROR(__xludf.DUMMYFUNCTION("IF(LEN(D578)&gt;4, IFERROR(REGEXEXTRACT(TO_TEXT(D578),""\d+""),""""),"""")"),"22243")</f>
        <v>22243</v>
      </c>
      <c r="F578" s="6" t="str">
        <f t="shared" si="3"/>
        <v>Product</v>
      </c>
      <c r="G578" s="1" t="s">
        <v>445</v>
      </c>
      <c r="H578" s="6" t="str">
        <f>IFERROR(__xludf.DUMMYFUNCTION("IF(REGEXMATCH(LOWER(G578), ""^(\?)+\s*(missing)?\s*(\?)*$""), """", PROPER(SUBSTITUTE(SUBSTITUTE(G578, ""?"", """"), ""*"", """")))"),"5 Hook Hanger Red Magic Toadstool")</f>
        <v>5 Hook Hanger Red Magic Toadstool</v>
      </c>
      <c r="I578" s="3">
        <v>3.0</v>
      </c>
      <c r="J578" s="7">
        <v>40513.49236111111</v>
      </c>
      <c r="K578" s="8" t="str">
        <f t="shared" si="4"/>
        <v>2010-12</v>
      </c>
      <c r="L578" s="5">
        <v>1.65</v>
      </c>
      <c r="M578" s="3">
        <v>17920.0</v>
      </c>
      <c r="N578" s="1" t="str">
        <f t="shared" si="5"/>
        <v>Registered</v>
      </c>
      <c r="O578" s="1" t="s">
        <v>19</v>
      </c>
      <c r="P578" s="9" t="str">
        <f t="shared" si="6"/>
        <v>UK</v>
      </c>
      <c r="Q578" s="8">
        <f t="shared" si="7"/>
        <v>4.95</v>
      </c>
    </row>
    <row r="579">
      <c r="A579" s="1">
        <v>536412.0</v>
      </c>
      <c r="B579" s="1" t="str">
        <f t="shared" si="1"/>
        <v>536412</v>
      </c>
      <c r="C579" s="1" t="str">
        <f t="shared" si="2"/>
        <v>Sale</v>
      </c>
      <c r="D579" s="1">
        <v>22077.0</v>
      </c>
      <c r="E579" s="1" t="str">
        <f>IFERROR(__xludf.DUMMYFUNCTION("IF(LEN(D579)&gt;4, IFERROR(REGEXEXTRACT(TO_TEXT(D579),""\d+""),""""),"""")"),"22077")</f>
        <v>22077</v>
      </c>
      <c r="F579" s="6" t="str">
        <f t="shared" si="3"/>
        <v>Product</v>
      </c>
      <c r="G579" s="1" t="s">
        <v>443</v>
      </c>
      <c r="H579" s="6" t="str">
        <f>IFERROR(__xludf.DUMMYFUNCTION("IF(REGEXMATCH(LOWER(G579), ""^(\?)+\s*(missing)?\s*(\?)*$""), """", PROPER(SUBSTITUTE(SUBSTITUTE(G579, ""?"", """"), ""*"", """")))"),"6 Ribbons Rustic Charm")</f>
        <v>6 Ribbons Rustic Charm</v>
      </c>
      <c r="I579" s="3">
        <v>7.0</v>
      </c>
      <c r="J579" s="7">
        <v>40513.49236111111</v>
      </c>
      <c r="K579" s="8" t="str">
        <f t="shared" si="4"/>
        <v>2010-12</v>
      </c>
      <c r="L579" s="5">
        <v>1.65</v>
      </c>
      <c r="M579" s="3">
        <v>17920.0</v>
      </c>
      <c r="N579" s="1" t="str">
        <f t="shared" si="5"/>
        <v>Registered</v>
      </c>
      <c r="O579" s="1" t="s">
        <v>19</v>
      </c>
      <c r="P579" s="9" t="str">
        <f t="shared" si="6"/>
        <v>UK</v>
      </c>
      <c r="Q579" s="8">
        <f t="shared" si="7"/>
        <v>11.55</v>
      </c>
    </row>
    <row r="580">
      <c r="A580" s="1">
        <v>536412.0</v>
      </c>
      <c r="B580" s="1" t="str">
        <f t="shared" si="1"/>
        <v>536412</v>
      </c>
      <c r="C580" s="1" t="str">
        <f t="shared" si="2"/>
        <v>Sale</v>
      </c>
      <c r="D580" s="1">
        <v>21448.0</v>
      </c>
      <c r="E580" s="1" t="str">
        <f>IFERROR(__xludf.DUMMYFUNCTION("IF(LEN(D580)&gt;4, IFERROR(REGEXEXTRACT(TO_TEXT(D580),""\d+""),""""),"""")"),"21448")</f>
        <v>21448</v>
      </c>
      <c r="F580" s="6" t="str">
        <f t="shared" si="3"/>
        <v>Product</v>
      </c>
      <c r="G580" s="1" t="s">
        <v>444</v>
      </c>
      <c r="H580" s="6" t="str">
        <f>IFERROR(__xludf.DUMMYFUNCTION("IF(REGEXMATCH(LOWER(G580), ""^(\?)+\s*(missing)?\s*(\?)*$""), """", PROPER(SUBSTITUTE(SUBSTITUTE(G580, ""?"", """"), ""*"", """")))"),"12 Daisy Pegs In Wood Box")</f>
        <v>12 Daisy Pegs In Wood Box</v>
      </c>
      <c r="I580" s="3">
        <v>1.0</v>
      </c>
      <c r="J580" s="7">
        <v>40513.49236111111</v>
      </c>
      <c r="K580" s="8" t="str">
        <f t="shared" si="4"/>
        <v>2010-12</v>
      </c>
      <c r="L580" s="5">
        <v>1.65</v>
      </c>
      <c r="M580" s="3">
        <v>17920.0</v>
      </c>
      <c r="N580" s="1" t="str">
        <f t="shared" si="5"/>
        <v>Registered</v>
      </c>
      <c r="O580" s="1" t="s">
        <v>19</v>
      </c>
      <c r="P580" s="9" t="str">
        <f t="shared" si="6"/>
        <v>UK</v>
      </c>
      <c r="Q580" s="8">
        <f t="shared" si="7"/>
        <v>1.65</v>
      </c>
    </row>
    <row r="581">
      <c r="A581" s="1">
        <v>536412.0</v>
      </c>
      <c r="B581" s="1" t="str">
        <f t="shared" si="1"/>
        <v>536412</v>
      </c>
      <c r="C581" s="1" t="str">
        <f t="shared" si="2"/>
        <v>Sale</v>
      </c>
      <c r="D581" s="1">
        <v>22759.0</v>
      </c>
      <c r="E581" s="1" t="str">
        <f>IFERROR(__xludf.DUMMYFUNCTION("IF(LEN(D581)&gt;4, IFERROR(REGEXEXTRACT(TO_TEXT(D581),""\d+""),""""),"""")"),"22759")</f>
        <v>22759</v>
      </c>
      <c r="F581" s="6" t="str">
        <f t="shared" si="3"/>
        <v>Product</v>
      </c>
      <c r="G581" s="1" t="s">
        <v>440</v>
      </c>
      <c r="H581" s="6" t="str">
        <f>IFERROR(__xludf.DUMMYFUNCTION("IF(REGEXMATCH(LOWER(G581), ""^(\?)+\s*(missing)?\s*(\?)*$""), """", PROPER(SUBSTITUTE(SUBSTITUTE(G581, ""?"", """"), ""*"", """")))"),"Set Of 3 Notebooks In Parcel")</f>
        <v>Set Of 3 Notebooks In Parcel</v>
      </c>
      <c r="I581" s="3">
        <v>5.0</v>
      </c>
      <c r="J581" s="7">
        <v>40513.49236111111</v>
      </c>
      <c r="K581" s="8" t="str">
        <f t="shared" si="4"/>
        <v>2010-12</v>
      </c>
      <c r="L581" s="5">
        <v>1.65</v>
      </c>
      <c r="M581" s="3">
        <v>17920.0</v>
      </c>
      <c r="N581" s="1" t="str">
        <f t="shared" si="5"/>
        <v>Registered</v>
      </c>
      <c r="O581" s="1" t="s">
        <v>19</v>
      </c>
      <c r="P581" s="9" t="str">
        <f t="shared" si="6"/>
        <v>UK</v>
      </c>
      <c r="Q581" s="8">
        <f t="shared" si="7"/>
        <v>8.25</v>
      </c>
    </row>
    <row r="582">
      <c r="A582" s="1">
        <v>536412.0</v>
      </c>
      <c r="B582" s="1" t="str">
        <f t="shared" si="1"/>
        <v>536412</v>
      </c>
      <c r="C582" s="1" t="str">
        <f t="shared" si="2"/>
        <v>Sale</v>
      </c>
      <c r="D582" s="1">
        <v>22242.0</v>
      </c>
      <c r="E582" s="1" t="str">
        <f>IFERROR(__xludf.DUMMYFUNCTION("IF(LEN(D582)&gt;4, IFERROR(REGEXEXTRACT(TO_TEXT(D582),""\d+""),""""),"""")"),"22242")</f>
        <v>22242</v>
      </c>
      <c r="F582" s="6" t="str">
        <f t="shared" si="3"/>
        <v>Product</v>
      </c>
      <c r="G582" s="1" t="s">
        <v>195</v>
      </c>
      <c r="H582" s="6" t="str">
        <f>IFERROR(__xludf.DUMMYFUNCTION("IF(REGEXMATCH(LOWER(G582), ""^(\?)+\s*(missing)?\s*(\?)*$""), """", PROPER(SUBSTITUTE(SUBSTITUTE(G582, ""?"", """"), ""*"", """")))"),"5 Hook Hanger Magic Toadstool")</f>
        <v>5 Hook Hanger Magic Toadstool</v>
      </c>
      <c r="I582" s="3">
        <v>5.0</v>
      </c>
      <c r="J582" s="7">
        <v>40513.49236111111</v>
      </c>
      <c r="K582" s="8" t="str">
        <f t="shared" si="4"/>
        <v>2010-12</v>
      </c>
      <c r="L582" s="5">
        <v>1.65</v>
      </c>
      <c r="M582" s="3">
        <v>17920.0</v>
      </c>
      <c r="N582" s="1" t="str">
        <f t="shared" si="5"/>
        <v>Registered</v>
      </c>
      <c r="O582" s="1" t="s">
        <v>19</v>
      </c>
      <c r="P582" s="9" t="str">
        <f t="shared" si="6"/>
        <v>UK</v>
      </c>
      <c r="Q582" s="8">
        <f t="shared" si="7"/>
        <v>8.25</v>
      </c>
    </row>
    <row r="583">
      <c r="A583" s="1">
        <v>536412.0</v>
      </c>
      <c r="B583" s="1" t="str">
        <f t="shared" si="1"/>
        <v>536412</v>
      </c>
      <c r="C583" s="1" t="str">
        <f t="shared" si="2"/>
        <v>Sale</v>
      </c>
      <c r="D583" s="1" t="s">
        <v>278</v>
      </c>
      <c r="E583" s="1" t="str">
        <f>IFERROR(__xludf.DUMMYFUNCTION("IF(LEN(D583)&gt;4, IFERROR(REGEXEXTRACT(TO_TEXT(D583),""\d+""),""""),"""")"),"85049")</f>
        <v>85049</v>
      </c>
      <c r="F583" s="6" t="str">
        <f t="shared" si="3"/>
        <v>Product</v>
      </c>
      <c r="G583" s="1" t="s">
        <v>279</v>
      </c>
      <c r="H583" s="6" t="str">
        <f>IFERROR(__xludf.DUMMYFUNCTION("IF(REGEXMATCH(LOWER(G583), ""^(\?)+\s*(missing)?\s*(\?)*$""), """", PROPER(SUBSTITUTE(SUBSTITUTE(G583, ""?"", """"), ""*"", """")))"),"Scandinavian Reds Ribbons")</f>
        <v>Scandinavian Reds Ribbons</v>
      </c>
      <c r="I583" s="3">
        <v>12.0</v>
      </c>
      <c r="J583" s="7">
        <v>40513.49236111111</v>
      </c>
      <c r="K583" s="8" t="str">
        <f t="shared" si="4"/>
        <v>2010-12</v>
      </c>
      <c r="L583" s="5">
        <v>1.25</v>
      </c>
      <c r="M583" s="3">
        <v>17920.0</v>
      </c>
      <c r="N583" s="1" t="str">
        <f t="shared" si="5"/>
        <v>Registered</v>
      </c>
      <c r="O583" s="1" t="s">
        <v>19</v>
      </c>
      <c r="P583" s="9" t="str">
        <f t="shared" si="6"/>
        <v>UK</v>
      </c>
      <c r="Q583" s="8">
        <f t="shared" si="7"/>
        <v>15</v>
      </c>
    </row>
    <row r="584">
      <c r="A584" s="1">
        <v>536412.0</v>
      </c>
      <c r="B584" s="1" t="str">
        <f t="shared" si="1"/>
        <v>536412</v>
      </c>
      <c r="C584" s="1" t="str">
        <f t="shared" si="2"/>
        <v>Sale</v>
      </c>
      <c r="D584" s="1">
        <v>21731.0</v>
      </c>
      <c r="E584" s="1" t="str">
        <f>IFERROR(__xludf.DUMMYFUNCTION("IF(LEN(D584)&gt;4, IFERROR(REGEXEXTRACT(TO_TEXT(D584),""\d+""),""""),"""")"),"21731")</f>
        <v>21731</v>
      </c>
      <c r="F584" s="6" t="str">
        <f t="shared" si="3"/>
        <v>Product</v>
      </c>
      <c r="G584" s="1" t="s">
        <v>62</v>
      </c>
      <c r="H584" s="6" t="str">
        <f>IFERROR(__xludf.DUMMYFUNCTION("IF(REGEXMATCH(LOWER(G584), ""^(\?)+\s*(missing)?\s*(\?)*$""), """", PROPER(SUBSTITUTE(SUBSTITUTE(G584, ""?"", """"), ""*"", """")))"),"Red Toadstool Led Night Light")</f>
        <v>Red Toadstool Led Night Light</v>
      </c>
      <c r="I584" s="3">
        <v>5.0</v>
      </c>
      <c r="J584" s="7">
        <v>40513.49236111111</v>
      </c>
      <c r="K584" s="8" t="str">
        <f t="shared" si="4"/>
        <v>2010-12</v>
      </c>
      <c r="L584" s="5">
        <v>1.65</v>
      </c>
      <c r="M584" s="3">
        <v>17920.0</v>
      </c>
      <c r="N584" s="1" t="str">
        <f t="shared" si="5"/>
        <v>Registered</v>
      </c>
      <c r="O584" s="1" t="s">
        <v>19</v>
      </c>
      <c r="P584" s="9" t="str">
        <f t="shared" si="6"/>
        <v>UK</v>
      </c>
      <c r="Q584" s="8">
        <f t="shared" si="7"/>
        <v>8.25</v>
      </c>
    </row>
    <row r="585">
      <c r="A585" s="1">
        <v>536412.0</v>
      </c>
      <c r="B585" s="1" t="str">
        <f t="shared" si="1"/>
        <v>536412</v>
      </c>
      <c r="C585" s="1" t="str">
        <f t="shared" si="2"/>
        <v>Sale</v>
      </c>
      <c r="D585" s="1">
        <v>22243.0</v>
      </c>
      <c r="E585" s="1" t="str">
        <f>IFERROR(__xludf.DUMMYFUNCTION("IF(LEN(D585)&gt;4, IFERROR(REGEXEXTRACT(TO_TEXT(D585),""\d+""),""""),"""")"),"22243")</f>
        <v>22243</v>
      </c>
      <c r="F585" s="6" t="str">
        <f t="shared" si="3"/>
        <v>Product</v>
      </c>
      <c r="G585" s="1" t="s">
        <v>445</v>
      </c>
      <c r="H585" s="6" t="str">
        <f>IFERROR(__xludf.DUMMYFUNCTION("IF(REGEXMATCH(LOWER(G585), ""^(\?)+\s*(missing)?\s*(\?)*$""), """", PROPER(SUBSTITUTE(SUBSTITUTE(G585, ""?"", """"), ""*"", """")))"),"5 Hook Hanger Red Magic Toadstool")</f>
        <v>5 Hook Hanger Red Magic Toadstool</v>
      </c>
      <c r="I585" s="3">
        <v>1.0</v>
      </c>
      <c r="J585" s="7">
        <v>40513.49236111111</v>
      </c>
      <c r="K585" s="8" t="str">
        <f t="shared" si="4"/>
        <v>2010-12</v>
      </c>
      <c r="L585" s="5">
        <v>1.65</v>
      </c>
      <c r="M585" s="3">
        <v>17920.0</v>
      </c>
      <c r="N585" s="1" t="str">
        <f t="shared" si="5"/>
        <v>Registered</v>
      </c>
      <c r="O585" s="1" t="s">
        <v>19</v>
      </c>
      <c r="P585" s="9" t="str">
        <f t="shared" si="6"/>
        <v>UK</v>
      </c>
      <c r="Q585" s="8">
        <f t="shared" si="7"/>
        <v>1.65</v>
      </c>
    </row>
    <row r="586">
      <c r="A586" s="1">
        <v>536412.0</v>
      </c>
      <c r="B586" s="1" t="str">
        <f t="shared" si="1"/>
        <v>536412</v>
      </c>
      <c r="C586" s="1" t="str">
        <f t="shared" si="2"/>
        <v>Sale</v>
      </c>
      <c r="D586" s="1">
        <v>21739.0</v>
      </c>
      <c r="E586" s="1" t="str">
        <f>IFERROR(__xludf.DUMMYFUNCTION("IF(LEN(D586)&gt;4, IFERROR(REGEXEXTRACT(TO_TEXT(D586),""\d+""),""""),"""")"),"21739")</f>
        <v>21739</v>
      </c>
      <c r="F586" s="6" t="str">
        <f t="shared" si="3"/>
        <v>Product</v>
      </c>
      <c r="G586" s="1" t="s">
        <v>448</v>
      </c>
      <c r="H586" s="6" t="str">
        <f>IFERROR(__xludf.DUMMYFUNCTION("IF(REGEXMATCH(LOWER(G586), ""^(\?)+\s*(missing)?\s*(\?)*$""), """", PROPER(SUBSTITUTE(SUBSTITUTE(G586, ""?"", """"), ""*"", """")))"),"Cosy Slipper Shoes Small Green")</f>
        <v>Cosy Slipper Shoes Small Green</v>
      </c>
      <c r="I586" s="3">
        <v>2.0</v>
      </c>
      <c r="J586" s="7">
        <v>40513.49236111111</v>
      </c>
      <c r="K586" s="8" t="str">
        <f t="shared" si="4"/>
        <v>2010-12</v>
      </c>
      <c r="L586" s="5">
        <v>2.95</v>
      </c>
      <c r="M586" s="3">
        <v>17920.0</v>
      </c>
      <c r="N586" s="1" t="str">
        <f t="shared" si="5"/>
        <v>Registered</v>
      </c>
      <c r="O586" s="1" t="s">
        <v>19</v>
      </c>
      <c r="P586" s="9" t="str">
        <f t="shared" si="6"/>
        <v>UK</v>
      </c>
      <c r="Q586" s="8">
        <f t="shared" si="7"/>
        <v>5.9</v>
      </c>
    </row>
    <row r="587">
      <c r="A587" s="1">
        <v>536412.0</v>
      </c>
      <c r="B587" s="1" t="str">
        <f t="shared" si="1"/>
        <v>536412</v>
      </c>
      <c r="C587" s="1" t="str">
        <f t="shared" si="2"/>
        <v>Sale</v>
      </c>
      <c r="D587" s="1">
        <v>21738.0</v>
      </c>
      <c r="E587" s="1" t="str">
        <f>IFERROR(__xludf.DUMMYFUNCTION("IF(LEN(D587)&gt;4, IFERROR(REGEXEXTRACT(TO_TEXT(D587),""\d+""),""""),"""")"),"21738")</f>
        <v>21738</v>
      </c>
      <c r="F587" s="6" t="str">
        <f t="shared" si="3"/>
        <v>Product</v>
      </c>
      <c r="G587" s="1" t="s">
        <v>442</v>
      </c>
      <c r="H587" s="6" t="str">
        <f>IFERROR(__xludf.DUMMYFUNCTION("IF(REGEXMATCH(LOWER(G587), ""^(\?)+\s*(missing)?\s*(\?)*$""), """", PROPER(SUBSTITUTE(SUBSTITUTE(G587, ""?"", """"), ""*"", """")))"),"Cosy Slipper Shoes Small Red")</f>
        <v>Cosy Slipper Shoes Small Red</v>
      </c>
      <c r="I587" s="3">
        <v>5.0</v>
      </c>
      <c r="J587" s="7">
        <v>40513.49236111111</v>
      </c>
      <c r="K587" s="8" t="str">
        <f t="shared" si="4"/>
        <v>2010-12</v>
      </c>
      <c r="L587" s="5">
        <v>2.95</v>
      </c>
      <c r="M587" s="3">
        <v>17920.0</v>
      </c>
      <c r="N587" s="1" t="str">
        <f t="shared" si="5"/>
        <v>Registered</v>
      </c>
      <c r="O587" s="1" t="s">
        <v>19</v>
      </c>
      <c r="P587" s="9" t="str">
        <f t="shared" si="6"/>
        <v>UK</v>
      </c>
      <c r="Q587" s="8">
        <f t="shared" si="7"/>
        <v>14.75</v>
      </c>
    </row>
    <row r="588">
      <c r="A588" s="1">
        <v>536412.0</v>
      </c>
      <c r="B588" s="1" t="str">
        <f t="shared" si="1"/>
        <v>536412</v>
      </c>
      <c r="C588" s="1" t="str">
        <f t="shared" si="2"/>
        <v>Sale</v>
      </c>
      <c r="D588" s="1">
        <v>22271.0</v>
      </c>
      <c r="E588" s="1" t="str">
        <f>IFERROR(__xludf.DUMMYFUNCTION("IF(LEN(D588)&gt;4, IFERROR(REGEXEXTRACT(TO_TEXT(D588),""\d+""),""""),"""")"),"22271")</f>
        <v>22271</v>
      </c>
      <c r="F588" s="6" t="str">
        <f t="shared" si="3"/>
        <v>Product</v>
      </c>
      <c r="G588" s="1" t="s">
        <v>449</v>
      </c>
      <c r="H588" s="6" t="str">
        <f>IFERROR(__xludf.DUMMYFUNCTION("IF(REGEXMATCH(LOWER(G588), ""^(\?)+\s*(missing)?\s*(\?)*$""), """", PROPER(SUBSTITUTE(SUBSTITUTE(G588, ""?"", """"), ""*"", """")))"),"Feltcraft Doll Rosie")</f>
        <v>Feltcraft Doll Rosie</v>
      </c>
      <c r="I588" s="3">
        <v>2.0</v>
      </c>
      <c r="J588" s="7">
        <v>40513.49236111111</v>
      </c>
      <c r="K588" s="8" t="str">
        <f t="shared" si="4"/>
        <v>2010-12</v>
      </c>
      <c r="L588" s="5">
        <v>2.95</v>
      </c>
      <c r="M588" s="3">
        <v>17920.0</v>
      </c>
      <c r="N588" s="1" t="str">
        <f t="shared" si="5"/>
        <v>Registered</v>
      </c>
      <c r="O588" s="1" t="s">
        <v>19</v>
      </c>
      <c r="P588" s="9" t="str">
        <f t="shared" si="6"/>
        <v>UK</v>
      </c>
      <c r="Q588" s="8">
        <f t="shared" si="7"/>
        <v>5.9</v>
      </c>
    </row>
    <row r="589">
      <c r="A589" s="1">
        <v>536412.0</v>
      </c>
      <c r="B589" s="1" t="str">
        <f t="shared" si="1"/>
        <v>536412</v>
      </c>
      <c r="C589" s="1" t="str">
        <f t="shared" si="2"/>
        <v>Sale</v>
      </c>
      <c r="D589" s="1">
        <v>22273.0</v>
      </c>
      <c r="E589" s="1" t="str">
        <f>IFERROR(__xludf.DUMMYFUNCTION("IF(LEN(D589)&gt;4, IFERROR(REGEXEXTRACT(TO_TEXT(D589),""\d+""),""""),"""")"),"22273")</f>
        <v>22273</v>
      </c>
      <c r="F589" s="6" t="str">
        <f t="shared" si="3"/>
        <v>Product</v>
      </c>
      <c r="G589" s="1" t="s">
        <v>438</v>
      </c>
      <c r="H589" s="6" t="str">
        <f>IFERROR(__xludf.DUMMYFUNCTION("IF(REGEXMATCH(LOWER(G589), ""^(\?)+\s*(missing)?\s*(\?)*$""), """", PROPER(SUBSTITUTE(SUBSTITUTE(G589, ""?"", """"), ""*"", """")))"),"Feltcraft Doll Molly")</f>
        <v>Feltcraft Doll Molly</v>
      </c>
      <c r="I589" s="3">
        <v>1.0</v>
      </c>
      <c r="J589" s="7">
        <v>40513.49236111111</v>
      </c>
      <c r="K589" s="8" t="str">
        <f t="shared" si="4"/>
        <v>2010-12</v>
      </c>
      <c r="L589" s="5">
        <v>2.95</v>
      </c>
      <c r="M589" s="3">
        <v>17920.0</v>
      </c>
      <c r="N589" s="1" t="str">
        <f t="shared" si="5"/>
        <v>Registered</v>
      </c>
      <c r="O589" s="1" t="s">
        <v>19</v>
      </c>
      <c r="P589" s="9" t="str">
        <f t="shared" si="6"/>
        <v>UK</v>
      </c>
      <c r="Q589" s="8">
        <f t="shared" si="7"/>
        <v>2.95</v>
      </c>
    </row>
    <row r="590">
      <c r="A590" s="1">
        <v>536412.0</v>
      </c>
      <c r="B590" s="1" t="str">
        <f t="shared" si="1"/>
        <v>536412</v>
      </c>
      <c r="C590" s="1" t="str">
        <f t="shared" si="2"/>
        <v>Sale</v>
      </c>
      <c r="D590" s="1">
        <v>22274.0</v>
      </c>
      <c r="E590" s="1" t="str">
        <f>IFERROR(__xludf.DUMMYFUNCTION("IF(LEN(D590)&gt;4, IFERROR(REGEXEXTRACT(TO_TEXT(D590),""\d+""),""""),"""")"),"22274")</f>
        <v>22274</v>
      </c>
      <c r="F590" s="6" t="str">
        <f t="shared" si="3"/>
        <v>Product</v>
      </c>
      <c r="G590" s="1" t="s">
        <v>450</v>
      </c>
      <c r="H590" s="6" t="str">
        <f>IFERROR(__xludf.DUMMYFUNCTION("IF(REGEXMATCH(LOWER(G590), ""^(\?)+\s*(missing)?\s*(\?)*$""), """", PROPER(SUBSTITUTE(SUBSTITUTE(G590, ""?"", """"), ""*"", """")))"),"Feltcraft Doll Emily")</f>
        <v>Feltcraft Doll Emily</v>
      </c>
      <c r="I590" s="3">
        <v>2.0</v>
      </c>
      <c r="J590" s="7">
        <v>40513.49236111111</v>
      </c>
      <c r="K590" s="8" t="str">
        <f t="shared" si="4"/>
        <v>2010-12</v>
      </c>
      <c r="L590" s="5">
        <v>2.95</v>
      </c>
      <c r="M590" s="3">
        <v>17920.0</v>
      </c>
      <c r="N590" s="1" t="str">
        <f t="shared" si="5"/>
        <v>Registered</v>
      </c>
      <c r="O590" s="1" t="s">
        <v>19</v>
      </c>
      <c r="P590" s="9" t="str">
        <f t="shared" si="6"/>
        <v>UK</v>
      </c>
      <c r="Q590" s="8">
        <f t="shared" si="7"/>
        <v>5.9</v>
      </c>
    </row>
    <row r="591">
      <c r="A591" s="1">
        <v>536412.0</v>
      </c>
      <c r="B591" s="1" t="str">
        <f t="shared" si="1"/>
        <v>536412</v>
      </c>
      <c r="C591" s="1" t="str">
        <f t="shared" si="2"/>
        <v>Sale</v>
      </c>
      <c r="D591" s="1">
        <v>22749.0</v>
      </c>
      <c r="E591" s="1" t="str">
        <f>IFERROR(__xludf.DUMMYFUNCTION("IF(LEN(D591)&gt;4, IFERROR(REGEXEXTRACT(TO_TEXT(D591),""\d+""),""""),"""")"),"22749")</f>
        <v>22749</v>
      </c>
      <c r="F591" s="6" t="str">
        <f t="shared" si="3"/>
        <v>Product</v>
      </c>
      <c r="G591" s="1" t="s">
        <v>34</v>
      </c>
      <c r="H591" s="6" t="str">
        <f>IFERROR(__xludf.DUMMYFUNCTION("IF(REGEXMATCH(LOWER(G591), ""^(\?)+\s*(missing)?\s*(\?)*$""), """", PROPER(SUBSTITUTE(SUBSTITUTE(G591, ""?"", """"), ""*"", """")))"),"Feltcraft Princess Charlotte Doll")</f>
        <v>Feltcraft Princess Charlotte Doll</v>
      </c>
      <c r="I591" s="3">
        <v>1.0</v>
      </c>
      <c r="J591" s="7">
        <v>40513.49236111111</v>
      </c>
      <c r="K591" s="8" t="str">
        <f t="shared" si="4"/>
        <v>2010-12</v>
      </c>
      <c r="L591" s="5">
        <v>3.75</v>
      </c>
      <c r="M591" s="3">
        <v>17920.0</v>
      </c>
      <c r="N591" s="1" t="str">
        <f t="shared" si="5"/>
        <v>Registered</v>
      </c>
      <c r="O591" s="1" t="s">
        <v>19</v>
      </c>
      <c r="P591" s="9" t="str">
        <f t="shared" si="6"/>
        <v>UK</v>
      </c>
      <c r="Q591" s="8">
        <f t="shared" si="7"/>
        <v>3.75</v>
      </c>
    </row>
    <row r="592">
      <c r="A592" s="1">
        <v>536412.0</v>
      </c>
      <c r="B592" s="1" t="str">
        <f t="shared" si="1"/>
        <v>536412</v>
      </c>
      <c r="C592" s="1" t="str">
        <f t="shared" si="2"/>
        <v>Sale</v>
      </c>
      <c r="D592" s="1">
        <v>22751.0</v>
      </c>
      <c r="E592" s="1" t="str">
        <f>IFERROR(__xludf.DUMMYFUNCTION("IF(LEN(D592)&gt;4, IFERROR(REGEXEXTRACT(TO_TEXT(D592),""\d+""),""""),"""")"),"22751")</f>
        <v>22751</v>
      </c>
      <c r="F592" s="6" t="str">
        <f t="shared" si="3"/>
        <v>Product</v>
      </c>
      <c r="G592" s="1" t="s">
        <v>451</v>
      </c>
      <c r="H592" s="6" t="str">
        <f>IFERROR(__xludf.DUMMYFUNCTION("IF(REGEXMATCH(LOWER(G592), ""^(\?)+\s*(missing)?\s*(\?)*$""), """", PROPER(SUBSTITUTE(SUBSTITUTE(G592, ""?"", """"), ""*"", """")))"),"Feltcraft Princess Olivia Doll")</f>
        <v>Feltcraft Princess Olivia Doll</v>
      </c>
      <c r="I592" s="3">
        <v>2.0</v>
      </c>
      <c r="J592" s="7">
        <v>40513.49236111111</v>
      </c>
      <c r="K592" s="8" t="str">
        <f t="shared" si="4"/>
        <v>2010-12</v>
      </c>
      <c r="L592" s="5">
        <v>3.75</v>
      </c>
      <c r="M592" s="3">
        <v>17920.0</v>
      </c>
      <c r="N592" s="1" t="str">
        <f t="shared" si="5"/>
        <v>Registered</v>
      </c>
      <c r="O592" s="1" t="s">
        <v>19</v>
      </c>
      <c r="P592" s="9" t="str">
        <f t="shared" si="6"/>
        <v>UK</v>
      </c>
      <c r="Q592" s="8">
        <f t="shared" si="7"/>
        <v>7.5</v>
      </c>
    </row>
    <row r="593">
      <c r="A593" s="1">
        <v>536412.0</v>
      </c>
      <c r="B593" s="1" t="str">
        <f t="shared" si="1"/>
        <v>536412</v>
      </c>
      <c r="C593" s="1" t="str">
        <f t="shared" si="2"/>
        <v>Sale</v>
      </c>
      <c r="D593" s="1">
        <v>21034.0</v>
      </c>
      <c r="E593" s="1" t="str">
        <f>IFERROR(__xludf.DUMMYFUNCTION("IF(LEN(D593)&gt;4, IFERROR(REGEXEXTRACT(TO_TEXT(D593),""\d+""),""""),"""")"),"21034")</f>
        <v>21034</v>
      </c>
      <c r="F593" s="6" t="str">
        <f t="shared" si="3"/>
        <v>Product</v>
      </c>
      <c r="G593" s="1" t="s">
        <v>452</v>
      </c>
      <c r="H593" s="6" t="str">
        <f>IFERROR(__xludf.DUMMYFUNCTION("IF(REGEXMATCH(LOWER(G593), ""^(\?)+\s*(missing)?\s*(\?)*$""), """", PROPER(SUBSTITUTE(SUBSTITUTE(G593, ""?"", """"), ""*"", """")))"),"Rex Cash+Carry Jumbo Shopper")</f>
        <v>Rex Cash+Carry Jumbo Shopper</v>
      </c>
      <c r="I593" s="3">
        <v>1.0</v>
      </c>
      <c r="J593" s="7">
        <v>40513.49236111111</v>
      </c>
      <c r="K593" s="8" t="str">
        <f t="shared" si="4"/>
        <v>2010-12</v>
      </c>
      <c r="L593" s="5">
        <v>0.95</v>
      </c>
      <c r="M593" s="3">
        <v>17920.0</v>
      </c>
      <c r="N593" s="1" t="str">
        <f t="shared" si="5"/>
        <v>Registered</v>
      </c>
      <c r="O593" s="1" t="s">
        <v>19</v>
      </c>
      <c r="P593" s="9" t="str">
        <f t="shared" si="6"/>
        <v>UK</v>
      </c>
      <c r="Q593" s="8">
        <f t="shared" si="7"/>
        <v>0.95</v>
      </c>
    </row>
    <row r="594">
      <c r="A594" s="1">
        <v>536412.0</v>
      </c>
      <c r="B594" s="1" t="str">
        <f t="shared" si="1"/>
        <v>536412</v>
      </c>
      <c r="C594" s="1" t="str">
        <f t="shared" si="2"/>
        <v>Sale</v>
      </c>
      <c r="D594" s="1">
        <v>22273.0</v>
      </c>
      <c r="E594" s="1" t="str">
        <f>IFERROR(__xludf.DUMMYFUNCTION("IF(LEN(D594)&gt;4, IFERROR(REGEXEXTRACT(TO_TEXT(D594),""\d+""),""""),"""")"),"22273")</f>
        <v>22273</v>
      </c>
      <c r="F594" s="6" t="str">
        <f t="shared" si="3"/>
        <v>Product</v>
      </c>
      <c r="G594" s="1" t="s">
        <v>438</v>
      </c>
      <c r="H594" s="6" t="str">
        <f>IFERROR(__xludf.DUMMYFUNCTION("IF(REGEXMATCH(LOWER(G594), ""^(\?)+\s*(missing)?\s*(\?)*$""), """", PROPER(SUBSTITUTE(SUBSTITUTE(G594, ""?"", """"), ""*"", """")))"),"Feltcraft Doll Molly")</f>
        <v>Feltcraft Doll Molly</v>
      </c>
      <c r="I594" s="3">
        <v>2.0</v>
      </c>
      <c r="J594" s="7">
        <v>40513.49236111111</v>
      </c>
      <c r="K594" s="8" t="str">
        <f t="shared" si="4"/>
        <v>2010-12</v>
      </c>
      <c r="L594" s="5">
        <v>2.95</v>
      </c>
      <c r="M594" s="3">
        <v>17920.0</v>
      </c>
      <c r="N594" s="1" t="str">
        <f t="shared" si="5"/>
        <v>Registered</v>
      </c>
      <c r="O594" s="1" t="s">
        <v>19</v>
      </c>
      <c r="P594" s="9" t="str">
        <f t="shared" si="6"/>
        <v>UK</v>
      </c>
      <c r="Q594" s="8">
        <f t="shared" si="7"/>
        <v>5.9</v>
      </c>
    </row>
    <row r="595">
      <c r="A595" s="1">
        <v>536412.0</v>
      </c>
      <c r="B595" s="1" t="str">
        <f t="shared" si="1"/>
        <v>536412</v>
      </c>
      <c r="C595" s="1" t="str">
        <f t="shared" si="2"/>
        <v>Sale</v>
      </c>
      <c r="D595" s="1">
        <v>22568.0</v>
      </c>
      <c r="E595" s="1" t="str">
        <f>IFERROR(__xludf.DUMMYFUNCTION("IF(LEN(D595)&gt;4, IFERROR(REGEXEXTRACT(TO_TEXT(D595),""\d+""),""""),"""")"),"22568")</f>
        <v>22568</v>
      </c>
      <c r="F595" s="6" t="str">
        <f t="shared" si="3"/>
        <v>Product</v>
      </c>
      <c r="G595" s="1" t="s">
        <v>395</v>
      </c>
      <c r="H595" s="6" t="str">
        <f>IFERROR(__xludf.DUMMYFUNCTION("IF(REGEXMATCH(LOWER(G595), ""^(\?)+\s*(missing)?\s*(\?)*$""), """", PROPER(SUBSTITUTE(SUBSTITUTE(G595, ""?"", """"), ""*"", """")))"),"Feltcraft Cushion Owl")</f>
        <v>Feltcraft Cushion Owl</v>
      </c>
      <c r="I595" s="3">
        <v>3.0</v>
      </c>
      <c r="J595" s="7">
        <v>40513.49236111111</v>
      </c>
      <c r="K595" s="8" t="str">
        <f t="shared" si="4"/>
        <v>2010-12</v>
      </c>
      <c r="L595" s="5">
        <v>3.75</v>
      </c>
      <c r="M595" s="3">
        <v>17920.0</v>
      </c>
      <c r="N595" s="1" t="str">
        <f t="shared" si="5"/>
        <v>Registered</v>
      </c>
      <c r="O595" s="1" t="s">
        <v>19</v>
      </c>
      <c r="P595" s="9" t="str">
        <f t="shared" si="6"/>
        <v>UK</v>
      </c>
      <c r="Q595" s="8">
        <f t="shared" si="7"/>
        <v>11.25</v>
      </c>
    </row>
    <row r="596">
      <c r="A596" s="1">
        <v>536412.0</v>
      </c>
      <c r="B596" s="1" t="str">
        <f t="shared" si="1"/>
        <v>536412</v>
      </c>
      <c r="C596" s="1" t="str">
        <f t="shared" si="2"/>
        <v>Sale</v>
      </c>
      <c r="D596" s="1">
        <v>22141.0</v>
      </c>
      <c r="E596" s="1" t="str">
        <f>IFERROR(__xludf.DUMMYFUNCTION("IF(LEN(D596)&gt;4, IFERROR(REGEXEXTRACT(TO_TEXT(D596),""\d+""),""""),"""")"),"22141")</f>
        <v>22141</v>
      </c>
      <c r="F596" s="6" t="str">
        <f t="shared" si="3"/>
        <v>Product</v>
      </c>
      <c r="G596" s="1" t="s">
        <v>446</v>
      </c>
      <c r="H596" s="6" t="str">
        <f>IFERROR(__xludf.DUMMYFUNCTION("IF(REGEXMATCH(LOWER(G596), ""^(\?)+\s*(missing)?\s*(\?)*$""), """", PROPER(SUBSTITUTE(SUBSTITUTE(G596, ""?"", """"), ""*"", """")))"),"Christmas Craft Tree Top Angel")</f>
        <v>Christmas Craft Tree Top Angel</v>
      </c>
      <c r="I596" s="3">
        <v>1.0</v>
      </c>
      <c r="J596" s="7">
        <v>40513.49236111111</v>
      </c>
      <c r="K596" s="8" t="str">
        <f t="shared" si="4"/>
        <v>2010-12</v>
      </c>
      <c r="L596" s="5">
        <v>2.1</v>
      </c>
      <c r="M596" s="3">
        <v>17920.0</v>
      </c>
      <c r="N596" s="1" t="str">
        <f t="shared" si="5"/>
        <v>Registered</v>
      </c>
      <c r="O596" s="1" t="s">
        <v>19</v>
      </c>
      <c r="P596" s="9" t="str">
        <f t="shared" si="6"/>
        <v>UK</v>
      </c>
      <c r="Q596" s="8">
        <f t="shared" si="7"/>
        <v>2.1</v>
      </c>
    </row>
    <row r="597">
      <c r="A597" s="1">
        <v>536412.0</v>
      </c>
      <c r="B597" s="1" t="str">
        <f t="shared" si="1"/>
        <v>536412</v>
      </c>
      <c r="C597" s="1" t="str">
        <f t="shared" si="2"/>
        <v>Sale</v>
      </c>
      <c r="D597" s="1">
        <v>22144.0</v>
      </c>
      <c r="E597" s="1" t="str">
        <f>IFERROR(__xludf.DUMMYFUNCTION("IF(LEN(D597)&gt;4, IFERROR(REGEXEXTRACT(TO_TEXT(D597),""\d+""),""""),"""")"),"22144")</f>
        <v>22144</v>
      </c>
      <c r="F597" s="6" t="str">
        <f t="shared" si="3"/>
        <v>Product</v>
      </c>
      <c r="G597" s="1" t="s">
        <v>447</v>
      </c>
      <c r="H597" s="6" t="str">
        <f>IFERROR(__xludf.DUMMYFUNCTION("IF(REGEXMATCH(LOWER(G597), ""^(\?)+\s*(missing)?\s*(\?)*$""), """", PROPER(SUBSTITUTE(SUBSTITUTE(G597, ""?"", """"), ""*"", """")))"),"Christmas Craft Little Friends")</f>
        <v>Christmas Craft Little Friends</v>
      </c>
      <c r="I597" s="3">
        <v>1.0</v>
      </c>
      <c r="J597" s="7">
        <v>40513.49236111111</v>
      </c>
      <c r="K597" s="8" t="str">
        <f t="shared" si="4"/>
        <v>2010-12</v>
      </c>
      <c r="L597" s="5">
        <v>2.1</v>
      </c>
      <c r="M597" s="3">
        <v>17920.0</v>
      </c>
      <c r="N597" s="1" t="str">
        <f t="shared" si="5"/>
        <v>Registered</v>
      </c>
      <c r="O597" s="1" t="s">
        <v>19</v>
      </c>
      <c r="P597" s="9" t="str">
        <f t="shared" si="6"/>
        <v>UK</v>
      </c>
      <c r="Q597" s="8">
        <f t="shared" si="7"/>
        <v>2.1</v>
      </c>
    </row>
    <row r="598">
      <c r="A598" s="1">
        <v>536412.0</v>
      </c>
      <c r="B598" s="1" t="str">
        <f t="shared" si="1"/>
        <v>536412</v>
      </c>
      <c r="C598" s="1" t="str">
        <f t="shared" si="2"/>
        <v>Sale</v>
      </c>
      <c r="D598" s="1">
        <v>22570.0</v>
      </c>
      <c r="E598" s="1" t="str">
        <f>IFERROR(__xludf.DUMMYFUNCTION("IF(LEN(D598)&gt;4, IFERROR(REGEXEXTRACT(TO_TEXT(D598),""\d+""),""""),"""")"),"22570")</f>
        <v>22570</v>
      </c>
      <c r="F598" s="6" t="str">
        <f t="shared" si="3"/>
        <v>Product</v>
      </c>
      <c r="G598" s="1" t="s">
        <v>453</v>
      </c>
      <c r="H598" s="6" t="str">
        <f>IFERROR(__xludf.DUMMYFUNCTION("IF(REGEXMATCH(LOWER(G598), ""^(\?)+\s*(missing)?\s*(\?)*$""), """", PROPER(SUBSTITUTE(SUBSTITUTE(G598, ""?"", """"), ""*"", """")))"),"Feltcraft Cushion Rabbit")</f>
        <v>Feltcraft Cushion Rabbit</v>
      </c>
      <c r="I598" s="3">
        <v>3.0</v>
      </c>
      <c r="J598" s="7">
        <v>40513.49236111111</v>
      </c>
      <c r="K598" s="8" t="str">
        <f t="shared" si="4"/>
        <v>2010-12</v>
      </c>
      <c r="L598" s="5">
        <v>3.75</v>
      </c>
      <c r="M598" s="3">
        <v>17920.0</v>
      </c>
      <c r="N598" s="1" t="str">
        <f t="shared" si="5"/>
        <v>Registered</v>
      </c>
      <c r="O598" s="1" t="s">
        <v>19</v>
      </c>
      <c r="P598" s="9" t="str">
        <f t="shared" si="6"/>
        <v>UK</v>
      </c>
      <c r="Q598" s="8">
        <f t="shared" si="7"/>
        <v>11.25</v>
      </c>
    </row>
    <row r="599">
      <c r="A599" s="1">
        <v>536412.0</v>
      </c>
      <c r="B599" s="1" t="str">
        <f t="shared" si="1"/>
        <v>536412</v>
      </c>
      <c r="C599" s="1" t="str">
        <f t="shared" si="2"/>
        <v>Sale</v>
      </c>
      <c r="D599" s="1">
        <v>22569.0</v>
      </c>
      <c r="E599" s="1" t="str">
        <f>IFERROR(__xludf.DUMMYFUNCTION("IF(LEN(D599)&gt;4, IFERROR(REGEXEXTRACT(TO_TEXT(D599),""\d+""),""""),"""")"),"22569")</f>
        <v>22569</v>
      </c>
      <c r="F599" s="6" t="str">
        <f t="shared" si="3"/>
        <v>Product</v>
      </c>
      <c r="G599" s="1" t="s">
        <v>454</v>
      </c>
      <c r="H599" s="6" t="str">
        <f>IFERROR(__xludf.DUMMYFUNCTION("IF(REGEXMATCH(LOWER(G599), ""^(\?)+\s*(missing)?\s*(\?)*$""), """", PROPER(SUBSTITUTE(SUBSTITUTE(G599, ""?"", """"), ""*"", """")))"),"Feltcraft Cushion Butterfly")</f>
        <v>Feltcraft Cushion Butterfly</v>
      </c>
      <c r="I599" s="3">
        <v>2.0</v>
      </c>
      <c r="J599" s="7">
        <v>40513.49236111111</v>
      </c>
      <c r="K599" s="8" t="str">
        <f t="shared" si="4"/>
        <v>2010-12</v>
      </c>
      <c r="L599" s="5">
        <v>3.75</v>
      </c>
      <c r="M599" s="3">
        <v>17920.0</v>
      </c>
      <c r="N599" s="1" t="str">
        <f t="shared" si="5"/>
        <v>Registered</v>
      </c>
      <c r="O599" s="1" t="s">
        <v>19</v>
      </c>
      <c r="P599" s="9" t="str">
        <f t="shared" si="6"/>
        <v>UK</v>
      </c>
      <c r="Q599" s="8">
        <f t="shared" si="7"/>
        <v>7.5</v>
      </c>
    </row>
    <row r="600">
      <c r="A600" s="1">
        <v>536412.0</v>
      </c>
      <c r="B600" s="1" t="str">
        <f t="shared" si="1"/>
        <v>536412</v>
      </c>
      <c r="C600" s="1" t="str">
        <f t="shared" si="2"/>
        <v>Sale</v>
      </c>
      <c r="D600" s="1">
        <v>21448.0</v>
      </c>
      <c r="E600" s="1" t="str">
        <f>IFERROR(__xludf.DUMMYFUNCTION("IF(LEN(D600)&gt;4, IFERROR(REGEXEXTRACT(TO_TEXT(D600),""\d+""),""""),"""")"),"21448")</f>
        <v>21448</v>
      </c>
      <c r="F600" s="6" t="str">
        <f t="shared" si="3"/>
        <v>Product</v>
      </c>
      <c r="G600" s="1" t="s">
        <v>444</v>
      </c>
      <c r="H600" s="6" t="str">
        <f>IFERROR(__xludf.DUMMYFUNCTION("IF(REGEXMATCH(LOWER(G600), ""^(\?)+\s*(missing)?\s*(\?)*$""), """", PROPER(SUBSTITUTE(SUBSTITUTE(G600, ""?"", """"), ""*"", """")))"),"12 Daisy Pegs In Wood Box")</f>
        <v>12 Daisy Pegs In Wood Box</v>
      </c>
      <c r="I600" s="3">
        <v>1.0</v>
      </c>
      <c r="J600" s="7">
        <v>40513.49236111111</v>
      </c>
      <c r="K600" s="8" t="str">
        <f t="shared" si="4"/>
        <v>2010-12</v>
      </c>
      <c r="L600" s="5">
        <v>1.65</v>
      </c>
      <c r="M600" s="3">
        <v>17920.0</v>
      </c>
      <c r="N600" s="1" t="str">
        <f t="shared" si="5"/>
        <v>Registered</v>
      </c>
      <c r="O600" s="1" t="s">
        <v>19</v>
      </c>
      <c r="P600" s="9" t="str">
        <f t="shared" si="6"/>
        <v>UK</v>
      </c>
      <c r="Q600" s="8">
        <f t="shared" si="7"/>
        <v>1.65</v>
      </c>
    </row>
    <row r="601">
      <c r="A601" s="1">
        <v>536412.0</v>
      </c>
      <c r="B601" s="1" t="str">
        <f t="shared" si="1"/>
        <v>536412</v>
      </c>
      <c r="C601" s="1" t="str">
        <f t="shared" si="2"/>
        <v>Sale</v>
      </c>
      <c r="D601" s="1">
        <v>22086.0</v>
      </c>
      <c r="E601" s="1" t="str">
        <f>IFERROR(__xludf.DUMMYFUNCTION("IF(LEN(D601)&gt;4, IFERROR(REGEXEXTRACT(TO_TEXT(D601),""\d+""),""""),"""")"),"22086")</f>
        <v>22086</v>
      </c>
      <c r="F601" s="6" t="str">
        <f t="shared" si="3"/>
        <v>Product</v>
      </c>
      <c r="G601" s="1" t="s">
        <v>70</v>
      </c>
      <c r="H601" s="6" t="str">
        <f>IFERROR(__xludf.DUMMYFUNCTION("IF(REGEXMATCH(LOWER(G601), ""^(\?)+\s*(missing)?\s*(\?)*$""), """", PROPER(SUBSTITUTE(SUBSTITUTE(G601, ""?"", """"), ""*"", """")))"),"Paper Chain Kit 50'S Christmas")</f>
        <v>Paper Chain Kit 50'S Christmas</v>
      </c>
      <c r="I601" s="3">
        <v>1.0</v>
      </c>
      <c r="J601" s="7">
        <v>40513.49236111111</v>
      </c>
      <c r="K601" s="8" t="str">
        <f t="shared" si="4"/>
        <v>2010-12</v>
      </c>
      <c r="L601" s="5">
        <v>2.95</v>
      </c>
      <c r="M601" s="3">
        <v>17920.0</v>
      </c>
      <c r="N601" s="1" t="str">
        <f t="shared" si="5"/>
        <v>Registered</v>
      </c>
      <c r="O601" s="1" t="s">
        <v>19</v>
      </c>
      <c r="P601" s="9" t="str">
        <f t="shared" si="6"/>
        <v>UK</v>
      </c>
      <c r="Q601" s="8">
        <f t="shared" si="7"/>
        <v>2.95</v>
      </c>
    </row>
    <row r="602">
      <c r="A602" s="1">
        <v>536412.0</v>
      </c>
      <c r="B602" s="1" t="str">
        <f t="shared" si="1"/>
        <v>536412</v>
      </c>
      <c r="C602" s="1" t="str">
        <f t="shared" si="2"/>
        <v>Sale</v>
      </c>
      <c r="D602" s="1">
        <v>22569.0</v>
      </c>
      <c r="E602" s="1" t="str">
        <f>IFERROR(__xludf.DUMMYFUNCTION("IF(LEN(D602)&gt;4, IFERROR(REGEXEXTRACT(TO_TEXT(D602),""\d+""),""""),"""")"),"22569")</f>
        <v>22569</v>
      </c>
      <c r="F602" s="6" t="str">
        <f t="shared" si="3"/>
        <v>Product</v>
      </c>
      <c r="G602" s="1" t="s">
        <v>454</v>
      </c>
      <c r="H602" s="6" t="str">
        <f>IFERROR(__xludf.DUMMYFUNCTION("IF(REGEXMATCH(LOWER(G602), ""^(\?)+\s*(missing)?\s*(\?)*$""), """", PROPER(SUBSTITUTE(SUBSTITUTE(G602, ""?"", """"), ""*"", """")))"),"Feltcraft Cushion Butterfly")</f>
        <v>Feltcraft Cushion Butterfly</v>
      </c>
      <c r="I602" s="3">
        <v>2.0</v>
      </c>
      <c r="J602" s="7">
        <v>40513.49236111111</v>
      </c>
      <c r="K602" s="8" t="str">
        <f t="shared" si="4"/>
        <v>2010-12</v>
      </c>
      <c r="L602" s="5">
        <v>3.75</v>
      </c>
      <c r="M602" s="3">
        <v>17920.0</v>
      </c>
      <c r="N602" s="1" t="str">
        <f t="shared" si="5"/>
        <v>Registered</v>
      </c>
      <c r="O602" s="1" t="s">
        <v>19</v>
      </c>
      <c r="P602" s="9" t="str">
        <f t="shared" si="6"/>
        <v>UK</v>
      </c>
      <c r="Q602" s="8">
        <f t="shared" si="7"/>
        <v>7.5</v>
      </c>
    </row>
    <row r="603">
      <c r="A603" s="1">
        <v>536412.0</v>
      </c>
      <c r="B603" s="1" t="str">
        <f t="shared" si="1"/>
        <v>536412</v>
      </c>
      <c r="C603" s="1" t="str">
        <f t="shared" si="2"/>
        <v>Sale</v>
      </c>
      <c r="D603" s="1">
        <v>21448.0</v>
      </c>
      <c r="E603" s="1" t="str">
        <f>IFERROR(__xludf.DUMMYFUNCTION("IF(LEN(D603)&gt;4, IFERROR(REGEXEXTRACT(TO_TEXT(D603),""\d+""),""""),"""")"),"21448")</f>
        <v>21448</v>
      </c>
      <c r="F603" s="6" t="str">
        <f t="shared" si="3"/>
        <v>Product</v>
      </c>
      <c r="G603" s="1" t="s">
        <v>444</v>
      </c>
      <c r="H603" s="6" t="str">
        <f>IFERROR(__xludf.DUMMYFUNCTION("IF(REGEXMATCH(LOWER(G603), ""^(\?)+\s*(missing)?\s*(\?)*$""), """", PROPER(SUBSTITUTE(SUBSTITUTE(G603, ""?"", """"), ""*"", """")))"),"12 Daisy Pegs In Wood Box")</f>
        <v>12 Daisy Pegs In Wood Box</v>
      </c>
      <c r="I603" s="3">
        <v>2.0</v>
      </c>
      <c r="J603" s="7">
        <v>40513.49236111111</v>
      </c>
      <c r="K603" s="8" t="str">
        <f t="shared" si="4"/>
        <v>2010-12</v>
      </c>
      <c r="L603" s="5">
        <v>1.65</v>
      </c>
      <c r="M603" s="3">
        <v>17920.0</v>
      </c>
      <c r="N603" s="1" t="str">
        <f t="shared" si="5"/>
        <v>Registered</v>
      </c>
      <c r="O603" s="1" t="s">
        <v>19</v>
      </c>
      <c r="P603" s="9" t="str">
        <f t="shared" si="6"/>
        <v>UK</v>
      </c>
      <c r="Q603" s="8">
        <f t="shared" si="7"/>
        <v>3.3</v>
      </c>
    </row>
    <row r="604">
      <c r="A604" s="1">
        <v>536412.0</v>
      </c>
      <c r="B604" s="1" t="str">
        <f t="shared" si="1"/>
        <v>536412</v>
      </c>
      <c r="C604" s="1" t="str">
        <f t="shared" si="2"/>
        <v>Sale</v>
      </c>
      <c r="D604" s="1">
        <v>22968.0</v>
      </c>
      <c r="E604" s="1" t="str">
        <f>IFERROR(__xludf.DUMMYFUNCTION("IF(LEN(D604)&gt;4, IFERROR(REGEXEXTRACT(TO_TEXT(D604),""\d+""),""""),"""")"),"22968")</f>
        <v>22968</v>
      </c>
      <c r="F604" s="6" t="str">
        <f t="shared" si="3"/>
        <v>Product</v>
      </c>
      <c r="G604" s="1" t="s">
        <v>212</v>
      </c>
      <c r="H604" s="6" t="str">
        <f>IFERROR(__xludf.DUMMYFUNCTION("IF(REGEXMATCH(LOWER(G604), ""^(\?)+\s*(missing)?\s*(\?)*$""), """", PROPER(SUBSTITUTE(SUBSTITUTE(G604, ""?"", """"), ""*"", """")))"),"Rose Cottage Keepsake Box")</f>
        <v>Rose Cottage Keepsake Box</v>
      </c>
      <c r="I604" s="3">
        <v>4.0</v>
      </c>
      <c r="J604" s="7">
        <v>40513.49236111111</v>
      </c>
      <c r="K604" s="8" t="str">
        <f t="shared" si="4"/>
        <v>2010-12</v>
      </c>
      <c r="L604" s="5">
        <v>9.95</v>
      </c>
      <c r="M604" s="3">
        <v>17920.0</v>
      </c>
      <c r="N604" s="1" t="str">
        <f t="shared" si="5"/>
        <v>Registered</v>
      </c>
      <c r="O604" s="1" t="s">
        <v>19</v>
      </c>
      <c r="P604" s="9" t="str">
        <f t="shared" si="6"/>
        <v>UK</v>
      </c>
      <c r="Q604" s="8">
        <f t="shared" si="7"/>
        <v>39.8</v>
      </c>
    </row>
    <row r="605">
      <c r="A605" s="1">
        <v>536412.0</v>
      </c>
      <c r="B605" s="1" t="str">
        <f t="shared" si="1"/>
        <v>536412</v>
      </c>
      <c r="C605" s="1" t="str">
        <f t="shared" si="2"/>
        <v>Sale</v>
      </c>
      <c r="D605" s="1">
        <v>22902.0</v>
      </c>
      <c r="E605" s="1" t="str">
        <f>IFERROR(__xludf.DUMMYFUNCTION("IF(LEN(D605)&gt;4, IFERROR(REGEXEXTRACT(TO_TEXT(D605),""\d+""),""""),"""")"),"22902")</f>
        <v>22902</v>
      </c>
      <c r="F605" s="6" t="str">
        <f t="shared" si="3"/>
        <v>Product</v>
      </c>
      <c r="G605" s="1" t="s">
        <v>455</v>
      </c>
      <c r="H605" s="6" t="str">
        <f>IFERROR(__xludf.DUMMYFUNCTION("IF(REGEXMATCH(LOWER(G605), ""^(\?)+\s*(missing)?\s*(\?)*$""), """", PROPER(SUBSTITUTE(SUBSTITUTE(G605, ""?"", """"), ""*"", """")))"),"Tote Bag I Love London")</f>
        <v>Tote Bag I Love London</v>
      </c>
      <c r="I605" s="3">
        <v>7.0</v>
      </c>
      <c r="J605" s="7">
        <v>40513.49236111111</v>
      </c>
      <c r="K605" s="8" t="str">
        <f t="shared" si="4"/>
        <v>2010-12</v>
      </c>
      <c r="L605" s="5">
        <v>2.1</v>
      </c>
      <c r="M605" s="3">
        <v>17920.0</v>
      </c>
      <c r="N605" s="1" t="str">
        <f t="shared" si="5"/>
        <v>Registered</v>
      </c>
      <c r="O605" s="1" t="s">
        <v>19</v>
      </c>
      <c r="P605" s="9" t="str">
        <f t="shared" si="6"/>
        <v>UK</v>
      </c>
      <c r="Q605" s="8">
        <f t="shared" si="7"/>
        <v>14.7</v>
      </c>
    </row>
    <row r="606">
      <c r="A606" s="1">
        <v>536412.0</v>
      </c>
      <c r="B606" s="1" t="str">
        <f t="shared" si="1"/>
        <v>536412</v>
      </c>
      <c r="C606" s="1" t="str">
        <f t="shared" si="2"/>
        <v>Sale</v>
      </c>
      <c r="D606" s="1">
        <v>21448.0</v>
      </c>
      <c r="E606" s="1" t="str">
        <f>IFERROR(__xludf.DUMMYFUNCTION("IF(LEN(D606)&gt;4, IFERROR(REGEXEXTRACT(TO_TEXT(D606),""\d+""),""""),"""")"),"21448")</f>
        <v>21448</v>
      </c>
      <c r="F606" s="6" t="str">
        <f t="shared" si="3"/>
        <v>Product</v>
      </c>
      <c r="G606" s="1" t="s">
        <v>444</v>
      </c>
      <c r="H606" s="6" t="str">
        <f>IFERROR(__xludf.DUMMYFUNCTION("IF(REGEXMATCH(LOWER(G606), ""^(\?)+\s*(missing)?\s*(\?)*$""), """", PROPER(SUBSTITUTE(SUBSTITUTE(G606, ""?"", """"), ""*"", """")))"),"12 Daisy Pegs In Wood Box")</f>
        <v>12 Daisy Pegs In Wood Box</v>
      </c>
      <c r="I606" s="3">
        <v>2.0</v>
      </c>
      <c r="J606" s="7">
        <v>40513.49236111111</v>
      </c>
      <c r="K606" s="8" t="str">
        <f t="shared" si="4"/>
        <v>2010-12</v>
      </c>
      <c r="L606" s="5">
        <v>1.65</v>
      </c>
      <c r="M606" s="3">
        <v>17920.0</v>
      </c>
      <c r="N606" s="1" t="str">
        <f t="shared" si="5"/>
        <v>Registered</v>
      </c>
      <c r="O606" s="1" t="s">
        <v>19</v>
      </c>
      <c r="P606" s="9" t="str">
        <f t="shared" si="6"/>
        <v>UK</v>
      </c>
      <c r="Q606" s="8">
        <f t="shared" si="7"/>
        <v>3.3</v>
      </c>
    </row>
    <row r="607">
      <c r="A607" s="1">
        <v>536412.0</v>
      </c>
      <c r="B607" s="1" t="str">
        <f t="shared" si="1"/>
        <v>536412</v>
      </c>
      <c r="C607" s="1" t="str">
        <f t="shared" si="2"/>
        <v>Sale</v>
      </c>
      <c r="D607" s="1">
        <v>22902.0</v>
      </c>
      <c r="E607" s="1" t="str">
        <f>IFERROR(__xludf.DUMMYFUNCTION("IF(LEN(D607)&gt;4, IFERROR(REGEXEXTRACT(TO_TEXT(D607),""\d+""),""""),"""")"),"22902")</f>
        <v>22902</v>
      </c>
      <c r="F607" s="6" t="str">
        <f t="shared" si="3"/>
        <v>Product</v>
      </c>
      <c r="G607" s="1" t="s">
        <v>455</v>
      </c>
      <c r="H607" s="6" t="str">
        <f>IFERROR(__xludf.DUMMYFUNCTION("IF(REGEXMATCH(LOWER(G607), ""^(\?)+\s*(missing)?\s*(\?)*$""), """", PROPER(SUBSTITUTE(SUBSTITUTE(G607, ""?"", """"), ""*"", """")))"),"Tote Bag I Love London")</f>
        <v>Tote Bag I Love London</v>
      </c>
      <c r="I607" s="3">
        <v>7.0</v>
      </c>
      <c r="J607" s="7">
        <v>40513.49236111111</v>
      </c>
      <c r="K607" s="8" t="str">
        <f t="shared" si="4"/>
        <v>2010-12</v>
      </c>
      <c r="L607" s="5">
        <v>2.1</v>
      </c>
      <c r="M607" s="3">
        <v>17920.0</v>
      </c>
      <c r="N607" s="1" t="str">
        <f t="shared" si="5"/>
        <v>Registered</v>
      </c>
      <c r="O607" s="1" t="s">
        <v>19</v>
      </c>
      <c r="P607" s="9" t="str">
        <f t="shared" si="6"/>
        <v>UK</v>
      </c>
      <c r="Q607" s="8">
        <f t="shared" si="7"/>
        <v>14.7</v>
      </c>
    </row>
    <row r="608">
      <c r="A608" s="1">
        <v>536412.0</v>
      </c>
      <c r="B608" s="1" t="str">
        <f t="shared" si="1"/>
        <v>536412</v>
      </c>
      <c r="C608" s="1" t="str">
        <f t="shared" si="2"/>
        <v>Sale</v>
      </c>
      <c r="D608" s="1">
        <v>21710.0</v>
      </c>
      <c r="E608" s="1" t="str">
        <f>IFERROR(__xludf.DUMMYFUNCTION("IF(LEN(D608)&gt;4, IFERROR(REGEXEXTRACT(TO_TEXT(D608),""\d+""),""""),"""")"),"21710")</f>
        <v>21710</v>
      </c>
      <c r="F608" s="6" t="str">
        <f t="shared" si="3"/>
        <v>Product</v>
      </c>
      <c r="G608" s="1" t="s">
        <v>456</v>
      </c>
      <c r="H608" s="6" t="str">
        <f>IFERROR(__xludf.DUMMYFUNCTION("IF(REGEXMATCH(LOWER(G608), ""^(\?)+\s*(missing)?\s*(\?)*$""), """", PROPER(SUBSTITUTE(SUBSTITUTE(G608, ""?"", """"), ""*"", """")))"),"Folding Umbrella Pinkwhite Polkadot")</f>
        <v>Folding Umbrella Pinkwhite Polkadot</v>
      </c>
      <c r="I608" s="3">
        <v>1.0</v>
      </c>
      <c r="J608" s="7">
        <v>40513.49236111111</v>
      </c>
      <c r="K608" s="8" t="str">
        <f t="shared" si="4"/>
        <v>2010-12</v>
      </c>
      <c r="L608" s="5">
        <v>4.95</v>
      </c>
      <c r="M608" s="3">
        <v>17920.0</v>
      </c>
      <c r="N608" s="1" t="str">
        <f t="shared" si="5"/>
        <v>Registered</v>
      </c>
      <c r="O608" s="1" t="s">
        <v>19</v>
      </c>
      <c r="P608" s="9" t="str">
        <f t="shared" si="6"/>
        <v>UK</v>
      </c>
      <c r="Q608" s="8">
        <f t="shared" si="7"/>
        <v>4.95</v>
      </c>
    </row>
    <row r="609">
      <c r="A609" s="1">
        <v>536412.0</v>
      </c>
      <c r="B609" s="1" t="str">
        <f t="shared" si="1"/>
        <v>536412</v>
      </c>
      <c r="C609" s="1" t="str">
        <f t="shared" si="2"/>
        <v>Sale</v>
      </c>
      <c r="D609" s="1">
        <v>21708.0</v>
      </c>
      <c r="E609" s="1" t="str">
        <f>IFERROR(__xludf.DUMMYFUNCTION("IF(LEN(D609)&gt;4, IFERROR(REGEXEXTRACT(TO_TEXT(D609),""\d+""),""""),"""")"),"21708")</f>
        <v>21708</v>
      </c>
      <c r="F609" s="6" t="str">
        <f t="shared" si="3"/>
        <v>Product</v>
      </c>
      <c r="G609" s="1" t="s">
        <v>457</v>
      </c>
      <c r="H609" s="6" t="str">
        <f>IFERROR(__xludf.DUMMYFUNCTION("IF(REGEXMATCH(LOWER(G609), ""^(\?)+\s*(missing)?\s*(\?)*$""), """", PROPER(SUBSTITUTE(SUBSTITUTE(G609, ""?"", """"), ""*"", """")))"),"Folding Umbrella Cream Polkadot")</f>
        <v>Folding Umbrella Cream Polkadot</v>
      </c>
      <c r="I609" s="3">
        <v>1.0</v>
      </c>
      <c r="J609" s="7">
        <v>40513.49236111111</v>
      </c>
      <c r="K609" s="8" t="str">
        <f t="shared" si="4"/>
        <v>2010-12</v>
      </c>
      <c r="L609" s="5">
        <v>4.95</v>
      </c>
      <c r="M609" s="3">
        <v>17920.0</v>
      </c>
      <c r="N609" s="1" t="str">
        <f t="shared" si="5"/>
        <v>Registered</v>
      </c>
      <c r="O609" s="1" t="s">
        <v>19</v>
      </c>
      <c r="P609" s="9" t="str">
        <f t="shared" si="6"/>
        <v>UK</v>
      </c>
      <c r="Q609" s="8">
        <f t="shared" si="7"/>
        <v>4.95</v>
      </c>
    </row>
    <row r="610">
      <c r="A610" s="1">
        <v>536412.0</v>
      </c>
      <c r="B610" s="1" t="str">
        <f t="shared" si="1"/>
        <v>536412</v>
      </c>
      <c r="C610" s="1" t="str">
        <f t="shared" si="2"/>
        <v>Sale</v>
      </c>
      <c r="D610" s="1">
        <v>21711.0</v>
      </c>
      <c r="E610" s="1" t="str">
        <f>IFERROR(__xludf.DUMMYFUNCTION("IF(LEN(D610)&gt;4, IFERROR(REGEXEXTRACT(TO_TEXT(D610),""\d+""),""""),"""")"),"21711")</f>
        <v>21711</v>
      </c>
      <c r="F610" s="6" t="str">
        <f t="shared" si="3"/>
        <v>Product</v>
      </c>
      <c r="G610" s="1" t="s">
        <v>458</v>
      </c>
      <c r="H610" s="6" t="str">
        <f>IFERROR(__xludf.DUMMYFUNCTION("IF(REGEXMATCH(LOWER(G610), ""^(\?)+\s*(missing)?\s*(\?)*$""), """", PROPER(SUBSTITUTE(SUBSTITUTE(G610, ""?"", """"), ""*"", """")))"),"Folding Umbrella White/Red Polkadot")</f>
        <v>Folding Umbrella White/Red Polkadot</v>
      </c>
      <c r="I610" s="3">
        <v>1.0</v>
      </c>
      <c r="J610" s="7">
        <v>40513.49236111111</v>
      </c>
      <c r="K610" s="8" t="str">
        <f t="shared" si="4"/>
        <v>2010-12</v>
      </c>
      <c r="L610" s="5">
        <v>4.95</v>
      </c>
      <c r="M610" s="3">
        <v>17920.0</v>
      </c>
      <c r="N610" s="1" t="str">
        <f t="shared" si="5"/>
        <v>Registered</v>
      </c>
      <c r="O610" s="1" t="s">
        <v>19</v>
      </c>
      <c r="P610" s="9" t="str">
        <f t="shared" si="6"/>
        <v>UK</v>
      </c>
      <c r="Q610" s="8">
        <f t="shared" si="7"/>
        <v>4.95</v>
      </c>
    </row>
    <row r="611">
      <c r="A611" s="1">
        <v>536412.0</v>
      </c>
      <c r="B611" s="1" t="str">
        <f t="shared" si="1"/>
        <v>536412</v>
      </c>
      <c r="C611" s="1" t="str">
        <f t="shared" si="2"/>
        <v>Sale</v>
      </c>
      <c r="D611" s="1">
        <v>22179.0</v>
      </c>
      <c r="E611" s="1" t="str">
        <f>IFERROR(__xludf.DUMMYFUNCTION("IF(LEN(D611)&gt;4, IFERROR(REGEXEXTRACT(TO_TEXT(D611),""\d+""),""""),"""")"),"22179")</f>
        <v>22179</v>
      </c>
      <c r="F611" s="6" t="str">
        <f t="shared" si="3"/>
        <v>Product</v>
      </c>
      <c r="G611" s="1" t="s">
        <v>459</v>
      </c>
      <c r="H611" s="6" t="str">
        <f>IFERROR(__xludf.DUMMYFUNCTION("IF(REGEXMATCH(LOWER(G611), ""^(\?)+\s*(missing)?\s*(\?)*$""), """", PROPER(SUBSTITUTE(SUBSTITUTE(G611, ""?"", """"), ""*"", """")))"),"Set 10 Lights Night Owl")</f>
        <v>Set 10 Lights Night Owl</v>
      </c>
      <c r="I611" s="3">
        <v>2.0</v>
      </c>
      <c r="J611" s="7">
        <v>40513.49236111111</v>
      </c>
      <c r="K611" s="8" t="str">
        <f t="shared" si="4"/>
        <v>2010-12</v>
      </c>
      <c r="L611" s="5">
        <v>6.75</v>
      </c>
      <c r="M611" s="3">
        <v>17920.0</v>
      </c>
      <c r="N611" s="1" t="str">
        <f t="shared" si="5"/>
        <v>Registered</v>
      </c>
      <c r="O611" s="1" t="s">
        <v>19</v>
      </c>
      <c r="P611" s="9" t="str">
        <f t="shared" si="6"/>
        <v>UK</v>
      </c>
      <c r="Q611" s="8">
        <f t="shared" si="7"/>
        <v>13.5</v>
      </c>
    </row>
    <row r="612">
      <c r="A612" s="1">
        <v>536412.0</v>
      </c>
      <c r="B612" s="1" t="str">
        <f t="shared" si="1"/>
        <v>536412</v>
      </c>
      <c r="C612" s="1" t="str">
        <f t="shared" si="2"/>
        <v>Sale</v>
      </c>
      <c r="D612" s="1">
        <v>22197.0</v>
      </c>
      <c r="E612" s="1" t="str">
        <f>IFERROR(__xludf.DUMMYFUNCTION("IF(LEN(D612)&gt;4, IFERROR(REGEXEXTRACT(TO_TEXT(D612),""\d+""),""""),"""")"),"22197")</f>
        <v>22197</v>
      </c>
      <c r="F612" s="6" t="str">
        <f t="shared" si="3"/>
        <v>Product</v>
      </c>
      <c r="G612" s="1" t="s">
        <v>217</v>
      </c>
      <c r="H612" s="6" t="str">
        <f>IFERROR(__xludf.DUMMYFUNCTION("IF(REGEXMATCH(LOWER(G612), ""^(\?)+\s*(missing)?\s*(\?)*$""), """", PROPER(SUBSTITUTE(SUBSTITUTE(G612, ""?"", """"), ""*"", """")))"),"Small Popcorn Holder")</f>
        <v>Small Popcorn Holder</v>
      </c>
      <c r="I612" s="3">
        <v>5.0</v>
      </c>
      <c r="J612" s="7">
        <v>40513.49236111111</v>
      </c>
      <c r="K612" s="8" t="str">
        <f t="shared" si="4"/>
        <v>2010-12</v>
      </c>
      <c r="L612" s="5">
        <v>0.85</v>
      </c>
      <c r="M612" s="3">
        <v>17920.0</v>
      </c>
      <c r="N612" s="1" t="str">
        <f t="shared" si="5"/>
        <v>Registered</v>
      </c>
      <c r="O612" s="1" t="s">
        <v>19</v>
      </c>
      <c r="P612" s="9" t="str">
        <f t="shared" si="6"/>
        <v>UK</v>
      </c>
      <c r="Q612" s="8">
        <f t="shared" si="7"/>
        <v>4.25</v>
      </c>
    </row>
    <row r="613">
      <c r="A613" s="1">
        <v>536412.0</v>
      </c>
      <c r="B613" s="1" t="str">
        <f t="shared" si="1"/>
        <v>536412</v>
      </c>
      <c r="C613" s="1" t="str">
        <f t="shared" si="2"/>
        <v>Sale</v>
      </c>
      <c r="D613" s="1">
        <v>22900.0</v>
      </c>
      <c r="E613" s="1" t="str">
        <f>IFERROR(__xludf.DUMMYFUNCTION("IF(LEN(D613)&gt;4, IFERROR(REGEXEXTRACT(TO_TEXT(D613),""\d+""),""""),"""")"),"22900")</f>
        <v>22900</v>
      </c>
      <c r="F613" s="6" t="str">
        <f t="shared" si="3"/>
        <v>Product</v>
      </c>
      <c r="G613" s="1" t="s">
        <v>63</v>
      </c>
      <c r="H613" s="6" t="str">
        <f>IFERROR(__xludf.DUMMYFUNCTION("IF(REGEXMATCH(LOWER(G613), ""^(\?)+\s*(missing)?\s*(\?)*$""), """", PROPER(SUBSTITUTE(SUBSTITUTE(G613, ""?"", """"), ""*"", """")))"),"Set 2 Tea Towels I Love London")</f>
        <v>Set 2 Tea Towels I Love London</v>
      </c>
      <c r="I613" s="3">
        <v>2.0</v>
      </c>
      <c r="J613" s="7">
        <v>40513.49236111111</v>
      </c>
      <c r="K613" s="8" t="str">
        <f t="shared" si="4"/>
        <v>2010-12</v>
      </c>
      <c r="L613" s="5">
        <v>2.95</v>
      </c>
      <c r="M613" s="3">
        <v>17920.0</v>
      </c>
      <c r="N613" s="1" t="str">
        <f t="shared" si="5"/>
        <v>Registered</v>
      </c>
      <c r="O613" s="1" t="s">
        <v>19</v>
      </c>
      <c r="P613" s="9" t="str">
        <f t="shared" si="6"/>
        <v>UK</v>
      </c>
      <c r="Q613" s="8">
        <f t="shared" si="7"/>
        <v>5.9</v>
      </c>
    </row>
    <row r="614">
      <c r="A614" s="1">
        <v>536412.0</v>
      </c>
      <c r="B614" s="1" t="str">
        <f t="shared" si="1"/>
        <v>536412</v>
      </c>
      <c r="C614" s="1" t="str">
        <f t="shared" si="2"/>
        <v>Sale</v>
      </c>
      <c r="D614" s="1">
        <v>21706.0</v>
      </c>
      <c r="E614" s="1" t="str">
        <f>IFERROR(__xludf.DUMMYFUNCTION("IF(LEN(D614)&gt;4, IFERROR(REGEXEXTRACT(TO_TEXT(D614),""\d+""),""""),"""")"),"21706")</f>
        <v>21706</v>
      </c>
      <c r="F614" s="6" t="str">
        <f t="shared" si="3"/>
        <v>Product</v>
      </c>
      <c r="G614" s="1" t="s">
        <v>460</v>
      </c>
      <c r="H614" s="6" t="str">
        <f>IFERROR(__xludf.DUMMYFUNCTION("IF(REGEXMATCH(LOWER(G614), ""^(\?)+\s*(missing)?\s*(\?)*$""), """", PROPER(SUBSTITUTE(SUBSTITUTE(G614, ""?"", """"), ""*"", """")))"),"Folding Umbrella Red/White Polkadot")</f>
        <v>Folding Umbrella Red/White Polkadot</v>
      </c>
      <c r="I614" s="3">
        <v>1.0</v>
      </c>
      <c r="J614" s="7">
        <v>40513.49236111111</v>
      </c>
      <c r="K614" s="8" t="str">
        <f t="shared" si="4"/>
        <v>2010-12</v>
      </c>
      <c r="L614" s="5">
        <v>4.95</v>
      </c>
      <c r="M614" s="3">
        <v>17920.0</v>
      </c>
      <c r="N614" s="1" t="str">
        <f t="shared" si="5"/>
        <v>Registered</v>
      </c>
      <c r="O614" s="1" t="s">
        <v>19</v>
      </c>
      <c r="P614" s="9" t="str">
        <f t="shared" si="6"/>
        <v>UK</v>
      </c>
      <c r="Q614" s="8">
        <f t="shared" si="7"/>
        <v>4.95</v>
      </c>
    </row>
    <row r="615">
      <c r="A615" s="1">
        <v>536412.0</v>
      </c>
      <c r="B615" s="1" t="str">
        <f t="shared" si="1"/>
        <v>536412</v>
      </c>
      <c r="C615" s="1" t="str">
        <f t="shared" si="2"/>
        <v>Sale</v>
      </c>
      <c r="D615" s="1">
        <v>22468.0</v>
      </c>
      <c r="E615" s="1" t="str">
        <f>IFERROR(__xludf.DUMMYFUNCTION("IF(LEN(D615)&gt;4, IFERROR(REGEXEXTRACT(TO_TEXT(D615),""\d+""),""""),"""")"),"22468")</f>
        <v>22468</v>
      </c>
      <c r="F615" s="6" t="str">
        <f t="shared" si="3"/>
        <v>Product</v>
      </c>
      <c r="G615" s="1" t="s">
        <v>262</v>
      </c>
      <c r="H615" s="6" t="str">
        <f>IFERROR(__xludf.DUMMYFUNCTION("IF(REGEXMATCH(LOWER(G615), ""^(\?)+\s*(missing)?\s*(\?)*$""), """", PROPER(SUBSTITUTE(SUBSTITUTE(G615, ""?"", """"), ""*"", """")))"),"Babushka Lights String Of 10")</f>
        <v>Babushka Lights String Of 10</v>
      </c>
      <c r="I615" s="3">
        <v>2.0</v>
      </c>
      <c r="J615" s="7">
        <v>40513.49236111111</v>
      </c>
      <c r="K615" s="8" t="str">
        <f t="shared" si="4"/>
        <v>2010-12</v>
      </c>
      <c r="L615" s="5">
        <v>6.75</v>
      </c>
      <c r="M615" s="3">
        <v>17920.0</v>
      </c>
      <c r="N615" s="1" t="str">
        <f t="shared" si="5"/>
        <v>Registered</v>
      </c>
      <c r="O615" s="1" t="s">
        <v>19</v>
      </c>
      <c r="P615" s="9" t="str">
        <f t="shared" si="6"/>
        <v>UK</v>
      </c>
      <c r="Q615" s="8">
        <f t="shared" si="7"/>
        <v>13.5</v>
      </c>
    </row>
    <row r="616">
      <c r="A616" s="1">
        <v>536412.0</v>
      </c>
      <c r="B616" s="1" t="str">
        <f t="shared" si="1"/>
        <v>536412</v>
      </c>
      <c r="C616" s="1" t="str">
        <f t="shared" si="2"/>
        <v>Sale</v>
      </c>
      <c r="D616" s="1">
        <v>20725.0</v>
      </c>
      <c r="E616" s="1" t="str">
        <f>IFERROR(__xludf.DUMMYFUNCTION("IF(LEN(D616)&gt;4, IFERROR(REGEXEXTRACT(TO_TEXT(D616),""\d+""),""""),"""")"),"20725")</f>
        <v>20725</v>
      </c>
      <c r="F616" s="6" t="str">
        <f t="shared" si="3"/>
        <v>Product</v>
      </c>
      <c r="G616" s="1" t="s">
        <v>94</v>
      </c>
      <c r="H616" s="6" t="str">
        <f>IFERROR(__xludf.DUMMYFUNCTION("IF(REGEXMATCH(LOWER(G616), ""^(\?)+\s*(missing)?\s*(\?)*$""), """", PROPER(SUBSTITUTE(SUBSTITUTE(G616, ""?"", """"), ""*"", """")))"),"Lunch Bag Red Retrospot")</f>
        <v>Lunch Bag Red Retrospot</v>
      </c>
      <c r="I616" s="3">
        <v>1.0</v>
      </c>
      <c r="J616" s="7">
        <v>40513.49236111111</v>
      </c>
      <c r="K616" s="8" t="str">
        <f t="shared" si="4"/>
        <v>2010-12</v>
      </c>
      <c r="L616" s="5">
        <v>1.65</v>
      </c>
      <c r="M616" s="3">
        <v>17920.0</v>
      </c>
      <c r="N616" s="1" t="str">
        <f t="shared" si="5"/>
        <v>Registered</v>
      </c>
      <c r="O616" s="1" t="s">
        <v>19</v>
      </c>
      <c r="P616" s="9" t="str">
        <f t="shared" si="6"/>
        <v>UK</v>
      </c>
      <c r="Q616" s="8">
        <f t="shared" si="7"/>
        <v>1.65</v>
      </c>
    </row>
    <row r="617">
      <c r="A617" s="1">
        <v>536412.0</v>
      </c>
      <c r="B617" s="1" t="str">
        <f t="shared" si="1"/>
        <v>536412</v>
      </c>
      <c r="C617" s="1" t="str">
        <f t="shared" si="2"/>
        <v>Sale</v>
      </c>
      <c r="D617" s="1" t="s">
        <v>461</v>
      </c>
      <c r="E617" s="1" t="str">
        <f>IFERROR(__xludf.DUMMYFUNCTION("IF(LEN(D617)&gt;4, IFERROR(REGEXEXTRACT(TO_TEXT(D617),""\d+""),""""),"""")"),"85184")</f>
        <v>85184</v>
      </c>
      <c r="F617" s="6" t="str">
        <f t="shared" si="3"/>
        <v>Product</v>
      </c>
      <c r="G617" s="1" t="s">
        <v>462</v>
      </c>
      <c r="H617" s="6" t="str">
        <f>IFERROR(__xludf.DUMMYFUNCTION("IF(REGEXMATCH(LOWER(G617), ""^(\?)+\s*(missing)?\s*(\?)*$""), """", PROPER(SUBSTITUTE(SUBSTITUTE(G617, ""?"", """"), ""*"", """")))"),"S/4 Valentine Decoupage Heart Box")</f>
        <v>S/4 Valentine Decoupage Heart Box</v>
      </c>
      <c r="I617" s="3">
        <v>1.0</v>
      </c>
      <c r="J617" s="7">
        <v>40513.49236111111</v>
      </c>
      <c r="K617" s="8" t="str">
        <f t="shared" si="4"/>
        <v>2010-12</v>
      </c>
      <c r="L617" s="5">
        <v>2.95</v>
      </c>
      <c r="M617" s="3">
        <v>17920.0</v>
      </c>
      <c r="N617" s="1" t="str">
        <f t="shared" si="5"/>
        <v>Registered</v>
      </c>
      <c r="O617" s="1" t="s">
        <v>19</v>
      </c>
      <c r="P617" s="9" t="str">
        <f t="shared" si="6"/>
        <v>UK</v>
      </c>
      <c r="Q617" s="8">
        <f t="shared" si="7"/>
        <v>2.95</v>
      </c>
    </row>
    <row r="618">
      <c r="A618" s="1">
        <v>536412.0</v>
      </c>
      <c r="B618" s="1" t="str">
        <f t="shared" si="1"/>
        <v>536412</v>
      </c>
      <c r="C618" s="1" t="str">
        <f t="shared" si="2"/>
        <v>Sale</v>
      </c>
      <c r="D618" s="1">
        <v>21708.0</v>
      </c>
      <c r="E618" s="1" t="str">
        <f>IFERROR(__xludf.DUMMYFUNCTION("IF(LEN(D618)&gt;4, IFERROR(REGEXEXTRACT(TO_TEXT(D618),""\d+""),""""),"""")"),"21708")</f>
        <v>21708</v>
      </c>
      <c r="F618" s="6" t="str">
        <f t="shared" si="3"/>
        <v>Product</v>
      </c>
      <c r="G618" s="1" t="s">
        <v>457</v>
      </c>
      <c r="H618" s="6" t="str">
        <f>IFERROR(__xludf.DUMMYFUNCTION("IF(REGEXMATCH(LOWER(G618), ""^(\?)+\s*(missing)?\s*(\?)*$""), """", PROPER(SUBSTITUTE(SUBSTITUTE(G618, ""?"", """"), ""*"", """")))"),"Folding Umbrella Cream Polkadot")</f>
        <v>Folding Umbrella Cream Polkadot</v>
      </c>
      <c r="I618" s="3">
        <v>1.0</v>
      </c>
      <c r="J618" s="7">
        <v>40513.49236111111</v>
      </c>
      <c r="K618" s="8" t="str">
        <f t="shared" si="4"/>
        <v>2010-12</v>
      </c>
      <c r="L618" s="5">
        <v>4.95</v>
      </c>
      <c r="M618" s="3">
        <v>17920.0</v>
      </c>
      <c r="N618" s="1" t="str">
        <f t="shared" si="5"/>
        <v>Registered</v>
      </c>
      <c r="O618" s="1" t="s">
        <v>19</v>
      </c>
      <c r="P618" s="9" t="str">
        <f t="shared" si="6"/>
        <v>UK</v>
      </c>
      <c r="Q618" s="8">
        <f t="shared" si="7"/>
        <v>4.95</v>
      </c>
    </row>
    <row r="619">
      <c r="A619" s="1">
        <v>536412.0</v>
      </c>
      <c r="B619" s="1" t="str">
        <f t="shared" si="1"/>
        <v>536412</v>
      </c>
      <c r="C619" s="1" t="str">
        <f t="shared" si="2"/>
        <v>Sale</v>
      </c>
      <c r="D619" s="1">
        <v>22900.0</v>
      </c>
      <c r="E619" s="1" t="str">
        <f>IFERROR(__xludf.DUMMYFUNCTION("IF(LEN(D619)&gt;4, IFERROR(REGEXEXTRACT(TO_TEXT(D619),""\d+""),""""),"""")"),"22900")</f>
        <v>22900</v>
      </c>
      <c r="F619" s="6" t="str">
        <f t="shared" si="3"/>
        <v>Product</v>
      </c>
      <c r="G619" s="1" t="s">
        <v>63</v>
      </c>
      <c r="H619" s="6" t="str">
        <f>IFERROR(__xludf.DUMMYFUNCTION("IF(REGEXMATCH(LOWER(G619), ""^(\?)+\s*(missing)?\s*(\?)*$""), """", PROPER(SUBSTITUTE(SUBSTITUTE(G619, ""?"", """"), ""*"", """")))"),"Set 2 Tea Towels I Love London")</f>
        <v>Set 2 Tea Towels I Love London</v>
      </c>
      <c r="I619" s="3">
        <v>2.0</v>
      </c>
      <c r="J619" s="7">
        <v>40513.49236111111</v>
      </c>
      <c r="K619" s="8" t="str">
        <f t="shared" si="4"/>
        <v>2010-12</v>
      </c>
      <c r="L619" s="5">
        <v>2.95</v>
      </c>
      <c r="M619" s="3">
        <v>17920.0</v>
      </c>
      <c r="N619" s="1" t="str">
        <f t="shared" si="5"/>
        <v>Registered</v>
      </c>
      <c r="O619" s="1" t="s">
        <v>19</v>
      </c>
      <c r="P619" s="9" t="str">
        <f t="shared" si="6"/>
        <v>UK</v>
      </c>
      <c r="Q619" s="8">
        <f t="shared" si="7"/>
        <v>5.9</v>
      </c>
    </row>
    <row r="620">
      <c r="A620" s="1">
        <v>536412.0</v>
      </c>
      <c r="B620" s="1" t="str">
        <f t="shared" si="1"/>
        <v>536412</v>
      </c>
      <c r="C620" s="1" t="str">
        <f t="shared" si="2"/>
        <v>Sale</v>
      </c>
      <c r="D620" s="1">
        <v>21706.0</v>
      </c>
      <c r="E620" s="1" t="str">
        <f>IFERROR(__xludf.DUMMYFUNCTION("IF(LEN(D620)&gt;4, IFERROR(REGEXEXTRACT(TO_TEXT(D620),""\d+""),""""),"""")"),"21706")</f>
        <v>21706</v>
      </c>
      <c r="F620" s="6" t="str">
        <f t="shared" si="3"/>
        <v>Product</v>
      </c>
      <c r="G620" s="1" t="s">
        <v>460</v>
      </c>
      <c r="H620" s="6" t="str">
        <f>IFERROR(__xludf.DUMMYFUNCTION("IF(REGEXMATCH(LOWER(G620), ""^(\?)+\s*(missing)?\s*(\?)*$""), """", PROPER(SUBSTITUTE(SUBSTITUTE(G620, ""?"", """"), ""*"", """")))"),"Folding Umbrella Red/White Polkadot")</f>
        <v>Folding Umbrella Red/White Polkadot</v>
      </c>
      <c r="I620" s="3">
        <v>1.0</v>
      </c>
      <c r="J620" s="7">
        <v>40513.49236111111</v>
      </c>
      <c r="K620" s="8" t="str">
        <f t="shared" si="4"/>
        <v>2010-12</v>
      </c>
      <c r="L620" s="5">
        <v>4.95</v>
      </c>
      <c r="M620" s="3">
        <v>17920.0</v>
      </c>
      <c r="N620" s="1" t="str">
        <f t="shared" si="5"/>
        <v>Registered</v>
      </c>
      <c r="O620" s="1" t="s">
        <v>19</v>
      </c>
      <c r="P620" s="9" t="str">
        <f t="shared" si="6"/>
        <v>UK</v>
      </c>
      <c r="Q620" s="8">
        <f t="shared" si="7"/>
        <v>4.95</v>
      </c>
    </row>
    <row r="621">
      <c r="A621" s="1">
        <v>536412.0</v>
      </c>
      <c r="B621" s="1" t="str">
        <f t="shared" si="1"/>
        <v>536412</v>
      </c>
      <c r="C621" s="1" t="str">
        <f t="shared" si="2"/>
        <v>Sale</v>
      </c>
      <c r="D621" s="1">
        <v>22988.0</v>
      </c>
      <c r="E621" s="1" t="str">
        <f>IFERROR(__xludf.DUMMYFUNCTION("IF(LEN(D621)&gt;4, IFERROR(REGEXEXTRACT(TO_TEXT(D621),""\d+""),""""),"""")"),"22988")</f>
        <v>22988</v>
      </c>
      <c r="F621" s="6" t="str">
        <f t="shared" si="3"/>
        <v>Product</v>
      </c>
      <c r="G621" s="1" t="s">
        <v>463</v>
      </c>
      <c r="H621" s="6" t="str">
        <f>IFERROR(__xludf.DUMMYFUNCTION("IF(REGEXMATCH(LOWER(G621), ""^(\?)+\s*(missing)?\s*(\?)*$""), """", PROPER(SUBSTITUTE(SUBSTITUTE(G621, ""?"", """"), ""*"", """")))"),"Soldiers Egg Cup")</f>
        <v>Soldiers Egg Cup</v>
      </c>
      <c r="I621" s="3">
        <v>6.0</v>
      </c>
      <c r="J621" s="7">
        <v>40513.49236111111</v>
      </c>
      <c r="K621" s="8" t="str">
        <f t="shared" si="4"/>
        <v>2010-12</v>
      </c>
      <c r="L621" s="5">
        <v>1.25</v>
      </c>
      <c r="M621" s="3">
        <v>17920.0</v>
      </c>
      <c r="N621" s="1" t="str">
        <f t="shared" si="5"/>
        <v>Registered</v>
      </c>
      <c r="O621" s="1" t="s">
        <v>19</v>
      </c>
      <c r="P621" s="9" t="str">
        <f t="shared" si="6"/>
        <v>UK</v>
      </c>
      <c r="Q621" s="8">
        <f t="shared" si="7"/>
        <v>7.5</v>
      </c>
    </row>
    <row r="622">
      <c r="A622" s="1">
        <v>536412.0</v>
      </c>
      <c r="B622" s="1" t="str">
        <f t="shared" si="1"/>
        <v>536412</v>
      </c>
      <c r="C622" s="1" t="str">
        <f t="shared" si="2"/>
        <v>Sale</v>
      </c>
      <c r="D622" s="1" t="s">
        <v>461</v>
      </c>
      <c r="E622" s="1" t="str">
        <f>IFERROR(__xludf.DUMMYFUNCTION("IF(LEN(D622)&gt;4, IFERROR(REGEXEXTRACT(TO_TEXT(D622),""\d+""),""""),"""")"),"85184")</f>
        <v>85184</v>
      </c>
      <c r="F622" s="6" t="str">
        <f t="shared" si="3"/>
        <v>Product</v>
      </c>
      <c r="G622" s="1" t="s">
        <v>462</v>
      </c>
      <c r="H622" s="6" t="str">
        <f>IFERROR(__xludf.DUMMYFUNCTION("IF(REGEXMATCH(LOWER(G622), ""^(\?)+\s*(missing)?\s*(\?)*$""), """", PROPER(SUBSTITUTE(SUBSTITUTE(G622, ""?"", """"), ""*"", """")))"),"S/4 Valentine Decoupage Heart Box")</f>
        <v>S/4 Valentine Decoupage Heart Box</v>
      </c>
      <c r="I622" s="3">
        <v>1.0</v>
      </c>
      <c r="J622" s="7">
        <v>40513.49236111111</v>
      </c>
      <c r="K622" s="8" t="str">
        <f t="shared" si="4"/>
        <v>2010-12</v>
      </c>
      <c r="L622" s="5">
        <v>2.95</v>
      </c>
      <c r="M622" s="3">
        <v>17920.0</v>
      </c>
      <c r="N622" s="1" t="str">
        <f t="shared" si="5"/>
        <v>Registered</v>
      </c>
      <c r="O622" s="1" t="s">
        <v>19</v>
      </c>
      <c r="P622" s="9" t="str">
        <f t="shared" si="6"/>
        <v>UK</v>
      </c>
      <c r="Q622" s="8">
        <f t="shared" si="7"/>
        <v>2.95</v>
      </c>
    </row>
    <row r="623">
      <c r="A623" s="1">
        <v>536412.0</v>
      </c>
      <c r="B623" s="1" t="str">
        <f t="shared" si="1"/>
        <v>536412</v>
      </c>
      <c r="C623" s="1" t="str">
        <f t="shared" si="2"/>
        <v>Sale</v>
      </c>
      <c r="D623" s="1">
        <v>20750.0</v>
      </c>
      <c r="E623" s="1" t="str">
        <f>IFERROR(__xludf.DUMMYFUNCTION("IF(LEN(D623)&gt;4, IFERROR(REGEXEXTRACT(TO_TEXT(D623),""\d+""),""""),"""")"),"20750")</f>
        <v>20750</v>
      </c>
      <c r="F623" s="6" t="str">
        <f t="shared" si="3"/>
        <v>Product</v>
      </c>
      <c r="G623" s="1" t="s">
        <v>464</v>
      </c>
      <c r="H623" s="6" t="str">
        <f>IFERROR(__xludf.DUMMYFUNCTION("IF(REGEXMATCH(LOWER(G623), ""^(\?)+\s*(missing)?\s*(\?)*$""), """", PROPER(SUBSTITUTE(SUBSTITUTE(G623, ""?"", """"), ""*"", """")))"),"Red Retrospot Mini Cases")</f>
        <v>Red Retrospot Mini Cases</v>
      </c>
      <c r="I623" s="3">
        <v>1.0</v>
      </c>
      <c r="J623" s="7">
        <v>40513.49236111111</v>
      </c>
      <c r="K623" s="8" t="str">
        <f t="shared" si="4"/>
        <v>2010-12</v>
      </c>
      <c r="L623" s="5">
        <v>7.95</v>
      </c>
      <c r="M623" s="3">
        <v>17920.0</v>
      </c>
      <c r="N623" s="1" t="str">
        <f t="shared" si="5"/>
        <v>Registered</v>
      </c>
      <c r="O623" s="1" t="s">
        <v>19</v>
      </c>
      <c r="P623" s="9" t="str">
        <f t="shared" si="6"/>
        <v>UK</v>
      </c>
      <c r="Q623" s="8">
        <f t="shared" si="7"/>
        <v>7.95</v>
      </c>
    </row>
    <row r="624">
      <c r="A624" s="1">
        <v>536415.0</v>
      </c>
      <c r="B624" s="1" t="str">
        <f t="shared" si="1"/>
        <v>536415</v>
      </c>
      <c r="C624" s="1" t="str">
        <f t="shared" si="2"/>
        <v>Sale</v>
      </c>
      <c r="D624" s="1">
        <v>22952.0</v>
      </c>
      <c r="E624" s="1" t="str">
        <f>IFERROR(__xludf.DUMMYFUNCTION("IF(LEN(D624)&gt;4, IFERROR(REGEXEXTRACT(TO_TEXT(D624),""\d+""),""""),"""")"),"22952")</f>
        <v>22952</v>
      </c>
      <c r="F624" s="6" t="str">
        <f t="shared" si="3"/>
        <v>Product</v>
      </c>
      <c r="G624" s="1" t="s">
        <v>465</v>
      </c>
      <c r="H624" s="6" t="str">
        <f>IFERROR(__xludf.DUMMYFUNCTION("IF(REGEXMATCH(LOWER(G624), ""^(\?)+\s*(missing)?\s*(\?)*$""), """", PROPER(SUBSTITUTE(SUBSTITUTE(G624, ""?"", """"), ""*"", """")))"),"60 Cake Cases Vintage Christmas")</f>
        <v>60 Cake Cases Vintage Christmas</v>
      </c>
      <c r="I624" s="3">
        <v>10.0</v>
      </c>
      <c r="J624" s="7">
        <v>40513.49791666667</v>
      </c>
      <c r="K624" s="8" t="str">
        <f t="shared" si="4"/>
        <v>2010-12</v>
      </c>
      <c r="L624" s="5">
        <v>0.55</v>
      </c>
      <c r="M624" s="3">
        <v>12838.0</v>
      </c>
      <c r="N624" s="1" t="str">
        <f t="shared" si="5"/>
        <v>Registered</v>
      </c>
      <c r="O624" s="1" t="s">
        <v>19</v>
      </c>
      <c r="P624" s="9" t="str">
        <f t="shared" si="6"/>
        <v>UK</v>
      </c>
      <c r="Q624" s="8">
        <f t="shared" si="7"/>
        <v>5.5</v>
      </c>
    </row>
    <row r="625">
      <c r="A625" s="1">
        <v>536415.0</v>
      </c>
      <c r="B625" s="1" t="str">
        <f t="shared" si="1"/>
        <v>536415</v>
      </c>
      <c r="C625" s="1" t="str">
        <f t="shared" si="2"/>
        <v>Sale</v>
      </c>
      <c r="D625" s="1">
        <v>22910.0</v>
      </c>
      <c r="E625" s="1" t="str">
        <f>IFERROR(__xludf.DUMMYFUNCTION("IF(LEN(D625)&gt;4, IFERROR(REGEXEXTRACT(TO_TEXT(D625),""\d+""),""""),"""")"),"22910")</f>
        <v>22910</v>
      </c>
      <c r="F625" s="6" t="str">
        <f t="shared" si="3"/>
        <v>Product</v>
      </c>
      <c r="G625" s="1" t="s">
        <v>215</v>
      </c>
      <c r="H625" s="6" t="str">
        <f>IFERROR(__xludf.DUMMYFUNCTION("IF(REGEXMATCH(LOWER(G625), ""^(\?)+\s*(missing)?\s*(\?)*$""), """", PROPER(SUBSTITUTE(SUBSTITUTE(G625, ""?"", """"), ""*"", """")))"),"Paper Chain Kit Vintage Christmas")</f>
        <v>Paper Chain Kit Vintage Christmas</v>
      </c>
      <c r="I625" s="3">
        <v>5.0</v>
      </c>
      <c r="J625" s="7">
        <v>40513.49791666667</v>
      </c>
      <c r="K625" s="8" t="str">
        <f t="shared" si="4"/>
        <v>2010-12</v>
      </c>
      <c r="L625" s="5">
        <v>2.95</v>
      </c>
      <c r="M625" s="3">
        <v>12838.0</v>
      </c>
      <c r="N625" s="1" t="str">
        <f t="shared" si="5"/>
        <v>Registered</v>
      </c>
      <c r="O625" s="1" t="s">
        <v>19</v>
      </c>
      <c r="P625" s="9" t="str">
        <f t="shared" si="6"/>
        <v>UK</v>
      </c>
      <c r="Q625" s="8">
        <f t="shared" si="7"/>
        <v>14.75</v>
      </c>
    </row>
    <row r="626">
      <c r="A626" s="1">
        <v>536415.0</v>
      </c>
      <c r="B626" s="1" t="str">
        <f t="shared" si="1"/>
        <v>536415</v>
      </c>
      <c r="C626" s="1" t="str">
        <f t="shared" si="2"/>
        <v>Sale</v>
      </c>
      <c r="D626" s="1">
        <v>22739.0</v>
      </c>
      <c r="E626" s="1" t="str">
        <f>IFERROR(__xludf.DUMMYFUNCTION("IF(LEN(D626)&gt;4, IFERROR(REGEXEXTRACT(TO_TEXT(D626),""\d+""),""""),"""")"),"22739")</f>
        <v>22739</v>
      </c>
      <c r="F626" s="6" t="str">
        <f t="shared" si="3"/>
        <v>Product</v>
      </c>
      <c r="G626" s="1" t="s">
        <v>466</v>
      </c>
      <c r="H626" s="6" t="str">
        <f>IFERROR(__xludf.DUMMYFUNCTION("IF(REGEXMATCH(LOWER(G626), ""^(\?)+\s*(missing)?\s*(\?)*$""), """", PROPER(SUBSTITUTE(SUBSTITUTE(G626, ""?"", """"), ""*"", """")))"),"Ribbon Reel Christmas Sock Bauble")</f>
        <v>Ribbon Reel Christmas Sock Bauble</v>
      </c>
      <c r="I626" s="3">
        <v>3.0</v>
      </c>
      <c r="J626" s="7">
        <v>40513.49791666667</v>
      </c>
      <c r="K626" s="8" t="str">
        <f t="shared" si="4"/>
        <v>2010-12</v>
      </c>
      <c r="L626" s="5">
        <v>1.65</v>
      </c>
      <c r="M626" s="3">
        <v>12838.0</v>
      </c>
      <c r="N626" s="1" t="str">
        <f t="shared" si="5"/>
        <v>Registered</v>
      </c>
      <c r="O626" s="1" t="s">
        <v>19</v>
      </c>
      <c r="P626" s="9" t="str">
        <f t="shared" si="6"/>
        <v>UK</v>
      </c>
      <c r="Q626" s="8">
        <f t="shared" si="7"/>
        <v>4.95</v>
      </c>
    </row>
    <row r="627">
      <c r="A627" s="1">
        <v>536415.0</v>
      </c>
      <c r="B627" s="1" t="str">
        <f t="shared" si="1"/>
        <v>536415</v>
      </c>
      <c r="C627" s="1" t="str">
        <f t="shared" si="2"/>
        <v>Sale</v>
      </c>
      <c r="D627" s="1">
        <v>22738.0</v>
      </c>
      <c r="E627" s="1" t="str">
        <f>IFERROR(__xludf.DUMMYFUNCTION("IF(LEN(D627)&gt;4, IFERROR(REGEXEXTRACT(TO_TEXT(D627),""\d+""),""""),"""")"),"22738")</f>
        <v>22738</v>
      </c>
      <c r="F627" s="6" t="str">
        <f t="shared" si="3"/>
        <v>Product</v>
      </c>
      <c r="G627" s="1" t="s">
        <v>467</v>
      </c>
      <c r="H627" s="6" t="str">
        <f>IFERROR(__xludf.DUMMYFUNCTION("IF(REGEXMATCH(LOWER(G627), ""^(\?)+\s*(missing)?\s*(\?)*$""), """", PROPER(SUBSTITUTE(SUBSTITUTE(G627, ""?"", """"), ""*"", """")))"),"Ribbon Reel Snowy Village")</f>
        <v>Ribbon Reel Snowy Village</v>
      </c>
      <c r="I627" s="3">
        <v>3.0</v>
      </c>
      <c r="J627" s="7">
        <v>40513.49791666667</v>
      </c>
      <c r="K627" s="8" t="str">
        <f t="shared" si="4"/>
        <v>2010-12</v>
      </c>
      <c r="L627" s="5">
        <v>1.65</v>
      </c>
      <c r="M627" s="3">
        <v>12838.0</v>
      </c>
      <c r="N627" s="1" t="str">
        <f t="shared" si="5"/>
        <v>Registered</v>
      </c>
      <c r="O627" s="1" t="s">
        <v>19</v>
      </c>
      <c r="P627" s="9" t="str">
        <f t="shared" si="6"/>
        <v>UK</v>
      </c>
      <c r="Q627" s="8">
        <f t="shared" si="7"/>
        <v>4.95</v>
      </c>
    </row>
    <row r="628">
      <c r="A628" s="1">
        <v>536415.0</v>
      </c>
      <c r="B628" s="1" t="str">
        <f t="shared" si="1"/>
        <v>536415</v>
      </c>
      <c r="C628" s="1" t="str">
        <f t="shared" si="2"/>
        <v>Sale</v>
      </c>
      <c r="D628" s="1">
        <v>22736.0</v>
      </c>
      <c r="E628" s="1" t="str">
        <f>IFERROR(__xludf.DUMMYFUNCTION("IF(LEN(D628)&gt;4, IFERROR(REGEXEXTRACT(TO_TEXT(D628),""\d+""),""""),"""")"),"22736")</f>
        <v>22736</v>
      </c>
      <c r="F628" s="6" t="str">
        <f t="shared" si="3"/>
        <v>Product</v>
      </c>
      <c r="G628" s="1" t="s">
        <v>387</v>
      </c>
      <c r="H628" s="6" t="str">
        <f>IFERROR(__xludf.DUMMYFUNCTION("IF(REGEXMATCH(LOWER(G628), ""^(\?)+\s*(missing)?\s*(\?)*$""), """", PROPER(SUBSTITUTE(SUBSTITUTE(G628, ""?"", """"), ""*"", """")))"),"Ribbon Reel Making Snowmen")</f>
        <v>Ribbon Reel Making Snowmen</v>
      </c>
      <c r="I628" s="3">
        <v>3.0</v>
      </c>
      <c r="J628" s="7">
        <v>40513.49791666667</v>
      </c>
      <c r="K628" s="8" t="str">
        <f t="shared" si="4"/>
        <v>2010-12</v>
      </c>
      <c r="L628" s="5">
        <v>1.65</v>
      </c>
      <c r="M628" s="3">
        <v>12838.0</v>
      </c>
      <c r="N628" s="1" t="str">
        <f t="shared" si="5"/>
        <v>Registered</v>
      </c>
      <c r="O628" s="1" t="s">
        <v>19</v>
      </c>
      <c r="P628" s="9" t="str">
        <f t="shared" si="6"/>
        <v>UK</v>
      </c>
      <c r="Q628" s="8">
        <f t="shared" si="7"/>
        <v>4.95</v>
      </c>
    </row>
    <row r="629">
      <c r="A629" s="1">
        <v>536415.0</v>
      </c>
      <c r="B629" s="1" t="str">
        <f t="shared" si="1"/>
        <v>536415</v>
      </c>
      <c r="C629" s="1" t="str">
        <f t="shared" si="2"/>
        <v>Sale</v>
      </c>
      <c r="D629" s="1">
        <v>22909.0</v>
      </c>
      <c r="E629" s="1" t="str">
        <f>IFERROR(__xludf.DUMMYFUNCTION("IF(LEN(D629)&gt;4, IFERROR(REGEXEXTRACT(TO_TEXT(D629),""\d+""),""""),"""")"),"22909")</f>
        <v>22909</v>
      </c>
      <c r="F629" s="6" t="str">
        <f t="shared" si="3"/>
        <v>Product</v>
      </c>
      <c r="G629" s="1" t="s">
        <v>468</v>
      </c>
      <c r="H629" s="6" t="str">
        <f>IFERROR(__xludf.DUMMYFUNCTION("IF(REGEXMATCH(LOWER(G629), ""^(\?)+\s*(missing)?\s*(\?)*$""), """", PROPER(SUBSTITUTE(SUBSTITUTE(G629, ""?"", """"), ""*"", """")))"),"Set Of 20 Vintage Christmas Napkins")</f>
        <v>Set Of 20 Vintage Christmas Napkins</v>
      </c>
      <c r="I629" s="3">
        <v>5.0</v>
      </c>
      <c r="J629" s="7">
        <v>40513.49791666667</v>
      </c>
      <c r="K629" s="8" t="str">
        <f t="shared" si="4"/>
        <v>2010-12</v>
      </c>
      <c r="L629" s="5">
        <v>0.85</v>
      </c>
      <c r="M629" s="3">
        <v>12838.0</v>
      </c>
      <c r="N629" s="1" t="str">
        <f t="shared" si="5"/>
        <v>Registered</v>
      </c>
      <c r="O629" s="1" t="s">
        <v>19</v>
      </c>
      <c r="P629" s="9" t="str">
        <f t="shared" si="6"/>
        <v>UK</v>
      </c>
      <c r="Q629" s="8">
        <f t="shared" si="7"/>
        <v>4.25</v>
      </c>
    </row>
    <row r="630">
      <c r="A630" s="1">
        <v>536415.0</v>
      </c>
      <c r="B630" s="1" t="str">
        <f t="shared" si="1"/>
        <v>536415</v>
      </c>
      <c r="C630" s="1" t="str">
        <f t="shared" si="2"/>
        <v>Sale</v>
      </c>
      <c r="D630" s="1" t="s">
        <v>469</v>
      </c>
      <c r="E630" s="1" t="str">
        <f>IFERROR(__xludf.DUMMYFUNCTION("IF(LEN(D630)&gt;4, IFERROR(REGEXEXTRACT(TO_TEXT(D630),""\d+""),""""),"""")"),"35591")</f>
        <v>35591</v>
      </c>
      <c r="F630" s="6" t="str">
        <f t="shared" si="3"/>
        <v>Product</v>
      </c>
      <c r="G630" s="1" t="s">
        <v>470</v>
      </c>
      <c r="H630" s="6" t="str">
        <f>IFERROR(__xludf.DUMMYFUNCTION("IF(REGEXMATCH(LOWER(G630), ""^(\?)+\s*(missing)?\s*(\?)*$""), """", PROPER(SUBSTITUTE(SUBSTITUTE(G630, ""?"", """"), ""*"", """")))"),"Turquoise Christmas Tree")</f>
        <v>Turquoise Christmas Tree</v>
      </c>
      <c r="I630" s="3">
        <v>2.0</v>
      </c>
      <c r="J630" s="7">
        <v>40513.49791666667</v>
      </c>
      <c r="K630" s="8" t="str">
        <f t="shared" si="4"/>
        <v>2010-12</v>
      </c>
      <c r="L630" s="5">
        <v>1.25</v>
      </c>
      <c r="M630" s="3">
        <v>12838.0</v>
      </c>
      <c r="N630" s="1" t="str">
        <f t="shared" si="5"/>
        <v>Registered</v>
      </c>
      <c r="O630" s="1" t="s">
        <v>19</v>
      </c>
      <c r="P630" s="9" t="str">
        <f t="shared" si="6"/>
        <v>UK</v>
      </c>
      <c r="Q630" s="8">
        <f t="shared" si="7"/>
        <v>2.5</v>
      </c>
    </row>
    <row r="631">
      <c r="A631" s="1">
        <v>536415.0</v>
      </c>
      <c r="B631" s="1" t="str">
        <f t="shared" si="1"/>
        <v>536415</v>
      </c>
      <c r="C631" s="1" t="str">
        <f t="shared" si="2"/>
        <v>Sale</v>
      </c>
      <c r="D631" s="1">
        <v>22186.0</v>
      </c>
      <c r="E631" s="1" t="str">
        <f>IFERROR(__xludf.DUMMYFUNCTION("IF(LEN(D631)&gt;4, IFERROR(REGEXEXTRACT(TO_TEXT(D631),""\d+""),""""),"""")"),"22186")</f>
        <v>22186</v>
      </c>
      <c r="F631" s="6" t="str">
        <f t="shared" si="3"/>
        <v>Product</v>
      </c>
      <c r="G631" s="1" t="s">
        <v>471</v>
      </c>
      <c r="H631" s="6" t="str">
        <f>IFERROR(__xludf.DUMMYFUNCTION("IF(REGEXMATCH(LOWER(G631), ""^(\?)+\s*(missing)?\s*(\?)*$""), """", PROPER(SUBSTITUTE(SUBSTITUTE(G631, ""?"", """"), ""*"", """")))"),"Red Star Card Holder")</f>
        <v>Red Star Card Holder</v>
      </c>
      <c r="I631" s="3">
        <v>5.0</v>
      </c>
      <c r="J631" s="7">
        <v>40513.49791666667</v>
      </c>
      <c r="K631" s="8" t="str">
        <f t="shared" si="4"/>
        <v>2010-12</v>
      </c>
      <c r="L631" s="5">
        <v>2.95</v>
      </c>
      <c r="M631" s="3">
        <v>12838.0</v>
      </c>
      <c r="N631" s="1" t="str">
        <f t="shared" si="5"/>
        <v>Registered</v>
      </c>
      <c r="O631" s="1" t="s">
        <v>19</v>
      </c>
      <c r="P631" s="9" t="str">
        <f t="shared" si="6"/>
        <v>UK</v>
      </c>
      <c r="Q631" s="8">
        <f t="shared" si="7"/>
        <v>14.75</v>
      </c>
    </row>
    <row r="632">
      <c r="A632" s="1">
        <v>536415.0</v>
      </c>
      <c r="B632" s="1" t="str">
        <f t="shared" si="1"/>
        <v>536415</v>
      </c>
      <c r="C632" s="1" t="str">
        <f t="shared" si="2"/>
        <v>Sale</v>
      </c>
      <c r="D632" s="1">
        <v>22695.0</v>
      </c>
      <c r="E632" s="1" t="str">
        <f>IFERROR(__xludf.DUMMYFUNCTION("IF(LEN(D632)&gt;4, IFERROR(REGEXEXTRACT(TO_TEXT(D632),""\d+""),""""),"""")"),"22695")</f>
        <v>22695</v>
      </c>
      <c r="F632" s="6" t="str">
        <f t="shared" si="3"/>
        <v>Product</v>
      </c>
      <c r="G632" s="1" t="s">
        <v>472</v>
      </c>
      <c r="H632" s="6" t="str">
        <f>IFERROR(__xludf.DUMMYFUNCTION("IF(REGEXMATCH(LOWER(G632), ""^(\?)+\s*(missing)?\s*(\?)*$""), """", PROPER(SUBSTITUTE(SUBSTITUTE(G632, ""?"", """"), ""*"", """")))"),"Wicker Wreath Small")</f>
        <v>Wicker Wreath Small</v>
      </c>
      <c r="I632" s="3">
        <v>3.0</v>
      </c>
      <c r="J632" s="7">
        <v>40513.49791666667</v>
      </c>
      <c r="K632" s="8" t="str">
        <f t="shared" si="4"/>
        <v>2010-12</v>
      </c>
      <c r="L632" s="5">
        <v>1.45</v>
      </c>
      <c r="M632" s="3">
        <v>12838.0</v>
      </c>
      <c r="N632" s="1" t="str">
        <f t="shared" si="5"/>
        <v>Registered</v>
      </c>
      <c r="O632" s="1" t="s">
        <v>19</v>
      </c>
      <c r="P632" s="9" t="str">
        <f t="shared" si="6"/>
        <v>UK</v>
      </c>
      <c r="Q632" s="8">
        <f t="shared" si="7"/>
        <v>4.35</v>
      </c>
    </row>
    <row r="633">
      <c r="A633" s="1">
        <v>536415.0</v>
      </c>
      <c r="B633" s="1" t="str">
        <f t="shared" si="1"/>
        <v>536415</v>
      </c>
      <c r="C633" s="1" t="str">
        <f t="shared" si="2"/>
        <v>Sale</v>
      </c>
      <c r="D633" s="1">
        <v>22470.0</v>
      </c>
      <c r="E633" s="1" t="str">
        <f>IFERROR(__xludf.DUMMYFUNCTION("IF(LEN(D633)&gt;4, IFERROR(REGEXEXTRACT(TO_TEXT(D633),""\d+""),""""),"""")"),"22470")</f>
        <v>22470</v>
      </c>
      <c r="F633" s="6" t="str">
        <f t="shared" si="3"/>
        <v>Product</v>
      </c>
      <c r="G633" s="1" t="s">
        <v>168</v>
      </c>
      <c r="H633" s="6" t="str">
        <f>IFERROR(__xludf.DUMMYFUNCTION("IF(REGEXMATCH(LOWER(G633), ""^(\?)+\s*(missing)?\s*(\?)*$""), """", PROPER(SUBSTITUTE(SUBSTITUTE(G633, ""?"", """"), ""*"", """")))"),"Heart Of Wicker Large")</f>
        <v>Heart Of Wicker Large</v>
      </c>
      <c r="I633" s="3">
        <v>1.0</v>
      </c>
      <c r="J633" s="7">
        <v>40513.49791666667</v>
      </c>
      <c r="K633" s="8" t="str">
        <f t="shared" si="4"/>
        <v>2010-12</v>
      </c>
      <c r="L633" s="5">
        <v>2.95</v>
      </c>
      <c r="M633" s="3">
        <v>12838.0</v>
      </c>
      <c r="N633" s="1" t="str">
        <f t="shared" si="5"/>
        <v>Registered</v>
      </c>
      <c r="O633" s="1" t="s">
        <v>19</v>
      </c>
      <c r="P633" s="9" t="str">
        <f t="shared" si="6"/>
        <v>UK</v>
      </c>
      <c r="Q633" s="8">
        <f t="shared" si="7"/>
        <v>2.95</v>
      </c>
    </row>
    <row r="634">
      <c r="A634" s="1">
        <v>536415.0</v>
      </c>
      <c r="B634" s="1" t="str">
        <f t="shared" si="1"/>
        <v>536415</v>
      </c>
      <c r="C634" s="1" t="str">
        <f t="shared" si="2"/>
        <v>Sale</v>
      </c>
      <c r="D634" s="1">
        <v>22580.0</v>
      </c>
      <c r="E634" s="1" t="str">
        <f>IFERROR(__xludf.DUMMYFUNCTION("IF(LEN(D634)&gt;4, IFERROR(REGEXEXTRACT(TO_TEXT(D634),""\d+""),""""),"""")"),"22580")</f>
        <v>22580</v>
      </c>
      <c r="F634" s="6" t="str">
        <f t="shared" si="3"/>
        <v>Product</v>
      </c>
      <c r="G634" s="1" t="s">
        <v>473</v>
      </c>
      <c r="H634" s="6" t="str">
        <f>IFERROR(__xludf.DUMMYFUNCTION("IF(REGEXMATCH(LOWER(G634), ""^(\?)+\s*(missing)?\s*(\?)*$""), """", PROPER(SUBSTITUTE(SUBSTITUTE(G634, ""?"", """"), ""*"", """")))"),"Advent Calendar Gingham Sack")</f>
        <v>Advent Calendar Gingham Sack</v>
      </c>
      <c r="I634" s="3">
        <v>1.0</v>
      </c>
      <c r="J634" s="7">
        <v>40513.49791666667</v>
      </c>
      <c r="K634" s="8" t="str">
        <f t="shared" si="4"/>
        <v>2010-12</v>
      </c>
      <c r="L634" s="5">
        <v>5.95</v>
      </c>
      <c r="M634" s="3">
        <v>12838.0</v>
      </c>
      <c r="N634" s="1" t="str">
        <f t="shared" si="5"/>
        <v>Registered</v>
      </c>
      <c r="O634" s="1" t="s">
        <v>19</v>
      </c>
      <c r="P634" s="9" t="str">
        <f t="shared" si="6"/>
        <v>UK</v>
      </c>
      <c r="Q634" s="8">
        <f t="shared" si="7"/>
        <v>5.95</v>
      </c>
    </row>
    <row r="635">
      <c r="A635" s="1">
        <v>536415.0</v>
      </c>
      <c r="B635" s="1" t="str">
        <f t="shared" si="1"/>
        <v>536415</v>
      </c>
      <c r="C635" s="1" t="str">
        <f t="shared" si="2"/>
        <v>Sale</v>
      </c>
      <c r="D635" s="1">
        <v>22469.0</v>
      </c>
      <c r="E635" s="1" t="str">
        <f>IFERROR(__xludf.DUMMYFUNCTION("IF(LEN(D635)&gt;4, IFERROR(REGEXEXTRACT(TO_TEXT(D635),""\d+""),""""),"""")"),"22469")</f>
        <v>22469</v>
      </c>
      <c r="F635" s="6" t="str">
        <f t="shared" si="3"/>
        <v>Product</v>
      </c>
      <c r="G635" s="1" t="s">
        <v>167</v>
      </c>
      <c r="H635" s="6" t="str">
        <f>IFERROR(__xludf.DUMMYFUNCTION("IF(REGEXMATCH(LOWER(G635), ""^(\?)+\s*(missing)?\s*(\?)*$""), """", PROPER(SUBSTITUTE(SUBSTITUTE(G635, ""?"", """"), ""*"", """")))"),"Heart Of Wicker Small")</f>
        <v>Heart Of Wicker Small</v>
      </c>
      <c r="I635" s="3">
        <v>5.0</v>
      </c>
      <c r="J635" s="7">
        <v>40513.49791666667</v>
      </c>
      <c r="K635" s="8" t="str">
        <f t="shared" si="4"/>
        <v>2010-12</v>
      </c>
      <c r="L635" s="5">
        <v>1.65</v>
      </c>
      <c r="M635" s="3">
        <v>12838.0</v>
      </c>
      <c r="N635" s="1" t="str">
        <f t="shared" si="5"/>
        <v>Registered</v>
      </c>
      <c r="O635" s="1" t="s">
        <v>19</v>
      </c>
      <c r="P635" s="9" t="str">
        <f t="shared" si="6"/>
        <v>UK</v>
      </c>
      <c r="Q635" s="8">
        <f t="shared" si="7"/>
        <v>8.25</v>
      </c>
    </row>
    <row r="636">
      <c r="A636" s="1">
        <v>536415.0</v>
      </c>
      <c r="B636" s="1" t="str">
        <f t="shared" si="1"/>
        <v>536415</v>
      </c>
      <c r="C636" s="1" t="str">
        <f t="shared" si="2"/>
        <v>Sale</v>
      </c>
      <c r="D636" s="1">
        <v>22147.0</v>
      </c>
      <c r="E636" s="1" t="str">
        <f>IFERROR(__xludf.DUMMYFUNCTION("IF(LEN(D636)&gt;4, IFERROR(REGEXEXTRACT(TO_TEXT(D636),""\d+""),""""),"""")"),"22147")</f>
        <v>22147</v>
      </c>
      <c r="F636" s="6" t="str">
        <f t="shared" si="3"/>
        <v>Product</v>
      </c>
      <c r="G636" s="1" t="s">
        <v>474</v>
      </c>
      <c r="H636" s="6" t="str">
        <f>IFERROR(__xludf.DUMMYFUNCTION("IF(REGEXMATCH(LOWER(G636), ""^(\?)+\s*(missing)?\s*(\?)*$""), """", PROPER(SUBSTITUTE(SUBSTITUTE(G636, ""?"", """"), ""*"", """")))"),"Feltcraft Butterfly Hearts")</f>
        <v>Feltcraft Butterfly Hearts</v>
      </c>
      <c r="I636" s="3">
        <v>4.0</v>
      </c>
      <c r="J636" s="7">
        <v>40513.49791666667</v>
      </c>
      <c r="K636" s="8" t="str">
        <f t="shared" si="4"/>
        <v>2010-12</v>
      </c>
      <c r="L636" s="5">
        <v>1.45</v>
      </c>
      <c r="M636" s="3">
        <v>12838.0</v>
      </c>
      <c r="N636" s="1" t="str">
        <f t="shared" si="5"/>
        <v>Registered</v>
      </c>
      <c r="O636" s="1" t="s">
        <v>19</v>
      </c>
      <c r="P636" s="9" t="str">
        <f t="shared" si="6"/>
        <v>UK</v>
      </c>
      <c r="Q636" s="8">
        <f t="shared" si="7"/>
        <v>5.8</v>
      </c>
    </row>
    <row r="637">
      <c r="A637" s="1">
        <v>536415.0</v>
      </c>
      <c r="B637" s="1" t="str">
        <f t="shared" si="1"/>
        <v>536415</v>
      </c>
      <c r="C637" s="1" t="str">
        <f t="shared" si="2"/>
        <v>Sale</v>
      </c>
      <c r="D637" s="1">
        <v>22130.0</v>
      </c>
      <c r="E637" s="1" t="str">
        <f>IFERROR(__xludf.DUMMYFUNCTION("IF(LEN(D637)&gt;4, IFERROR(REGEXEXTRACT(TO_TEXT(D637),""\d+""),""""),"""")"),"22130")</f>
        <v>22130</v>
      </c>
      <c r="F637" s="6" t="str">
        <f t="shared" si="3"/>
        <v>Product</v>
      </c>
      <c r="G637" s="1" t="s">
        <v>475</v>
      </c>
      <c r="H637" s="6" t="str">
        <f>IFERROR(__xludf.DUMMYFUNCTION("IF(REGEXMATCH(LOWER(G637), ""^(\?)+\s*(missing)?\s*(\?)*$""), """", PROPER(SUBSTITUTE(SUBSTITUTE(G637, ""?"", """"), ""*"", """")))"),"Party Cone Christmas Decoration")</f>
        <v>Party Cone Christmas Decoration</v>
      </c>
      <c r="I637" s="3">
        <v>6.0</v>
      </c>
      <c r="J637" s="7">
        <v>40513.49791666667</v>
      </c>
      <c r="K637" s="8" t="str">
        <f t="shared" si="4"/>
        <v>2010-12</v>
      </c>
      <c r="L637" s="5">
        <v>0.85</v>
      </c>
      <c r="M637" s="3">
        <v>12838.0</v>
      </c>
      <c r="N637" s="1" t="str">
        <f t="shared" si="5"/>
        <v>Registered</v>
      </c>
      <c r="O637" s="1" t="s">
        <v>19</v>
      </c>
      <c r="P637" s="9" t="str">
        <f t="shared" si="6"/>
        <v>UK</v>
      </c>
      <c r="Q637" s="8">
        <f t="shared" si="7"/>
        <v>5.1</v>
      </c>
    </row>
    <row r="638">
      <c r="A638" s="1">
        <v>536415.0</v>
      </c>
      <c r="B638" s="1" t="str">
        <f t="shared" si="1"/>
        <v>536415</v>
      </c>
      <c r="C638" s="1" t="str">
        <f t="shared" si="2"/>
        <v>Sale</v>
      </c>
      <c r="D638" s="1">
        <v>21791.0</v>
      </c>
      <c r="E638" s="1" t="str">
        <f>IFERROR(__xludf.DUMMYFUNCTION("IF(LEN(D638)&gt;4, IFERROR(REGEXEXTRACT(TO_TEXT(D638),""\d+""),""""),"""")"),"21791")</f>
        <v>21791</v>
      </c>
      <c r="F638" s="6" t="str">
        <f t="shared" si="3"/>
        <v>Product</v>
      </c>
      <c r="G638" s="1" t="s">
        <v>55</v>
      </c>
      <c r="H638" s="6" t="str">
        <f>IFERROR(__xludf.DUMMYFUNCTION("IF(REGEXMATCH(LOWER(G638), ""^(\?)+\s*(missing)?\s*(\?)*$""), """", PROPER(SUBSTITUTE(SUBSTITUTE(G638, ""?"", """"), ""*"", """")))"),"Vintage Heads And Tails Card Game")</f>
        <v>Vintage Heads And Tails Card Game</v>
      </c>
      <c r="I638" s="3">
        <v>3.0</v>
      </c>
      <c r="J638" s="7">
        <v>40513.49791666667</v>
      </c>
      <c r="K638" s="8" t="str">
        <f t="shared" si="4"/>
        <v>2010-12</v>
      </c>
      <c r="L638" s="5">
        <v>1.25</v>
      </c>
      <c r="M638" s="3">
        <v>12838.0</v>
      </c>
      <c r="N638" s="1" t="str">
        <f t="shared" si="5"/>
        <v>Registered</v>
      </c>
      <c r="O638" s="1" t="s">
        <v>19</v>
      </c>
      <c r="P638" s="9" t="str">
        <f t="shared" si="6"/>
        <v>UK</v>
      </c>
      <c r="Q638" s="8">
        <f t="shared" si="7"/>
        <v>3.75</v>
      </c>
    </row>
    <row r="639">
      <c r="A639" s="1">
        <v>536415.0</v>
      </c>
      <c r="B639" s="1" t="str">
        <f t="shared" si="1"/>
        <v>536415</v>
      </c>
      <c r="C639" s="1" t="str">
        <f t="shared" si="2"/>
        <v>Sale</v>
      </c>
      <c r="D639" s="1">
        <v>22694.0</v>
      </c>
      <c r="E639" s="1" t="str">
        <f>IFERROR(__xludf.DUMMYFUNCTION("IF(LEN(D639)&gt;4, IFERROR(REGEXEXTRACT(TO_TEXT(D639),""\d+""),""""),"""")"),"22694")</f>
        <v>22694</v>
      </c>
      <c r="F639" s="6" t="str">
        <f t="shared" si="3"/>
        <v>Product</v>
      </c>
      <c r="G639" s="1" t="s">
        <v>476</v>
      </c>
      <c r="H639" s="6" t="str">
        <f>IFERROR(__xludf.DUMMYFUNCTION("IF(REGEXMATCH(LOWER(G639), ""^(\?)+\s*(missing)?\s*(\?)*$""), """", PROPER(SUBSTITUTE(SUBSTITUTE(G639, ""?"", """"), ""*"", """")))"),"Wicker Star")</f>
        <v>Wicker Star</v>
      </c>
      <c r="I639" s="3">
        <v>5.0</v>
      </c>
      <c r="J639" s="7">
        <v>40513.49791666667</v>
      </c>
      <c r="K639" s="8" t="str">
        <f t="shared" si="4"/>
        <v>2010-12</v>
      </c>
      <c r="L639" s="5">
        <v>2.1</v>
      </c>
      <c r="M639" s="3">
        <v>12838.0</v>
      </c>
      <c r="N639" s="1" t="str">
        <f t="shared" si="5"/>
        <v>Registered</v>
      </c>
      <c r="O639" s="1" t="s">
        <v>19</v>
      </c>
      <c r="P639" s="9" t="str">
        <f t="shared" si="6"/>
        <v>UK</v>
      </c>
      <c r="Q639" s="8">
        <f t="shared" si="7"/>
        <v>10.5</v>
      </c>
    </row>
    <row r="640">
      <c r="A640" s="1">
        <v>536415.0</v>
      </c>
      <c r="B640" s="1" t="str">
        <f t="shared" si="1"/>
        <v>536415</v>
      </c>
      <c r="C640" s="1" t="str">
        <f t="shared" si="2"/>
        <v>Sale</v>
      </c>
      <c r="D640" s="1">
        <v>21790.0</v>
      </c>
      <c r="E640" s="1" t="str">
        <f>IFERROR(__xludf.DUMMYFUNCTION("IF(LEN(D640)&gt;4, IFERROR(REGEXEXTRACT(TO_TEXT(D640),""\d+""),""""),"""")"),"21790")</f>
        <v>21790</v>
      </c>
      <c r="F640" s="6" t="str">
        <f t="shared" si="3"/>
        <v>Product</v>
      </c>
      <c r="G640" s="1" t="s">
        <v>477</v>
      </c>
      <c r="H640" s="6" t="str">
        <f>IFERROR(__xludf.DUMMYFUNCTION("IF(REGEXMATCH(LOWER(G640), ""^(\?)+\s*(missing)?\s*(\?)*$""), """", PROPER(SUBSTITUTE(SUBSTITUTE(G640, ""?"", """"), ""*"", """")))"),"Vintage Snap Cards")</f>
        <v>Vintage Snap Cards</v>
      </c>
      <c r="I640" s="3">
        <v>3.0</v>
      </c>
      <c r="J640" s="7">
        <v>40513.49791666667</v>
      </c>
      <c r="K640" s="8" t="str">
        <f t="shared" si="4"/>
        <v>2010-12</v>
      </c>
      <c r="L640" s="5">
        <v>0.85</v>
      </c>
      <c r="M640" s="3">
        <v>12838.0</v>
      </c>
      <c r="N640" s="1" t="str">
        <f t="shared" si="5"/>
        <v>Registered</v>
      </c>
      <c r="O640" s="1" t="s">
        <v>19</v>
      </c>
      <c r="P640" s="9" t="str">
        <f t="shared" si="6"/>
        <v>UK</v>
      </c>
      <c r="Q640" s="8">
        <f t="shared" si="7"/>
        <v>2.55</v>
      </c>
    </row>
    <row r="641">
      <c r="A641" s="1">
        <v>536415.0</v>
      </c>
      <c r="B641" s="1" t="str">
        <f t="shared" si="1"/>
        <v>536415</v>
      </c>
      <c r="C641" s="1" t="str">
        <f t="shared" si="2"/>
        <v>Sale</v>
      </c>
      <c r="D641" s="1">
        <v>22149.0</v>
      </c>
      <c r="E641" s="1" t="str">
        <f>IFERROR(__xludf.DUMMYFUNCTION("IF(LEN(D641)&gt;4, IFERROR(REGEXEXTRACT(TO_TEXT(D641),""\d+""),""""),"""")"),"22149")</f>
        <v>22149</v>
      </c>
      <c r="F641" s="6" t="str">
        <f t="shared" si="3"/>
        <v>Product</v>
      </c>
      <c r="G641" s="1" t="s">
        <v>478</v>
      </c>
      <c r="H641" s="6" t="str">
        <f>IFERROR(__xludf.DUMMYFUNCTION("IF(REGEXMATCH(LOWER(G641), ""^(\?)+\s*(missing)?\s*(\?)*$""), """", PROPER(SUBSTITUTE(SUBSTITUTE(G641, ""?"", """"), ""*"", """")))"),"Feltcraft 6 Flower Friends")</f>
        <v>Feltcraft 6 Flower Friends</v>
      </c>
      <c r="I641" s="3">
        <v>4.0</v>
      </c>
      <c r="J641" s="7">
        <v>40513.49791666667</v>
      </c>
      <c r="K641" s="8" t="str">
        <f t="shared" si="4"/>
        <v>2010-12</v>
      </c>
      <c r="L641" s="5">
        <v>2.1</v>
      </c>
      <c r="M641" s="3">
        <v>12838.0</v>
      </c>
      <c r="N641" s="1" t="str">
        <f t="shared" si="5"/>
        <v>Registered</v>
      </c>
      <c r="O641" s="1" t="s">
        <v>19</v>
      </c>
      <c r="P641" s="9" t="str">
        <f t="shared" si="6"/>
        <v>UK</v>
      </c>
      <c r="Q641" s="8">
        <f t="shared" si="7"/>
        <v>8.4</v>
      </c>
    </row>
    <row r="642">
      <c r="A642" s="1">
        <v>536415.0</v>
      </c>
      <c r="B642" s="1" t="str">
        <f t="shared" si="1"/>
        <v>536415</v>
      </c>
      <c r="C642" s="1" t="str">
        <f t="shared" si="2"/>
        <v>Sale</v>
      </c>
      <c r="D642" s="1">
        <v>22900.0</v>
      </c>
      <c r="E642" s="1" t="str">
        <f>IFERROR(__xludf.DUMMYFUNCTION("IF(LEN(D642)&gt;4, IFERROR(REGEXEXTRACT(TO_TEXT(D642),""\d+""),""""),"""")"),"22900")</f>
        <v>22900</v>
      </c>
      <c r="F642" s="6" t="str">
        <f t="shared" si="3"/>
        <v>Product</v>
      </c>
      <c r="G642" s="1" t="s">
        <v>63</v>
      </c>
      <c r="H642" s="6" t="str">
        <f>IFERROR(__xludf.DUMMYFUNCTION("IF(REGEXMATCH(LOWER(G642), ""^(\?)+\s*(missing)?\s*(\?)*$""), """", PROPER(SUBSTITUTE(SUBSTITUTE(G642, ""?"", """"), ""*"", """")))"),"Set 2 Tea Towels I Love London")</f>
        <v>Set 2 Tea Towels I Love London</v>
      </c>
      <c r="I642" s="3">
        <v>3.0</v>
      </c>
      <c r="J642" s="7">
        <v>40513.49791666667</v>
      </c>
      <c r="K642" s="8" t="str">
        <f t="shared" si="4"/>
        <v>2010-12</v>
      </c>
      <c r="L642" s="5">
        <v>2.95</v>
      </c>
      <c r="M642" s="3">
        <v>12838.0</v>
      </c>
      <c r="N642" s="1" t="str">
        <f t="shared" si="5"/>
        <v>Registered</v>
      </c>
      <c r="O642" s="1" t="s">
        <v>19</v>
      </c>
      <c r="P642" s="9" t="str">
        <f t="shared" si="6"/>
        <v>UK</v>
      </c>
      <c r="Q642" s="8">
        <f t="shared" si="7"/>
        <v>8.85</v>
      </c>
    </row>
    <row r="643">
      <c r="A643" s="1">
        <v>536415.0</v>
      </c>
      <c r="B643" s="1" t="str">
        <f t="shared" si="1"/>
        <v>536415</v>
      </c>
      <c r="C643" s="1" t="str">
        <f t="shared" si="2"/>
        <v>Sale</v>
      </c>
      <c r="D643" s="1">
        <v>22961.0</v>
      </c>
      <c r="E643" s="1" t="str">
        <f>IFERROR(__xludf.DUMMYFUNCTION("IF(LEN(D643)&gt;4, IFERROR(REGEXEXTRACT(TO_TEXT(D643),""\d+""),""""),"""")"),"22961")</f>
        <v>22961</v>
      </c>
      <c r="F643" s="6" t="str">
        <f t="shared" si="3"/>
        <v>Product</v>
      </c>
      <c r="G643" s="1" t="s">
        <v>109</v>
      </c>
      <c r="H643" s="6" t="str">
        <f>IFERROR(__xludf.DUMMYFUNCTION("IF(REGEXMATCH(LOWER(G643), ""^(\?)+\s*(missing)?\s*(\?)*$""), """", PROPER(SUBSTITUTE(SUBSTITUTE(G643, ""?"", """"), ""*"", """")))"),"Jam Making Set Printed")</f>
        <v>Jam Making Set Printed</v>
      </c>
      <c r="I643" s="3">
        <v>3.0</v>
      </c>
      <c r="J643" s="7">
        <v>40513.49791666667</v>
      </c>
      <c r="K643" s="8" t="str">
        <f t="shared" si="4"/>
        <v>2010-12</v>
      </c>
      <c r="L643" s="5">
        <v>1.45</v>
      </c>
      <c r="M643" s="3">
        <v>12838.0</v>
      </c>
      <c r="N643" s="1" t="str">
        <f t="shared" si="5"/>
        <v>Registered</v>
      </c>
      <c r="O643" s="1" t="s">
        <v>19</v>
      </c>
      <c r="P643" s="9" t="str">
        <f t="shared" si="6"/>
        <v>UK</v>
      </c>
      <c r="Q643" s="8">
        <f t="shared" si="7"/>
        <v>4.35</v>
      </c>
    </row>
    <row r="644">
      <c r="A644" s="1">
        <v>536415.0</v>
      </c>
      <c r="B644" s="1" t="str">
        <f t="shared" si="1"/>
        <v>536415</v>
      </c>
      <c r="C644" s="1" t="str">
        <f t="shared" si="2"/>
        <v>Sale</v>
      </c>
      <c r="D644" s="1">
        <v>22321.0</v>
      </c>
      <c r="E644" s="1" t="str">
        <f>IFERROR(__xludf.DUMMYFUNCTION("IF(LEN(D644)&gt;4, IFERROR(REGEXEXTRACT(TO_TEXT(D644),""\d+""),""""),"""")"),"22321")</f>
        <v>22321</v>
      </c>
      <c r="F644" s="6" t="str">
        <f t="shared" si="3"/>
        <v>Product</v>
      </c>
      <c r="G644" s="1" t="s">
        <v>479</v>
      </c>
      <c r="H644" s="6" t="str">
        <f>IFERROR(__xludf.DUMMYFUNCTION("IF(REGEXMATCH(LOWER(G644), ""^(\?)+\s*(missing)?\s*(\?)*$""), """", PROPER(SUBSTITUTE(SUBSTITUTE(G644, ""?"", """"), ""*"", """")))"),"Bird Decoration Red Retrospot")</f>
        <v>Bird Decoration Red Retrospot</v>
      </c>
      <c r="I644" s="3">
        <v>12.0</v>
      </c>
      <c r="J644" s="7">
        <v>40513.49791666667</v>
      </c>
      <c r="K644" s="8" t="str">
        <f t="shared" si="4"/>
        <v>2010-12</v>
      </c>
      <c r="L644" s="5">
        <v>0.85</v>
      </c>
      <c r="M644" s="3">
        <v>12838.0</v>
      </c>
      <c r="N644" s="1" t="str">
        <f t="shared" si="5"/>
        <v>Registered</v>
      </c>
      <c r="O644" s="1" t="s">
        <v>19</v>
      </c>
      <c r="P644" s="9" t="str">
        <f t="shared" si="6"/>
        <v>UK</v>
      </c>
      <c r="Q644" s="8">
        <f t="shared" si="7"/>
        <v>10.2</v>
      </c>
    </row>
    <row r="645">
      <c r="A645" s="1">
        <v>536415.0</v>
      </c>
      <c r="B645" s="1" t="str">
        <f t="shared" si="1"/>
        <v>536415</v>
      </c>
      <c r="C645" s="1" t="str">
        <f t="shared" si="2"/>
        <v>Sale</v>
      </c>
      <c r="D645" s="1">
        <v>22594.0</v>
      </c>
      <c r="E645" s="1" t="str">
        <f>IFERROR(__xludf.DUMMYFUNCTION("IF(LEN(D645)&gt;4, IFERROR(REGEXEXTRACT(TO_TEXT(D645),""\d+""),""""),"""")"),"22594")</f>
        <v>22594</v>
      </c>
      <c r="F645" s="6" t="str">
        <f t="shared" si="3"/>
        <v>Product</v>
      </c>
      <c r="G645" s="1" t="s">
        <v>480</v>
      </c>
      <c r="H645" s="6" t="str">
        <f>IFERROR(__xludf.DUMMYFUNCTION("IF(REGEXMATCH(LOWER(G645), ""^(\?)+\s*(missing)?\s*(\?)*$""), """", PROPER(SUBSTITUTE(SUBSTITUTE(G645, ""?"", """"), ""*"", """")))"),"Christmas Gingham Tree")</f>
        <v>Christmas Gingham Tree</v>
      </c>
      <c r="I645" s="3">
        <v>5.0</v>
      </c>
      <c r="J645" s="7">
        <v>40513.49791666667</v>
      </c>
      <c r="K645" s="8" t="str">
        <f t="shared" si="4"/>
        <v>2010-12</v>
      </c>
      <c r="L645" s="5">
        <v>0.85</v>
      </c>
      <c r="M645" s="3">
        <v>12838.0</v>
      </c>
      <c r="N645" s="1" t="str">
        <f t="shared" si="5"/>
        <v>Registered</v>
      </c>
      <c r="O645" s="1" t="s">
        <v>19</v>
      </c>
      <c r="P645" s="9" t="str">
        <f t="shared" si="6"/>
        <v>UK</v>
      </c>
      <c r="Q645" s="8">
        <f t="shared" si="7"/>
        <v>4.25</v>
      </c>
    </row>
    <row r="646">
      <c r="A646" s="1">
        <v>536415.0</v>
      </c>
      <c r="B646" s="1" t="str">
        <f t="shared" si="1"/>
        <v>536415</v>
      </c>
      <c r="C646" s="1" t="str">
        <f t="shared" si="2"/>
        <v>Sale</v>
      </c>
      <c r="D646" s="1">
        <v>22593.0</v>
      </c>
      <c r="E646" s="1" t="str">
        <f>IFERROR(__xludf.DUMMYFUNCTION("IF(LEN(D646)&gt;4, IFERROR(REGEXEXTRACT(TO_TEXT(D646),""\d+""),""""),"""")"),"22593")</f>
        <v>22593</v>
      </c>
      <c r="F646" s="6" t="str">
        <f t="shared" si="3"/>
        <v>Product</v>
      </c>
      <c r="G646" s="1" t="s">
        <v>481</v>
      </c>
      <c r="H646" s="6" t="str">
        <f>IFERROR(__xludf.DUMMYFUNCTION("IF(REGEXMATCH(LOWER(G646), ""^(\?)+\s*(missing)?\s*(\?)*$""), """", PROPER(SUBSTITUTE(SUBSTITUTE(G646, ""?"", """"), ""*"", """")))"),"Christmas Gingham Star")</f>
        <v>Christmas Gingham Star</v>
      </c>
      <c r="I646" s="3">
        <v>4.0</v>
      </c>
      <c r="J646" s="7">
        <v>40513.49791666667</v>
      </c>
      <c r="K646" s="8" t="str">
        <f t="shared" si="4"/>
        <v>2010-12</v>
      </c>
      <c r="L646" s="5">
        <v>0.85</v>
      </c>
      <c r="M646" s="3">
        <v>12838.0</v>
      </c>
      <c r="N646" s="1" t="str">
        <f t="shared" si="5"/>
        <v>Registered</v>
      </c>
      <c r="O646" s="1" t="s">
        <v>19</v>
      </c>
      <c r="P646" s="9" t="str">
        <f t="shared" si="6"/>
        <v>UK</v>
      </c>
      <c r="Q646" s="8">
        <f t="shared" si="7"/>
        <v>3.4</v>
      </c>
    </row>
    <row r="647">
      <c r="A647" s="1">
        <v>536415.0</v>
      </c>
      <c r="B647" s="1" t="str">
        <f t="shared" si="1"/>
        <v>536415</v>
      </c>
      <c r="C647" s="1" t="str">
        <f t="shared" si="2"/>
        <v>Sale</v>
      </c>
      <c r="D647" s="1">
        <v>22595.0</v>
      </c>
      <c r="E647" s="1" t="str">
        <f>IFERROR(__xludf.DUMMYFUNCTION("IF(LEN(D647)&gt;4, IFERROR(REGEXEXTRACT(TO_TEXT(D647),""\d+""),""""),"""")"),"22595")</f>
        <v>22595</v>
      </c>
      <c r="F647" s="6" t="str">
        <f t="shared" si="3"/>
        <v>Product</v>
      </c>
      <c r="G647" s="1" t="s">
        <v>482</v>
      </c>
      <c r="H647" s="6" t="str">
        <f>IFERROR(__xludf.DUMMYFUNCTION("IF(REGEXMATCH(LOWER(G647), ""^(\?)+\s*(missing)?\s*(\?)*$""), """", PROPER(SUBSTITUTE(SUBSTITUTE(G647, ""?"", """"), ""*"", """")))"),"Christmas Gingham Heart")</f>
        <v>Christmas Gingham Heart</v>
      </c>
      <c r="I647" s="3">
        <v>6.0</v>
      </c>
      <c r="J647" s="7">
        <v>40513.49791666667</v>
      </c>
      <c r="K647" s="8" t="str">
        <f t="shared" si="4"/>
        <v>2010-12</v>
      </c>
      <c r="L647" s="5">
        <v>0.85</v>
      </c>
      <c r="M647" s="3">
        <v>12838.0</v>
      </c>
      <c r="N647" s="1" t="str">
        <f t="shared" si="5"/>
        <v>Registered</v>
      </c>
      <c r="O647" s="1" t="s">
        <v>19</v>
      </c>
      <c r="P647" s="9" t="str">
        <f t="shared" si="6"/>
        <v>UK</v>
      </c>
      <c r="Q647" s="8">
        <f t="shared" si="7"/>
        <v>5.1</v>
      </c>
    </row>
    <row r="648">
      <c r="A648" s="1">
        <v>536415.0</v>
      </c>
      <c r="B648" s="1" t="str">
        <f t="shared" si="1"/>
        <v>536415</v>
      </c>
      <c r="C648" s="1" t="str">
        <f t="shared" si="2"/>
        <v>Sale</v>
      </c>
      <c r="D648" s="1">
        <v>21986.0</v>
      </c>
      <c r="E648" s="1" t="str">
        <f>IFERROR(__xludf.DUMMYFUNCTION("IF(LEN(D648)&gt;4, IFERROR(REGEXEXTRACT(TO_TEXT(D648),""\d+""),""""),"""")"),"21986")</f>
        <v>21986</v>
      </c>
      <c r="F648" s="6" t="str">
        <f t="shared" si="3"/>
        <v>Product</v>
      </c>
      <c r="G648" s="1" t="s">
        <v>483</v>
      </c>
      <c r="H648" s="6" t="str">
        <f>IFERROR(__xludf.DUMMYFUNCTION("IF(REGEXMATCH(LOWER(G648), ""^(\?)+\s*(missing)?\s*(\?)*$""), """", PROPER(SUBSTITUTE(SUBSTITUTE(G648, ""?"", """"), ""*"", """")))"),"Pack Of 12 Pink Polkadot Tissues")</f>
        <v>Pack Of 12 Pink Polkadot Tissues</v>
      </c>
      <c r="I648" s="3">
        <v>12.0</v>
      </c>
      <c r="J648" s="7">
        <v>40513.49791666667</v>
      </c>
      <c r="K648" s="8" t="str">
        <f t="shared" si="4"/>
        <v>2010-12</v>
      </c>
      <c r="L648" s="5">
        <v>0.29</v>
      </c>
      <c r="M648" s="3">
        <v>12838.0</v>
      </c>
      <c r="N648" s="1" t="str">
        <f t="shared" si="5"/>
        <v>Registered</v>
      </c>
      <c r="O648" s="1" t="s">
        <v>19</v>
      </c>
      <c r="P648" s="9" t="str">
        <f t="shared" si="6"/>
        <v>UK</v>
      </c>
      <c r="Q648" s="8">
        <f t="shared" si="7"/>
        <v>3.48</v>
      </c>
    </row>
    <row r="649">
      <c r="A649" s="1">
        <v>536415.0</v>
      </c>
      <c r="B649" s="1" t="str">
        <f t="shared" si="1"/>
        <v>536415</v>
      </c>
      <c r="C649" s="1" t="str">
        <f t="shared" si="2"/>
        <v>Sale</v>
      </c>
      <c r="D649" s="1">
        <v>22750.0</v>
      </c>
      <c r="E649" s="1" t="str">
        <f>IFERROR(__xludf.DUMMYFUNCTION("IF(LEN(D649)&gt;4, IFERROR(REGEXEXTRACT(TO_TEXT(D649),""\d+""),""""),"""")"),"22750")</f>
        <v>22750</v>
      </c>
      <c r="F649" s="6" t="str">
        <f t="shared" si="3"/>
        <v>Product</v>
      </c>
      <c r="G649" s="1" t="s">
        <v>484</v>
      </c>
      <c r="H649" s="6" t="str">
        <f>IFERROR(__xludf.DUMMYFUNCTION("IF(REGEXMATCH(LOWER(G649), ""^(\?)+\s*(missing)?\s*(\?)*$""), """", PROPER(SUBSTITUTE(SUBSTITUTE(G649, ""?"", """"), ""*"", """")))"),"Feltcraft Princess Lola Doll")</f>
        <v>Feltcraft Princess Lola Doll</v>
      </c>
      <c r="I649" s="3">
        <v>2.0</v>
      </c>
      <c r="J649" s="7">
        <v>40513.49791666667</v>
      </c>
      <c r="K649" s="8" t="str">
        <f t="shared" si="4"/>
        <v>2010-12</v>
      </c>
      <c r="L649" s="5">
        <v>3.75</v>
      </c>
      <c r="M649" s="3">
        <v>12838.0</v>
      </c>
      <c r="N649" s="1" t="str">
        <f t="shared" si="5"/>
        <v>Registered</v>
      </c>
      <c r="O649" s="1" t="s">
        <v>19</v>
      </c>
      <c r="P649" s="9" t="str">
        <f t="shared" si="6"/>
        <v>UK</v>
      </c>
      <c r="Q649" s="8">
        <f t="shared" si="7"/>
        <v>7.5</v>
      </c>
    </row>
    <row r="650">
      <c r="A650" s="1">
        <v>536415.0</v>
      </c>
      <c r="B650" s="1" t="str">
        <f t="shared" si="1"/>
        <v>536415</v>
      </c>
      <c r="C650" s="1" t="str">
        <f t="shared" si="2"/>
        <v>Sale</v>
      </c>
      <c r="D650" s="1">
        <v>22616.0</v>
      </c>
      <c r="E650" s="1" t="str">
        <f>IFERROR(__xludf.DUMMYFUNCTION("IF(LEN(D650)&gt;4, IFERROR(REGEXEXTRACT(TO_TEXT(D650),""\d+""),""""),"""")"),"22616")</f>
        <v>22616</v>
      </c>
      <c r="F650" s="6" t="str">
        <f t="shared" si="3"/>
        <v>Product</v>
      </c>
      <c r="G650" s="1" t="s">
        <v>485</v>
      </c>
      <c r="H650" s="6" t="str">
        <f>IFERROR(__xludf.DUMMYFUNCTION("IF(REGEXMATCH(LOWER(G650), ""^(\?)+\s*(missing)?\s*(\?)*$""), """", PROPER(SUBSTITUTE(SUBSTITUTE(G650, ""?"", """"), ""*"", """")))"),"Pack Of 12 London Tissues")</f>
        <v>Pack Of 12 London Tissues</v>
      </c>
      <c r="I650" s="3">
        <v>12.0</v>
      </c>
      <c r="J650" s="7">
        <v>40513.49791666667</v>
      </c>
      <c r="K650" s="8" t="str">
        <f t="shared" si="4"/>
        <v>2010-12</v>
      </c>
      <c r="L650" s="5">
        <v>0.29</v>
      </c>
      <c r="M650" s="3">
        <v>12838.0</v>
      </c>
      <c r="N650" s="1" t="str">
        <f t="shared" si="5"/>
        <v>Registered</v>
      </c>
      <c r="O650" s="1" t="s">
        <v>19</v>
      </c>
      <c r="P650" s="9" t="str">
        <f t="shared" si="6"/>
        <v>UK</v>
      </c>
      <c r="Q650" s="8">
        <f t="shared" si="7"/>
        <v>3.48</v>
      </c>
    </row>
    <row r="651">
      <c r="A651" s="1">
        <v>536415.0</v>
      </c>
      <c r="B651" s="1" t="str">
        <f t="shared" si="1"/>
        <v>536415</v>
      </c>
      <c r="C651" s="1" t="str">
        <f t="shared" si="2"/>
        <v>Sale</v>
      </c>
      <c r="D651" s="1">
        <v>22775.0</v>
      </c>
      <c r="E651" s="1" t="str">
        <f>IFERROR(__xludf.DUMMYFUNCTION("IF(LEN(D651)&gt;4, IFERROR(REGEXEXTRACT(TO_TEXT(D651),""\d+""),""""),"""")"),"22775")</f>
        <v>22775</v>
      </c>
      <c r="F651" s="6" t="str">
        <f t="shared" si="3"/>
        <v>Product</v>
      </c>
      <c r="G651" s="1" t="s">
        <v>486</v>
      </c>
      <c r="H651" s="6" t="str">
        <f>IFERROR(__xludf.DUMMYFUNCTION("IF(REGEXMATCH(LOWER(G651), ""^(\?)+\s*(missing)?\s*(\?)*$""), """", PROPER(SUBSTITUTE(SUBSTITUTE(G651, ""?"", """"), ""*"", """")))"),"Purple Drawerknob Acrylic Edwardian")</f>
        <v>Purple Drawerknob Acrylic Edwardian</v>
      </c>
      <c r="I651" s="3">
        <v>1.0</v>
      </c>
      <c r="J651" s="7">
        <v>40513.49791666667</v>
      </c>
      <c r="K651" s="8" t="str">
        <f t="shared" si="4"/>
        <v>2010-12</v>
      </c>
      <c r="L651" s="5">
        <v>1.25</v>
      </c>
      <c r="M651" s="3">
        <v>12838.0</v>
      </c>
      <c r="N651" s="1" t="str">
        <f t="shared" si="5"/>
        <v>Registered</v>
      </c>
      <c r="O651" s="1" t="s">
        <v>19</v>
      </c>
      <c r="P651" s="9" t="str">
        <f t="shared" si="6"/>
        <v>UK</v>
      </c>
      <c r="Q651" s="8">
        <f t="shared" si="7"/>
        <v>1.25</v>
      </c>
    </row>
    <row r="652">
      <c r="A652" s="1">
        <v>536415.0</v>
      </c>
      <c r="B652" s="1" t="str">
        <f t="shared" si="1"/>
        <v>536415</v>
      </c>
      <c r="C652" s="1" t="str">
        <f t="shared" si="2"/>
        <v>Sale</v>
      </c>
      <c r="D652" s="1">
        <v>22899.0</v>
      </c>
      <c r="E652" s="1" t="str">
        <f>IFERROR(__xludf.DUMMYFUNCTION("IF(LEN(D652)&gt;4, IFERROR(REGEXEXTRACT(TO_TEXT(D652),""\d+""),""""),"""")"),"22899")</f>
        <v>22899</v>
      </c>
      <c r="F652" s="6" t="str">
        <f t="shared" si="3"/>
        <v>Product</v>
      </c>
      <c r="G652" s="1" t="s">
        <v>487</v>
      </c>
      <c r="H652" s="6" t="str">
        <f>IFERROR(__xludf.DUMMYFUNCTION("IF(REGEXMATCH(LOWER(G652), ""^(\?)+\s*(missing)?\s*(\?)*$""), """", PROPER(SUBSTITUTE(SUBSTITUTE(G652, ""?"", """"), ""*"", """")))"),"Children'S Apron Dolly Girl")</f>
        <v>Children'S Apron Dolly Girl</v>
      </c>
      <c r="I652" s="3">
        <v>2.0</v>
      </c>
      <c r="J652" s="7">
        <v>40513.49791666667</v>
      </c>
      <c r="K652" s="8" t="str">
        <f t="shared" si="4"/>
        <v>2010-12</v>
      </c>
      <c r="L652" s="5">
        <v>2.1</v>
      </c>
      <c r="M652" s="3">
        <v>12838.0</v>
      </c>
      <c r="N652" s="1" t="str">
        <f t="shared" si="5"/>
        <v>Registered</v>
      </c>
      <c r="O652" s="1" t="s">
        <v>19</v>
      </c>
      <c r="P652" s="9" t="str">
        <f t="shared" si="6"/>
        <v>UK</v>
      </c>
      <c r="Q652" s="8">
        <f t="shared" si="7"/>
        <v>4.2</v>
      </c>
    </row>
    <row r="653">
      <c r="A653" s="1">
        <v>536415.0</v>
      </c>
      <c r="B653" s="1" t="str">
        <f t="shared" si="1"/>
        <v>536415</v>
      </c>
      <c r="C653" s="1" t="str">
        <f t="shared" si="2"/>
        <v>Sale</v>
      </c>
      <c r="D653" s="1">
        <v>22367.0</v>
      </c>
      <c r="E653" s="1" t="str">
        <f>IFERROR(__xludf.DUMMYFUNCTION("IF(LEN(D653)&gt;4, IFERROR(REGEXEXTRACT(TO_TEXT(D653),""\d+""),""""),"""")"),"22367")</f>
        <v>22367</v>
      </c>
      <c r="F653" s="6" t="str">
        <f t="shared" si="3"/>
        <v>Product</v>
      </c>
      <c r="G653" s="1" t="s">
        <v>488</v>
      </c>
      <c r="H653" s="6" t="str">
        <f>IFERROR(__xludf.DUMMYFUNCTION("IF(REGEXMATCH(LOWER(G653), ""^(\?)+\s*(missing)?\s*(\?)*$""), """", PROPER(SUBSTITUTE(SUBSTITUTE(G653, ""?"", """"), ""*"", """")))"),"Childrens Apron Spaceboy Design")</f>
        <v>Childrens Apron Spaceboy Design</v>
      </c>
      <c r="I653" s="3">
        <v>3.0</v>
      </c>
      <c r="J653" s="7">
        <v>40513.49791666667</v>
      </c>
      <c r="K653" s="8" t="str">
        <f t="shared" si="4"/>
        <v>2010-12</v>
      </c>
      <c r="L653" s="5">
        <v>1.95</v>
      </c>
      <c r="M653" s="3">
        <v>12838.0</v>
      </c>
      <c r="N653" s="1" t="str">
        <f t="shared" si="5"/>
        <v>Registered</v>
      </c>
      <c r="O653" s="1" t="s">
        <v>19</v>
      </c>
      <c r="P653" s="9" t="str">
        <f t="shared" si="6"/>
        <v>UK</v>
      </c>
      <c r="Q653" s="8">
        <f t="shared" si="7"/>
        <v>5.85</v>
      </c>
    </row>
    <row r="654">
      <c r="A654" s="1">
        <v>536415.0</v>
      </c>
      <c r="B654" s="1" t="str">
        <f t="shared" si="1"/>
        <v>536415</v>
      </c>
      <c r="C654" s="1" t="str">
        <f t="shared" si="2"/>
        <v>Sale</v>
      </c>
      <c r="D654" s="1">
        <v>22942.0</v>
      </c>
      <c r="E654" s="1" t="str">
        <f>IFERROR(__xludf.DUMMYFUNCTION("IF(LEN(D654)&gt;4, IFERROR(REGEXEXTRACT(TO_TEXT(D654),""\d+""),""""),"""")"),"22942")</f>
        <v>22942</v>
      </c>
      <c r="F654" s="6" t="str">
        <f t="shared" si="3"/>
        <v>Product</v>
      </c>
      <c r="G654" s="1" t="s">
        <v>489</v>
      </c>
      <c r="H654" s="6" t="str">
        <f>IFERROR(__xludf.DUMMYFUNCTION("IF(REGEXMATCH(LOWER(G654), ""^(\?)+\s*(missing)?\s*(\?)*$""), """", PROPER(SUBSTITUTE(SUBSTITUTE(G654, ""?"", """"), ""*"", """")))"),"Christmas Lights 10 Santas")</f>
        <v>Christmas Lights 10 Santas</v>
      </c>
      <c r="I654" s="3">
        <v>3.0</v>
      </c>
      <c r="J654" s="7">
        <v>40513.49791666667</v>
      </c>
      <c r="K654" s="8" t="str">
        <f t="shared" si="4"/>
        <v>2010-12</v>
      </c>
      <c r="L654" s="5">
        <v>8.5</v>
      </c>
      <c r="M654" s="3">
        <v>12838.0</v>
      </c>
      <c r="N654" s="1" t="str">
        <f t="shared" si="5"/>
        <v>Registered</v>
      </c>
      <c r="O654" s="1" t="s">
        <v>19</v>
      </c>
      <c r="P654" s="9" t="str">
        <f t="shared" si="6"/>
        <v>UK</v>
      </c>
      <c r="Q654" s="8">
        <f t="shared" si="7"/>
        <v>25.5</v>
      </c>
    </row>
    <row r="655">
      <c r="A655" s="1">
        <v>536415.0</v>
      </c>
      <c r="B655" s="1" t="str">
        <f t="shared" si="1"/>
        <v>536415</v>
      </c>
      <c r="C655" s="1" t="str">
        <f t="shared" si="2"/>
        <v>Sale</v>
      </c>
      <c r="D655" s="1">
        <v>22941.0</v>
      </c>
      <c r="E655" s="1" t="str">
        <f>IFERROR(__xludf.DUMMYFUNCTION("IF(LEN(D655)&gt;4, IFERROR(REGEXEXTRACT(TO_TEXT(D655),""\d+""),""""),"""")"),"22941")</f>
        <v>22941</v>
      </c>
      <c r="F655" s="6" t="str">
        <f t="shared" si="3"/>
        <v>Product</v>
      </c>
      <c r="G655" s="1" t="s">
        <v>196</v>
      </c>
      <c r="H655" s="6" t="str">
        <f>IFERROR(__xludf.DUMMYFUNCTION("IF(REGEXMATCH(LOWER(G655), ""^(\?)+\s*(missing)?\s*(\?)*$""), """", PROPER(SUBSTITUTE(SUBSTITUTE(G655, ""?"", """"), ""*"", """")))"),"Christmas Lights 10 Reindeer")</f>
        <v>Christmas Lights 10 Reindeer</v>
      </c>
      <c r="I655" s="3">
        <v>3.0</v>
      </c>
      <c r="J655" s="7">
        <v>40513.49791666667</v>
      </c>
      <c r="K655" s="8" t="str">
        <f t="shared" si="4"/>
        <v>2010-12</v>
      </c>
      <c r="L655" s="5">
        <v>8.5</v>
      </c>
      <c r="M655" s="3">
        <v>12838.0</v>
      </c>
      <c r="N655" s="1" t="str">
        <f t="shared" si="5"/>
        <v>Registered</v>
      </c>
      <c r="O655" s="1" t="s">
        <v>19</v>
      </c>
      <c r="P655" s="9" t="str">
        <f t="shared" si="6"/>
        <v>UK</v>
      </c>
      <c r="Q655" s="8">
        <f t="shared" si="7"/>
        <v>25.5</v>
      </c>
    </row>
    <row r="656">
      <c r="A656" s="1">
        <v>536415.0</v>
      </c>
      <c r="B656" s="1" t="str">
        <f t="shared" si="1"/>
        <v>536415</v>
      </c>
      <c r="C656" s="1" t="str">
        <f t="shared" si="2"/>
        <v>Sale</v>
      </c>
      <c r="D656" s="1">
        <v>22086.0</v>
      </c>
      <c r="E656" s="1" t="str">
        <f>IFERROR(__xludf.DUMMYFUNCTION("IF(LEN(D656)&gt;4, IFERROR(REGEXEXTRACT(TO_TEXT(D656),""\d+""),""""),"""")"),"22086")</f>
        <v>22086</v>
      </c>
      <c r="F656" s="6" t="str">
        <f t="shared" si="3"/>
        <v>Product</v>
      </c>
      <c r="G656" s="1" t="s">
        <v>70</v>
      </c>
      <c r="H656" s="6" t="str">
        <f>IFERROR(__xludf.DUMMYFUNCTION("IF(REGEXMATCH(LOWER(G656), ""^(\?)+\s*(missing)?\s*(\?)*$""), """", PROPER(SUBSTITUTE(SUBSTITUTE(G656, ""?"", """"), ""*"", """")))"),"Paper Chain Kit 50'S Christmas")</f>
        <v>Paper Chain Kit 50'S Christmas</v>
      </c>
      <c r="I656" s="3">
        <v>6.0</v>
      </c>
      <c r="J656" s="7">
        <v>40513.49791666667</v>
      </c>
      <c r="K656" s="8" t="str">
        <f t="shared" si="4"/>
        <v>2010-12</v>
      </c>
      <c r="L656" s="5">
        <v>2.95</v>
      </c>
      <c r="M656" s="3">
        <v>12838.0</v>
      </c>
      <c r="N656" s="1" t="str">
        <f t="shared" si="5"/>
        <v>Registered</v>
      </c>
      <c r="O656" s="1" t="s">
        <v>19</v>
      </c>
      <c r="P656" s="9" t="str">
        <f t="shared" si="6"/>
        <v>UK</v>
      </c>
      <c r="Q656" s="8">
        <f t="shared" si="7"/>
        <v>17.7</v>
      </c>
    </row>
    <row r="657">
      <c r="A657" s="1">
        <v>536415.0</v>
      </c>
      <c r="B657" s="1" t="str">
        <f t="shared" si="1"/>
        <v>536415</v>
      </c>
      <c r="C657" s="1" t="str">
        <f t="shared" si="2"/>
        <v>Sale</v>
      </c>
      <c r="D657" s="1">
        <v>22940.0</v>
      </c>
      <c r="E657" s="1" t="str">
        <f>IFERROR(__xludf.DUMMYFUNCTION("IF(LEN(D657)&gt;4, IFERROR(REGEXEXTRACT(TO_TEXT(D657),""\d+""),""""),"""")"),"22940")</f>
        <v>22940</v>
      </c>
      <c r="F657" s="6" t="str">
        <f t="shared" si="3"/>
        <v>Product</v>
      </c>
      <c r="G657" s="1" t="s">
        <v>439</v>
      </c>
      <c r="H657" s="6" t="str">
        <f>IFERROR(__xludf.DUMMYFUNCTION("IF(REGEXMATCH(LOWER(G657), ""^(\?)+\s*(missing)?\s*(\?)*$""), """", PROPER(SUBSTITUTE(SUBSTITUTE(G657, ""?"", """"), ""*"", """")))"),"Feltcraft Christmas Fairy")</f>
        <v>Feltcraft Christmas Fairy</v>
      </c>
      <c r="I657" s="3">
        <v>2.0</v>
      </c>
      <c r="J657" s="7">
        <v>40513.49791666667</v>
      </c>
      <c r="K657" s="8" t="str">
        <f t="shared" si="4"/>
        <v>2010-12</v>
      </c>
      <c r="L657" s="5">
        <v>4.25</v>
      </c>
      <c r="M657" s="3">
        <v>12838.0</v>
      </c>
      <c r="N657" s="1" t="str">
        <f t="shared" si="5"/>
        <v>Registered</v>
      </c>
      <c r="O657" s="1" t="s">
        <v>19</v>
      </c>
      <c r="P657" s="9" t="str">
        <f t="shared" si="6"/>
        <v>UK</v>
      </c>
      <c r="Q657" s="8">
        <f t="shared" si="7"/>
        <v>8.5</v>
      </c>
    </row>
    <row r="658">
      <c r="A658" s="1">
        <v>536415.0</v>
      </c>
      <c r="B658" s="1" t="str">
        <f t="shared" si="1"/>
        <v>536415</v>
      </c>
      <c r="C658" s="1" t="str">
        <f t="shared" si="2"/>
        <v>Sale</v>
      </c>
      <c r="D658" s="1">
        <v>21212.0</v>
      </c>
      <c r="E658" s="1" t="str">
        <f>IFERROR(__xludf.DUMMYFUNCTION("IF(LEN(D658)&gt;4, IFERROR(REGEXEXTRACT(TO_TEXT(D658),""\d+""),""""),"""")"),"21212")</f>
        <v>21212</v>
      </c>
      <c r="F658" s="6" t="str">
        <f t="shared" si="3"/>
        <v>Product</v>
      </c>
      <c r="G658" s="1" t="s">
        <v>97</v>
      </c>
      <c r="H658" s="6" t="str">
        <f>IFERROR(__xludf.DUMMYFUNCTION("IF(REGEXMATCH(LOWER(G658), ""^(\?)+\s*(missing)?\s*(\?)*$""), """", PROPER(SUBSTITUTE(SUBSTITUTE(G658, ""?"", """"), ""*"", """")))"),"Pack Of 72 Retrospot Cake Cases")</f>
        <v>Pack Of 72 Retrospot Cake Cases</v>
      </c>
      <c r="I658" s="3">
        <v>2.0</v>
      </c>
      <c r="J658" s="7">
        <v>40513.49791666667</v>
      </c>
      <c r="K658" s="8" t="str">
        <f t="shared" si="4"/>
        <v>2010-12</v>
      </c>
      <c r="L658" s="5">
        <v>0.55</v>
      </c>
      <c r="M658" s="3">
        <v>12838.0</v>
      </c>
      <c r="N658" s="1" t="str">
        <f t="shared" si="5"/>
        <v>Registered</v>
      </c>
      <c r="O658" s="1" t="s">
        <v>19</v>
      </c>
      <c r="P658" s="9" t="str">
        <f t="shared" si="6"/>
        <v>UK</v>
      </c>
      <c r="Q658" s="8">
        <f t="shared" si="7"/>
        <v>1.1</v>
      </c>
    </row>
    <row r="659">
      <c r="A659" s="1">
        <v>536415.0</v>
      </c>
      <c r="B659" s="1" t="str">
        <f t="shared" si="1"/>
        <v>536415</v>
      </c>
      <c r="C659" s="1" t="str">
        <f t="shared" si="2"/>
        <v>Sale</v>
      </c>
      <c r="D659" s="1">
        <v>21976.0</v>
      </c>
      <c r="E659" s="1" t="str">
        <f>IFERROR(__xludf.DUMMYFUNCTION("IF(LEN(D659)&gt;4, IFERROR(REGEXEXTRACT(TO_TEXT(D659),""\d+""),""""),"""")"),"21976")</f>
        <v>21976</v>
      </c>
      <c r="F659" s="6" t="str">
        <f t="shared" si="3"/>
        <v>Product</v>
      </c>
      <c r="G659" s="1" t="s">
        <v>490</v>
      </c>
      <c r="H659" s="6" t="str">
        <f>IFERROR(__xludf.DUMMYFUNCTION("IF(REGEXMATCH(LOWER(G659), ""^(\?)+\s*(missing)?\s*(\?)*$""), """", PROPER(SUBSTITUTE(SUBSTITUTE(G659, ""?"", """"), ""*"", """")))"),"Pack Of 60 Mushroom Cake Cases")</f>
        <v>Pack Of 60 Mushroom Cake Cases</v>
      </c>
      <c r="I659" s="3">
        <v>2.0</v>
      </c>
      <c r="J659" s="7">
        <v>40513.49791666667</v>
      </c>
      <c r="K659" s="8" t="str">
        <f t="shared" si="4"/>
        <v>2010-12</v>
      </c>
      <c r="L659" s="5">
        <v>0.55</v>
      </c>
      <c r="M659" s="3">
        <v>12838.0</v>
      </c>
      <c r="N659" s="1" t="str">
        <f t="shared" si="5"/>
        <v>Registered</v>
      </c>
      <c r="O659" s="1" t="s">
        <v>19</v>
      </c>
      <c r="P659" s="9" t="str">
        <f t="shared" si="6"/>
        <v>UK</v>
      </c>
      <c r="Q659" s="8">
        <f t="shared" si="7"/>
        <v>1.1</v>
      </c>
    </row>
    <row r="660">
      <c r="A660" s="1">
        <v>536415.0</v>
      </c>
      <c r="B660" s="1" t="str">
        <f t="shared" si="1"/>
        <v>536415</v>
      </c>
      <c r="C660" s="1" t="str">
        <f t="shared" si="2"/>
        <v>Sale</v>
      </c>
      <c r="D660" s="1">
        <v>22951.0</v>
      </c>
      <c r="E660" s="1" t="str">
        <f>IFERROR(__xludf.DUMMYFUNCTION("IF(LEN(D660)&gt;4, IFERROR(REGEXEXTRACT(TO_TEXT(D660),""\d+""),""""),"""")"),"22951")</f>
        <v>22951</v>
      </c>
      <c r="F660" s="6" t="str">
        <f t="shared" si="3"/>
        <v>Product</v>
      </c>
      <c r="G660" s="1" t="s">
        <v>491</v>
      </c>
      <c r="H660" s="6" t="str">
        <f>IFERROR(__xludf.DUMMYFUNCTION("IF(REGEXMATCH(LOWER(G660), ""^(\?)+\s*(missing)?\s*(\?)*$""), """", PROPER(SUBSTITUTE(SUBSTITUTE(G660, ""?"", """"), ""*"", """")))"),"60 Cake Cases Dolly Girl Design")</f>
        <v>60 Cake Cases Dolly Girl Design</v>
      </c>
      <c r="I660" s="3">
        <v>2.0</v>
      </c>
      <c r="J660" s="7">
        <v>40513.49791666667</v>
      </c>
      <c r="K660" s="8" t="str">
        <f t="shared" si="4"/>
        <v>2010-12</v>
      </c>
      <c r="L660" s="5">
        <v>0.55</v>
      </c>
      <c r="M660" s="3">
        <v>12838.0</v>
      </c>
      <c r="N660" s="1" t="str">
        <f t="shared" si="5"/>
        <v>Registered</v>
      </c>
      <c r="O660" s="1" t="s">
        <v>19</v>
      </c>
      <c r="P660" s="9" t="str">
        <f t="shared" si="6"/>
        <v>UK</v>
      </c>
      <c r="Q660" s="8">
        <f t="shared" si="7"/>
        <v>1.1</v>
      </c>
    </row>
    <row r="661">
      <c r="A661" s="1">
        <v>536415.0</v>
      </c>
      <c r="B661" s="1" t="str">
        <f t="shared" si="1"/>
        <v>536415</v>
      </c>
      <c r="C661" s="1" t="str">
        <f t="shared" si="2"/>
        <v>Sale</v>
      </c>
      <c r="D661" s="1">
        <v>21977.0</v>
      </c>
      <c r="E661" s="1" t="str">
        <f>IFERROR(__xludf.DUMMYFUNCTION("IF(LEN(D661)&gt;4, IFERROR(REGEXEXTRACT(TO_TEXT(D661),""\d+""),""""),"""")"),"21977")</f>
        <v>21977</v>
      </c>
      <c r="F661" s="6" t="str">
        <f t="shared" si="3"/>
        <v>Product</v>
      </c>
      <c r="G661" s="1" t="s">
        <v>99</v>
      </c>
      <c r="H661" s="6" t="str">
        <f>IFERROR(__xludf.DUMMYFUNCTION("IF(REGEXMATCH(LOWER(G661), ""^(\?)+\s*(missing)?\s*(\?)*$""), """", PROPER(SUBSTITUTE(SUBSTITUTE(G661, ""?"", """"), ""*"", """")))"),"Pack Of 60 Pink Paisley Cake Cases")</f>
        <v>Pack Of 60 Pink Paisley Cake Cases</v>
      </c>
      <c r="I661" s="3">
        <v>3.0</v>
      </c>
      <c r="J661" s="7">
        <v>40513.49791666667</v>
      </c>
      <c r="K661" s="8" t="str">
        <f t="shared" si="4"/>
        <v>2010-12</v>
      </c>
      <c r="L661" s="5">
        <v>0.55</v>
      </c>
      <c r="M661" s="3">
        <v>12838.0</v>
      </c>
      <c r="N661" s="1" t="str">
        <f t="shared" si="5"/>
        <v>Registered</v>
      </c>
      <c r="O661" s="1" t="s">
        <v>19</v>
      </c>
      <c r="P661" s="9" t="str">
        <f t="shared" si="6"/>
        <v>UK</v>
      </c>
      <c r="Q661" s="8">
        <f t="shared" si="7"/>
        <v>1.65</v>
      </c>
    </row>
    <row r="662">
      <c r="A662" s="1">
        <v>536415.0</v>
      </c>
      <c r="B662" s="1" t="str">
        <f t="shared" si="1"/>
        <v>536415</v>
      </c>
      <c r="C662" s="1" t="str">
        <f t="shared" si="2"/>
        <v>Sale</v>
      </c>
      <c r="D662" s="1">
        <v>22834.0</v>
      </c>
      <c r="E662" s="1" t="str">
        <f>IFERROR(__xludf.DUMMYFUNCTION("IF(LEN(D662)&gt;4, IFERROR(REGEXEXTRACT(TO_TEXT(D662),""\d+""),""""),"""")"),"22834")</f>
        <v>22834</v>
      </c>
      <c r="F662" s="6" t="str">
        <f t="shared" si="3"/>
        <v>Product</v>
      </c>
      <c r="G662" s="1" t="s">
        <v>492</v>
      </c>
      <c r="H662" s="6" t="str">
        <f>IFERROR(__xludf.DUMMYFUNCTION("IF(REGEXMATCH(LOWER(G662), ""^(\?)+\s*(missing)?\s*(\?)*$""), """", PROPER(SUBSTITUTE(SUBSTITUTE(G662, ""?"", """"), ""*"", """")))"),"Hand Warmer Babushka Design")</f>
        <v>Hand Warmer Babushka Design</v>
      </c>
      <c r="I662" s="3">
        <v>3.0</v>
      </c>
      <c r="J662" s="7">
        <v>40513.49791666667</v>
      </c>
      <c r="K662" s="8" t="str">
        <f t="shared" si="4"/>
        <v>2010-12</v>
      </c>
      <c r="L662" s="5">
        <v>2.1</v>
      </c>
      <c r="M662" s="3">
        <v>12838.0</v>
      </c>
      <c r="N662" s="1" t="str">
        <f t="shared" si="5"/>
        <v>Registered</v>
      </c>
      <c r="O662" s="1" t="s">
        <v>19</v>
      </c>
      <c r="P662" s="9" t="str">
        <f t="shared" si="6"/>
        <v>UK</v>
      </c>
      <c r="Q662" s="8">
        <f t="shared" si="7"/>
        <v>6.3</v>
      </c>
    </row>
    <row r="663">
      <c r="A663" s="1">
        <v>536415.0</v>
      </c>
      <c r="B663" s="1" t="str">
        <f t="shared" si="1"/>
        <v>536415</v>
      </c>
      <c r="C663" s="1" t="str">
        <f t="shared" si="2"/>
        <v>Sale</v>
      </c>
      <c r="D663" s="1">
        <v>22867.0</v>
      </c>
      <c r="E663" s="1" t="str">
        <f>IFERROR(__xludf.DUMMYFUNCTION("IF(LEN(D663)&gt;4, IFERROR(REGEXEXTRACT(TO_TEXT(D663),""\d+""),""""),"""")"),"22867")</f>
        <v>22867</v>
      </c>
      <c r="F663" s="6" t="str">
        <f t="shared" si="3"/>
        <v>Product</v>
      </c>
      <c r="G663" s="1" t="s">
        <v>257</v>
      </c>
      <c r="H663" s="6" t="str">
        <f>IFERROR(__xludf.DUMMYFUNCTION("IF(REGEXMATCH(LOWER(G663), ""^(\?)+\s*(missing)?\s*(\?)*$""), """", PROPER(SUBSTITUTE(SUBSTITUTE(G663, ""?"", """"), ""*"", """")))"),"Hand Warmer Bird Design")</f>
        <v>Hand Warmer Bird Design</v>
      </c>
      <c r="I663" s="3">
        <v>3.0</v>
      </c>
      <c r="J663" s="7">
        <v>40513.49791666667</v>
      </c>
      <c r="K663" s="8" t="str">
        <f t="shared" si="4"/>
        <v>2010-12</v>
      </c>
      <c r="L663" s="5">
        <v>2.1</v>
      </c>
      <c r="M663" s="3">
        <v>12838.0</v>
      </c>
      <c r="N663" s="1" t="str">
        <f t="shared" si="5"/>
        <v>Registered</v>
      </c>
      <c r="O663" s="1" t="s">
        <v>19</v>
      </c>
      <c r="P663" s="9" t="str">
        <f t="shared" si="6"/>
        <v>UK</v>
      </c>
      <c r="Q663" s="8">
        <f t="shared" si="7"/>
        <v>6.3</v>
      </c>
    </row>
    <row r="664">
      <c r="A664" s="1">
        <v>536415.0</v>
      </c>
      <c r="B664" s="1" t="str">
        <f t="shared" si="1"/>
        <v>536415</v>
      </c>
      <c r="C664" s="1" t="str">
        <f t="shared" si="2"/>
        <v>Sale</v>
      </c>
      <c r="D664" s="1">
        <v>22865.0</v>
      </c>
      <c r="E664" s="1" t="str">
        <f>IFERROR(__xludf.DUMMYFUNCTION("IF(LEN(D664)&gt;4, IFERROR(REGEXEXTRACT(TO_TEXT(D664),""\d+""),""""),"""")"),"22865")</f>
        <v>22865</v>
      </c>
      <c r="F664" s="6" t="str">
        <f t="shared" si="3"/>
        <v>Product</v>
      </c>
      <c r="G664" s="1" t="s">
        <v>247</v>
      </c>
      <c r="H664" s="6" t="str">
        <f>IFERROR(__xludf.DUMMYFUNCTION("IF(REGEXMATCH(LOWER(G664), ""^(\?)+\s*(missing)?\s*(\?)*$""), """", PROPER(SUBSTITUTE(SUBSTITUTE(G664, ""?"", """"), ""*"", """")))"),"Hand Warmer Owl Design")</f>
        <v>Hand Warmer Owl Design</v>
      </c>
      <c r="I664" s="3">
        <v>3.0</v>
      </c>
      <c r="J664" s="7">
        <v>40513.49791666667</v>
      </c>
      <c r="K664" s="8" t="str">
        <f t="shared" si="4"/>
        <v>2010-12</v>
      </c>
      <c r="L664" s="5">
        <v>2.1</v>
      </c>
      <c r="M664" s="3">
        <v>12838.0</v>
      </c>
      <c r="N664" s="1" t="str">
        <f t="shared" si="5"/>
        <v>Registered</v>
      </c>
      <c r="O664" s="1" t="s">
        <v>19</v>
      </c>
      <c r="P664" s="9" t="str">
        <f t="shared" si="6"/>
        <v>UK</v>
      </c>
      <c r="Q664" s="8">
        <f t="shared" si="7"/>
        <v>6.3</v>
      </c>
    </row>
    <row r="665">
      <c r="A665" s="1">
        <v>536415.0</v>
      </c>
      <c r="B665" s="1" t="str">
        <f t="shared" si="1"/>
        <v>536415</v>
      </c>
      <c r="C665" s="1" t="str">
        <f t="shared" si="2"/>
        <v>Sale</v>
      </c>
      <c r="D665" s="1">
        <v>22632.0</v>
      </c>
      <c r="E665" s="1" t="str">
        <f>IFERROR(__xludf.DUMMYFUNCTION("IF(LEN(D665)&gt;4, IFERROR(REGEXEXTRACT(TO_TEXT(D665),""\d+""),""""),"""")"),"22632")</f>
        <v>22632</v>
      </c>
      <c r="F665" s="6" t="str">
        <f t="shared" si="3"/>
        <v>Product</v>
      </c>
      <c r="G665" s="1" t="s">
        <v>248</v>
      </c>
      <c r="H665" s="6" t="str">
        <f>IFERROR(__xludf.DUMMYFUNCTION("IF(REGEXMATCH(LOWER(G665), ""^(\?)+\s*(missing)?\s*(\?)*$""), """", PROPER(SUBSTITUTE(SUBSTITUTE(G665, ""?"", """"), ""*"", """")))"),"Hand Warmer Red Retrospot")</f>
        <v>Hand Warmer Red Retrospot</v>
      </c>
      <c r="I665" s="3">
        <v>3.0</v>
      </c>
      <c r="J665" s="7">
        <v>40513.49791666667</v>
      </c>
      <c r="K665" s="8" t="str">
        <f t="shared" si="4"/>
        <v>2010-12</v>
      </c>
      <c r="L665" s="5">
        <v>2.1</v>
      </c>
      <c r="M665" s="3">
        <v>12838.0</v>
      </c>
      <c r="N665" s="1" t="str">
        <f t="shared" si="5"/>
        <v>Registered</v>
      </c>
      <c r="O665" s="1" t="s">
        <v>19</v>
      </c>
      <c r="P665" s="9" t="str">
        <f t="shared" si="6"/>
        <v>UK</v>
      </c>
      <c r="Q665" s="8">
        <f t="shared" si="7"/>
        <v>6.3</v>
      </c>
    </row>
    <row r="666">
      <c r="A666" s="1">
        <v>536415.0</v>
      </c>
      <c r="B666" s="1" t="str">
        <f t="shared" si="1"/>
        <v>536415</v>
      </c>
      <c r="C666" s="1" t="str">
        <f t="shared" si="2"/>
        <v>Sale</v>
      </c>
      <c r="D666" s="1">
        <v>21916.0</v>
      </c>
      <c r="E666" s="1" t="str">
        <f>IFERROR(__xludf.DUMMYFUNCTION("IF(LEN(D666)&gt;4, IFERROR(REGEXEXTRACT(TO_TEXT(D666),""\d+""),""""),"""")"),"21916")</f>
        <v>21916</v>
      </c>
      <c r="F666" s="6" t="str">
        <f t="shared" si="3"/>
        <v>Product</v>
      </c>
      <c r="G666" s="1" t="s">
        <v>493</v>
      </c>
      <c r="H666" s="6" t="str">
        <f>IFERROR(__xludf.DUMMYFUNCTION("IF(REGEXMATCH(LOWER(G666), ""^(\?)+\s*(missing)?\s*(\?)*$""), """", PROPER(SUBSTITUTE(SUBSTITUTE(G666, ""?"", """"), ""*"", """")))"),"Set 12 Retro White Chalk Sticks")</f>
        <v>Set 12 Retro White Chalk Sticks</v>
      </c>
      <c r="I666" s="3">
        <v>2.0</v>
      </c>
      <c r="J666" s="7">
        <v>40513.49791666667</v>
      </c>
      <c r="K666" s="8" t="str">
        <f t="shared" si="4"/>
        <v>2010-12</v>
      </c>
      <c r="L666" s="5">
        <v>0.42</v>
      </c>
      <c r="M666" s="3">
        <v>12838.0</v>
      </c>
      <c r="N666" s="1" t="str">
        <f t="shared" si="5"/>
        <v>Registered</v>
      </c>
      <c r="O666" s="1" t="s">
        <v>19</v>
      </c>
      <c r="P666" s="9" t="str">
        <f t="shared" si="6"/>
        <v>UK</v>
      </c>
      <c r="Q666" s="8">
        <f t="shared" si="7"/>
        <v>0.84</v>
      </c>
    </row>
    <row r="667">
      <c r="A667" s="1">
        <v>536415.0</v>
      </c>
      <c r="B667" s="1" t="str">
        <f t="shared" si="1"/>
        <v>536415</v>
      </c>
      <c r="C667" s="1" t="str">
        <f t="shared" si="2"/>
        <v>Sale</v>
      </c>
      <c r="D667" s="1">
        <v>22587.0</v>
      </c>
      <c r="E667" s="1" t="str">
        <f>IFERROR(__xludf.DUMMYFUNCTION("IF(LEN(D667)&gt;4, IFERROR(REGEXEXTRACT(TO_TEXT(D667),""\d+""),""""),"""")"),"22587")</f>
        <v>22587</v>
      </c>
      <c r="F667" s="6" t="str">
        <f t="shared" si="3"/>
        <v>Product</v>
      </c>
      <c r="G667" s="1" t="s">
        <v>494</v>
      </c>
      <c r="H667" s="6" t="str">
        <f>IFERROR(__xludf.DUMMYFUNCTION("IF(REGEXMATCH(LOWER(G667), ""^(\?)+\s*(missing)?\s*(\?)*$""), """", PROPER(SUBSTITUTE(SUBSTITUTE(G667, ""?"", """"), ""*"", """")))"),"Feltcraft Hairband Red And Blue")</f>
        <v>Feltcraft Hairband Red And Blue</v>
      </c>
      <c r="I667" s="3">
        <v>4.0</v>
      </c>
      <c r="J667" s="7">
        <v>40513.49791666667</v>
      </c>
      <c r="K667" s="8" t="str">
        <f t="shared" si="4"/>
        <v>2010-12</v>
      </c>
      <c r="L667" s="5">
        <v>0.85</v>
      </c>
      <c r="M667" s="3">
        <v>12838.0</v>
      </c>
      <c r="N667" s="1" t="str">
        <f t="shared" si="5"/>
        <v>Registered</v>
      </c>
      <c r="O667" s="1" t="s">
        <v>19</v>
      </c>
      <c r="P667" s="9" t="str">
        <f t="shared" si="6"/>
        <v>UK</v>
      </c>
      <c r="Q667" s="8">
        <f t="shared" si="7"/>
        <v>3.4</v>
      </c>
    </row>
    <row r="668">
      <c r="A668" s="1">
        <v>536415.0</v>
      </c>
      <c r="B668" s="1" t="str">
        <f t="shared" si="1"/>
        <v>536415</v>
      </c>
      <c r="C668" s="1" t="str">
        <f t="shared" si="2"/>
        <v>Sale</v>
      </c>
      <c r="D668" s="1">
        <v>22566.0</v>
      </c>
      <c r="E668" s="1" t="str">
        <f>IFERROR(__xludf.DUMMYFUNCTION("IF(LEN(D668)&gt;4, IFERROR(REGEXEXTRACT(TO_TEXT(D668),""\d+""),""""),"""")"),"22566")</f>
        <v>22566</v>
      </c>
      <c r="F668" s="6" t="str">
        <f t="shared" si="3"/>
        <v>Product</v>
      </c>
      <c r="G668" s="1" t="s">
        <v>495</v>
      </c>
      <c r="H668" s="6" t="str">
        <f>IFERROR(__xludf.DUMMYFUNCTION("IF(REGEXMATCH(LOWER(G668), ""^(\?)+\s*(missing)?\s*(\?)*$""), """", PROPER(SUBSTITUTE(SUBSTITUTE(G668, ""?"", """"), ""*"", """")))"),"Feltcraft Hairband Pink And Purple")</f>
        <v>Feltcraft Hairband Pink And Purple</v>
      </c>
      <c r="I668" s="3">
        <v>3.0</v>
      </c>
      <c r="J668" s="7">
        <v>40513.49791666667</v>
      </c>
      <c r="K668" s="8" t="str">
        <f t="shared" si="4"/>
        <v>2010-12</v>
      </c>
      <c r="L668" s="5">
        <v>0.85</v>
      </c>
      <c r="M668" s="3">
        <v>12838.0</v>
      </c>
      <c r="N668" s="1" t="str">
        <f t="shared" si="5"/>
        <v>Registered</v>
      </c>
      <c r="O668" s="1" t="s">
        <v>19</v>
      </c>
      <c r="P668" s="9" t="str">
        <f t="shared" si="6"/>
        <v>UK</v>
      </c>
      <c r="Q668" s="8">
        <f t="shared" si="7"/>
        <v>2.55</v>
      </c>
    </row>
    <row r="669">
      <c r="A669" s="1">
        <v>536415.0</v>
      </c>
      <c r="B669" s="1" t="str">
        <f t="shared" si="1"/>
        <v>536415</v>
      </c>
      <c r="C669" s="1" t="str">
        <f t="shared" si="2"/>
        <v>Sale</v>
      </c>
      <c r="D669" s="1">
        <v>22565.0</v>
      </c>
      <c r="E669" s="1" t="str">
        <f>IFERROR(__xludf.DUMMYFUNCTION("IF(LEN(D669)&gt;4, IFERROR(REGEXEXTRACT(TO_TEXT(D669),""\d+""),""""),"""")"),"22565")</f>
        <v>22565</v>
      </c>
      <c r="F669" s="6" t="str">
        <f t="shared" si="3"/>
        <v>Product</v>
      </c>
      <c r="G669" s="1" t="s">
        <v>496</v>
      </c>
      <c r="H669" s="6" t="str">
        <f>IFERROR(__xludf.DUMMYFUNCTION("IF(REGEXMATCH(LOWER(G669), ""^(\?)+\s*(missing)?\s*(\?)*$""), """", PROPER(SUBSTITUTE(SUBSTITUTE(G669, ""?"", """"), ""*"", """")))"),"Feltcraft Hairbands Pink And White")</f>
        <v>Feltcraft Hairbands Pink And White</v>
      </c>
      <c r="I669" s="3">
        <v>3.0</v>
      </c>
      <c r="J669" s="7">
        <v>40513.49791666667</v>
      </c>
      <c r="K669" s="8" t="str">
        <f t="shared" si="4"/>
        <v>2010-12</v>
      </c>
      <c r="L669" s="5">
        <v>0.85</v>
      </c>
      <c r="M669" s="3">
        <v>12838.0</v>
      </c>
      <c r="N669" s="1" t="str">
        <f t="shared" si="5"/>
        <v>Registered</v>
      </c>
      <c r="O669" s="1" t="s">
        <v>19</v>
      </c>
      <c r="P669" s="9" t="str">
        <f t="shared" si="6"/>
        <v>UK</v>
      </c>
      <c r="Q669" s="8">
        <f t="shared" si="7"/>
        <v>2.55</v>
      </c>
    </row>
    <row r="670">
      <c r="A670" s="1">
        <v>536415.0</v>
      </c>
      <c r="B670" s="1" t="str">
        <f t="shared" si="1"/>
        <v>536415</v>
      </c>
      <c r="C670" s="1" t="str">
        <f t="shared" si="2"/>
        <v>Sale</v>
      </c>
      <c r="D670" s="1">
        <v>22472.0</v>
      </c>
      <c r="E670" s="1" t="str">
        <f>IFERROR(__xludf.DUMMYFUNCTION("IF(LEN(D670)&gt;4, IFERROR(REGEXEXTRACT(TO_TEXT(D670),""\d+""),""""),"""")"),"22472")</f>
        <v>22472</v>
      </c>
      <c r="F670" s="6" t="str">
        <f t="shared" si="3"/>
        <v>Product</v>
      </c>
      <c r="G670" s="1" t="s">
        <v>497</v>
      </c>
      <c r="H670" s="6" t="str">
        <f>IFERROR(__xludf.DUMMYFUNCTION("IF(REGEXMATCH(LOWER(G670), ""^(\?)+\s*(missing)?\s*(\?)*$""), """", PROPER(SUBSTITUTE(SUBSTITUTE(G670, ""?"", """"), ""*"", """")))"),"Tv Dinner Tray Dolly Girl")</f>
        <v>Tv Dinner Tray Dolly Girl</v>
      </c>
      <c r="I670" s="3">
        <v>2.0</v>
      </c>
      <c r="J670" s="7">
        <v>40513.49791666667</v>
      </c>
      <c r="K670" s="8" t="str">
        <f t="shared" si="4"/>
        <v>2010-12</v>
      </c>
      <c r="L670" s="5">
        <v>4.95</v>
      </c>
      <c r="M670" s="3">
        <v>12838.0</v>
      </c>
      <c r="N670" s="1" t="str">
        <f t="shared" si="5"/>
        <v>Registered</v>
      </c>
      <c r="O670" s="1" t="s">
        <v>19</v>
      </c>
      <c r="P670" s="9" t="str">
        <f t="shared" si="6"/>
        <v>UK</v>
      </c>
      <c r="Q670" s="8">
        <f t="shared" si="7"/>
        <v>9.9</v>
      </c>
    </row>
    <row r="671">
      <c r="A671" s="1">
        <v>536415.0</v>
      </c>
      <c r="B671" s="1" t="str">
        <f t="shared" si="1"/>
        <v>536415</v>
      </c>
      <c r="C671" s="1" t="str">
        <f t="shared" si="2"/>
        <v>Sale</v>
      </c>
      <c r="D671" s="1">
        <v>22557.0</v>
      </c>
      <c r="E671" s="1" t="str">
        <f>IFERROR(__xludf.DUMMYFUNCTION("IF(LEN(D671)&gt;4, IFERROR(REGEXEXTRACT(TO_TEXT(D671),""\d+""),""""),"""")"),"22557")</f>
        <v>22557</v>
      </c>
      <c r="F671" s="6" t="str">
        <f t="shared" si="3"/>
        <v>Product</v>
      </c>
      <c r="G671" s="1" t="s">
        <v>233</v>
      </c>
      <c r="H671" s="6" t="str">
        <f>IFERROR(__xludf.DUMMYFUNCTION("IF(REGEXMATCH(LOWER(G671), ""^(\?)+\s*(missing)?\s*(\?)*$""), """", PROPER(SUBSTITUTE(SUBSTITUTE(G671, ""?"", """"), ""*"", """")))"),"Plasters In Tin Vintage Paisley")</f>
        <v>Plasters In Tin Vintage Paisley</v>
      </c>
      <c r="I671" s="3">
        <v>3.0</v>
      </c>
      <c r="J671" s="7">
        <v>40513.49791666667</v>
      </c>
      <c r="K671" s="8" t="str">
        <f t="shared" si="4"/>
        <v>2010-12</v>
      </c>
      <c r="L671" s="5">
        <v>1.65</v>
      </c>
      <c r="M671" s="3">
        <v>12838.0</v>
      </c>
      <c r="N671" s="1" t="str">
        <f t="shared" si="5"/>
        <v>Registered</v>
      </c>
      <c r="O671" s="1" t="s">
        <v>19</v>
      </c>
      <c r="P671" s="9" t="str">
        <f t="shared" si="6"/>
        <v>UK</v>
      </c>
      <c r="Q671" s="8">
        <f t="shared" si="7"/>
        <v>4.95</v>
      </c>
    </row>
    <row r="672">
      <c r="A672" s="1">
        <v>536415.0</v>
      </c>
      <c r="B672" s="1" t="str">
        <f t="shared" si="1"/>
        <v>536415</v>
      </c>
      <c r="C672" s="1" t="str">
        <f t="shared" si="2"/>
        <v>Sale</v>
      </c>
      <c r="D672" s="1">
        <v>22551.0</v>
      </c>
      <c r="E672" s="1" t="str">
        <f>IFERROR(__xludf.DUMMYFUNCTION("IF(LEN(D672)&gt;4, IFERROR(REGEXEXTRACT(TO_TEXT(D672),""\d+""),""""),"""")"),"22551")</f>
        <v>22551</v>
      </c>
      <c r="F672" s="6" t="str">
        <f t="shared" si="3"/>
        <v>Product</v>
      </c>
      <c r="G672" s="1" t="s">
        <v>498</v>
      </c>
      <c r="H672" s="6" t="str">
        <f>IFERROR(__xludf.DUMMYFUNCTION("IF(REGEXMATCH(LOWER(G672), ""^(\?)+\s*(missing)?\s*(\?)*$""), """", PROPER(SUBSTITUTE(SUBSTITUTE(G672, ""?"", """"), ""*"", """")))"),"Plasters In Tin Spaceboy")</f>
        <v>Plasters In Tin Spaceboy</v>
      </c>
      <c r="I672" s="3">
        <v>3.0</v>
      </c>
      <c r="J672" s="7">
        <v>40513.49791666667</v>
      </c>
      <c r="K672" s="8" t="str">
        <f t="shared" si="4"/>
        <v>2010-12</v>
      </c>
      <c r="L672" s="5">
        <v>1.65</v>
      </c>
      <c r="M672" s="3">
        <v>12838.0</v>
      </c>
      <c r="N672" s="1" t="str">
        <f t="shared" si="5"/>
        <v>Registered</v>
      </c>
      <c r="O672" s="1" t="s">
        <v>19</v>
      </c>
      <c r="P672" s="9" t="str">
        <f t="shared" si="6"/>
        <v>UK</v>
      </c>
      <c r="Q672" s="8">
        <f t="shared" si="7"/>
        <v>4.95</v>
      </c>
    </row>
    <row r="673">
      <c r="A673" s="1">
        <v>536415.0</v>
      </c>
      <c r="B673" s="1" t="str">
        <f t="shared" si="1"/>
        <v>536415</v>
      </c>
      <c r="C673" s="1" t="str">
        <f t="shared" si="2"/>
        <v>Sale</v>
      </c>
      <c r="D673" s="1">
        <v>22554.0</v>
      </c>
      <c r="E673" s="1" t="str">
        <f>IFERROR(__xludf.DUMMYFUNCTION("IF(LEN(D673)&gt;4, IFERROR(REGEXEXTRACT(TO_TEXT(D673),""\d+""),""""),"""")"),"22554")</f>
        <v>22554</v>
      </c>
      <c r="F673" s="6" t="str">
        <f t="shared" si="3"/>
        <v>Product</v>
      </c>
      <c r="G673" s="1" t="s">
        <v>499</v>
      </c>
      <c r="H673" s="6" t="str">
        <f>IFERROR(__xludf.DUMMYFUNCTION("IF(REGEXMATCH(LOWER(G673), ""^(\?)+\s*(missing)?\s*(\?)*$""), """", PROPER(SUBSTITUTE(SUBSTITUTE(G673, ""?"", """"), ""*"", """")))"),"Plasters In Tin Woodland Animals")</f>
        <v>Plasters In Tin Woodland Animals</v>
      </c>
      <c r="I673" s="3">
        <v>3.0</v>
      </c>
      <c r="J673" s="7">
        <v>40513.49791666667</v>
      </c>
      <c r="K673" s="8" t="str">
        <f t="shared" si="4"/>
        <v>2010-12</v>
      </c>
      <c r="L673" s="5">
        <v>1.65</v>
      </c>
      <c r="M673" s="3">
        <v>12838.0</v>
      </c>
      <c r="N673" s="1" t="str">
        <f t="shared" si="5"/>
        <v>Registered</v>
      </c>
      <c r="O673" s="1" t="s">
        <v>19</v>
      </c>
      <c r="P673" s="9" t="str">
        <f t="shared" si="6"/>
        <v>UK</v>
      </c>
      <c r="Q673" s="8">
        <f t="shared" si="7"/>
        <v>4.95</v>
      </c>
    </row>
    <row r="674">
      <c r="A674" s="1">
        <v>536415.0</v>
      </c>
      <c r="B674" s="1" t="str">
        <f t="shared" si="1"/>
        <v>536415</v>
      </c>
      <c r="C674" s="1" t="str">
        <f t="shared" si="2"/>
        <v>Sale</v>
      </c>
      <c r="D674" s="1">
        <v>22534.0</v>
      </c>
      <c r="E674" s="1" t="str">
        <f>IFERROR(__xludf.DUMMYFUNCTION("IF(LEN(D674)&gt;4, IFERROR(REGEXEXTRACT(TO_TEXT(D674),""\d+""),""""),"""")"),"22534")</f>
        <v>22534</v>
      </c>
      <c r="F674" s="6" t="str">
        <f t="shared" si="3"/>
        <v>Product</v>
      </c>
      <c r="G674" s="1" t="s">
        <v>500</v>
      </c>
      <c r="H674" s="6" t="str">
        <f>IFERROR(__xludf.DUMMYFUNCTION("IF(REGEXMATCH(LOWER(G674), ""^(\?)+\s*(missing)?\s*(\?)*$""), """", PROPER(SUBSTITUTE(SUBSTITUTE(G674, ""?"", """"), ""*"", """")))"),"Magic Drawing Slate Spaceboy")</f>
        <v>Magic Drawing Slate Spaceboy</v>
      </c>
      <c r="I674" s="3">
        <v>3.0</v>
      </c>
      <c r="J674" s="7">
        <v>40513.49791666667</v>
      </c>
      <c r="K674" s="8" t="str">
        <f t="shared" si="4"/>
        <v>2010-12</v>
      </c>
      <c r="L674" s="5">
        <v>0.42</v>
      </c>
      <c r="M674" s="3">
        <v>12838.0</v>
      </c>
      <c r="N674" s="1" t="str">
        <f t="shared" si="5"/>
        <v>Registered</v>
      </c>
      <c r="O674" s="1" t="s">
        <v>19</v>
      </c>
      <c r="P674" s="9" t="str">
        <f t="shared" si="6"/>
        <v>UK</v>
      </c>
      <c r="Q674" s="8">
        <f t="shared" si="7"/>
        <v>1.26</v>
      </c>
    </row>
    <row r="675">
      <c r="A675" s="1">
        <v>536415.0</v>
      </c>
      <c r="B675" s="1" t="str">
        <f t="shared" si="1"/>
        <v>536415</v>
      </c>
      <c r="C675" s="1" t="str">
        <f t="shared" si="2"/>
        <v>Sale</v>
      </c>
      <c r="D675" s="1">
        <v>22531.0</v>
      </c>
      <c r="E675" s="1" t="str">
        <f>IFERROR(__xludf.DUMMYFUNCTION("IF(LEN(D675)&gt;4, IFERROR(REGEXEXTRACT(TO_TEXT(D675),""\d+""),""""),"""")"),"22531")</f>
        <v>22531</v>
      </c>
      <c r="F675" s="6" t="str">
        <f t="shared" si="3"/>
        <v>Product</v>
      </c>
      <c r="G675" s="1" t="s">
        <v>409</v>
      </c>
      <c r="H675" s="6" t="str">
        <f>IFERROR(__xludf.DUMMYFUNCTION("IF(REGEXMATCH(LOWER(G675), ""^(\?)+\s*(missing)?\s*(\?)*$""), """", PROPER(SUBSTITUTE(SUBSTITUTE(G675, ""?"", """"), ""*"", """")))"),"Magic Drawing Slate Circus Parade")</f>
        <v>Magic Drawing Slate Circus Parade</v>
      </c>
      <c r="I675" s="3">
        <v>3.0</v>
      </c>
      <c r="J675" s="7">
        <v>40513.49791666667</v>
      </c>
      <c r="K675" s="8" t="str">
        <f t="shared" si="4"/>
        <v>2010-12</v>
      </c>
      <c r="L675" s="5">
        <v>0.42</v>
      </c>
      <c r="M675" s="3">
        <v>12838.0</v>
      </c>
      <c r="N675" s="1" t="str">
        <f t="shared" si="5"/>
        <v>Registered</v>
      </c>
      <c r="O675" s="1" t="s">
        <v>19</v>
      </c>
      <c r="P675" s="9" t="str">
        <f t="shared" si="6"/>
        <v>UK</v>
      </c>
      <c r="Q675" s="8">
        <f t="shared" si="7"/>
        <v>1.26</v>
      </c>
    </row>
    <row r="676">
      <c r="A676" s="1">
        <v>536415.0</v>
      </c>
      <c r="B676" s="1" t="str">
        <f t="shared" si="1"/>
        <v>536415</v>
      </c>
      <c r="C676" s="1" t="str">
        <f t="shared" si="2"/>
        <v>Sale</v>
      </c>
      <c r="D676" s="1">
        <v>22529.0</v>
      </c>
      <c r="E676" s="1" t="str">
        <f>IFERROR(__xludf.DUMMYFUNCTION("IF(LEN(D676)&gt;4, IFERROR(REGEXEXTRACT(TO_TEXT(D676),""\d+""),""""),"""")"),"22529")</f>
        <v>22529</v>
      </c>
      <c r="F676" s="6" t="str">
        <f t="shared" si="3"/>
        <v>Product</v>
      </c>
      <c r="G676" s="1" t="s">
        <v>501</v>
      </c>
      <c r="H676" s="6" t="str">
        <f>IFERROR(__xludf.DUMMYFUNCTION("IF(REGEXMATCH(LOWER(G676), ""^(\?)+\s*(missing)?\s*(\?)*$""), """", PROPER(SUBSTITUTE(SUBSTITUTE(G676, ""?"", """"), ""*"", """")))"),"Magic Drawing Slate Go To The Fair")</f>
        <v>Magic Drawing Slate Go To The Fair</v>
      </c>
      <c r="I676" s="3">
        <v>3.0</v>
      </c>
      <c r="J676" s="7">
        <v>40513.49791666667</v>
      </c>
      <c r="K676" s="8" t="str">
        <f t="shared" si="4"/>
        <v>2010-12</v>
      </c>
      <c r="L676" s="5">
        <v>0.42</v>
      </c>
      <c r="M676" s="3">
        <v>12838.0</v>
      </c>
      <c r="N676" s="1" t="str">
        <f t="shared" si="5"/>
        <v>Registered</v>
      </c>
      <c r="O676" s="1" t="s">
        <v>19</v>
      </c>
      <c r="P676" s="9" t="str">
        <f t="shared" si="6"/>
        <v>UK</v>
      </c>
      <c r="Q676" s="8">
        <f t="shared" si="7"/>
        <v>1.26</v>
      </c>
    </row>
    <row r="677">
      <c r="A677" s="1">
        <v>536415.0</v>
      </c>
      <c r="B677" s="1" t="str">
        <f t="shared" si="1"/>
        <v>536415</v>
      </c>
      <c r="C677" s="1" t="str">
        <f t="shared" si="2"/>
        <v>Sale</v>
      </c>
      <c r="D677" s="1">
        <v>22530.0</v>
      </c>
      <c r="E677" s="1" t="str">
        <f>IFERROR(__xludf.DUMMYFUNCTION("IF(LEN(D677)&gt;4, IFERROR(REGEXEXTRACT(TO_TEXT(D677),""\d+""),""""),"""")"),"22530")</f>
        <v>22530</v>
      </c>
      <c r="F677" s="6" t="str">
        <f t="shared" si="3"/>
        <v>Product</v>
      </c>
      <c r="G677" s="1" t="s">
        <v>502</v>
      </c>
      <c r="H677" s="6" t="str">
        <f>IFERROR(__xludf.DUMMYFUNCTION("IF(REGEXMATCH(LOWER(G677), ""^(\?)+\s*(missing)?\s*(\?)*$""), """", PROPER(SUBSTITUTE(SUBSTITUTE(G677, ""?"", """"), ""*"", """")))"),"Magic Drawing Slate Dolly Girl")</f>
        <v>Magic Drawing Slate Dolly Girl</v>
      </c>
      <c r="I677" s="3">
        <v>3.0</v>
      </c>
      <c r="J677" s="7">
        <v>40513.49791666667</v>
      </c>
      <c r="K677" s="8" t="str">
        <f t="shared" si="4"/>
        <v>2010-12</v>
      </c>
      <c r="L677" s="5">
        <v>0.42</v>
      </c>
      <c r="M677" s="3">
        <v>12838.0</v>
      </c>
      <c r="N677" s="1" t="str">
        <f t="shared" si="5"/>
        <v>Registered</v>
      </c>
      <c r="O677" s="1" t="s">
        <v>19</v>
      </c>
      <c r="P677" s="9" t="str">
        <f t="shared" si="6"/>
        <v>UK</v>
      </c>
      <c r="Q677" s="8">
        <f t="shared" si="7"/>
        <v>1.26</v>
      </c>
    </row>
    <row r="678">
      <c r="A678" s="1">
        <v>536415.0</v>
      </c>
      <c r="B678" s="1" t="str">
        <f t="shared" si="1"/>
        <v>536415</v>
      </c>
      <c r="C678" s="1" t="str">
        <f t="shared" si="2"/>
        <v>Sale</v>
      </c>
      <c r="D678" s="1" t="s">
        <v>503</v>
      </c>
      <c r="E678" s="1" t="str">
        <f>IFERROR(__xludf.DUMMYFUNCTION("IF(LEN(D678)&gt;4, IFERROR(REGEXEXTRACT(TO_TEXT(D678),""\d+""),""""),"""")"),"84032")</f>
        <v>84032</v>
      </c>
      <c r="F678" s="6" t="str">
        <f t="shared" si="3"/>
        <v>Product</v>
      </c>
      <c r="G678" s="1" t="s">
        <v>504</v>
      </c>
      <c r="H678" s="6" t="str">
        <f>IFERROR(__xludf.DUMMYFUNCTION("IF(REGEXMATCH(LOWER(G678), ""^(\?)+\s*(missing)?\s*(\?)*$""), """", PROPER(SUBSTITUTE(SUBSTITUTE(G678, ""?"", """"), ""*"", """")))"),"Charlie + Lola Red Hot Water Bottle")</f>
        <v>Charlie + Lola Red Hot Water Bottle</v>
      </c>
      <c r="I678" s="3">
        <v>3.0</v>
      </c>
      <c r="J678" s="7">
        <v>40513.49791666667</v>
      </c>
      <c r="K678" s="8" t="str">
        <f t="shared" si="4"/>
        <v>2010-12</v>
      </c>
      <c r="L678" s="5">
        <v>2.95</v>
      </c>
      <c r="M678" s="3">
        <v>12838.0</v>
      </c>
      <c r="N678" s="1" t="str">
        <f t="shared" si="5"/>
        <v>Registered</v>
      </c>
      <c r="O678" s="1" t="s">
        <v>19</v>
      </c>
      <c r="P678" s="9" t="str">
        <f t="shared" si="6"/>
        <v>UK</v>
      </c>
      <c r="Q678" s="8">
        <f t="shared" si="7"/>
        <v>8.85</v>
      </c>
    </row>
    <row r="679">
      <c r="A679" s="1">
        <v>536415.0</v>
      </c>
      <c r="B679" s="1" t="str">
        <f t="shared" si="1"/>
        <v>536415</v>
      </c>
      <c r="C679" s="1" t="str">
        <f t="shared" si="2"/>
        <v>Sale</v>
      </c>
      <c r="D679" s="1">
        <v>22837.0</v>
      </c>
      <c r="E679" s="1" t="str">
        <f>IFERROR(__xludf.DUMMYFUNCTION("IF(LEN(D679)&gt;4, IFERROR(REGEXEXTRACT(TO_TEXT(D679),""\d+""),""""),"""")"),"22837")</f>
        <v>22837</v>
      </c>
      <c r="F679" s="6" t="str">
        <f t="shared" si="3"/>
        <v>Product</v>
      </c>
      <c r="G679" s="1" t="s">
        <v>332</v>
      </c>
      <c r="H679" s="6" t="str">
        <f>IFERROR(__xludf.DUMMYFUNCTION("IF(REGEXMATCH(LOWER(G679), ""^(\?)+\s*(missing)?\s*(\?)*$""), """", PROPER(SUBSTITUTE(SUBSTITUTE(G679, ""?"", """"), ""*"", """")))"),"Hot Water Bottle Babushka")</f>
        <v>Hot Water Bottle Babushka</v>
      </c>
      <c r="I679" s="3">
        <v>3.0</v>
      </c>
      <c r="J679" s="7">
        <v>40513.49791666667</v>
      </c>
      <c r="K679" s="8" t="str">
        <f t="shared" si="4"/>
        <v>2010-12</v>
      </c>
      <c r="L679" s="5">
        <v>4.65</v>
      </c>
      <c r="M679" s="3">
        <v>12838.0</v>
      </c>
      <c r="N679" s="1" t="str">
        <f t="shared" si="5"/>
        <v>Registered</v>
      </c>
      <c r="O679" s="1" t="s">
        <v>19</v>
      </c>
      <c r="P679" s="9" t="str">
        <f t="shared" si="6"/>
        <v>UK</v>
      </c>
      <c r="Q679" s="8">
        <f t="shared" si="7"/>
        <v>13.95</v>
      </c>
    </row>
    <row r="680">
      <c r="A680" s="1">
        <v>536415.0</v>
      </c>
      <c r="B680" s="1" t="str">
        <f t="shared" si="1"/>
        <v>536415</v>
      </c>
      <c r="C680" s="1" t="str">
        <f t="shared" si="2"/>
        <v>Sale</v>
      </c>
      <c r="D680" s="1" t="s">
        <v>505</v>
      </c>
      <c r="E680" s="1" t="str">
        <f>IFERROR(__xludf.DUMMYFUNCTION("IF(LEN(D680)&gt;4, IFERROR(REGEXEXTRACT(TO_TEXT(D680),""\d+""),""""),"""")"),"85049")</f>
        <v>85049</v>
      </c>
      <c r="F680" s="6" t="str">
        <f t="shared" si="3"/>
        <v>Product</v>
      </c>
      <c r="G680" s="1" t="s">
        <v>506</v>
      </c>
      <c r="H680" s="6" t="str">
        <f>IFERROR(__xludf.DUMMYFUNCTION("IF(REGEXMATCH(LOWER(G680), ""^(\?)+\s*(missing)?\s*(\?)*$""), """", PROPER(SUBSTITUTE(SUBSTITUTE(G680, ""?"", """"), ""*"", """")))"),"Urban Black Ribbons")</f>
        <v>Urban Black Ribbons</v>
      </c>
      <c r="I680" s="3">
        <v>2.0</v>
      </c>
      <c r="J680" s="7">
        <v>40513.49791666667</v>
      </c>
      <c r="K680" s="8" t="str">
        <f t="shared" si="4"/>
        <v>2010-12</v>
      </c>
      <c r="L680" s="5">
        <v>1.25</v>
      </c>
      <c r="M680" s="3">
        <v>12838.0</v>
      </c>
      <c r="N680" s="1" t="str">
        <f t="shared" si="5"/>
        <v>Registered</v>
      </c>
      <c r="O680" s="1" t="s">
        <v>19</v>
      </c>
      <c r="P680" s="9" t="str">
        <f t="shared" si="6"/>
        <v>UK</v>
      </c>
      <c r="Q680" s="8">
        <f t="shared" si="7"/>
        <v>2.5</v>
      </c>
    </row>
    <row r="681">
      <c r="A681" s="1">
        <v>536415.0</v>
      </c>
      <c r="B681" s="1" t="str">
        <f t="shared" si="1"/>
        <v>536415</v>
      </c>
      <c r="C681" s="1" t="str">
        <f t="shared" si="2"/>
        <v>Sale</v>
      </c>
      <c r="D681" s="1">
        <v>22749.0</v>
      </c>
      <c r="E681" s="1" t="str">
        <f>IFERROR(__xludf.DUMMYFUNCTION("IF(LEN(D681)&gt;4, IFERROR(REGEXEXTRACT(TO_TEXT(D681),""\d+""),""""),"""")"),"22749")</f>
        <v>22749</v>
      </c>
      <c r="F681" s="6" t="str">
        <f t="shared" si="3"/>
        <v>Product</v>
      </c>
      <c r="G681" s="1" t="s">
        <v>34</v>
      </c>
      <c r="H681" s="6" t="str">
        <f>IFERROR(__xludf.DUMMYFUNCTION("IF(REGEXMATCH(LOWER(G681), ""^(\?)+\s*(missing)?\s*(\?)*$""), """", PROPER(SUBSTITUTE(SUBSTITUTE(G681, ""?"", """"), ""*"", """")))"),"Feltcraft Princess Charlotte Doll")</f>
        <v>Feltcraft Princess Charlotte Doll</v>
      </c>
      <c r="I681" s="3">
        <v>2.0</v>
      </c>
      <c r="J681" s="7">
        <v>40513.49791666667</v>
      </c>
      <c r="K681" s="8" t="str">
        <f t="shared" si="4"/>
        <v>2010-12</v>
      </c>
      <c r="L681" s="5">
        <v>3.75</v>
      </c>
      <c r="M681" s="3">
        <v>12838.0</v>
      </c>
      <c r="N681" s="1" t="str">
        <f t="shared" si="5"/>
        <v>Registered</v>
      </c>
      <c r="O681" s="1" t="s">
        <v>19</v>
      </c>
      <c r="P681" s="9" t="str">
        <f t="shared" si="6"/>
        <v>UK</v>
      </c>
      <c r="Q681" s="8">
        <f t="shared" si="7"/>
        <v>7.5</v>
      </c>
    </row>
    <row r="682">
      <c r="A682" s="1">
        <v>536415.0</v>
      </c>
      <c r="B682" s="1" t="str">
        <f t="shared" si="1"/>
        <v>536415</v>
      </c>
      <c r="C682" s="1" t="str">
        <f t="shared" si="2"/>
        <v>Sale</v>
      </c>
      <c r="D682" s="1">
        <v>22807.0</v>
      </c>
      <c r="E682" s="1" t="str">
        <f>IFERROR(__xludf.DUMMYFUNCTION("IF(LEN(D682)&gt;4, IFERROR(REGEXEXTRACT(TO_TEXT(D682),""\d+""),""""),"""")"),"22807")</f>
        <v>22807</v>
      </c>
      <c r="F682" s="6" t="str">
        <f t="shared" si="3"/>
        <v>Product</v>
      </c>
      <c r="G682" s="1" t="s">
        <v>507</v>
      </c>
      <c r="H682" s="6" t="str">
        <f>IFERROR(__xludf.DUMMYFUNCTION("IF(REGEXMATCH(LOWER(G682), ""^(\?)+\s*(missing)?\s*(\?)*$""), """", PROPER(SUBSTITUTE(SUBSTITUTE(G682, ""?"", """"), ""*"", """")))"),"Set Of 6 T-Lights Toadstools")</f>
        <v>Set Of 6 T-Lights Toadstools</v>
      </c>
      <c r="I682" s="3">
        <v>12.0</v>
      </c>
      <c r="J682" s="7">
        <v>40513.49791666667</v>
      </c>
      <c r="K682" s="8" t="str">
        <f t="shared" si="4"/>
        <v>2010-12</v>
      </c>
      <c r="L682" s="5">
        <v>2.95</v>
      </c>
      <c r="M682" s="3">
        <v>12838.0</v>
      </c>
      <c r="N682" s="1" t="str">
        <f t="shared" si="5"/>
        <v>Registered</v>
      </c>
      <c r="O682" s="1" t="s">
        <v>19</v>
      </c>
      <c r="P682" s="9" t="str">
        <f t="shared" si="6"/>
        <v>UK</v>
      </c>
      <c r="Q682" s="8">
        <f t="shared" si="7"/>
        <v>35.4</v>
      </c>
    </row>
    <row r="683">
      <c r="A683" s="1">
        <v>536416.0</v>
      </c>
      <c r="B683" s="1" t="str">
        <f t="shared" si="1"/>
        <v>536416</v>
      </c>
      <c r="C683" s="1" t="str">
        <f t="shared" si="2"/>
        <v>Sale</v>
      </c>
      <c r="D683" s="1">
        <v>21494.0</v>
      </c>
      <c r="E683" s="1" t="str">
        <f>IFERROR(__xludf.DUMMYFUNCTION("IF(LEN(D683)&gt;4, IFERROR(REGEXEXTRACT(TO_TEXT(D683),""\d+""),""""),"""")"),"21494")</f>
        <v>21494</v>
      </c>
      <c r="F683" s="6" t="str">
        <f t="shared" si="3"/>
        <v>Product</v>
      </c>
      <c r="G683" s="1" t="s">
        <v>508</v>
      </c>
      <c r="H683" s="6" t="str">
        <f>IFERROR(__xludf.DUMMYFUNCTION("IF(REGEXMATCH(LOWER(G683), ""^(\?)+\s*(missing)?\s*(\?)*$""), """", PROPER(SUBSTITUTE(SUBSTITUTE(G683, ""?"", """"), ""*"", """")))"),"Rotating Leaves T-Light Holder")</f>
        <v>Rotating Leaves T-Light Holder</v>
      </c>
      <c r="I683" s="3">
        <v>12.0</v>
      </c>
      <c r="J683" s="7">
        <v>40513.498611111114</v>
      </c>
      <c r="K683" s="8" t="str">
        <f t="shared" si="4"/>
        <v>2010-12</v>
      </c>
      <c r="L683" s="5">
        <v>1.25</v>
      </c>
      <c r="M683" s="3">
        <v>13255.0</v>
      </c>
      <c r="N683" s="1" t="str">
        <f t="shared" si="5"/>
        <v>Registered</v>
      </c>
      <c r="O683" s="1" t="s">
        <v>19</v>
      </c>
      <c r="P683" s="9" t="str">
        <f t="shared" si="6"/>
        <v>UK</v>
      </c>
      <c r="Q683" s="8">
        <f t="shared" si="7"/>
        <v>15</v>
      </c>
    </row>
    <row r="684">
      <c r="A684" s="1">
        <v>536416.0</v>
      </c>
      <c r="B684" s="1" t="str">
        <f t="shared" si="1"/>
        <v>536416</v>
      </c>
      <c r="C684" s="1" t="str">
        <f t="shared" si="2"/>
        <v>Sale</v>
      </c>
      <c r="D684" s="1">
        <v>21915.0</v>
      </c>
      <c r="E684" s="1" t="str">
        <f>IFERROR(__xludf.DUMMYFUNCTION("IF(LEN(D684)&gt;4, IFERROR(REGEXEXTRACT(TO_TEXT(D684),""\d+""),""""),"""")"),"21915")</f>
        <v>21915</v>
      </c>
      <c r="F684" s="6" t="str">
        <f t="shared" si="3"/>
        <v>Product</v>
      </c>
      <c r="G684" s="1" t="s">
        <v>363</v>
      </c>
      <c r="H684" s="6" t="str">
        <f>IFERROR(__xludf.DUMMYFUNCTION("IF(REGEXMATCH(LOWER(G684), ""^(\?)+\s*(missing)?\s*(\?)*$""), """", PROPER(SUBSTITUTE(SUBSTITUTE(G684, ""?"", """"), ""*"", """")))"),"Red Harmonica In Box")</f>
        <v>Red Harmonica In Box</v>
      </c>
      <c r="I684" s="3">
        <v>72.0</v>
      </c>
      <c r="J684" s="7">
        <v>40513.498611111114</v>
      </c>
      <c r="K684" s="8" t="str">
        <f t="shared" si="4"/>
        <v>2010-12</v>
      </c>
      <c r="L684" s="5">
        <v>1.25</v>
      </c>
      <c r="M684" s="3">
        <v>13255.0</v>
      </c>
      <c r="N684" s="1" t="str">
        <f t="shared" si="5"/>
        <v>Registered</v>
      </c>
      <c r="O684" s="1" t="s">
        <v>19</v>
      </c>
      <c r="P684" s="9" t="str">
        <f t="shared" si="6"/>
        <v>UK</v>
      </c>
      <c r="Q684" s="8">
        <f t="shared" si="7"/>
        <v>90</v>
      </c>
    </row>
    <row r="685">
      <c r="A685" s="1">
        <v>536416.0</v>
      </c>
      <c r="B685" s="1" t="str">
        <f t="shared" si="1"/>
        <v>536416</v>
      </c>
      <c r="C685" s="1" t="str">
        <f t="shared" si="2"/>
        <v>Sale</v>
      </c>
      <c r="D685" s="1">
        <v>22938.0</v>
      </c>
      <c r="E685" s="1" t="str">
        <f>IFERROR(__xludf.DUMMYFUNCTION("IF(LEN(D685)&gt;4, IFERROR(REGEXEXTRACT(TO_TEXT(D685),""\d+""),""""),"""")"),"22938")</f>
        <v>22938</v>
      </c>
      <c r="F685" s="6" t="str">
        <f t="shared" si="3"/>
        <v>Product</v>
      </c>
      <c r="G685" s="1" t="s">
        <v>509</v>
      </c>
      <c r="H685" s="6" t="str">
        <f>IFERROR(__xludf.DUMMYFUNCTION("IF(REGEXMATCH(LOWER(G685), ""^(\?)+\s*(missing)?\s*(\?)*$""), """", PROPER(SUBSTITUTE(SUBSTITUTE(G685, ""?"", """"), ""*"", """")))"),"Cupcake Lace Paper Set 6")</f>
        <v>Cupcake Lace Paper Set 6</v>
      </c>
      <c r="I685" s="3">
        <v>12.0</v>
      </c>
      <c r="J685" s="7">
        <v>40513.498611111114</v>
      </c>
      <c r="K685" s="8" t="str">
        <f t="shared" si="4"/>
        <v>2010-12</v>
      </c>
      <c r="L685" s="5">
        <v>1.95</v>
      </c>
      <c r="M685" s="3">
        <v>13255.0</v>
      </c>
      <c r="N685" s="1" t="str">
        <f t="shared" si="5"/>
        <v>Registered</v>
      </c>
      <c r="O685" s="1" t="s">
        <v>19</v>
      </c>
      <c r="P685" s="9" t="str">
        <f t="shared" si="6"/>
        <v>UK</v>
      </c>
      <c r="Q685" s="8">
        <f t="shared" si="7"/>
        <v>23.4</v>
      </c>
    </row>
    <row r="686">
      <c r="A686" s="1">
        <v>536416.0</v>
      </c>
      <c r="B686" s="1" t="str">
        <f t="shared" si="1"/>
        <v>536416</v>
      </c>
      <c r="C686" s="1" t="str">
        <f t="shared" si="2"/>
        <v>Sale</v>
      </c>
      <c r="D686" s="1">
        <v>22768.0</v>
      </c>
      <c r="E686" s="1" t="str">
        <f>IFERROR(__xludf.DUMMYFUNCTION("IF(LEN(D686)&gt;4, IFERROR(REGEXEXTRACT(TO_TEXT(D686),""\d+""),""""),"""")"),"22768")</f>
        <v>22768</v>
      </c>
      <c r="F686" s="6" t="str">
        <f t="shared" si="3"/>
        <v>Product</v>
      </c>
      <c r="G686" s="1" t="s">
        <v>289</v>
      </c>
      <c r="H686" s="6" t="str">
        <f>IFERROR(__xludf.DUMMYFUNCTION("IF(REGEXMATCH(LOWER(G686), ""^(\?)+\s*(missing)?\s*(\?)*$""), """", PROPER(SUBSTITUTE(SUBSTITUTE(G686, ""?"", """"), ""*"", """")))"),"Family Photo Frame Cornice")</f>
        <v>Family Photo Frame Cornice</v>
      </c>
      <c r="I686" s="3">
        <v>4.0</v>
      </c>
      <c r="J686" s="7">
        <v>40513.498611111114</v>
      </c>
      <c r="K686" s="8" t="str">
        <f t="shared" si="4"/>
        <v>2010-12</v>
      </c>
      <c r="L686" s="5">
        <v>9.95</v>
      </c>
      <c r="M686" s="3">
        <v>13255.0</v>
      </c>
      <c r="N686" s="1" t="str">
        <f t="shared" si="5"/>
        <v>Registered</v>
      </c>
      <c r="O686" s="1" t="s">
        <v>19</v>
      </c>
      <c r="P686" s="9" t="str">
        <f t="shared" si="6"/>
        <v>UK</v>
      </c>
      <c r="Q686" s="8">
        <f t="shared" si="7"/>
        <v>39.8</v>
      </c>
    </row>
    <row r="687">
      <c r="A687" s="1">
        <v>536416.0</v>
      </c>
      <c r="B687" s="1" t="str">
        <f t="shared" si="1"/>
        <v>536416</v>
      </c>
      <c r="C687" s="1" t="str">
        <f t="shared" si="2"/>
        <v>Sale</v>
      </c>
      <c r="D687" s="1">
        <v>22767.0</v>
      </c>
      <c r="E687" s="1" t="str">
        <f>IFERROR(__xludf.DUMMYFUNCTION("IF(LEN(D687)&gt;4, IFERROR(REGEXEXTRACT(TO_TEXT(D687),""\d+""),""""),"""")"),"22767")</f>
        <v>22767</v>
      </c>
      <c r="F687" s="6" t="str">
        <f t="shared" si="3"/>
        <v>Product</v>
      </c>
      <c r="G687" s="1" t="s">
        <v>288</v>
      </c>
      <c r="H687" s="6" t="str">
        <f>IFERROR(__xludf.DUMMYFUNCTION("IF(REGEXMATCH(LOWER(G687), ""^(\?)+\s*(missing)?\s*(\?)*$""), """", PROPER(SUBSTITUTE(SUBSTITUTE(G687, ""?"", """"), ""*"", """")))"),"Triple Photo Frame Cornice")</f>
        <v>Triple Photo Frame Cornice</v>
      </c>
      <c r="I687" s="3">
        <v>4.0</v>
      </c>
      <c r="J687" s="7">
        <v>40513.498611111114</v>
      </c>
      <c r="K687" s="8" t="str">
        <f t="shared" si="4"/>
        <v>2010-12</v>
      </c>
      <c r="L687" s="5">
        <v>9.95</v>
      </c>
      <c r="M687" s="3">
        <v>13255.0</v>
      </c>
      <c r="N687" s="1" t="str">
        <f t="shared" si="5"/>
        <v>Registered</v>
      </c>
      <c r="O687" s="1" t="s">
        <v>19</v>
      </c>
      <c r="P687" s="9" t="str">
        <f t="shared" si="6"/>
        <v>UK</v>
      </c>
      <c r="Q687" s="8">
        <f t="shared" si="7"/>
        <v>39.8</v>
      </c>
    </row>
    <row r="688">
      <c r="A688" s="1">
        <v>536416.0</v>
      </c>
      <c r="B688" s="1" t="str">
        <f t="shared" si="1"/>
        <v>536416</v>
      </c>
      <c r="C688" s="1" t="str">
        <f t="shared" si="2"/>
        <v>Sale</v>
      </c>
      <c r="D688" s="1" t="s">
        <v>79</v>
      </c>
      <c r="E688" s="1" t="str">
        <f>IFERROR(__xludf.DUMMYFUNCTION("IF(LEN(D688)&gt;4, IFERROR(REGEXEXTRACT(TO_TEXT(D688),""\d+""),""""),"""")"),"82494")</f>
        <v>82494</v>
      </c>
      <c r="F688" s="6" t="str">
        <f t="shared" si="3"/>
        <v>Product</v>
      </c>
      <c r="G688" s="1" t="s">
        <v>80</v>
      </c>
      <c r="H688" s="6" t="str">
        <f>IFERROR(__xludf.DUMMYFUNCTION("IF(REGEXMATCH(LOWER(G688), ""^(\?)+\s*(missing)?\s*(\?)*$""), """", PROPER(SUBSTITUTE(SUBSTITUTE(G688, ""?"", """"), ""*"", """")))"),"Wooden Frame Antique White")</f>
        <v>Wooden Frame Antique White</v>
      </c>
      <c r="I688" s="3">
        <v>6.0</v>
      </c>
      <c r="J688" s="7">
        <v>40513.498611111114</v>
      </c>
      <c r="K688" s="8" t="str">
        <f t="shared" si="4"/>
        <v>2010-12</v>
      </c>
      <c r="L688" s="5">
        <v>2.95</v>
      </c>
      <c r="M688" s="3">
        <v>13255.0</v>
      </c>
      <c r="N688" s="1" t="str">
        <f t="shared" si="5"/>
        <v>Registered</v>
      </c>
      <c r="O688" s="1" t="s">
        <v>19</v>
      </c>
      <c r="P688" s="9" t="str">
        <f t="shared" si="6"/>
        <v>UK</v>
      </c>
      <c r="Q688" s="8">
        <f t="shared" si="7"/>
        <v>17.7</v>
      </c>
    </row>
    <row r="689">
      <c r="A689" s="1">
        <v>536420.0</v>
      </c>
      <c r="B689" s="1" t="str">
        <f t="shared" si="1"/>
        <v>536420</v>
      </c>
      <c r="C689" s="1" t="str">
        <f t="shared" si="2"/>
        <v>Sale</v>
      </c>
      <c r="D689" s="1">
        <v>21889.0</v>
      </c>
      <c r="E689" s="1" t="str">
        <f>IFERROR(__xludf.DUMMYFUNCTION("IF(LEN(D689)&gt;4, IFERROR(REGEXEXTRACT(TO_TEXT(D689),""\d+""),""""),"""")"),"21889")</f>
        <v>21889</v>
      </c>
      <c r="F689" s="6" t="str">
        <f t="shared" si="3"/>
        <v>Product</v>
      </c>
      <c r="G689" s="1" t="s">
        <v>238</v>
      </c>
      <c r="H689" s="6" t="str">
        <f>IFERROR(__xludf.DUMMYFUNCTION("IF(REGEXMATCH(LOWER(G689), ""^(\?)+\s*(missing)?\s*(\?)*$""), """", PROPER(SUBSTITUTE(SUBSTITUTE(G689, ""?"", """"), ""*"", """")))"),"Wooden Box Of Dominoes")</f>
        <v>Wooden Box Of Dominoes</v>
      </c>
      <c r="I689" s="3">
        <v>12.0</v>
      </c>
      <c r="J689" s="7">
        <v>40513.50208333333</v>
      </c>
      <c r="K689" s="8" t="str">
        <f t="shared" si="4"/>
        <v>2010-12</v>
      </c>
      <c r="L689" s="5">
        <v>1.25</v>
      </c>
      <c r="M689" s="3">
        <v>16583.0</v>
      </c>
      <c r="N689" s="1" t="str">
        <f t="shared" si="5"/>
        <v>Registered</v>
      </c>
      <c r="O689" s="1" t="s">
        <v>19</v>
      </c>
      <c r="P689" s="9" t="str">
        <f t="shared" si="6"/>
        <v>UK</v>
      </c>
      <c r="Q689" s="8">
        <f t="shared" si="7"/>
        <v>15</v>
      </c>
    </row>
    <row r="690">
      <c r="A690" s="1">
        <v>536420.0</v>
      </c>
      <c r="B690" s="1" t="str">
        <f t="shared" si="1"/>
        <v>536420</v>
      </c>
      <c r="C690" s="1" t="str">
        <f t="shared" si="2"/>
        <v>Sale</v>
      </c>
      <c r="D690" s="1">
        <v>21892.0</v>
      </c>
      <c r="E690" s="1" t="str">
        <f>IFERROR(__xludf.DUMMYFUNCTION("IF(LEN(D690)&gt;4, IFERROR(REGEXEXTRACT(TO_TEXT(D690),""\d+""),""""),"""")"),"21892")</f>
        <v>21892</v>
      </c>
      <c r="F690" s="6" t="str">
        <f t="shared" si="3"/>
        <v>Product</v>
      </c>
      <c r="G690" s="1" t="s">
        <v>510</v>
      </c>
      <c r="H690" s="6" t="str">
        <f>IFERROR(__xludf.DUMMYFUNCTION("IF(REGEXMATCH(LOWER(G690), ""^(\?)+\s*(missing)?\s*(\?)*$""), """", PROPER(SUBSTITUTE(SUBSTITUTE(G690, ""?"", """"), ""*"", """")))"),"Traditional Wooden Catch Cup Game")</f>
        <v>Traditional Wooden Catch Cup Game</v>
      </c>
      <c r="I690" s="3">
        <v>12.0</v>
      </c>
      <c r="J690" s="7">
        <v>40513.50208333333</v>
      </c>
      <c r="K690" s="8" t="str">
        <f t="shared" si="4"/>
        <v>2010-12</v>
      </c>
      <c r="L690" s="5">
        <v>1.25</v>
      </c>
      <c r="M690" s="3">
        <v>16583.0</v>
      </c>
      <c r="N690" s="1" t="str">
        <f t="shared" si="5"/>
        <v>Registered</v>
      </c>
      <c r="O690" s="1" t="s">
        <v>19</v>
      </c>
      <c r="P690" s="9" t="str">
        <f t="shared" si="6"/>
        <v>UK</v>
      </c>
      <c r="Q690" s="8">
        <f t="shared" si="7"/>
        <v>15</v>
      </c>
    </row>
    <row r="691">
      <c r="A691" s="1">
        <v>536420.0</v>
      </c>
      <c r="B691" s="1" t="str">
        <f t="shared" si="1"/>
        <v>536420</v>
      </c>
      <c r="C691" s="1" t="str">
        <f t="shared" si="2"/>
        <v>Sale</v>
      </c>
      <c r="D691" s="1">
        <v>21891.0</v>
      </c>
      <c r="E691" s="1" t="str">
        <f>IFERROR(__xludf.DUMMYFUNCTION("IF(LEN(D691)&gt;4, IFERROR(REGEXEXTRACT(TO_TEXT(D691),""\d+""),""""),"""")"),"21891")</f>
        <v>21891</v>
      </c>
      <c r="F691" s="6" t="str">
        <f t="shared" si="3"/>
        <v>Product</v>
      </c>
      <c r="G691" s="1" t="s">
        <v>237</v>
      </c>
      <c r="H691" s="6" t="str">
        <f>IFERROR(__xludf.DUMMYFUNCTION("IF(REGEXMATCH(LOWER(G691), ""^(\?)+\s*(missing)?\s*(\?)*$""), """", PROPER(SUBSTITUTE(SUBSTITUTE(G691, ""?"", """"), ""*"", """")))"),"Traditional Wooden Skipping Rope")</f>
        <v>Traditional Wooden Skipping Rope</v>
      </c>
      <c r="I691" s="3">
        <v>12.0</v>
      </c>
      <c r="J691" s="7">
        <v>40513.50208333333</v>
      </c>
      <c r="K691" s="8" t="str">
        <f t="shared" si="4"/>
        <v>2010-12</v>
      </c>
      <c r="L691" s="5">
        <v>1.25</v>
      </c>
      <c r="M691" s="3">
        <v>16583.0</v>
      </c>
      <c r="N691" s="1" t="str">
        <f t="shared" si="5"/>
        <v>Registered</v>
      </c>
      <c r="O691" s="1" t="s">
        <v>19</v>
      </c>
      <c r="P691" s="9" t="str">
        <f t="shared" si="6"/>
        <v>UK</v>
      </c>
      <c r="Q691" s="8">
        <f t="shared" si="7"/>
        <v>15</v>
      </c>
    </row>
    <row r="692">
      <c r="A692" s="1">
        <v>536420.0</v>
      </c>
      <c r="B692" s="1" t="str">
        <f t="shared" si="1"/>
        <v>536420</v>
      </c>
      <c r="C692" s="1" t="str">
        <f t="shared" si="2"/>
        <v>Sale</v>
      </c>
      <c r="D692" s="1">
        <v>21890.0</v>
      </c>
      <c r="E692" s="1" t="str">
        <f>IFERROR(__xludf.DUMMYFUNCTION("IF(LEN(D692)&gt;4, IFERROR(REGEXEXTRACT(TO_TEXT(D692),""\d+""),""""),"""")"),"21890")</f>
        <v>21890</v>
      </c>
      <c r="F692" s="6" t="str">
        <f t="shared" si="3"/>
        <v>Product</v>
      </c>
      <c r="G692" s="1" t="s">
        <v>511</v>
      </c>
      <c r="H692" s="6" t="str">
        <f>IFERROR(__xludf.DUMMYFUNCTION("IF(REGEXMATCH(LOWER(G692), ""^(\?)+\s*(missing)?\s*(\?)*$""), """", PROPER(SUBSTITUTE(SUBSTITUTE(G692, ""?"", """"), ""*"", """")))"),"S/6 Wooden Skittles In Cotton Bag")</f>
        <v>S/6 Wooden Skittles In Cotton Bag</v>
      </c>
      <c r="I692" s="3">
        <v>6.0</v>
      </c>
      <c r="J692" s="7">
        <v>40513.50208333333</v>
      </c>
      <c r="K692" s="8" t="str">
        <f t="shared" si="4"/>
        <v>2010-12</v>
      </c>
      <c r="L692" s="5">
        <v>2.95</v>
      </c>
      <c r="M692" s="3">
        <v>16583.0</v>
      </c>
      <c r="N692" s="1" t="str">
        <f t="shared" si="5"/>
        <v>Registered</v>
      </c>
      <c r="O692" s="1" t="s">
        <v>19</v>
      </c>
      <c r="P692" s="9" t="str">
        <f t="shared" si="6"/>
        <v>UK</v>
      </c>
      <c r="Q692" s="8">
        <f t="shared" si="7"/>
        <v>17.7</v>
      </c>
    </row>
    <row r="693">
      <c r="A693" s="1">
        <v>536420.0</v>
      </c>
      <c r="B693" s="1" t="str">
        <f t="shared" si="1"/>
        <v>536420</v>
      </c>
      <c r="C693" s="1" t="str">
        <f t="shared" si="2"/>
        <v>Sale</v>
      </c>
      <c r="D693" s="1">
        <v>21718.0</v>
      </c>
      <c r="E693" s="1" t="str">
        <f>IFERROR(__xludf.DUMMYFUNCTION("IF(LEN(D693)&gt;4, IFERROR(REGEXEXTRACT(TO_TEXT(D693),""\d+""),""""),"""")"),"21718")</f>
        <v>21718</v>
      </c>
      <c r="F693" s="6" t="str">
        <f t="shared" si="3"/>
        <v>Product</v>
      </c>
      <c r="G693" s="1" t="s">
        <v>512</v>
      </c>
      <c r="H693" s="6" t="str">
        <f>IFERROR(__xludf.DUMMYFUNCTION("IF(REGEXMATCH(LOWER(G693), ""^(\?)+\s*(missing)?\s*(\?)*$""), """", PROPER(SUBSTITUTE(SUBSTITUTE(G693, ""?"", """"), ""*"", """")))"),"Red Metal Beach Spade")</f>
        <v>Red Metal Beach Spade</v>
      </c>
      <c r="I693" s="3">
        <v>12.0</v>
      </c>
      <c r="J693" s="7">
        <v>40513.50208333333</v>
      </c>
      <c r="K693" s="8" t="str">
        <f t="shared" si="4"/>
        <v>2010-12</v>
      </c>
      <c r="L693" s="5">
        <v>1.25</v>
      </c>
      <c r="M693" s="3">
        <v>16583.0</v>
      </c>
      <c r="N693" s="1" t="str">
        <f t="shared" si="5"/>
        <v>Registered</v>
      </c>
      <c r="O693" s="1" t="s">
        <v>19</v>
      </c>
      <c r="P693" s="9" t="str">
        <f t="shared" si="6"/>
        <v>UK</v>
      </c>
      <c r="Q693" s="8">
        <f t="shared" si="7"/>
        <v>15</v>
      </c>
    </row>
    <row r="694">
      <c r="A694" s="1">
        <v>536420.0</v>
      </c>
      <c r="B694" s="1" t="str">
        <f t="shared" si="1"/>
        <v>536420</v>
      </c>
      <c r="C694" s="1" t="str">
        <f t="shared" si="2"/>
        <v>Sale</v>
      </c>
      <c r="D694" s="1">
        <v>21716.0</v>
      </c>
      <c r="E694" s="1" t="str">
        <f>IFERROR(__xludf.DUMMYFUNCTION("IF(LEN(D694)&gt;4, IFERROR(REGEXEXTRACT(TO_TEXT(D694),""\d+""),""""),"""")"),"21716")</f>
        <v>21716</v>
      </c>
      <c r="F694" s="6" t="str">
        <f t="shared" si="3"/>
        <v>Product</v>
      </c>
      <c r="G694" s="1" t="s">
        <v>513</v>
      </c>
      <c r="H694" s="6" t="str">
        <f>IFERROR(__xludf.DUMMYFUNCTION("IF(REGEXMATCH(LOWER(G694), ""^(\?)+\s*(missing)?\s*(\?)*$""), """", PROPER(SUBSTITUTE(SUBSTITUTE(G694, ""?"", """"), ""*"", """")))"),"Boys Vintage Tin Seaside Bucket")</f>
        <v>Boys Vintage Tin Seaside Bucket</v>
      </c>
      <c r="I694" s="3">
        <v>8.0</v>
      </c>
      <c r="J694" s="7">
        <v>40513.50208333333</v>
      </c>
      <c r="K694" s="8" t="str">
        <f t="shared" si="4"/>
        <v>2010-12</v>
      </c>
      <c r="L694" s="5">
        <v>2.55</v>
      </c>
      <c r="M694" s="3">
        <v>16583.0</v>
      </c>
      <c r="N694" s="1" t="str">
        <f t="shared" si="5"/>
        <v>Registered</v>
      </c>
      <c r="O694" s="1" t="s">
        <v>19</v>
      </c>
      <c r="P694" s="9" t="str">
        <f t="shared" si="6"/>
        <v>UK</v>
      </c>
      <c r="Q694" s="8">
        <f t="shared" si="7"/>
        <v>20.4</v>
      </c>
    </row>
    <row r="695">
      <c r="A695" s="1">
        <v>536420.0</v>
      </c>
      <c r="B695" s="1" t="str">
        <f t="shared" si="1"/>
        <v>536420</v>
      </c>
      <c r="C695" s="1" t="str">
        <f t="shared" si="2"/>
        <v>Sale</v>
      </c>
      <c r="D695" s="1">
        <v>21715.0</v>
      </c>
      <c r="E695" s="1" t="str">
        <f>IFERROR(__xludf.DUMMYFUNCTION("IF(LEN(D695)&gt;4, IFERROR(REGEXEXTRACT(TO_TEXT(D695),""\d+""),""""),"""")"),"21715")</f>
        <v>21715</v>
      </c>
      <c r="F695" s="6" t="str">
        <f t="shared" si="3"/>
        <v>Product</v>
      </c>
      <c r="G695" s="1" t="s">
        <v>514</v>
      </c>
      <c r="H695" s="6" t="str">
        <f>IFERROR(__xludf.DUMMYFUNCTION("IF(REGEXMATCH(LOWER(G695), ""^(\?)+\s*(missing)?\s*(\?)*$""), """", PROPER(SUBSTITUTE(SUBSTITUTE(G695, ""?"", """"), ""*"", """")))"),"Girls Vintage Tin Seaside Bucket")</f>
        <v>Girls Vintage Tin Seaside Bucket</v>
      </c>
      <c r="I695" s="3">
        <v>8.0</v>
      </c>
      <c r="J695" s="7">
        <v>40513.50208333333</v>
      </c>
      <c r="K695" s="8" t="str">
        <f t="shared" si="4"/>
        <v>2010-12</v>
      </c>
      <c r="L695" s="5">
        <v>2.55</v>
      </c>
      <c r="M695" s="3">
        <v>16583.0</v>
      </c>
      <c r="N695" s="1" t="str">
        <f t="shared" si="5"/>
        <v>Registered</v>
      </c>
      <c r="O695" s="1" t="s">
        <v>19</v>
      </c>
      <c r="P695" s="9" t="str">
        <f t="shared" si="6"/>
        <v>UK</v>
      </c>
      <c r="Q695" s="8">
        <f t="shared" si="7"/>
        <v>20.4</v>
      </c>
    </row>
    <row r="696">
      <c r="A696" s="1">
        <v>536420.0</v>
      </c>
      <c r="B696" s="1" t="str">
        <f t="shared" si="1"/>
        <v>536420</v>
      </c>
      <c r="C696" s="1" t="str">
        <f t="shared" si="2"/>
        <v>Sale</v>
      </c>
      <c r="D696" s="1">
        <v>22113.0</v>
      </c>
      <c r="E696" s="1" t="str">
        <f>IFERROR(__xludf.DUMMYFUNCTION("IF(LEN(D696)&gt;4, IFERROR(REGEXEXTRACT(TO_TEXT(D696),""\d+""),""""),"""")"),"22113")</f>
        <v>22113</v>
      </c>
      <c r="F696" s="6" t="str">
        <f t="shared" si="3"/>
        <v>Product</v>
      </c>
      <c r="G696" s="1" t="s">
        <v>515</v>
      </c>
      <c r="H696" s="6" t="str">
        <f>IFERROR(__xludf.DUMMYFUNCTION("IF(REGEXMATCH(LOWER(G696), ""^(\?)+\s*(missing)?\s*(\?)*$""), """", PROPER(SUBSTITUTE(SUBSTITUTE(G696, ""?"", """"), ""*"", """")))"),"Grey Heart Hot Water Bottle")</f>
        <v>Grey Heart Hot Water Bottle</v>
      </c>
      <c r="I696" s="3">
        <v>4.0</v>
      </c>
      <c r="J696" s="7">
        <v>40513.50208333333</v>
      </c>
      <c r="K696" s="8" t="str">
        <f t="shared" si="4"/>
        <v>2010-12</v>
      </c>
      <c r="L696" s="5">
        <v>3.75</v>
      </c>
      <c r="M696" s="3">
        <v>16583.0</v>
      </c>
      <c r="N696" s="1" t="str">
        <f t="shared" si="5"/>
        <v>Registered</v>
      </c>
      <c r="O696" s="1" t="s">
        <v>19</v>
      </c>
      <c r="P696" s="9" t="str">
        <f t="shared" si="6"/>
        <v>UK</v>
      </c>
      <c r="Q696" s="8">
        <f t="shared" si="7"/>
        <v>15</v>
      </c>
    </row>
    <row r="697">
      <c r="A697" s="1">
        <v>536420.0</v>
      </c>
      <c r="B697" s="1" t="str">
        <f t="shared" si="1"/>
        <v>536420</v>
      </c>
      <c r="C697" s="1" t="str">
        <f t="shared" si="2"/>
        <v>Sale</v>
      </c>
      <c r="D697" s="1">
        <v>22111.0</v>
      </c>
      <c r="E697" s="1" t="str">
        <f>IFERROR(__xludf.DUMMYFUNCTION("IF(LEN(D697)&gt;4, IFERROR(REGEXEXTRACT(TO_TEXT(D697),""\d+""),""""),"""")"),"22111")</f>
        <v>22111</v>
      </c>
      <c r="F697" s="6" t="str">
        <f t="shared" si="3"/>
        <v>Product</v>
      </c>
      <c r="G697" s="1" t="s">
        <v>270</v>
      </c>
      <c r="H697" s="6" t="str">
        <f>IFERROR(__xludf.DUMMYFUNCTION("IF(REGEXMATCH(LOWER(G697), ""^(\?)+\s*(missing)?\s*(\?)*$""), """", PROPER(SUBSTITUTE(SUBSTITUTE(G697, ""?"", """"), ""*"", """")))"),"Scottie Dog Hot Water Bottle")</f>
        <v>Scottie Dog Hot Water Bottle</v>
      </c>
      <c r="I697" s="3">
        <v>3.0</v>
      </c>
      <c r="J697" s="7">
        <v>40513.50208333333</v>
      </c>
      <c r="K697" s="8" t="str">
        <f t="shared" si="4"/>
        <v>2010-12</v>
      </c>
      <c r="L697" s="5">
        <v>4.95</v>
      </c>
      <c r="M697" s="3">
        <v>16583.0</v>
      </c>
      <c r="N697" s="1" t="str">
        <f t="shared" si="5"/>
        <v>Registered</v>
      </c>
      <c r="O697" s="1" t="s">
        <v>19</v>
      </c>
      <c r="P697" s="9" t="str">
        <f t="shared" si="6"/>
        <v>UK</v>
      </c>
      <c r="Q697" s="8">
        <f t="shared" si="7"/>
        <v>14.85</v>
      </c>
    </row>
    <row r="698">
      <c r="A698" s="1">
        <v>536420.0</v>
      </c>
      <c r="B698" s="1" t="str">
        <f t="shared" si="1"/>
        <v>536420</v>
      </c>
      <c r="C698" s="1" t="str">
        <f t="shared" si="2"/>
        <v>Sale</v>
      </c>
      <c r="D698" s="1">
        <v>22110.0</v>
      </c>
      <c r="E698" s="1" t="str">
        <f>IFERROR(__xludf.DUMMYFUNCTION("IF(LEN(D698)&gt;4, IFERROR(REGEXEXTRACT(TO_TEXT(D698),""\d+""),""""),"""")"),"22110")</f>
        <v>22110</v>
      </c>
      <c r="F698" s="6" t="str">
        <f t="shared" si="3"/>
        <v>Product</v>
      </c>
      <c r="G698" s="1" t="s">
        <v>271</v>
      </c>
      <c r="H698" s="6" t="str">
        <f>IFERROR(__xludf.DUMMYFUNCTION("IF(REGEXMATCH(LOWER(G698), ""^(\?)+\s*(missing)?\s*(\?)*$""), """", PROPER(SUBSTITUTE(SUBSTITUTE(G698, ""?"", """"), ""*"", """")))"),"Bird House Hot Water Bottle")</f>
        <v>Bird House Hot Water Bottle</v>
      </c>
      <c r="I698" s="3">
        <v>6.0</v>
      </c>
      <c r="J698" s="7">
        <v>40513.50208333333</v>
      </c>
      <c r="K698" s="8" t="str">
        <f t="shared" si="4"/>
        <v>2010-12</v>
      </c>
      <c r="L698" s="5">
        <v>2.55</v>
      </c>
      <c r="M698" s="3">
        <v>16583.0</v>
      </c>
      <c r="N698" s="1" t="str">
        <f t="shared" si="5"/>
        <v>Registered</v>
      </c>
      <c r="O698" s="1" t="s">
        <v>19</v>
      </c>
      <c r="P698" s="9" t="str">
        <f t="shared" si="6"/>
        <v>UK</v>
      </c>
      <c r="Q698" s="8">
        <f t="shared" si="7"/>
        <v>15.3</v>
      </c>
    </row>
    <row r="699">
      <c r="A699" s="1">
        <v>536420.0</v>
      </c>
      <c r="B699" s="1" t="str">
        <f t="shared" si="1"/>
        <v>536420</v>
      </c>
      <c r="C699" s="1" t="str">
        <f t="shared" si="2"/>
        <v>Sale</v>
      </c>
      <c r="D699" s="1">
        <v>22358.0</v>
      </c>
      <c r="E699" s="1" t="str">
        <f>IFERROR(__xludf.DUMMYFUNCTION("IF(LEN(D699)&gt;4, IFERROR(REGEXEXTRACT(TO_TEXT(D699),""\d+""),""""),"""")"),"22358")</f>
        <v>22358</v>
      </c>
      <c r="F699" s="6" t="str">
        <f t="shared" si="3"/>
        <v>Product</v>
      </c>
      <c r="G699" s="1" t="s">
        <v>516</v>
      </c>
      <c r="H699" s="6" t="str">
        <f>IFERROR(__xludf.DUMMYFUNCTION("IF(REGEXMATCH(LOWER(G699), ""^(\?)+\s*(missing)?\s*(\?)*$""), """", PROPER(SUBSTITUTE(SUBSTITUTE(G699, ""?"", """"), ""*"", """")))"),"Kings Choice Tea Caddy")</f>
        <v>Kings Choice Tea Caddy</v>
      </c>
      <c r="I699" s="3">
        <v>6.0</v>
      </c>
      <c r="J699" s="7">
        <v>40513.50208333333</v>
      </c>
      <c r="K699" s="8" t="str">
        <f t="shared" si="4"/>
        <v>2010-12</v>
      </c>
      <c r="L699" s="5">
        <v>2.95</v>
      </c>
      <c r="M699" s="3">
        <v>16583.0</v>
      </c>
      <c r="N699" s="1" t="str">
        <f t="shared" si="5"/>
        <v>Registered</v>
      </c>
      <c r="O699" s="1" t="s">
        <v>19</v>
      </c>
      <c r="P699" s="9" t="str">
        <f t="shared" si="6"/>
        <v>UK</v>
      </c>
      <c r="Q699" s="8">
        <f t="shared" si="7"/>
        <v>17.7</v>
      </c>
    </row>
    <row r="700">
      <c r="A700" s="1">
        <v>536420.0</v>
      </c>
      <c r="B700" s="1" t="str">
        <f t="shared" si="1"/>
        <v>536420</v>
      </c>
      <c r="C700" s="1" t="str">
        <f t="shared" si="2"/>
        <v>Sale</v>
      </c>
      <c r="D700" s="1">
        <v>22357.0</v>
      </c>
      <c r="E700" s="1" t="str">
        <f>IFERROR(__xludf.DUMMYFUNCTION("IF(LEN(D700)&gt;4, IFERROR(REGEXEXTRACT(TO_TEXT(D700),""\d+""),""""),"""")"),"22357")</f>
        <v>22357</v>
      </c>
      <c r="F700" s="6" t="str">
        <f t="shared" si="3"/>
        <v>Product</v>
      </c>
      <c r="G700" s="1" t="s">
        <v>517</v>
      </c>
      <c r="H700" s="6" t="str">
        <f>IFERROR(__xludf.DUMMYFUNCTION("IF(REGEXMATCH(LOWER(G700), ""^(\?)+\s*(missing)?\s*(\?)*$""), """", PROPER(SUBSTITUTE(SUBSTITUTE(G700, ""?"", """"), ""*"", """")))"),"Kings Choice Biscuit Tin")</f>
        <v>Kings Choice Biscuit Tin</v>
      </c>
      <c r="I700" s="3">
        <v>4.0</v>
      </c>
      <c r="J700" s="7">
        <v>40513.50208333333</v>
      </c>
      <c r="K700" s="8" t="str">
        <f t="shared" si="4"/>
        <v>2010-12</v>
      </c>
      <c r="L700" s="5">
        <v>4.25</v>
      </c>
      <c r="M700" s="3">
        <v>16583.0</v>
      </c>
      <c r="N700" s="1" t="str">
        <f t="shared" si="5"/>
        <v>Registered</v>
      </c>
      <c r="O700" s="1" t="s">
        <v>19</v>
      </c>
      <c r="P700" s="9" t="str">
        <f t="shared" si="6"/>
        <v>UK</v>
      </c>
      <c r="Q700" s="8">
        <f t="shared" si="7"/>
        <v>17</v>
      </c>
    </row>
    <row r="701">
      <c r="A701" s="1">
        <v>536420.0</v>
      </c>
      <c r="B701" s="1" t="str">
        <f t="shared" si="1"/>
        <v>536420</v>
      </c>
      <c r="C701" s="1" t="str">
        <f t="shared" si="2"/>
        <v>Sale</v>
      </c>
      <c r="D701" s="1">
        <v>22115.0</v>
      </c>
      <c r="E701" s="1" t="str">
        <f>IFERROR(__xludf.DUMMYFUNCTION("IF(LEN(D701)&gt;4, IFERROR(REGEXEXTRACT(TO_TEXT(D701),""\d+""),""""),"""")"),"22115")</f>
        <v>22115</v>
      </c>
      <c r="F701" s="6" t="str">
        <f t="shared" si="3"/>
        <v>Product</v>
      </c>
      <c r="G701" s="1" t="s">
        <v>518</v>
      </c>
      <c r="H701" s="6" t="str">
        <f>IFERROR(__xludf.DUMMYFUNCTION("IF(REGEXMATCH(LOWER(G701), ""^(\?)+\s*(missing)?\s*(\?)*$""), """", PROPER(SUBSTITUTE(SUBSTITUTE(G701, ""?"", """"), ""*"", """")))"),"Metal Sign Empire Tea")</f>
        <v>Metal Sign Empire Tea</v>
      </c>
      <c r="I701" s="3">
        <v>6.0</v>
      </c>
      <c r="J701" s="7">
        <v>40513.50208333333</v>
      </c>
      <c r="K701" s="8" t="str">
        <f t="shared" si="4"/>
        <v>2010-12</v>
      </c>
      <c r="L701" s="5">
        <v>2.95</v>
      </c>
      <c r="M701" s="3">
        <v>16583.0</v>
      </c>
      <c r="N701" s="1" t="str">
        <f t="shared" si="5"/>
        <v>Registered</v>
      </c>
      <c r="O701" s="1" t="s">
        <v>19</v>
      </c>
      <c r="P701" s="9" t="str">
        <f t="shared" si="6"/>
        <v>UK</v>
      </c>
      <c r="Q701" s="8">
        <f t="shared" si="7"/>
        <v>17.7</v>
      </c>
    </row>
    <row r="702">
      <c r="A702" s="1">
        <v>536420.0</v>
      </c>
      <c r="B702" s="1" t="str">
        <f t="shared" si="1"/>
        <v>536420</v>
      </c>
      <c r="C702" s="1" t="str">
        <f t="shared" si="2"/>
        <v>Sale</v>
      </c>
      <c r="D702" s="1">
        <v>22969.0</v>
      </c>
      <c r="E702" s="1" t="str">
        <f>IFERROR(__xludf.DUMMYFUNCTION("IF(LEN(D702)&gt;4, IFERROR(REGEXEXTRACT(TO_TEXT(D702),""\d+""),""""),"""")"),"22969")</f>
        <v>22969</v>
      </c>
      <c r="F702" s="6" t="str">
        <f t="shared" si="3"/>
        <v>Product</v>
      </c>
      <c r="G702" s="1" t="s">
        <v>192</v>
      </c>
      <c r="H702" s="6" t="str">
        <f>IFERROR(__xludf.DUMMYFUNCTION("IF(REGEXMATCH(LOWER(G702), ""^(\?)+\s*(missing)?\s*(\?)*$""), """", PROPER(SUBSTITUTE(SUBSTITUTE(G702, ""?"", """"), ""*"", """")))"),"Homemade Jam Scented Candles")</f>
        <v>Homemade Jam Scented Candles</v>
      </c>
      <c r="I702" s="3">
        <v>12.0</v>
      </c>
      <c r="J702" s="7">
        <v>40513.50208333333</v>
      </c>
      <c r="K702" s="8" t="str">
        <f t="shared" si="4"/>
        <v>2010-12</v>
      </c>
      <c r="L702" s="5">
        <v>1.45</v>
      </c>
      <c r="M702" s="3">
        <v>16583.0</v>
      </c>
      <c r="N702" s="1" t="str">
        <f t="shared" si="5"/>
        <v>Registered</v>
      </c>
      <c r="O702" s="1" t="s">
        <v>19</v>
      </c>
      <c r="P702" s="9" t="str">
        <f t="shared" si="6"/>
        <v>UK</v>
      </c>
      <c r="Q702" s="8">
        <f t="shared" si="7"/>
        <v>17.4</v>
      </c>
    </row>
    <row r="703">
      <c r="A703" s="1">
        <v>536423.0</v>
      </c>
      <c r="B703" s="1" t="str">
        <f t="shared" si="1"/>
        <v>536423</v>
      </c>
      <c r="C703" s="1" t="str">
        <f t="shared" si="2"/>
        <v>Sale</v>
      </c>
      <c r="D703" s="1">
        <v>22619.0</v>
      </c>
      <c r="E703" s="1" t="str">
        <f>IFERROR(__xludf.DUMMYFUNCTION("IF(LEN(D703)&gt;4, IFERROR(REGEXEXTRACT(TO_TEXT(D703),""\d+""),""""),"""")"),"22619")</f>
        <v>22619</v>
      </c>
      <c r="F703" s="6" t="str">
        <f t="shared" si="3"/>
        <v>Product</v>
      </c>
      <c r="G703" s="1" t="s">
        <v>236</v>
      </c>
      <c r="H703" s="6" t="str">
        <f>IFERROR(__xludf.DUMMYFUNCTION("IF(REGEXMATCH(LOWER(G703), ""^(\?)+\s*(missing)?\s*(\?)*$""), """", PROPER(SUBSTITUTE(SUBSTITUTE(G703, ""?"", """"), ""*"", """")))"),"Set Of 6 Soldier Skittles")</f>
        <v>Set Of 6 Soldier Skittles</v>
      </c>
      <c r="I703" s="3">
        <v>4.0</v>
      </c>
      <c r="J703" s="7">
        <v>40513.50555555556</v>
      </c>
      <c r="K703" s="8" t="str">
        <f t="shared" si="4"/>
        <v>2010-12</v>
      </c>
      <c r="L703" s="5">
        <v>3.75</v>
      </c>
      <c r="M703" s="3">
        <v>18085.0</v>
      </c>
      <c r="N703" s="1" t="str">
        <f t="shared" si="5"/>
        <v>Registered</v>
      </c>
      <c r="O703" s="1" t="s">
        <v>19</v>
      </c>
      <c r="P703" s="9" t="str">
        <f t="shared" si="6"/>
        <v>UK</v>
      </c>
      <c r="Q703" s="8">
        <f t="shared" si="7"/>
        <v>15</v>
      </c>
    </row>
    <row r="704">
      <c r="A704" s="1">
        <v>536423.0</v>
      </c>
      <c r="B704" s="1" t="str">
        <f t="shared" si="1"/>
        <v>536423</v>
      </c>
      <c r="C704" s="1" t="str">
        <f t="shared" si="2"/>
        <v>Sale</v>
      </c>
      <c r="D704" s="1">
        <v>21481.0</v>
      </c>
      <c r="E704" s="1" t="str">
        <f>IFERROR(__xludf.DUMMYFUNCTION("IF(LEN(D704)&gt;4, IFERROR(REGEXEXTRACT(TO_TEXT(D704),""\d+""),""""),"""")"),"21481")</f>
        <v>21481</v>
      </c>
      <c r="F704" s="6" t="str">
        <f t="shared" si="3"/>
        <v>Product</v>
      </c>
      <c r="G704" s="1" t="s">
        <v>519</v>
      </c>
      <c r="H704" s="6" t="str">
        <f>IFERROR(__xludf.DUMMYFUNCTION("IF(REGEXMATCH(LOWER(G704), ""^(\?)+\s*(missing)?\s*(\?)*$""), """", PROPER(SUBSTITUTE(SUBSTITUTE(G704, ""?"", """"), ""*"", """")))"),"Fawn Blue Hot Water Bottle")</f>
        <v>Fawn Blue Hot Water Bottle</v>
      </c>
      <c r="I704" s="3">
        <v>6.0</v>
      </c>
      <c r="J704" s="7">
        <v>40513.50555555556</v>
      </c>
      <c r="K704" s="8" t="str">
        <f t="shared" si="4"/>
        <v>2010-12</v>
      </c>
      <c r="L704" s="5">
        <v>2.95</v>
      </c>
      <c r="M704" s="3">
        <v>18085.0</v>
      </c>
      <c r="N704" s="1" t="str">
        <f t="shared" si="5"/>
        <v>Registered</v>
      </c>
      <c r="O704" s="1" t="s">
        <v>19</v>
      </c>
      <c r="P704" s="9" t="str">
        <f t="shared" si="6"/>
        <v>UK</v>
      </c>
      <c r="Q704" s="8">
        <f t="shared" si="7"/>
        <v>17.7</v>
      </c>
    </row>
    <row r="705">
      <c r="A705" s="1">
        <v>536423.0</v>
      </c>
      <c r="B705" s="1" t="str">
        <f t="shared" si="1"/>
        <v>536423</v>
      </c>
      <c r="C705" s="1" t="str">
        <f t="shared" si="2"/>
        <v>Sale</v>
      </c>
      <c r="D705" s="1">
        <v>22632.0</v>
      </c>
      <c r="E705" s="1" t="str">
        <f>IFERROR(__xludf.DUMMYFUNCTION("IF(LEN(D705)&gt;4, IFERROR(REGEXEXTRACT(TO_TEXT(D705),""\d+""),""""),"""")"),"22632")</f>
        <v>22632</v>
      </c>
      <c r="F705" s="6" t="str">
        <f t="shared" si="3"/>
        <v>Product</v>
      </c>
      <c r="G705" s="1" t="s">
        <v>248</v>
      </c>
      <c r="H705" s="6" t="str">
        <f>IFERROR(__xludf.DUMMYFUNCTION("IF(REGEXMATCH(LOWER(G705), ""^(\?)+\s*(missing)?\s*(\?)*$""), """", PROPER(SUBSTITUTE(SUBSTITUTE(G705, ""?"", """"), ""*"", """")))"),"Hand Warmer Red Retrospot")</f>
        <v>Hand Warmer Red Retrospot</v>
      </c>
      <c r="I705" s="3">
        <v>12.0</v>
      </c>
      <c r="J705" s="7">
        <v>40513.50555555556</v>
      </c>
      <c r="K705" s="8" t="str">
        <f t="shared" si="4"/>
        <v>2010-12</v>
      </c>
      <c r="L705" s="5">
        <v>2.1</v>
      </c>
      <c r="M705" s="3">
        <v>18085.0</v>
      </c>
      <c r="N705" s="1" t="str">
        <f t="shared" si="5"/>
        <v>Registered</v>
      </c>
      <c r="O705" s="1" t="s">
        <v>19</v>
      </c>
      <c r="P705" s="9" t="str">
        <f t="shared" si="6"/>
        <v>UK</v>
      </c>
      <c r="Q705" s="8">
        <f t="shared" si="7"/>
        <v>25.2</v>
      </c>
    </row>
    <row r="706">
      <c r="A706" s="1">
        <v>536423.0</v>
      </c>
      <c r="B706" s="1" t="str">
        <f t="shared" si="1"/>
        <v>536423</v>
      </c>
      <c r="C706" s="1" t="str">
        <f t="shared" si="2"/>
        <v>Sale</v>
      </c>
      <c r="D706" s="1">
        <v>22837.0</v>
      </c>
      <c r="E706" s="1" t="str">
        <f>IFERROR(__xludf.DUMMYFUNCTION("IF(LEN(D706)&gt;4, IFERROR(REGEXEXTRACT(TO_TEXT(D706),""\d+""),""""),"""")"),"22837")</f>
        <v>22837</v>
      </c>
      <c r="F706" s="6" t="str">
        <f t="shared" si="3"/>
        <v>Product</v>
      </c>
      <c r="G706" s="1" t="s">
        <v>332</v>
      </c>
      <c r="H706" s="6" t="str">
        <f>IFERROR(__xludf.DUMMYFUNCTION("IF(REGEXMATCH(LOWER(G706), ""^(\?)+\s*(missing)?\s*(\?)*$""), """", PROPER(SUBSTITUTE(SUBSTITUTE(G706, ""?"", """"), ""*"", """")))"),"Hot Water Bottle Babushka")</f>
        <v>Hot Water Bottle Babushka</v>
      </c>
      <c r="I706" s="3">
        <v>8.0</v>
      </c>
      <c r="J706" s="7">
        <v>40513.50555555556</v>
      </c>
      <c r="K706" s="8" t="str">
        <f t="shared" si="4"/>
        <v>2010-12</v>
      </c>
      <c r="L706" s="5">
        <v>4.65</v>
      </c>
      <c r="M706" s="3">
        <v>18085.0</v>
      </c>
      <c r="N706" s="1" t="str">
        <f t="shared" si="5"/>
        <v>Registered</v>
      </c>
      <c r="O706" s="1" t="s">
        <v>19</v>
      </c>
      <c r="P706" s="9" t="str">
        <f t="shared" si="6"/>
        <v>UK</v>
      </c>
      <c r="Q706" s="8">
        <f t="shared" si="7"/>
        <v>37.2</v>
      </c>
    </row>
    <row r="707">
      <c r="A707" s="1">
        <v>536423.0</v>
      </c>
      <c r="B707" s="1" t="str">
        <f t="shared" si="1"/>
        <v>536423</v>
      </c>
      <c r="C707" s="1" t="str">
        <f t="shared" si="2"/>
        <v>Sale</v>
      </c>
      <c r="D707" s="1">
        <v>21479.0</v>
      </c>
      <c r="E707" s="1" t="str">
        <f>IFERROR(__xludf.DUMMYFUNCTION("IF(LEN(D707)&gt;4, IFERROR(REGEXEXTRACT(TO_TEXT(D707),""\d+""),""""),"""")"),"21479")</f>
        <v>21479</v>
      </c>
      <c r="F707" s="6" t="str">
        <f t="shared" si="3"/>
        <v>Product</v>
      </c>
      <c r="G707" s="1" t="s">
        <v>269</v>
      </c>
      <c r="H707" s="6" t="str">
        <f>IFERROR(__xludf.DUMMYFUNCTION("IF(REGEXMATCH(LOWER(G707), ""^(\?)+\s*(missing)?\s*(\?)*$""), """", PROPER(SUBSTITUTE(SUBSTITUTE(G707, ""?"", """"), ""*"", """")))"),"White Skull Hot Water Bottle")</f>
        <v>White Skull Hot Water Bottle</v>
      </c>
      <c r="I707" s="3">
        <v>8.0</v>
      </c>
      <c r="J707" s="7">
        <v>40513.50555555556</v>
      </c>
      <c r="K707" s="8" t="str">
        <f t="shared" si="4"/>
        <v>2010-12</v>
      </c>
      <c r="L707" s="5">
        <v>3.75</v>
      </c>
      <c r="M707" s="3">
        <v>18085.0</v>
      </c>
      <c r="N707" s="1" t="str">
        <f t="shared" si="5"/>
        <v>Registered</v>
      </c>
      <c r="O707" s="1" t="s">
        <v>19</v>
      </c>
      <c r="P707" s="9" t="str">
        <f t="shared" si="6"/>
        <v>UK</v>
      </c>
      <c r="Q707" s="8">
        <f t="shared" si="7"/>
        <v>30</v>
      </c>
    </row>
    <row r="708">
      <c r="A708" s="1">
        <v>536423.0</v>
      </c>
      <c r="B708" s="1" t="str">
        <f t="shared" si="1"/>
        <v>536423</v>
      </c>
      <c r="C708" s="1" t="str">
        <f t="shared" si="2"/>
        <v>Sale</v>
      </c>
      <c r="D708" s="1">
        <v>21485.0</v>
      </c>
      <c r="E708" s="1" t="str">
        <f>IFERROR(__xludf.DUMMYFUNCTION("IF(LEN(D708)&gt;4, IFERROR(REGEXEXTRACT(TO_TEXT(D708),""\d+""),""""),"""")"),"21485")</f>
        <v>21485</v>
      </c>
      <c r="F708" s="6" t="str">
        <f t="shared" si="3"/>
        <v>Product</v>
      </c>
      <c r="G708" s="1" t="s">
        <v>223</v>
      </c>
      <c r="H708" s="6" t="str">
        <f>IFERROR(__xludf.DUMMYFUNCTION("IF(REGEXMATCH(LOWER(G708), ""^(\?)+\s*(missing)?\s*(\?)*$""), """", PROPER(SUBSTITUTE(SUBSTITUTE(G708, ""?"", """"), ""*"", """")))"),"Retrospot Heart Hot Water Bottle")</f>
        <v>Retrospot Heart Hot Water Bottle</v>
      </c>
      <c r="I708" s="3">
        <v>8.0</v>
      </c>
      <c r="J708" s="7">
        <v>40513.50555555556</v>
      </c>
      <c r="K708" s="8" t="str">
        <f t="shared" si="4"/>
        <v>2010-12</v>
      </c>
      <c r="L708" s="5">
        <v>4.95</v>
      </c>
      <c r="M708" s="3">
        <v>18085.0</v>
      </c>
      <c r="N708" s="1" t="str">
        <f t="shared" si="5"/>
        <v>Registered</v>
      </c>
      <c r="O708" s="1" t="s">
        <v>19</v>
      </c>
      <c r="P708" s="9" t="str">
        <f t="shared" si="6"/>
        <v>UK</v>
      </c>
      <c r="Q708" s="8">
        <f t="shared" si="7"/>
        <v>39.6</v>
      </c>
    </row>
    <row r="709">
      <c r="A709" s="1">
        <v>536423.0</v>
      </c>
      <c r="B709" s="1" t="str">
        <f t="shared" si="1"/>
        <v>536423</v>
      </c>
      <c r="C709" s="1" t="str">
        <f t="shared" si="2"/>
        <v>Sale</v>
      </c>
      <c r="D709" s="1" t="s">
        <v>25</v>
      </c>
      <c r="E709" s="1" t="str">
        <f>IFERROR(__xludf.DUMMYFUNCTION("IF(LEN(D709)&gt;4, IFERROR(REGEXEXTRACT(TO_TEXT(D709),""\d+""),""""),"""")"),"84029")</f>
        <v>84029</v>
      </c>
      <c r="F709" s="6" t="str">
        <f t="shared" si="3"/>
        <v>Product</v>
      </c>
      <c r="G709" s="1" t="s">
        <v>26</v>
      </c>
      <c r="H709" s="6" t="str">
        <f>IFERROR(__xludf.DUMMYFUNCTION("IF(REGEXMATCH(LOWER(G709), ""^(\?)+\s*(missing)?\s*(\?)*$""), """", PROPER(SUBSTITUTE(SUBSTITUTE(G709, ""?"", """"), ""*"", """")))"),"Red Woolly Hottie White Heart.")</f>
        <v>Red Woolly Hottie White Heart.</v>
      </c>
      <c r="I709" s="3">
        <v>8.0</v>
      </c>
      <c r="J709" s="7">
        <v>40513.50555555556</v>
      </c>
      <c r="K709" s="8" t="str">
        <f t="shared" si="4"/>
        <v>2010-12</v>
      </c>
      <c r="L709" s="5">
        <v>3.75</v>
      </c>
      <c r="M709" s="3">
        <v>18085.0</v>
      </c>
      <c r="N709" s="1" t="str">
        <f t="shared" si="5"/>
        <v>Registered</v>
      </c>
      <c r="O709" s="1" t="s">
        <v>19</v>
      </c>
      <c r="P709" s="9" t="str">
        <f t="shared" si="6"/>
        <v>UK</v>
      </c>
      <c r="Q709" s="8">
        <f t="shared" si="7"/>
        <v>30</v>
      </c>
    </row>
    <row r="710">
      <c r="A710" s="1">
        <v>536423.0</v>
      </c>
      <c r="B710" s="1" t="str">
        <f t="shared" si="1"/>
        <v>536423</v>
      </c>
      <c r="C710" s="1" t="str">
        <f t="shared" si="2"/>
        <v>Sale</v>
      </c>
      <c r="D710" s="1">
        <v>22111.0</v>
      </c>
      <c r="E710" s="1" t="str">
        <f>IFERROR(__xludf.DUMMYFUNCTION("IF(LEN(D710)&gt;4, IFERROR(REGEXEXTRACT(TO_TEXT(D710),""\d+""),""""),"""")"),"22111")</f>
        <v>22111</v>
      </c>
      <c r="F710" s="6" t="str">
        <f t="shared" si="3"/>
        <v>Product</v>
      </c>
      <c r="G710" s="1" t="s">
        <v>270</v>
      </c>
      <c r="H710" s="6" t="str">
        <f>IFERROR(__xludf.DUMMYFUNCTION("IF(REGEXMATCH(LOWER(G710), ""^(\?)+\s*(missing)?\s*(\?)*$""), """", PROPER(SUBSTITUTE(SUBSTITUTE(G710, ""?"", """"), ""*"", """")))"),"Scottie Dog Hot Water Bottle")</f>
        <v>Scottie Dog Hot Water Bottle</v>
      </c>
      <c r="I710" s="3">
        <v>16.0</v>
      </c>
      <c r="J710" s="7">
        <v>40513.50555555556</v>
      </c>
      <c r="K710" s="8" t="str">
        <f t="shared" si="4"/>
        <v>2010-12</v>
      </c>
      <c r="L710" s="5">
        <v>4.95</v>
      </c>
      <c r="M710" s="3">
        <v>18085.0</v>
      </c>
      <c r="N710" s="1" t="str">
        <f t="shared" si="5"/>
        <v>Registered</v>
      </c>
      <c r="O710" s="1" t="s">
        <v>19</v>
      </c>
      <c r="P710" s="9" t="str">
        <f t="shared" si="6"/>
        <v>UK</v>
      </c>
      <c r="Q710" s="8">
        <f t="shared" si="7"/>
        <v>79.2</v>
      </c>
    </row>
    <row r="711">
      <c r="A711" s="1">
        <v>536423.0</v>
      </c>
      <c r="B711" s="1" t="str">
        <f t="shared" si="1"/>
        <v>536423</v>
      </c>
      <c r="C711" s="1" t="str">
        <f t="shared" si="2"/>
        <v>Sale</v>
      </c>
      <c r="D711" s="1">
        <v>22113.0</v>
      </c>
      <c r="E711" s="1" t="str">
        <f>IFERROR(__xludf.DUMMYFUNCTION("IF(LEN(D711)&gt;4, IFERROR(REGEXEXTRACT(TO_TEXT(D711),""\d+""),""""),"""")"),"22113")</f>
        <v>22113</v>
      </c>
      <c r="F711" s="6" t="str">
        <f t="shared" si="3"/>
        <v>Product</v>
      </c>
      <c r="G711" s="1" t="s">
        <v>515</v>
      </c>
      <c r="H711" s="6" t="str">
        <f>IFERROR(__xludf.DUMMYFUNCTION("IF(REGEXMATCH(LOWER(G711), ""^(\?)+\s*(missing)?\s*(\?)*$""), """", PROPER(SUBSTITUTE(SUBSTITUTE(G711, ""?"", """"), ""*"", """")))"),"Grey Heart Hot Water Bottle")</f>
        <v>Grey Heart Hot Water Bottle</v>
      </c>
      <c r="I711" s="3">
        <v>8.0</v>
      </c>
      <c r="J711" s="7">
        <v>40513.50555555556</v>
      </c>
      <c r="K711" s="8" t="str">
        <f t="shared" si="4"/>
        <v>2010-12</v>
      </c>
      <c r="L711" s="5">
        <v>3.75</v>
      </c>
      <c r="M711" s="3">
        <v>18085.0</v>
      </c>
      <c r="N711" s="1" t="str">
        <f t="shared" si="5"/>
        <v>Registered</v>
      </c>
      <c r="O711" s="1" t="s">
        <v>19</v>
      </c>
      <c r="P711" s="9" t="str">
        <f t="shared" si="6"/>
        <v>UK</v>
      </c>
      <c r="Q711" s="8">
        <f t="shared" si="7"/>
        <v>30</v>
      </c>
    </row>
    <row r="712">
      <c r="A712" s="1">
        <v>536425.0</v>
      </c>
      <c r="B712" s="1" t="str">
        <f t="shared" si="1"/>
        <v>536425</v>
      </c>
      <c r="C712" s="1" t="str">
        <f t="shared" si="2"/>
        <v>Sale</v>
      </c>
      <c r="D712" s="1">
        <v>22837.0</v>
      </c>
      <c r="E712" s="1" t="str">
        <f>IFERROR(__xludf.DUMMYFUNCTION("IF(LEN(D712)&gt;4, IFERROR(REGEXEXTRACT(TO_TEXT(D712),""\d+""),""""),"""")"),"22837")</f>
        <v>22837</v>
      </c>
      <c r="F712" s="6" t="str">
        <f t="shared" si="3"/>
        <v>Product</v>
      </c>
      <c r="G712" s="1" t="s">
        <v>332</v>
      </c>
      <c r="H712" s="6" t="str">
        <f>IFERROR(__xludf.DUMMYFUNCTION("IF(REGEXMATCH(LOWER(G712), ""^(\?)+\s*(missing)?\s*(\?)*$""), """", PROPER(SUBSTITUTE(SUBSTITUTE(G712, ""?"", """"), ""*"", """")))"),"Hot Water Bottle Babushka")</f>
        <v>Hot Water Bottle Babushka</v>
      </c>
      <c r="I712" s="3">
        <v>8.0</v>
      </c>
      <c r="J712" s="7">
        <v>40513.50555555556</v>
      </c>
      <c r="K712" s="8" t="str">
        <f t="shared" si="4"/>
        <v>2010-12</v>
      </c>
      <c r="L712" s="5">
        <v>4.65</v>
      </c>
      <c r="M712" s="3">
        <v>13758.0</v>
      </c>
      <c r="N712" s="1" t="str">
        <f t="shared" si="5"/>
        <v>Registered</v>
      </c>
      <c r="O712" s="1" t="s">
        <v>19</v>
      </c>
      <c r="P712" s="9" t="str">
        <f t="shared" si="6"/>
        <v>UK</v>
      </c>
      <c r="Q712" s="8">
        <f t="shared" si="7"/>
        <v>37.2</v>
      </c>
    </row>
    <row r="713">
      <c r="A713" s="1">
        <v>536425.0</v>
      </c>
      <c r="B713" s="1" t="str">
        <f t="shared" si="1"/>
        <v>536425</v>
      </c>
      <c r="C713" s="1" t="str">
        <f t="shared" si="2"/>
        <v>Sale</v>
      </c>
      <c r="D713" s="1">
        <v>22585.0</v>
      </c>
      <c r="E713" s="1" t="str">
        <f>IFERROR(__xludf.DUMMYFUNCTION("IF(LEN(D713)&gt;4, IFERROR(REGEXEXTRACT(TO_TEXT(D713),""\d+""),""""),"""")"),"22585")</f>
        <v>22585</v>
      </c>
      <c r="F713" s="6" t="str">
        <f t="shared" si="3"/>
        <v>Product</v>
      </c>
      <c r="G713" s="1" t="s">
        <v>520</v>
      </c>
      <c r="H713" s="6" t="str">
        <f>IFERROR(__xludf.DUMMYFUNCTION("IF(REGEXMATCH(LOWER(G713), ""^(\?)+\s*(missing)?\s*(\?)*$""), """", PROPER(SUBSTITUTE(SUBSTITUTE(G713, ""?"", """"), ""*"", """")))"),"Pack Of 6 Birdy Gift Tags")</f>
        <v>Pack Of 6 Birdy Gift Tags</v>
      </c>
      <c r="I713" s="3">
        <v>12.0</v>
      </c>
      <c r="J713" s="7">
        <v>40513.50555555556</v>
      </c>
      <c r="K713" s="8" t="str">
        <f t="shared" si="4"/>
        <v>2010-12</v>
      </c>
      <c r="L713" s="5">
        <v>1.25</v>
      </c>
      <c r="M713" s="3">
        <v>13758.0</v>
      </c>
      <c r="N713" s="1" t="str">
        <f t="shared" si="5"/>
        <v>Registered</v>
      </c>
      <c r="O713" s="1" t="s">
        <v>19</v>
      </c>
      <c r="P713" s="9" t="str">
        <f t="shared" si="6"/>
        <v>UK</v>
      </c>
      <c r="Q713" s="8">
        <f t="shared" si="7"/>
        <v>15</v>
      </c>
    </row>
    <row r="714">
      <c r="A714" s="1">
        <v>536425.0</v>
      </c>
      <c r="B714" s="1" t="str">
        <f t="shared" si="1"/>
        <v>536425</v>
      </c>
      <c r="C714" s="1" t="str">
        <f t="shared" si="2"/>
        <v>Sale</v>
      </c>
      <c r="D714" s="1">
        <v>79321.0</v>
      </c>
      <c r="E714" s="1" t="str">
        <f>IFERROR(__xludf.DUMMYFUNCTION("IF(LEN(D714)&gt;4, IFERROR(REGEXEXTRACT(TO_TEXT(D714),""\d+""),""""),"""")"),"79321")</f>
        <v>79321</v>
      </c>
      <c r="F714" s="6" t="str">
        <f t="shared" si="3"/>
        <v>Product</v>
      </c>
      <c r="G714" s="1" t="s">
        <v>183</v>
      </c>
      <c r="H714" s="6" t="str">
        <f>IFERROR(__xludf.DUMMYFUNCTION("IF(REGEXMATCH(LOWER(G714), ""^(\?)+\s*(missing)?\s*(\?)*$""), """", PROPER(SUBSTITUTE(SUBSTITUTE(G714, ""?"", """"), ""*"", """")))"),"Chilli Lights")</f>
        <v>Chilli Lights</v>
      </c>
      <c r="I714" s="3">
        <v>8.0</v>
      </c>
      <c r="J714" s="7">
        <v>40513.50555555556</v>
      </c>
      <c r="K714" s="8" t="str">
        <f t="shared" si="4"/>
        <v>2010-12</v>
      </c>
      <c r="L714" s="5">
        <v>4.95</v>
      </c>
      <c r="M714" s="3">
        <v>13758.0</v>
      </c>
      <c r="N714" s="1" t="str">
        <f t="shared" si="5"/>
        <v>Registered</v>
      </c>
      <c r="O714" s="1" t="s">
        <v>19</v>
      </c>
      <c r="P714" s="9" t="str">
        <f t="shared" si="6"/>
        <v>UK</v>
      </c>
      <c r="Q714" s="8">
        <f t="shared" si="7"/>
        <v>39.6</v>
      </c>
    </row>
    <row r="715">
      <c r="A715" s="1">
        <v>536425.0</v>
      </c>
      <c r="B715" s="1" t="str">
        <f t="shared" si="1"/>
        <v>536425</v>
      </c>
      <c r="C715" s="1" t="str">
        <f t="shared" si="2"/>
        <v>Sale</v>
      </c>
      <c r="D715" s="1">
        <v>22637.0</v>
      </c>
      <c r="E715" s="1" t="str">
        <f>IFERROR(__xludf.DUMMYFUNCTION("IF(LEN(D715)&gt;4, IFERROR(REGEXEXTRACT(TO_TEXT(D715),""\d+""),""""),"""")"),"22637")</f>
        <v>22637</v>
      </c>
      <c r="F715" s="6" t="str">
        <f t="shared" si="3"/>
        <v>Product</v>
      </c>
      <c r="G715" s="1" t="s">
        <v>119</v>
      </c>
      <c r="H715" s="6" t="str">
        <f>IFERROR(__xludf.DUMMYFUNCTION("IF(REGEXMATCH(LOWER(G715), ""^(\?)+\s*(missing)?\s*(\?)*$""), """", PROPER(SUBSTITUTE(SUBSTITUTE(G715, ""?"", """"), ""*"", """")))"),"Piggy Bank Retrospot")</f>
        <v>Piggy Bank Retrospot</v>
      </c>
      <c r="I715" s="3">
        <v>12.0</v>
      </c>
      <c r="J715" s="7">
        <v>40513.50555555556</v>
      </c>
      <c r="K715" s="8" t="str">
        <f t="shared" si="4"/>
        <v>2010-12</v>
      </c>
      <c r="L715" s="5">
        <v>2.55</v>
      </c>
      <c r="M715" s="3">
        <v>13758.0</v>
      </c>
      <c r="N715" s="1" t="str">
        <f t="shared" si="5"/>
        <v>Registered</v>
      </c>
      <c r="O715" s="1" t="s">
        <v>19</v>
      </c>
      <c r="P715" s="9" t="str">
        <f t="shared" si="6"/>
        <v>UK</v>
      </c>
      <c r="Q715" s="8">
        <f t="shared" si="7"/>
        <v>30.6</v>
      </c>
    </row>
    <row r="716">
      <c r="A716" s="1">
        <v>536425.0</v>
      </c>
      <c r="B716" s="1" t="str">
        <f t="shared" si="1"/>
        <v>536425</v>
      </c>
      <c r="C716" s="1" t="str">
        <f t="shared" si="2"/>
        <v>Sale</v>
      </c>
      <c r="D716" s="1">
        <v>21556.0</v>
      </c>
      <c r="E716" s="1" t="str">
        <f>IFERROR(__xludf.DUMMYFUNCTION("IF(LEN(D716)&gt;4, IFERROR(REGEXEXTRACT(TO_TEXT(D716),""\d+""),""""),"""")"),"21556")</f>
        <v>21556</v>
      </c>
      <c r="F716" s="6" t="str">
        <f t="shared" si="3"/>
        <v>Product</v>
      </c>
      <c r="G716" s="1" t="s">
        <v>521</v>
      </c>
      <c r="H716" s="6" t="str">
        <f>IFERROR(__xludf.DUMMYFUNCTION("IF(REGEXMATCH(LOWER(G716), ""^(\?)+\s*(missing)?\s*(\?)*$""), """", PROPER(SUBSTITUTE(SUBSTITUTE(G716, ""?"", """"), ""*"", """")))"),"Ceramic Strawberry Money Box")</f>
        <v>Ceramic Strawberry Money Box</v>
      </c>
      <c r="I716" s="3">
        <v>6.0</v>
      </c>
      <c r="J716" s="7">
        <v>40513.50555555556</v>
      </c>
      <c r="K716" s="8" t="str">
        <f t="shared" si="4"/>
        <v>2010-12</v>
      </c>
      <c r="L716" s="5">
        <v>2.55</v>
      </c>
      <c r="M716" s="3">
        <v>13758.0</v>
      </c>
      <c r="N716" s="1" t="str">
        <f t="shared" si="5"/>
        <v>Registered</v>
      </c>
      <c r="O716" s="1" t="s">
        <v>19</v>
      </c>
      <c r="P716" s="9" t="str">
        <f t="shared" si="6"/>
        <v>UK</v>
      </c>
      <c r="Q716" s="8">
        <f t="shared" si="7"/>
        <v>15.3</v>
      </c>
    </row>
    <row r="717">
      <c r="A717" s="1">
        <v>536425.0</v>
      </c>
      <c r="B717" s="1" t="str">
        <f t="shared" si="1"/>
        <v>536425</v>
      </c>
      <c r="C717" s="1" t="str">
        <f t="shared" si="2"/>
        <v>Sale</v>
      </c>
      <c r="D717" s="1">
        <v>22646.0</v>
      </c>
      <c r="E717" s="1" t="str">
        <f>IFERROR(__xludf.DUMMYFUNCTION("IF(LEN(D717)&gt;4, IFERROR(REGEXEXTRACT(TO_TEXT(D717),""\d+""),""""),"""")"),"22646")</f>
        <v>22646</v>
      </c>
      <c r="F717" s="6" t="str">
        <f t="shared" si="3"/>
        <v>Product</v>
      </c>
      <c r="G717" s="1" t="s">
        <v>141</v>
      </c>
      <c r="H717" s="6" t="str">
        <f>IFERROR(__xludf.DUMMYFUNCTION("IF(REGEXMATCH(LOWER(G717), ""^(\?)+\s*(missing)?\s*(\?)*$""), """", PROPER(SUBSTITUTE(SUBSTITUTE(G717, ""?"", """"), ""*"", """")))"),"Ceramic Strawberry Cake Money Bank")</f>
        <v>Ceramic Strawberry Cake Money Bank</v>
      </c>
      <c r="I717" s="3">
        <v>12.0</v>
      </c>
      <c r="J717" s="7">
        <v>40513.50555555556</v>
      </c>
      <c r="K717" s="8" t="str">
        <f t="shared" si="4"/>
        <v>2010-12</v>
      </c>
      <c r="L717" s="5">
        <v>1.45</v>
      </c>
      <c r="M717" s="3">
        <v>13758.0</v>
      </c>
      <c r="N717" s="1" t="str">
        <f t="shared" si="5"/>
        <v>Registered</v>
      </c>
      <c r="O717" s="1" t="s">
        <v>19</v>
      </c>
      <c r="P717" s="9" t="str">
        <f t="shared" si="6"/>
        <v>UK</v>
      </c>
      <c r="Q717" s="8">
        <f t="shared" si="7"/>
        <v>17.4</v>
      </c>
    </row>
    <row r="718">
      <c r="A718" s="1">
        <v>536425.0</v>
      </c>
      <c r="B718" s="1" t="str">
        <f t="shared" si="1"/>
        <v>536425</v>
      </c>
      <c r="C718" s="1" t="str">
        <f t="shared" si="2"/>
        <v>Sale</v>
      </c>
      <c r="D718" s="1">
        <v>22644.0</v>
      </c>
      <c r="E718" s="1" t="str">
        <f>IFERROR(__xludf.DUMMYFUNCTION("IF(LEN(D718)&gt;4, IFERROR(REGEXEXTRACT(TO_TEXT(D718),""\d+""),""""),"""")"),"22644")</f>
        <v>22644</v>
      </c>
      <c r="F718" s="6" t="str">
        <f t="shared" si="3"/>
        <v>Product</v>
      </c>
      <c r="G718" s="1" t="s">
        <v>134</v>
      </c>
      <c r="H718" s="6" t="str">
        <f>IFERROR(__xludf.DUMMYFUNCTION("IF(REGEXMATCH(LOWER(G718), ""^(\?)+\s*(missing)?\s*(\?)*$""), """", PROPER(SUBSTITUTE(SUBSTITUTE(G718, ""?"", """"), ""*"", """")))"),"Ceramic Cherry Cake Money Bank")</f>
        <v>Ceramic Cherry Cake Money Bank</v>
      </c>
      <c r="I718" s="3">
        <v>12.0</v>
      </c>
      <c r="J718" s="7">
        <v>40513.50555555556</v>
      </c>
      <c r="K718" s="8" t="str">
        <f t="shared" si="4"/>
        <v>2010-12</v>
      </c>
      <c r="L718" s="5">
        <v>1.45</v>
      </c>
      <c r="M718" s="3">
        <v>13758.0</v>
      </c>
      <c r="N718" s="1" t="str">
        <f t="shared" si="5"/>
        <v>Registered</v>
      </c>
      <c r="O718" s="1" t="s">
        <v>19</v>
      </c>
      <c r="P718" s="9" t="str">
        <f t="shared" si="6"/>
        <v>UK</v>
      </c>
      <c r="Q718" s="8">
        <f t="shared" si="7"/>
        <v>17.4</v>
      </c>
    </row>
    <row r="719">
      <c r="A719" s="1">
        <v>536425.0</v>
      </c>
      <c r="B719" s="1" t="str">
        <f t="shared" si="1"/>
        <v>536425</v>
      </c>
      <c r="C719" s="1" t="str">
        <f t="shared" si="2"/>
        <v>Sale</v>
      </c>
      <c r="D719" s="1">
        <v>22645.0</v>
      </c>
      <c r="E719" s="1" t="str">
        <f>IFERROR(__xludf.DUMMYFUNCTION("IF(LEN(D719)&gt;4, IFERROR(REGEXEXTRACT(TO_TEXT(D719),""\d+""),""""),"""")"),"22645")</f>
        <v>22645</v>
      </c>
      <c r="F719" s="6" t="str">
        <f t="shared" si="3"/>
        <v>Product</v>
      </c>
      <c r="G719" s="1" t="s">
        <v>522</v>
      </c>
      <c r="H719" s="6" t="str">
        <f>IFERROR(__xludf.DUMMYFUNCTION("IF(REGEXMATCH(LOWER(G719), ""^(\?)+\s*(missing)?\s*(\?)*$""), """", PROPER(SUBSTITUTE(SUBSTITUTE(G719, ""?"", """"), ""*"", """")))"),"Ceramic Heart Fairy Cake Money Bank")</f>
        <v>Ceramic Heart Fairy Cake Money Bank</v>
      </c>
      <c r="I719" s="3">
        <v>12.0</v>
      </c>
      <c r="J719" s="7">
        <v>40513.50555555556</v>
      </c>
      <c r="K719" s="8" t="str">
        <f t="shared" si="4"/>
        <v>2010-12</v>
      </c>
      <c r="L719" s="5">
        <v>1.45</v>
      </c>
      <c r="M719" s="3">
        <v>13758.0</v>
      </c>
      <c r="N719" s="1" t="str">
        <f t="shared" si="5"/>
        <v>Registered</v>
      </c>
      <c r="O719" s="1" t="s">
        <v>19</v>
      </c>
      <c r="P719" s="9" t="str">
        <f t="shared" si="6"/>
        <v>UK</v>
      </c>
      <c r="Q719" s="8">
        <f t="shared" si="7"/>
        <v>17.4</v>
      </c>
    </row>
    <row r="720">
      <c r="A720" s="1">
        <v>536425.0</v>
      </c>
      <c r="B720" s="1" t="str">
        <f t="shared" si="1"/>
        <v>536425</v>
      </c>
      <c r="C720" s="1" t="str">
        <f t="shared" si="2"/>
        <v>Sale</v>
      </c>
      <c r="D720" s="1">
        <v>22650.0</v>
      </c>
      <c r="E720" s="1" t="str">
        <f>IFERROR(__xludf.DUMMYFUNCTION("IF(LEN(D720)&gt;4, IFERROR(REGEXEXTRACT(TO_TEXT(D720),""\d+""),""""),"""")"),"22650")</f>
        <v>22650</v>
      </c>
      <c r="F720" s="6" t="str">
        <f t="shared" si="3"/>
        <v>Product</v>
      </c>
      <c r="G720" s="1" t="s">
        <v>523</v>
      </c>
      <c r="H720" s="6" t="str">
        <f>IFERROR(__xludf.DUMMYFUNCTION("IF(REGEXMATCH(LOWER(G720), ""^(\?)+\s*(missing)?\s*(\?)*$""), """", PROPER(SUBSTITUTE(SUBSTITUTE(G720, ""?"", """"), ""*"", """")))"),"Ceramic Pirate Chest Money Bank")</f>
        <v>Ceramic Pirate Chest Money Bank</v>
      </c>
      <c r="I720" s="3">
        <v>12.0</v>
      </c>
      <c r="J720" s="7">
        <v>40513.50555555556</v>
      </c>
      <c r="K720" s="8" t="str">
        <f t="shared" si="4"/>
        <v>2010-12</v>
      </c>
      <c r="L720" s="5">
        <v>1.45</v>
      </c>
      <c r="M720" s="3">
        <v>13758.0</v>
      </c>
      <c r="N720" s="1" t="str">
        <f t="shared" si="5"/>
        <v>Registered</v>
      </c>
      <c r="O720" s="1" t="s">
        <v>19</v>
      </c>
      <c r="P720" s="9" t="str">
        <f t="shared" si="6"/>
        <v>UK</v>
      </c>
      <c r="Q720" s="8">
        <f t="shared" si="7"/>
        <v>17.4</v>
      </c>
    </row>
    <row r="721">
      <c r="A721" s="1">
        <v>536425.0</v>
      </c>
      <c r="B721" s="1" t="str">
        <f t="shared" si="1"/>
        <v>536425</v>
      </c>
      <c r="C721" s="1" t="str">
        <f t="shared" si="2"/>
        <v>Sale</v>
      </c>
      <c r="D721" s="1">
        <v>22508.0</v>
      </c>
      <c r="E721" s="1" t="str">
        <f>IFERROR(__xludf.DUMMYFUNCTION("IF(LEN(D721)&gt;4, IFERROR(REGEXEXTRACT(TO_TEXT(D721),""\d+""),""""),"""")"),"22508")</f>
        <v>22508</v>
      </c>
      <c r="F721" s="6" t="str">
        <f t="shared" si="3"/>
        <v>Product</v>
      </c>
      <c r="G721" s="1" t="s">
        <v>524</v>
      </c>
      <c r="H721" s="6" t="str">
        <f>IFERROR(__xludf.DUMMYFUNCTION("IF(REGEXMATCH(LOWER(G721), ""^(\?)+\s*(missing)?\s*(\?)*$""), """", PROPER(SUBSTITUTE(SUBSTITUTE(G721, ""?"", """"), ""*"", """")))"),"Doorstop Retrospot Heart")</f>
        <v>Doorstop Retrospot Heart</v>
      </c>
      <c r="I721" s="3">
        <v>8.0</v>
      </c>
      <c r="J721" s="7">
        <v>40513.50555555556</v>
      </c>
      <c r="K721" s="8" t="str">
        <f t="shared" si="4"/>
        <v>2010-12</v>
      </c>
      <c r="L721" s="5">
        <v>3.75</v>
      </c>
      <c r="M721" s="3">
        <v>13758.0</v>
      </c>
      <c r="N721" s="1" t="str">
        <f t="shared" si="5"/>
        <v>Registered</v>
      </c>
      <c r="O721" s="1" t="s">
        <v>19</v>
      </c>
      <c r="P721" s="9" t="str">
        <f t="shared" si="6"/>
        <v>UK</v>
      </c>
      <c r="Q721" s="8">
        <f t="shared" si="7"/>
        <v>30</v>
      </c>
    </row>
    <row r="722">
      <c r="A722" s="1">
        <v>536425.0</v>
      </c>
      <c r="B722" s="1" t="str">
        <f t="shared" si="1"/>
        <v>536425</v>
      </c>
      <c r="C722" s="1" t="str">
        <f t="shared" si="2"/>
        <v>Sale</v>
      </c>
      <c r="D722" s="1">
        <v>21411.0</v>
      </c>
      <c r="E722" s="1" t="str">
        <f>IFERROR(__xludf.DUMMYFUNCTION("IF(LEN(D722)&gt;4, IFERROR(REGEXEXTRACT(TO_TEXT(D722),""\d+""),""""),"""")"),"21411")</f>
        <v>21411</v>
      </c>
      <c r="F722" s="6" t="str">
        <f t="shared" si="3"/>
        <v>Product</v>
      </c>
      <c r="G722" s="1" t="s">
        <v>188</v>
      </c>
      <c r="H722" s="6" t="str">
        <f>IFERROR(__xludf.DUMMYFUNCTION("IF(REGEXMATCH(LOWER(G722), ""^(\?)+\s*(missing)?\s*(\?)*$""), """", PROPER(SUBSTITUTE(SUBSTITUTE(G722, ""?"", """"), ""*"", """")))"),"Gingham Heart Doorstop Red")</f>
        <v>Gingham Heart Doorstop Red</v>
      </c>
      <c r="I722" s="3">
        <v>3.0</v>
      </c>
      <c r="J722" s="7">
        <v>40513.50555555556</v>
      </c>
      <c r="K722" s="8" t="str">
        <f t="shared" si="4"/>
        <v>2010-12</v>
      </c>
      <c r="L722" s="5">
        <v>4.25</v>
      </c>
      <c r="M722" s="3">
        <v>13758.0</v>
      </c>
      <c r="N722" s="1" t="str">
        <f t="shared" si="5"/>
        <v>Registered</v>
      </c>
      <c r="O722" s="1" t="s">
        <v>19</v>
      </c>
      <c r="P722" s="9" t="str">
        <f t="shared" si="6"/>
        <v>UK</v>
      </c>
      <c r="Q722" s="8">
        <f t="shared" si="7"/>
        <v>12.75</v>
      </c>
    </row>
    <row r="723">
      <c r="A723" s="1">
        <v>536425.0</v>
      </c>
      <c r="B723" s="1" t="str">
        <f t="shared" si="1"/>
        <v>536425</v>
      </c>
      <c r="C723" s="1" t="str">
        <f t="shared" si="2"/>
        <v>Sale</v>
      </c>
      <c r="D723" s="1">
        <v>22511.0</v>
      </c>
      <c r="E723" s="1" t="str">
        <f>IFERROR(__xludf.DUMMYFUNCTION("IF(LEN(D723)&gt;4, IFERROR(REGEXEXTRACT(TO_TEXT(D723),""\d+""),""""),"""")"),"22511")</f>
        <v>22511</v>
      </c>
      <c r="F723" s="6" t="str">
        <f t="shared" si="3"/>
        <v>Product</v>
      </c>
      <c r="G723" s="1" t="s">
        <v>525</v>
      </c>
      <c r="H723" s="6" t="str">
        <f>IFERROR(__xludf.DUMMYFUNCTION("IF(REGEXMATCH(LOWER(G723), ""^(\?)+\s*(missing)?\s*(\?)*$""), """", PROPER(SUBSTITUTE(SUBSTITUTE(G723, ""?"", """"), ""*"", """")))"),"Retrospot Babushka Doorstop")</f>
        <v>Retrospot Babushka Doorstop</v>
      </c>
      <c r="I723" s="3">
        <v>4.0</v>
      </c>
      <c r="J723" s="7">
        <v>40513.50555555556</v>
      </c>
      <c r="K723" s="8" t="str">
        <f t="shared" si="4"/>
        <v>2010-12</v>
      </c>
      <c r="L723" s="5">
        <v>3.75</v>
      </c>
      <c r="M723" s="3">
        <v>13758.0</v>
      </c>
      <c r="N723" s="1" t="str">
        <f t="shared" si="5"/>
        <v>Registered</v>
      </c>
      <c r="O723" s="1" t="s">
        <v>19</v>
      </c>
      <c r="P723" s="9" t="str">
        <f t="shared" si="6"/>
        <v>UK</v>
      </c>
      <c r="Q723" s="8">
        <f t="shared" si="7"/>
        <v>15</v>
      </c>
    </row>
    <row r="724">
      <c r="A724" s="1">
        <v>536425.0</v>
      </c>
      <c r="B724" s="1" t="str">
        <f t="shared" si="1"/>
        <v>536425</v>
      </c>
      <c r="C724" s="1" t="str">
        <f t="shared" si="2"/>
        <v>Sale</v>
      </c>
      <c r="D724" s="1">
        <v>22451.0</v>
      </c>
      <c r="E724" s="1" t="str">
        <f>IFERROR(__xludf.DUMMYFUNCTION("IF(LEN(D724)&gt;4, IFERROR(REGEXEXTRACT(TO_TEXT(D724),""\d+""),""""),"""")"),"22451")</f>
        <v>22451</v>
      </c>
      <c r="F724" s="6" t="str">
        <f t="shared" si="3"/>
        <v>Product</v>
      </c>
      <c r="G724" s="1" t="s">
        <v>275</v>
      </c>
      <c r="H724" s="6" t="str">
        <f>IFERROR(__xludf.DUMMYFUNCTION("IF(REGEXMATCH(LOWER(G724), ""^(\?)+\s*(missing)?\s*(\?)*$""), """", PROPER(SUBSTITUTE(SUBSTITUTE(G724, ""?"", """"), ""*"", """")))"),"Silk Purse Babushka Red")</f>
        <v>Silk Purse Babushka Red</v>
      </c>
      <c r="I724" s="3">
        <v>6.0</v>
      </c>
      <c r="J724" s="7">
        <v>40513.50555555556</v>
      </c>
      <c r="K724" s="8" t="str">
        <f t="shared" si="4"/>
        <v>2010-12</v>
      </c>
      <c r="L724" s="5">
        <v>3.35</v>
      </c>
      <c r="M724" s="3">
        <v>13758.0</v>
      </c>
      <c r="N724" s="1" t="str">
        <f t="shared" si="5"/>
        <v>Registered</v>
      </c>
      <c r="O724" s="1" t="s">
        <v>19</v>
      </c>
      <c r="P724" s="9" t="str">
        <f t="shared" si="6"/>
        <v>UK</v>
      </c>
      <c r="Q724" s="8">
        <f t="shared" si="7"/>
        <v>20.1</v>
      </c>
    </row>
    <row r="725">
      <c r="A725" s="1">
        <v>536425.0</v>
      </c>
      <c r="B725" s="1" t="str">
        <f t="shared" si="1"/>
        <v>536425</v>
      </c>
      <c r="C725" s="1" t="str">
        <f t="shared" si="2"/>
        <v>Sale</v>
      </c>
      <c r="D725" s="1">
        <v>22449.0</v>
      </c>
      <c r="E725" s="1" t="str">
        <f>IFERROR(__xludf.DUMMYFUNCTION("IF(LEN(D725)&gt;4, IFERROR(REGEXEXTRACT(TO_TEXT(D725),""\d+""),""""),"""")"),"22449")</f>
        <v>22449</v>
      </c>
      <c r="F725" s="6" t="str">
        <f t="shared" si="3"/>
        <v>Product</v>
      </c>
      <c r="G725" s="1" t="s">
        <v>266</v>
      </c>
      <c r="H725" s="6" t="str">
        <f>IFERROR(__xludf.DUMMYFUNCTION("IF(REGEXMATCH(LOWER(G725), ""^(\?)+\s*(missing)?\s*(\?)*$""), """", PROPER(SUBSTITUTE(SUBSTITUTE(G725, ""?"", """"), ""*"", """")))"),"Silk Purse Babushka Pink")</f>
        <v>Silk Purse Babushka Pink</v>
      </c>
      <c r="I725" s="3">
        <v>6.0</v>
      </c>
      <c r="J725" s="7">
        <v>40513.50555555556</v>
      </c>
      <c r="K725" s="8" t="str">
        <f t="shared" si="4"/>
        <v>2010-12</v>
      </c>
      <c r="L725" s="5">
        <v>3.35</v>
      </c>
      <c r="M725" s="3">
        <v>13758.0</v>
      </c>
      <c r="N725" s="1" t="str">
        <f t="shared" si="5"/>
        <v>Registered</v>
      </c>
      <c r="O725" s="1" t="s">
        <v>19</v>
      </c>
      <c r="P725" s="9" t="str">
        <f t="shared" si="6"/>
        <v>UK</v>
      </c>
      <c r="Q725" s="8">
        <f t="shared" si="7"/>
        <v>20.1</v>
      </c>
    </row>
    <row r="726">
      <c r="A726" s="1">
        <v>536425.0</v>
      </c>
      <c r="B726" s="1" t="str">
        <f t="shared" si="1"/>
        <v>536425</v>
      </c>
      <c r="C726" s="1" t="str">
        <f t="shared" si="2"/>
        <v>Sale</v>
      </c>
      <c r="D726" s="1">
        <v>22768.0</v>
      </c>
      <c r="E726" s="1" t="str">
        <f>IFERROR(__xludf.DUMMYFUNCTION("IF(LEN(D726)&gt;4, IFERROR(REGEXEXTRACT(TO_TEXT(D726),""\d+""),""""),"""")"),"22768")</f>
        <v>22768</v>
      </c>
      <c r="F726" s="6" t="str">
        <f t="shared" si="3"/>
        <v>Product</v>
      </c>
      <c r="G726" s="1" t="s">
        <v>289</v>
      </c>
      <c r="H726" s="6" t="str">
        <f>IFERROR(__xludf.DUMMYFUNCTION("IF(REGEXMATCH(LOWER(G726), ""^(\?)+\s*(missing)?\s*(\?)*$""), """", PROPER(SUBSTITUTE(SUBSTITUTE(G726, ""?"", """"), ""*"", """")))"),"Family Photo Frame Cornice")</f>
        <v>Family Photo Frame Cornice</v>
      </c>
      <c r="I726" s="3">
        <v>2.0</v>
      </c>
      <c r="J726" s="7">
        <v>40513.50555555556</v>
      </c>
      <c r="K726" s="8" t="str">
        <f t="shared" si="4"/>
        <v>2010-12</v>
      </c>
      <c r="L726" s="5">
        <v>9.95</v>
      </c>
      <c r="M726" s="3">
        <v>13758.0</v>
      </c>
      <c r="N726" s="1" t="str">
        <f t="shared" si="5"/>
        <v>Registered</v>
      </c>
      <c r="O726" s="1" t="s">
        <v>19</v>
      </c>
      <c r="P726" s="9" t="str">
        <f t="shared" si="6"/>
        <v>UK</v>
      </c>
      <c r="Q726" s="8">
        <f t="shared" si="7"/>
        <v>19.9</v>
      </c>
    </row>
    <row r="727">
      <c r="A727" s="1">
        <v>536425.0</v>
      </c>
      <c r="B727" s="1" t="str">
        <f t="shared" si="1"/>
        <v>536425</v>
      </c>
      <c r="C727" s="1" t="str">
        <f t="shared" si="2"/>
        <v>Sale</v>
      </c>
      <c r="D727" s="1">
        <v>22829.0</v>
      </c>
      <c r="E727" s="1" t="str">
        <f>IFERROR(__xludf.DUMMYFUNCTION("IF(LEN(D727)&gt;4, IFERROR(REGEXEXTRACT(TO_TEXT(D727),""\d+""),""""),"""")"),"22829")</f>
        <v>22829</v>
      </c>
      <c r="F727" s="6" t="str">
        <f t="shared" si="3"/>
        <v>Product</v>
      </c>
      <c r="G727" s="1" t="s">
        <v>526</v>
      </c>
      <c r="H727" s="6" t="str">
        <f>IFERROR(__xludf.DUMMYFUNCTION("IF(REGEXMATCH(LOWER(G727), ""^(\?)+\s*(missing)?\s*(\?)*$""), """", PROPER(SUBSTITUTE(SUBSTITUTE(G727, ""?"", """"), ""*"", """")))"),"Sweetheart Wire Wall Tidy")</f>
        <v>Sweetheart Wire Wall Tidy</v>
      </c>
      <c r="I727" s="3">
        <v>2.0</v>
      </c>
      <c r="J727" s="7">
        <v>40513.50555555556</v>
      </c>
      <c r="K727" s="8" t="str">
        <f t="shared" si="4"/>
        <v>2010-12</v>
      </c>
      <c r="L727" s="5">
        <v>9.95</v>
      </c>
      <c r="M727" s="3">
        <v>13758.0</v>
      </c>
      <c r="N727" s="1" t="str">
        <f t="shared" si="5"/>
        <v>Registered</v>
      </c>
      <c r="O727" s="1" t="s">
        <v>19</v>
      </c>
      <c r="P727" s="9" t="str">
        <f t="shared" si="6"/>
        <v>UK</v>
      </c>
      <c r="Q727" s="8">
        <f t="shared" si="7"/>
        <v>19.9</v>
      </c>
    </row>
    <row r="728">
      <c r="A728" s="1">
        <v>536425.0</v>
      </c>
      <c r="B728" s="1" t="str">
        <f t="shared" si="1"/>
        <v>536425</v>
      </c>
      <c r="C728" s="1" t="str">
        <f t="shared" si="2"/>
        <v>Sale</v>
      </c>
      <c r="D728" s="1">
        <v>22961.0</v>
      </c>
      <c r="E728" s="1" t="str">
        <f>IFERROR(__xludf.DUMMYFUNCTION("IF(LEN(D728)&gt;4, IFERROR(REGEXEXTRACT(TO_TEXT(D728),""\d+""),""""),"""")"),"22961")</f>
        <v>22961</v>
      </c>
      <c r="F728" s="6" t="str">
        <f t="shared" si="3"/>
        <v>Product</v>
      </c>
      <c r="G728" s="1" t="s">
        <v>109</v>
      </c>
      <c r="H728" s="6" t="str">
        <f>IFERROR(__xludf.DUMMYFUNCTION("IF(REGEXMATCH(LOWER(G728), ""^(\?)+\s*(missing)?\s*(\?)*$""), """", PROPER(SUBSTITUTE(SUBSTITUTE(G728, ""?"", """"), ""*"", """")))"),"Jam Making Set Printed")</f>
        <v>Jam Making Set Printed</v>
      </c>
      <c r="I728" s="3">
        <v>12.0</v>
      </c>
      <c r="J728" s="7">
        <v>40513.50555555556</v>
      </c>
      <c r="K728" s="8" t="str">
        <f t="shared" si="4"/>
        <v>2010-12</v>
      </c>
      <c r="L728" s="5">
        <v>1.45</v>
      </c>
      <c r="M728" s="3">
        <v>13758.0</v>
      </c>
      <c r="N728" s="1" t="str">
        <f t="shared" si="5"/>
        <v>Registered</v>
      </c>
      <c r="O728" s="1" t="s">
        <v>19</v>
      </c>
      <c r="P728" s="9" t="str">
        <f t="shared" si="6"/>
        <v>UK</v>
      </c>
      <c r="Q728" s="8">
        <f t="shared" si="7"/>
        <v>17.4</v>
      </c>
    </row>
    <row r="729">
      <c r="A729" s="1">
        <v>536437.0</v>
      </c>
      <c r="B729" s="1" t="str">
        <f t="shared" si="1"/>
        <v>536437</v>
      </c>
      <c r="C729" s="1" t="str">
        <f t="shared" si="2"/>
        <v>Sale</v>
      </c>
      <c r="D729" s="1">
        <v>21154.0</v>
      </c>
      <c r="E729" s="1" t="str">
        <f>IFERROR(__xludf.DUMMYFUNCTION("IF(LEN(D729)&gt;4, IFERROR(REGEXEXTRACT(TO_TEXT(D729),""\d+""),""""),"""")"),"21154")</f>
        <v>21154</v>
      </c>
      <c r="F729" s="6" t="str">
        <f t="shared" si="3"/>
        <v>Product</v>
      </c>
      <c r="G729" s="1" t="s">
        <v>527</v>
      </c>
      <c r="H729" s="6" t="str">
        <f>IFERROR(__xludf.DUMMYFUNCTION("IF(REGEXMATCH(LOWER(G729), ""^(\?)+\s*(missing)?\s*(\?)*$""), """", PROPER(SUBSTITUTE(SUBSTITUTE(G729, ""?"", """"), ""*"", """")))"),"Red Retrospot Oven Glove")</f>
        <v>Red Retrospot Oven Glove</v>
      </c>
      <c r="I729" s="3">
        <v>200.0</v>
      </c>
      <c r="J729" s="7">
        <v>40513.50833333333</v>
      </c>
      <c r="K729" s="8" t="str">
        <f t="shared" si="4"/>
        <v>2010-12</v>
      </c>
      <c r="L729" s="5">
        <v>1.06</v>
      </c>
      <c r="M729" s="3">
        <v>13694.0</v>
      </c>
      <c r="N729" s="1" t="str">
        <f t="shared" si="5"/>
        <v>Registered</v>
      </c>
      <c r="O729" s="1" t="s">
        <v>19</v>
      </c>
      <c r="P729" s="9" t="str">
        <f t="shared" si="6"/>
        <v>UK</v>
      </c>
      <c r="Q729" s="8">
        <f t="shared" si="7"/>
        <v>212</v>
      </c>
    </row>
    <row r="730">
      <c r="A730" s="1">
        <v>536437.0</v>
      </c>
      <c r="B730" s="1" t="str">
        <f t="shared" si="1"/>
        <v>536437</v>
      </c>
      <c r="C730" s="1" t="str">
        <f t="shared" si="2"/>
        <v>Sale</v>
      </c>
      <c r="D730" s="1">
        <v>22189.0</v>
      </c>
      <c r="E730" s="1" t="str">
        <f>IFERROR(__xludf.DUMMYFUNCTION("IF(LEN(D730)&gt;4, IFERROR(REGEXEXTRACT(TO_TEXT(D730),""\d+""),""""),"""")"),"22189")</f>
        <v>22189</v>
      </c>
      <c r="F730" s="6" t="str">
        <f t="shared" si="3"/>
        <v>Product</v>
      </c>
      <c r="G730" s="1" t="s">
        <v>171</v>
      </c>
      <c r="H730" s="6" t="str">
        <f>IFERROR(__xludf.DUMMYFUNCTION("IF(REGEXMATCH(LOWER(G730), ""^(\?)+\s*(missing)?\s*(\?)*$""), """", PROPER(SUBSTITUTE(SUBSTITUTE(G730, ""?"", """"), ""*"", """")))"),"Cream Heart Card Holder")</f>
        <v>Cream Heart Card Holder</v>
      </c>
      <c r="I730" s="3">
        <v>72.0</v>
      </c>
      <c r="J730" s="7">
        <v>40513.50833333333</v>
      </c>
      <c r="K730" s="8" t="str">
        <f t="shared" si="4"/>
        <v>2010-12</v>
      </c>
      <c r="L730" s="5">
        <v>3.39</v>
      </c>
      <c r="M730" s="3">
        <v>13694.0</v>
      </c>
      <c r="N730" s="1" t="str">
        <f t="shared" si="5"/>
        <v>Registered</v>
      </c>
      <c r="O730" s="1" t="s">
        <v>19</v>
      </c>
      <c r="P730" s="9" t="str">
        <f t="shared" si="6"/>
        <v>UK</v>
      </c>
      <c r="Q730" s="8">
        <f t="shared" si="7"/>
        <v>244.08</v>
      </c>
    </row>
    <row r="731">
      <c r="A731" s="1">
        <v>536437.0</v>
      </c>
      <c r="B731" s="1" t="str">
        <f t="shared" si="1"/>
        <v>536437</v>
      </c>
      <c r="C731" s="1" t="str">
        <f t="shared" si="2"/>
        <v>Sale</v>
      </c>
      <c r="D731" s="1">
        <v>17021.0</v>
      </c>
      <c r="E731" s="1" t="str">
        <f>IFERROR(__xludf.DUMMYFUNCTION("IF(LEN(D731)&gt;4, IFERROR(REGEXEXTRACT(TO_TEXT(D731),""\d+""),""""),"""")"),"17021")</f>
        <v>17021</v>
      </c>
      <c r="F731" s="6" t="str">
        <f t="shared" si="3"/>
        <v>Product</v>
      </c>
      <c r="G731" s="1" t="s">
        <v>528</v>
      </c>
      <c r="H731" s="6" t="str">
        <f>IFERROR(__xludf.DUMMYFUNCTION("IF(REGEXMATCH(LOWER(G731), ""^(\?)+\s*(missing)?\s*(\?)*$""), """", PROPER(SUBSTITUTE(SUBSTITUTE(G731, ""?"", """"), ""*"", """")))"),"Namaste Swagat Incense")</f>
        <v>Namaste Swagat Incense</v>
      </c>
      <c r="I731" s="3">
        <v>600.0</v>
      </c>
      <c r="J731" s="7">
        <v>40513.50833333333</v>
      </c>
      <c r="K731" s="8" t="str">
        <f t="shared" si="4"/>
        <v>2010-12</v>
      </c>
      <c r="L731" s="5">
        <v>0.24</v>
      </c>
      <c r="M731" s="3">
        <v>13694.0</v>
      </c>
      <c r="N731" s="1" t="str">
        <f t="shared" si="5"/>
        <v>Registered</v>
      </c>
      <c r="O731" s="1" t="s">
        <v>19</v>
      </c>
      <c r="P731" s="9" t="str">
        <f t="shared" si="6"/>
        <v>UK</v>
      </c>
      <c r="Q731" s="8">
        <f t="shared" si="7"/>
        <v>144</v>
      </c>
    </row>
    <row r="732">
      <c r="A732" s="1">
        <v>536437.0</v>
      </c>
      <c r="B732" s="1" t="str">
        <f t="shared" si="1"/>
        <v>536437</v>
      </c>
      <c r="C732" s="1" t="str">
        <f t="shared" si="2"/>
        <v>Sale</v>
      </c>
      <c r="D732" s="1">
        <v>22059.0</v>
      </c>
      <c r="E732" s="1" t="str">
        <f>IFERROR(__xludf.DUMMYFUNCTION("IF(LEN(D732)&gt;4, IFERROR(REGEXEXTRACT(TO_TEXT(D732),""\d+""),""""),"""")"),"22059")</f>
        <v>22059</v>
      </c>
      <c r="F732" s="6" t="str">
        <f t="shared" si="3"/>
        <v>Product</v>
      </c>
      <c r="G732" s="1" t="s">
        <v>529</v>
      </c>
      <c r="H732" s="6" t="str">
        <f>IFERROR(__xludf.DUMMYFUNCTION("IF(REGEXMATCH(LOWER(G732), ""^(\?)+\s*(missing)?\s*(\?)*$""), """", PROPER(SUBSTITUTE(SUBSTITUTE(G732, ""?"", """"), ""*"", """")))"),"Ceramic Strawberry Design Mug")</f>
        <v>Ceramic Strawberry Design Mug</v>
      </c>
      <c r="I732" s="3">
        <v>48.0</v>
      </c>
      <c r="J732" s="7">
        <v>40513.50833333333</v>
      </c>
      <c r="K732" s="8" t="str">
        <f t="shared" si="4"/>
        <v>2010-12</v>
      </c>
      <c r="L732" s="5">
        <v>1.25</v>
      </c>
      <c r="M732" s="3">
        <v>13694.0</v>
      </c>
      <c r="N732" s="1" t="str">
        <f t="shared" si="5"/>
        <v>Registered</v>
      </c>
      <c r="O732" s="1" t="s">
        <v>19</v>
      </c>
      <c r="P732" s="9" t="str">
        <f t="shared" si="6"/>
        <v>UK</v>
      </c>
      <c r="Q732" s="8">
        <f t="shared" si="7"/>
        <v>60</v>
      </c>
    </row>
    <row r="733">
      <c r="A733" s="1">
        <v>536437.0</v>
      </c>
      <c r="B733" s="1" t="str">
        <f t="shared" si="1"/>
        <v>536437</v>
      </c>
      <c r="C733" s="1" t="str">
        <f t="shared" si="2"/>
        <v>Sale</v>
      </c>
      <c r="D733" s="1">
        <v>22188.0</v>
      </c>
      <c r="E733" s="1" t="str">
        <f>IFERROR(__xludf.DUMMYFUNCTION("IF(LEN(D733)&gt;4, IFERROR(REGEXEXTRACT(TO_TEXT(D733),""\d+""),""""),"""")"),"22188")</f>
        <v>22188</v>
      </c>
      <c r="F733" s="6" t="str">
        <f t="shared" si="3"/>
        <v>Product</v>
      </c>
      <c r="G733" s="1" t="s">
        <v>253</v>
      </c>
      <c r="H733" s="6" t="str">
        <f>IFERROR(__xludf.DUMMYFUNCTION("IF(REGEXMATCH(LOWER(G733), ""^(\?)+\s*(missing)?\s*(\?)*$""), """", PROPER(SUBSTITUTE(SUBSTITUTE(G733, ""?"", """"), ""*"", """")))"),"Black Heart Card Holder")</f>
        <v>Black Heart Card Holder</v>
      </c>
      <c r="I733" s="3">
        <v>36.0</v>
      </c>
      <c r="J733" s="7">
        <v>40513.50833333333</v>
      </c>
      <c r="K733" s="8" t="str">
        <f t="shared" si="4"/>
        <v>2010-12</v>
      </c>
      <c r="L733" s="5">
        <v>3.39</v>
      </c>
      <c r="M733" s="3">
        <v>13694.0</v>
      </c>
      <c r="N733" s="1" t="str">
        <f t="shared" si="5"/>
        <v>Registered</v>
      </c>
      <c r="O733" s="1" t="s">
        <v>19</v>
      </c>
      <c r="P733" s="9" t="str">
        <f t="shared" si="6"/>
        <v>UK</v>
      </c>
      <c r="Q733" s="8">
        <f t="shared" si="7"/>
        <v>122.04</v>
      </c>
    </row>
    <row r="734">
      <c r="A734" s="1">
        <v>536437.0</v>
      </c>
      <c r="B734" s="1" t="str">
        <f t="shared" si="1"/>
        <v>536437</v>
      </c>
      <c r="C734" s="1" t="str">
        <f t="shared" si="2"/>
        <v>Sale</v>
      </c>
      <c r="D734" s="1">
        <v>84678.0</v>
      </c>
      <c r="E734" s="1" t="str">
        <f>IFERROR(__xludf.DUMMYFUNCTION("IF(LEN(D734)&gt;4, IFERROR(REGEXEXTRACT(TO_TEXT(D734),""\d+""),""""),"""")"),"84678")</f>
        <v>84678</v>
      </c>
      <c r="F734" s="6" t="str">
        <f t="shared" si="3"/>
        <v>Product</v>
      </c>
      <c r="G734" s="1" t="s">
        <v>530</v>
      </c>
      <c r="H734" s="6" t="str">
        <f>IFERROR(__xludf.DUMMYFUNCTION("IF(REGEXMATCH(LOWER(G734), ""^(\?)+\s*(missing)?\s*(\?)*$""), """", PROPER(SUBSTITUTE(SUBSTITUTE(G734, ""?"", """"), ""*"", """")))"),"Classical Rose Small Vase")</f>
        <v>Classical Rose Small Vase</v>
      </c>
      <c r="I734" s="3">
        <v>48.0</v>
      </c>
      <c r="J734" s="7">
        <v>40513.50833333333</v>
      </c>
      <c r="K734" s="8" t="str">
        <f t="shared" si="4"/>
        <v>2010-12</v>
      </c>
      <c r="L734" s="5">
        <v>1.25</v>
      </c>
      <c r="M734" s="3">
        <v>13694.0</v>
      </c>
      <c r="N734" s="1" t="str">
        <f t="shared" si="5"/>
        <v>Registered</v>
      </c>
      <c r="O734" s="1" t="s">
        <v>19</v>
      </c>
      <c r="P734" s="9" t="str">
        <f t="shared" si="6"/>
        <v>UK</v>
      </c>
      <c r="Q734" s="8">
        <f t="shared" si="7"/>
        <v>60</v>
      </c>
    </row>
    <row r="735">
      <c r="A735" s="1">
        <v>536446.0</v>
      </c>
      <c r="B735" s="1" t="str">
        <f t="shared" si="1"/>
        <v>536446</v>
      </c>
      <c r="C735" s="1" t="str">
        <f t="shared" si="2"/>
        <v>Sale</v>
      </c>
      <c r="D735" s="1">
        <v>85172.0</v>
      </c>
      <c r="E735" s="1" t="str">
        <f>IFERROR(__xludf.DUMMYFUNCTION("IF(LEN(D735)&gt;4, IFERROR(REGEXEXTRACT(TO_TEXT(D735),""\d+""),""""),"""")"),"85172")</f>
        <v>85172</v>
      </c>
      <c r="F735" s="6" t="str">
        <f t="shared" si="3"/>
        <v>Product</v>
      </c>
      <c r="G735" s="1" t="s">
        <v>531</v>
      </c>
      <c r="H735" s="6" t="str">
        <f>IFERROR(__xludf.DUMMYFUNCTION("IF(REGEXMATCH(LOWER(G735), ""^(\?)+\s*(missing)?\s*(\?)*$""), """", PROPER(SUBSTITUTE(SUBSTITUTE(G735, ""?"", """"), ""*"", """")))"),"Hyacinth Bulb T-Light Candles")</f>
        <v>Hyacinth Bulb T-Light Candles</v>
      </c>
      <c r="I735" s="3">
        <v>32.0</v>
      </c>
      <c r="J735" s="7">
        <v>40513.510416666664</v>
      </c>
      <c r="K735" s="8" t="str">
        <f t="shared" si="4"/>
        <v>2010-12</v>
      </c>
      <c r="L735" s="5">
        <v>0.42</v>
      </c>
      <c r="M735" s="3">
        <v>15983.0</v>
      </c>
      <c r="N735" s="1" t="str">
        <f t="shared" si="5"/>
        <v>Registered</v>
      </c>
      <c r="O735" s="1" t="s">
        <v>19</v>
      </c>
      <c r="P735" s="9" t="str">
        <f t="shared" si="6"/>
        <v>UK</v>
      </c>
      <c r="Q735" s="8">
        <f t="shared" si="7"/>
        <v>13.44</v>
      </c>
    </row>
    <row r="736">
      <c r="A736" s="1">
        <v>536446.0</v>
      </c>
      <c r="B736" s="1" t="str">
        <f t="shared" si="1"/>
        <v>536446</v>
      </c>
      <c r="C736" s="1" t="str">
        <f t="shared" si="2"/>
        <v>Sale</v>
      </c>
      <c r="D736" s="1">
        <v>22142.0</v>
      </c>
      <c r="E736" s="1" t="str">
        <f>IFERROR(__xludf.DUMMYFUNCTION("IF(LEN(D736)&gt;4, IFERROR(REGEXEXTRACT(TO_TEXT(D736),""\d+""),""""),"""")"),"22142")</f>
        <v>22142</v>
      </c>
      <c r="F736" s="6" t="str">
        <f t="shared" si="3"/>
        <v>Product</v>
      </c>
      <c r="G736" s="1" t="s">
        <v>532</v>
      </c>
      <c r="H736" s="6" t="str">
        <f>IFERROR(__xludf.DUMMYFUNCTION("IF(REGEXMATCH(LOWER(G736), ""^(\?)+\s*(missing)?\s*(\?)*$""), """", PROPER(SUBSTITUTE(SUBSTITUTE(G736, ""?"", """"), ""*"", """")))"),"Christmas Craft White Fairy")</f>
        <v>Christmas Craft White Fairy</v>
      </c>
      <c r="I736" s="3">
        <v>2.0</v>
      </c>
      <c r="J736" s="7">
        <v>40513.510416666664</v>
      </c>
      <c r="K736" s="8" t="str">
        <f t="shared" si="4"/>
        <v>2010-12</v>
      </c>
      <c r="L736" s="5">
        <v>1.45</v>
      </c>
      <c r="M736" s="3">
        <v>15983.0</v>
      </c>
      <c r="N736" s="1" t="str">
        <f t="shared" si="5"/>
        <v>Registered</v>
      </c>
      <c r="O736" s="1" t="s">
        <v>19</v>
      </c>
      <c r="P736" s="9" t="str">
        <f t="shared" si="6"/>
        <v>UK</v>
      </c>
      <c r="Q736" s="8">
        <f t="shared" si="7"/>
        <v>2.9</v>
      </c>
    </row>
    <row r="737">
      <c r="A737" s="1">
        <v>536446.0</v>
      </c>
      <c r="B737" s="1" t="str">
        <f t="shared" si="1"/>
        <v>536446</v>
      </c>
      <c r="C737" s="1" t="str">
        <f t="shared" si="2"/>
        <v>Sale</v>
      </c>
      <c r="D737" s="1">
        <v>22144.0</v>
      </c>
      <c r="E737" s="1" t="str">
        <f>IFERROR(__xludf.DUMMYFUNCTION("IF(LEN(D737)&gt;4, IFERROR(REGEXEXTRACT(TO_TEXT(D737),""\d+""),""""),"""")"),"22144")</f>
        <v>22144</v>
      </c>
      <c r="F737" s="6" t="str">
        <f t="shared" si="3"/>
        <v>Product</v>
      </c>
      <c r="G737" s="1" t="s">
        <v>447</v>
      </c>
      <c r="H737" s="6" t="str">
        <f>IFERROR(__xludf.DUMMYFUNCTION("IF(REGEXMATCH(LOWER(G737), ""^(\?)+\s*(missing)?\s*(\?)*$""), """", PROPER(SUBSTITUTE(SUBSTITUTE(G737, ""?"", """"), ""*"", """")))"),"Christmas Craft Little Friends")</f>
        <v>Christmas Craft Little Friends</v>
      </c>
      <c r="I737" s="3">
        <v>2.0</v>
      </c>
      <c r="J737" s="7">
        <v>40513.510416666664</v>
      </c>
      <c r="K737" s="8" t="str">
        <f t="shared" si="4"/>
        <v>2010-12</v>
      </c>
      <c r="L737" s="5">
        <v>2.1</v>
      </c>
      <c r="M737" s="3">
        <v>15983.0</v>
      </c>
      <c r="N737" s="1" t="str">
        <f t="shared" si="5"/>
        <v>Registered</v>
      </c>
      <c r="O737" s="1" t="s">
        <v>19</v>
      </c>
      <c r="P737" s="9" t="str">
        <f t="shared" si="6"/>
        <v>UK</v>
      </c>
      <c r="Q737" s="8">
        <f t="shared" si="7"/>
        <v>4.2</v>
      </c>
    </row>
    <row r="738">
      <c r="A738" s="1">
        <v>536446.0</v>
      </c>
      <c r="B738" s="1" t="str">
        <f t="shared" si="1"/>
        <v>536446</v>
      </c>
      <c r="C738" s="1" t="str">
        <f t="shared" si="2"/>
        <v>Sale</v>
      </c>
      <c r="D738" s="1">
        <v>21591.0</v>
      </c>
      <c r="E738" s="1" t="str">
        <f>IFERROR(__xludf.DUMMYFUNCTION("IF(LEN(D738)&gt;4, IFERROR(REGEXEXTRACT(TO_TEXT(D738),""\d+""),""""),"""")"),"21591")</f>
        <v>21591</v>
      </c>
      <c r="F738" s="6" t="str">
        <f t="shared" si="3"/>
        <v>Product</v>
      </c>
      <c r="G738" s="1" t="s">
        <v>533</v>
      </c>
      <c r="H738" s="6" t="str">
        <f>IFERROR(__xludf.DUMMYFUNCTION("IF(REGEXMATCH(LOWER(G738), ""^(\?)+\s*(missing)?\s*(\?)*$""), """", PROPER(SUBSTITUTE(SUBSTITUTE(G738, ""?"", """"), ""*"", """")))"),"Cosy Hour Cigar Box Matches")</f>
        <v>Cosy Hour Cigar Box Matches</v>
      </c>
      <c r="I738" s="3">
        <v>6.0</v>
      </c>
      <c r="J738" s="7">
        <v>40513.510416666664</v>
      </c>
      <c r="K738" s="8" t="str">
        <f t="shared" si="4"/>
        <v>2010-12</v>
      </c>
      <c r="L738" s="5">
        <v>1.25</v>
      </c>
      <c r="M738" s="3">
        <v>15983.0</v>
      </c>
      <c r="N738" s="1" t="str">
        <f t="shared" si="5"/>
        <v>Registered</v>
      </c>
      <c r="O738" s="1" t="s">
        <v>19</v>
      </c>
      <c r="P738" s="9" t="str">
        <f t="shared" si="6"/>
        <v>UK</v>
      </c>
      <c r="Q738" s="8">
        <f t="shared" si="7"/>
        <v>7.5</v>
      </c>
    </row>
    <row r="739">
      <c r="A739" s="1">
        <v>536446.0</v>
      </c>
      <c r="B739" s="1" t="str">
        <f t="shared" si="1"/>
        <v>536446</v>
      </c>
      <c r="C739" s="1" t="str">
        <f t="shared" si="2"/>
        <v>Sale</v>
      </c>
      <c r="D739" s="1">
        <v>22480.0</v>
      </c>
      <c r="E739" s="1" t="str">
        <f>IFERROR(__xludf.DUMMYFUNCTION("IF(LEN(D739)&gt;4, IFERROR(REGEXEXTRACT(TO_TEXT(D739),""\d+""),""""),"""")"),"22480")</f>
        <v>22480</v>
      </c>
      <c r="F739" s="6" t="str">
        <f t="shared" si="3"/>
        <v>Product</v>
      </c>
      <c r="G739" s="1" t="s">
        <v>534</v>
      </c>
      <c r="H739" s="6" t="str">
        <f>IFERROR(__xludf.DUMMYFUNCTION("IF(REGEXMATCH(LOWER(G739), ""^(\?)+\s*(missing)?\s*(\?)*$""), """", PROPER(SUBSTITUTE(SUBSTITUTE(G739, ""?"", """"), ""*"", """")))"),"Red Tea Towel Classic Design")</f>
        <v>Red Tea Towel Classic Design</v>
      </c>
      <c r="I739" s="3">
        <v>12.0</v>
      </c>
      <c r="J739" s="7">
        <v>40513.510416666664</v>
      </c>
      <c r="K739" s="8" t="str">
        <f t="shared" si="4"/>
        <v>2010-12</v>
      </c>
      <c r="L739" s="5">
        <v>1.25</v>
      </c>
      <c r="M739" s="3">
        <v>15983.0</v>
      </c>
      <c r="N739" s="1" t="str">
        <f t="shared" si="5"/>
        <v>Registered</v>
      </c>
      <c r="O739" s="1" t="s">
        <v>19</v>
      </c>
      <c r="P739" s="9" t="str">
        <f t="shared" si="6"/>
        <v>UK</v>
      </c>
      <c r="Q739" s="8">
        <f t="shared" si="7"/>
        <v>15</v>
      </c>
    </row>
    <row r="740">
      <c r="A740" s="1">
        <v>536446.0</v>
      </c>
      <c r="B740" s="1" t="str">
        <f t="shared" si="1"/>
        <v>536446</v>
      </c>
      <c r="C740" s="1" t="str">
        <f t="shared" si="2"/>
        <v>Sale</v>
      </c>
      <c r="D740" s="1">
        <v>22294.0</v>
      </c>
      <c r="E740" s="1" t="str">
        <f>IFERROR(__xludf.DUMMYFUNCTION("IF(LEN(D740)&gt;4, IFERROR(REGEXEXTRACT(TO_TEXT(D740),""\d+""),""""),"""")"),"22294")</f>
        <v>22294</v>
      </c>
      <c r="F740" s="6" t="str">
        <f t="shared" si="3"/>
        <v>Product</v>
      </c>
      <c r="G740" s="1" t="s">
        <v>535</v>
      </c>
      <c r="H740" s="6" t="str">
        <f>IFERROR(__xludf.DUMMYFUNCTION("IF(REGEXMATCH(LOWER(G740), ""^(\?)+\s*(missing)?\s*(\?)*$""), """", PROPER(SUBSTITUTE(SUBSTITUTE(G740, ""?"", """"), ""*"", """")))"),"Heart Filigree Dove Small")</f>
        <v>Heart Filigree Dove Small</v>
      </c>
      <c r="I740" s="3">
        <v>48.0</v>
      </c>
      <c r="J740" s="7">
        <v>40513.510416666664</v>
      </c>
      <c r="K740" s="8" t="str">
        <f t="shared" si="4"/>
        <v>2010-12</v>
      </c>
      <c r="L740" s="5">
        <v>1.25</v>
      </c>
      <c r="M740" s="3">
        <v>15983.0</v>
      </c>
      <c r="N740" s="1" t="str">
        <f t="shared" si="5"/>
        <v>Registered</v>
      </c>
      <c r="O740" s="1" t="s">
        <v>19</v>
      </c>
      <c r="P740" s="9" t="str">
        <f t="shared" si="6"/>
        <v>UK</v>
      </c>
      <c r="Q740" s="8">
        <f t="shared" si="7"/>
        <v>60</v>
      </c>
    </row>
    <row r="741">
      <c r="A741" s="1">
        <v>536446.0</v>
      </c>
      <c r="B741" s="1" t="str">
        <f t="shared" si="1"/>
        <v>536446</v>
      </c>
      <c r="C741" s="1" t="str">
        <f t="shared" si="2"/>
        <v>Sale</v>
      </c>
      <c r="D741" s="1">
        <v>21156.0</v>
      </c>
      <c r="E741" s="1" t="str">
        <f>IFERROR(__xludf.DUMMYFUNCTION("IF(LEN(D741)&gt;4, IFERROR(REGEXEXTRACT(TO_TEXT(D741),""\d+""),""""),"""")"),"21156")</f>
        <v>21156</v>
      </c>
      <c r="F741" s="6" t="str">
        <f t="shared" si="3"/>
        <v>Product</v>
      </c>
      <c r="G741" s="1" t="s">
        <v>536</v>
      </c>
      <c r="H741" s="6" t="str">
        <f>IFERROR(__xludf.DUMMYFUNCTION("IF(REGEXMATCH(LOWER(G741), ""^(\?)+\s*(missing)?\s*(\?)*$""), """", PROPER(SUBSTITUTE(SUBSTITUTE(G741, ""?"", """"), ""*"", """")))"),"Retrospot Childrens Apron")</f>
        <v>Retrospot Childrens Apron</v>
      </c>
      <c r="I741" s="3">
        <v>1.0</v>
      </c>
      <c r="J741" s="7">
        <v>40513.510416666664</v>
      </c>
      <c r="K741" s="8" t="str">
        <f t="shared" si="4"/>
        <v>2010-12</v>
      </c>
      <c r="L741" s="5">
        <v>1.95</v>
      </c>
      <c r="M741" s="3">
        <v>15983.0</v>
      </c>
      <c r="N741" s="1" t="str">
        <f t="shared" si="5"/>
        <v>Registered</v>
      </c>
      <c r="O741" s="1" t="s">
        <v>19</v>
      </c>
      <c r="P741" s="9" t="str">
        <f t="shared" si="6"/>
        <v>UK</v>
      </c>
      <c r="Q741" s="8">
        <f t="shared" si="7"/>
        <v>1.95</v>
      </c>
    </row>
    <row r="742">
      <c r="A742" s="1">
        <v>536446.0</v>
      </c>
      <c r="B742" s="1" t="str">
        <f t="shared" si="1"/>
        <v>536446</v>
      </c>
      <c r="C742" s="1" t="str">
        <f t="shared" si="2"/>
        <v>Sale</v>
      </c>
      <c r="D742" s="1">
        <v>10133.0</v>
      </c>
      <c r="E742" s="1" t="str">
        <f>IFERROR(__xludf.DUMMYFUNCTION("IF(LEN(D742)&gt;4, IFERROR(REGEXEXTRACT(TO_TEXT(D742),""\d+""),""""),"""")"),"10133")</f>
        <v>10133</v>
      </c>
      <c r="F742" s="6" t="str">
        <f t="shared" si="3"/>
        <v>Product</v>
      </c>
      <c r="G742" s="1" t="s">
        <v>537</v>
      </c>
      <c r="H742" s="6" t="str">
        <f>IFERROR(__xludf.DUMMYFUNCTION("IF(REGEXMATCH(LOWER(G742), ""^(\?)+\s*(missing)?\s*(\?)*$""), """", PROPER(SUBSTITUTE(SUBSTITUTE(G742, ""?"", """"), ""*"", """")))"),"Colouring Pencils Brown Tube")</f>
        <v>Colouring Pencils Brown Tube</v>
      </c>
      <c r="I742" s="3">
        <v>5.0</v>
      </c>
      <c r="J742" s="7">
        <v>40513.510416666664</v>
      </c>
      <c r="K742" s="8" t="str">
        <f t="shared" si="4"/>
        <v>2010-12</v>
      </c>
      <c r="L742" s="5">
        <v>0.85</v>
      </c>
      <c r="M742" s="3">
        <v>15983.0</v>
      </c>
      <c r="N742" s="1" t="str">
        <f t="shared" si="5"/>
        <v>Registered</v>
      </c>
      <c r="O742" s="1" t="s">
        <v>19</v>
      </c>
      <c r="P742" s="9" t="str">
        <f t="shared" si="6"/>
        <v>UK</v>
      </c>
      <c r="Q742" s="8">
        <f t="shared" si="7"/>
        <v>4.25</v>
      </c>
    </row>
    <row r="743">
      <c r="A743" s="1">
        <v>536446.0</v>
      </c>
      <c r="B743" s="1" t="str">
        <f t="shared" si="1"/>
        <v>536446</v>
      </c>
      <c r="C743" s="1" t="str">
        <f t="shared" si="2"/>
        <v>Sale</v>
      </c>
      <c r="D743" s="1" t="s">
        <v>538</v>
      </c>
      <c r="E743" s="1" t="str">
        <f>IFERROR(__xludf.DUMMYFUNCTION("IF(LEN(D743)&gt;4, IFERROR(REGEXEXTRACT(TO_TEXT(D743),""\d+""),""""),"""")"),"72800")</f>
        <v>72800</v>
      </c>
      <c r="F743" s="6" t="str">
        <f t="shared" si="3"/>
        <v>Product</v>
      </c>
      <c r="G743" s="1" t="s">
        <v>539</v>
      </c>
      <c r="H743" s="6" t="str">
        <f>IFERROR(__xludf.DUMMYFUNCTION("IF(REGEXMATCH(LOWER(G743), ""^(\?)+\s*(missing)?\s*(\?)*$""), """", PROPER(SUBSTITUTE(SUBSTITUTE(G743, ""?"", """"), ""*"", """")))"),"4 Ivory Dinner Candles Silver Flock")</f>
        <v>4 Ivory Dinner Candles Silver Flock</v>
      </c>
      <c r="I743" s="3">
        <v>6.0</v>
      </c>
      <c r="J743" s="7">
        <v>40513.510416666664</v>
      </c>
      <c r="K743" s="8" t="str">
        <f t="shared" si="4"/>
        <v>2010-12</v>
      </c>
      <c r="L743" s="5">
        <v>2.55</v>
      </c>
      <c r="M743" s="3">
        <v>15983.0</v>
      </c>
      <c r="N743" s="1" t="str">
        <f t="shared" si="5"/>
        <v>Registered</v>
      </c>
      <c r="O743" s="1" t="s">
        <v>19</v>
      </c>
      <c r="P743" s="9" t="str">
        <f t="shared" si="6"/>
        <v>UK</v>
      </c>
      <c r="Q743" s="8">
        <f t="shared" si="7"/>
        <v>15.3</v>
      </c>
    </row>
    <row r="744">
      <c r="A744" s="1">
        <v>536446.0</v>
      </c>
      <c r="B744" s="1" t="str">
        <f t="shared" si="1"/>
        <v>536446</v>
      </c>
      <c r="C744" s="1" t="str">
        <f t="shared" si="2"/>
        <v>Sale</v>
      </c>
      <c r="D744" s="1">
        <v>22294.0</v>
      </c>
      <c r="E744" s="1" t="str">
        <f>IFERROR(__xludf.DUMMYFUNCTION("IF(LEN(D744)&gt;4, IFERROR(REGEXEXTRACT(TO_TEXT(D744),""\d+""),""""),"""")"),"22294")</f>
        <v>22294</v>
      </c>
      <c r="F744" s="6" t="str">
        <f t="shared" si="3"/>
        <v>Product</v>
      </c>
      <c r="G744" s="1" t="s">
        <v>535</v>
      </c>
      <c r="H744" s="6" t="str">
        <f>IFERROR(__xludf.DUMMYFUNCTION("IF(REGEXMATCH(LOWER(G744), ""^(\?)+\s*(missing)?\s*(\?)*$""), """", PROPER(SUBSTITUTE(SUBSTITUTE(G744, ""?"", """"), ""*"", """")))"),"Heart Filigree Dove Small")</f>
        <v>Heart Filigree Dove Small</v>
      </c>
      <c r="I744" s="3">
        <v>24.0</v>
      </c>
      <c r="J744" s="7">
        <v>40513.510416666664</v>
      </c>
      <c r="K744" s="8" t="str">
        <f t="shared" si="4"/>
        <v>2010-12</v>
      </c>
      <c r="L744" s="5">
        <v>1.25</v>
      </c>
      <c r="M744" s="3">
        <v>15983.0</v>
      </c>
      <c r="N744" s="1" t="str">
        <f t="shared" si="5"/>
        <v>Registered</v>
      </c>
      <c r="O744" s="1" t="s">
        <v>19</v>
      </c>
      <c r="P744" s="9" t="str">
        <f t="shared" si="6"/>
        <v>UK</v>
      </c>
      <c r="Q744" s="8">
        <f t="shared" si="7"/>
        <v>30</v>
      </c>
    </row>
    <row r="745">
      <c r="A745" s="1">
        <v>536446.0</v>
      </c>
      <c r="B745" s="1" t="str">
        <f t="shared" si="1"/>
        <v>536446</v>
      </c>
      <c r="C745" s="1" t="str">
        <f t="shared" si="2"/>
        <v>Sale</v>
      </c>
      <c r="D745" s="1">
        <v>84836.0</v>
      </c>
      <c r="E745" s="1" t="str">
        <f>IFERROR(__xludf.DUMMYFUNCTION("IF(LEN(D745)&gt;4, IFERROR(REGEXEXTRACT(TO_TEXT(D745),""\d+""),""""),"""")"),"84836")</f>
        <v>84836</v>
      </c>
      <c r="F745" s="6" t="str">
        <f t="shared" si="3"/>
        <v>Product</v>
      </c>
      <c r="G745" s="1" t="s">
        <v>540</v>
      </c>
      <c r="H745" s="6" t="str">
        <f>IFERROR(__xludf.DUMMYFUNCTION("IF(REGEXMATCH(LOWER(G745), ""^(\?)+\s*(missing)?\s*(\?)*$""), """", PROPER(SUBSTITUTE(SUBSTITUTE(G745, ""?"", """"), ""*"", """")))"),"Zinc Metal Heart Decoration")</f>
        <v>Zinc Metal Heart Decoration</v>
      </c>
      <c r="I745" s="3">
        <v>12.0</v>
      </c>
      <c r="J745" s="7">
        <v>40513.510416666664</v>
      </c>
      <c r="K745" s="8" t="str">
        <f t="shared" si="4"/>
        <v>2010-12</v>
      </c>
      <c r="L745" s="5">
        <v>1.25</v>
      </c>
      <c r="M745" s="3">
        <v>15983.0</v>
      </c>
      <c r="N745" s="1" t="str">
        <f t="shared" si="5"/>
        <v>Registered</v>
      </c>
      <c r="O745" s="1" t="s">
        <v>19</v>
      </c>
      <c r="P745" s="9" t="str">
        <f t="shared" si="6"/>
        <v>UK</v>
      </c>
      <c r="Q745" s="8">
        <f t="shared" si="7"/>
        <v>15</v>
      </c>
    </row>
    <row r="746">
      <c r="A746" s="1">
        <v>536446.0</v>
      </c>
      <c r="B746" s="1" t="str">
        <f t="shared" si="1"/>
        <v>536446</v>
      </c>
      <c r="C746" s="1" t="str">
        <f t="shared" si="2"/>
        <v>Sale</v>
      </c>
      <c r="D746" s="1">
        <v>20774.0</v>
      </c>
      <c r="E746" s="1" t="str">
        <f>IFERROR(__xludf.DUMMYFUNCTION("IF(LEN(D746)&gt;4, IFERROR(REGEXEXTRACT(TO_TEXT(D746),""\d+""),""""),"""")"),"20774")</f>
        <v>20774</v>
      </c>
      <c r="F746" s="6" t="str">
        <f t="shared" si="3"/>
        <v>Product</v>
      </c>
      <c r="G746" s="1" t="s">
        <v>541</v>
      </c>
      <c r="H746" s="6" t="str">
        <f>IFERROR(__xludf.DUMMYFUNCTION("IF(REGEXMATCH(LOWER(G746), ""^(\?)+\s*(missing)?\s*(\?)*$""), """", PROPER(SUBSTITUTE(SUBSTITUTE(G746, ""?"", """"), ""*"", """")))"),"Green Fern Notebook")</f>
        <v>Green Fern Notebook</v>
      </c>
      <c r="I746" s="3">
        <v>2.0</v>
      </c>
      <c r="J746" s="7">
        <v>40513.510416666664</v>
      </c>
      <c r="K746" s="8" t="str">
        <f t="shared" si="4"/>
        <v>2010-12</v>
      </c>
      <c r="L746" s="5">
        <v>1.65</v>
      </c>
      <c r="M746" s="3">
        <v>15983.0</v>
      </c>
      <c r="N746" s="1" t="str">
        <f t="shared" si="5"/>
        <v>Registered</v>
      </c>
      <c r="O746" s="1" t="s">
        <v>19</v>
      </c>
      <c r="P746" s="9" t="str">
        <f t="shared" si="6"/>
        <v>UK</v>
      </c>
      <c r="Q746" s="8">
        <f t="shared" si="7"/>
        <v>3.3</v>
      </c>
    </row>
    <row r="747">
      <c r="A747" s="1">
        <v>536446.0</v>
      </c>
      <c r="B747" s="1" t="str">
        <f t="shared" si="1"/>
        <v>536446</v>
      </c>
      <c r="C747" s="1" t="str">
        <f t="shared" si="2"/>
        <v>Sale</v>
      </c>
      <c r="D747" s="1">
        <v>20773.0</v>
      </c>
      <c r="E747" s="1" t="str">
        <f>IFERROR(__xludf.DUMMYFUNCTION("IF(LEN(D747)&gt;4, IFERROR(REGEXEXTRACT(TO_TEXT(D747),""\d+""),""""),"""")"),"20773")</f>
        <v>20773</v>
      </c>
      <c r="F747" s="6" t="str">
        <f t="shared" si="3"/>
        <v>Product</v>
      </c>
      <c r="G747" s="1" t="s">
        <v>542</v>
      </c>
      <c r="H747" s="6" t="str">
        <f>IFERROR(__xludf.DUMMYFUNCTION("IF(REGEXMATCH(LOWER(G747), ""^(\?)+\s*(missing)?\s*(\?)*$""), """", PROPER(SUBSTITUTE(SUBSTITUTE(G747, ""?"", """"), ""*"", """")))"),"Blue Paisley Notebook")</f>
        <v>Blue Paisley Notebook</v>
      </c>
      <c r="I747" s="3">
        <v>2.0</v>
      </c>
      <c r="J747" s="7">
        <v>40513.510416666664</v>
      </c>
      <c r="K747" s="8" t="str">
        <f t="shared" si="4"/>
        <v>2010-12</v>
      </c>
      <c r="L747" s="5">
        <v>1.65</v>
      </c>
      <c r="M747" s="3">
        <v>15983.0</v>
      </c>
      <c r="N747" s="1" t="str">
        <f t="shared" si="5"/>
        <v>Registered</v>
      </c>
      <c r="O747" s="1" t="s">
        <v>19</v>
      </c>
      <c r="P747" s="9" t="str">
        <f t="shared" si="6"/>
        <v>UK</v>
      </c>
      <c r="Q747" s="8">
        <f t="shared" si="7"/>
        <v>3.3</v>
      </c>
    </row>
    <row r="748">
      <c r="A748" s="1">
        <v>536446.0</v>
      </c>
      <c r="B748" s="1" t="str">
        <f t="shared" si="1"/>
        <v>536446</v>
      </c>
      <c r="C748" s="1" t="str">
        <f t="shared" si="2"/>
        <v>Sale</v>
      </c>
      <c r="D748" s="1">
        <v>20777.0</v>
      </c>
      <c r="E748" s="1" t="str">
        <f>IFERROR(__xludf.DUMMYFUNCTION("IF(LEN(D748)&gt;4, IFERROR(REGEXEXTRACT(TO_TEXT(D748),""\d+""),""""),"""")"),"20777")</f>
        <v>20777</v>
      </c>
      <c r="F748" s="6" t="str">
        <f t="shared" si="3"/>
        <v>Product</v>
      </c>
      <c r="G748" s="1" t="s">
        <v>543</v>
      </c>
      <c r="H748" s="6" t="str">
        <f>IFERROR(__xludf.DUMMYFUNCTION("IF(REGEXMATCH(LOWER(G748), ""^(\?)+\s*(missing)?\s*(\?)*$""), """", PROPER(SUBSTITUTE(SUBSTITUTE(G748, ""?"", """"), ""*"", """")))"),"Chrysanthemum Notebook")</f>
        <v>Chrysanthemum Notebook</v>
      </c>
      <c r="I748" s="3">
        <v>2.0</v>
      </c>
      <c r="J748" s="7">
        <v>40513.510416666664</v>
      </c>
      <c r="K748" s="8" t="str">
        <f t="shared" si="4"/>
        <v>2010-12</v>
      </c>
      <c r="L748" s="5">
        <v>1.65</v>
      </c>
      <c r="M748" s="3">
        <v>15983.0</v>
      </c>
      <c r="N748" s="1" t="str">
        <f t="shared" si="5"/>
        <v>Registered</v>
      </c>
      <c r="O748" s="1" t="s">
        <v>19</v>
      </c>
      <c r="P748" s="9" t="str">
        <f t="shared" si="6"/>
        <v>UK</v>
      </c>
      <c r="Q748" s="8">
        <f t="shared" si="7"/>
        <v>3.3</v>
      </c>
    </row>
    <row r="749">
      <c r="A749" s="1">
        <v>536446.0</v>
      </c>
      <c r="B749" s="1" t="str">
        <f t="shared" si="1"/>
        <v>536446</v>
      </c>
      <c r="C749" s="1" t="str">
        <f t="shared" si="2"/>
        <v>Sale</v>
      </c>
      <c r="D749" s="1">
        <v>16016.0</v>
      </c>
      <c r="E749" s="1" t="str">
        <f>IFERROR(__xludf.DUMMYFUNCTION("IF(LEN(D749)&gt;4, IFERROR(REGEXEXTRACT(TO_TEXT(D749),""\d+""),""""),"""")"),"16016")</f>
        <v>16016</v>
      </c>
      <c r="F749" s="6" t="str">
        <f t="shared" si="3"/>
        <v>Product</v>
      </c>
      <c r="G749" s="1" t="s">
        <v>544</v>
      </c>
      <c r="H749" s="6" t="str">
        <f>IFERROR(__xludf.DUMMYFUNCTION("IF(REGEXMATCH(LOWER(G749), ""^(\?)+\s*(missing)?\s*(\?)*$""), """", PROPER(SUBSTITUTE(SUBSTITUTE(G749, ""?"", """"), ""*"", """")))"),"Large Chinese Style Scissor")</f>
        <v>Large Chinese Style Scissor</v>
      </c>
      <c r="I749" s="3">
        <v>10.0</v>
      </c>
      <c r="J749" s="7">
        <v>40513.510416666664</v>
      </c>
      <c r="K749" s="8" t="str">
        <f t="shared" si="4"/>
        <v>2010-12</v>
      </c>
      <c r="L749" s="5">
        <v>0.85</v>
      </c>
      <c r="M749" s="3">
        <v>15983.0</v>
      </c>
      <c r="N749" s="1" t="str">
        <f t="shared" si="5"/>
        <v>Registered</v>
      </c>
      <c r="O749" s="1" t="s">
        <v>19</v>
      </c>
      <c r="P749" s="9" t="str">
        <f t="shared" si="6"/>
        <v>UK</v>
      </c>
      <c r="Q749" s="8">
        <f t="shared" si="7"/>
        <v>8.5</v>
      </c>
    </row>
    <row r="750">
      <c r="A750" s="1">
        <v>536446.0</v>
      </c>
      <c r="B750" s="1" t="str">
        <f t="shared" si="1"/>
        <v>536446</v>
      </c>
      <c r="C750" s="1" t="str">
        <f t="shared" si="2"/>
        <v>Sale</v>
      </c>
      <c r="D750" s="1">
        <v>16014.0</v>
      </c>
      <c r="E750" s="1" t="str">
        <f>IFERROR(__xludf.DUMMYFUNCTION("IF(LEN(D750)&gt;4, IFERROR(REGEXEXTRACT(TO_TEXT(D750),""\d+""),""""),"""")"),"16014")</f>
        <v>16014</v>
      </c>
      <c r="F750" s="6" t="str">
        <f t="shared" si="3"/>
        <v>Product</v>
      </c>
      <c r="G750" s="1" t="s">
        <v>545</v>
      </c>
      <c r="H750" s="6" t="str">
        <f>IFERROR(__xludf.DUMMYFUNCTION("IF(REGEXMATCH(LOWER(G750), ""^(\?)+\s*(missing)?\s*(\?)*$""), """", PROPER(SUBSTITUTE(SUBSTITUTE(G750, ""?"", """"), ""*"", """")))"),"Small Chinese Style Scissor")</f>
        <v>Small Chinese Style Scissor</v>
      </c>
      <c r="I750" s="3">
        <v>10.0</v>
      </c>
      <c r="J750" s="7">
        <v>40513.510416666664</v>
      </c>
      <c r="K750" s="8" t="str">
        <f t="shared" si="4"/>
        <v>2010-12</v>
      </c>
      <c r="L750" s="5">
        <v>0.42</v>
      </c>
      <c r="M750" s="3">
        <v>15983.0</v>
      </c>
      <c r="N750" s="1" t="str">
        <f t="shared" si="5"/>
        <v>Registered</v>
      </c>
      <c r="O750" s="1" t="s">
        <v>19</v>
      </c>
      <c r="P750" s="9" t="str">
        <f t="shared" si="6"/>
        <v>UK</v>
      </c>
      <c r="Q750" s="8">
        <f t="shared" si="7"/>
        <v>4.2</v>
      </c>
    </row>
    <row r="751">
      <c r="A751" s="1">
        <v>536446.0</v>
      </c>
      <c r="B751" s="1" t="str">
        <f t="shared" si="1"/>
        <v>536446</v>
      </c>
      <c r="C751" s="1" t="str">
        <f t="shared" si="2"/>
        <v>Sale</v>
      </c>
      <c r="D751" s="1">
        <v>21890.0</v>
      </c>
      <c r="E751" s="1" t="str">
        <f>IFERROR(__xludf.DUMMYFUNCTION("IF(LEN(D751)&gt;4, IFERROR(REGEXEXTRACT(TO_TEXT(D751),""\d+""),""""),"""")"),"21890")</f>
        <v>21890</v>
      </c>
      <c r="F751" s="6" t="str">
        <f t="shared" si="3"/>
        <v>Product</v>
      </c>
      <c r="G751" s="1" t="s">
        <v>511</v>
      </c>
      <c r="H751" s="6" t="str">
        <f>IFERROR(__xludf.DUMMYFUNCTION("IF(REGEXMATCH(LOWER(G751), ""^(\?)+\s*(missing)?\s*(\?)*$""), """", PROPER(SUBSTITUTE(SUBSTITUTE(G751, ""?"", """"), ""*"", """")))"),"S/6 Wooden Skittles In Cotton Bag")</f>
        <v>S/6 Wooden Skittles In Cotton Bag</v>
      </c>
      <c r="I751" s="3">
        <v>2.0</v>
      </c>
      <c r="J751" s="7">
        <v>40513.510416666664</v>
      </c>
      <c r="K751" s="8" t="str">
        <f t="shared" si="4"/>
        <v>2010-12</v>
      </c>
      <c r="L751" s="5">
        <v>2.95</v>
      </c>
      <c r="M751" s="3">
        <v>15983.0</v>
      </c>
      <c r="N751" s="1" t="str">
        <f t="shared" si="5"/>
        <v>Registered</v>
      </c>
      <c r="O751" s="1" t="s">
        <v>19</v>
      </c>
      <c r="P751" s="9" t="str">
        <f t="shared" si="6"/>
        <v>UK</v>
      </c>
      <c r="Q751" s="8">
        <f t="shared" si="7"/>
        <v>5.9</v>
      </c>
    </row>
    <row r="752">
      <c r="A752" s="1">
        <v>536446.0</v>
      </c>
      <c r="B752" s="1" t="str">
        <f t="shared" si="1"/>
        <v>536446</v>
      </c>
      <c r="C752" s="1" t="str">
        <f t="shared" si="2"/>
        <v>Sale</v>
      </c>
      <c r="D752" s="1">
        <v>21891.0</v>
      </c>
      <c r="E752" s="1" t="str">
        <f>IFERROR(__xludf.DUMMYFUNCTION("IF(LEN(D752)&gt;4, IFERROR(REGEXEXTRACT(TO_TEXT(D752),""\d+""),""""),"""")"),"21891")</f>
        <v>21891</v>
      </c>
      <c r="F752" s="6" t="str">
        <f t="shared" si="3"/>
        <v>Product</v>
      </c>
      <c r="G752" s="1" t="s">
        <v>237</v>
      </c>
      <c r="H752" s="6" t="str">
        <f>IFERROR(__xludf.DUMMYFUNCTION("IF(REGEXMATCH(LOWER(G752), ""^(\?)+\s*(missing)?\s*(\?)*$""), """", PROPER(SUBSTITUTE(SUBSTITUTE(G752, ""?"", """"), ""*"", """")))"),"Traditional Wooden Skipping Rope")</f>
        <v>Traditional Wooden Skipping Rope</v>
      </c>
      <c r="I752" s="3">
        <v>2.0</v>
      </c>
      <c r="J752" s="7">
        <v>40513.510416666664</v>
      </c>
      <c r="K752" s="8" t="str">
        <f t="shared" si="4"/>
        <v>2010-12</v>
      </c>
      <c r="L752" s="5">
        <v>1.25</v>
      </c>
      <c r="M752" s="3">
        <v>15983.0</v>
      </c>
      <c r="N752" s="1" t="str">
        <f t="shared" si="5"/>
        <v>Registered</v>
      </c>
      <c r="O752" s="1" t="s">
        <v>19</v>
      </c>
      <c r="P752" s="9" t="str">
        <f t="shared" si="6"/>
        <v>UK</v>
      </c>
      <c r="Q752" s="8">
        <f t="shared" si="7"/>
        <v>2.5</v>
      </c>
    </row>
    <row r="753">
      <c r="A753" s="1">
        <v>536446.0</v>
      </c>
      <c r="B753" s="1" t="str">
        <f t="shared" si="1"/>
        <v>536446</v>
      </c>
      <c r="C753" s="1" t="str">
        <f t="shared" si="2"/>
        <v>Sale</v>
      </c>
      <c r="D753" s="1">
        <v>22619.0</v>
      </c>
      <c r="E753" s="1" t="str">
        <f>IFERROR(__xludf.DUMMYFUNCTION("IF(LEN(D753)&gt;4, IFERROR(REGEXEXTRACT(TO_TEXT(D753),""\d+""),""""),"""")"),"22619")</f>
        <v>22619</v>
      </c>
      <c r="F753" s="6" t="str">
        <f t="shared" si="3"/>
        <v>Product</v>
      </c>
      <c r="G753" s="1" t="s">
        <v>236</v>
      </c>
      <c r="H753" s="6" t="str">
        <f>IFERROR(__xludf.DUMMYFUNCTION("IF(REGEXMATCH(LOWER(G753), ""^(\?)+\s*(missing)?\s*(\?)*$""), """", PROPER(SUBSTITUTE(SUBSTITUTE(G753, ""?"", """"), ""*"", """")))"),"Set Of 6 Soldier Skittles")</f>
        <v>Set Of 6 Soldier Skittles</v>
      </c>
      <c r="I753" s="3">
        <v>8.0</v>
      </c>
      <c r="J753" s="7">
        <v>40513.510416666664</v>
      </c>
      <c r="K753" s="8" t="str">
        <f t="shared" si="4"/>
        <v>2010-12</v>
      </c>
      <c r="L753" s="5">
        <v>3.75</v>
      </c>
      <c r="M753" s="3">
        <v>15983.0</v>
      </c>
      <c r="N753" s="1" t="str">
        <f t="shared" si="5"/>
        <v>Registered</v>
      </c>
      <c r="O753" s="1" t="s">
        <v>19</v>
      </c>
      <c r="P753" s="9" t="str">
        <f t="shared" si="6"/>
        <v>UK</v>
      </c>
      <c r="Q753" s="8">
        <f t="shared" si="7"/>
        <v>30</v>
      </c>
    </row>
    <row r="754">
      <c r="A754" s="1">
        <v>536446.0</v>
      </c>
      <c r="B754" s="1" t="str">
        <f t="shared" si="1"/>
        <v>536446</v>
      </c>
      <c r="C754" s="1" t="str">
        <f t="shared" si="2"/>
        <v>Sale</v>
      </c>
      <c r="D754" s="1">
        <v>22620.0</v>
      </c>
      <c r="E754" s="1" t="str">
        <f>IFERROR(__xludf.DUMMYFUNCTION("IF(LEN(D754)&gt;4, IFERROR(REGEXEXTRACT(TO_TEXT(D754),""\d+""),""""),"""")"),"22620")</f>
        <v>22620</v>
      </c>
      <c r="F754" s="6" t="str">
        <f t="shared" si="3"/>
        <v>Product</v>
      </c>
      <c r="G754" s="1" t="s">
        <v>388</v>
      </c>
      <c r="H754" s="6" t="str">
        <f>IFERROR(__xludf.DUMMYFUNCTION("IF(REGEXMATCH(LOWER(G754), ""^(\?)+\s*(missing)?\s*(\?)*$""), """", PROPER(SUBSTITUTE(SUBSTITUTE(G754, ""?"", """"), ""*"", """")))"),"4 Traditional Spinning Tops")</f>
        <v>4 Traditional Spinning Tops</v>
      </c>
      <c r="I754" s="3">
        <v>6.0</v>
      </c>
      <c r="J754" s="7">
        <v>40513.510416666664</v>
      </c>
      <c r="K754" s="8" t="str">
        <f t="shared" si="4"/>
        <v>2010-12</v>
      </c>
      <c r="L754" s="5">
        <v>1.25</v>
      </c>
      <c r="M754" s="3">
        <v>15983.0</v>
      </c>
      <c r="N754" s="1" t="str">
        <f t="shared" si="5"/>
        <v>Registered</v>
      </c>
      <c r="O754" s="1" t="s">
        <v>19</v>
      </c>
      <c r="P754" s="9" t="str">
        <f t="shared" si="6"/>
        <v>UK</v>
      </c>
      <c r="Q754" s="8">
        <f t="shared" si="7"/>
        <v>7.5</v>
      </c>
    </row>
    <row r="755">
      <c r="A755" s="1">
        <v>536446.0</v>
      </c>
      <c r="B755" s="1" t="str">
        <f t="shared" si="1"/>
        <v>536446</v>
      </c>
      <c r="C755" s="1" t="str">
        <f t="shared" si="2"/>
        <v>Sale</v>
      </c>
      <c r="D755" s="1">
        <v>84347.0</v>
      </c>
      <c r="E755" s="1" t="str">
        <f>IFERROR(__xludf.DUMMYFUNCTION("IF(LEN(D755)&gt;4, IFERROR(REGEXEXTRACT(TO_TEXT(D755),""\d+""),""""),"""")"),"84347")</f>
        <v>84347</v>
      </c>
      <c r="F755" s="6" t="str">
        <f t="shared" si="3"/>
        <v>Product</v>
      </c>
      <c r="G755" s="1" t="s">
        <v>386</v>
      </c>
      <c r="H755" s="6" t="str">
        <f>IFERROR(__xludf.DUMMYFUNCTION("IF(REGEXMATCH(LOWER(G755), ""^(\?)+\s*(missing)?\s*(\?)*$""), """", PROPER(SUBSTITUTE(SUBSTITUTE(G755, ""?"", """"), ""*"", """")))"),"Rotating Silver Angels T-Light Hldr")</f>
        <v>Rotating Silver Angels T-Light Hldr</v>
      </c>
      <c r="I755" s="3">
        <v>12.0</v>
      </c>
      <c r="J755" s="7">
        <v>40513.510416666664</v>
      </c>
      <c r="K755" s="8" t="str">
        <f t="shared" si="4"/>
        <v>2010-12</v>
      </c>
      <c r="L755" s="5">
        <v>2.55</v>
      </c>
      <c r="M755" s="3">
        <v>15983.0</v>
      </c>
      <c r="N755" s="1" t="str">
        <f t="shared" si="5"/>
        <v>Registered</v>
      </c>
      <c r="O755" s="1" t="s">
        <v>19</v>
      </c>
      <c r="P755" s="9" t="str">
        <f t="shared" si="6"/>
        <v>UK</v>
      </c>
      <c r="Q755" s="8">
        <f t="shared" si="7"/>
        <v>30.6</v>
      </c>
    </row>
    <row r="756">
      <c r="A756" s="1">
        <v>536446.0</v>
      </c>
      <c r="B756" s="1" t="str">
        <f t="shared" si="1"/>
        <v>536446</v>
      </c>
      <c r="C756" s="1" t="str">
        <f t="shared" si="2"/>
        <v>Sale</v>
      </c>
      <c r="D756" s="1" t="s">
        <v>414</v>
      </c>
      <c r="E756" s="1" t="str">
        <f>IFERROR(__xludf.DUMMYFUNCTION("IF(LEN(D756)&gt;4, IFERROR(REGEXEXTRACT(TO_TEXT(D756),""\d+""),""""),"""")"),"85169")</f>
        <v>85169</v>
      </c>
      <c r="F756" s="6" t="str">
        <f t="shared" si="3"/>
        <v>Product</v>
      </c>
      <c r="G756" s="1" t="s">
        <v>415</v>
      </c>
      <c r="H756" s="6" t="str">
        <f>IFERROR(__xludf.DUMMYFUNCTION("IF(REGEXMATCH(LOWER(G756), ""^(\?)+\s*(missing)?\s*(\?)*$""), """", PROPER(SUBSTITUTE(SUBSTITUTE(G756, ""?"", """"), ""*"", """")))"),"Black Love Bird Candle")</f>
        <v>Black Love Bird Candle</v>
      </c>
      <c r="I756" s="3">
        <v>24.0</v>
      </c>
      <c r="J756" s="7">
        <v>40513.510416666664</v>
      </c>
      <c r="K756" s="8" t="str">
        <f t="shared" si="4"/>
        <v>2010-12</v>
      </c>
      <c r="L756" s="5">
        <v>1.25</v>
      </c>
      <c r="M756" s="3">
        <v>15983.0</v>
      </c>
      <c r="N756" s="1" t="str">
        <f t="shared" si="5"/>
        <v>Registered</v>
      </c>
      <c r="O756" s="1" t="s">
        <v>19</v>
      </c>
      <c r="P756" s="9" t="str">
        <f t="shared" si="6"/>
        <v>UK</v>
      </c>
      <c r="Q756" s="8">
        <f t="shared" si="7"/>
        <v>30</v>
      </c>
    </row>
    <row r="757">
      <c r="A757" s="1">
        <v>536446.0</v>
      </c>
      <c r="B757" s="1" t="str">
        <f t="shared" si="1"/>
        <v>536446</v>
      </c>
      <c r="C757" s="1" t="str">
        <f t="shared" si="2"/>
        <v>Sale</v>
      </c>
      <c r="D757" s="1">
        <v>21156.0</v>
      </c>
      <c r="E757" s="1" t="str">
        <f>IFERROR(__xludf.DUMMYFUNCTION("IF(LEN(D757)&gt;4, IFERROR(REGEXEXTRACT(TO_TEXT(D757),""\d+""),""""),"""")"),"21156")</f>
        <v>21156</v>
      </c>
      <c r="F757" s="6" t="str">
        <f t="shared" si="3"/>
        <v>Product</v>
      </c>
      <c r="G757" s="1" t="s">
        <v>536</v>
      </c>
      <c r="H757" s="6" t="str">
        <f>IFERROR(__xludf.DUMMYFUNCTION("IF(REGEXMATCH(LOWER(G757), ""^(\?)+\s*(missing)?\s*(\?)*$""), """", PROPER(SUBSTITUTE(SUBSTITUTE(G757, ""?"", """"), ""*"", """")))"),"Retrospot Childrens Apron")</f>
        <v>Retrospot Childrens Apron</v>
      </c>
      <c r="I757" s="3">
        <v>3.0</v>
      </c>
      <c r="J757" s="7">
        <v>40513.510416666664</v>
      </c>
      <c r="K757" s="8" t="str">
        <f t="shared" si="4"/>
        <v>2010-12</v>
      </c>
      <c r="L757" s="5">
        <v>1.95</v>
      </c>
      <c r="M757" s="3">
        <v>15983.0</v>
      </c>
      <c r="N757" s="1" t="str">
        <f t="shared" si="5"/>
        <v>Registered</v>
      </c>
      <c r="O757" s="1" t="s">
        <v>19</v>
      </c>
      <c r="P757" s="9" t="str">
        <f t="shared" si="6"/>
        <v>UK</v>
      </c>
      <c r="Q757" s="8">
        <f t="shared" si="7"/>
        <v>5.85</v>
      </c>
    </row>
    <row r="758">
      <c r="A758" s="1">
        <v>536446.0</v>
      </c>
      <c r="B758" s="1" t="str">
        <f t="shared" si="1"/>
        <v>536446</v>
      </c>
      <c r="C758" s="1" t="str">
        <f t="shared" si="2"/>
        <v>Sale</v>
      </c>
      <c r="D758" s="1">
        <v>21651.0</v>
      </c>
      <c r="E758" s="1" t="str">
        <f>IFERROR(__xludf.DUMMYFUNCTION("IF(LEN(D758)&gt;4, IFERROR(REGEXEXTRACT(TO_TEXT(D758),""\d+""),""""),"""")"),"21651")</f>
        <v>21651</v>
      </c>
      <c r="F758" s="6" t="str">
        <f t="shared" si="3"/>
        <v>Product</v>
      </c>
      <c r="G758" s="1" t="s">
        <v>546</v>
      </c>
      <c r="H758" s="6" t="str">
        <f>IFERROR(__xludf.DUMMYFUNCTION("IF(REGEXMATCH(LOWER(G758), ""^(\?)+\s*(missing)?\s*(\?)*$""), """", PROPER(SUBSTITUTE(SUBSTITUTE(G758, ""?"", """"), ""*"", """")))"),"Hanging Glass Etched Tealight")</f>
        <v>Hanging Glass Etched Tealight</v>
      </c>
      <c r="I758" s="3">
        <v>6.0</v>
      </c>
      <c r="J758" s="7">
        <v>40513.510416666664</v>
      </c>
      <c r="K758" s="8" t="str">
        <f t="shared" si="4"/>
        <v>2010-12</v>
      </c>
      <c r="L758" s="5">
        <v>1.65</v>
      </c>
      <c r="M758" s="3">
        <v>15983.0</v>
      </c>
      <c r="N758" s="1" t="str">
        <f t="shared" si="5"/>
        <v>Registered</v>
      </c>
      <c r="O758" s="1" t="s">
        <v>19</v>
      </c>
      <c r="P758" s="9" t="str">
        <f t="shared" si="6"/>
        <v>UK</v>
      </c>
      <c r="Q758" s="8">
        <f t="shared" si="7"/>
        <v>9.9</v>
      </c>
    </row>
    <row r="759">
      <c r="A759" s="1">
        <v>536446.0</v>
      </c>
      <c r="B759" s="1" t="str">
        <f t="shared" si="1"/>
        <v>536446</v>
      </c>
      <c r="C759" s="1" t="str">
        <f t="shared" si="2"/>
        <v>Sale</v>
      </c>
      <c r="D759" s="1">
        <v>21651.0</v>
      </c>
      <c r="E759" s="1" t="str">
        <f>IFERROR(__xludf.DUMMYFUNCTION("IF(LEN(D759)&gt;4, IFERROR(REGEXEXTRACT(TO_TEXT(D759),""\d+""),""""),"""")"),"21651")</f>
        <v>21651</v>
      </c>
      <c r="F759" s="6" t="str">
        <f t="shared" si="3"/>
        <v>Product</v>
      </c>
      <c r="G759" s="1" t="s">
        <v>546</v>
      </c>
      <c r="H759" s="6" t="str">
        <f>IFERROR(__xludf.DUMMYFUNCTION("IF(REGEXMATCH(LOWER(G759), ""^(\?)+\s*(missing)?\s*(\?)*$""), """", PROPER(SUBSTITUTE(SUBSTITUTE(G759, ""?"", """"), ""*"", """")))"),"Hanging Glass Etched Tealight")</f>
        <v>Hanging Glass Etched Tealight</v>
      </c>
      <c r="I759" s="3">
        <v>6.0</v>
      </c>
      <c r="J759" s="7">
        <v>40513.510416666664</v>
      </c>
      <c r="K759" s="8" t="str">
        <f t="shared" si="4"/>
        <v>2010-12</v>
      </c>
      <c r="L759" s="5">
        <v>1.65</v>
      </c>
      <c r="M759" s="3">
        <v>15983.0</v>
      </c>
      <c r="N759" s="1" t="str">
        <f t="shared" si="5"/>
        <v>Registered</v>
      </c>
      <c r="O759" s="1" t="s">
        <v>19</v>
      </c>
      <c r="P759" s="9" t="str">
        <f t="shared" si="6"/>
        <v>UK</v>
      </c>
      <c r="Q759" s="8">
        <f t="shared" si="7"/>
        <v>9.9</v>
      </c>
    </row>
    <row r="760">
      <c r="A760" s="1">
        <v>536446.0</v>
      </c>
      <c r="B760" s="1" t="str">
        <f t="shared" si="1"/>
        <v>536446</v>
      </c>
      <c r="C760" s="1" t="str">
        <f t="shared" si="2"/>
        <v>Sale</v>
      </c>
      <c r="D760" s="1" t="s">
        <v>324</v>
      </c>
      <c r="E760" s="1" t="str">
        <f>IFERROR(__xludf.DUMMYFUNCTION("IF(LEN(D760)&gt;4, IFERROR(REGEXEXTRACT(TO_TEXT(D760),""\d+""),""""),"""")"),"84625")</f>
        <v>84625</v>
      </c>
      <c r="F760" s="6" t="str">
        <f t="shared" si="3"/>
        <v>Product</v>
      </c>
      <c r="G760" s="1" t="s">
        <v>325</v>
      </c>
      <c r="H760" s="6" t="str">
        <f>IFERROR(__xludf.DUMMYFUNCTION("IF(REGEXMATCH(LOWER(G760), ""^(\?)+\s*(missing)?\s*(\?)*$""), """", PROPER(SUBSTITUTE(SUBSTITUTE(G760, ""?"", """"), ""*"", """")))"),"Blue New Baroque Candlestick Candle")</f>
        <v>Blue New Baroque Candlestick Candle</v>
      </c>
      <c r="I760" s="3">
        <v>10.0</v>
      </c>
      <c r="J760" s="7">
        <v>40513.510416666664</v>
      </c>
      <c r="K760" s="8" t="str">
        <f t="shared" si="4"/>
        <v>2010-12</v>
      </c>
      <c r="L760" s="5">
        <v>2.95</v>
      </c>
      <c r="M760" s="3">
        <v>15983.0</v>
      </c>
      <c r="N760" s="1" t="str">
        <f t="shared" si="5"/>
        <v>Registered</v>
      </c>
      <c r="O760" s="1" t="s">
        <v>19</v>
      </c>
      <c r="P760" s="9" t="str">
        <f t="shared" si="6"/>
        <v>UK</v>
      </c>
      <c r="Q760" s="8">
        <f t="shared" si="7"/>
        <v>29.5</v>
      </c>
    </row>
    <row r="761">
      <c r="A761" s="1">
        <v>536446.0</v>
      </c>
      <c r="B761" s="1" t="str">
        <f t="shared" si="1"/>
        <v>536446</v>
      </c>
      <c r="C761" s="1" t="str">
        <f t="shared" si="2"/>
        <v>Sale</v>
      </c>
      <c r="D761" s="1">
        <v>22618.0</v>
      </c>
      <c r="E761" s="1" t="str">
        <f>IFERROR(__xludf.DUMMYFUNCTION("IF(LEN(D761)&gt;4, IFERROR(REGEXEXTRACT(TO_TEXT(D761),""\d+""),""""),"""")"),"22618")</f>
        <v>22618</v>
      </c>
      <c r="F761" s="6" t="str">
        <f t="shared" si="3"/>
        <v>Product</v>
      </c>
      <c r="G761" s="1" t="s">
        <v>547</v>
      </c>
      <c r="H761" s="6" t="str">
        <f>IFERROR(__xludf.DUMMYFUNCTION("IF(REGEXMATCH(LOWER(G761), ""^(\?)+\s*(missing)?\s*(\?)*$""), """", PROPER(SUBSTITUTE(SUBSTITUTE(G761, ""?"", """"), ""*"", """")))"),"Cooking Set Retrospot")</f>
        <v>Cooking Set Retrospot</v>
      </c>
      <c r="I761" s="3">
        <v>2.0</v>
      </c>
      <c r="J761" s="7">
        <v>40513.510416666664</v>
      </c>
      <c r="K761" s="8" t="str">
        <f t="shared" si="4"/>
        <v>2010-12</v>
      </c>
      <c r="L761" s="5">
        <v>9.95</v>
      </c>
      <c r="M761" s="3">
        <v>15983.0</v>
      </c>
      <c r="N761" s="1" t="str">
        <f t="shared" si="5"/>
        <v>Registered</v>
      </c>
      <c r="O761" s="1" t="s">
        <v>19</v>
      </c>
      <c r="P761" s="9" t="str">
        <f t="shared" si="6"/>
        <v>UK</v>
      </c>
      <c r="Q761" s="8">
        <f t="shared" si="7"/>
        <v>19.9</v>
      </c>
    </row>
    <row r="762">
      <c r="A762" s="1">
        <v>536446.0</v>
      </c>
      <c r="B762" s="1" t="str">
        <f t="shared" si="1"/>
        <v>536446</v>
      </c>
      <c r="C762" s="1" t="str">
        <f t="shared" si="2"/>
        <v>Sale</v>
      </c>
      <c r="D762" s="1">
        <v>21586.0</v>
      </c>
      <c r="E762" s="1" t="str">
        <f>IFERROR(__xludf.DUMMYFUNCTION("IF(LEN(D762)&gt;4, IFERROR(REGEXEXTRACT(TO_TEXT(D762),""\d+""),""""),"""")"),"21586")</f>
        <v>21586</v>
      </c>
      <c r="F762" s="6" t="str">
        <f t="shared" si="3"/>
        <v>Product</v>
      </c>
      <c r="G762" s="1" t="s">
        <v>548</v>
      </c>
      <c r="H762" s="6" t="str">
        <f>IFERROR(__xludf.DUMMYFUNCTION("IF(REGEXMATCH(LOWER(G762), ""^(\?)+\s*(missing)?\s*(\?)*$""), """", PROPER(SUBSTITUTE(SUBSTITUTE(G762, ""?"", """"), ""*"", """")))"),"Kings Choice Giant Tube Matches")</f>
        <v>Kings Choice Giant Tube Matches</v>
      </c>
      <c r="I762" s="3">
        <v>4.0</v>
      </c>
      <c r="J762" s="7">
        <v>40513.510416666664</v>
      </c>
      <c r="K762" s="8" t="str">
        <f t="shared" si="4"/>
        <v>2010-12</v>
      </c>
      <c r="L762" s="5">
        <v>2.55</v>
      </c>
      <c r="M762" s="3">
        <v>15983.0</v>
      </c>
      <c r="N762" s="1" t="str">
        <f t="shared" si="5"/>
        <v>Registered</v>
      </c>
      <c r="O762" s="1" t="s">
        <v>19</v>
      </c>
      <c r="P762" s="9" t="str">
        <f t="shared" si="6"/>
        <v>UK</v>
      </c>
      <c r="Q762" s="8">
        <f t="shared" si="7"/>
        <v>10.2</v>
      </c>
    </row>
    <row r="763">
      <c r="A763" s="1">
        <v>536446.0</v>
      </c>
      <c r="B763" s="1" t="str">
        <f t="shared" si="1"/>
        <v>536446</v>
      </c>
      <c r="C763" s="1" t="str">
        <f t="shared" si="2"/>
        <v>Sale</v>
      </c>
      <c r="D763" s="1">
        <v>21587.0</v>
      </c>
      <c r="E763" s="1" t="str">
        <f>IFERROR(__xludf.DUMMYFUNCTION("IF(LEN(D763)&gt;4, IFERROR(REGEXEXTRACT(TO_TEXT(D763),""\d+""),""""),"""")"),"21587")</f>
        <v>21587</v>
      </c>
      <c r="F763" s="6" t="str">
        <f t="shared" si="3"/>
        <v>Product</v>
      </c>
      <c r="G763" s="1" t="s">
        <v>316</v>
      </c>
      <c r="H763" s="6" t="str">
        <f>IFERROR(__xludf.DUMMYFUNCTION("IF(REGEXMATCH(LOWER(G763), ""^(\?)+\s*(missing)?\s*(\?)*$""), """", PROPER(SUBSTITUTE(SUBSTITUTE(G763, ""?"", """"), ""*"", """")))"),"Cosy Hour Giant Tube Matches")</f>
        <v>Cosy Hour Giant Tube Matches</v>
      </c>
      <c r="I763" s="3">
        <v>4.0</v>
      </c>
      <c r="J763" s="7">
        <v>40513.510416666664</v>
      </c>
      <c r="K763" s="8" t="str">
        <f t="shared" si="4"/>
        <v>2010-12</v>
      </c>
      <c r="L763" s="5">
        <v>2.55</v>
      </c>
      <c r="M763" s="3">
        <v>15983.0</v>
      </c>
      <c r="N763" s="1" t="str">
        <f t="shared" si="5"/>
        <v>Registered</v>
      </c>
      <c r="O763" s="1" t="s">
        <v>19</v>
      </c>
      <c r="P763" s="9" t="str">
        <f t="shared" si="6"/>
        <v>UK</v>
      </c>
      <c r="Q763" s="8">
        <f t="shared" si="7"/>
        <v>10.2</v>
      </c>
    </row>
    <row r="764">
      <c r="A764" s="1">
        <v>536446.0</v>
      </c>
      <c r="B764" s="1" t="str">
        <f t="shared" si="1"/>
        <v>536446</v>
      </c>
      <c r="C764" s="1" t="str">
        <f t="shared" si="2"/>
        <v>Sale</v>
      </c>
      <c r="D764" s="1">
        <v>22152.0</v>
      </c>
      <c r="E764" s="1" t="str">
        <f>IFERROR(__xludf.DUMMYFUNCTION("IF(LEN(D764)&gt;4, IFERROR(REGEXEXTRACT(TO_TEXT(D764),""\d+""),""""),"""")"),"22152")</f>
        <v>22152</v>
      </c>
      <c r="F764" s="6" t="str">
        <f t="shared" si="3"/>
        <v>Product</v>
      </c>
      <c r="G764" s="1" t="s">
        <v>549</v>
      </c>
      <c r="H764" s="6" t="str">
        <f>IFERROR(__xludf.DUMMYFUNCTION("IF(REGEXMATCH(LOWER(G764), ""^(\?)+\s*(missing)?\s*(\?)*$""), """", PROPER(SUBSTITUTE(SUBSTITUTE(G764, ""?"", """"), ""*"", """")))"),"Place Setting White Star")</f>
        <v>Place Setting White Star</v>
      </c>
      <c r="I764" s="3">
        <v>24.0</v>
      </c>
      <c r="J764" s="7">
        <v>40513.510416666664</v>
      </c>
      <c r="K764" s="8" t="str">
        <f t="shared" si="4"/>
        <v>2010-12</v>
      </c>
      <c r="L764" s="5">
        <v>0.42</v>
      </c>
      <c r="M764" s="3">
        <v>15983.0</v>
      </c>
      <c r="N764" s="1" t="str">
        <f t="shared" si="5"/>
        <v>Registered</v>
      </c>
      <c r="O764" s="1" t="s">
        <v>19</v>
      </c>
      <c r="P764" s="9" t="str">
        <f t="shared" si="6"/>
        <v>UK</v>
      </c>
      <c r="Q764" s="8">
        <f t="shared" si="7"/>
        <v>10.08</v>
      </c>
    </row>
    <row r="765">
      <c r="A765" s="1">
        <v>536446.0</v>
      </c>
      <c r="B765" s="1" t="str">
        <f t="shared" si="1"/>
        <v>536446</v>
      </c>
      <c r="C765" s="1" t="str">
        <f t="shared" si="2"/>
        <v>Sale</v>
      </c>
      <c r="D765" s="1">
        <v>85172.0</v>
      </c>
      <c r="E765" s="1" t="str">
        <f>IFERROR(__xludf.DUMMYFUNCTION("IF(LEN(D765)&gt;4, IFERROR(REGEXEXTRACT(TO_TEXT(D765),""\d+""),""""),"""")"),"85172")</f>
        <v>85172</v>
      </c>
      <c r="F765" s="6" t="str">
        <f t="shared" si="3"/>
        <v>Product</v>
      </c>
      <c r="G765" s="1" t="s">
        <v>531</v>
      </c>
      <c r="H765" s="6" t="str">
        <f>IFERROR(__xludf.DUMMYFUNCTION("IF(REGEXMATCH(LOWER(G765), ""^(\?)+\s*(missing)?\s*(\?)*$""), """", PROPER(SUBSTITUTE(SUBSTITUTE(G765, ""?"", """"), ""*"", """")))"),"Hyacinth Bulb T-Light Candles")</f>
        <v>Hyacinth Bulb T-Light Candles</v>
      </c>
      <c r="I765" s="3">
        <v>16.0</v>
      </c>
      <c r="J765" s="7">
        <v>40513.510416666664</v>
      </c>
      <c r="K765" s="8" t="str">
        <f t="shared" si="4"/>
        <v>2010-12</v>
      </c>
      <c r="L765" s="5">
        <v>0.42</v>
      </c>
      <c r="M765" s="3">
        <v>15983.0</v>
      </c>
      <c r="N765" s="1" t="str">
        <f t="shared" si="5"/>
        <v>Registered</v>
      </c>
      <c r="O765" s="1" t="s">
        <v>19</v>
      </c>
      <c r="P765" s="9" t="str">
        <f t="shared" si="6"/>
        <v>UK</v>
      </c>
      <c r="Q765" s="8">
        <f t="shared" si="7"/>
        <v>6.72</v>
      </c>
    </row>
    <row r="766">
      <c r="A766" s="1">
        <v>536446.0</v>
      </c>
      <c r="B766" s="1" t="str">
        <f t="shared" si="1"/>
        <v>536446</v>
      </c>
      <c r="C766" s="1" t="str">
        <f t="shared" si="2"/>
        <v>Sale</v>
      </c>
      <c r="D766" s="1">
        <v>84754.0</v>
      </c>
      <c r="E766" s="1" t="str">
        <f>IFERROR(__xludf.DUMMYFUNCTION("IF(LEN(D766)&gt;4, IFERROR(REGEXEXTRACT(TO_TEXT(D766),""\d+""),""""),"""")"),"84754")</f>
        <v>84754</v>
      </c>
      <c r="F766" s="6" t="str">
        <f t="shared" si="3"/>
        <v>Product</v>
      </c>
      <c r="G766" s="1" t="s">
        <v>550</v>
      </c>
      <c r="H766" s="6" t="str">
        <f>IFERROR(__xludf.DUMMYFUNCTION("IF(REGEXMATCH(LOWER(G766), ""^(\?)+\s*(missing)?\s*(\?)*$""), """", PROPER(SUBSTITUTE(SUBSTITUTE(G766, ""?"", """"), ""*"", """")))"),"S/15 Silver Glass Baubles In Bag")</f>
        <v>S/15 Silver Glass Baubles In Bag</v>
      </c>
      <c r="I766" s="3">
        <v>24.0</v>
      </c>
      <c r="J766" s="7">
        <v>40513.510416666664</v>
      </c>
      <c r="K766" s="8" t="str">
        <f t="shared" si="4"/>
        <v>2010-12</v>
      </c>
      <c r="L766" s="5">
        <v>1.25</v>
      </c>
      <c r="M766" s="3">
        <v>15983.0</v>
      </c>
      <c r="N766" s="1" t="str">
        <f t="shared" si="5"/>
        <v>Registered</v>
      </c>
      <c r="O766" s="1" t="s">
        <v>19</v>
      </c>
      <c r="P766" s="9" t="str">
        <f t="shared" si="6"/>
        <v>UK</v>
      </c>
      <c r="Q766" s="8">
        <f t="shared" si="7"/>
        <v>30</v>
      </c>
    </row>
    <row r="767">
      <c r="A767" s="1">
        <v>536460.0</v>
      </c>
      <c r="B767" s="1" t="str">
        <f t="shared" si="1"/>
        <v>536460</v>
      </c>
      <c r="C767" s="1" t="str">
        <f t="shared" si="2"/>
        <v>Sale</v>
      </c>
      <c r="D767" s="1">
        <v>22670.0</v>
      </c>
      <c r="E767" s="1" t="str">
        <f>IFERROR(__xludf.DUMMYFUNCTION("IF(LEN(D767)&gt;4, IFERROR(REGEXEXTRACT(TO_TEXT(D767),""\d+""),""""),"""")"),"22670")</f>
        <v>22670</v>
      </c>
      <c r="F767" s="6" t="str">
        <f t="shared" si="3"/>
        <v>Product</v>
      </c>
      <c r="G767" s="1" t="s">
        <v>551</v>
      </c>
      <c r="H767" s="6" t="str">
        <f>IFERROR(__xludf.DUMMYFUNCTION("IF(REGEXMATCH(LOWER(G767), ""^(\?)+\s*(missing)?\s*(\?)*$""), """", PROPER(SUBSTITUTE(SUBSTITUTE(G767, ""?"", """"), ""*"", """")))"),"French Wc Sign Blue Metal")</f>
        <v>French Wc Sign Blue Metal</v>
      </c>
      <c r="I767" s="3">
        <v>12.0</v>
      </c>
      <c r="J767" s="7">
        <v>40513.51527777778</v>
      </c>
      <c r="K767" s="8" t="str">
        <f t="shared" si="4"/>
        <v>2010-12</v>
      </c>
      <c r="L767" s="5">
        <v>1.25</v>
      </c>
      <c r="M767" s="3">
        <v>14849.0</v>
      </c>
      <c r="N767" s="1" t="str">
        <f t="shared" si="5"/>
        <v>Registered</v>
      </c>
      <c r="O767" s="1" t="s">
        <v>19</v>
      </c>
      <c r="P767" s="9" t="str">
        <f t="shared" si="6"/>
        <v>UK</v>
      </c>
      <c r="Q767" s="8">
        <f t="shared" si="7"/>
        <v>15</v>
      </c>
    </row>
    <row r="768">
      <c r="A768" s="1">
        <v>536460.0</v>
      </c>
      <c r="B768" s="1" t="str">
        <f t="shared" si="1"/>
        <v>536460</v>
      </c>
      <c r="C768" s="1" t="str">
        <f t="shared" si="2"/>
        <v>Sale</v>
      </c>
      <c r="D768" s="1">
        <v>21586.0</v>
      </c>
      <c r="E768" s="1" t="str">
        <f>IFERROR(__xludf.DUMMYFUNCTION("IF(LEN(D768)&gt;4, IFERROR(REGEXEXTRACT(TO_TEXT(D768),""\d+""),""""),"""")"),"21586")</f>
        <v>21586</v>
      </c>
      <c r="F768" s="6" t="str">
        <f t="shared" si="3"/>
        <v>Product</v>
      </c>
      <c r="G768" s="1" t="s">
        <v>548</v>
      </c>
      <c r="H768" s="6" t="str">
        <f>IFERROR(__xludf.DUMMYFUNCTION("IF(REGEXMATCH(LOWER(G768), ""^(\?)+\s*(missing)?\s*(\?)*$""), """", PROPER(SUBSTITUTE(SUBSTITUTE(G768, ""?"", """"), ""*"", """")))"),"Kings Choice Giant Tube Matches")</f>
        <v>Kings Choice Giant Tube Matches</v>
      </c>
      <c r="I768" s="3">
        <v>12.0</v>
      </c>
      <c r="J768" s="7">
        <v>40513.51527777778</v>
      </c>
      <c r="K768" s="8" t="str">
        <f t="shared" si="4"/>
        <v>2010-12</v>
      </c>
      <c r="L768" s="5">
        <v>2.55</v>
      </c>
      <c r="M768" s="3">
        <v>14849.0</v>
      </c>
      <c r="N768" s="1" t="str">
        <f t="shared" si="5"/>
        <v>Registered</v>
      </c>
      <c r="O768" s="1" t="s">
        <v>19</v>
      </c>
      <c r="P768" s="9" t="str">
        <f t="shared" si="6"/>
        <v>UK</v>
      </c>
      <c r="Q768" s="8">
        <f t="shared" si="7"/>
        <v>30.6</v>
      </c>
    </row>
    <row r="769">
      <c r="A769" s="1">
        <v>536460.0</v>
      </c>
      <c r="B769" s="1" t="str">
        <f t="shared" si="1"/>
        <v>536460</v>
      </c>
      <c r="C769" s="1" t="str">
        <f t="shared" si="2"/>
        <v>Sale</v>
      </c>
      <c r="D769" s="1">
        <v>84992.0</v>
      </c>
      <c r="E769" s="1" t="str">
        <f>IFERROR(__xludf.DUMMYFUNCTION("IF(LEN(D769)&gt;4, IFERROR(REGEXEXTRACT(TO_TEXT(D769),""\d+""),""""),"""")"),"84992")</f>
        <v>84992</v>
      </c>
      <c r="F769" s="6" t="str">
        <f t="shared" si="3"/>
        <v>Product</v>
      </c>
      <c r="G769" s="1" t="s">
        <v>354</v>
      </c>
      <c r="H769" s="6" t="str">
        <f>IFERROR(__xludf.DUMMYFUNCTION("IF(REGEXMATCH(LOWER(G769), ""^(\?)+\s*(missing)?\s*(\?)*$""), """", PROPER(SUBSTITUTE(SUBSTITUTE(G769, ""?"", """"), ""*"", """")))"),"72 Sweetheart Fairy Cake Cases")</f>
        <v>72 Sweetheart Fairy Cake Cases</v>
      </c>
      <c r="I769" s="3">
        <v>24.0</v>
      </c>
      <c r="J769" s="7">
        <v>40513.51527777778</v>
      </c>
      <c r="K769" s="8" t="str">
        <f t="shared" si="4"/>
        <v>2010-12</v>
      </c>
      <c r="L769" s="5">
        <v>0.55</v>
      </c>
      <c r="M769" s="3">
        <v>14849.0</v>
      </c>
      <c r="N769" s="1" t="str">
        <f t="shared" si="5"/>
        <v>Registered</v>
      </c>
      <c r="O769" s="1" t="s">
        <v>19</v>
      </c>
      <c r="P769" s="9" t="str">
        <f t="shared" si="6"/>
        <v>UK</v>
      </c>
      <c r="Q769" s="8">
        <f t="shared" si="7"/>
        <v>13.2</v>
      </c>
    </row>
    <row r="770">
      <c r="A770" s="1">
        <v>536460.0</v>
      </c>
      <c r="B770" s="1" t="str">
        <f t="shared" si="1"/>
        <v>536460</v>
      </c>
      <c r="C770" s="1" t="str">
        <f t="shared" si="2"/>
        <v>Sale</v>
      </c>
      <c r="D770" s="1">
        <v>84879.0</v>
      </c>
      <c r="E770" s="1" t="str">
        <f>IFERROR(__xludf.DUMMYFUNCTION("IF(LEN(D770)&gt;4, IFERROR(REGEXEXTRACT(TO_TEXT(D770),""\d+""),""""),"""")"),"84879")</f>
        <v>84879</v>
      </c>
      <c r="F770" s="6" t="str">
        <f t="shared" si="3"/>
        <v>Product</v>
      </c>
      <c r="G770" s="1" t="s">
        <v>31</v>
      </c>
      <c r="H770" s="6" t="str">
        <f>IFERROR(__xludf.DUMMYFUNCTION("IF(REGEXMATCH(LOWER(G770), ""^(\?)+\s*(missing)?\s*(\?)*$""), """", PROPER(SUBSTITUTE(SUBSTITUTE(G770, ""?"", """"), ""*"", """")))"),"Assorted Colour Bird Ornament")</f>
        <v>Assorted Colour Bird Ornament</v>
      </c>
      <c r="I770" s="3">
        <v>24.0</v>
      </c>
      <c r="J770" s="7">
        <v>40513.51527777778</v>
      </c>
      <c r="K770" s="8" t="str">
        <f t="shared" si="4"/>
        <v>2010-12</v>
      </c>
      <c r="L770" s="5">
        <v>1.69</v>
      </c>
      <c r="M770" s="3">
        <v>14849.0</v>
      </c>
      <c r="N770" s="1" t="str">
        <f t="shared" si="5"/>
        <v>Registered</v>
      </c>
      <c r="O770" s="1" t="s">
        <v>19</v>
      </c>
      <c r="P770" s="9" t="str">
        <f t="shared" si="6"/>
        <v>UK</v>
      </c>
      <c r="Q770" s="8">
        <f t="shared" si="7"/>
        <v>40.56</v>
      </c>
    </row>
    <row r="771">
      <c r="A771" s="1">
        <v>536460.0</v>
      </c>
      <c r="B771" s="1" t="str">
        <f t="shared" si="1"/>
        <v>536460</v>
      </c>
      <c r="C771" s="1" t="str">
        <f t="shared" si="2"/>
        <v>Sale</v>
      </c>
      <c r="D771" s="1" t="s">
        <v>552</v>
      </c>
      <c r="E771" s="1" t="str">
        <f>IFERROR(__xludf.DUMMYFUNCTION("IF(LEN(D771)&gt;4, IFERROR(REGEXEXTRACT(TO_TEXT(D771),""\d+""),""""),"""")"),"84849")</f>
        <v>84849</v>
      </c>
      <c r="F771" s="6" t="str">
        <f t="shared" si="3"/>
        <v>Product</v>
      </c>
      <c r="G771" s="1" t="s">
        <v>553</v>
      </c>
      <c r="H771" s="6" t="str">
        <f>IFERROR(__xludf.DUMMYFUNCTION("IF(REGEXMATCH(LOWER(G771), ""^(\?)+\s*(missing)?\s*(\?)*$""), """", PROPER(SUBSTITUTE(SUBSTITUTE(G771, ""?"", """"), ""*"", """")))"),"Fairy Soap Soap Holder")</f>
        <v>Fairy Soap Soap Holder</v>
      </c>
      <c r="I771" s="3">
        <v>12.0</v>
      </c>
      <c r="J771" s="7">
        <v>40513.51527777778</v>
      </c>
      <c r="K771" s="8" t="str">
        <f t="shared" si="4"/>
        <v>2010-12</v>
      </c>
      <c r="L771" s="5">
        <v>1.69</v>
      </c>
      <c r="M771" s="3">
        <v>14849.0</v>
      </c>
      <c r="N771" s="1" t="str">
        <f t="shared" si="5"/>
        <v>Registered</v>
      </c>
      <c r="O771" s="1" t="s">
        <v>19</v>
      </c>
      <c r="P771" s="9" t="str">
        <f t="shared" si="6"/>
        <v>UK</v>
      </c>
      <c r="Q771" s="8">
        <f t="shared" si="7"/>
        <v>20.28</v>
      </c>
    </row>
    <row r="772">
      <c r="A772" s="1">
        <v>536460.0</v>
      </c>
      <c r="B772" s="1" t="str">
        <f t="shared" si="1"/>
        <v>536460</v>
      </c>
      <c r="C772" s="1" t="str">
        <f t="shared" si="2"/>
        <v>Sale</v>
      </c>
      <c r="D772" s="1">
        <v>22927.0</v>
      </c>
      <c r="E772" s="1" t="str">
        <f>IFERROR(__xludf.DUMMYFUNCTION("IF(LEN(D772)&gt;4, IFERROR(REGEXEXTRACT(TO_TEXT(D772),""\d+""),""""),"""")"),"22927")</f>
        <v>22927</v>
      </c>
      <c r="F772" s="6" t="str">
        <f t="shared" si="3"/>
        <v>Product</v>
      </c>
      <c r="G772" s="1" t="s">
        <v>554</v>
      </c>
      <c r="H772" s="6" t="str">
        <f>IFERROR(__xludf.DUMMYFUNCTION("IF(REGEXMATCH(LOWER(G772), ""^(\?)+\s*(missing)?\s*(\?)*$""), """", PROPER(SUBSTITUTE(SUBSTITUTE(G772, ""?"", """"), ""*"", """")))"),"Green Giant Garden Thermometer")</f>
        <v>Green Giant Garden Thermometer</v>
      </c>
      <c r="I772" s="3">
        <v>2.0</v>
      </c>
      <c r="J772" s="7">
        <v>40513.51527777778</v>
      </c>
      <c r="K772" s="8" t="str">
        <f t="shared" si="4"/>
        <v>2010-12</v>
      </c>
      <c r="L772" s="5">
        <v>5.95</v>
      </c>
      <c r="M772" s="3">
        <v>14849.0</v>
      </c>
      <c r="N772" s="1" t="str">
        <f t="shared" si="5"/>
        <v>Registered</v>
      </c>
      <c r="O772" s="1" t="s">
        <v>19</v>
      </c>
      <c r="P772" s="9" t="str">
        <f t="shared" si="6"/>
        <v>UK</v>
      </c>
      <c r="Q772" s="8">
        <f t="shared" si="7"/>
        <v>11.9</v>
      </c>
    </row>
    <row r="773">
      <c r="A773" s="1">
        <v>536460.0</v>
      </c>
      <c r="B773" s="1" t="str">
        <f t="shared" si="1"/>
        <v>536460</v>
      </c>
      <c r="C773" s="1" t="str">
        <f t="shared" si="2"/>
        <v>Sale</v>
      </c>
      <c r="D773" s="1">
        <v>22926.0</v>
      </c>
      <c r="E773" s="1" t="str">
        <f>IFERROR(__xludf.DUMMYFUNCTION("IF(LEN(D773)&gt;4, IFERROR(REGEXEXTRACT(TO_TEXT(D773),""\d+""),""""),"""")"),"22926")</f>
        <v>22926</v>
      </c>
      <c r="F773" s="6" t="str">
        <f t="shared" si="3"/>
        <v>Product</v>
      </c>
      <c r="G773" s="1" t="s">
        <v>155</v>
      </c>
      <c r="H773" s="6" t="str">
        <f>IFERROR(__xludf.DUMMYFUNCTION("IF(REGEXMATCH(LOWER(G773), ""^(\?)+\s*(missing)?\s*(\?)*$""), """", PROPER(SUBSTITUTE(SUBSTITUTE(G773, ""?"", """"), ""*"", """")))"),"Ivory Giant Garden Thermometer")</f>
        <v>Ivory Giant Garden Thermometer</v>
      </c>
      <c r="I773" s="3">
        <v>4.0</v>
      </c>
      <c r="J773" s="7">
        <v>40513.51527777778</v>
      </c>
      <c r="K773" s="8" t="str">
        <f t="shared" si="4"/>
        <v>2010-12</v>
      </c>
      <c r="L773" s="5">
        <v>5.95</v>
      </c>
      <c r="M773" s="3">
        <v>14849.0</v>
      </c>
      <c r="N773" s="1" t="str">
        <f t="shared" si="5"/>
        <v>Registered</v>
      </c>
      <c r="O773" s="1" t="s">
        <v>19</v>
      </c>
      <c r="P773" s="9" t="str">
        <f t="shared" si="6"/>
        <v>UK</v>
      </c>
      <c r="Q773" s="8">
        <f t="shared" si="7"/>
        <v>23.8</v>
      </c>
    </row>
    <row r="774">
      <c r="A774" s="1">
        <v>536460.0</v>
      </c>
      <c r="B774" s="1" t="str">
        <f t="shared" si="1"/>
        <v>536460</v>
      </c>
      <c r="C774" s="1" t="str">
        <f t="shared" si="2"/>
        <v>Sale</v>
      </c>
      <c r="D774" s="1">
        <v>22925.0</v>
      </c>
      <c r="E774" s="1" t="str">
        <f>IFERROR(__xludf.DUMMYFUNCTION("IF(LEN(D774)&gt;4, IFERROR(REGEXEXTRACT(TO_TEXT(D774),""\d+""),""""),"""")"),"22925")</f>
        <v>22925</v>
      </c>
      <c r="F774" s="6" t="str">
        <f t="shared" si="3"/>
        <v>Product</v>
      </c>
      <c r="G774" s="1" t="s">
        <v>555</v>
      </c>
      <c r="H774" s="6" t="str">
        <f>IFERROR(__xludf.DUMMYFUNCTION("IF(REGEXMATCH(LOWER(G774), ""^(\?)+\s*(missing)?\s*(\?)*$""), """", PROPER(SUBSTITUTE(SUBSTITUTE(G774, ""?"", """"), ""*"", """")))"),"Blue Giant Garden Thermometer")</f>
        <v>Blue Giant Garden Thermometer</v>
      </c>
      <c r="I774" s="3">
        <v>2.0</v>
      </c>
      <c r="J774" s="7">
        <v>40513.51527777778</v>
      </c>
      <c r="K774" s="8" t="str">
        <f t="shared" si="4"/>
        <v>2010-12</v>
      </c>
      <c r="L774" s="5">
        <v>5.95</v>
      </c>
      <c r="M774" s="3">
        <v>14849.0</v>
      </c>
      <c r="N774" s="1" t="str">
        <f t="shared" si="5"/>
        <v>Registered</v>
      </c>
      <c r="O774" s="1" t="s">
        <v>19</v>
      </c>
      <c r="P774" s="9" t="str">
        <f t="shared" si="6"/>
        <v>UK</v>
      </c>
      <c r="Q774" s="8">
        <f t="shared" si="7"/>
        <v>11.9</v>
      </c>
    </row>
    <row r="775">
      <c r="A775" s="1">
        <v>536460.0</v>
      </c>
      <c r="B775" s="1" t="str">
        <f t="shared" si="1"/>
        <v>536460</v>
      </c>
      <c r="C775" s="1" t="str">
        <f t="shared" si="2"/>
        <v>Sale</v>
      </c>
      <c r="D775" s="1">
        <v>21977.0</v>
      </c>
      <c r="E775" s="1" t="str">
        <f>IFERROR(__xludf.DUMMYFUNCTION("IF(LEN(D775)&gt;4, IFERROR(REGEXEXTRACT(TO_TEXT(D775),""\d+""),""""),"""")"),"21977")</f>
        <v>21977</v>
      </c>
      <c r="F775" s="6" t="str">
        <f t="shared" si="3"/>
        <v>Product</v>
      </c>
      <c r="G775" s="1" t="s">
        <v>99</v>
      </c>
      <c r="H775" s="6" t="str">
        <f>IFERROR(__xludf.DUMMYFUNCTION("IF(REGEXMATCH(LOWER(G775), ""^(\?)+\s*(missing)?\s*(\?)*$""), """", PROPER(SUBSTITUTE(SUBSTITUTE(G775, ""?"", """"), ""*"", """")))"),"Pack Of 60 Pink Paisley Cake Cases")</f>
        <v>Pack Of 60 Pink Paisley Cake Cases</v>
      </c>
      <c r="I775" s="3">
        <v>24.0</v>
      </c>
      <c r="J775" s="7">
        <v>40513.51527777778</v>
      </c>
      <c r="K775" s="8" t="str">
        <f t="shared" si="4"/>
        <v>2010-12</v>
      </c>
      <c r="L775" s="5">
        <v>0.55</v>
      </c>
      <c r="M775" s="3">
        <v>14849.0</v>
      </c>
      <c r="N775" s="1" t="str">
        <f t="shared" si="5"/>
        <v>Registered</v>
      </c>
      <c r="O775" s="1" t="s">
        <v>19</v>
      </c>
      <c r="P775" s="9" t="str">
        <f t="shared" si="6"/>
        <v>UK</v>
      </c>
      <c r="Q775" s="8">
        <f t="shared" si="7"/>
        <v>13.2</v>
      </c>
    </row>
    <row r="776">
      <c r="A776" s="1">
        <v>536460.0</v>
      </c>
      <c r="B776" s="1" t="str">
        <f t="shared" si="1"/>
        <v>536460</v>
      </c>
      <c r="C776" s="1" t="str">
        <f t="shared" si="2"/>
        <v>Sale</v>
      </c>
      <c r="D776" s="1">
        <v>21485.0</v>
      </c>
      <c r="E776" s="1" t="str">
        <f>IFERROR(__xludf.DUMMYFUNCTION("IF(LEN(D776)&gt;4, IFERROR(REGEXEXTRACT(TO_TEXT(D776),""\d+""),""""),"""")"),"21485")</f>
        <v>21485</v>
      </c>
      <c r="F776" s="6" t="str">
        <f t="shared" si="3"/>
        <v>Product</v>
      </c>
      <c r="G776" s="1" t="s">
        <v>223</v>
      </c>
      <c r="H776" s="6" t="str">
        <f>IFERROR(__xludf.DUMMYFUNCTION("IF(REGEXMATCH(LOWER(G776), ""^(\?)+\s*(missing)?\s*(\?)*$""), """", PROPER(SUBSTITUTE(SUBSTITUTE(G776, ""?"", """"), ""*"", """")))"),"Retrospot Heart Hot Water Bottle")</f>
        <v>Retrospot Heart Hot Water Bottle</v>
      </c>
      <c r="I776" s="3">
        <v>6.0</v>
      </c>
      <c r="J776" s="7">
        <v>40513.51527777778</v>
      </c>
      <c r="K776" s="8" t="str">
        <f t="shared" si="4"/>
        <v>2010-12</v>
      </c>
      <c r="L776" s="5">
        <v>4.95</v>
      </c>
      <c r="M776" s="3">
        <v>14849.0</v>
      </c>
      <c r="N776" s="1" t="str">
        <f t="shared" si="5"/>
        <v>Registered</v>
      </c>
      <c r="O776" s="1" t="s">
        <v>19</v>
      </c>
      <c r="P776" s="9" t="str">
        <f t="shared" si="6"/>
        <v>UK</v>
      </c>
      <c r="Q776" s="8">
        <f t="shared" si="7"/>
        <v>29.7</v>
      </c>
    </row>
    <row r="777">
      <c r="A777" s="1">
        <v>536460.0</v>
      </c>
      <c r="B777" s="1" t="str">
        <f t="shared" si="1"/>
        <v>536460</v>
      </c>
      <c r="C777" s="1" t="str">
        <f t="shared" si="2"/>
        <v>Sale</v>
      </c>
      <c r="D777" s="1">
        <v>21484.0</v>
      </c>
      <c r="E777" s="1" t="str">
        <f>IFERROR(__xludf.DUMMYFUNCTION("IF(LEN(D777)&gt;4, IFERROR(REGEXEXTRACT(TO_TEXT(D777),""\d+""),""""),"""")"),"21484")</f>
        <v>21484</v>
      </c>
      <c r="F777" s="6" t="str">
        <f t="shared" si="3"/>
        <v>Product</v>
      </c>
      <c r="G777" s="1" t="s">
        <v>232</v>
      </c>
      <c r="H777" s="6" t="str">
        <f>IFERROR(__xludf.DUMMYFUNCTION("IF(REGEXMATCH(LOWER(G777), ""^(\?)+\s*(missing)?\s*(\?)*$""), """", PROPER(SUBSTITUTE(SUBSTITUTE(G777, ""?"", """"), ""*"", """")))"),"Chick Grey Hot Water Bottle")</f>
        <v>Chick Grey Hot Water Bottle</v>
      </c>
      <c r="I777" s="3">
        <v>8.0</v>
      </c>
      <c r="J777" s="7">
        <v>40513.51527777778</v>
      </c>
      <c r="K777" s="8" t="str">
        <f t="shared" si="4"/>
        <v>2010-12</v>
      </c>
      <c r="L777" s="5">
        <v>3.45</v>
      </c>
      <c r="M777" s="3">
        <v>14849.0</v>
      </c>
      <c r="N777" s="1" t="str">
        <f t="shared" si="5"/>
        <v>Registered</v>
      </c>
      <c r="O777" s="1" t="s">
        <v>19</v>
      </c>
      <c r="P777" s="9" t="str">
        <f t="shared" si="6"/>
        <v>UK</v>
      </c>
      <c r="Q777" s="8">
        <f t="shared" si="7"/>
        <v>27.6</v>
      </c>
    </row>
    <row r="778">
      <c r="A778" s="1">
        <v>536460.0</v>
      </c>
      <c r="B778" s="1" t="str">
        <f t="shared" si="1"/>
        <v>536460</v>
      </c>
      <c r="C778" s="1" t="str">
        <f t="shared" si="2"/>
        <v>Sale</v>
      </c>
      <c r="D778" s="1">
        <v>21259.0</v>
      </c>
      <c r="E778" s="1" t="str">
        <f>IFERROR(__xludf.DUMMYFUNCTION("IF(LEN(D778)&gt;4, IFERROR(REGEXEXTRACT(TO_TEXT(D778),""\d+""),""""),"""")"),"21259")</f>
        <v>21259</v>
      </c>
      <c r="F778" s="6" t="str">
        <f t="shared" si="3"/>
        <v>Product</v>
      </c>
      <c r="G778" s="1" t="s">
        <v>556</v>
      </c>
      <c r="H778" s="6" t="str">
        <f>IFERROR(__xludf.DUMMYFUNCTION("IF(REGEXMATCH(LOWER(G778), ""^(\?)+\s*(missing)?\s*(\?)*$""), """", PROPER(SUBSTITUTE(SUBSTITUTE(G778, ""?"", """"), ""*"", """")))"),"Victorian Sewing Box Small")</f>
        <v>Victorian Sewing Box Small</v>
      </c>
      <c r="I778" s="3">
        <v>2.0</v>
      </c>
      <c r="J778" s="7">
        <v>40513.51527777778</v>
      </c>
      <c r="K778" s="8" t="str">
        <f t="shared" si="4"/>
        <v>2010-12</v>
      </c>
      <c r="L778" s="5">
        <v>5.95</v>
      </c>
      <c r="M778" s="3">
        <v>14849.0</v>
      </c>
      <c r="N778" s="1" t="str">
        <f t="shared" si="5"/>
        <v>Registered</v>
      </c>
      <c r="O778" s="1" t="s">
        <v>19</v>
      </c>
      <c r="P778" s="9" t="str">
        <f t="shared" si="6"/>
        <v>UK</v>
      </c>
      <c r="Q778" s="8">
        <f t="shared" si="7"/>
        <v>11.9</v>
      </c>
    </row>
    <row r="779">
      <c r="A779" s="1">
        <v>536460.0</v>
      </c>
      <c r="B779" s="1" t="str">
        <f t="shared" si="1"/>
        <v>536460</v>
      </c>
      <c r="C779" s="1" t="str">
        <f t="shared" si="2"/>
        <v>Sale</v>
      </c>
      <c r="D779" s="1">
        <v>21257.0</v>
      </c>
      <c r="E779" s="1" t="str">
        <f>IFERROR(__xludf.DUMMYFUNCTION("IF(LEN(D779)&gt;4, IFERROR(REGEXEXTRACT(TO_TEXT(D779),""\d+""),""""),"""")"),"21257")</f>
        <v>21257</v>
      </c>
      <c r="F779" s="6" t="str">
        <f t="shared" si="3"/>
        <v>Product</v>
      </c>
      <c r="G779" s="1" t="s">
        <v>557</v>
      </c>
      <c r="H779" s="6" t="str">
        <f>IFERROR(__xludf.DUMMYFUNCTION("IF(REGEXMATCH(LOWER(G779), ""^(\?)+\s*(missing)?\s*(\?)*$""), """", PROPER(SUBSTITUTE(SUBSTITUTE(G779, ""?"", """"), ""*"", """")))"),"Victorian Sewing Box Medium")</f>
        <v>Victorian Sewing Box Medium</v>
      </c>
      <c r="I779" s="3">
        <v>2.0</v>
      </c>
      <c r="J779" s="7">
        <v>40513.51527777778</v>
      </c>
      <c r="K779" s="8" t="str">
        <f t="shared" si="4"/>
        <v>2010-12</v>
      </c>
      <c r="L779" s="5">
        <v>7.95</v>
      </c>
      <c r="M779" s="3">
        <v>14849.0</v>
      </c>
      <c r="N779" s="1" t="str">
        <f t="shared" si="5"/>
        <v>Registered</v>
      </c>
      <c r="O779" s="1" t="s">
        <v>19</v>
      </c>
      <c r="P779" s="9" t="str">
        <f t="shared" si="6"/>
        <v>UK</v>
      </c>
      <c r="Q779" s="8">
        <f t="shared" si="7"/>
        <v>15.9</v>
      </c>
    </row>
    <row r="780">
      <c r="A780" s="1">
        <v>536460.0</v>
      </c>
      <c r="B780" s="1" t="str">
        <f t="shared" si="1"/>
        <v>536460</v>
      </c>
      <c r="C780" s="1" t="str">
        <f t="shared" si="2"/>
        <v>Sale</v>
      </c>
      <c r="D780" s="1">
        <v>21121.0</v>
      </c>
      <c r="E780" s="1" t="str">
        <f>IFERROR(__xludf.DUMMYFUNCTION("IF(LEN(D780)&gt;4, IFERROR(REGEXEXTRACT(TO_TEXT(D780),""\d+""),""""),"""")"),"21121")</f>
        <v>21121</v>
      </c>
      <c r="F780" s="6" t="str">
        <f t="shared" si="3"/>
        <v>Product</v>
      </c>
      <c r="G780" s="1" t="s">
        <v>558</v>
      </c>
      <c r="H780" s="6" t="str">
        <f>IFERROR(__xludf.DUMMYFUNCTION("IF(REGEXMATCH(LOWER(G780), ""^(\?)+\s*(missing)?\s*(\?)*$""), """", PROPER(SUBSTITUTE(SUBSTITUTE(G780, ""?"", """"), ""*"", """")))"),"Set/10 Red Polkadot Party Candles")</f>
        <v>Set/10 Red Polkadot Party Candles</v>
      </c>
      <c r="I780" s="3">
        <v>24.0</v>
      </c>
      <c r="J780" s="7">
        <v>40513.51527777778</v>
      </c>
      <c r="K780" s="8" t="str">
        <f t="shared" si="4"/>
        <v>2010-12</v>
      </c>
      <c r="L780" s="5">
        <v>1.25</v>
      </c>
      <c r="M780" s="3">
        <v>14849.0</v>
      </c>
      <c r="N780" s="1" t="str">
        <f t="shared" si="5"/>
        <v>Registered</v>
      </c>
      <c r="O780" s="1" t="s">
        <v>19</v>
      </c>
      <c r="P780" s="9" t="str">
        <f t="shared" si="6"/>
        <v>UK</v>
      </c>
      <c r="Q780" s="8">
        <f t="shared" si="7"/>
        <v>30</v>
      </c>
    </row>
    <row r="781">
      <c r="A781" s="1">
        <v>536463.0</v>
      </c>
      <c r="B781" s="1" t="str">
        <f t="shared" si="1"/>
        <v>536463</v>
      </c>
      <c r="C781" s="1" t="str">
        <f t="shared" si="2"/>
        <v>Sale</v>
      </c>
      <c r="D781" s="1">
        <v>82552.0</v>
      </c>
      <c r="E781" s="1" t="str">
        <f>IFERROR(__xludf.DUMMYFUNCTION("IF(LEN(D781)&gt;4, IFERROR(REGEXEXTRACT(TO_TEXT(D781),""\d+""),""""),"""")"),"82552")</f>
        <v>82552</v>
      </c>
      <c r="F781" s="6" t="str">
        <f t="shared" si="3"/>
        <v>Product</v>
      </c>
      <c r="G781" s="1" t="s">
        <v>559</v>
      </c>
      <c r="H781" s="6" t="str">
        <f>IFERROR(__xludf.DUMMYFUNCTION("IF(REGEXMATCH(LOWER(G781), ""^(\?)+\s*(missing)?\s*(\?)*$""), """", PROPER(SUBSTITUTE(SUBSTITUTE(G781, ""?"", """"), ""*"", """")))"),"Washroom Metal Sign")</f>
        <v>Washroom Metal Sign</v>
      </c>
      <c r="I781" s="3">
        <v>12.0</v>
      </c>
      <c r="J781" s="7">
        <v>40513.51527777778</v>
      </c>
      <c r="K781" s="8" t="str">
        <f t="shared" si="4"/>
        <v>2010-12</v>
      </c>
      <c r="L781" s="5">
        <v>1.45</v>
      </c>
      <c r="M781" s="3">
        <v>14849.0</v>
      </c>
      <c r="N781" s="1" t="str">
        <f t="shared" si="5"/>
        <v>Registered</v>
      </c>
      <c r="O781" s="1" t="s">
        <v>19</v>
      </c>
      <c r="P781" s="9" t="str">
        <f t="shared" si="6"/>
        <v>UK</v>
      </c>
      <c r="Q781" s="8">
        <f t="shared" si="7"/>
        <v>17.4</v>
      </c>
    </row>
    <row r="782">
      <c r="A782" s="1">
        <v>536464.0</v>
      </c>
      <c r="B782" s="1" t="str">
        <f t="shared" si="1"/>
        <v>536464</v>
      </c>
      <c r="C782" s="1" t="str">
        <f t="shared" si="2"/>
        <v>Sale</v>
      </c>
      <c r="D782" s="1" t="s">
        <v>560</v>
      </c>
      <c r="E782" s="1" t="str">
        <f>IFERROR(__xludf.DUMMYFUNCTION("IF(LEN(D782)&gt;4, IFERROR(REGEXEXTRACT(TO_TEXT(D782),""\d+""),""""),"""")"),"90200")</f>
        <v>90200</v>
      </c>
      <c r="F782" s="6" t="str">
        <f t="shared" si="3"/>
        <v>Product</v>
      </c>
      <c r="G782" s="1" t="s">
        <v>561</v>
      </c>
      <c r="H782" s="6" t="str">
        <f>IFERROR(__xludf.DUMMYFUNCTION("IF(REGEXMATCH(LOWER(G782), ""^(\?)+\s*(missing)?\s*(\?)*$""), """", PROPER(SUBSTITUTE(SUBSTITUTE(G782, ""?"", """"), ""*"", """")))"),"Black Sweetheart Bracelet")</f>
        <v>Black Sweetheart Bracelet</v>
      </c>
      <c r="I782" s="3">
        <v>2.0</v>
      </c>
      <c r="J782" s="7">
        <v>40513.51597222222</v>
      </c>
      <c r="K782" s="8" t="str">
        <f t="shared" si="4"/>
        <v>2010-12</v>
      </c>
      <c r="L782" s="5">
        <v>4.25</v>
      </c>
      <c r="M782" s="3">
        <v>17968.0</v>
      </c>
      <c r="N782" s="1" t="str">
        <f t="shared" si="5"/>
        <v>Registered</v>
      </c>
      <c r="O782" s="1" t="s">
        <v>19</v>
      </c>
      <c r="P782" s="9" t="str">
        <f t="shared" si="6"/>
        <v>UK</v>
      </c>
      <c r="Q782" s="8">
        <f t="shared" si="7"/>
        <v>8.5</v>
      </c>
    </row>
    <row r="783">
      <c r="A783" s="1">
        <v>536464.0</v>
      </c>
      <c r="B783" s="1" t="str">
        <f t="shared" si="1"/>
        <v>536464</v>
      </c>
      <c r="C783" s="1" t="str">
        <f t="shared" si="2"/>
        <v>Sale</v>
      </c>
      <c r="D783" s="1" t="s">
        <v>562</v>
      </c>
      <c r="E783" s="1" t="str">
        <f>IFERROR(__xludf.DUMMYFUNCTION("IF(LEN(D783)&gt;4, IFERROR(REGEXEXTRACT(TO_TEXT(D783),""\d+""),""""),"""")"),"90059")</f>
        <v>90059</v>
      </c>
      <c r="F783" s="6" t="str">
        <f t="shared" si="3"/>
        <v>Product</v>
      </c>
      <c r="G783" s="1" t="s">
        <v>563</v>
      </c>
      <c r="H783" s="6" t="str">
        <f>IFERROR(__xludf.DUMMYFUNCTION("IF(REGEXMATCH(LOWER(G783), ""^(\?)+\s*(missing)?\s*(\?)*$""), """", PROPER(SUBSTITUTE(SUBSTITUTE(G783, ""?"", """"), ""*"", """")))"),"Diamante Hair Grip Pack/2 Black Dia")</f>
        <v>Diamante Hair Grip Pack/2 Black Dia</v>
      </c>
      <c r="I783" s="3">
        <v>2.0</v>
      </c>
      <c r="J783" s="7">
        <v>40513.51597222222</v>
      </c>
      <c r="K783" s="8" t="str">
        <f t="shared" si="4"/>
        <v>2010-12</v>
      </c>
      <c r="L783" s="5">
        <v>1.65</v>
      </c>
      <c r="M783" s="3">
        <v>17968.0</v>
      </c>
      <c r="N783" s="1" t="str">
        <f t="shared" si="5"/>
        <v>Registered</v>
      </c>
      <c r="O783" s="1" t="s">
        <v>19</v>
      </c>
      <c r="P783" s="9" t="str">
        <f t="shared" si="6"/>
        <v>UK</v>
      </c>
      <c r="Q783" s="8">
        <f t="shared" si="7"/>
        <v>3.3</v>
      </c>
    </row>
    <row r="784">
      <c r="A784" s="1">
        <v>536464.0</v>
      </c>
      <c r="B784" s="1" t="str">
        <f t="shared" si="1"/>
        <v>536464</v>
      </c>
      <c r="C784" s="1" t="str">
        <f t="shared" si="2"/>
        <v>Sale</v>
      </c>
      <c r="D784" s="1" t="s">
        <v>564</v>
      </c>
      <c r="E784" s="1" t="str">
        <f>IFERROR(__xludf.DUMMYFUNCTION("IF(LEN(D784)&gt;4, IFERROR(REGEXEXTRACT(TO_TEXT(D784),""\d+""),""""),"""")"),"90185")</f>
        <v>90185</v>
      </c>
      <c r="F784" s="6" t="str">
        <f t="shared" si="3"/>
        <v>Product</v>
      </c>
      <c r="G784" s="1" t="s">
        <v>565</v>
      </c>
      <c r="H784" s="6" t="str">
        <f>IFERROR(__xludf.DUMMYFUNCTION("IF(REGEXMATCH(LOWER(G784), ""^(\?)+\s*(missing)?\s*(\?)*$""), """", PROPER(SUBSTITUTE(SUBSTITUTE(G784, ""?"", """"), ""*"", """")))"),"Black Diamante Expandable Ring")</f>
        <v>Black Diamante Expandable Ring</v>
      </c>
      <c r="I784" s="3">
        <v>2.0</v>
      </c>
      <c r="J784" s="7">
        <v>40513.51597222222</v>
      </c>
      <c r="K784" s="8" t="str">
        <f t="shared" si="4"/>
        <v>2010-12</v>
      </c>
      <c r="L784" s="5">
        <v>4.25</v>
      </c>
      <c r="M784" s="3">
        <v>17968.0</v>
      </c>
      <c r="N784" s="1" t="str">
        <f t="shared" si="5"/>
        <v>Registered</v>
      </c>
      <c r="O784" s="1" t="s">
        <v>19</v>
      </c>
      <c r="P784" s="9" t="str">
        <f t="shared" si="6"/>
        <v>UK</v>
      </c>
      <c r="Q784" s="8">
        <f t="shared" si="7"/>
        <v>8.5</v>
      </c>
    </row>
    <row r="785">
      <c r="A785" s="1">
        <v>536464.0</v>
      </c>
      <c r="B785" s="1" t="str">
        <f t="shared" si="1"/>
        <v>536464</v>
      </c>
      <c r="C785" s="1" t="str">
        <f t="shared" si="2"/>
        <v>Sale</v>
      </c>
      <c r="D785" s="1" t="s">
        <v>566</v>
      </c>
      <c r="E785" s="1" t="str">
        <f>IFERROR(__xludf.DUMMYFUNCTION("IF(LEN(D785)&gt;4, IFERROR(REGEXEXTRACT(TO_TEXT(D785),""\d+""),""""),"""")"),"90059")</f>
        <v>90059</v>
      </c>
      <c r="F785" s="6" t="str">
        <f t="shared" si="3"/>
        <v>Product</v>
      </c>
      <c r="G785" s="1" t="s">
        <v>567</v>
      </c>
      <c r="H785" s="6" t="str">
        <f>IFERROR(__xludf.DUMMYFUNCTION("IF(REGEXMATCH(LOWER(G785), ""^(\?)+\s*(missing)?\s*(\?)*$""), """", PROPER(SUBSTITUTE(SUBSTITUTE(G785, ""?"", """"), ""*"", """")))"),"Diamante Hair Grip Pack/2 Ruby")</f>
        <v>Diamante Hair Grip Pack/2 Ruby</v>
      </c>
      <c r="I785" s="3">
        <v>3.0</v>
      </c>
      <c r="J785" s="7">
        <v>40513.51597222222</v>
      </c>
      <c r="K785" s="8" t="str">
        <f t="shared" si="4"/>
        <v>2010-12</v>
      </c>
      <c r="L785" s="5">
        <v>1.65</v>
      </c>
      <c r="M785" s="3">
        <v>17968.0</v>
      </c>
      <c r="N785" s="1" t="str">
        <f t="shared" si="5"/>
        <v>Registered</v>
      </c>
      <c r="O785" s="1" t="s">
        <v>19</v>
      </c>
      <c r="P785" s="9" t="str">
        <f t="shared" si="6"/>
        <v>UK</v>
      </c>
      <c r="Q785" s="8">
        <f t="shared" si="7"/>
        <v>4.95</v>
      </c>
    </row>
    <row r="786">
      <c r="A786" s="1">
        <v>536464.0</v>
      </c>
      <c r="B786" s="1" t="str">
        <f t="shared" si="1"/>
        <v>536464</v>
      </c>
      <c r="C786" s="1" t="str">
        <f t="shared" si="2"/>
        <v>Sale</v>
      </c>
      <c r="D786" s="1" t="s">
        <v>568</v>
      </c>
      <c r="E786" s="1" t="str">
        <f>IFERROR(__xludf.DUMMYFUNCTION("IF(LEN(D786)&gt;4, IFERROR(REGEXEXTRACT(TO_TEXT(D786),""\d+""),""""),"""")"),"90059")</f>
        <v>90059</v>
      </c>
      <c r="F786" s="6" t="str">
        <f t="shared" si="3"/>
        <v>Product</v>
      </c>
      <c r="G786" s="1" t="s">
        <v>569</v>
      </c>
      <c r="H786" s="6" t="str">
        <f>IFERROR(__xludf.DUMMYFUNCTION("IF(REGEXMATCH(LOWER(G786), ""^(\?)+\s*(missing)?\s*(\?)*$""), """", PROPER(SUBSTITUTE(SUBSTITUTE(G786, ""?"", """"), ""*"", """")))"),"Diamante Hair Grip Pack/2 Montana")</f>
        <v>Diamante Hair Grip Pack/2 Montana</v>
      </c>
      <c r="I786" s="3">
        <v>1.0</v>
      </c>
      <c r="J786" s="7">
        <v>40513.51597222222</v>
      </c>
      <c r="K786" s="8" t="str">
        <f t="shared" si="4"/>
        <v>2010-12</v>
      </c>
      <c r="L786" s="5">
        <v>1.65</v>
      </c>
      <c r="M786" s="3">
        <v>17968.0</v>
      </c>
      <c r="N786" s="1" t="str">
        <f t="shared" si="5"/>
        <v>Registered</v>
      </c>
      <c r="O786" s="1" t="s">
        <v>19</v>
      </c>
      <c r="P786" s="9" t="str">
        <f t="shared" si="6"/>
        <v>UK</v>
      </c>
      <c r="Q786" s="8">
        <f t="shared" si="7"/>
        <v>1.65</v>
      </c>
    </row>
    <row r="787">
      <c r="A787" s="1">
        <v>536464.0</v>
      </c>
      <c r="B787" s="1" t="str">
        <f t="shared" si="1"/>
        <v>536464</v>
      </c>
      <c r="C787" s="1" t="str">
        <f t="shared" si="2"/>
        <v>Sale</v>
      </c>
      <c r="D787" s="1" t="s">
        <v>570</v>
      </c>
      <c r="E787" s="1" t="str">
        <f>IFERROR(__xludf.DUMMYFUNCTION("IF(LEN(D787)&gt;4, IFERROR(REGEXEXTRACT(TO_TEXT(D787),""\d+""),""""),"""")"),"90200")</f>
        <v>90200</v>
      </c>
      <c r="F787" s="6" t="str">
        <f t="shared" si="3"/>
        <v>Product</v>
      </c>
      <c r="G787" s="1" t="s">
        <v>571</v>
      </c>
      <c r="H787" s="6" t="str">
        <f>IFERROR(__xludf.DUMMYFUNCTION("IF(REGEXMATCH(LOWER(G787), ""^(\?)+\s*(missing)?\s*(\?)*$""), """", PROPER(SUBSTITUTE(SUBSTITUTE(G787, ""?"", """"), ""*"", """")))"),"Blue Sweetheart Bracelet")</f>
        <v>Blue Sweetheart Bracelet</v>
      </c>
      <c r="I787" s="3">
        <v>1.0</v>
      </c>
      <c r="J787" s="7">
        <v>40513.51597222222</v>
      </c>
      <c r="K787" s="8" t="str">
        <f t="shared" si="4"/>
        <v>2010-12</v>
      </c>
      <c r="L787" s="5">
        <v>4.25</v>
      </c>
      <c r="M787" s="3">
        <v>17968.0</v>
      </c>
      <c r="N787" s="1" t="str">
        <f t="shared" si="5"/>
        <v>Registered</v>
      </c>
      <c r="O787" s="1" t="s">
        <v>19</v>
      </c>
      <c r="P787" s="9" t="str">
        <f t="shared" si="6"/>
        <v>UK</v>
      </c>
      <c r="Q787" s="8">
        <f t="shared" si="7"/>
        <v>4.25</v>
      </c>
    </row>
    <row r="788">
      <c r="A788" s="1">
        <v>536464.0</v>
      </c>
      <c r="B788" s="1" t="str">
        <f t="shared" si="1"/>
        <v>536464</v>
      </c>
      <c r="C788" s="1" t="str">
        <f t="shared" si="2"/>
        <v>Sale</v>
      </c>
      <c r="D788" s="1" t="s">
        <v>572</v>
      </c>
      <c r="E788" s="1" t="str">
        <f>IFERROR(__xludf.DUMMYFUNCTION("IF(LEN(D788)&gt;4, IFERROR(REGEXEXTRACT(TO_TEXT(D788),""\d+""),""""),"""")"),"90200")</f>
        <v>90200</v>
      </c>
      <c r="F788" s="6" t="str">
        <f t="shared" si="3"/>
        <v>Product</v>
      </c>
      <c r="G788" s="1" t="s">
        <v>573</v>
      </c>
      <c r="H788" s="6" t="str">
        <f>IFERROR(__xludf.DUMMYFUNCTION("IF(REGEXMATCH(LOWER(G788), ""^(\?)+\s*(missing)?\s*(\?)*$""), """", PROPER(SUBSTITUTE(SUBSTITUTE(G788, ""?"", """"), ""*"", """")))"),"Pink Sweetheart Bracelet")</f>
        <v>Pink Sweetheart Bracelet</v>
      </c>
      <c r="I788" s="3">
        <v>3.0</v>
      </c>
      <c r="J788" s="7">
        <v>40513.51597222222</v>
      </c>
      <c r="K788" s="8" t="str">
        <f t="shared" si="4"/>
        <v>2010-12</v>
      </c>
      <c r="L788" s="5">
        <v>4.25</v>
      </c>
      <c r="M788" s="3">
        <v>17968.0</v>
      </c>
      <c r="N788" s="1" t="str">
        <f t="shared" si="5"/>
        <v>Registered</v>
      </c>
      <c r="O788" s="1" t="s">
        <v>19</v>
      </c>
      <c r="P788" s="9" t="str">
        <f t="shared" si="6"/>
        <v>UK</v>
      </c>
      <c r="Q788" s="8">
        <f t="shared" si="7"/>
        <v>12.75</v>
      </c>
    </row>
    <row r="789">
      <c r="A789" s="1">
        <v>536464.0</v>
      </c>
      <c r="B789" s="1" t="str">
        <f t="shared" si="1"/>
        <v>536464</v>
      </c>
      <c r="C789" s="1" t="str">
        <f t="shared" si="2"/>
        <v>Sale</v>
      </c>
      <c r="D789" s="1" t="s">
        <v>574</v>
      </c>
      <c r="E789" s="1" t="str">
        <f>IFERROR(__xludf.DUMMYFUNCTION("IF(LEN(D789)&gt;4, IFERROR(REGEXEXTRACT(TO_TEXT(D789),""\d+""),""""),"""")"),"90200")</f>
        <v>90200</v>
      </c>
      <c r="F789" s="6" t="str">
        <f t="shared" si="3"/>
        <v>Product</v>
      </c>
      <c r="G789" s="1" t="s">
        <v>575</v>
      </c>
      <c r="H789" s="6" t="str">
        <f>IFERROR(__xludf.DUMMYFUNCTION("IF(REGEXMATCH(LOWER(G789), ""^(\?)+\s*(missing)?\s*(\?)*$""), """", PROPER(SUBSTITUTE(SUBSTITUTE(G789, ""?"", """"), ""*"", """")))"),"Purple Sweetheart Bracelet")</f>
        <v>Purple Sweetheart Bracelet</v>
      </c>
      <c r="I789" s="3">
        <v>1.0</v>
      </c>
      <c r="J789" s="7">
        <v>40513.51597222222</v>
      </c>
      <c r="K789" s="8" t="str">
        <f t="shared" si="4"/>
        <v>2010-12</v>
      </c>
      <c r="L789" s="5">
        <v>4.25</v>
      </c>
      <c r="M789" s="3">
        <v>17968.0</v>
      </c>
      <c r="N789" s="1" t="str">
        <f t="shared" si="5"/>
        <v>Registered</v>
      </c>
      <c r="O789" s="1" t="s">
        <v>19</v>
      </c>
      <c r="P789" s="9" t="str">
        <f t="shared" si="6"/>
        <v>UK</v>
      </c>
      <c r="Q789" s="8">
        <f t="shared" si="7"/>
        <v>4.25</v>
      </c>
    </row>
    <row r="790">
      <c r="A790" s="1">
        <v>536464.0</v>
      </c>
      <c r="B790" s="1" t="str">
        <f t="shared" si="1"/>
        <v>536464</v>
      </c>
      <c r="C790" s="1" t="str">
        <f t="shared" si="2"/>
        <v>Sale</v>
      </c>
      <c r="D790" s="1">
        <v>22386.0</v>
      </c>
      <c r="E790" s="1" t="str">
        <f>IFERROR(__xludf.DUMMYFUNCTION("IF(LEN(D790)&gt;4, IFERROR(REGEXEXTRACT(TO_TEXT(D790),""\d+""),""""),"""")"),"22386")</f>
        <v>22386</v>
      </c>
      <c r="F790" s="6" t="str">
        <f t="shared" si="3"/>
        <v>Product</v>
      </c>
      <c r="G790" s="1" t="s">
        <v>84</v>
      </c>
      <c r="H790" s="6" t="str">
        <f>IFERROR(__xludf.DUMMYFUNCTION("IF(REGEXMATCH(LOWER(G790), ""^(\?)+\s*(missing)?\s*(\?)*$""), """", PROPER(SUBSTITUTE(SUBSTITUTE(G790, ""?"", """"), ""*"", """")))"),"Jumbo Bag Pink Polkadot")</f>
        <v>Jumbo Bag Pink Polkadot</v>
      </c>
      <c r="I790" s="3">
        <v>1.0</v>
      </c>
      <c r="J790" s="7">
        <v>40513.51597222222</v>
      </c>
      <c r="K790" s="8" t="str">
        <f t="shared" si="4"/>
        <v>2010-12</v>
      </c>
      <c r="L790" s="5">
        <v>1.95</v>
      </c>
      <c r="M790" s="3">
        <v>17968.0</v>
      </c>
      <c r="N790" s="1" t="str">
        <f t="shared" si="5"/>
        <v>Registered</v>
      </c>
      <c r="O790" s="1" t="s">
        <v>19</v>
      </c>
      <c r="P790" s="9" t="str">
        <f t="shared" si="6"/>
        <v>UK</v>
      </c>
      <c r="Q790" s="8">
        <f t="shared" si="7"/>
        <v>1.95</v>
      </c>
    </row>
    <row r="791">
      <c r="A791" s="1">
        <v>536464.0</v>
      </c>
      <c r="B791" s="1" t="str">
        <f t="shared" si="1"/>
        <v>536464</v>
      </c>
      <c r="C791" s="1" t="str">
        <f t="shared" si="2"/>
        <v>Sale</v>
      </c>
      <c r="D791" s="1" t="s">
        <v>181</v>
      </c>
      <c r="E791" s="1" t="str">
        <f>IFERROR(__xludf.DUMMYFUNCTION("IF(LEN(D791)&gt;4, IFERROR(REGEXEXTRACT(TO_TEXT(D791),""\d+""),""""),"""")"),"85099")</f>
        <v>85099</v>
      </c>
      <c r="F791" s="6" t="str">
        <f t="shared" si="3"/>
        <v>Product</v>
      </c>
      <c r="G791" s="1" t="s">
        <v>182</v>
      </c>
      <c r="H791" s="6" t="str">
        <f>IFERROR(__xludf.DUMMYFUNCTION("IF(REGEXMATCH(LOWER(G791), ""^(\?)+\s*(missing)?\s*(\?)*$""), """", PROPER(SUBSTITUTE(SUBSTITUTE(G791, ""?"", """"), ""*"", """")))"),"Jumbo Bag Red Retrospot")</f>
        <v>Jumbo Bag Red Retrospot</v>
      </c>
      <c r="I791" s="3">
        <v>1.0</v>
      </c>
      <c r="J791" s="7">
        <v>40513.51597222222</v>
      </c>
      <c r="K791" s="8" t="str">
        <f t="shared" si="4"/>
        <v>2010-12</v>
      </c>
      <c r="L791" s="5">
        <v>1.95</v>
      </c>
      <c r="M791" s="3">
        <v>17968.0</v>
      </c>
      <c r="N791" s="1" t="str">
        <f t="shared" si="5"/>
        <v>Registered</v>
      </c>
      <c r="O791" s="1" t="s">
        <v>19</v>
      </c>
      <c r="P791" s="9" t="str">
        <f t="shared" si="6"/>
        <v>UK</v>
      </c>
      <c r="Q791" s="8">
        <f t="shared" si="7"/>
        <v>1.95</v>
      </c>
    </row>
    <row r="792">
      <c r="A792" s="1">
        <v>536464.0</v>
      </c>
      <c r="B792" s="1" t="str">
        <f t="shared" si="1"/>
        <v>536464</v>
      </c>
      <c r="C792" s="1" t="str">
        <f t="shared" si="2"/>
        <v>Sale</v>
      </c>
      <c r="D792" s="1">
        <v>84879.0</v>
      </c>
      <c r="E792" s="1" t="str">
        <f>IFERROR(__xludf.DUMMYFUNCTION("IF(LEN(D792)&gt;4, IFERROR(REGEXEXTRACT(TO_TEXT(D792),""\d+""),""""),"""")"),"84879")</f>
        <v>84879</v>
      </c>
      <c r="F792" s="6" t="str">
        <f t="shared" si="3"/>
        <v>Product</v>
      </c>
      <c r="G792" s="1" t="s">
        <v>31</v>
      </c>
      <c r="H792" s="6" t="str">
        <f>IFERROR(__xludf.DUMMYFUNCTION("IF(REGEXMATCH(LOWER(G792), ""^(\?)+\s*(missing)?\s*(\?)*$""), """", PROPER(SUBSTITUTE(SUBSTITUTE(G792, ""?"", """"), ""*"", """")))"),"Assorted Colour Bird Ornament")</f>
        <v>Assorted Colour Bird Ornament</v>
      </c>
      <c r="I792" s="3">
        <v>8.0</v>
      </c>
      <c r="J792" s="7">
        <v>40513.51597222222</v>
      </c>
      <c r="K792" s="8" t="str">
        <f t="shared" si="4"/>
        <v>2010-12</v>
      </c>
      <c r="L792" s="5">
        <v>1.69</v>
      </c>
      <c r="M792" s="3">
        <v>17968.0</v>
      </c>
      <c r="N792" s="1" t="str">
        <f t="shared" si="5"/>
        <v>Registered</v>
      </c>
      <c r="O792" s="1" t="s">
        <v>19</v>
      </c>
      <c r="P792" s="9" t="str">
        <f t="shared" si="6"/>
        <v>UK</v>
      </c>
      <c r="Q792" s="8">
        <f t="shared" si="7"/>
        <v>13.52</v>
      </c>
    </row>
    <row r="793">
      <c r="A793" s="1">
        <v>536464.0</v>
      </c>
      <c r="B793" s="1" t="str">
        <f t="shared" si="1"/>
        <v>536464</v>
      </c>
      <c r="C793" s="1" t="str">
        <f t="shared" si="2"/>
        <v>Sale</v>
      </c>
      <c r="D793" s="1">
        <v>22086.0</v>
      </c>
      <c r="E793" s="1" t="str">
        <f>IFERROR(__xludf.DUMMYFUNCTION("IF(LEN(D793)&gt;4, IFERROR(REGEXEXTRACT(TO_TEXT(D793),""\d+""),""""),"""")"),"22086")</f>
        <v>22086</v>
      </c>
      <c r="F793" s="6" t="str">
        <f t="shared" si="3"/>
        <v>Product</v>
      </c>
      <c r="G793" s="1" t="s">
        <v>70</v>
      </c>
      <c r="H793" s="6" t="str">
        <f>IFERROR(__xludf.DUMMYFUNCTION("IF(REGEXMATCH(LOWER(G793), ""^(\?)+\s*(missing)?\s*(\?)*$""), """", PROPER(SUBSTITUTE(SUBSTITUTE(G793, ""?"", """"), ""*"", """")))"),"Paper Chain Kit 50'S Christmas")</f>
        <v>Paper Chain Kit 50'S Christmas</v>
      </c>
      <c r="I793" s="3">
        <v>1.0</v>
      </c>
      <c r="J793" s="7">
        <v>40513.51597222222</v>
      </c>
      <c r="K793" s="8" t="str">
        <f t="shared" si="4"/>
        <v>2010-12</v>
      </c>
      <c r="L793" s="5">
        <v>2.95</v>
      </c>
      <c r="M793" s="3">
        <v>17968.0</v>
      </c>
      <c r="N793" s="1" t="str">
        <f t="shared" si="5"/>
        <v>Registered</v>
      </c>
      <c r="O793" s="1" t="s">
        <v>19</v>
      </c>
      <c r="P793" s="9" t="str">
        <f t="shared" si="6"/>
        <v>UK</v>
      </c>
      <c r="Q793" s="8">
        <f t="shared" si="7"/>
        <v>2.95</v>
      </c>
    </row>
    <row r="794">
      <c r="A794" s="1">
        <v>536464.0</v>
      </c>
      <c r="B794" s="1" t="str">
        <f t="shared" si="1"/>
        <v>536464</v>
      </c>
      <c r="C794" s="1" t="str">
        <f t="shared" si="2"/>
        <v>Sale</v>
      </c>
      <c r="D794" s="1">
        <v>22737.0</v>
      </c>
      <c r="E794" s="1" t="str">
        <f>IFERROR(__xludf.DUMMYFUNCTION("IF(LEN(D794)&gt;4, IFERROR(REGEXEXTRACT(TO_TEXT(D794),""\d+""),""""),"""")"),"22737")</f>
        <v>22737</v>
      </c>
      <c r="F794" s="6" t="str">
        <f t="shared" si="3"/>
        <v>Product</v>
      </c>
      <c r="G794" s="1" t="s">
        <v>576</v>
      </c>
      <c r="H794" s="6" t="str">
        <f>IFERROR(__xludf.DUMMYFUNCTION("IF(REGEXMATCH(LOWER(G794), ""^(\?)+\s*(missing)?\s*(\?)*$""), """", PROPER(SUBSTITUTE(SUBSTITUTE(G794, ""?"", """"), ""*"", """")))"),"Ribbon Reel Christmas Present")</f>
        <v>Ribbon Reel Christmas Present</v>
      </c>
      <c r="I794" s="3">
        <v>1.0</v>
      </c>
      <c r="J794" s="7">
        <v>40513.51597222222</v>
      </c>
      <c r="K794" s="8" t="str">
        <f t="shared" si="4"/>
        <v>2010-12</v>
      </c>
      <c r="L794" s="5">
        <v>1.65</v>
      </c>
      <c r="M794" s="3">
        <v>17968.0</v>
      </c>
      <c r="N794" s="1" t="str">
        <f t="shared" si="5"/>
        <v>Registered</v>
      </c>
      <c r="O794" s="1" t="s">
        <v>19</v>
      </c>
      <c r="P794" s="9" t="str">
        <f t="shared" si="6"/>
        <v>UK</v>
      </c>
      <c r="Q794" s="8">
        <f t="shared" si="7"/>
        <v>1.65</v>
      </c>
    </row>
    <row r="795">
      <c r="A795" s="1">
        <v>536464.0</v>
      </c>
      <c r="B795" s="1" t="str">
        <f t="shared" si="1"/>
        <v>536464</v>
      </c>
      <c r="C795" s="1" t="str">
        <f t="shared" si="2"/>
        <v>Sale</v>
      </c>
      <c r="D795" s="1">
        <v>21260.0</v>
      </c>
      <c r="E795" s="1" t="str">
        <f>IFERROR(__xludf.DUMMYFUNCTION("IF(LEN(D795)&gt;4, IFERROR(REGEXEXTRACT(TO_TEXT(D795),""\d+""),""""),"""")"),"21260")</f>
        <v>21260</v>
      </c>
      <c r="F795" s="6" t="str">
        <f t="shared" si="3"/>
        <v>Product</v>
      </c>
      <c r="G795" s="1" t="s">
        <v>577</v>
      </c>
      <c r="H795" s="6" t="str">
        <f>IFERROR(__xludf.DUMMYFUNCTION("IF(REGEXMATCH(LOWER(G795), ""^(\?)+\s*(missing)?\s*(\?)*$""), """", PROPER(SUBSTITUTE(SUBSTITUTE(G795, ""?"", """"), ""*"", """")))"),"First Aid Tin")</f>
        <v>First Aid Tin</v>
      </c>
      <c r="I795" s="3">
        <v>1.0</v>
      </c>
      <c r="J795" s="7">
        <v>40513.51597222222</v>
      </c>
      <c r="K795" s="8" t="str">
        <f t="shared" si="4"/>
        <v>2010-12</v>
      </c>
      <c r="L795" s="5">
        <v>3.25</v>
      </c>
      <c r="M795" s="3">
        <v>17968.0</v>
      </c>
      <c r="N795" s="1" t="str">
        <f t="shared" si="5"/>
        <v>Registered</v>
      </c>
      <c r="O795" s="1" t="s">
        <v>19</v>
      </c>
      <c r="P795" s="9" t="str">
        <f t="shared" si="6"/>
        <v>UK</v>
      </c>
      <c r="Q795" s="8">
        <f t="shared" si="7"/>
        <v>3.25</v>
      </c>
    </row>
    <row r="796">
      <c r="A796" s="1">
        <v>536464.0</v>
      </c>
      <c r="B796" s="1" t="str">
        <f t="shared" si="1"/>
        <v>536464</v>
      </c>
      <c r="C796" s="1" t="str">
        <f t="shared" si="2"/>
        <v>Sale</v>
      </c>
      <c r="D796" s="1">
        <v>22744.0</v>
      </c>
      <c r="E796" s="1" t="str">
        <f>IFERROR(__xludf.DUMMYFUNCTION("IF(LEN(D796)&gt;4, IFERROR(REGEXEXTRACT(TO_TEXT(D796),""\d+""),""""),"""")"),"22744")</f>
        <v>22744</v>
      </c>
      <c r="F796" s="6" t="str">
        <f t="shared" si="3"/>
        <v>Product</v>
      </c>
      <c r="G796" s="1" t="s">
        <v>578</v>
      </c>
      <c r="H796" s="6" t="str">
        <f>IFERROR(__xludf.DUMMYFUNCTION("IF(REGEXMATCH(LOWER(G796), ""^(\?)+\s*(missing)?\s*(\?)*$""), """", PROPER(SUBSTITUTE(SUBSTITUTE(G796, ""?"", """"), ""*"", """")))"),"Make Your Own Monsoon Card Kit")</f>
        <v>Make Your Own Monsoon Card Kit</v>
      </c>
      <c r="I796" s="3">
        <v>2.0</v>
      </c>
      <c r="J796" s="7">
        <v>40513.51597222222</v>
      </c>
      <c r="K796" s="8" t="str">
        <f t="shared" si="4"/>
        <v>2010-12</v>
      </c>
      <c r="L796" s="5">
        <v>2.95</v>
      </c>
      <c r="M796" s="3">
        <v>17968.0</v>
      </c>
      <c r="N796" s="1" t="str">
        <f t="shared" si="5"/>
        <v>Registered</v>
      </c>
      <c r="O796" s="1" t="s">
        <v>19</v>
      </c>
      <c r="P796" s="9" t="str">
        <f t="shared" si="6"/>
        <v>UK</v>
      </c>
      <c r="Q796" s="8">
        <f t="shared" si="7"/>
        <v>5.9</v>
      </c>
    </row>
    <row r="797">
      <c r="A797" s="1">
        <v>536464.0</v>
      </c>
      <c r="B797" s="1" t="str">
        <f t="shared" si="1"/>
        <v>536464</v>
      </c>
      <c r="C797" s="1" t="str">
        <f t="shared" si="2"/>
        <v>Sale</v>
      </c>
      <c r="D797" s="1">
        <v>21985.0</v>
      </c>
      <c r="E797" s="1" t="str">
        <f>IFERROR(__xludf.DUMMYFUNCTION("IF(LEN(D797)&gt;4, IFERROR(REGEXEXTRACT(TO_TEXT(D797),""\d+""),""""),"""")"),"21985")</f>
        <v>21985</v>
      </c>
      <c r="F797" s="6" t="str">
        <f t="shared" si="3"/>
        <v>Product</v>
      </c>
      <c r="G797" s="1" t="s">
        <v>579</v>
      </c>
      <c r="H797" s="6" t="str">
        <f>IFERROR(__xludf.DUMMYFUNCTION("IF(REGEXMATCH(LOWER(G797), ""^(\?)+\s*(missing)?\s*(\?)*$""), """", PROPER(SUBSTITUTE(SUBSTITUTE(G797, ""?"", """"), ""*"", """")))"),"Pack Of 12 Hearts Design Tissues")</f>
        <v>Pack Of 12 Hearts Design Tissues</v>
      </c>
      <c r="I797" s="3">
        <v>1.0</v>
      </c>
      <c r="J797" s="7">
        <v>40513.51597222222</v>
      </c>
      <c r="K797" s="8" t="str">
        <f t="shared" si="4"/>
        <v>2010-12</v>
      </c>
      <c r="L797" s="5">
        <v>0.29</v>
      </c>
      <c r="M797" s="3">
        <v>17968.0</v>
      </c>
      <c r="N797" s="1" t="str">
        <f t="shared" si="5"/>
        <v>Registered</v>
      </c>
      <c r="O797" s="1" t="s">
        <v>19</v>
      </c>
      <c r="P797" s="9" t="str">
        <f t="shared" si="6"/>
        <v>UK</v>
      </c>
      <c r="Q797" s="8">
        <f t="shared" si="7"/>
        <v>0.29</v>
      </c>
    </row>
    <row r="798">
      <c r="A798" s="1">
        <v>536464.0</v>
      </c>
      <c r="B798" s="1" t="str">
        <f t="shared" si="1"/>
        <v>536464</v>
      </c>
      <c r="C798" s="1" t="str">
        <f t="shared" si="2"/>
        <v>Sale</v>
      </c>
      <c r="D798" s="1">
        <v>21980.0</v>
      </c>
      <c r="E798" s="1" t="str">
        <f>IFERROR(__xludf.DUMMYFUNCTION("IF(LEN(D798)&gt;4, IFERROR(REGEXEXTRACT(TO_TEXT(D798),""\d+""),""""),"""")"),"21980")</f>
        <v>21980</v>
      </c>
      <c r="F798" s="6" t="str">
        <f t="shared" si="3"/>
        <v>Product</v>
      </c>
      <c r="G798" s="1" t="s">
        <v>231</v>
      </c>
      <c r="H798" s="6" t="str">
        <f>IFERROR(__xludf.DUMMYFUNCTION("IF(REGEXMATCH(LOWER(G798), ""^(\?)+\s*(missing)?\s*(\?)*$""), """", PROPER(SUBSTITUTE(SUBSTITUTE(G798, ""?"", """"), ""*"", """")))"),"Pack Of 12 Red Retrospot Tissues")</f>
        <v>Pack Of 12 Red Retrospot Tissues</v>
      </c>
      <c r="I798" s="3">
        <v>1.0</v>
      </c>
      <c r="J798" s="7">
        <v>40513.51597222222</v>
      </c>
      <c r="K798" s="8" t="str">
        <f t="shared" si="4"/>
        <v>2010-12</v>
      </c>
      <c r="L798" s="5">
        <v>0.29</v>
      </c>
      <c r="M798" s="3">
        <v>17968.0</v>
      </c>
      <c r="N798" s="1" t="str">
        <f t="shared" si="5"/>
        <v>Registered</v>
      </c>
      <c r="O798" s="1" t="s">
        <v>19</v>
      </c>
      <c r="P798" s="9" t="str">
        <f t="shared" si="6"/>
        <v>UK</v>
      </c>
      <c r="Q798" s="8">
        <f t="shared" si="7"/>
        <v>0.29</v>
      </c>
    </row>
    <row r="799">
      <c r="A799" s="1">
        <v>536464.0</v>
      </c>
      <c r="B799" s="1" t="str">
        <f t="shared" si="1"/>
        <v>536464</v>
      </c>
      <c r="C799" s="1" t="str">
        <f t="shared" si="2"/>
        <v>Sale</v>
      </c>
      <c r="D799" s="1">
        <v>22988.0</v>
      </c>
      <c r="E799" s="1" t="str">
        <f>IFERROR(__xludf.DUMMYFUNCTION("IF(LEN(D799)&gt;4, IFERROR(REGEXEXTRACT(TO_TEXT(D799),""\d+""),""""),"""")"),"22988")</f>
        <v>22988</v>
      </c>
      <c r="F799" s="6" t="str">
        <f t="shared" si="3"/>
        <v>Product</v>
      </c>
      <c r="G799" s="1" t="s">
        <v>463</v>
      </c>
      <c r="H799" s="6" t="str">
        <f>IFERROR(__xludf.DUMMYFUNCTION("IF(REGEXMATCH(LOWER(G799), ""^(\?)+\s*(missing)?\s*(\?)*$""), """", PROPER(SUBSTITUTE(SUBSTITUTE(G799, ""?"", """"), ""*"", """")))"),"Soldiers Egg Cup")</f>
        <v>Soldiers Egg Cup</v>
      </c>
      <c r="I799" s="3">
        <v>1.0</v>
      </c>
      <c r="J799" s="7">
        <v>40513.51597222222</v>
      </c>
      <c r="K799" s="8" t="str">
        <f t="shared" si="4"/>
        <v>2010-12</v>
      </c>
      <c r="L799" s="5">
        <v>1.25</v>
      </c>
      <c r="M799" s="3">
        <v>17968.0</v>
      </c>
      <c r="N799" s="1" t="str">
        <f t="shared" si="5"/>
        <v>Registered</v>
      </c>
      <c r="O799" s="1" t="s">
        <v>19</v>
      </c>
      <c r="P799" s="9" t="str">
        <f t="shared" si="6"/>
        <v>UK</v>
      </c>
      <c r="Q799" s="8">
        <f t="shared" si="7"/>
        <v>1.25</v>
      </c>
    </row>
    <row r="800">
      <c r="A800" s="1">
        <v>536464.0</v>
      </c>
      <c r="B800" s="1" t="str">
        <f t="shared" si="1"/>
        <v>536464</v>
      </c>
      <c r="C800" s="1" t="str">
        <f t="shared" si="2"/>
        <v>Sale</v>
      </c>
      <c r="D800" s="1">
        <v>22297.0</v>
      </c>
      <c r="E800" s="1" t="str">
        <f>IFERROR(__xludf.DUMMYFUNCTION("IF(LEN(D800)&gt;4, IFERROR(REGEXEXTRACT(TO_TEXT(D800),""\d+""),""""),"""")"),"22297")</f>
        <v>22297</v>
      </c>
      <c r="F800" s="6" t="str">
        <f t="shared" si="3"/>
        <v>Product</v>
      </c>
      <c r="G800" s="1" t="s">
        <v>334</v>
      </c>
      <c r="H800" s="6" t="str">
        <f>IFERROR(__xludf.DUMMYFUNCTION("IF(REGEXMATCH(LOWER(G800), ""^(\?)+\s*(missing)?\s*(\?)*$""), """", PROPER(SUBSTITUTE(SUBSTITUTE(G800, ""?"", """"), ""*"", """")))"),"Heart Ivory Trellis Small")</f>
        <v>Heart Ivory Trellis Small</v>
      </c>
      <c r="I800" s="3">
        <v>1.0</v>
      </c>
      <c r="J800" s="7">
        <v>40513.51597222222</v>
      </c>
      <c r="K800" s="8" t="str">
        <f t="shared" si="4"/>
        <v>2010-12</v>
      </c>
      <c r="L800" s="5">
        <v>1.25</v>
      </c>
      <c r="M800" s="3">
        <v>17968.0</v>
      </c>
      <c r="N800" s="1" t="str">
        <f t="shared" si="5"/>
        <v>Registered</v>
      </c>
      <c r="O800" s="1" t="s">
        <v>19</v>
      </c>
      <c r="P800" s="9" t="str">
        <f t="shared" si="6"/>
        <v>UK</v>
      </c>
      <c r="Q800" s="8">
        <f t="shared" si="7"/>
        <v>1.25</v>
      </c>
    </row>
    <row r="801">
      <c r="A801" s="1">
        <v>536464.0</v>
      </c>
      <c r="B801" s="1" t="str">
        <f t="shared" si="1"/>
        <v>536464</v>
      </c>
      <c r="C801" s="1" t="str">
        <f t="shared" si="2"/>
        <v>Sale</v>
      </c>
      <c r="D801" s="1">
        <v>22294.0</v>
      </c>
      <c r="E801" s="1" t="str">
        <f>IFERROR(__xludf.DUMMYFUNCTION("IF(LEN(D801)&gt;4, IFERROR(REGEXEXTRACT(TO_TEXT(D801),""\d+""),""""),"""")"),"22294")</f>
        <v>22294</v>
      </c>
      <c r="F801" s="6" t="str">
        <f t="shared" si="3"/>
        <v>Product</v>
      </c>
      <c r="G801" s="1" t="s">
        <v>535</v>
      </c>
      <c r="H801" s="6" t="str">
        <f>IFERROR(__xludf.DUMMYFUNCTION("IF(REGEXMATCH(LOWER(G801), ""^(\?)+\s*(missing)?\s*(\?)*$""), """", PROPER(SUBSTITUTE(SUBSTITUTE(G801, ""?"", """"), ""*"", """")))"),"Heart Filigree Dove Small")</f>
        <v>Heart Filigree Dove Small</v>
      </c>
      <c r="I801" s="3">
        <v>1.0</v>
      </c>
      <c r="J801" s="7">
        <v>40513.51597222222</v>
      </c>
      <c r="K801" s="8" t="str">
        <f t="shared" si="4"/>
        <v>2010-12</v>
      </c>
      <c r="L801" s="5">
        <v>1.25</v>
      </c>
      <c r="M801" s="3">
        <v>17968.0</v>
      </c>
      <c r="N801" s="1" t="str">
        <f t="shared" si="5"/>
        <v>Registered</v>
      </c>
      <c r="O801" s="1" t="s">
        <v>19</v>
      </c>
      <c r="P801" s="9" t="str">
        <f t="shared" si="6"/>
        <v>UK</v>
      </c>
      <c r="Q801" s="8">
        <f t="shared" si="7"/>
        <v>1.25</v>
      </c>
    </row>
    <row r="802">
      <c r="A802" s="1">
        <v>536464.0</v>
      </c>
      <c r="B802" s="1" t="str">
        <f t="shared" si="1"/>
        <v>536464</v>
      </c>
      <c r="C802" s="1" t="str">
        <f t="shared" si="2"/>
        <v>Sale</v>
      </c>
      <c r="D802" s="1">
        <v>22295.0</v>
      </c>
      <c r="E802" s="1" t="str">
        <f>IFERROR(__xludf.DUMMYFUNCTION("IF(LEN(D802)&gt;4, IFERROR(REGEXEXTRACT(TO_TEXT(D802),""\d+""),""""),"""")"),"22295")</f>
        <v>22295</v>
      </c>
      <c r="F802" s="6" t="str">
        <f t="shared" si="3"/>
        <v>Product</v>
      </c>
      <c r="G802" s="1" t="s">
        <v>580</v>
      </c>
      <c r="H802" s="6" t="str">
        <f>IFERROR(__xludf.DUMMYFUNCTION("IF(REGEXMATCH(LOWER(G802), ""^(\?)+\s*(missing)?\s*(\?)*$""), """", PROPER(SUBSTITUTE(SUBSTITUTE(G802, ""?"", """"), ""*"", """")))"),"Heart Filigree Dove Large")</f>
        <v>Heart Filigree Dove Large</v>
      </c>
      <c r="I802" s="3">
        <v>1.0</v>
      </c>
      <c r="J802" s="7">
        <v>40513.51597222222</v>
      </c>
      <c r="K802" s="8" t="str">
        <f t="shared" si="4"/>
        <v>2010-12</v>
      </c>
      <c r="L802" s="5">
        <v>1.65</v>
      </c>
      <c r="M802" s="3">
        <v>17968.0</v>
      </c>
      <c r="N802" s="1" t="str">
        <f t="shared" si="5"/>
        <v>Registered</v>
      </c>
      <c r="O802" s="1" t="s">
        <v>19</v>
      </c>
      <c r="P802" s="9" t="str">
        <f t="shared" si="6"/>
        <v>UK</v>
      </c>
      <c r="Q802" s="8">
        <f t="shared" si="7"/>
        <v>1.65</v>
      </c>
    </row>
    <row r="803">
      <c r="A803" s="1">
        <v>536464.0</v>
      </c>
      <c r="B803" s="1" t="str">
        <f t="shared" si="1"/>
        <v>536464</v>
      </c>
      <c r="C803" s="1" t="str">
        <f t="shared" si="2"/>
        <v>Sale</v>
      </c>
      <c r="D803" s="1">
        <v>22813.0</v>
      </c>
      <c r="E803" s="1" t="str">
        <f>IFERROR(__xludf.DUMMYFUNCTION("IF(LEN(D803)&gt;4, IFERROR(REGEXEXTRACT(TO_TEXT(D803),""\d+""),""""),"""")"),"22813")</f>
        <v>22813</v>
      </c>
      <c r="F803" s="6" t="str">
        <f t="shared" si="3"/>
        <v>Product</v>
      </c>
      <c r="G803" s="1" t="s">
        <v>366</v>
      </c>
      <c r="H803" s="6" t="str">
        <f>IFERROR(__xludf.DUMMYFUNCTION("IF(REGEXMATCH(LOWER(G803), ""^(\?)+\s*(missing)?\s*(\?)*$""), """", PROPER(SUBSTITUTE(SUBSTITUTE(G803, ""?"", """"), ""*"", """")))"),"Pack 3 Boxes Bird Pannetone")</f>
        <v>Pack 3 Boxes Bird Pannetone</v>
      </c>
      <c r="I803" s="3">
        <v>2.0</v>
      </c>
      <c r="J803" s="7">
        <v>40513.51597222222</v>
      </c>
      <c r="K803" s="8" t="str">
        <f t="shared" si="4"/>
        <v>2010-12</v>
      </c>
      <c r="L803" s="5">
        <v>1.95</v>
      </c>
      <c r="M803" s="3">
        <v>17968.0</v>
      </c>
      <c r="N803" s="1" t="str">
        <f t="shared" si="5"/>
        <v>Registered</v>
      </c>
      <c r="O803" s="1" t="s">
        <v>19</v>
      </c>
      <c r="P803" s="9" t="str">
        <f t="shared" si="6"/>
        <v>UK</v>
      </c>
      <c r="Q803" s="8">
        <f t="shared" si="7"/>
        <v>3.9</v>
      </c>
    </row>
    <row r="804">
      <c r="A804" s="1">
        <v>536464.0</v>
      </c>
      <c r="B804" s="1" t="str">
        <f t="shared" si="1"/>
        <v>536464</v>
      </c>
      <c r="C804" s="1" t="str">
        <f t="shared" si="2"/>
        <v>Sale</v>
      </c>
      <c r="D804" s="1">
        <v>22812.0</v>
      </c>
      <c r="E804" s="1" t="str">
        <f>IFERROR(__xludf.DUMMYFUNCTION("IF(LEN(D804)&gt;4, IFERROR(REGEXEXTRACT(TO_TEXT(D804),""\d+""),""""),"""")"),"22812")</f>
        <v>22812</v>
      </c>
      <c r="F804" s="6" t="str">
        <f t="shared" si="3"/>
        <v>Product</v>
      </c>
      <c r="G804" s="1" t="s">
        <v>385</v>
      </c>
      <c r="H804" s="6" t="str">
        <f>IFERROR(__xludf.DUMMYFUNCTION("IF(REGEXMATCH(LOWER(G804), ""^(\?)+\s*(missing)?\s*(\?)*$""), """", PROPER(SUBSTITUTE(SUBSTITUTE(G804, ""?"", """"), ""*"", """")))"),"Pack 3 Boxes Christmas Pannetone")</f>
        <v>Pack 3 Boxes Christmas Pannetone</v>
      </c>
      <c r="I804" s="3">
        <v>6.0</v>
      </c>
      <c r="J804" s="7">
        <v>40513.51597222222</v>
      </c>
      <c r="K804" s="8" t="str">
        <f t="shared" si="4"/>
        <v>2010-12</v>
      </c>
      <c r="L804" s="5">
        <v>1.95</v>
      </c>
      <c r="M804" s="3">
        <v>17968.0</v>
      </c>
      <c r="N804" s="1" t="str">
        <f t="shared" si="5"/>
        <v>Registered</v>
      </c>
      <c r="O804" s="1" t="s">
        <v>19</v>
      </c>
      <c r="P804" s="9" t="str">
        <f t="shared" si="6"/>
        <v>UK</v>
      </c>
      <c r="Q804" s="8">
        <f t="shared" si="7"/>
        <v>11.7</v>
      </c>
    </row>
    <row r="805">
      <c r="A805" s="1">
        <v>536464.0</v>
      </c>
      <c r="B805" s="1" t="str">
        <f t="shared" si="1"/>
        <v>536464</v>
      </c>
      <c r="C805" s="1" t="str">
        <f t="shared" si="2"/>
        <v>Sale</v>
      </c>
      <c r="D805" s="1">
        <v>22197.0</v>
      </c>
      <c r="E805" s="1" t="str">
        <f>IFERROR(__xludf.DUMMYFUNCTION("IF(LEN(D805)&gt;4, IFERROR(REGEXEXTRACT(TO_TEXT(D805),""\d+""),""""),"""")"),"22197")</f>
        <v>22197</v>
      </c>
      <c r="F805" s="6" t="str">
        <f t="shared" si="3"/>
        <v>Product</v>
      </c>
      <c r="G805" s="1" t="s">
        <v>217</v>
      </c>
      <c r="H805" s="6" t="str">
        <f>IFERROR(__xludf.DUMMYFUNCTION("IF(REGEXMATCH(LOWER(G805), ""^(\?)+\s*(missing)?\s*(\?)*$""), """", PROPER(SUBSTITUTE(SUBSTITUTE(G805, ""?"", """"), ""*"", """")))"),"Small Popcorn Holder")</f>
        <v>Small Popcorn Holder</v>
      </c>
      <c r="I805" s="3">
        <v>5.0</v>
      </c>
      <c r="J805" s="7">
        <v>40513.51597222222</v>
      </c>
      <c r="K805" s="8" t="str">
        <f t="shared" si="4"/>
        <v>2010-12</v>
      </c>
      <c r="L805" s="5">
        <v>0.85</v>
      </c>
      <c r="M805" s="3">
        <v>17968.0</v>
      </c>
      <c r="N805" s="1" t="str">
        <f t="shared" si="5"/>
        <v>Registered</v>
      </c>
      <c r="O805" s="1" t="s">
        <v>19</v>
      </c>
      <c r="P805" s="9" t="str">
        <f t="shared" si="6"/>
        <v>UK</v>
      </c>
      <c r="Q805" s="8">
        <f t="shared" si="7"/>
        <v>4.25</v>
      </c>
    </row>
    <row r="806">
      <c r="A806" s="1">
        <v>536464.0</v>
      </c>
      <c r="B806" s="1" t="str">
        <f t="shared" si="1"/>
        <v>536464</v>
      </c>
      <c r="C806" s="1" t="str">
        <f t="shared" si="2"/>
        <v>Sale</v>
      </c>
      <c r="D806" s="1">
        <v>21977.0</v>
      </c>
      <c r="E806" s="1" t="str">
        <f>IFERROR(__xludf.DUMMYFUNCTION("IF(LEN(D806)&gt;4, IFERROR(REGEXEXTRACT(TO_TEXT(D806),""\d+""),""""),"""")"),"21977")</f>
        <v>21977</v>
      </c>
      <c r="F806" s="6" t="str">
        <f t="shared" si="3"/>
        <v>Product</v>
      </c>
      <c r="G806" s="1" t="s">
        <v>99</v>
      </c>
      <c r="H806" s="6" t="str">
        <f>IFERROR(__xludf.DUMMYFUNCTION("IF(REGEXMATCH(LOWER(G806), ""^(\?)+\s*(missing)?\s*(\?)*$""), """", PROPER(SUBSTITUTE(SUBSTITUTE(G806, ""?"", """"), ""*"", """")))"),"Pack Of 60 Pink Paisley Cake Cases")</f>
        <v>Pack Of 60 Pink Paisley Cake Cases</v>
      </c>
      <c r="I806" s="3">
        <v>1.0</v>
      </c>
      <c r="J806" s="7">
        <v>40513.51597222222</v>
      </c>
      <c r="K806" s="8" t="str">
        <f t="shared" si="4"/>
        <v>2010-12</v>
      </c>
      <c r="L806" s="5">
        <v>0.55</v>
      </c>
      <c r="M806" s="3">
        <v>17968.0</v>
      </c>
      <c r="N806" s="1" t="str">
        <f t="shared" si="5"/>
        <v>Registered</v>
      </c>
      <c r="O806" s="1" t="s">
        <v>19</v>
      </c>
      <c r="P806" s="9" t="str">
        <f t="shared" si="6"/>
        <v>UK</v>
      </c>
      <c r="Q806" s="8">
        <f t="shared" si="7"/>
        <v>0.55</v>
      </c>
    </row>
    <row r="807">
      <c r="A807" s="1">
        <v>536464.0</v>
      </c>
      <c r="B807" s="1" t="str">
        <f t="shared" si="1"/>
        <v>536464</v>
      </c>
      <c r="C807" s="1" t="str">
        <f t="shared" si="2"/>
        <v>Sale</v>
      </c>
      <c r="D807" s="1">
        <v>22619.0</v>
      </c>
      <c r="E807" s="1" t="str">
        <f>IFERROR(__xludf.DUMMYFUNCTION("IF(LEN(D807)&gt;4, IFERROR(REGEXEXTRACT(TO_TEXT(D807),""\d+""),""""),"""")"),"22619")</f>
        <v>22619</v>
      </c>
      <c r="F807" s="6" t="str">
        <f t="shared" si="3"/>
        <v>Product</v>
      </c>
      <c r="G807" s="1" t="s">
        <v>236</v>
      </c>
      <c r="H807" s="6" t="str">
        <f>IFERROR(__xludf.DUMMYFUNCTION("IF(REGEXMATCH(LOWER(G807), ""^(\?)+\s*(missing)?\s*(\?)*$""), """", PROPER(SUBSTITUTE(SUBSTITUTE(G807, ""?"", """"), ""*"", """")))"),"Set Of 6 Soldier Skittles")</f>
        <v>Set Of 6 Soldier Skittles</v>
      </c>
      <c r="I807" s="3">
        <v>1.0</v>
      </c>
      <c r="J807" s="7">
        <v>40513.51597222222</v>
      </c>
      <c r="K807" s="8" t="str">
        <f t="shared" si="4"/>
        <v>2010-12</v>
      </c>
      <c r="L807" s="5">
        <v>3.75</v>
      </c>
      <c r="M807" s="3">
        <v>17968.0</v>
      </c>
      <c r="N807" s="1" t="str">
        <f t="shared" si="5"/>
        <v>Registered</v>
      </c>
      <c r="O807" s="1" t="s">
        <v>19</v>
      </c>
      <c r="P807" s="9" t="str">
        <f t="shared" si="6"/>
        <v>UK</v>
      </c>
      <c r="Q807" s="8">
        <f t="shared" si="7"/>
        <v>3.75</v>
      </c>
    </row>
    <row r="808">
      <c r="A808" s="1">
        <v>536464.0</v>
      </c>
      <c r="B808" s="1" t="str">
        <f t="shared" si="1"/>
        <v>536464</v>
      </c>
      <c r="C808" s="1" t="str">
        <f t="shared" si="2"/>
        <v>Sale</v>
      </c>
      <c r="D808" s="1" t="s">
        <v>581</v>
      </c>
      <c r="E808" s="1" t="str">
        <f>IFERROR(__xludf.DUMMYFUNCTION("IF(LEN(D808)&gt;4, IFERROR(REGEXEXTRACT(TO_TEXT(D808),""\d+""),""""),"""")"),"16258")</f>
        <v>16258</v>
      </c>
      <c r="F808" s="6" t="str">
        <f t="shared" si="3"/>
        <v>Product</v>
      </c>
      <c r="G808" s="1" t="s">
        <v>582</v>
      </c>
      <c r="H808" s="6" t="str">
        <f>IFERROR(__xludf.DUMMYFUNCTION("IF(REGEXMATCH(LOWER(G808), ""^(\?)+\s*(missing)?\s*(\?)*$""), """", PROPER(SUBSTITUTE(SUBSTITUTE(G808, ""?"", """"), ""*"", """")))"),"Swirly Circular Rubbers In Bag")</f>
        <v>Swirly Circular Rubbers In Bag</v>
      </c>
      <c r="I808" s="3">
        <v>1.0</v>
      </c>
      <c r="J808" s="7">
        <v>40513.51597222222</v>
      </c>
      <c r="K808" s="8" t="str">
        <f t="shared" si="4"/>
        <v>2010-12</v>
      </c>
      <c r="L808" s="5">
        <v>0.42</v>
      </c>
      <c r="M808" s="3">
        <v>17968.0</v>
      </c>
      <c r="N808" s="1" t="str">
        <f t="shared" si="5"/>
        <v>Registered</v>
      </c>
      <c r="O808" s="1" t="s">
        <v>19</v>
      </c>
      <c r="P808" s="9" t="str">
        <f t="shared" si="6"/>
        <v>UK</v>
      </c>
      <c r="Q808" s="8">
        <f t="shared" si="7"/>
        <v>0.42</v>
      </c>
    </row>
    <row r="809">
      <c r="A809" s="1">
        <v>536464.0</v>
      </c>
      <c r="B809" s="1" t="str">
        <f t="shared" si="1"/>
        <v>536464</v>
      </c>
      <c r="C809" s="1" t="str">
        <f t="shared" si="2"/>
        <v>Sale</v>
      </c>
      <c r="D809" s="1">
        <v>21992.0</v>
      </c>
      <c r="E809" s="1" t="str">
        <f>IFERROR(__xludf.DUMMYFUNCTION("IF(LEN(D809)&gt;4, IFERROR(REGEXEXTRACT(TO_TEXT(D809),""\d+""),""""),"""")"),"21992")</f>
        <v>21992</v>
      </c>
      <c r="F809" s="6" t="str">
        <f t="shared" si="3"/>
        <v>Product</v>
      </c>
      <c r="G809" s="1" t="s">
        <v>583</v>
      </c>
      <c r="H809" s="6" t="str">
        <f>IFERROR(__xludf.DUMMYFUNCTION("IF(REGEXMATCH(LOWER(G809), ""^(\?)+\s*(missing)?\s*(\?)*$""), """", PROPER(SUBSTITUTE(SUBSTITUTE(G809, ""?"", """"), ""*"", """")))"),"Vintage Paisley Stationery Set")</f>
        <v>Vintage Paisley Stationery Set</v>
      </c>
      <c r="I809" s="3">
        <v>1.0</v>
      </c>
      <c r="J809" s="7">
        <v>40513.51597222222</v>
      </c>
      <c r="K809" s="8" t="str">
        <f t="shared" si="4"/>
        <v>2010-12</v>
      </c>
      <c r="L809" s="5">
        <v>2.95</v>
      </c>
      <c r="M809" s="3">
        <v>17968.0</v>
      </c>
      <c r="N809" s="1" t="str">
        <f t="shared" si="5"/>
        <v>Registered</v>
      </c>
      <c r="O809" s="1" t="s">
        <v>19</v>
      </c>
      <c r="P809" s="9" t="str">
        <f t="shared" si="6"/>
        <v>UK</v>
      </c>
      <c r="Q809" s="8">
        <f t="shared" si="7"/>
        <v>2.95</v>
      </c>
    </row>
    <row r="810">
      <c r="A810" s="1">
        <v>536464.0</v>
      </c>
      <c r="B810" s="1" t="str">
        <f t="shared" si="1"/>
        <v>536464</v>
      </c>
      <c r="C810" s="1" t="str">
        <f t="shared" si="2"/>
        <v>Sale</v>
      </c>
      <c r="D810" s="1">
        <v>22910.0</v>
      </c>
      <c r="E810" s="1" t="str">
        <f>IFERROR(__xludf.DUMMYFUNCTION("IF(LEN(D810)&gt;4, IFERROR(REGEXEXTRACT(TO_TEXT(D810),""\d+""),""""),"""")"),"22910")</f>
        <v>22910</v>
      </c>
      <c r="F810" s="6" t="str">
        <f t="shared" si="3"/>
        <v>Product</v>
      </c>
      <c r="G810" s="1" t="s">
        <v>215</v>
      </c>
      <c r="H810" s="6" t="str">
        <f>IFERROR(__xludf.DUMMYFUNCTION("IF(REGEXMATCH(LOWER(G810), ""^(\?)+\s*(missing)?\s*(\?)*$""), """", PROPER(SUBSTITUTE(SUBSTITUTE(G810, ""?"", """"), ""*"", """")))"),"Paper Chain Kit Vintage Christmas")</f>
        <v>Paper Chain Kit Vintage Christmas</v>
      </c>
      <c r="I810" s="3">
        <v>1.0</v>
      </c>
      <c r="J810" s="7">
        <v>40513.51597222222</v>
      </c>
      <c r="K810" s="8" t="str">
        <f t="shared" si="4"/>
        <v>2010-12</v>
      </c>
      <c r="L810" s="5">
        <v>2.95</v>
      </c>
      <c r="M810" s="3">
        <v>17968.0</v>
      </c>
      <c r="N810" s="1" t="str">
        <f t="shared" si="5"/>
        <v>Registered</v>
      </c>
      <c r="O810" s="1" t="s">
        <v>19</v>
      </c>
      <c r="P810" s="9" t="str">
        <f t="shared" si="6"/>
        <v>UK</v>
      </c>
      <c r="Q810" s="8">
        <f t="shared" si="7"/>
        <v>2.95</v>
      </c>
    </row>
    <row r="811">
      <c r="A811" s="1">
        <v>536464.0</v>
      </c>
      <c r="B811" s="1" t="str">
        <f t="shared" si="1"/>
        <v>536464</v>
      </c>
      <c r="C811" s="1" t="str">
        <f t="shared" si="2"/>
        <v>Sale</v>
      </c>
      <c r="D811" s="1">
        <v>21124.0</v>
      </c>
      <c r="E811" s="1" t="str">
        <f>IFERROR(__xludf.DUMMYFUNCTION("IF(LEN(D811)&gt;4, IFERROR(REGEXEXTRACT(TO_TEXT(D811),""\d+""),""""),"""")"),"21124")</f>
        <v>21124</v>
      </c>
      <c r="F811" s="6" t="str">
        <f t="shared" si="3"/>
        <v>Product</v>
      </c>
      <c r="G811" s="1" t="s">
        <v>584</v>
      </c>
      <c r="H811" s="6" t="str">
        <f>IFERROR(__xludf.DUMMYFUNCTION("IF(REGEXMATCH(LOWER(G811), ""^(\?)+\s*(missing)?\s*(\?)*$""), """", PROPER(SUBSTITUTE(SUBSTITUTE(G811, ""?"", """"), ""*"", """")))"),"Set/10 Blue Polkadot Party Candles")</f>
        <v>Set/10 Blue Polkadot Party Candles</v>
      </c>
      <c r="I811" s="3">
        <v>1.0</v>
      </c>
      <c r="J811" s="7">
        <v>40513.51597222222</v>
      </c>
      <c r="K811" s="8" t="str">
        <f t="shared" si="4"/>
        <v>2010-12</v>
      </c>
      <c r="L811" s="5">
        <v>1.25</v>
      </c>
      <c r="M811" s="3">
        <v>17968.0</v>
      </c>
      <c r="N811" s="1" t="str">
        <f t="shared" si="5"/>
        <v>Registered</v>
      </c>
      <c r="O811" s="1" t="s">
        <v>19</v>
      </c>
      <c r="P811" s="9" t="str">
        <f t="shared" si="6"/>
        <v>UK</v>
      </c>
      <c r="Q811" s="8">
        <f t="shared" si="7"/>
        <v>1.25</v>
      </c>
    </row>
    <row r="812">
      <c r="A812" s="1">
        <v>536464.0</v>
      </c>
      <c r="B812" s="1" t="str">
        <f t="shared" si="1"/>
        <v>536464</v>
      </c>
      <c r="C812" s="1" t="str">
        <f t="shared" si="2"/>
        <v>Sale</v>
      </c>
      <c r="D812" s="1">
        <v>22735.0</v>
      </c>
      <c r="E812" s="1" t="str">
        <f>IFERROR(__xludf.DUMMYFUNCTION("IF(LEN(D812)&gt;4, IFERROR(REGEXEXTRACT(TO_TEXT(D812),""\d+""),""""),"""")"),"22735")</f>
        <v>22735</v>
      </c>
      <c r="F812" s="6" t="str">
        <f t="shared" si="3"/>
        <v>Product</v>
      </c>
      <c r="G812" s="1" t="s">
        <v>585</v>
      </c>
      <c r="H812" s="6" t="str">
        <f>IFERROR(__xludf.DUMMYFUNCTION("IF(REGEXMATCH(LOWER(G812), ""^(\?)+\s*(missing)?\s*(\?)*$""), """", PROPER(SUBSTITUTE(SUBSTITUTE(G812, ""?"", """"), ""*"", """")))"),"Ribbon Reel Socks And Mittens")</f>
        <v>Ribbon Reel Socks And Mittens</v>
      </c>
      <c r="I812" s="3">
        <v>2.0</v>
      </c>
      <c r="J812" s="7">
        <v>40513.51597222222</v>
      </c>
      <c r="K812" s="8" t="str">
        <f t="shared" si="4"/>
        <v>2010-12</v>
      </c>
      <c r="L812" s="5">
        <v>1.65</v>
      </c>
      <c r="M812" s="3">
        <v>17968.0</v>
      </c>
      <c r="N812" s="1" t="str">
        <f t="shared" si="5"/>
        <v>Registered</v>
      </c>
      <c r="O812" s="1" t="s">
        <v>19</v>
      </c>
      <c r="P812" s="9" t="str">
        <f t="shared" si="6"/>
        <v>UK</v>
      </c>
      <c r="Q812" s="8">
        <f t="shared" si="7"/>
        <v>3.3</v>
      </c>
    </row>
    <row r="813">
      <c r="A813" s="1">
        <v>536464.0</v>
      </c>
      <c r="B813" s="1" t="str">
        <f t="shared" si="1"/>
        <v>536464</v>
      </c>
      <c r="C813" s="1" t="str">
        <f t="shared" si="2"/>
        <v>Sale</v>
      </c>
      <c r="D813" s="1">
        <v>22952.0</v>
      </c>
      <c r="E813" s="1" t="str">
        <f>IFERROR(__xludf.DUMMYFUNCTION("IF(LEN(D813)&gt;4, IFERROR(REGEXEXTRACT(TO_TEXT(D813),""\d+""),""""),"""")"),"22952")</f>
        <v>22952</v>
      </c>
      <c r="F813" s="6" t="str">
        <f t="shared" si="3"/>
        <v>Product</v>
      </c>
      <c r="G813" s="1" t="s">
        <v>465</v>
      </c>
      <c r="H813" s="6" t="str">
        <f>IFERROR(__xludf.DUMMYFUNCTION("IF(REGEXMATCH(LOWER(G813), ""^(\?)+\s*(missing)?\s*(\?)*$""), """", PROPER(SUBSTITUTE(SUBSTITUTE(G813, ""?"", """"), ""*"", """")))"),"60 Cake Cases Vintage Christmas")</f>
        <v>60 Cake Cases Vintage Christmas</v>
      </c>
      <c r="I813" s="3">
        <v>2.0</v>
      </c>
      <c r="J813" s="7">
        <v>40513.51597222222</v>
      </c>
      <c r="K813" s="8" t="str">
        <f t="shared" si="4"/>
        <v>2010-12</v>
      </c>
      <c r="L813" s="5">
        <v>0.55</v>
      </c>
      <c r="M813" s="3">
        <v>17968.0</v>
      </c>
      <c r="N813" s="1" t="str">
        <f t="shared" si="5"/>
        <v>Registered</v>
      </c>
      <c r="O813" s="1" t="s">
        <v>19</v>
      </c>
      <c r="P813" s="9" t="str">
        <f t="shared" si="6"/>
        <v>UK</v>
      </c>
      <c r="Q813" s="8">
        <f t="shared" si="7"/>
        <v>1.1</v>
      </c>
    </row>
    <row r="814">
      <c r="A814" s="1">
        <v>536464.0</v>
      </c>
      <c r="B814" s="1" t="str">
        <f t="shared" si="1"/>
        <v>536464</v>
      </c>
      <c r="C814" s="1" t="str">
        <f t="shared" si="2"/>
        <v>Sale</v>
      </c>
      <c r="D814" s="1">
        <v>22945.0</v>
      </c>
      <c r="E814" s="1" t="str">
        <f>IFERROR(__xludf.DUMMYFUNCTION("IF(LEN(D814)&gt;4, IFERROR(REGEXEXTRACT(TO_TEXT(D814),""\d+""),""""),"""")"),"22945")</f>
        <v>22945</v>
      </c>
      <c r="F814" s="6" t="str">
        <f t="shared" si="3"/>
        <v>Product</v>
      </c>
      <c r="G814" s="1" t="s">
        <v>586</v>
      </c>
      <c r="H814" s="6" t="str">
        <f>IFERROR(__xludf.DUMMYFUNCTION("IF(REGEXMATCH(LOWER(G814), ""^(\?)+\s*(missing)?\s*(\?)*$""), """", PROPER(SUBSTITUTE(SUBSTITUTE(G814, ""?"", """"), ""*"", """")))"),"Christmas Metal Tags Assorted")</f>
        <v>Christmas Metal Tags Assorted</v>
      </c>
      <c r="I814" s="3">
        <v>6.0</v>
      </c>
      <c r="J814" s="7">
        <v>40513.51597222222</v>
      </c>
      <c r="K814" s="8" t="str">
        <f t="shared" si="4"/>
        <v>2010-12</v>
      </c>
      <c r="L814" s="5">
        <v>0.85</v>
      </c>
      <c r="M814" s="3">
        <v>17968.0</v>
      </c>
      <c r="N814" s="1" t="str">
        <f t="shared" si="5"/>
        <v>Registered</v>
      </c>
      <c r="O814" s="1" t="s">
        <v>19</v>
      </c>
      <c r="P814" s="9" t="str">
        <f t="shared" si="6"/>
        <v>UK</v>
      </c>
      <c r="Q814" s="8">
        <f t="shared" si="7"/>
        <v>5.1</v>
      </c>
    </row>
    <row r="815">
      <c r="A815" s="1">
        <v>536464.0</v>
      </c>
      <c r="B815" s="1" t="str">
        <f t="shared" si="1"/>
        <v>536464</v>
      </c>
      <c r="C815" s="1" t="str">
        <f t="shared" si="2"/>
        <v>Sale</v>
      </c>
      <c r="D815" s="1">
        <v>21816.0</v>
      </c>
      <c r="E815" s="1" t="str">
        <f>IFERROR(__xludf.DUMMYFUNCTION("IF(LEN(D815)&gt;4, IFERROR(REGEXEXTRACT(TO_TEXT(D815),""\d+""),""""),"""")"),"21816")</f>
        <v>21816</v>
      </c>
      <c r="F815" s="6" t="str">
        <f t="shared" si="3"/>
        <v>Product</v>
      </c>
      <c r="G815" s="1" t="s">
        <v>587</v>
      </c>
      <c r="H815" s="6" t="str">
        <f>IFERROR(__xludf.DUMMYFUNCTION("IF(REGEXMATCH(LOWER(G815), ""^(\?)+\s*(missing)?\s*(\?)*$""), """", PROPER(SUBSTITUTE(SUBSTITUTE(G815, ""?"", """"), ""*"", """")))"),"Christmas Tree T-Light Holder")</f>
        <v>Christmas Tree T-Light Holder</v>
      </c>
      <c r="I815" s="3">
        <v>2.0</v>
      </c>
      <c r="J815" s="7">
        <v>40513.51597222222</v>
      </c>
      <c r="K815" s="8" t="str">
        <f t="shared" si="4"/>
        <v>2010-12</v>
      </c>
      <c r="L815" s="5">
        <v>1.45</v>
      </c>
      <c r="M815" s="3">
        <v>17968.0</v>
      </c>
      <c r="N815" s="1" t="str">
        <f t="shared" si="5"/>
        <v>Registered</v>
      </c>
      <c r="O815" s="1" t="s">
        <v>19</v>
      </c>
      <c r="P815" s="9" t="str">
        <f t="shared" si="6"/>
        <v>UK</v>
      </c>
      <c r="Q815" s="8">
        <f t="shared" si="7"/>
        <v>2.9</v>
      </c>
    </row>
    <row r="816">
      <c r="A816" s="1">
        <v>536464.0</v>
      </c>
      <c r="B816" s="1" t="str">
        <f t="shared" si="1"/>
        <v>536464</v>
      </c>
      <c r="C816" s="1" t="str">
        <f t="shared" si="2"/>
        <v>Sale</v>
      </c>
      <c r="D816" s="1">
        <v>21815.0</v>
      </c>
      <c r="E816" s="1" t="str">
        <f>IFERROR(__xludf.DUMMYFUNCTION("IF(LEN(D816)&gt;4, IFERROR(REGEXEXTRACT(TO_TEXT(D816),""\d+""),""""),"""")"),"21815")</f>
        <v>21815</v>
      </c>
      <c r="F816" s="6" t="str">
        <f t="shared" si="3"/>
        <v>Product</v>
      </c>
      <c r="G816" s="1" t="s">
        <v>588</v>
      </c>
      <c r="H816" s="6" t="str">
        <f>IFERROR(__xludf.DUMMYFUNCTION("IF(REGEXMATCH(LOWER(G816), ""^(\?)+\s*(missing)?\s*(\?)*$""), """", PROPER(SUBSTITUTE(SUBSTITUTE(G816, ""?"", """"), ""*"", """")))"),"Star T-Light Holder")</f>
        <v>Star T-Light Holder</v>
      </c>
      <c r="I816" s="3">
        <v>4.0</v>
      </c>
      <c r="J816" s="7">
        <v>40513.51597222222</v>
      </c>
      <c r="K816" s="8" t="str">
        <f t="shared" si="4"/>
        <v>2010-12</v>
      </c>
      <c r="L816" s="5">
        <v>1.45</v>
      </c>
      <c r="M816" s="3">
        <v>17968.0</v>
      </c>
      <c r="N816" s="1" t="str">
        <f t="shared" si="5"/>
        <v>Registered</v>
      </c>
      <c r="O816" s="1" t="s">
        <v>19</v>
      </c>
      <c r="P816" s="9" t="str">
        <f t="shared" si="6"/>
        <v>UK</v>
      </c>
      <c r="Q816" s="8">
        <f t="shared" si="7"/>
        <v>5.8</v>
      </c>
    </row>
    <row r="817">
      <c r="A817" s="1">
        <v>536464.0</v>
      </c>
      <c r="B817" s="1" t="str">
        <f t="shared" si="1"/>
        <v>536464</v>
      </c>
      <c r="C817" s="1" t="str">
        <f t="shared" si="2"/>
        <v>Sale</v>
      </c>
      <c r="D817" s="1">
        <v>21814.0</v>
      </c>
      <c r="E817" s="1" t="str">
        <f>IFERROR(__xludf.DUMMYFUNCTION("IF(LEN(D817)&gt;4, IFERROR(REGEXEXTRACT(TO_TEXT(D817),""\d+""),""""),"""")"),"21814")</f>
        <v>21814</v>
      </c>
      <c r="F817" s="6" t="str">
        <f t="shared" si="3"/>
        <v>Product</v>
      </c>
      <c r="G817" s="1" t="s">
        <v>589</v>
      </c>
      <c r="H817" s="6" t="str">
        <f>IFERROR(__xludf.DUMMYFUNCTION("IF(REGEXMATCH(LOWER(G817), ""^(\?)+\s*(missing)?\s*(\?)*$""), """", PROPER(SUBSTITUTE(SUBSTITUTE(G817, ""?"", """"), ""*"", """")))"),"Heart T-Light Holder")</f>
        <v>Heart T-Light Holder</v>
      </c>
      <c r="I817" s="3">
        <v>2.0</v>
      </c>
      <c r="J817" s="7">
        <v>40513.51597222222</v>
      </c>
      <c r="K817" s="8" t="str">
        <f t="shared" si="4"/>
        <v>2010-12</v>
      </c>
      <c r="L817" s="5">
        <v>1.45</v>
      </c>
      <c r="M817" s="3">
        <v>17968.0</v>
      </c>
      <c r="N817" s="1" t="str">
        <f t="shared" si="5"/>
        <v>Registered</v>
      </c>
      <c r="O817" s="1" t="s">
        <v>19</v>
      </c>
      <c r="P817" s="9" t="str">
        <f t="shared" si="6"/>
        <v>UK</v>
      </c>
      <c r="Q817" s="8">
        <f t="shared" si="7"/>
        <v>2.9</v>
      </c>
    </row>
    <row r="818">
      <c r="A818" s="1">
        <v>536464.0</v>
      </c>
      <c r="B818" s="1" t="str">
        <f t="shared" si="1"/>
        <v>536464</v>
      </c>
      <c r="C818" s="1" t="str">
        <f t="shared" si="2"/>
        <v>Sale</v>
      </c>
      <c r="D818" s="1">
        <v>10125.0</v>
      </c>
      <c r="E818" s="1" t="str">
        <f>IFERROR(__xludf.DUMMYFUNCTION("IF(LEN(D818)&gt;4, IFERROR(REGEXEXTRACT(TO_TEXT(D818),""\d+""),""""),"""")"),"10125")</f>
        <v>10125</v>
      </c>
      <c r="F818" s="6" t="str">
        <f t="shared" si="3"/>
        <v>Product</v>
      </c>
      <c r="G818" s="1" t="s">
        <v>590</v>
      </c>
      <c r="H818" s="6" t="str">
        <f>IFERROR(__xludf.DUMMYFUNCTION("IF(REGEXMATCH(LOWER(G818), ""^(\?)+\s*(missing)?\s*(\?)*$""), """", PROPER(SUBSTITUTE(SUBSTITUTE(G818, ""?"", """"), ""*"", """")))"),"Mini Funky Design Tapes")</f>
        <v>Mini Funky Design Tapes</v>
      </c>
      <c r="I818" s="3">
        <v>2.0</v>
      </c>
      <c r="J818" s="7">
        <v>40513.51597222222</v>
      </c>
      <c r="K818" s="8" t="str">
        <f t="shared" si="4"/>
        <v>2010-12</v>
      </c>
      <c r="L818" s="5">
        <v>0.85</v>
      </c>
      <c r="M818" s="3">
        <v>17968.0</v>
      </c>
      <c r="N818" s="1" t="str">
        <f t="shared" si="5"/>
        <v>Registered</v>
      </c>
      <c r="O818" s="1" t="s">
        <v>19</v>
      </c>
      <c r="P818" s="9" t="str">
        <f t="shared" si="6"/>
        <v>UK</v>
      </c>
      <c r="Q818" s="8">
        <f t="shared" si="7"/>
        <v>1.7</v>
      </c>
    </row>
    <row r="819">
      <c r="A819" s="1">
        <v>536464.0</v>
      </c>
      <c r="B819" s="1" t="str">
        <f t="shared" si="1"/>
        <v>536464</v>
      </c>
      <c r="C819" s="1" t="str">
        <f t="shared" si="2"/>
        <v>Sale</v>
      </c>
      <c r="D819" s="1">
        <v>22810.0</v>
      </c>
      <c r="E819" s="1" t="str">
        <f>IFERROR(__xludf.DUMMYFUNCTION("IF(LEN(D819)&gt;4, IFERROR(REGEXEXTRACT(TO_TEXT(D819),""\d+""),""""),"""")"),"22810")</f>
        <v>22810</v>
      </c>
      <c r="F819" s="6" t="str">
        <f t="shared" si="3"/>
        <v>Product</v>
      </c>
      <c r="G819" s="1" t="s">
        <v>304</v>
      </c>
      <c r="H819" s="6" t="str">
        <f>IFERROR(__xludf.DUMMYFUNCTION("IF(REGEXMATCH(LOWER(G819), ""^(\?)+\s*(missing)?\s*(\?)*$""), """", PROPER(SUBSTITUTE(SUBSTITUTE(G819, ""?"", """"), ""*"", """")))"),"Set Of 6 T-Lights Snowmen")</f>
        <v>Set Of 6 T-Lights Snowmen</v>
      </c>
      <c r="I819" s="3">
        <v>1.0</v>
      </c>
      <c r="J819" s="7">
        <v>40513.51597222222</v>
      </c>
      <c r="K819" s="8" t="str">
        <f t="shared" si="4"/>
        <v>2010-12</v>
      </c>
      <c r="L819" s="5">
        <v>2.95</v>
      </c>
      <c r="M819" s="3">
        <v>17968.0</v>
      </c>
      <c r="N819" s="1" t="str">
        <f t="shared" si="5"/>
        <v>Registered</v>
      </c>
      <c r="O819" s="1" t="s">
        <v>19</v>
      </c>
      <c r="P819" s="9" t="str">
        <f t="shared" si="6"/>
        <v>UK</v>
      </c>
      <c r="Q819" s="8">
        <f t="shared" si="7"/>
        <v>2.95</v>
      </c>
    </row>
    <row r="820">
      <c r="A820" s="1">
        <v>536464.0</v>
      </c>
      <c r="B820" s="1" t="str">
        <f t="shared" si="1"/>
        <v>536464</v>
      </c>
      <c r="C820" s="1" t="str">
        <f t="shared" si="2"/>
        <v>Sale</v>
      </c>
      <c r="D820" s="1">
        <v>22573.0</v>
      </c>
      <c r="E820" s="1" t="str">
        <f>IFERROR(__xludf.DUMMYFUNCTION("IF(LEN(D820)&gt;4, IFERROR(REGEXEXTRACT(TO_TEXT(D820),""\d+""),""""),"""")"),"22573")</f>
        <v>22573</v>
      </c>
      <c r="F820" s="6" t="str">
        <f t="shared" si="3"/>
        <v>Product</v>
      </c>
      <c r="G820" s="1" t="s">
        <v>591</v>
      </c>
      <c r="H820" s="6" t="str">
        <f>IFERROR(__xludf.DUMMYFUNCTION("IF(REGEXMATCH(LOWER(G820), ""^(\?)+\s*(missing)?\s*(\?)*$""), """", PROPER(SUBSTITUTE(SUBSTITUTE(G820, ""?"", """"), ""*"", """")))"),"Star Wooden Christmas Decoration")</f>
        <v>Star Wooden Christmas Decoration</v>
      </c>
      <c r="I820" s="3">
        <v>1.0</v>
      </c>
      <c r="J820" s="7">
        <v>40513.51597222222</v>
      </c>
      <c r="K820" s="8" t="str">
        <f t="shared" si="4"/>
        <v>2010-12</v>
      </c>
      <c r="L820" s="5">
        <v>0.85</v>
      </c>
      <c r="M820" s="3">
        <v>17968.0</v>
      </c>
      <c r="N820" s="1" t="str">
        <f t="shared" si="5"/>
        <v>Registered</v>
      </c>
      <c r="O820" s="1" t="s">
        <v>19</v>
      </c>
      <c r="P820" s="9" t="str">
        <f t="shared" si="6"/>
        <v>UK</v>
      </c>
      <c r="Q820" s="8">
        <f t="shared" si="7"/>
        <v>0.85</v>
      </c>
    </row>
    <row r="821">
      <c r="A821" s="1">
        <v>536464.0</v>
      </c>
      <c r="B821" s="1" t="str">
        <f t="shared" si="1"/>
        <v>536464</v>
      </c>
      <c r="C821" s="1" t="str">
        <f t="shared" si="2"/>
        <v>Sale</v>
      </c>
      <c r="D821" s="1">
        <v>22577.0</v>
      </c>
      <c r="E821" s="1" t="str">
        <f>IFERROR(__xludf.DUMMYFUNCTION("IF(LEN(D821)&gt;4, IFERROR(REGEXEXTRACT(TO_TEXT(D821),""\d+""),""""),"""")"),"22577")</f>
        <v>22577</v>
      </c>
      <c r="F821" s="6" t="str">
        <f t="shared" si="3"/>
        <v>Product</v>
      </c>
      <c r="G821" s="1" t="s">
        <v>592</v>
      </c>
      <c r="H821" s="6" t="str">
        <f>IFERROR(__xludf.DUMMYFUNCTION("IF(REGEXMATCH(LOWER(G821), ""^(\?)+\s*(missing)?\s*(\?)*$""), """", PROPER(SUBSTITUTE(SUBSTITUTE(G821, ""?"", """"), ""*"", """")))"),"Wooden Heart Christmas Scandinavian")</f>
        <v>Wooden Heart Christmas Scandinavian</v>
      </c>
      <c r="I821" s="3">
        <v>1.0</v>
      </c>
      <c r="J821" s="7">
        <v>40513.51597222222</v>
      </c>
      <c r="K821" s="8" t="str">
        <f t="shared" si="4"/>
        <v>2010-12</v>
      </c>
      <c r="L821" s="5">
        <v>0.85</v>
      </c>
      <c r="M821" s="3">
        <v>17968.0</v>
      </c>
      <c r="N821" s="1" t="str">
        <f t="shared" si="5"/>
        <v>Registered</v>
      </c>
      <c r="O821" s="1" t="s">
        <v>19</v>
      </c>
      <c r="P821" s="9" t="str">
        <f t="shared" si="6"/>
        <v>UK</v>
      </c>
      <c r="Q821" s="8">
        <f t="shared" si="7"/>
        <v>0.85</v>
      </c>
    </row>
    <row r="822">
      <c r="A822" s="1">
        <v>536464.0</v>
      </c>
      <c r="B822" s="1" t="str">
        <f t="shared" si="1"/>
        <v>536464</v>
      </c>
      <c r="C822" s="1" t="str">
        <f t="shared" si="2"/>
        <v>Sale</v>
      </c>
      <c r="D822" s="1">
        <v>22603.0</v>
      </c>
      <c r="E822" s="1" t="str">
        <f>IFERROR(__xludf.DUMMYFUNCTION("IF(LEN(D822)&gt;4, IFERROR(REGEXEXTRACT(TO_TEXT(D822),""\d+""),""""),"""")"),"22603")</f>
        <v>22603</v>
      </c>
      <c r="F822" s="6" t="str">
        <f t="shared" si="3"/>
        <v>Product</v>
      </c>
      <c r="G822" s="1" t="s">
        <v>593</v>
      </c>
      <c r="H822" s="6" t="str">
        <f>IFERROR(__xludf.DUMMYFUNCTION("IF(REGEXMATCH(LOWER(G822), ""^(\?)+\s*(missing)?\s*(\?)*$""), """", PROPER(SUBSTITUTE(SUBSTITUTE(G822, ""?"", """"), ""*"", """")))"),"Christmas Retrospot Tree Wood")</f>
        <v>Christmas Retrospot Tree Wood</v>
      </c>
      <c r="I822" s="3">
        <v>2.0</v>
      </c>
      <c r="J822" s="7">
        <v>40513.51597222222</v>
      </c>
      <c r="K822" s="8" t="str">
        <f t="shared" si="4"/>
        <v>2010-12</v>
      </c>
      <c r="L822" s="5">
        <v>0.85</v>
      </c>
      <c r="M822" s="3">
        <v>17968.0</v>
      </c>
      <c r="N822" s="1" t="str">
        <f t="shared" si="5"/>
        <v>Registered</v>
      </c>
      <c r="O822" s="1" t="s">
        <v>19</v>
      </c>
      <c r="P822" s="9" t="str">
        <f t="shared" si="6"/>
        <v>UK</v>
      </c>
      <c r="Q822" s="8">
        <f t="shared" si="7"/>
        <v>1.7</v>
      </c>
    </row>
    <row r="823">
      <c r="A823" s="1">
        <v>536464.0</v>
      </c>
      <c r="B823" s="1" t="str">
        <f t="shared" si="1"/>
        <v>536464</v>
      </c>
      <c r="C823" s="1" t="str">
        <f t="shared" si="2"/>
        <v>Sale</v>
      </c>
      <c r="D823" s="1">
        <v>22809.0</v>
      </c>
      <c r="E823" s="1" t="str">
        <f>IFERROR(__xludf.DUMMYFUNCTION("IF(LEN(D823)&gt;4, IFERROR(REGEXEXTRACT(TO_TEXT(D823),""\d+""),""""),"""")"),"22809")</f>
        <v>22809</v>
      </c>
      <c r="F823" s="6" t="str">
        <f t="shared" si="3"/>
        <v>Product</v>
      </c>
      <c r="G823" s="1" t="s">
        <v>305</v>
      </c>
      <c r="H823" s="6" t="str">
        <f>IFERROR(__xludf.DUMMYFUNCTION("IF(REGEXMATCH(LOWER(G823), ""^(\?)+\s*(missing)?\s*(\?)*$""), """", PROPER(SUBSTITUTE(SUBSTITUTE(G823, ""?"", """"), ""*"", """")))"),"Set Of 6 T-Lights Santa")</f>
        <v>Set Of 6 T-Lights Santa</v>
      </c>
      <c r="I823" s="3">
        <v>1.0</v>
      </c>
      <c r="J823" s="7">
        <v>40513.51597222222</v>
      </c>
      <c r="K823" s="8" t="str">
        <f t="shared" si="4"/>
        <v>2010-12</v>
      </c>
      <c r="L823" s="5">
        <v>2.95</v>
      </c>
      <c r="M823" s="3">
        <v>17968.0</v>
      </c>
      <c r="N823" s="1" t="str">
        <f t="shared" si="5"/>
        <v>Registered</v>
      </c>
      <c r="O823" s="1" t="s">
        <v>19</v>
      </c>
      <c r="P823" s="9" t="str">
        <f t="shared" si="6"/>
        <v>UK</v>
      </c>
      <c r="Q823" s="8">
        <f t="shared" si="7"/>
        <v>2.95</v>
      </c>
    </row>
    <row r="824">
      <c r="A824" s="1">
        <v>536464.0</v>
      </c>
      <c r="B824" s="1" t="str">
        <f t="shared" si="1"/>
        <v>536464</v>
      </c>
      <c r="C824" s="1" t="str">
        <f t="shared" si="2"/>
        <v>Sale</v>
      </c>
      <c r="D824" s="1">
        <v>20878.0</v>
      </c>
      <c r="E824" s="1" t="str">
        <f>IFERROR(__xludf.DUMMYFUNCTION("IF(LEN(D824)&gt;4, IFERROR(REGEXEXTRACT(TO_TEXT(D824),""\d+""),""""),"""")"),"20878")</f>
        <v>20878</v>
      </c>
      <c r="F824" s="6" t="str">
        <f t="shared" si="3"/>
        <v>Product</v>
      </c>
      <c r="G824" s="1" t="s">
        <v>594</v>
      </c>
      <c r="H824" s="6" t="str">
        <f>IFERROR(__xludf.DUMMYFUNCTION("IF(REGEXMATCH(LOWER(G824), ""^(\?)+\s*(missing)?\s*(\?)*$""), """", PROPER(SUBSTITUTE(SUBSTITUTE(G824, ""?"", """"), ""*"", """")))"),"Set/9 Christmas T-Lights Scented")</f>
        <v>Set/9 Christmas T-Lights Scented</v>
      </c>
      <c r="I824" s="3">
        <v>1.0</v>
      </c>
      <c r="J824" s="7">
        <v>40513.51597222222</v>
      </c>
      <c r="K824" s="8" t="str">
        <f t="shared" si="4"/>
        <v>2010-12</v>
      </c>
      <c r="L824" s="5">
        <v>1.25</v>
      </c>
      <c r="M824" s="3">
        <v>17968.0</v>
      </c>
      <c r="N824" s="1" t="str">
        <f t="shared" si="5"/>
        <v>Registered</v>
      </c>
      <c r="O824" s="1" t="s">
        <v>19</v>
      </c>
      <c r="P824" s="9" t="str">
        <f t="shared" si="6"/>
        <v>UK</v>
      </c>
      <c r="Q824" s="8">
        <f t="shared" si="7"/>
        <v>1.25</v>
      </c>
    </row>
    <row r="825">
      <c r="A825" s="1">
        <v>536464.0</v>
      </c>
      <c r="B825" s="1" t="str">
        <f t="shared" si="1"/>
        <v>536464</v>
      </c>
      <c r="C825" s="1" t="str">
        <f t="shared" si="2"/>
        <v>Sale</v>
      </c>
      <c r="D825" s="1">
        <v>20866.0</v>
      </c>
      <c r="E825" s="1" t="str">
        <f>IFERROR(__xludf.DUMMYFUNCTION("IF(LEN(D825)&gt;4, IFERROR(REGEXEXTRACT(TO_TEXT(D825),""\d+""),""""),"""")"),"20866")</f>
        <v>20866</v>
      </c>
      <c r="F825" s="6" t="str">
        <f t="shared" si="3"/>
        <v>Product</v>
      </c>
      <c r="G825" s="1" t="s">
        <v>595</v>
      </c>
      <c r="H825" s="6" t="str">
        <f>IFERROR(__xludf.DUMMYFUNCTION("IF(REGEXMATCH(LOWER(G825), ""^(\?)+\s*(missing)?\s*(\?)*$""), """", PROPER(SUBSTITUTE(SUBSTITUTE(G825, ""?"", """"), ""*"", """")))"),"Blue Rose Fabric Mirror")</f>
        <v>Blue Rose Fabric Mirror</v>
      </c>
      <c r="I825" s="3">
        <v>1.0</v>
      </c>
      <c r="J825" s="7">
        <v>40513.51597222222</v>
      </c>
      <c r="K825" s="8" t="str">
        <f t="shared" si="4"/>
        <v>2010-12</v>
      </c>
      <c r="L825" s="5">
        <v>1.25</v>
      </c>
      <c r="M825" s="3">
        <v>17968.0</v>
      </c>
      <c r="N825" s="1" t="str">
        <f t="shared" si="5"/>
        <v>Registered</v>
      </c>
      <c r="O825" s="1" t="s">
        <v>19</v>
      </c>
      <c r="P825" s="9" t="str">
        <f t="shared" si="6"/>
        <v>UK</v>
      </c>
      <c r="Q825" s="8">
        <f t="shared" si="7"/>
        <v>1.25</v>
      </c>
    </row>
    <row r="826">
      <c r="A826" s="1">
        <v>536464.0</v>
      </c>
      <c r="B826" s="1" t="str">
        <f t="shared" si="1"/>
        <v>536464</v>
      </c>
      <c r="C826" s="1" t="str">
        <f t="shared" si="2"/>
        <v>Sale</v>
      </c>
      <c r="D826" s="1">
        <v>85095.0</v>
      </c>
      <c r="E826" s="1" t="str">
        <f>IFERROR(__xludf.DUMMYFUNCTION("IF(LEN(D826)&gt;4, IFERROR(REGEXEXTRACT(TO_TEXT(D826),""\d+""),""""),"""")"),"85095")</f>
        <v>85095</v>
      </c>
      <c r="F826" s="6" t="str">
        <f t="shared" si="3"/>
        <v>Product</v>
      </c>
      <c r="G826" s="1" t="s">
        <v>596</v>
      </c>
      <c r="H826" s="6" t="str">
        <f>IFERROR(__xludf.DUMMYFUNCTION("IF(REGEXMATCH(LOWER(G826), ""^(\?)+\s*(missing)?\s*(\?)*$""), """", PROPER(SUBSTITUTE(SUBSTITUTE(G826, ""?"", """"), ""*"", """")))"),"Three Canvas Luggage Tags")</f>
        <v>Three Canvas Luggage Tags</v>
      </c>
      <c r="I826" s="3">
        <v>1.0</v>
      </c>
      <c r="J826" s="7">
        <v>40513.51597222222</v>
      </c>
      <c r="K826" s="8" t="str">
        <f t="shared" si="4"/>
        <v>2010-12</v>
      </c>
      <c r="L826" s="5">
        <v>1.95</v>
      </c>
      <c r="M826" s="3">
        <v>17968.0</v>
      </c>
      <c r="N826" s="1" t="str">
        <f t="shared" si="5"/>
        <v>Registered</v>
      </c>
      <c r="O826" s="1" t="s">
        <v>19</v>
      </c>
      <c r="P826" s="9" t="str">
        <f t="shared" si="6"/>
        <v>UK</v>
      </c>
      <c r="Q826" s="8">
        <f t="shared" si="7"/>
        <v>1.95</v>
      </c>
    </row>
    <row r="827">
      <c r="A827" s="1">
        <v>536464.0</v>
      </c>
      <c r="B827" s="1" t="str">
        <f t="shared" si="1"/>
        <v>536464</v>
      </c>
      <c r="C827" s="1" t="str">
        <f t="shared" si="2"/>
        <v>Sale</v>
      </c>
      <c r="D827" s="1">
        <v>22333.0</v>
      </c>
      <c r="E827" s="1" t="str">
        <f>IFERROR(__xludf.DUMMYFUNCTION("IF(LEN(D827)&gt;4, IFERROR(REGEXEXTRACT(TO_TEXT(D827),""\d+""),""""),"""")"),"22333")</f>
        <v>22333</v>
      </c>
      <c r="F827" s="6" t="str">
        <f t="shared" si="3"/>
        <v>Product</v>
      </c>
      <c r="G827" s="1" t="s">
        <v>597</v>
      </c>
      <c r="H827" s="6" t="str">
        <f>IFERROR(__xludf.DUMMYFUNCTION("IF(REGEXMATCH(LOWER(G827), ""^(\?)+\s*(missing)?\s*(\?)*$""), """", PROPER(SUBSTITUTE(SUBSTITUTE(G827, ""?"", """"), ""*"", """")))"),"Retrospot Party Bag + Sticker Set")</f>
        <v>Retrospot Party Bag + Sticker Set</v>
      </c>
      <c r="I827" s="3">
        <v>1.0</v>
      </c>
      <c r="J827" s="7">
        <v>40513.51597222222</v>
      </c>
      <c r="K827" s="8" t="str">
        <f t="shared" si="4"/>
        <v>2010-12</v>
      </c>
      <c r="L827" s="5">
        <v>1.65</v>
      </c>
      <c r="M827" s="3">
        <v>17968.0</v>
      </c>
      <c r="N827" s="1" t="str">
        <f t="shared" si="5"/>
        <v>Registered</v>
      </c>
      <c r="O827" s="1" t="s">
        <v>19</v>
      </c>
      <c r="P827" s="9" t="str">
        <f t="shared" si="6"/>
        <v>UK</v>
      </c>
      <c r="Q827" s="8">
        <f t="shared" si="7"/>
        <v>1.65</v>
      </c>
    </row>
    <row r="828">
      <c r="A828" s="1">
        <v>536464.0</v>
      </c>
      <c r="B828" s="1" t="str">
        <f t="shared" si="1"/>
        <v>536464</v>
      </c>
      <c r="C828" s="1" t="str">
        <f t="shared" si="2"/>
        <v>Sale</v>
      </c>
      <c r="D828" s="1">
        <v>22557.0</v>
      </c>
      <c r="E828" s="1" t="str">
        <f>IFERROR(__xludf.DUMMYFUNCTION("IF(LEN(D828)&gt;4, IFERROR(REGEXEXTRACT(TO_TEXT(D828),""\d+""),""""),"""")"),"22557")</f>
        <v>22557</v>
      </c>
      <c r="F828" s="6" t="str">
        <f t="shared" si="3"/>
        <v>Product</v>
      </c>
      <c r="G828" s="1" t="s">
        <v>233</v>
      </c>
      <c r="H828" s="6" t="str">
        <f>IFERROR(__xludf.DUMMYFUNCTION("IF(REGEXMATCH(LOWER(G828), ""^(\?)+\s*(missing)?\s*(\?)*$""), """", PROPER(SUBSTITUTE(SUBSTITUTE(G828, ""?"", """"), ""*"", """")))"),"Plasters In Tin Vintage Paisley")</f>
        <v>Plasters In Tin Vintage Paisley</v>
      </c>
      <c r="I828" s="3">
        <v>1.0</v>
      </c>
      <c r="J828" s="7">
        <v>40513.51597222222</v>
      </c>
      <c r="K828" s="8" t="str">
        <f t="shared" si="4"/>
        <v>2010-12</v>
      </c>
      <c r="L828" s="5">
        <v>1.65</v>
      </c>
      <c r="M828" s="3">
        <v>17968.0</v>
      </c>
      <c r="N828" s="1" t="str">
        <f t="shared" si="5"/>
        <v>Registered</v>
      </c>
      <c r="O828" s="1" t="s">
        <v>19</v>
      </c>
      <c r="P828" s="9" t="str">
        <f t="shared" si="6"/>
        <v>UK</v>
      </c>
      <c r="Q828" s="8">
        <f t="shared" si="7"/>
        <v>1.65</v>
      </c>
    </row>
    <row r="829">
      <c r="A829" s="1">
        <v>536464.0</v>
      </c>
      <c r="B829" s="1" t="str">
        <f t="shared" si="1"/>
        <v>536464</v>
      </c>
      <c r="C829" s="1" t="str">
        <f t="shared" si="2"/>
        <v>Sale</v>
      </c>
      <c r="D829" s="1">
        <v>21584.0</v>
      </c>
      <c r="E829" s="1" t="str">
        <f>IFERROR(__xludf.DUMMYFUNCTION("IF(LEN(D829)&gt;4, IFERROR(REGEXEXTRACT(TO_TEXT(D829),""\d+""),""""),"""")"),"21584")</f>
        <v>21584</v>
      </c>
      <c r="F829" s="6" t="str">
        <f t="shared" si="3"/>
        <v>Product</v>
      </c>
      <c r="G829" s="1" t="s">
        <v>598</v>
      </c>
      <c r="H829" s="6" t="str">
        <f>IFERROR(__xludf.DUMMYFUNCTION("IF(REGEXMATCH(LOWER(G829), ""^(\?)+\s*(missing)?\s*(\?)*$""), """", PROPER(SUBSTITUTE(SUBSTITUTE(G829, ""?"", """"), ""*"", """")))"),"Retrospot Small Tube Matches")</f>
        <v>Retrospot Small Tube Matches</v>
      </c>
      <c r="I829" s="3">
        <v>1.0</v>
      </c>
      <c r="J829" s="7">
        <v>40513.51597222222</v>
      </c>
      <c r="K829" s="8" t="str">
        <f t="shared" si="4"/>
        <v>2010-12</v>
      </c>
      <c r="L829" s="5">
        <v>1.65</v>
      </c>
      <c r="M829" s="3">
        <v>17968.0</v>
      </c>
      <c r="N829" s="1" t="str">
        <f t="shared" si="5"/>
        <v>Registered</v>
      </c>
      <c r="O829" s="1" t="s">
        <v>19</v>
      </c>
      <c r="P829" s="9" t="str">
        <f t="shared" si="6"/>
        <v>UK</v>
      </c>
      <c r="Q829" s="8">
        <f t="shared" si="7"/>
        <v>1.65</v>
      </c>
    </row>
    <row r="830">
      <c r="A830" s="1">
        <v>536464.0</v>
      </c>
      <c r="B830" s="1" t="str">
        <f t="shared" si="1"/>
        <v>536464</v>
      </c>
      <c r="C830" s="1" t="str">
        <f t="shared" si="2"/>
        <v>Sale</v>
      </c>
      <c r="D830" s="1">
        <v>22866.0</v>
      </c>
      <c r="E830" s="1" t="str">
        <f>IFERROR(__xludf.DUMMYFUNCTION("IF(LEN(D830)&gt;4, IFERROR(REGEXEXTRACT(TO_TEXT(D830),""\d+""),""""),"""")"),"22866")</f>
        <v>22866</v>
      </c>
      <c r="F830" s="6" t="str">
        <f t="shared" si="3"/>
        <v>Product</v>
      </c>
      <c r="G830" s="1" t="s">
        <v>246</v>
      </c>
      <c r="H830" s="6" t="str">
        <f>IFERROR(__xludf.DUMMYFUNCTION("IF(REGEXMATCH(LOWER(G830), ""^(\?)+\s*(missing)?\s*(\?)*$""), """", PROPER(SUBSTITUTE(SUBSTITUTE(G830, ""?"", """"), ""*"", """")))"),"Hand Warmer Scotty Dog Design")</f>
        <v>Hand Warmer Scotty Dog Design</v>
      </c>
      <c r="I830" s="3">
        <v>1.0</v>
      </c>
      <c r="J830" s="7">
        <v>40513.51597222222</v>
      </c>
      <c r="K830" s="8" t="str">
        <f t="shared" si="4"/>
        <v>2010-12</v>
      </c>
      <c r="L830" s="5">
        <v>2.1</v>
      </c>
      <c r="M830" s="3">
        <v>17968.0</v>
      </c>
      <c r="N830" s="1" t="str">
        <f t="shared" si="5"/>
        <v>Registered</v>
      </c>
      <c r="O830" s="1" t="s">
        <v>19</v>
      </c>
      <c r="P830" s="9" t="str">
        <f t="shared" si="6"/>
        <v>UK</v>
      </c>
      <c r="Q830" s="8">
        <f t="shared" si="7"/>
        <v>2.1</v>
      </c>
    </row>
    <row r="831">
      <c r="A831" s="1">
        <v>536464.0</v>
      </c>
      <c r="B831" s="1" t="str">
        <f t="shared" si="1"/>
        <v>536464</v>
      </c>
      <c r="C831" s="1" t="str">
        <f t="shared" si="2"/>
        <v>Sale</v>
      </c>
      <c r="D831" s="1">
        <v>22731.0</v>
      </c>
      <c r="E831" s="1" t="str">
        <f>IFERROR(__xludf.DUMMYFUNCTION("IF(LEN(D831)&gt;4, IFERROR(REGEXEXTRACT(TO_TEXT(D831),""\d+""),""""),"""")"),"22731")</f>
        <v>22731</v>
      </c>
      <c r="F831" s="6" t="str">
        <f t="shared" si="3"/>
        <v>Product</v>
      </c>
      <c r="G831" s="1" t="s">
        <v>599</v>
      </c>
      <c r="H831" s="6" t="str">
        <f>IFERROR(__xludf.DUMMYFUNCTION("IF(REGEXMATCH(LOWER(G831), ""^(\?)+\s*(missing)?\s*(\?)*$""), """", PROPER(SUBSTITUTE(SUBSTITUTE(G831, ""?"", """"), ""*"", """")))"),"3D Christmas Stamps Stickers")</f>
        <v>3D Christmas Stamps Stickers</v>
      </c>
      <c r="I831" s="3">
        <v>2.0</v>
      </c>
      <c r="J831" s="7">
        <v>40513.51597222222</v>
      </c>
      <c r="K831" s="8" t="str">
        <f t="shared" si="4"/>
        <v>2010-12</v>
      </c>
      <c r="L831" s="5">
        <v>1.25</v>
      </c>
      <c r="M831" s="3">
        <v>17968.0</v>
      </c>
      <c r="N831" s="1" t="str">
        <f t="shared" si="5"/>
        <v>Registered</v>
      </c>
      <c r="O831" s="1" t="s">
        <v>19</v>
      </c>
      <c r="P831" s="9" t="str">
        <f t="shared" si="6"/>
        <v>UK</v>
      </c>
      <c r="Q831" s="8">
        <f t="shared" si="7"/>
        <v>2.5</v>
      </c>
    </row>
    <row r="832">
      <c r="A832" s="1">
        <v>536464.0</v>
      </c>
      <c r="B832" s="1" t="str">
        <f t="shared" si="1"/>
        <v>536464</v>
      </c>
      <c r="C832" s="1" t="str">
        <f t="shared" si="2"/>
        <v>Sale</v>
      </c>
      <c r="D832" s="1">
        <v>22866.0</v>
      </c>
      <c r="E832" s="1" t="str">
        <f>IFERROR(__xludf.DUMMYFUNCTION("IF(LEN(D832)&gt;4, IFERROR(REGEXEXTRACT(TO_TEXT(D832),""\d+""),""""),"""")"),"22866")</f>
        <v>22866</v>
      </c>
      <c r="F832" s="6" t="str">
        <f t="shared" si="3"/>
        <v>Product</v>
      </c>
      <c r="G832" s="1" t="s">
        <v>246</v>
      </c>
      <c r="H832" s="6" t="str">
        <f>IFERROR(__xludf.DUMMYFUNCTION("IF(REGEXMATCH(LOWER(G832), ""^(\?)+\s*(missing)?\s*(\?)*$""), """", PROPER(SUBSTITUTE(SUBSTITUTE(G832, ""?"", """"), ""*"", """")))"),"Hand Warmer Scotty Dog Design")</f>
        <v>Hand Warmer Scotty Dog Design</v>
      </c>
      <c r="I832" s="3">
        <v>1.0</v>
      </c>
      <c r="J832" s="7">
        <v>40513.51597222222</v>
      </c>
      <c r="K832" s="8" t="str">
        <f t="shared" si="4"/>
        <v>2010-12</v>
      </c>
      <c r="L832" s="5">
        <v>2.1</v>
      </c>
      <c r="M832" s="3">
        <v>17968.0</v>
      </c>
      <c r="N832" s="1" t="str">
        <f t="shared" si="5"/>
        <v>Registered</v>
      </c>
      <c r="O832" s="1" t="s">
        <v>19</v>
      </c>
      <c r="P832" s="9" t="str">
        <f t="shared" si="6"/>
        <v>UK</v>
      </c>
      <c r="Q832" s="8">
        <f t="shared" si="7"/>
        <v>2.1</v>
      </c>
    </row>
    <row r="833">
      <c r="A833" s="1">
        <v>536464.0</v>
      </c>
      <c r="B833" s="1" t="str">
        <f t="shared" si="1"/>
        <v>536464</v>
      </c>
      <c r="C833" s="1" t="str">
        <f t="shared" si="2"/>
        <v>Sale</v>
      </c>
      <c r="D833" s="1">
        <v>22866.0</v>
      </c>
      <c r="E833" s="1" t="str">
        <f>IFERROR(__xludf.DUMMYFUNCTION("IF(LEN(D833)&gt;4, IFERROR(REGEXEXTRACT(TO_TEXT(D833),""\d+""),""""),"""")"),"22866")</f>
        <v>22866</v>
      </c>
      <c r="F833" s="6" t="str">
        <f t="shared" si="3"/>
        <v>Product</v>
      </c>
      <c r="G833" s="1" t="s">
        <v>246</v>
      </c>
      <c r="H833" s="6" t="str">
        <f>IFERROR(__xludf.DUMMYFUNCTION("IF(REGEXMATCH(LOWER(G833), ""^(\?)+\s*(missing)?\s*(\?)*$""), """", PROPER(SUBSTITUTE(SUBSTITUTE(G833, ""?"", """"), ""*"", """")))"),"Hand Warmer Scotty Dog Design")</f>
        <v>Hand Warmer Scotty Dog Design</v>
      </c>
      <c r="I833" s="3">
        <v>3.0</v>
      </c>
      <c r="J833" s="7">
        <v>40513.51597222222</v>
      </c>
      <c r="K833" s="8" t="str">
        <f t="shared" si="4"/>
        <v>2010-12</v>
      </c>
      <c r="L833" s="5">
        <v>2.1</v>
      </c>
      <c r="M833" s="3">
        <v>17968.0</v>
      </c>
      <c r="N833" s="1" t="str">
        <f t="shared" si="5"/>
        <v>Registered</v>
      </c>
      <c r="O833" s="1" t="s">
        <v>19</v>
      </c>
      <c r="P833" s="9" t="str">
        <f t="shared" si="6"/>
        <v>UK</v>
      </c>
      <c r="Q833" s="8">
        <f t="shared" si="7"/>
        <v>6.3</v>
      </c>
    </row>
    <row r="834">
      <c r="A834" s="1">
        <v>536464.0</v>
      </c>
      <c r="B834" s="1" t="str">
        <f t="shared" si="1"/>
        <v>536464</v>
      </c>
      <c r="C834" s="1" t="str">
        <f t="shared" si="2"/>
        <v>Sale</v>
      </c>
      <c r="D834" s="1">
        <v>22558.0</v>
      </c>
      <c r="E834" s="1" t="str">
        <f>IFERROR(__xludf.DUMMYFUNCTION("IF(LEN(D834)&gt;4, IFERROR(REGEXEXTRACT(TO_TEXT(D834),""\d+""),""""),"""")"),"22558")</f>
        <v>22558</v>
      </c>
      <c r="F834" s="6" t="str">
        <f t="shared" si="3"/>
        <v>Product</v>
      </c>
      <c r="G834" s="1" t="s">
        <v>250</v>
      </c>
      <c r="H834" s="6" t="str">
        <f>IFERROR(__xludf.DUMMYFUNCTION("IF(REGEXMATCH(LOWER(G834), ""^(\?)+\s*(missing)?\s*(\?)*$""), """", PROPER(SUBSTITUTE(SUBSTITUTE(G834, ""?"", """"), ""*"", """")))"),"Clothes Pegs Retrospot Pack 24")</f>
        <v>Clothes Pegs Retrospot Pack 24</v>
      </c>
      <c r="I834" s="3">
        <v>2.0</v>
      </c>
      <c r="J834" s="7">
        <v>40513.51597222222</v>
      </c>
      <c r="K834" s="8" t="str">
        <f t="shared" si="4"/>
        <v>2010-12</v>
      </c>
      <c r="L834" s="5">
        <v>1.49</v>
      </c>
      <c r="M834" s="3">
        <v>17968.0</v>
      </c>
      <c r="N834" s="1" t="str">
        <f t="shared" si="5"/>
        <v>Registered</v>
      </c>
      <c r="O834" s="1" t="s">
        <v>19</v>
      </c>
      <c r="P834" s="9" t="str">
        <f t="shared" si="6"/>
        <v>UK</v>
      </c>
      <c r="Q834" s="8">
        <f t="shared" si="7"/>
        <v>2.98</v>
      </c>
    </row>
    <row r="835">
      <c r="A835" s="1">
        <v>536464.0</v>
      </c>
      <c r="B835" s="1" t="str">
        <f t="shared" si="1"/>
        <v>536464</v>
      </c>
      <c r="C835" s="1" t="str">
        <f t="shared" si="2"/>
        <v>Sale</v>
      </c>
      <c r="D835" s="1">
        <v>22956.0</v>
      </c>
      <c r="E835" s="1" t="str">
        <f>IFERROR(__xludf.DUMMYFUNCTION("IF(LEN(D835)&gt;4, IFERROR(REGEXEXTRACT(TO_TEXT(D835),""\d+""),""""),"""")"),"22956")</f>
        <v>22956</v>
      </c>
      <c r="F835" s="6" t="str">
        <f t="shared" si="3"/>
        <v>Product</v>
      </c>
      <c r="G835" s="1" t="s">
        <v>600</v>
      </c>
      <c r="H835" s="6" t="str">
        <f>IFERROR(__xludf.DUMMYFUNCTION("IF(REGEXMATCH(LOWER(G835), ""^(\?)+\s*(missing)?\s*(\?)*$""), """", PROPER(SUBSTITUTE(SUBSTITUTE(G835, ""?"", """"), ""*"", """")))"),"36 Foil Heart Cake Cases")</f>
        <v>36 Foil Heart Cake Cases</v>
      </c>
      <c r="I835" s="3">
        <v>1.0</v>
      </c>
      <c r="J835" s="7">
        <v>40513.51597222222</v>
      </c>
      <c r="K835" s="8" t="str">
        <f t="shared" si="4"/>
        <v>2010-12</v>
      </c>
      <c r="L835" s="5">
        <v>2.1</v>
      </c>
      <c r="M835" s="3">
        <v>17968.0</v>
      </c>
      <c r="N835" s="1" t="str">
        <f t="shared" si="5"/>
        <v>Registered</v>
      </c>
      <c r="O835" s="1" t="s">
        <v>19</v>
      </c>
      <c r="P835" s="9" t="str">
        <f t="shared" si="6"/>
        <v>UK</v>
      </c>
      <c r="Q835" s="8">
        <f t="shared" si="7"/>
        <v>2.1</v>
      </c>
    </row>
    <row r="836">
      <c r="A836" s="1">
        <v>536464.0</v>
      </c>
      <c r="B836" s="1" t="str">
        <f t="shared" si="1"/>
        <v>536464</v>
      </c>
      <c r="C836" s="1" t="str">
        <f t="shared" si="2"/>
        <v>Sale</v>
      </c>
      <c r="D836" s="1">
        <v>22945.0</v>
      </c>
      <c r="E836" s="1" t="str">
        <f>IFERROR(__xludf.DUMMYFUNCTION("IF(LEN(D836)&gt;4, IFERROR(REGEXEXTRACT(TO_TEXT(D836),""\d+""),""""),"""")"),"22945")</f>
        <v>22945</v>
      </c>
      <c r="F836" s="6" t="str">
        <f t="shared" si="3"/>
        <v>Product</v>
      </c>
      <c r="G836" s="1" t="s">
        <v>586</v>
      </c>
      <c r="H836" s="6" t="str">
        <f>IFERROR(__xludf.DUMMYFUNCTION("IF(REGEXMATCH(LOWER(G836), ""^(\?)+\s*(missing)?\s*(\?)*$""), """", PROPER(SUBSTITUTE(SUBSTITUTE(G836, ""?"", """"), ""*"", """")))"),"Christmas Metal Tags Assorted")</f>
        <v>Christmas Metal Tags Assorted</v>
      </c>
      <c r="I836" s="3">
        <v>6.0</v>
      </c>
      <c r="J836" s="7">
        <v>40513.51597222222</v>
      </c>
      <c r="K836" s="8" t="str">
        <f t="shared" si="4"/>
        <v>2010-12</v>
      </c>
      <c r="L836" s="5">
        <v>0.85</v>
      </c>
      <c r="M836" s="3">
        <v>17968.0</v>
      </c>
      <c r="N836" s="1" t="str">
        <f t="shared" si="5"/>
        <v>Registered</v>
      </c>
      <c r="O836" s="1" t="s">
        <v>19</v>
      </c>
      <c r="P836" s="9" t="str">
        <f t="shared" si="6"/>
        <v>UK</v>
      </c>
      <c r="Q836" s="8">
        <f t="shared" si="7"/>
        <v>5.1</v>
      </c>
    </row>
    <row r="837">
      <c r="A837" s="1">
        <v>536464.0</v>
      </c>
      <c r="B837" s="1" t="str">
        <f t="shared" si="1"/>
        <v>536464</v>
      </c>
      <c r="C837" s="1" t="str">
        <f t="shared" si="2"/>
        <v>Sale</v>
      </c>
      <c r="D837" s="1">
        <v>22582.0</v>
      </c>
      <c r="E837" s="1" t="str">
        <f>IFERROR(__xludf.DUMMYFUNCTION("IF(LEN(D837)&gt;4, IFERROR(REGEXEXTRACT(TO_TEXT(D837),""\d+""),""""),"""")"),"22582")</f>
        <v>22582</v>
      </c>
      <c r="F837" s="6" t="str">
        <f t="shared" si="3"/>
        <v>Product</v>
      </c>
      <c r="G837" s="1" t="s">
        <v>601</v>
      </c>
      <c r="H837" s="6" t="str">
        <f>IFERROR(__xludf.DUMMYFUNCTION("IF(REGEXMATCH(LOWER(G837), ""^(\?)+\s*(missing)?\s*(\?)*$""), """", PROPER(SUBSTITUTE(SUBSTITUTE(G837, ""?"", """"), ""*"", """")))"),"Pack Of 6 Sweetie Gift Boxes")</f>
        <v>Pack Of 6 Sweetie Gift Boxes</v>
      </c>
      <c r="I837" s="3">
        <v>1.0</v>
      </c>
      <c r="J837" s="7">
        <v>40513.51597222222</v>
      </c>
      <c r="K837" s="8" t="str">
        <f t="shared" si="4"/>
        <v>2010-12</v>
      </c>
      <c r="L837" s="5">
        <v>2.55</v>
      </c>
      <c r="M837" s="3">
        <v>17968.0</v>
      </c>
      <c r="N837" s="1" t="str">
        <f t="shared" si="5"/>
        <v>Registered</v>
      </c>
      <c r="O837" s="1" t="s">
        <v>19</v>
      </c>
      <c r="P837" s="9" t="str">
        <f t="shared" si="6"/>
        <v>UK</v>
      </c>
      <c r="Q837" s="8">
        <f t="shared" si="7"/>
        <v>2.55</v>
      </c>
    </row>
    <row r="838">
      <c r="A838" s="1">
        <v>536464.0</v>
      </c>
      <c r="B838" s="1" t="str">
        <f t="shared" si="1"/>
        <v>536464</v>
      </c>
      <c r="C838" s="1" t="str">
        <f t="shared" si="2"/>
        <v>Sale</v>
      </c>
      <c r="D838" s="1">
        <v>21212.0</v>
      </c>
      <c r="E838" s="1" t="str">
        <f>IFERROR(__xludf.DUMMYFUNCTION("IF(LEN(D838)&gt;4, IFERROR(REGEXEXTRACT(TO_TEXT(D838),""\d+""),""""),"""")"),"21212")</f>
        <v>21212</v>
      </c>
      <c r="F838" s="6" t="str">
        <f t="shared" si="3"/>
        <v>Product</v>
      </c>
      <c r="G838" s="1" t="s">
        <v>97</v>
      </c>
      <c r="H838" s="6" t="str">
        <f>IFERROR(__xludf.DUMMYFUNCTION("IF(REGEXMATCH(LOWER(G838), ""^(\?)+\s*(missing)?\s*(\?)*$""), """", PROPER(SUBSTITUTE(SUBSTITUTE(G838, ""?"", """"), ""*"", """")))"),"Pack Of 72 Retrospot Cake Cases")</f>
        <v>Pack Of 72 Retrospot Cake Cases</v>
      </c>
      <c r="I838" s="3">
        <v>1.0</v>
      </c>
      <c r="J838" s="7">
        <v>40513.51597222222</v>
      </c>
      <c r="K838" s="8" t="str">
        <f t="shared" si="4"/>
        <v>2010-12</v>
      </c>
      <c r="L838" s="5">
        <v>0.55</v>
      </c>
      <c r="M838" s="3">
        <v>17968.0</v>
      </c>
      <c r="N838" s="1" t="str">
        <f t="shared" si="5"/>
        <v>Registered</v>
      </c>
      <c r="O838" s="1" t="s">
        <v>19</v>
      </c>
      <c r="P838" s="9" t="str">
        <f t="shared" si="6"/>
        <v>UK</v>
      </c>
      <c r="Q838" s="8">
        <f t="shared" si="7"/>
        <v>0.55</v>
      </c>
    </row>
    <row r="839">
      <c r="A839" s="1">
        <v>536464.0</v>
      </c>
      <c r="B839" s="1" t="str">
        <f t="shared" si="1"/>
        <v>536464</v>
      </c>
      <c r="C839" s="1" t="str">
        <f t="shared" si="2"/>
        <v>Sale</v>
      </c>
      <c r="D839" s="1">
        <v>21212.0</v>
      </c>
      <c r="E839" s="1" t="str">
        <f>IFERROR(__xludf.DUMMYFUNCTION("IF(LEN(D839)&gt;4, IFERROR(REGEXEXTRACT(TO_TEXT(D839),""\d+""),""""),"""")"),"21212")</f>
        <v>21212</v>
      </c>
      <c r="F839" s="6" t="str">
        <f t="shared" si="3"/>
        <v>Product</v>
      </c>
      <c r="G839" s="1" t="s">
        <v>97</v>
      </c>
      <c r="H839" s="6" t="str">
        <f>IFERROR(__xludf.DUMMYFUNCTION("IF(REGEXMATCH(LOWER(G839), ""^(\?)+\s*(missing)?\s*(\?)*$""), """", PROPER(SUBSTITUTE(SUBSTITUTE(G839, ""?"", """"), ""*"", """")))"),"Pack Of 72 Retrospot Cake Cases")</f>
        <v>Pack Of 72 Retrospot Cake Cases</v>
      </c>
      <c r="I839" s="3">
        <v>2.0</v>
      </c>
      <c r="J839" s="7">
        <v>40513.51597222222</v>
      </c>
      <c r="K839" s="8" t="str">
        <f t="shared" si="4"/>
        <v>2010-12</v>
      </c>
      <c r="L839" s="5">
        <v>0.55</v>
      </c>
      <c r="M839" s="3">
        <v>17968.0</v>
      </c>
      <c r="N839" s="1" t="str">
        <f t="shared" si="5"/>
        <v>Registered</v>
      </c>
      <c r="O839" s="1" t="s">
        <v>19</v>
      </c>
      <c r="P839" s="9" t="str">
        <f t="shared" si="6"/>
        <v>UK</v>
      </c>
      <c r="Q839" s="8">
        <f t="shared" si="7"/>
        <v>1.1</v>
      </c>
    </row>
    <row r="840">
      <c r="A840" s="1">
        <v>536464.0</v>
      </c>
      <c r="B840" s="1" t="str">
        <f t="shared" si="1"/>
        <v>536464</v>
      </c>
      <c r="C840" s="1" t="str">
        <f t="shared" si="2"/>
        <v>Sale</v>
      </c>
      <c r="D840" s="1">
        <v>22585.0</v>
      </c>
      <c r="E840" s="1" t="str">
        <f>IFERROR(__xludf.DUMMYFUNCTION("IF(LEN(D840)&gt;4, IFERROR(REGEXEXTRACT(TO_TEXT(D840),""\d+""),""""),"""")"),"22585")</f>
        <v>22585</v>
      </c>
      <c r="F840" s="6" t="str">
        <f t="shared" si="3"/>
        <v>Product</v>
      </c>
      <c r="G840" s="1" t="s">
        <v>520</v>
      </c>
      <c r="H840" s="6" t="str">
        <f>IFERROR(__xludf.DUMMYFUNCTION("IF(REGEXMATCH(LOWER(G840), ""^(\?)+\s*(missing)?\s*(\?)*$""), """", PROPER(SUBSTITUTE(SUBSTITUTE(G840, ""?"", """"), ""*"", """")))"),"Pack Of 6 Birdy Gift Tags")</f>
        <v>Pack Of 6 Birdy Gift Tags</v>
      </c>
      <c r="I840" s="3">
        <v>3.0</v>
      </c>
      <c r="J840" s="7">
        <v>40513.51597222222</v>
      </c>
      <c r="K840" s="8" t="str">
        <f t="shared" si="4"/>
        <v>2010-12</v>
      </c>
      <c r="L840" s="5">
        <v>1.25</v>
      </c>
      <c r="M840" s="3">
        <v>17968.0</v>
      </c>
      <c r="N840" s="1" t="str">
        <f t="shared" si="5"/>
        <v>Registered</v>
      </c>
      <c r="O840" s="1" t="s">
        <v>19</v>
      </c>
      <c r="P840" s="9" t="str">
        <f t="shared" si="6"/>
        <v>UK</v>
      </c>
      <c r="Q840" s="8">
        <f t="shared" si="7"/>
        <v>3.75</v>
      </c>
    </row>
    <row r="841">
      <c r="A841" s="1">
        <v>536464.0</v>
      </c>
      <c r="B841" s="1" t="str">
        <f t="shared" si="1"/>
        <v>536464</v>
      </c>
      <c r="C841" s="1" t="str">
        <f t="shared" si="2"/>
        <v>Sale</v>
      </c>
      <c r="D841" s="1">
        <v>21121.0</v>
      </c>
      <c r="E841" s="1" t="str">
        <f>IFERROR(__xludf.DUMMYFUNCTION("IF(LEN(D841)&gt;4, IFERROR(REGEXEXTRACT(TO_TEXT(D841),""\d+""),""""),"""")"),"21121")</f>
        <v>21121</v>
      </c>
      <c r="F841" s="6" t="str">
        <f t="shared" si="3"/>
        <v>Product</v>
      </c>
      <c r="G841" s="1" t="s">
        <v>558</v>
      </c>
      <c r="H841" s="6" t="str">
        <f>IFERROR(__xludf.DUMMYFUNCTION("IF(REGEXMATCH(LOWER(G841), ""^(\?)+\s*(missing)?\s*(\?)*$""), """", PROPER(SUBSTITUTE(SUBSTITUTE(G841, ""?"", """"), ""*"", """")))"),"Set/10 Red Polkadot Party Candles")</f>
        <v>Set/10 Red Polkadot Party Candles</v>
      </c>
      <c r="I841" s="3">
        <v>1.0</v>
      </c>
      <c r="J841" s="7">
        <v>40513.51597222222</v>
      </c>
      <c r="K841" s="8" t="str">
        <f t="shared" si="4"/>
        <v>2010-12</v>
      </c>
      <c r="L841" s="5">
        <v>1.25</v>
      </c>
      <c r="M841" s="3">
        <v>17968.0</v>
      </c>
      <c r="N841" s="1" t="str">
        <f t="shared" si="5"/>
        <v>Registered</v>
      </c>
      <c r="O841" s="1" t="s">
        <v>19</v>
      </c>
      <c r="P841" s="9" t="str">
        <f t="shared" si="6"/>
        <v>UK</v>
      </c>
      <c r="Q841" s="8">
        <f t="shared" si="7"/>
        <v>1.25</v>
      </c>
    </row>
    <row r="842">
      <c r="A842" s="1">
        <v>536464.0</v>
      </c>
      <c r="B842" s="1" t="str">
        <f t="shared" si="1"/>
        <v>536464</v>
      </c>
      <c r="C842" s="1" t="str">
        <f t="shared" si="2"/>
        <v>Sale</v>
      </c>
      <c r="D842" s="1">
        <v>21122.0</v>
      </c>
      <c r="E842" s="1" t="str">
        <f>IFERROR(__xludf.DUMMYFUNCTION("IF(LEN(D842)&gt;4, IFERROR(REGEXEXTRACT(TO_TEXT(D842),""\d+""),""""),"""")"),"21122")</f>
        <v>21122</v>
      </c>
      <c r="F842" s="6" t="str">
        <f t="shared" si="3"/>
        <v>Product</v>
      </c>
      <c r="G842" s="1" t="s">
        <v>302</v>
      </c>
      <c r="H842" s="6" t="str">
        <f>IFERROR(__xludf.DUMMYFUNCTION("IF(REGEXMATCH(LOWER(G842), ""^(\?)+\s*(missing)?\s*(\?)*$""), """", PROPER(SUBSTITUTE(SUBSTITUTE(G842, ""?"", """"), ""*"", """")))"),"Set/10 Pink Polkadot Party Candles")</f>
        <v>Set/10 Pink Polkadot Party Candles</v>
      </c>
      <c r="I842" s="3">
        <v>1.0</v>
      </c>
      <c r="J842" s="7">
        <v>40513.51597222222</v>
      </c>
      <c r="K842" s="8" t="str">
        <f t="shared" si="4"/>
        <v>2010-12</v>
      </c>
      <c r="L842" s="5">
        <v>1.25</v>
      </c>
      <c r="M842" s="3">
        <v>17968.0</v>
      </c>
      <c r="N842" s="1" t="str">
        <f t="shared" si="5"/>
        <v>Registered</v>
      </c>
      <c r="O842" s="1" t="s">
        <v>19</v>
      </c>
      <c r="P842" s="9" t="str">
        <f t="shared" si="6"/>
        <v>UK</v>
      </c>
      <c r="Q842" s="8">
        <f t="shared" si="7"/>
        <v>1.25</v>
      </c>
    </row>
    <row r="843">
      <c r="A843" s="1">
        <v>536464.0</v>
      </c>
      <c r="B843" s="1" t="str">
        <f t="shared" si="1"/>
        <v>536464</v>
      </c>
      <c r="C843" s="1" t="str">
        <f t="shared" si="2"/>
        <v>Sale</v>
      </c>
      <c r="D843" s="1">
        <v>22759.0</v>
      </c>
      <c r="E843" s="1" t="str">
        <f>IFERROR(__xludf.DUMMYFUNCTION("IF(LEN(D843)&gt;4, IFERROR(REGEXEXTRACT(TO_TEXT(D843),""\d+""),""""),"""")"),"22759")</f>
        <v>22759</v>
      </c>
      <c r="F843" s="6" t="str">
        <f t="shared" si="3"/>
        <v>Product</v>
      </c>
      <c r="G843" s="1" t="s">
        <v>440</v>
      </c>
      <c r="H843" s="6" t="str">
        <f>IFERROR(__xludf.DUMMYFUNCTION("IF(REGEXMATCH(LOWER(G843), ""^(\?)+\s*(missing)?\s*(\?)*$""), """", PROPER(SUBSTITUTE(SUBSTITUTE(G843, ""?"", """"), ""*"", """")))"),"Set Of 3 Notebooks In Parcel")</f>
        <v>Set Of 3 Notebooks In Parcel</v>
      </c>
      <c r="I843" s="3">
        <v>1.0</v>
      </c>
      <c r="J843" s="7">
        <v>40513.51597222222</v>
      </c>
      <c r="K843" s="8" t="str">
        <f t="shared" si="4"/>
        <v>2010-12</v>
      </c>
      <c r="L843" s="5">
        <v>1.65</v>
      </c>
      <c r="M843" s="3">
        <v>17968.0</v>
      </c>
      <c r="N843" s="1" t="str">
        <f t="shared" si="5"/>
        <v>Registered</v>
      </c>
      <c r="O843" s="1" t="s">
        <v>19</v>
      </c>
      <c r="P843" s="9" t="str">
        <f t="shared" si="6"/>
        <v>UK</v>
      </c>
      <c r="Q843" s="8">
        <f t="shared" si="7"/>
        <v>1.65</v>
      </c>
    </row>
    <row r="844">
      <c r="A844" s="1">
        <v>536464.0</v>
      </c>
      <c r="B844" s="1" t="str">
        <f t="shared" si="1"/>
        <v>536464</v>
      </c>
      <c r="C844" s="1" t="str">
        <f t="shared" si="2"/>
        <v>Sale</v>
      </c>
      <c r="D844" s="1">
        <v>21815.0</v>
      </c>
      <c r="E844" s="1" t="str">
        <f>IFERROR(__xludf.DUMMYFUNCTION("IF(LEN(D844)&gt;4, IFERROR(REGEXEXTRACT(TO_TEXT(D844),""\d+""),""""),"""")"),"21815")</f>
        <v>21815</v>
      </c>
      <c r="F844" s="6" t="str">
        <f t="shared" si="3"/>
        <v>Product</v>
      </c>
      <c r="G844" s="1" t="s">
        <v>588</v>
      </c>
      <c r="H844" s="6" t="str">
        <f>IFERROR(__xludf.DUMMYFUNCTION("IF(REGEXMATCH(LOWER(G844), ""^(\?)+\s*(missing)?\s*(\?)*$""), """", PROPER(SUBSTITUTE(SUBSTITUTE(G844, ""?"", """"), ""*"", """")))"),"Star T-Light Holder")</f>
        <v>Star T-Light Holder</v>
      </c>
      <c r="I844" s="3">
        <v>1.0</v>
      </c>
      <c r="J844" s="7">
        <v>40513.51597222222</v>
      </c>
      <c r="K844" s="8" t="str">
        <f t="shared" si="4"/>
        <v>2010-12</v>
      </c>
      <c r="L844" s="5">
        <v>1.45</v>
      </c>
      <c r="M844" s="3">
        <v>17968.0</v>
      </c>
      <c r="N844" s="1" t="str">
        <f t="shared" si="5"/>
        <v>Registered</v>
      </c>
      <c r="O844" s="1" t="s">
        <v>19</v>
      </c>
      <c r="P844" s="9" t="str">
        <f t="shared" si="6"/>
        <v>UK</v>
      </c>
      <c r="Q844" s="8">
        <f t="shared" si="7"/>
        <v>1.45</v>
      </c>
    </row>
    <row r="845">
      <c r="A845" s="1">
        <v>536464.0</v>
      </c>
      <c r="B845" s="1" t="str">
        <f t="shared" si="1"/>
        <v>536464</v>
      </c>
      <c r="C845" s="1" t="str">
        <f t="shared" si="2"/>
        <v>Sale</v>
      </c>
      <c r="D845" s="1" t="s">
        <v>602</v>
      </c>
      <c r="E845" s="1" t="str">
        <f>IFERROR(__xludf.DUMMYFUNCTION("IF(LEN(D845)&gt;4, IFERROR(REGEXEXTRACT(TO_TEXT(D845),""\d+""),""""),"""")"),"85231")</f>
        <v>85231</v>
      </c>
      <c r="F845" s="6" t="str">
        <f t="shared" si="3"/>
        <v>Product</v>
      </c>
      <c r="G845" s="1" t="s">
        <v>603</v>
      </c>
      <c r="H845" s="6" t="str">
        <f>IFERROR(__xludf.DUMMYFUNCTION("IF(REGEXMATCH(LOWER(G845), ""^(\?)+\s*(missing)?\s*(\?)*$""), """", PROPER(SUBSTITUTE(SUBSTITUTE(G845, ""?"", """"), ""*"", """")))"),"Cinammon Set Of 9 T-Lights")</f>
        <v>Cinammon Set Of 9 T-Lights</v>
      </c>
      <c r="I845" s="3">
        <v>3.0</v>
      </c>
      <c r="J845" s="7">
        <v>40513.51597222222</v>
      </c>
      <c r="K845" s="8" t="str">
        <f t="shared" si="4"/>
        <v>2010-12</v>
      </c>
      <c r="L845" s="5">
        <v>0.85</v>
      </c>
      <c r="M845" s="3">
        <v>17968.0</v>
      </c>
      <c r="N845" s="1" t="str">
        <f t="shared" si="5"/>
        <v>Registered</v>
      </c>
      <c r="O845" s="1" t="s">
        <v>19</v>
      </c>
      <c r="P845" s="9" t="str">
        <f t="shared" si="6"/>
        <v>UK</v>
      </c>
      <c r="Q845" s="8">
        <f t="shared" si="7"/>
        <v>2.55</v>
      </c>
    </row>
    <row r="846">
      <c r="A846" s="1">
        <v>536464.0</v>
      </c>
      <c r="B846" s="1" t="str">
        <f t="shared" si="1"/>
        <v>536464</v>
      </c>
      <c r="C846" s="1" t="str">
        <f t="shared" si="2"/>
        <v>Sale</v>
      </c>
      <c r="D846" s="1" t="s">
        <v>604</v>
      </c>
      <c r="E846" s="1" t="str">
        <f>IFERROR(__xludf.DUMMYFUNCTION("IF(LEN(D846)&gt;4, IFERROR(REGEXEXTRACT(TO_TEXT(D846),""\d+""),""""),"""")"),"85231")</f>
        <v>85231</v>
      </c>
      <c r="F846" s="6" t="str">
        <f t="shared" si="3"/>
        <v>Product</v>
      </c>
      <c r="G846" s="1" t="s">
        <v>605</v>
      </c>
      <c r="H846" s="6" t="str">
        <f>IFERROR(__xludf.DUMMYFUNCTION("IF(REGEXMATCH(LOWER(G846), ""^(\?)+\s*(missing)?\s*(\?)*$""), """", PROPER(SUBSTITUTE(SUBSTITUTE(G846, ""?"", """"), ""*"", """")))"),"Orange Scented Set/9 T-Lights")</f>
        <v>Orange Scented Set/9 T-Lights</v>
      </c>
      <c r="I846" s="3">
        <v>5.0</v>
      </c>
      <c r="J846" s="7">
        <v>40513.51597222222</v>
      </c>
      <c r="K846" s="8" t="str">
        <f t="shared" si="4"/>
        <v>2010-12</v>
      </c>
      <c r="L846" s="5">
        <v>0.85</v>
      </c>
      <c r="M846" s="3">
        <v>17968.0</v>
      </c>
      <c r="N846" s="1" t="str">
        <f t="shared" si="5"/>
        <v>Registered</v>
      </c>
      <c r="O846" s="1" t="s">
        <v>19</v>
      </c>
      <c r="P846" s="9" t="str">
        <f t="shared" si="6"/>
        <v>UK</v>
      </c>
      <c r="Q846" s="8">
        <f t="shared" si="7"/>
        <v>4.25</v>
      </c>
    </row>
    <row r="847">
      <c r="A847" s="1">
        <v>536464.0</v>
      </c>
      <c r="B847" s="1" t="str">
        <f t="shared" si="1"/>
        <v>536464</v>
      </c>
      <c r="C847" s="1" t="str">
        <f t="shared" si="2"/>
        <v>Sale</v>
      </c>
      <c r="D847" s="1">
        <v>22082.0</v>
      </c>
      <c r="E847" s="1" t="str">
        <f>IFERROR(__xludf.DUMMYFUNCTION("IF(LEN(D847)&gt;4, IFERROR(REGEXEXTRACT(TO_TEXT(D847),""\d+""),""""),"""")"),"22082")</f>
        <v>22082</v>
      </c>
      <c r="F847" s="6" t="str">
        <f t="shared" si="3"/>
        <v>Product</v>
      </c>
      <c r="G847" s="1" t="s">
        <v>606</v>
      </c>
      <c r="H847" s="6" t="str">
        <f>IFERROR(__xludf.DUMMYFUNCTION("IF(REGEXMATCH(LOWER(G847), ""^(\?)+\s*(missing)?\s*(\?)*$""), """", PROPER(SUBSTITUTE(SUBSTITUTE(G847, ""?"", """"), ""*"", """")))"),"Ribbon Reel Stripes Design")</f>
        <v>Ribbon Reel Stripes Design</v>
      </c>
      <c r="I847" s="3">
        <v>5.0</v>
      </c>
      <c r="J847" s="7">
        <v>40513.51597222222</v>
      </c>
      <c r="K847" s="8" t="str">
        <f t="shared" si="4"/>
        <v>2010-12</v>
      </c>
      <c r="L847" s="5">
        <v>1.65</v>
      </c>
      <c r="M847" s="3">
        <v>17968.0</v>
      </c>
      <c r="N847" s="1" t="str">
        <f t="shared" si="5"/>
        <v>Registered</v>
      </c>
      <c r="O847" s="1" t="s">
        <v>19</v>
      </c>
      <c r="P847" s="9" t="str">
        <f t="shared" si="6"/>
        <v>UK</v>
      </c>
      <c r="Q847" s="8">
        <f t="shared" si="7"/>
        <v>8.25</v>
      </c>
    </row>
    <row r="848">
      <c r="A848" s="1">
        <v>536464.0</v>
      </c>
      <c r="B848" s="1" t="str">
        <f t="shared" si="1"/>
        <v>536464</v>
      </c>
      <c r="C848" s="1" t="str">
        <f t="shared" si="2"/>
        <v>Sale</v>
      </c>
      <c r="D848" s="1">
        <v>22500.0</v>
      </c>
      <c r="E848" s="1" t="str">
        <f>IFERROR(__xludf.DUMMYFUNCTION("IF(LEN(D848)&gt;4, IFERROR(REGEXEXTRACT(TO_TEXT(D848),""\d+""),""""),"""")"),"22500")</f>
        <v>22500</v>
      </c>
      <c r="F848" s="6" t="str">
        <f t="shared" si="3"/>
        <v>Product</v>
      </c>
      <c r="G848" s="1" t="s">
        <v>607</v>
      </c>
      <c r="H848" s="6" t="str">
        <f>IFERROR(__xludf.DUMMYFUNCTION("IF(REGEXMATCH(LOWER(G848), ""^(\?)+\s*(missing)?\s*(\?)*$""), """", PROPER(SUBSTITUTE(SUBSTITUTE(G848, ""?"", """"), ""*"", """")))"),"Set Of 2 Tins Jardin De Provence")</f>
        <v>Set Of 2 Tins Jardin De Provence</v>
      </c>
      <c r="I848" s="3">
        <v>2.0</v>
      </c>
      <c r="J848" s="7">
        <v>40513.51597222222</v>
      </c>
      <c r="K848" s="8" t="str">
        <f t="shared" si="4"/>
        <v>2010-12</v>
      </c>
      <c r="L848" s="5">
        <v>4.95</v>
      </c>
      <c r="M848" s="3">
        <v>17968.0</v>
      </c>
      <c r="N848" s="1" t="str">
        <f t="shared" si="5"/>
        <v>Registered</v>
      </c>
      <c r="O848" s="1" t="s">
        <v>19</v>
      </c>
      <c r="P848" s="9" t="str">
        <f t="shared" si="6"/>
        <v>UK</v>
      </c>
      <c r="Q848" s="8">
        <f t="shared" si="7"/>
        <v>9.9</v>
      </c>
    </row>
    <row r="849">
      <c r="A849" s="1">
        <v>536464.0</v>
      </c>
      <c r="B849" s="1" t="str">
        <f t="shared" si="1"/>
        <v>536464</v>
      </c>
      <c r="C849" s="1" t="str">
        <f t="shared" si="2"/>
        <v>Sale</v>
      </c>
      <c r="D849" s="1">
        <v>22742.0</v>
      </c>
      <c r="E849" s="1" t="str">
        <f>IFERROR(__xludf.DUMMYFUNCTION("IF(LEN(D849)&gt;4, IFERROR(REGEXEXTRACT(TO_TEXT(D849),""\d+""),""""),"""")"),"22742")</f>
        <v>22742</v>
      </c>
      <c r="F849" s="6" t="str">
        <f t="shared" si="3"/>
        <v>Product</v>
      </c>
      <c r="G849" s="1" t="s">
        <v>608</v>
      </c>
      <c r="H849" s="6" t="str">
        <f>IFERROR(__xludf.DUMMYFUNCTION("IF(REGEXMATCH(LOWER(G849), ""^(\?)+\s*(missing)?\s*(\?)*$""), """", PROPER(SUBSTITUTE(SUBSTITUTE(G849, ""?"", """"), ""*"", """")))"),"Make Your Own Playtime Card Kit")</f>
        <v>Make Your Own Playtime Card Kit</v>
      </c>
      <c r="I849" s="3">
        <v>1.0</v>
      </c>
      <c r="J849" s="7">
        <v>40513.51597222222</v>
      </c>
      <c r="K849" s="8" t="str">
        <f t="shared" si="4"/>
        <v>2010-12</v>
      </c>
      <c r="L849" s="5">
        <v>2.95</v>
      </c>
      <c r="M849" s="3">
        <v>17968.0</v>
      </c>
      <c r="N849" s="1" t="str">
        <f t="shared" si="5"/>
        <v>Registered</v>
      </c>
      <c r="O849" s="1" t="s">
        <v>19</v>
      </c>
      <c r="P849" s="9" t="str">
        <f t="shared" si="6"/>
        <v>UK</v>
      </c>
      <c r="Q849" s="8">
        <f t="shared" si="7"/>
        <v>2.95</v>
      </c>
    </row>
    <row r="850">
      <c r="A850" s="1">
        <v>536464.0</v>
      </c>
      <c r="B850" s="1" t="str">
        <f t="shared" si="1"/>
        <v>536464</v>
      </c>
      <c r="C850" s="1" t="str">
        <f t="shared" si="2"/>
        <v>Sale</v>
      </c>
      <c r="D850" s="1">
        <v>21329.0</v>
      </c>
      <c r="E850" s="1" t="str">
        <f>IFERROR(__xludf.DUMMYFUNCTION("IF(LEN(D850)&gt;4, IFERROR(REGEXEXTRACT(TO_TEXT(D850),""\d+""),""""),"""")"),"21329")</f>
        <v>21329</v>
      </c>
      <c r="F850" s="6" t="str">
        <f t="shared" si="3"/>
        <v>Product</v>
      </c>
      <c r="G850" s="1" t="s">
        <v>609</v>
      </c>
      <c r="H850" s="6" t="str">
        <f>IFERROR(__xludf.DUMMYFUNCTION("IF(REGEXMATCH(LOWER(G850), ""^(\?)+\s*(missing)?\s*(\?)*$""), """", PROPER(SUBSTITUTE(SUBSTITUTE(G850, ""?"", """"), ""*"", """")))"),"Dinosaurs Writing Set")</f>
        <v>Dinosaurs Writing Set</v>
      </c>
      <c r="I850" s="3">
        <v>1.0</v>
      </c>
      <c r="J850" s="7">
        <v>40513.51597222222</v>
      </c>
      <c r="K850" s="8" t="str">
        <f t="shared" si="4"/>
        <v>2010-12</v>
      </c>
      <c r="L850" s="5">
        <v>1.65</v>
      </c>
      <c r="M850" s="3">
        <v>17968.0</v>
      </c>
      <c r="N850" s="1" t="str">
        <f t="shared" si="5"/>
        <v>Registered</v>
      </c>
      <c r="O850" s="1" t="s">
        <v>19</v>
      </c>
      <c r="P850" s="9" t="str">
        <f t="shared" si="6"/>
        <v>UK</v>
      </c>
      <c r="Q850" s="8">
        <f t="shared" si="7"/>
        <v>1.65</v>
      </c>
    </row>
    <row r="851">
      <c r="A851" s="1">
        <v>536464.0</v>
      </c>
      <c r="B851" s="1" t="str">
        <f t="shared" si="1"/>
        <v>536464</v>
      </c>
      <c r="C851" s="1" t="str">
        <f t="shared" si="2"/>
        <v>Sale</v>
      </c>
      <c r="D851" s="1">
        <v>21328.0</v>
      </c>
      <c r="E851" s="1" t="str">
        <f>IFERROR(__xludf.DUMMYFUNCTION("IF(LEN(D851)&gt;4, IFERROR(REGEXEXTRACT(TO_TEXT(D851),""\d+""),""""),"""")"),"21328")</f>
        <v>21328</v>
      </c>
      <c r="F851" s="6" t="str">
        <f t="shared" si="3"/>
        <v>Product</v>
      </c>
      <c r="G851" s="1" t="s">
        <v>280</v>
      </c>
      <c r="H851" s="6" t="str">
        <f>IFERROR(__xludf.DUMMYFUNCTION("IF(REGEXMATCH(LOWER(G851), ""^(\?)+\s*(missing)?\s*(\?)*$""), """", PROPER(SUBSTITUTE(SUBSTITUTE(G851, ""?"", """"), ""*"", """")))"),"Balloons Writing Set")</f>
        <v>Balloons Writing Set</v>
      </c>
      <c r="I851" s="3">
        <v>1.0</v>
      </c>
      <c r="J851" s="7">
        <v>40513.51597222222</v>
      </c>
      <c r="K851" s="8" t="str">
        <f t="shared" si="4"/>
        <v>2010-12</v>
      </c>
      <c r="L851" s="5">
        <v>1.65</v>
      </c>
      <c r="M851" s="3">
        <v>17968.0</v>
      </c>
      <c r="N851" s="1" t="str">
        <f t="shared" si="5"/>
        <v>Registered</v>
      </c>
      <c r="O851" s="1" t="s">
        <v>19</v>
      </c>
      <c r="P851" s="9" t="str">
        <f t="shared" si="6"/>
        <v>UK</v>
      </c>
      <c r="Q851" s="8">
        <f t="shared" si="7"/>
        <v>1.65</v>
      </c>
    </row>
    <row r="852">
      <c r="A852" s="1">
        <v>536464.0</v>
      </c>
      <c r="B852" s="1" t="str">
        <f t="shared" si="1"/>
        <v>536464</v>
      </c>
      <c r="C852" s="1" t="str">
        <f t="shared" si="2"/>
        <v>Sale</v>
      </c>
      <c r="D852" s="1">
        <v>21327.0</v>
      </c>
      <c r="E852" s="1" t="str">
        <f>IFERROR(__xludf.DUMMYFUNCTION("IF(LEN(D852)&gt;4, IFERROR(REGEXEXTRACT(TO_TEXT(D852),""\d+""),""""),"""")"),"21327")</f>
        <v>21327</v>
      </c>
      <c r="F852" s="6" t="str">
        <f t="shared" si="3"/>
        <v>Product</v>
      </c>
      <c r="G852" s="1" t="s">
        <v>610</v>
      </c>
      <c r="H852" s="6" t="str">
        <f>IFERROR(__xludf.DUMMYFUNCTION("IF(REGEXMATCH(LOWER(G852), ""^(\?)+\s*(missing)?\s*(\?)*$""), """", PROPER(SUBSTITUTE(SUBSTITUTE(G852, ""?"", """"), ""*"", """")))"),"Skulls Writing Set")</f>
        <v>Skulls Writing Set</v>
      </c>
      <c r="I852" s="3">
        <v>1.0</v>
      </c>
      <c r="J852" s="7">
        <v>40513.51597222222</v>
      </c>
      <c r="K852" s="8" t="str">
        <f t="shared" si="4"/>
        <v>2010-12</v>
      </c>
      <c r="L852" s="5">
        <v>1.65</v>
      </c>
      <c r="M852" s="3">
        <v>17968.0</v>
      </c>
      <c r="N852" s="1" t="str">
        <f t="shared" si="5"/>
        <v>Registered</v>
      </c>
      <c r="O852" s="1" t="s">
        <v>19</v>
      </c>
      <c r="P852" s="9" t="str">
        <f t="shared" si="6"/>
        <v>UK</v>
      </c>
      <c r="Q852" s="8">
        <f t="shared" si="7"/>
        <v>1.65</v>
      </c>
    </row>
    <row r="853">
      <c r="A853" s="1">
        <v>536464.0</v>
      </c>
      <c r="B853" s="1" t="str">
        <f t="shared" si="1"/>
        <v>536464</v>
      </c>
      <c r="C853" s="1" t="str">
        <f t="shared" si="2"/>
        <v>Sale</v>
      </c>
      <c r="D853" s="1">
        <v>21992.0</v>
      </c>
      <c r="E853" s="1" t="str">
        <f>IFERROR(__xludf.DUMMYFUNCTION("IF(LEN(D853)&gt;4, IFERROR(REGEXEXTRACT(TO_TEXT(D853),""\d+""),""""),"""")"),"21992")</f>
        <v>21992</v>
      </c>
      <c r="F853" s="6" t="str">
        <f t="shared" si="3"/>
        <v>Product</v>
      </c>
      <c r="G853" s="1" t="s">
        <v>583</v>
      </c>
      <c r="H853" s="6" t="str">
        <f>IFERROR(__xludf.DUMMYFUNCTION("IF(REGEXMATCH(LOWER(G853), ""^(\?)+\s*(missing)?\s*(\?)*$""), """", PROPER(SUBSTITUTE(SUBSTITUTE(G853, ""?"", """"), ""*"", """")))"),"Vintage Paisley Stationery Set")</f>
        <v>Vintage Paisley Stationery Set</v>
      </c>
      <c r="I853" s="3">
        <v>1.0</v>
      </c>
      <c r="J853" s="7">
        <v>40513.51597222222</v>
      </c>
      <c r="K853" s="8" t="str">
        <f t="shared" si="4"/>
        <v>2010-12</v>
      </c>
      <c r="L853" s="5">
        <v>2.95</v>
      </c>
      <c r="M853" s="3">
        <v>17968.0</v>
      </c>
      <c r="N853" s="1" t="str">
        <f t="shared" si="5"/>
        <v>Registered</v>
      </c>
      <c r="O853" s="1" t="s">
        <v>19</v>
      </c>
      <c r="P853" s="9" t="str">
        <f t="shared" si="6"/>
        <v>UK</v>
      </c>
      <c r="Q853" s="8">
        <f t="shared" si="7"/>
        <v>2.95</v>
      </c>
    </row>
    <row r="854">
      <c r="A854" s="1">
        <v>536464.0</v>
      </c>
      <c r="B854" s="1" t="str">
        <f t="shared" si="1"/>
        <v>536464</v>
      </c>
      <c r="C854" s="1" t="str">
        <f t="shared" si="2"/>
        <v>Sale</v>
      </c>
      <c r="D854" s="1">
        <v>21738.0</v>
      </c>
      <c r="E854" s="1" t="str">
        <f>IFERROR(__xludf.DUMMYFUNCTION("IF(LEN(D854)&gt;4, IFERROR(REGEXEXTRACT(TO_TEXT(D854),""\d+""),""""),"""")"),"21738")</f>
        <v>21738</v>
      </c>
      <c r="F854" s="6" t="str">
        <f t="shared" si="3"/>
        <v>Product</v>
      </c>
      <c r="G854" s="1" t="s">
        <v>442</v>
      </c>
      <c r="H854" s="6" t="str">
        <f>IFERROR(__xludf.DUMMYFUNCTION("IF(REGEXMATCH(LOWER(G854), ""^(\?)+\s*(missing)?\s*(\?)*$""), """", PROPER(SUBSTITUTE(SUBSTITUTE(G854, ""?"", """"), ""*"", """")))"),"Cosy Slipper Shoes Small Red")</f>
        <v>Cosy Slipper Shoes Small Red</v>
      </c>
      <c r="I854" s="3">
        <v>1.0</v>
      </c>
      <c r="J854" s="7">
        <v>40513.51597222222</v>
      </c>
      <c r="K854" s="8" t="str">
        <f t="shared" si="4"/>
        <v>2010-12</v>
      </c>
      <c r="L854" s="5">
        <v>2.95</v>
      </c>
      <c r="M854" s="3">
        <v>17968.0</v>
      </c>
      <c r="N854" s="1" t="str">
        <f t="shared" si="5"/>
        <v>Registered</v>
      </c>
      <c r="O854" s="1" t="s">
        <v>19</v>
      </c>
      <c r="P854" s="9" t="str">
        <f t="shared" si="6"/>
        <v>UK</v>
      </c>
      <c r="Q854" s="8">
        <f t="shared" si="7"/>
        <v>2.95</v>
      </c>
    </row>
    <row r="855">
      <c r="A855" s="1">
        <v>536464.0</v>
      </c>
      <c r="B855" s="1" t="str">
        <f t="shared" si="1"/>
        <v>536464</v>
      </c>
      <c r="C855" s="1" t="str">
        <f t="shared" si="2"/>
        <v>Sale</v>
      </c>
      <c r="D855" s="1" t="s">
        <v>611</v>
      </c>
      <c r="E855" s="1" t="str">
        <f>IFERROR(__xludf.DUMMYFUNCTION("IF(LEN(D855)&gt;4, IFERROR(REGEXEXTRACT(TO_TEXT(D855),""\d+""),""""),"""")"),"48173")</f>
        <v>48173</v>
      </c>
      <c r="F855" s="6" t="str">
        <f t="shared" si="3"/>
        <v>Product</v>
      </c>
      <c r="G855" s="1" t="s">
        <v>612</v>
      </c>
      <c r="H855" s="6" t="str">
        <f>IFERROR(__xludf.DUMMYFUNCTION("IF(REGEXMATCH(LOWER(G855), ""^(\?)+\s*(missing)?\s*(\?)*$""), """", PROPER(SUBSTITUTE(SUBSTITUTE(G855, ""?"", """"), ""*"", """")))"),"Doormat Black Flock")</f>
        <v>Doormat Black Flock</v>
      </c>
      <c r="I855" s="3">
        <v>1.0</v>
      </c>
      <c r="J855" s="7">
        <v>40513.51597222222</v>
      </c>
      <c r="K855" s="8" t="str">
        <f t="shared" si="4"/>
        <v>2010-12</v>
      </c>
      <c r="L855" s="5">
        <v>7.95</v>
      </c>
      <c r="M855" s="3">
        <v>17968.0</v>
      </c>
      <c r="N855" s="1" t="str">
        <f t="shared" si="5"/>
        <v>Registered</v>
      </c>
      <c r="O855" s="1" t="s">
        <v>19</v>
      </c>
      <c r="P855" s="9" t="str">
        <f t="shared" si="6"/>
        <v>UK</v>
      </c>
      <c r="Q855" s="8">
        <f t="shared" si="7"/>
        <v>7.95</v>
      </c>
    </row>
    <row r="856">
      <c r="A856" s="1">
        <v>536464.0</v>
      </c>
      <c r="B856" s="1" t="str">
        <f t="shared" si="1"/>
        <v>536464</v>
      </c>
      <c r="C856" s="1" t="str">
        <f t="shared" si="2"/>
        <v>Sale</v>
      </c>
      <c r="D856" s="1" t="s">
        <v>85</v>
      </c>
      <c r="E856" s="1" t="str">
        <f>IFERROR(__xludf.DUMMYFUNCTION("IF(LEN(D856)&gt;4, IFERROR(REGEXEXTRACT(TO_TEXT(D856),""\d+""),""""),"""")"),"85099")</f>
        <v>85099</v>
      </c>
      <c r="F856" s="6" t="str">
        <f t="shared" si="3"/>
        <v>Product</v>
      </c>
      <c r="G856" s="1" t="s">
        <v>86</v>
      </c>
      <c r="H856" s="6" t="str">
        <f>IFERROR(__xludf.DUMMYFUNCTION("IF(REGEXMATCH(LOWER(G856), ""^(\?)+\s*(missing)?\s*(\?)*$""), """", PROPER(SUBSTITUTE(SUBSTITUTE(G856, ""?"", """"), ""*"", """")))"),"Jumbo Bag Baroque Black White")</f>
        <v>Jumbo Bag Baroque Black White</v>
      </c>
      <c r="I856" s="3">
        <v>1.0</v>
      </c>
      <c r="J856" s="7">
        <v>40513.51597222222</v>
      </c>
      <c r="K856" s="8" t="str">
        <f t="shared" si="4"/>
        <v>2010-12</v>
      </c>
      <c r="L856" s="5">
        <v>1.95</v>
      </c>
      <c r="M856" s="3">
        <v>17968.0</v>
      </c>
      <c r="N856" s="1" t="str">
        <f t="shared" si="5"/>
        <v>Registered</v>
      </c>
      <c r="O856" s="1" t="s">
        <v>19</v>
      </c>
      <c r="P856" s="9" t="str">
        <f t="shared" si="6"/>
        <v>UK</v>
      </c>
      <c r="Q856" s="8">
        <f t="shared" si="7"/>
        <v>1.95</v>
      </c>
    </row>
    <row r="857">
      <c r="A857" s="1">
        <v>536464.0</v>
      </c>
      <c r="B857" s="1" t="str">
        <f t="shared" si="1"/>
        <v>536464</v>
      </c>
      <c r="C857" s="1" t="str">
        <f t="shared" si="2"/>
        <v>Sale</v>
      </c>
      <c r="D857" s="1">
        <v>22960.0</v>
      </c>
      <c r="E857" s="1" t="str">
        <f>IFERROR(__xludf.DUMMYFUNCTION("IF(LEN(D857)&gt;4, IFERROR(REGEXEXTRACT(TO_TEXT(D857),""\d+""),""""),"""")"),"22960")</f>
        <v>22960</v>
      </c>
      <c r="F857" s="6" t="str">
        <f t="shared" si="3"/>
        <v>Product</v>
      </c>
      <c r="G857" s="1" t="s">
        <v>43</v>
      </c>
      <c r="H857" s="6" t="str">
        <f>IFERROR(__xludf.DUMMYFUNCTION("IF(REGEXMATCH(LOWER(G857), ""^(\?)+\s*(missing)?\s*(\?)*$""), """", PROPER(SUBSTITUTE(SUBSTITUTE(G857, ""?"", """"), ""*"", """")))"),"Jam Making Set With Jars")</f>
        <v>Jam Making Set With Jars</v>
      </c>
      <c r="I857" s="3">
        <v>1.0</v>
      </c>
      <c r="J857" s="7">
        <v>40513.51597222222</v>
      </c>
      <c r="K857" s="8" t="str">
        <f t="shared" si="4"/>
        <v>2010-12</v>
      </c>
      <c r="L857" s="5">
        <v>4.25</v>
      </c>
      <c r="M857" s="3">
        <v>17968.0</v>
      </c>
      <c r="N857" s="1" t="str">
        <f t="shared" si="5"/>
        <v>Registered</v>
      </c>
      <c r="O857" s="1" t="s">
        <v>19</v>
      </c>
      <c r="P857" s="9" t="str">
        <f t="shared" si="6"/>
        <v>UK</v>
      </c>
      <c r="Q857" s="8">
        <f t="shared" si="7"/>
        <v>4.25</v>
      </c>
    </row>
    <row r="858">
      <c r="A858" s="1">
        <v>536464.0</v>
      </c>
      <c r="B858" s="1" t="str">
        <f t="shared" si="1"/>
        <v>536464</v>
      </c>
      <c r="C858" s="1" t="str">
        <f t="shared" si="2"/>
        <v>Sale</v>
      </c>
      <c r="D858" s="1" t="s">
        <v>604</v>
      </c>
      <c r="E858" s="1" t="str">
        <f>IFERROR(__xludf.DUMMYFUNCTION("IF(LEN(D858)&gt;4, IFERROR(REGEXEXTRACT(TO_TEXT(D858),""\d+""),""""),"""")"),"85231")</f>
        <v>85231</v>
      </c>
      <c r="F858" s="6" t="str">
        <f t="shared" si="3"/>
        <v>Product</v>
      </c>
      <c r="G858" s="1" t="s">
        <v>605</v>
      </c>
      <c r="H858" s="6" t="str">
        <f>IFERROR(__xludf.DUMMYFUNCTION("IF(REGEXMATCH(LOWER(G858), ""^(\?)+\s*(missing)?\s*(\?)*$""), """", PROPER(SUBSTITUTE(SUBSTITUTE(G858, ""?"", """"), ""*"", """")))"),"Orange Scented Set/9 T-Lights")</f>
        <v>Orange Scented Set/9 T-Lights</v>
      </c>
      <c r="I858" s="3">
        <v>1.0</v>
      </c>
      <c r="J858" s="7">
        <v>40513.51597222222</v>
      </c>
      <c r="K858" s="8" t="str">
        <f t="shared" si="4"/>
        <v>2010-12</v>
      </c>
      <c r="L858" s="5">
        <v>0.85</v>
      </c>
      <c r="M858" s="3">
        <v>17968.0</v>
      </c>
      <c r="N858" s="1" t="str">
        <f t="shared" si="5"/>
        <v>Registered</v>
      </c>
      <c r="O858" s="1" t="s">
        <v>19</v>
      </c>
      <c r="P858" s="9" t="str">
        <f t="shared" si="6"/>
        <v>UK</v>
      </c>
      <c r="Q858" s="8">
        <f t="shared" si="7"/>
        <v>0.85</v>
      </c>
    </row>
    <row r="859">
      <c r="A859" s="1">
        <v>536464.0</v>
      </c>
      <c r="B859" s="1" t="str">
        <f t="shared" si="1"/>
        <v>536464</v>
      </c>
      <c r="C859" s="1" t="str">
        <f t="shared" si="2"/>
        <v>Sale</v>
      </c>
      <c r="D859" s="1" t="s">
        <v>602</v>
      </c>
      <c r="E859" s="1" t="str">
        <f>IFERROR(__xludf.DUMMYFUNCTION("IF(LEN(D859)&gt;4, IFERROR(REGEXEXTRACT(TO_TEXT(D859),""\d+""),""""),"""")"),"85231")</f>
        <v>85231</v>
      </c>
      <c r="F859" s="6" t="str">
        <f t="shared" si="3"/>
        <v>Product</v>
      </c>
      <c r="G859" s="1" t="s">
        <v>603</v>
      </c>
      <c r="H859" s="6" t="str">
        <f>IFERROR(__xludf.DUMMYFUNCTION("IF(REGEXMATCH(LOWER(G859), ""^(\?)+\s*(missing)?\s*(\?)*$""), """", PROPER(SUBSTITUTE(SUBSTITUTE(G859, ""?"", """"), ""*"", """")))"),"Cinammon Set Of 9 T-Lights")</f>
        <v>Cinammon Set Of 9 T-Lights</v>
      </c>
      <c r="I859" s="3">
        <v>2.0</v>
      </c>
      <c r="J859" s="7">
        <v>40513.51597222222</v>
      </c>
      <c r="K859" s="8" t="str">
        <f t="shared" si="4"/>
        <v>2010-12</v>
      </c>
      <c r="L859" s="5">
        <v>0.85</v>
      </c>
      <c r="M859" s="3">
        <v>17968.0</v>
      </c>
      <c r="N859" s="1" t="str">
        <f t="shared" si="5"/>
        <v>Registered</v>
      </c>
      <c r="O859" s="1" t="s">
        <v>19</v>
      </c>
      <c r="P859" s="9" t="str">
        <f t="shared" si="6"/>
        <v>UK</v>
      </c>
      <c r="Q859" s="8">
        <f t="shared" si="7"/>
        <v>1.7</v>
      </c>
    </row>
    <row r="860">
      <c r="A860" s="1">
        <v>536464.0</v>
      </c>
      <c r="B860" s="1" t="str">
        <f t="shared" si="1"/>
        <v>536464</v>
      </c>
      <c r="C860" s="1" t="str">
        <f t="shared" si="2"/>
        <v>Sale</v>
      </c>
      <c r="D860" s="1">
        <v>22866.0</v>
      </c>
      <c r="E860" s="1" t="str">
        <f>IFERROR(__xludf.DUMMYFUNCTION("IF(LEN(D860)&gt;4, IFERROR(REGEXEXTRACT(TO_TEXT(D860),""\d+""),""""),"""")"),"22866")</f>
        <v>22866</v>
      </c>
      <c r="F860" s="6" t="str">
        <f t="shared" si="3"/>
        <v>Product</v>
      </c>
      <c r="G860" s="1" t="s">
        <v>246</v>
      </c>
      <c r="H860" s="6" t="str">
        <f>IFERROR(__xludf.DUMMYFUNCTION("IF(REGEXMATCH(LOWER(G860), ""^(\?)+\s*(missing)?\s*(\?)*$""), """", PROPER(SUBSTITUTE(SUBSTITUTE(G860, ""?"", """"), ""*"", """")))"),"Hand Warmer Scotty Dog Design")</f>
        <v>Hand Warmer Scotty Dog Design</v>
      </c>
      <c r="I860" s="3">
        <v>1.0</v>
      </c>
      <c r="J860" s="7">
        <v>40513.51597222222</v>
      </c>
      <c r="K860" s="8" t="str">
        <f t="shared" si="4"/>
        <v>2010-12</v>
      </c>
      <c r="L860" s="5">
        <v>2.1</v>
      </c>
      <c r="M860" s="3">
        <v>17968.0</v>
      </c>
      <c r="N860" s="1" t="str">
        <f t="shared" si="5"/>
        <v>Registered</v>
      </c>
      <c r="O860" s="1" t="s">
        <v>19</v>
      </c>
      <c r="P860" s="9" t="str">
        <f t="shared" si="6"/>
        <v>UK</v>
      </c>
      <c r="Q860" s="8">
        <f t="shared" si="7"/>
        <v>2.1</v>
      </c>
    </row>
    <row r="861">
      <c r="A861" s="1">
        <v>536464.0</v>
      </c>
      <c r="B861" s="1" t="str">
        <f t="shared" si="1"/>
        <v>536464</v>
      </c>
      <c r="C861" s="1" t="str">
        <f t="shared" si="2"/>
        <v>Sale</v>
      </c>
      <c r="D861" s="1">
        <v>72818.0</v>
      </c>
      <c r="E861" s="1" t="str">
        <f>IFERROR(__xludf.DUMMYFUNCTION("IF(LEN(D861)&gt;4, IFERROR(REGEXEXTRACT(TO_TEXT(D861),""\d+""),""""),"""")"),"72818")</f>
        <v>72818</v>
      </c>
      <c r="F861" s="6" t="str">
        <f t="shared" si="3"/>
        <v>Product</v>
      </c>
      <c r="G861" s="1" t="s">
        <v>613</v>
      </c>
      <c r="H861" s="6" t="str">
        <f>IFERROR(__xludf.DUMMYFUNCTION("IF(REGEXMATCH(LOWER(G861), ""^(\?)+\s*(missing)?\s*(\?)*$""), """", PROPER(SUBSTITUTE(SUBSTITUTE(G861, ""?"", """"), ""*"", """")))"),"Christmas Decoupage Candle")</f>
        <v>Christmas Decoupage Candle</v>
      </c>
      <c r="I861" s="3">
        <v>1.0</v>
      </c>
      <c r="J861" s="7">
        <v>40513.51597222222</v>
      </c>
      <c r="K861" s="8" t="str">
        <f t="shared" si="4"/>
        <v>2010-12</v>
      </c>
      <c r="L861" s="5">
        <v>0.85</v>
      </c>
      <c r="M861" s="3">
        <v>17968.0</v>
      </c>
      <c r="N861" s="1" t="str">
        <f t="shared" si="5"/>
        <v>Registered</v>
      </c>
      <c r="O861" s="1" t="s">
        <v>19</v>
      </c>
      <c r="P861" s="9" t="str">
        <f t="shared" si="6"/>
        <v>UK</v>
      </c>
      <c r="Q861" s="8">
        <f t="shared" si="7"/>
        <v>0.85</v>
      </c>
    </row>
    <row r="862">
      <c r="A862" s="1">
        <v>536464.0</v>
      </c>
      <c r="B862" s="1" t="str">
        <f t="shared" si="1"/>
        <v>536464</v>
      </c>
      <c r="C862" s="1" t="str">
        <f t="shared" si="2"/>
        <v>Sale</v>
      </c>
      <c r="D862" s="1">
        <v>21814.0</v>
      </c>
      <c r="E862" s="1" t="str">
        <f>IFERROR(__xludf.DUMMYFUNCTION("IF(LEN(D862)&gt;4, IFERROR(REGEXEXTRACT(TO_TEXT(D862),""\d+""),""""),"""")"),"21814")</f>
        <v>21814</v>
      </c>
      <c r="F862" s="6" t="str">
        <f t="shared" si="3"/>
        <v>Product</v>
      </c>
      <c r="G862" s="1" t="s">
        <v>589</v>
      </c>
      <c r="H862" s="6" t="str">
        <f>IFERROR(__xludf.DUMMYFUNCTION("IF(REGEXMATCH(LOWER(G862), ""^(\?)+\s*(missing)?\s*(\?)*$""), """", PROPER(SUBSTITUTE(SUBSTITUTE(G862, ""?"", """"), ""*"", """")))"),"Heart T-Light Holder")</f>
        <v>Heart T-Light Holder</v>
      </c>
      <c r="I862" s="3">
        <v>8.0</v>
      </c>
      <c r="J862" s="7">
        <v>40513.51597222222</v>
      </c>
      <c r="K862" s="8" t="str">
        <f t="shared" si="4"/>
        <v>2010-12</v>
      </c>
      <c r="L862" s="5">
        <v>1.45</v>
      </c>
      <c r="M862" s="3">
        <v>17968.0</v>
      </c>
      <c r="N862" s="1" t="str">
        <f t="shared" si="5"/>
        <v>Registered</v>
      </c>
      <c r="O862" s="1" t="s">
        <v>19</v>
      </c>
      <c r="P862" s="9" t="str">
        <f t="shared" si="6"/>
        <v>UK</v>
      </c>
      <c r="Q862" s="8">
        <f t="shared" si="7"/>
        <v>11.6</v>
      </c>
    </row>
    <row r="863">
      <c r="A863" s="1">
        <v>536464.0</v>
      </c>
      <c r="B863" s="1" t="str">
        <f t="shared" si="1"/>
        <v>536464</v>
      </c>
      <c r="C863" s="1" t="str">
        <f t="shared" si="2"/>
        <v>Sale</v>
      </c>
      <c r="D863" s="1">
        <v>22441.0</v>
      </c>
      <c r="E863" s="1" t="str">
        <f>IFERROR(__xludf.DUMMYFUNCTION("IF(LEN(D863)&gt;4, IFERROR(REGEXEXTRACT(TO_TEXT(D863),""\d+""),""""),"""")"),"22441")</f>
        <v>22441</v>
      </c>
      <c r="F863" s="6" t="str">
        <f t="shared" si="3"/>
        <v>Product</v>
      </c>
      <c r="G863" s="1" t="s">
        <v>301</v>
      </c>
      <c r="H863" s="6" t="str">
        <f>IFERROR(__xludf.DUMMYFUNCTION("IF(REGEXMATCH(LOWER(G863), ""^(\?)+\s*(missing)?\s*(\?)*$""), """", PROPER(SUBSTITUTE(SUBSTITUTE(G863, ""?"", """"), ""*"", """")))"),"Grow Your Own Basil In Enamel Mug")</f>
        <v>Grow Your Own Basil In Enamel Mug</v>
      </c>
      <c r="I863" s="3">
        <v>1.0</v>
      </c>
      <c r="J863" s="7">
        <v>40513.51597222222</v>
      </c>
      <c r="K863" s="8" t="str">
        <f t="shared" si="4"/>
        <v>2010-12</v>
      </c>
      <c r="L863" s="5">
        <v>2.1</v>
      </c>
      <c r="M863" s="3">
        <v>17968.0</v>
      </c>
      <c r="N863" s="1" t="str">
        <f t="shared" si="5"/>
        <v>Registered</v>
      </c>
      <c r="O863" s="1" t="s">
        <v>19</v>
      </c>
      <c r="P863" s="9" t="str">
        <f t="shared" si="6"/>
        <v>UK</v>
      </c>
      <c r="Q863" s="8">
        <f t="shared" si="7"/>
        <v>2.1</v>
      </c>
    </row>
    <row r="864">
      <c r="A864" s="1">
        <v>536464.0</v>
      </c>
      <c r="B864" s="1" t="str">
        <f t="shared" si="1"/>
        <v>536464</v>
      </c>
      <c r="C864" s="1" t="str">
        <f t="shared" si="2"/>
        <v>Sale</v>
      </c>
      <c r="D864" s="1">
        <v>22312.0</v>
      </c>
      <c r="E864" s="1" t="str">
        <f>IFERROR(__xludf.DUMMYFUNCTION("IF(LEN(D864)&gt;4, IFERROR(REGEXEXTRACT(TO_TEXT(D864),""\d+""),""""),"""")"),"22312")</f>
        <v>22312</v>
      </c>
      <c r="F864" s="6" t="str">
        <f t="shared" si="3"/>
        <v>Product</v>
      </c>
      <c r="G864" s="1" t="s">
        <v>614</v>
      </c>
      <c r="H864" s="6" t="str">
        <f>IFERROR(__xludf.DUMMYFUNCTION("IF(REGEXMATCH(LOWER(G864), ""^(\?)+\s*(missing)?\s*(\?)*$""), """", PROPER(SUBSTITUTE(SUBSTITUTE(G864, ""?"", """"), ""*"", """")))"),"Office Mug Warmer Polkadot")</f>
        <v>Office Mug Warmer Polkadot</v>
      </c>
      <c r="I864" s="3">
        <v>1.0</v>
      </c>
      <c r="J864" s="7">
        <v>40513.51597222222</v>
      </c>
      <c r="K864" s="8" t="str">
        <f t="shared" si="4"/>
        <v>2010-12</v>
      </c>
      <c r="L864" s="5">
        <v>2.95</v>
      </c>
      <c r="M864" s="3">
        <v>17968.0</v>
      </c>
      <c r="N864" s="1" t="str">
        <f t="shared" si="5"/>
        <v>Registered</v>
      </c>
      <c r="O864" s="1" t="s">
        <v>19</v>
      </c>
      <c r="P864" s="9" t="str">
        <f t="shared" si="6"/>
        <v>UK</v>
      </c>
      <c r="Q864" s="8">
        <f t="shared" si="7"/>
        <v>2.95</v>
      </c>
    </row>
    <row r="865">
      <c r="A865" s="1">
        <v>536464.0</v>
      </c>
      <c r="B865" s="1" t="str">
        <f t="shared" si="1"/>
        <v>536464</v>
      </c>
      <c r="C865" s="1" t="str">
        <f t="shared" si="2"/>
        <v>Sale</v>
      </c>
      <c r="D865" s="1">
        <v>22197.0</v>
      </c>
      <c r="E865" s="1" t="str">
        <f>IFERROR(__xludf.DUMMYFUNCTION("IF(LEN(D865)&gt;4, IFERROR(REGEXEXTRACT(TO_TEXT(D865),""\d+""),""""),"""")"),"22197")</f>
        <v>22197</v>
      </c>
      <c r="F865" s="6" t="str">
        <f t="shared" si="3"/>
        <v>Product</v>
      </c>
      <c r="G865" s="1" t="s">
        <v>217</v>
      </c>
      <c r="H865" s="6" t="str">
        <f>IFERROR(__xludf.DUMMYFUNCTION("IF(REGEXMATCH(LOWER(G865), ""^(\?)+\s*(missing)?\s*(\?)*$""), """", PROPER(SUBSTITUTE(SUBSTITUTE(G865, ""?"", """"), ""*"", """")))"),"Small Popcorn Holder")</f>
        <v>Small Popcorn Holder</v>
      </c>
      <c r="I865" s="3">
        <v>6.0</v>
      </c>
      <c r="J865" s="7">
        <v>40513.51597222222</v>
      </c>
      <c r="K865" s="8" t="str">
        <f t="shared" si="4"/>
        <v>2010-12</v>
      </c>
      <c r="L865" s="5">
        <v>0.85</v>
      </c>
      <c r="M865" s="3">
        <v>17968.0</v>
      </c>
      <c r="N865" s="1" t="str">
        <f t="shared" si="5"/>
        <v>Registered</v>
      </c>
      <c r="O865" s="1" t="s">
        <v>19</v>
      </c>
      <c r="P865" s="9" t="str">
        <f t="shared" si="6"/>
        <v>UK</v>
      </c>
      <c r="Q865" s="8">
        <f t="shared" si="7"/>
        <v>5.1</v>
      </c>
    </row>
    <row r="866">
      <c r="A866" s="1">
        <v>536464.0</v>
      </c>
      <c r="B866" s="1" t="str">
        <f t="shared" si="1"/>
        <v>536464</v>
      </c>
      <c r="C866" s="1" t="str">
        <f t="shared" si="2"/>
        <v>Sale</v>
      </c>
      <c r="D866" s="1">
        <v>22663.0</v>
      </c>
      <c r="E866" s="1" t="str">
        <f>IFERROR(__xludf.DUMMYFUNCTION("IF(LEN(D866)&gt;4, IFERROR(REGEXEXTRACT(TO_TEXT(D866),""\d+""),""""),"""")"),"22663")</f>
        <v>22663</v>
      </c>
      <c r="F866" s="6" t="str">
        <f t="shared" si="3"/>
        <v>Product</v>
      </c>
      <c r="G866" s="1" t="s">
        <v>175</v>
      </c>
      <c r="H866" s="6" t="str">
        <f>IFERROR(__xludf.DUMMYFUNCTION("IF(REGEXMATCH(LOWER(G866), ""^(\?)+\s*(missing)?\s*(\?)*$""), """", PROPER(SUBSTITUTE(SUBSTITUTE(G866, ""?"", """"), ""*"", """")))"),"Jumbo Bag Dolly Girl Design")</f>
        <v>Jumbo Bag Dolly Girl Design</v>
      </c>
      <c r="I866" s="3">
        <v>1.0</v>
      </c>
      <c r="J866" s="7">
        <v>40513.51597222222</v>
      </c>
      <c r="K866" s="8" t="str">
        <f t="shared" si="4"/>
        <v>2010-12</v>
      </c>
      <c r="L866" s="5">
        <v>1.95</v>
      </c>
      <c r="M866" s="3">
        <v>17968.0</v>
      </c>
      <c r="N866" s="1" t="str">
        <f t="shared" si="5"/>
        <v>Registered</v>
      </c>
      <c r="O866" s="1" t="s">
        <v>19</v>
      </c>
      <c r="P866" s="9" t="str">
        <f t="shared" si="6"/>
        <v>UK</v>
      </c>
      <c r="Q866" s="8">
        <f t="shared" si="7"/>
        <v>1.95</v>
      </c>
    </row>
    <row r="867">
      <c r="A867" s="1">
        <v>536466.0</v>
      </c>
      <c r="B867" s="1" t="str">
        <f t="shared" si="1"/>
        <v>536466</v>
      </c>
      <c r="C867" s="1" t="str">
        <f t="shared" si="2"/>
        <v>Sale</v>
      </c>
      <c r="D867" s="1">
        <v>22960.0</v>
      </c>
      <c r="E867" s="1" t="str">
        <f>IFERROR(__xludf.DUMMYFUNCTION("IF(LEN(D867)&gt;4, IFERROR(REGEXEXTRACT(TO_TEXT(D867),""\d+""),""""),"""")"),"22960")</f>
        <v>22960</v>
      </c>
      <c r="F867" s="6" t="str">
        <f t="shared" si="3"/>
        <v>Product</v>
      </c>
      <c r="G867" s="1" t="s">
        <v>43</v>
      </c>
      <c r="H867" s="6" t="str">
        <f>IFERROR(__xludf.DUMMYFUNCTION("IF(REGEXMATCH(LOWER(G867), ""^(\?)+\s*(missing)?\s*(\?)*$""), """", PROPER(SUBSTITUTE(SUBSTITUTE(G867, ""?"", """"), ""*"", """")))"),"Jam Making Set With Jars")</f>
        <v>Jam Making Set With Jars</v>
      </c>
      <c r="I867" s="3">
        <v>6.0</v>
      </c>
      <c r="J867" s="7">
        <v>40513.51597222222</v>
      </c>
      <c r="K867" s="8" t="str">
        <f t="shared" si="4"/>
        <v>2010-12</v>
      </c>
      <c r="L867" s="5">
        <v>4.25</v>
      </c>
      <c r="M867" s="3">
        <v>14849.0</v>
      </c>
      <c r="N867" s="1" t="str">
        <f t="shared" si="5"/>
        <v>Registered</v>
      </c>
      <c r="O867" s="1" t="s">
        <v>19</v>
      </c>
      <c r="P867" s="9" t="str">
        <f t="shared" si="6"/>
        <v>UK</v>
      </c>
      <c r="Q867" s="8">
        <f t="shared" si="7"/>
        <v>25.5</v>
      </c>
    </row>
    <row r="868">
      <c r="A868" s="1">
        <v>536466.0</v>
      </c>
      <c r="B868" s="1" t="str">
        <f t="shared" si="1"/>
        <v>536466</v>
      </c>
      <c r="C868" s="1" t="str">
        <f t="shared" si="2"/>
        <v>Sale</v>
      </c>
      <c r="D868" s="1">
        <v>22961.0</v>
      </c>
      <c r="E868" s="1" t="str">
        <f>IFERROR(__xludf.DUMMYFUNCTION("IF(LEN(D868)&gt;4, IFERROR(REGEXEXTRACT(TO_TEXT(D868),""\d+""),""""),"""")"),"22961")</f>
        <v>22961</v>
      </c>
      <c r="F868" s="6" t="str">
        <f t="shared" si="3"/>
        <v>Product</v>
      </c>
      <c r="G868" s="1" t="s">
        <v>109</v>
      </c>
      <c r="H868" s="6" t="str">
        <f>IFERROR(__xludf.DUMMYFUNCTION("IF(REGEXMATCH(LOWER(G868), ""^(\?)+\s*(missing)?\s*(\?)*$""), """", PROPER(SUBSTITUTE(SUBSTITUTE(G868, ""?"", """"), ""*"", """")))"),"Jam Making Set Printed")</f>
        <v>Jam Making Set Printed</v>
      </c>
      <c r="I868" s="3">
        <v>12.0</v>
      </c>
      <c r="J868" s="7">
        <v>40513.51597222222</v>
      </c>
      <c r="K868" s="8" t="str">
        <f t="shared" si="4"/>
        <v>2010-12</v>
      </c>
      <c r="L868" s="5">
        <v>1.45</v>
      </c>
      <c r="M868" s="3">
        <v>14849.0</v>
      </c>
      <c r="N868" s="1" t="str">
        <f t="shared" si="5"/>
        <v>Registered</v>
      </c>
      <c r="O868" s="1" t="s">
        <v>19</v>
      </c>
      <c r="P868" s="9" t="str">
        <f t="shared" si="6"/>
        <v>UK</v>
      </c>
      <c r="Q868" s="8">
        <f t="shared" si="7"/>
        <v>17.4</v>
      </c>
    </row>
    <row r="869">
      <c r="A869" s="1">
        <v>536477.0</v>
      </c>
      <c r="B869" s="1" t="str">
        <f t="shared" si="1"/>
        <v>536477</v>
      </c>
      <c r="C869" s="1" t="str">
        <f t="shared" si="2"/>
        <v>Sale</v>
      </c>
      <c r="D869" s="1">
        <v>21314.0</v>
      </c>
      <c r="E869" s="1" t="str">
        <f>IFERROR(__xludf.DUMMYFUNCTION("IF(LEN(D869)&gt;4, IFERROR(REGEXEXTRACT(TO_TEXT(D869),""\d+""),""""),"""")"),"21314")</f>
        <v>21314</v>
      </c>
      <c r="F869" s="6" t="str">
        <f t="shared" si="3"/>
        <v>Product</v>
      </c>
      <c r="G869" s="1" t="s">
        <v>254</v>
      </c>
      <c r="H869" s="6" t="str">
        <f>IFERROR(__xludf.DUMMYFUNCTION("IF(REGEXMATCH(LOWER(G869), ""^(\?)+\s*(missing)?\s*(\?)*$""), """", PROPER(SUBSTITUTE(SUBSTITUTE(G869, ""?"", """"), ""*"", """")))"),"Small Glass Heart Trinket Pot")</f>
        <v>Small Glass Heart Trinket Pot</v>
      </c>
      <c r="I869" s="3">
        <v>48.0</v>
      </c>
      <c r="J869" s="7">
        <v>40513.51875</v>
      </c>
      <c r="K869" s="8" t="str">
        <f t="shared" si="4"/>
        <v>2010-12</v>
      </c>
      <c r="L869" s="5">
        <v>1.85</v>
      </c>
      <c r="M869" s="3">
        <v>16210.0</v>
      </c>
      <c r="N869" s="1" t="str">
        <f t="shared" si="5"/>
        <v>Registered</v>
      </c>
      <c r="O869" s="1" t="s">
        <v>19</v>
      </c>
      <c r="P869" s="9" t="str">
        <f t="shared" si="6"/>
        <v>UK</v>
      </c>
      <c r="Q869" s="8">
        <f t="shared" si="7"/>
        <v>88.8</v>
      </c>
    </row>
    <row r="870">
      <c r="A870" s="1">
        <v>536477.0</v>
      </c>
      <c r="B870" s="1" t="str">
        <f t="shared" si="1"/>
        <v>536477</v>
      </c>
      <c r="C870" s="1" t="str">
        <f t="shared" si="2"/>
        <v>Sale</v>
      </c>
      <c r="D870" s="1" t="s">
        <v>25</v>
      </c>
      <c r="E870" s="1" t="str">
        <f>IFERROR(__xludf.DUMMYFUNCTION("IF(LEN(D870)&gt;4, IFERROR(REGEXEXTRACT(TO_TEXT(D870),""\d+""),""""),"""")"),"84029")</f>
        <v>84029</v>
      </c>
      <c r="F870" s="6" t="str">
        <f t="shared" si="3"/>
        <v>Product</v>
      </c>
      <c r="G870" s="1" t="s">
        <v>26</v>
      </c>
      <c r="H870" s="6" t="str">
        <f>IFERROR(__xludf.DUMMYFUNCTION("IF(REGEXMATCH(LOWER(G870), ""^(\?)+\s*(missing)?\s*(\?)*$""), """", PROPER(SUBSTITUTE(SUBSTITUTE(G870, ""?"", """"), ""*"", """")))"),"Red Woolly Hottie White Heart.")</f>
        <v>Red Woolly Hottie White Heart.</v>
      </c>
      <c r="I870" s="3">
        <v>24.0</v>
      </c>
      <c r="J870" s="7">
        <v>40513.51875</v>
      </c>
      <c r="K870" s="8" t="str">
        <f t="shared" si="4"/>
        <v>2010-12</v>
      </c>
      <c r="L870" s="5">
        <v>3.39</v>
      </c>
      <c r="M870" s="3">
        <v>16210.0</v>
      </c>
      <c r="N870" s="1" t="str">
        <f t="shared" si="5"/>
        <v>Registered</v>
      </c>
      <c r="O870" s="1" t="s">
        <v>19</v>
      </c>
      <c r="P870" s="9" t="str">
        <f t="shared" si="6"/>
        <v>UK</v>
      </c>
      <c r="Q870" s="8">
        <f t="shared" si="7"/>
        <v>81.36</v>
      </c>
    </row>
    <row r="871">
      <c r="A871" s="1">
        <v>536477.0</v>
      </c>
      <c r="B871" s="1" t="str">
        <f t="shared" si="1"/>
        <v>536477</v>
      </c>
      <c r="C871" s="1" t="str">
        <f t="shared" si="2"/>
        <v>Sale</v>
      </c>
      <c r="D871" s="1">
        <v>22041.0</v>
      </c>
      <c r="E871" s="1" t="str">
        <f>IFERROR(__xludf.DUMMYFUNCTION("IF(LEN(D871)&gt;4, IFERROR(REGEXEXTRACT(TO_TEXT(D871),""\d+""),""""),"""")"),"22041")</f>
        <v>22041</v>
      </c>
      <c r="F871" s="6" t="str">
        <f t="shared" si="3"/>
        <v>Product</v>
      </c>
      <c r="G871" s="1" t="s">
        <v>615</v>
      </c>
      <c r="H871" s="6" t="str">
        <f>IFERROR(__xludf.DUMMYFUNCTION("IF(REGEXMATCH(LOWER(G871), ""^(\?)+\s*(missing)?\s*(\?)*$""), """", PROPER(SUBSTITUTE(SUBSTITUTE(G871, ""?"", """"), ""*"", """")))"),"Record Frame 7"" Single Size")</f>
        <v>Record Frame 7" Single Size</v>
      </c>
      <c r="I871" s="3">
        <v>48.0</v>
      </c>
      <c r="J871" s="7">
        <v>40513.51875</v>
      </c>
      <c r="K871" s="8" t="str">
        <f t="shared" si="4"/>
        <v>2010-12</v>
      </c>
      <c r="L871" s="5">
        <v>2.1</v>
      </c>
      <c r="M871" s="3">
        <v>16210.0</v>
      </c>
      <c r="N871" s="1" t="str">
        <f t="shared" si="5"/>
        <v>Registered</v>
      </c>
      <c r="O871" s="1" t="s">
        <v>19</v>
      </c>
      <c r="P871" s="9" t="str">
        <f t="shared" si="6"/>
        <v>UK</v>
      </c>
      <c r="Q871" s="8">
        <f t="shared" si="7"/>
        <v>100.8</v>
      </c>
    </row>
    <row r="872">
      <c r="A872" s="1">
        <v>536477.0</v>
      </c>
      <c r="B872" s="1" t="str">
        <f t="shared" si="1"/>
        <v>536477</v>
      </c>
      <c r="C872" s="1" t="str">
        <f t="shared" si="2"/>
        <v>Sale</v>
      </c>
      <c r="D872" s="1">
        <v>20979.0</v>
      </c>
      <c r="E872" s="1" t="str">
        <f>IFERROR(__xludf.DUMMYFUNCTION("IF(LEN(D872)&gt;4, IFERROR(REGEXEXTRACT(TO_TEXT(D872),""\d+""),""""),"""")"),"20979")</f>
        <v>20979</v>
      </c>
      <c r="F872" s="6" t="str">
        <f t="shared" si="3"/>
        <v>Product</v>
      </c>
      <c r="G872" s="1" t="s">
        <v>616</v>
      </c>
      <c r="H872" s="6" t="str">
        <f>IFERROR(__xludf.DUMMYFUNCTION("IF(REGEXMATCH(LOWER(G872), ""^(\?)+\s*(missing)?\s*(\?)*$""), """", PROPER(SUBSTITUTE(SUBSTITUTE(G872, ""?"", """"), ""*"", """")))"),"36 Pencils Tube Red Retrospot")</f>
        <v>36 Pencils Tube Red Retrospot</v>
      </c>
      <c r="I872" s="3">
        <v>16.0</v>
      </c>
      <c r="J872" s="7">
        <v>40513.51875</v>
      </c>
      <c r="K872" s="8" t="str">
        <f t="shared" si="4"/>
        <v>2010-12</v>
      </c>
      <c r="L872" s="5">
        <v>1.25</v>
      </c>
      <c r="M872" s="3">
        <v>16210.0</v>
      </c>
      <c r="N872" s="1" t="str">
        <f t="shared" si="5"/>
        <v>Registered</v>
      </c>
      <c r="O872" s="1" t="s">
        <v>19</v>
      </c>
      <c r="P872" s="9" t="str">
        <f t="shared" si="6"/>
        <v>UK</v>
      </c>
      <c r="Q872" s="8">
        <f t="shared" si="7"/>
        <v>20</v>
      </c>
    </row>
    <row r="873">
      <c r="A873" s="1">
        <v>536477.0</v>
      </c>
      <c r="B873" s="1" t="str">
        <f t="shared" si="1"/>
        <v>536477</v>
      </c>
      <c r="C873" s="1" t="str">
        <f t="shared" si="2"/>
        <v>Sale</v>
      </c>
      <c r="D873" s="1">
        <v>20977.0</v>
      </c>
      <c r="E873" s="1" t="str">
        <f>IFERROR(__xludf.DUMMYFUNCTION("IF(LEN(D873)&gt;4, IFERROR(REGEXEXTRACT(TO_TEXT(D873),""\d+""),""""),"""")"),"20977")</f>
        <v>20977</v>
      </c>
      <c r="F873" s="6" t="str">
        <f t="shared" si="3"/>
        <v>Product</v>
      </c>
      <c r="G873" s="1" t="s">
        <v>617</v>
      </c>
      <c r="H873" s="6" t="str">
        <f>IFERROR(__xludf.DUMMYFUNCTION("IF(REGEXMATCH(LOWER(G873), ""^(\?)+\s*(missing)?\s*(\?)*$""), """", PROPER(SUBSTITUTE(SUBSTITUTE(G873, ""?"", """"), ""*"", """")))"),"36 Pencils Tube Woodland")</f>
        <v>36 Pencils Tube Woodland</v>
      </c>
      <c r="I873" s="3">
        <v>16.0</v>
      </c>
      <c r="J873" s="7">
        <v>40513.51875</v>
      </c>
      <c r="K873" s="8" t="str">
        <f t="shared" si="4"/>
        <v>2010-12</v>
      </c>
      <c r="L873" s="5">
        <v>1.25</v>
      </c>
      <c r="M873" s="3">
        <v>16210.0</v>
      </c>
      <c r="N873" s="1" t="str">
        <f t="shared" si="5"/>
        <v>Registered</v>
      </c>
      <c r="O873" s="1" t="s">
        <v>19</v>
      </c>
      <c r="P873" s="9" t="str">
        <f t="shared" si="6"/>
        <v>UK</v>
      </c>
      <c r="Q873" s="8">
        <f t="shared" si="7"/>
        <v>20</v>
      </c>
    </row>
    <row r="874">
      <c r="A874" s="1">
        <v>536477.0</v>
      </c>
      <c r="B874" s="1" t="str">
        <f t="shared" si="1"/>
        <v>536477</v>
      </c>
      <c r="C874" s="1" t="str">
        <f t="shared" si="2"/>
        <v>Sale</v>
      </c>
      <c r="D874" s="1">
        <v>22619.0</v>
      </c>
      <c r="E874" s="1" t="str">
        <f>IFERROR(__xludf.DUMMYFUNCTION("IF(LEN(D874)&gt;4, IFERROR(REGEXEXTRACT(TO_TEXT(D874),""\d+""),""""),"""")"),"22619")</f>
        <v>22619</v>
      </c>
      <c r="F874" s="6" t="str">
        <f t="shared" si="3"/>
        <v>Product</v>
      </c>
      <c r="G874" s="1" t="s">
        <v>236</v>
      </c>
      <c r="H874" s="6" t="str">
        <f>IFERROR(__xludf.DUMMYFUNCTION("IF(REGEXMATCH(LOWER(G874), ""^(\?)+\s*(missing)?\s*(\?)*$""), """", PROPER(SUBSTITUTE(SUBSTITUTE(G874, ""?"", """"), ""*"", """")))"),"Set Of 6 Soldier Skittles")</f>
        <v>Set Of 6 Soldier Skittles</v>
      </c>
      <c r="I874" s="3">
        <v>4.0</v>
      </c>
      <c r="J874" s="7">
        <v>40513.51875</v>
      </c>
      <c r="K874" s="8" t="str">
        <f t="shared" si="4"/>
        <v>2010-12</v>
      </c>
      <c r="L874" s="5">
        <v>3.75</v>
      </c>
      <c r="M874" s="3">
        <v>16210.0</v>
      </c>
      <c r="N874" s="1" t="str">
        <f t="shared" si="5"/>
        <v>Registered</v>
      </c>
      <c r="O874" s="1" t="s">
        <v>19</v>
      </c>
      <c r="P874" s="9" t="str">
        <f t="shared" si="6"/>
        <v>UK</v>
      </c>
      <c r="Q874" s="8">
        <f t="shared" si="7"/>
        <v>15</v>
      </c>
    </row>
    <row r="875">
      <c r="A875" s="1">
        <v>536477.0</v>
      </c>
      <c r="B875" s="1" t="str">
        <f t="shared" si="1"/>
        <v>536477</v>
      </c>
      <c r="C875" s="1" t="str">
        <f t="shared" si="2"/>
        <v>Sale</v>
      </c>
      <c r="D875" s="1">
        <v>22571.0</v>
      </c>
      <c r="E875" s="1" t="str">
        <f>IFERROR(__xludf.DUMMYFUNCTION("IF(LEN(D875)&gt;4, IFERROR(REGEXEXTRACT(TO_TEXT(D875),""\d+""),""""),"""")"),"22571")</f>
        <v>22571</v>
      </c>
      <c r="F875" s="6" t="str">
        <f t="shared" si="3"/>
        <v>Product</v>
      </c>
      <c r="G875" s="1" t="s">
        <v>618</v>
      </c>
      <c r="H875" s="6" t="str">
        <f>IFERROR(__xludf.DUMMYFUNCTION("IF(REGEXMATCH(LOWER(G875), ""^(\?)+\s*(missing)?\s*(\?)*$""), """", PROPER(SUBSTITUTE(SUBSTITUTE(G875, ""?"", """"), ""*"", """")))"),"Rocking Horse Red Christmas")</f>
        <v>Rocking Horse Red Christmas</v>
      </c>
      <c r="I875" s="3">
        <v>96.0</v>
      </c>
      <c r="J875" s="7">
        <v>40513.51875</v>
      </c>
      <c r="K875" s="8" t="str">
        <f t="shared" si="4"/>
        <v>2010-12</v>
      </c>
      <c r="L875" s="5">
        <v>0.72</v>
      </c>
      <c r="M875" s="3">
        <v>16210.0</v>
      </c>
      <c r="N875" s="1" t="str">
        <f t="shared" si="5"/>
        <v>Registered</v>
      </c>
      <c r="O875" s="1" t="s">
        <v>19</v>
      </c>
      <c r="P875" s="9" t="str">
        <f t="shared" si="6"/>
        <v>UK</v>
      </c>
      <c r="Q875" s="8">
        <f t="shared" si="7"/>
        <v>69.12</v>
      </c>
    </row>
    <row r="876">
      <c r="A876" s="1">
        <v>536477.0</v>
      </c>
      <c r="B876" s="1" t="str">
        <f t="shared" si="1"/>
        <v>536477</v>
      </c>
      <c r="C876" s="1" t="str">
        <f t="shared" si="2"/>
        <v>Sale</v>
      </c>
      <c r="D876" s="1">
        <v>22595.0</v>
      </c>
      <c r="E876" s="1" t="str">
        <f>IFERROR(__xludf.DUMMYFUNCTION("IF(LEN(D876)&gt;4, IFERROR(REGEXEXTRACT(TO_TEXT(D876),""\d+""),""""),"""")"),"22595")</f>
        <v>22595</v>
      </c>
      <c r="F876" s="6" t="str">
        <f t="shared" si="3"/>
        <v>Product</v>
      </c>
      <c r="G876" s="1" t="s">
        <v>482</v>
      </c>
      <c r="H876" s="6" t="str">
        <f>IFERROR(__xludf.DUMMYFUNCTION("IF(REGEXMATCH(LOWER(G876), ""^(\?)+\s*(missing)?\s*(\?)*$""), """", PROPER(SUBSTITUTE(SUBSTITUTE(G876, ""?"", """"), ""*"", """")))"),"Christmas Gingham Heart")</f>
        <v>Christmas Gingham Heart</v>
      </c>
      <c r="I876" s="3">
        <v>144.0</v>
      </c>
      <c r="J876" s="7">
        <v>40513.51875</v>
      </c>
      <c r="K876" s="8" t="str">
        <f t="shared" si="4"/>
        <v>2010-12</v>
      </c>
      <c r="L876" s="5">
        <v>0.72</v>
      </c>
      <c r="M876" s="3">
        <v>16210.0</v>
      </c>
      <c r="N876" s="1" t="str">
        <f t="shared" si="5"/>
        <v>Registered</v>
      </c>
      <c r="O876" s="1" t="s">
        <v>19</v>
      </c>
      <c r="P876" s="9" t="str">
        <f t="shared" si="6"/>
        <v>UK</v>
      </c>
      <c r="Q876" s="8">
        <f t="shared" si="7"/>
        <v>103.68</v>
      </c>
    </row>
    <row r="877">
      <c r="A877" s="1">
        <v>536477.0</v>
      </c>
      <c r="B877" s="1" t="str">
        <f t="shared" si="1"/>
        <v>536477</v>
      </c>
      <c r="C877" s="1" t="str">
        <f t="shared" si="2"/>
        <v>Sale</v>
      </c>
      <c r="D877" s="1">
        <v>22593.0</v>
      </c>
      <c r="E877" s="1" t="str">
        <f>IFERROR(__xludf.DUMMYFUNCTION("IF(LEN(D877)&gt;4, IFERROR(REGEXEXTRACT(TO_TEXT(D877),""\d+""),""""),"""")"),"22593")</f>
        <v>22593</v>
      </c>
      <c r="F877" s="6" t="str">
        <f t="shared" si="3"/>
        <v>Product</v>
      </c>
      <c r="G877" s="1" t="s">
        <v>481</v>
      </c>
      <c r="H877" s="6" t="str">
        <f>IFERROR(__xludf.DUMMYFUNCTION("IF(REGEXMATCH(LOWER(G877), ""^(\?)+\s*(missing)?\s*(\?)*$""), """", PROPER(SUBSTITUTE(SUBSTITUTE(G877, ""?"", """"), ""*"", """")))"),"Christmas Gingham Star")</f>
        <v>Christmas Gingham Star</v>
      </c>
      <c r="I877" s="3">
        <v>144.0</v>
      </c>
      <c r="J877" s="7">
        <v>40513.51875</v>
      </c>
      <c r="K877" s="8" t="str">
        <f t="shared" si="4"/>
        <v>2010-12</v>
      </c>
      <c r="L877" s="5">
        <v>0.72</v>
      </c>
      <c r="M877" s="3">
        <v>16210.0</v>
      </c>
      <c r="N877" s="1" t="str">
        <f t="shared" si="5"/>
        <v>Registered</v>
      </c>
      <c r="O877" s="1" t="s">
        <v>19</v>
      </c>
      <c r="P877" s="9" t="str">
        <f t="shared" si="6"/>
        <v>UK</v>
      </c>
      <c r="Q877" s="8">
        <f t="shared" si="7"/>
        <v>103.68</v>
      </c>
    </row>
    <row r="878">
      <c r="A878" s="1">
        <v>536477.0</v>
      </c>
      <c r="B878" s="1" t="str">
        <f t="shared" si="1"/>
        <v>536477</v>
      </c>
      <c r="C878" s="1" t="str">
        <f t="shared" si="2"/>
        <v>Sale</v>
      </c>
      <c r="D878" s="1">
        <v>22633.0</v>
      </c>
      <c r="E878" s="1" t="str">
        <f>IFERROR(__xludf.DUMMYFUNCTION("IF(LEN(D878)&gt;4, IFERROR(REGEXEXTRACT(TO_TEXT(D878),""\d+""),""""),"""")"),"22633")</f>
        <v>22633</v>
      </c>
      <c r="F878" s="6" t="str">
        <f t="shared" si="3"/>
        <v>Product</v>
      </c>
      <c r="G878" s="1" t="s">
        <v>29</v>
      </c>
      <c r="H878" s="6" t="str">
        <f>IFERROR(__xludf.DUMMYFUNCTION("IF(REGEXMATCH(LOWER(G878), ""^(\?)+\s*(missing)?\s*(\?)*$""), """", PROPER(SUBSTITUTE(SUBSTITUTE(G878, ""?"", """"), ""*"", """")))"),"Hand Warmer Union Jack")</f>
        <v>Hand Warmer Union Jack</v>
      </c>
      <c r="I878" s="3">
        <v>12.0</v>
      </c>
      <c r="J878" s="7">
        <v>40513.51875</v>
      </c>
      <c r="K878" s="8" t="str">
        <f t="shared" si="4"/>
        <v>2010-12</v>
      </c>
      <c r="L878" s="5">
        <v>2.1</v>
      </c>
      <c r="M878" s="3">
        <v>16210.0</v>
      </c>
      <c r="N878" s="1" t="str">
        <f t="shared" si="5"/>
        <v>Registered</v>
      </c>
      <c r="O878" s="1" t="s">
        <v>19</v>
      </c>
      <c r="P878" s="9" t="str">
        <f t="shared" si="6"/>
        <v>UK</v>
      </c>
      <c r="Q878" s="8">
        <f t="shared" si="7"/>
        <v>25.2</v>
      </c>
    </row>
    <row r="879">
      <c r="A879" s="1">
        <v>536477.0</v>
      </c>
      <c r="B879" s="1" t="str">
        <f t="shared" si="1"/>
        <v>536477</v>
      </c>
      <c r="C879" s="1" t="str">
        <f t="shared" si="2"/>
        <v>Sale</v>
      </c>
      <c r="D879" s="1">
        <v>22632.0</v>
      </c>
      <c r="E879" s="1" t="str">
        <f>IFERROR(__xludf.DUMMYFUNCTION("IF(LEN(D879)&gt;4, IFERROR(REGEXEXTRACT(TO_TEXT(D879),""\d+""),""""),"""")"),"22632")</f>
        <v>22632</v>
      </c>
      <c r="F879" s="6" t="str">
        <f t="shared" si="3"/>
        <v>Product</v>
      </c>
      <c r="G879" s="1" t="s">
        <v>248</v>
      </c>
      <c r="H879" s="6" t="str">
        <f>IFERROR(__xludf.DUMMYFUNCTION("IF(REGEXMATCH(LOWER(G879), ""^(\?)+\s*(missing)?\s*(\?)*$""), """", PROPER(SUBSTITUTE(SUBSTITUTE(G879, ""?"", """"), ""*"", """")))"),"Hand Warmer Red Retrospot")</f>
        <v>Hand Warmer Red Retrospot</v>
      </c>
      <c r="I879" s="3">
        <v>12.0</v>
      </c>
      <c r="J879" s="7">
        <v>40513.51875</v>
      </c>
      <c r="K879" s="8" t="str">
        <f t="shared" si="4"/>
        <v>2010-12</v>
      </c>
      <c r="L879" s="5">
        <v>2.1</v>
      </c>
      <c r="M879" s="3">
        <v>16210.0</v>
      </c>
      <c r="N879" s="1" t="str">
        <f t="shared" si="5"/>
        <v>Registered</v>
      </c>
      <c r="O879" s="1" t="s">
        <v>19</v>
      </c>
      <c r="P879" s="9" t="str">
        <f t="shared" si="6"/>
        <v>UK</v>
      </c>
      <c r="Q879" s="8">
        <f t="shared" si="7"/>
        <v>25.2</v>
      </c>
    </row>
    <row r="880">
      <c r="A880" s="1">
        <v>536477.0</v>
      </c>
      <c r="B880" s="1" t="str">
        <f t="shared" si="1"/>
        <v>536477</v>
      </c>
      <c r="C880" s="1" t="str">
        <f t="shared" si="2"/>
        <v>Sale</v>
      </c>
      <c r="D880" s="1">
        <v>22423.0</v>
      </c>
      <c r="E880" s="1" t="str">
        <f>IFERROR(__xludf.DUMMYFUNCTION("IF(LEN(D880)&gt;4, IFERROR(REGEXEXTRACT(TO_TEXT(D880),""\d+""),""""),"""")"),"22423")</f>
        <v>22423</v>
      </c>
      <c r="F880" s="6" t="str">
        <f t="shared" si="3"/>
        <v>Product</v>
      </c>
      <c r="G880" s="1" t="s">
        <v>619</v>
      </c>
      <c r="H880" s="6" t="str">
        <f>IFERROR(__xludf.DUMMYFUNCTION("IF(REGEXMATCH(LOWER(G880), ""^(\?)+\s*(missing)?\s*(\?)*$""), """", PROPER(SUBSTITUTE(SUBSTITUTE(G880, ""?"", """"), ""*"", """")))"),"Regency Cakestand 3 Tier")</f>
        <v>Regency Cakestand 3 Tier</v>
      </c>
      <c r="I880" s="3">
        <v>16.0</v>
      </c>
      <c r="J880" s="7">
        <v>40513.51875</v>
      </c>
      <c r="K880" s="8" t="str">
        <f t="shared" si="4"/>
        <v>2010-12</v>
      </c>
      <c r="L880" s="5">
        <v>10.95</v>
      </c>
      <c r="M880" s="3">
        <v>16210.0</v>
      </c>
      <c r="N880" s="1" t="str">
        <f t="shared" si="5"/>
        <v>Registered</v>
      </c>
      <c r="O880" s="1" t="s">
        <v>19</v>
      </c>
      <c r="P880" s="9" t="str">
        <f t="shared" si="6"/>
        <v>UK</v>
      </c>
      <c r="Q880" s="8">
        <f t="shared" si="7"/>
        <v>175.2</v>
      </c>
    </row>
    <row r="881">
      <c r="A881" s="1">
        <v>536477.0</v>
      </c>
      <c r="B881" s="1" t="str">
        <f t="shared" si="1"/>
        <v>536477</v>
      </c>
      <c r="C881" s="1" t="str">
        <f t="shared" si="2"/>
        <v>Sale</v>
      </c>
      <c r="D881" s="1">
        <v>22411.0</v>
      </c>
      <c r="E881" s="1" t="str">
        <f>IFERROR(__xludf.DUMMYFUNCTION("IF(LEN(D881)&gt;4, IFERROR(REGEXEXTRACT(TO_TEXT(D881),""\d+""),""""),"""")"),"22411")</f>
        <v>22411</v>
      </c>
      <c r="F881" s="6" t="str">
        <f t="shared" si="3"/>
        <v>Product</v>
      </c>
      <c r="G881" s="1" t="s">
        <v>112</v>
      </c>
      <c r="H881" s="6" t="str">
        <f>IFERROR(__xludf.DUMMYFUNCTION("IF(REGEXMATCH(LOWER(G881), ""^(\?)+\s*(missing)?\s*(\?)*$""), """", PROPER(SUBSTITUTE(SUBSTITUTE(G881, ""?"", """"), ""*"", """")))"),"Jumbo Shopper Vintage Red Paisley")</f>
        <v>Jumbo Shopper Vintage Red Paisley</v>
      </c>
      <c r="I881" s="3">
        <v>10.0</v>
      </c>
      <c r="J881" s="7">
        <v>40513.51875</v>
      </c>
      <c r="K881" s="8" t="str">
        <f t="shared" si="4"/>
        <v>2010-12</v>
      </c>
      <c r="L881" s="5">
        <v>1.95</v>
      </c>
      <c r="M881" s="3">
        <v>16210.0</v>
      </c>
      <c r="N881" s="1" t="str">
        <f t="shared" si="5"/>
        <v>Registered</v>
      </c>
      <c r="O881" s="1" t="s">
        <v>19</v>
      </c>
      <c r="P881" s="9" t="str">
        <f t="shared" si="6"/>
        <v>UK</v>
      </c>
      <c r="Q881" s="8">
        <f t="shared" si="7"/>
        <v>19.5</v>
      </c>
    </row>
    <row r="882">
      <c r="A882" s="1">
        <v>536488.0</v>
      </c>
      <c r="B882" s="1" t="str">
        <f t="shared" si="1"/>
        <v>536488</v>
      </c>
      <c r="C882" s="1" t="str">
        <f t="shared" si="2"/>
        <v>Sale</v>
      </c>
      <c r="D882" s="1">
        <v>22738.0</v>
      </c>
      <c r="E882" s="1" t="str">
        <f>IFERROR(__xludf.DUMMYFUNCTION("IF(LEN(D882)&gt;4, IFERROR(REGEXEXTRACT(TO_TEXT(D882),""\d+""),""""),"""")"),"22738")</f>
        <v>22738</v>
      </c>
      <c r="F882" s="6" t="str">
        <f t="shared" si="3"/>
        <v>Product</v>
      </c>
      <c r="G882" s="1" t="s">
        <v>467</v>
      </c>
      <c r="H882" s="6" t="str">
        <f>IFERROR(__xludf.DUMMYFUNCTION("IF(REGEXMATCH(LOWER(G882), ""^(\?)+\s*(missing)?\s*(\?)*$""), """", PROPER(SUBSTITUTE(SUBSTITUTE(G882, ""?"", """"), ""*"", """")))"),"Ribbon Reel Snowy Village")</f>
        <v>Ribbon Reel Snowy Village</v>
      </c>
      <c r="I882" s="3">
        <v>5.0</v>
      </c>
      <c r="J882" s="7">
        <v>40513.521527777775</v>
      </c>
      <c r="K882" s="8" t="str">
        <f t="shared" si="4"/>
        <v>2010-12</v>
      </c>
      <c r="L882" s="5">
        <v>1.65</v>
      </c>
      <c r="M882" s="3">
        <v>17897.0</v>
      </c>
      <c r="N882" s="1" t="str">
        <f t="shared" si="5"/>
        <v>Registered</v>
      </c>
      <c r="O882" s="1" t="s">
        <v>19</v>
      </c>
      <c r="P882" s="9" t="str">
        <f t="shared" si="6"/>
        <v>UK</v>
      </c>
      <c r="Q882" s="8">
        <f t="shared" si="7"/>
        <v>8.25</v>
      </c>
    </row>
    <row r="883">
      <c r="A883" s="1">
        <v>536488.0</v>
      </c>
      <c r="B883" s="1" t="str">
        <f t="shared" si="1"/>
        <v>536488</v>
      </c>
      <c r="C883" s="1" t="str">
        <f t="shared" si="2"/>
        <v>Sale</v>
      </c>
      <c r="D883" s="1">
        <v>21621.0</v>
      </c>
      <c r="E883" s="1" t="str">
        <f>IFERROR(__xludf.DUMMYFUNCTION("IF(LEN(D883)&gt;4, IFERROR(REGEXEXTRACT(TO_TEXT(D883),""\d+""),""""),"""")"),"21621")</f>
        <v>21621</v>
      </c>
      <c r="F883" s="6" t="str">
        <f t="shared" si="3"/>
        <v>Product</v>
      </c>
      <c r="G883" s="1" t="s">
        <v>620</v>
      </c>
      <c r="H883" s="6" t="str">
        <f>IFERROR(__xludf.DUMMYFUNCTION("IF(REGEXMATCH(LOWER(G883), ""^(\?)+\s*(missing)?\s*(\?)*$""), """", PROPER(SUBSTITUTE(SUBSTITUTE(G883, ""?"", """"), ""*"", """")))"),"Vintage Union Jack Bunting")</f>
        <v>Vintage Union Jack Bunting</v>
      </c>
      <c r="I883" s="3">
        <v>1.0</v>
      </c>
      <c r="J883" s="7">
        <v>40513.521527777775</v>
      </c>
      <c r="K883" s="8" t="str">
        <f t="shared" si="4"/>
        <v>2010-12</v>
      </c>
      <c r="L883" s="5">
        <v>8.5</v>
      </c>
      <c r="M883" s="3">
        <v>17897.0</v>
      </c>
      <c r="N883" s="1" t="str">
        <f t="shared" si="5"/>
        <v>Registered</v>
      </c>
      <c r="O883" s="1" t="s">
        <v>19</v>
      </c>
      <c r="P883" s="9" t="str">
        <f t="shared" si="6"/>
        <v>UK</v>
      </c>
      <c r="Q883" s="8">
        <f t="shared" si="7"/>
        <v>8.5</v>
      </c>
    </row>
    <row r="884">
      <c r="A884" s="1">
        <v>536488.0</v>
      </c>
      <c r="B884" s="1" t="str">
        <f t="shared" si="1"/>
        <v>536488</v>
      </c>
      <c r="C884" s="1" t="str">
        <f t="shared" si="2"/>
        <v>Sale</v>
      </c>
      <c r="D884" s="1">
        <v>22960.0</v>
      </c>
      <c r="E884" s="1" t="str">
        <f>IFERROR(__xludf.DUMMYFUNCTION("IF(LEN(D884)&gt;4, IFERROR(REGEXEXTRACT(TO_TEXT(D884),""\d+""),""""),"""")"),"22960")</f>
        <v>22960</v>
      </c>
      <c r="F884" s="6" t="str">
        <f t="shared" si="3"/>
        <v>Product</v>
      </c>
      <c r="G884" s="1" t="s">
        <v>43</v>
      </c>
      <c r="H884" s="6" t="str">
        <f>IFERROR(__xludf.DUMMYFUNCTION("IF(REGEXMATCH(LOWER(G884), ""^(\?)+\s*(missing)?\s*(\?)*$""), """", PROPER(SUBSTITUTE(SUBSTITUTE(G884, ""?"", """"), ""*"", """")))"),"Jam Making Set With Jars")</f>
        <v>Jam Making Set With Jars</v>
      </c>
      <c r="I884" s="3">
        <v>8.0</v>
      </c>
      <c r="J884" s="7">
        <v>40513.521527777775</v>
      </c>
      <c r="K884" s="8" t="str">
        <f t="shared" si="4"/>
        <v>2010-12</v>
      </c>
      <c r="L884" s="5">
        <v>4.25</v>
      </c>
      <c r="M884" s="3">
        <v>17897.0</v>
      </c>
      <c r="N884" s="1" t="str">
        <f t="shared" si="5"/>
        <v>Registered</v>
      </c>
      <c r="O884" s="1" t="s">
        <v>19</v>
      </c>
      <c r="P884" s="9" t="str">
        <f t="shared" si="6"/>
        <v>UK</v>
      </c>
      <c r="Q884" s="8">
        <f t="shared" si="7"/>
        <v>34</v>
      </c>
    </row>
    <row r="885">
      <c r="A885" s="1">
        <v>536488.0</v>
      </c>
      <c r="B885" s="1" t="str">
        <f t="shared" si="1"/>
        <v>536488</v>
      </c>
      <c r="C885" s="1" t="str">
        <f t="shared" si="2"/>
        <v>Sale</v>
      </c>
      <c r="D885" s="1">
        <v>22082.0</v>
      </c>
      <c r="E885" s="1" t="str">
        <f>IFERROR(__xludf.DUMMYFUNCTION("IF(LEN(D885)&gt;4, IFERROR(REGEXEXTRACT(TO_TEXT(D885),""\d+""),""""),"""")"),"22082")</f>
        <v>22082</v>
      </c>
      <c r="F885" s="6" t="str">
        <f t="shared" si="3"/>
        <v>Product</v>
      </c>
      <c r="G885" s="1" t="s">
        <v>606</v>
      </c>
      <c r="H885" s="6" t="str">
        <f>IFERROR(__xludf.DUMMYFUNCTION("IF(REGEXMATCH(LOWER(G885), ""^(\?)+\s*(missing)?\s*(\?)*$""), """", PROPER(SUBSTITUTE(SUBSTITUTE(G885, ""?"", """"), ""*"", """")))"),"Ribbon Reel Stripes Design")</f>
        <v>Ribbon Reel Stripes Design</v>
      </c>
      <c r="I885" s="3">
        <v>5.0</v>
      </c>
      <c r="J885" s="7">
        <v>40513.521527777775</v>
      </c>
      <c r="K885" s="8" t="str">
        <f t="shared" si="4"/>
        <v>2010-12</v>
      </c>
      <c r="L885" s="5">
        <v>1.65</v>
      </c>
      <c r="M885" s="3">
        <v>17897.0</v>
      </c>
      <c r="N885" s="1" t="str">
        <f t="shared" si="5"/>
        <v>Registered</v>
      </c>
      <c r="O885" s="1" t="s">
        <v>19</v>
      </c>
      <c r="P885" s="9" t="str">
        <f t="shared" si="6"/>
        <v>UK</v>
      </c>
      <c r="Q885" s="8">
        <f t="shared" si="7"/>
        <v>8.25</v>
      </c>
    </row>
    <row r="886">
      <c r="A886" s="1">
        <v>536488.0</v>
      </c>
      <c r="B886" s="1" t="str">
        <f t="shared" si="1"/>
        <v>536488</v>
      </c>
      <c r="C886" s="1" t="str">
        <f t="shared" si="2"/>
        <v>Sale</v>
      </c>
      <c r="D886" s="1" t="s">
        <v>621</v>
      </c>
      <c r="E886" s="1" t="str">
        <f>IFERROR(__xludf.DUMMYFUNCTION("IF(LEN(D886)&gt;4, IFERROR(REGEXEXTRACT(TO_TEXT(D886),""\d+""),""""),"""")"),"47563")</f>
        <v>47563</v>
      </c>
      <c r="F886" s="6" t="str">
        <f t="shared" si="3"/>
        <v>Product</v>
      </c>
      <c r="G886" s="1" t="s">
        <v>622</v>
      </c>
      <c r="H886" s="6" t="str">
        <f>IFERROR(__xludf.DUMMYFUNCTION("IF(REGEXMATCH(LOWER(G886), ""^(\?)+\s*(missing)?\s*(\?)*$""), """", PROPER(SUBSTITUTE(SUBSTITUTE(G886, ""?"", """"), ""*"", """")))"),"Retro Longboard Ironing Board Cover")</f>
        <v>Retro Longboard Ironing Board Cover</v>
      </c>
      <c r="I886" s="3">
        <v>1.0</v>
      </c>
      <c r="J886" s="7">
        <v>40513.521527777775</v>
      </c>
      <c r="K886" s="8" t="str">
        <f t="shared" si="4"/>
        <v>2010-12</v>
      </c>
      <c r="L886" s="5">
        <v>3.75</v>
      </c>
      <c r="M886" s="3">
        <v>17897.0</v>
      </c>
      <c r="N886" s="1" t="str">
        <f t="shared" si="5"/>
        <v>Registered</v>
      </c>
      <c r="O886" s="1" t="s">
        <v>19</v>
      </c>
      <c r="P886" s="9" t="str">
        <f t="shared" si="6"/>
        <v>UK</v>
      </c>
      <c r="Q886" s="8">
        <f t="shared" si="7"/>
        <v>3.75</v>
      </c>
    </row>
    <row r="887">
      <c r="A887" s="1">
        <v>536488.0</v>
      </c>
      <c r="B887" s="1" t="str">
        <f t="shared" si="1"/>
        <v>536488</v>
      </c>
      <c r="C887" s="1" t="str">
        <f t="shared" si="2"/>
        <v>Sale</v>
      </c>
      <c r="D887" s="1" t="s">
        <v>623</v>
      </c>
      <c r="E887" s="1" t="str">
        <f>IFERROR(__xludf.DUMMYFUNCTION("IF(LEN(D887)&gt;4, IFERROR(REGEXEXTRACT(TO_TEXT(D887),""\d+""),""""),"""")"),"84558")</f>
        <v>84558</v>
      </c>
      <c r="F887" s="6" t="str">
        <f t="shared" si="3"/>
        <v>Product</v>
      </c>
      <c r="G887" s="1" t="s">
        <v>624</v>
      </c>
      <c r="H887" s="6" t="str">
        <f>IFERROR(__xludf.DUMMYFUNCTION("IF(REGEXMATCH(LOWER(G887), ""^(\?)+\s*(missing)?\s*(\?)*$""), """", PROPER(SUBSTITUTE(SUBSTITUTE(G887, ""?"", """"), ""*"", """")))"),"3D Dog Picture Playing Cards")</f>
        <v>3D Dog Picture Playing Cards</v>
      </c>
      <c r="I887" s="3">
        <v>1.0</v>
      </c>
      <c r="J887" s="7">
        <v>40513.521527777775</v>
      </c>
      <c r="K887" s="8" t="str">
        <f t="shared" si="4"/>
        <v>2010-12</v>
      </c>
      <c r="L887" s="5">
        <v>2.95</v>
      </c>
      <c r="M887" s="3">
        <v>17897.0</v>
      </c>
      <c r="N887" s="1" t="str">
        <f t="shared" si="5"/>
        <v>Registered</v>
      </c>
      <c r="O887" s="1" t="s">
        <v>19</v>
      </c>
      <c r="P887" s="9" t="str">
        <f t="shared" si="6"/>
        <v>UK</v>
      </c>
      <c r="Q887" s="8">
        <f t="shared" si="7"/>
        <v>2.95</v>
      </c>
    </row>
    <row r="888">
      <c r="A888" s="1">
        <v>536488.0</v>
      </c>
      <c r="B888" s="1" t="str">
        <f t="shared" si="1"/>
        <v>536488</v>
      </c>
      <c r="C888" s="1" t="str">
        <f t="shared" si="2"/>
        <v>Sale</v>
      </c>
      <c r="D888" s="1">
        <v>21592.0</v>
      </c>
      <c r="E888" s="1" t="str">
        <f>IFERROR(__xludf.DUMMYFUNCTION("IF(LEN(D888)&gt;4, IFERROR(REGEXEXTRACT(TO_TEXT(D888),""\d+""),""""),"""")"),"21592")</f>
        <v>21592</v>
      </c>
      <c r="F888" s="6" t="str">
        <f t="shared" si="3"/>
        <v>Product</v>
      </c>
      <c r="G888" s="1" t="s">
        <v>315</v>
      </c>
      <c r="H888" s="6" t="str">
        <f>IFERROR(__xludf.DUMMYFUNCTION("IF(REGEXMATCH(LOWER(G888), ""^(\?)+\s*(missing)?\s*(\?)*$""), """", PROPER(SUBSTITUTE(SUBSTITUTE(G888, ""?"", """"), ""*"", """")))"),"Retrospot Cigar Box Matches")</f>
        <v>Retrospot Cigar Box Matches</v>
      </c>
      <c r="I888" s="3">
        <v>1.0</v>
      </c>
      <c r="J888" s="7">
        <v>40513.521527777775</v>
      </c>
      <c r="K888" s="8" t="str">
        <f t="shared" si="4"/>
        <v>2010-12</v>
      </c>
      <c r="L888" s="5">
        <v>1.25</v>
      </c>
      <c r="M888" s="3">
        <v>17897.0</v>
      </c>
      <c r="N888" s="1" t="str">
        <f t="shared" si="5"/>
        <v>Registered</v>
      </c>
      <c r="O888" s="1" t="s">
        <v>19</v>
      </c>
      <c r="P888" s="9" t="str">
        <f t="shared" si="6"/>
        <v>UK</v>
      </c>
      <c r="Q888" s="8">
        <f t="shared" si="7"/>
        <v>1.25</v>
      </c>
    </row>
    <row r="889">
      <c r="A889" s="1">
        <v>536488.0</v>
      </c>
      <c r="B889" s="1" t="str">
        <f t="shared" si="1"/>
        <v>536488</v>
      </c>
      <c r="C889" s="1" t="str">
        <f t="shared" si="2"/>
        <v>Sale</v>
      </c>
      <c r="D889" s="1">
        <v>20878.0</v>
      </c>
      <c r="E889" s="1" t="str">
        <f>IFERROR(__xludf.DUMMYFUNCTION("IF(LEN(D889)&gt;4, IFERROR(REGEXEXTRACT(TO_TEXT(D889),""\d+""),""""),"""")"),"20878")</f>
        <v>20878</v>
      </c>
      <c r="F889" s="6" t="str">
        <f t="shared" si="3"/>
        <v>Product</v>
      </c>
      <c r="G889" s="1" t="s">
        <v>594</v>
      </c>
      <c r="H889" s="6" t="str">
        <f>IFERROR(__xludf.DUMMYFUNCTION("IF(REGEXMATCH(LOWER(G889), ""^(\?)+\s*(missing)?\s*(\?)*$""), """", PROPER(SUBSTITUTE(SUBSTITUTE(G889, ""?"", """"), ""*"", """")))"),"Set/9 Christmas T-Lights Scented")</f>
        <v>Set/9 Christmas T-Lights Scented</v>
      </c>
      <c r="I889" s="3">
        <v>2.0</v>
      </c>
      <c r="J889" s="7">
        <v>40513.521527777775</v>
      </c>
      <c r="K889" s="8" t="str">
        <f t="shared" si="4"/>
        <v>2010-12</v>
      </c>
      <c r="L889" s="5">
        <v>1.25</v>
      </c>
      <c r="M889" s="3">
        <v>17897.0</v>
      </c>
      <c r="N889" s="1" t="str">
        <f t="shared" si="5"/>
        <v>Registered</v>
      </c>
      <c r="O889" s="1" t="s">
        <v>19</v>
      </c>
      <c r="P889" s="9" t="str">
        <f t="shared" si="6"/>
        <v>UK</v>
      </c>
      <c r="Q889" s="8">
        <f t="shared" si="7"/>
        <v>2.5</v>
      </c>
    </row>
    <row r="890">
      <c r="A890" s="1">
        <v>536488.0</v>
      </c>
      <c r="B890" s="1" t="str">
        <f t="shared" si="1"/>
        <v>536488</v>
      </c>
      <c r="C890" s="1" t="str">
        <f t="shared" si="2"/>
        <v>Sale</v>
      </c>
      <c r="D890" s="1">
        <v>84347.0</v>
      </c>
      <c r="E890" s="1" t="str">
        <f>IFERROR(__xludf.DUMMYFUNCTION("IF(LEN(D890)&gt;4, IFERROR(REGEXEXTRACT(TO_TEXT(D890),""\d+""),""""),"""")"),"84347")</f>
        <v>84347</v>
      </c>
      <c r="F890" s="6" t="str">
        <f t="shared" si="3"/>
        <v>Product</v>
      </c>
      <c r="G890" s="1" t="s">
        <v>386</v>
      </c>
      <c r="H890" s="6" t="str">
        <f>IFERROR(__xludf.DUMMYFUNCTION("IF(REGEXMATCH(LOWER(G890), ""^(\?)+\s*(missing)?\s*(\?)*$""), """", PROPER(SUBSTITUTE(SUBSTITUTE(G890, ""?"", """"), ""*"", """")))"),"Rotating Silver Angels T-Light Hldr")</f>
        <v>Rotating Silver Angels T-Light Hldr</v>
      </c>
      <c r="I890" s="3">
        <v>1.0</v>
      </c>
      <c r="J890" s="7">
        <v>40513.521527777775</v>
      </c>
      <c r="K890" s="8" t="str">
        <f t="shared" si="4"/>
        <v>2010-12</v>
      </c>
      <c r="L890" s="5">
        <v>2.55</v>
      </c>
      <c r="M890" s="3">
        <v>17897.0</v>
      </c>
      <c r="N890" s="1" t="str">
        <f t="shared" si="5"/>
        <v>Registered</v>
      </c>
      <c r="O890" s="1" t="s">
        <v>19</v>
      </c>
      <c r="P890" s="9" t="str">
        <f t="shared" si="6"/>
        <v>UK</v>
      </c>
      <c r="Q890" s="8">
        <f t="shared" si="7"/>
        <v>2.55</v>
      </c>
    </row>
    <row r="891">
      <c r="A891" s="1">
        <v>536488.0</v>
      </c>
      <c r="B891" s="1" t="str">
        <f t="shared" si="1"/>
        <v>536488</v>
      </c>
      <c r="C891" s="1" t="str">
        <f t="shared" si="2"/>
        <v>Sale</v>
      </c>
      <c r="D891" s="1">
        <v>84347.0</v>
      </c>
      <c r="E891" s="1" t="str">
        <f>IFERROR(__xludf.DUMMYFUNCTION("IF(LEN(D891)&gt;4, IFERROR(REGEXEXTRACT(TO_TEXT(D891),""\d+""),""""),"""")"),"84347")</f>
        <v>84347</v>
      </c>
      <c r="F891" s="6" t="str">
        <f t="shared" si="3"/>
        <v>Product</v>
      </c>
      <c r="G891" s="1" t="s">
        <v>386</v>
      </c>
      <c r="H891" s="6" t="str">
        <f>IFERROR(__xludf.DUMMYFUNCTION("IF(REGEXMATCH(LOWER(G891), ""^(\?)+\s*(missing)?\s*(\?)*$""), """", PROPER(SUBSTITUTE(SUBSTITUTE(G891, ""?"", """"), ""*"", """")))"),"Rotating Silver Angels T-Light Hldr")</f>
        <v>Rotating Silver Angels T-Light Hldr</v>
      </c>
      <c r="I891" s="3">
        <v>1.0</v>
      </c>
      <c r="J891" s="7">
        <v>40513.521527777775</v>
      </c>
      <c r="K891" s="8" t="str">
        <f t="shared" si="4"/>
        <v>2010-12</v>
      </c>
      <c r="L891" s="5">
        <v>2.55</v>
      </c>
      <c r="M891" s="3">
        <v>17897.0</v>
      </c>
      <c r="N891" s="1" t="str">
        <f t="shared" si="5"/>
        <v>Registered</v>
      </c>
      <c r="O891" s="1" t="s">
        <v>19</v>
      </c>
      <c r="P891" s="9" t="str">
        <f t="shared" si="6"/>
        <v>UK</v>
      </c>
      <c r="Q891" s="8">
        <f t="shared" si="7"/>
        <v>2.55</v>
      </c>
    </row>
    <row r="892">
      <c r="A892" s="1">
        <v>536488.0</v>
      </c>
      <c r="B892" s="1" t="str">
        <f t="shared" si="1"/>
        <v>536488</v>
      </c>
      <c r="C892" s="1" t="str">
        <f t="shared" si="2"/>
        <v>Sale</v>
      </c>
      <c r="D892" s="1">
        <v>21577.0</v>
      </c>
      <c r="E892" s="1" t="str">
        <f>IFERROR(__xludf.DUMMYFUNCTION("IF(LEN(D892)&gt;4, IFERROR(REGEXEXTRACT(TO_TEXT(D892),""\d+""),""""),"""")"),"21577")</f>
        <v>21577</v>
      </c>
      <c r="F892" s="6" t="str">
        <f t="shared" si="3"/>
        <v>Product</v>
      </c>
      <c r="G892" s="1" t="s">
        <v>625</v>
      </c>
      <c r="H892" s="6" t="str">
        <f>IFERROR(__xludf.DUMMYFUNCTION("IF(REGEXMATCH(LOWER(G892), ""^(\?)+\s*(missing)?\s*(\?)*$""), """", PROPER(SUBSTITUTE(SUBSTITUTE(G892, ""?"", """"), ""*"", """")))"),"Save The Planet Cotton Tote Bag")</f>
        <v>Save The Planet Cotton Tote Bag</v>
      </c>
      <c r="I892" s="3">
        <v>1.0</v>
      </c>
      <c r="J892" s="7">
        <v>40513.521527777775</v>
      </c>
      <c r="K892" s="8" t="str">
        <f t="shared" si="4"/>
        <v>2010-12</v>
      </c>
      <c r="L892" s="5">
        <v>2.25</v>
      </c>
      <c r="M892" s="3">
        <v>17897.0</v>
      </c>
      <c r="N892" s="1" t="str">
        <f t="shared" si="5"/>
        <v>Registered</v>
      </c>
      <c r="O892" s="1" t="s">
        <v>19</v>
      </c>
      <c r="P892" s="9" t="str">
        <f t="shared" si="6"/>
        <v>UK</v>
      </c>
      <c r="Q892" s="8">
        <f t="shared" si="7"/>
        <v>2.25</v>
      </c>
    </row>
    <row r="893">
      <c r="A893" s="1">
        <v>536488.0</v>
      </c>
      <c r="B893" s="1" t="str">
        <f t="shared" si="1"/>
        <v>536488</v>
      </c>
      <c r="C893" s="1" t="str">
        <f t="shared" si="2"/>
        <v>Sale</v>
      </c>
      <c r="D893" s="1">
        <v>22909.0</v>
      </c>
      <c r="E893" s="1" t="str">
        <f>IFERROR(__xludf.DUMMYFUNCTION("IF(LEN(D893)&gt;4, IFERROR(REGEXEXTRACT(TO_TEXT(D893),""\d+""),""""),"""")"),"22909")</f>
        <v>22909</v>
      </c>
      <c r="F893" s="6" t="str">
        <f t="shared" si="3"/>
        <v>Product</v>
      </c>
      <c r="G893" s="1" t="s">
        <v>468</v>
      </c>
      <c r="H893" s="6" t="str">
        <f>IFERROR(__xludf.DUMMYFUNCTION("IF(REGEXMATCH(LOWER(G893), ""^(\?)+\s*(missing)?\s*(\?)*$""), """", PROPER(SUBSTITUTE(SUBSTITUTE(G893, ""?"", """"), ""*"", """")))"),"Set Of 20 Vintage Christmas Napkins")</f>
        <v>Set Of 20 Vintage Christmas Napkins</v>
      </c>
      <c r="I893" s="3">
        <v>1.0</v>
      </c>
      <c r="J893" s="7">
        <v>40513.521527777775</v>
      </c>
      <c r="K893" s="8" t="str">
        <f t="shared" si="4"/>
        <v>2010-12</v>
      </c>
      <c r="L893" s="5">
        <v>0.85</v>
      </c>
      <c r="M893" s="3">
        <v>17897.0</v>
      </c>
      <c r="N893" s="1" t="str">
        <f t="shared" si="5"/>
        <v>Registered</v>
      </c>
      <c r="O893" s="1" t="s">
        <v>19</v>
      </c>
      <c r="P893" s="9" t="str">
        <f t="shared" si="6"/>
        <v>UK</v>
      </c>
      <c r="Q893" s="8">
        <f t="shared" si="7"/>
        <v>0.85</v>
      </c>
    </row>
    <row r="894">
      <c r="A894" s="1">
        <v>536488.0</v>
      </c>
      <c r="B894" s="1" t="str">
        <f t="shared" si="1"/>
        <v>536488</v>
      </c>
      <c r="C894" s="1" t="str">
        <f t="shared" si="2"/>
        <v>Sale</v>
      </c>
      <c r="D894" s="1">
        <v>22087.0</v>
      </c>
      <c r="E894" s="1" t="str">
        <f>IFERROR(__xludf.DUMMYFUNCTION("IF(LEN(D894)&gt;4, IFERROR(REGEXEXTRACT(TO_TEXT(D894),""\d+""),""""),"""")"),"22087")</f>
        <v>22087</v>
      </c>
      <c r="F894" s="6" t="str">
        <f t="shared" si="3"/>
        <v>Product</v>
      </c>
      <c r="G894" s="1" t="s">
        <v>626</v>
      </c>
      <c r="H894" s="6" t="str">
        <f>IFERROR(__xludf.DUMMYFUNCTION("IF(REGEXMATCH(LOWER(G894), ""^(\?)+\s*(missing)?\s*(\?)*$""), """", PROPER(SUBSTITUTE(SUBSTITUTE(G894, ""?"", """"), ""*"", """")))"),"Paper Bunting White Lace")</f>
        <v>Paper Bunting White Lace</v>
      </c>
      <c r="I894" s="3">
        <v>1.0</v>
      </c>
      <c r="J894" s="7">
        <v>40513.521527777775</v>
      </c>
      <c r="K894" s="8" t="str">
        <f t="shared" si="4"/>
        <v>2010-12</v>
      </c>
      <c r="L894" s="5">
        <v>2.95</v>
      </c>
      <c r="M894" s="3">
        <v>17897.0</v>
      </c>
      <c r="N894" s="1" t="str">
        <f t="shared" si="5"/>
        <v>Registered</v>
      </c>
      <c r="O894" s="1" t="s">
        <v>19</v>
      </c>
      <c r="P894" s="9" t="str">
        <f t="shared" si="6"/>
        <v>UK</v>
      </c>
      <c r="Q894" s="8">
        <f t="shared" si="7"/>
        <v>2.95</v>
      </c>
    </row>
    <row r="895">
      <c r="A895" s="1">
        <v>536488.0</v>
      </c>
      <c r="B895" s="1" t="str">
        <f t="shared" si="1"/>
        <v>536488</v>
      </c>
      <c r="C895" s="1" t="str">
        <f t="shared" si="2"/>
        <v>Sale</v>
      </c>
      <c r="D895" s="1">
        <v>22651.0</v>
      </c>
      <c r="E895" s="1" t="str">
        <f>IFERROR(__xludf.DUMMYFUNCTION("IF(LEN(D895)&gt;4, IFERROR(REGEXEXTRACT(TO_TEXT(D895),""\d+""),""""),"""")"),"22651")</f>
        <v>22651</v>
      </c>
      <c r="F895" s="6" t="str">
        <f t="shared" si="3"/>
        <v>Product</v>
      </c>
      <c r="G895" s="1" t="s">
        <v>627</v>
      </c>
      <c r="H895" s="6" t="str">
        <f>IFERROR(__xludf.DUMMYFUNCTION("IF(REGEXMATCH(LOWER(G895), ""^(\?)+\s*(missing)?\s*(\?)*$""), """", PROPER(SUBSTITUTE(SUBSTITUTE(G895, ""?"", """"), ""*"", """")))"),"Gentleman Shirt Repair Kit")</f>
        <v>Gentleman Shirt Repair Kit</v>
      </c>
      <c r="I895" s="3">
        <v>2.0</v>
      </c>
      <c r="J895" s="7">
        <v>40513.521527777775</v>
      </c>
      <c r="K895" s="8" t="str">
        <f t="shared" si="4"/>
        <v>2010-12</v>
      </c>
      <c r="L895" s="5">
        <v>0.85</v>
      </c>
      <c r="M895" s="3">
        <v>17897.0</v>
      </c>
      <c r="N895" s="1" t="str">
        <f t="shared" si="5"/>
        <v>Registered</v>
      </c>
      <c r="O895" s="1" t="s">
        <v>19</v>
      </c>
      <c r="P895" s="9" t="str">
        <f t="shared" si="6"/>
        <v>UK</v>
      </c>
      <c r="Q895" s="8">
        <f t="shared" si="7"/>
        <v>1.7</v>
      </c>
    </row>
    <row r="896">
      <c r="A896" s="1">
        <v>536488.0</v>
      </c>
      <c r="B896" s="1" t="str">
        <f t="shared" si="1"/>
        <v>536488</v>
      </c>
      <c r="C896" s="1" t="str">
        <f t="shared" si="2"/>
        <v>Sale</v>
      </c>
      <c r="D896" s="1">
        <v>22713.0</v>
      </c>
      <c r="E896" s="1" t="str">
        <f>IFERROR(__xludf.DUMMYFUNCTION("IF(LEN(D896)&gt;4, IFERROR(REGEXEXTRACT(TO_TEXT(D896),""\d+""),""""),"""")"),"22713")</f>
        <v>22713</v>
      </c>
      <c r="F896" s="6" t="str">
        <f t="shared" si="3"/>
        <v>Product</v>
      </c>
      <c r="G896" s="1" t="s">
        <v>628</v>
      </c>
      <c r="H896" s="6" t="str">
        <f>IFERROR(__xludf.DUMMYFUNCTION("IF(REGEXMATCH(LOWER(G896), ""^(\?)+\s*(missing)?\s*(\?)*$""), """", PROPER(SUBSTITUTE(SUBSTITUTE(G896, ""?"", """"), ""*"", """")))"),"Card I Love London")</f>
        <v>Card I Love London</v>
      </c>
      <c r="I896" s="3">
        <v>12.0</v>
      </c>
      <c r="J896" s="7">
        <v>40513.521527777775</v>
      </c>
      <c r="K896" s="8" t="str">
        <f t="shared" si="4"/>
        <v>2010-12</v>
      </c>
      <c r="L896" s="5">
        <v>0.42</v>
      </c>
      <c r="M896" s="3">
        <v>17897.0</v>
      </c>
      <c r="N896" s="1" t="str">
        <f t="shared" si="5"/>
        <v>Registered</v>
      </c>
      <c r="O896" s="1" t="s">
        <v>19</v>
      </c>
      <c r="P896" s="9" t="str">
        <f t="shared" si="6"/>
        <v>UK</v>
      </c>
      <c r="Q896" s="8">
        <f t="shared" si="7"/>
        <v>5.04</v>
      </c>
    </row>
    <row r="897">
      <c r="A897" s="1">
        <v>536488.0</v>
      </c>
      <c r="B897" s="1" t="str">
        <f t="shared" si="1"/>
        <v>536488</v>
      </c>
      <c r="C897" s="1" t="str">
        <f t="shared" si="2"/>
        <v>Sale</v>
      </c>
      <c r="D897" s="1">
        <v>22910.0</v>
      </c>
      <c r="E897" s="1" t="str">
        <f>IFERROR(__xludf.DUMMYFUNCTION("IF(LEN(D897)&gt;4, IFERROR(REGEXEXTRACT(TO_TEXT(D897),""\d+""),""""),"""")"),"22910")</f>
        <v>22910</v>
      </c>
      <c r="F897" s="6" t="str">
        <f t="shared" si="3"/>
        <v>Product</v>
      </c>
      <c r="G897" s="1" t="s">
        <v>215</v>
      </c>
      <c r="H897" s="6" t="str">
        <f>IFERROR(__xludf.DUMMYFUNCTION("IF(REGEXMATCH(LOWER(G897), ""^(\?)+\s*(missing)?\s*(\?)*$""), """", PROPER(SUBSTITUTE(SUBSTITUTE(G897, ""?"", """"), ""*"", """")))"),"Paper Chain Kit Vintage Christmas")</f>
        <v>Paper Chain Kit Vintage Christmas</v>
      </c>
      <c r="I897" s="3">
        <v>1.0</v>
      </c>
      <c r="J897" s="7">
        <v>40513.521527777775</v>
      </c>
      <c r="K897" s="8" t="str">
        <f t="shared" si="4"/>
        <v>2010-12</v>
      </c>
      <c r="L897" s="5">
        <v>2.95</v>
      </c>
      <c r="M897" s="3">
        <v>17897.0</v>
      </c>
      <c r="N897" s="1" t="str">
        <f t="shared" si="5"/>
        <v>Registered</v>
      </c>
      <c r="O897" s="1" t="s">
        <v>19</v>
      </c>
      <c r="P897" s="9" t="str">
        <f t="shared" si="6"/>
        <v>UK</v>
      </c>
      <c r="Q897" s="8">
        <f t="shared" si="7"/>
        <v>2.95</v>
      </c>
    </row>
    <row r="898">
      <c r="A898" s="1">
        <v>536488.0</v>
      </c>
      <c r="B898" s="1" t="str">
        <f t="shared" si="1"/>
        <v>536488</v>
      </c>
      <c r="C898" s="1" t="str">
        <f t="shared" si="2"/>
        <v>Sale</v>
      </c>
      <c r="D898" s="1">
        <v>21370.0</v>
      </c>
      <c r="E898" s="1" t="str">
        <f>IFERROR(__xludf.DUMMYFUNCTION("IF(LEN(D898)&gt;4, IFERROR(REGEXEXTRACT(TO_TEXT(D898),""\d+""),""""),"""")"),"21370")</f>
        <v>21370</v>
      </c>
      <c r="F898" s="6" t="str">
        <f t="shared" si="3"/>
        <v>Product</v>
      </c>
      <c r="G898" s="1" t="s">
        <v>629</v>
      </c>
      <c r="H898" s="6" t="str">
        <f>IFERROR(__xludf.DUMMYFUNCTION("IF(REGEXMATCH(LOWER(G898), ""^(\?)+\s*(missing)?\s*(\?)*$""), """", PROPER(SUBSTITUTE(SUBSTITUTE(G898, ""?"", """"), ""*"", """")))"),"Mirrored Wall Art Foxy")</f>
        <v>Mirrored Wall Art Foxy</v>
      </c>
      <c r="I898" s="3">
        <v>2.0</v>
      </c>
      <c r="J898" s="7">
        <v>40513.521527777775</v>
      </c>
      <c r="K898" s="8" t="str">
        <f t="shared" si="4"/>
        <v>2010-12</v>
      </c>
      <c r="L898" s="5">
        <v>6.35</v>
      </c>
      <c r="M898" s="3">
        <v>17897.0</v>
      </c>
      <c r="N898" s="1" t="str">
        <f t="shared" si="5"/>
        <v>Registered</v>
      </c>
      <c r="O898" s="1" t="s">
        <v>19</v>
      </c>
      <c r="P898" s="9" t="str">
        <f t="shared" si="6"/>
        <v>UK</v>
      </c>
      <c r="Q898" s="8">
        <f t="shared" si="7"/>
        <v>12.7</v>
      </c>
    </row>
    <row r="899">
      <c r="A899" s="1">
        <v>536488.0</v>
      </c>
      <c r="B899" s="1" t="str">
        <f t="shared" si="1"/>
        <v>536488</v>
      </c>
      <c r="C899" s="1" t="str">
        <f t="shared" si="2"/>
        <v>Sale</v>
      </c>
      <c r="D899" s="1">
        <v>21367.0</v>
      </c>
      <c r="E899" s="1" t="str">
        <f>IFERROR(__xludf.DUMMYFUNCTION("IF(LEN(D899)&gt;4, IFERROR(REGEXEXTRACT(TO_TEXT(D899),""\d+""),""""),"""")"),"21367")</f>
        <v>21367</v>
      </c>
      <c r="F899" s="6" t="str">
        <f t="shared" si="3"/>
        <v>Product</v>
      </c>
      <c r="G899" s="1" t="s">
        <v>630</v>
      </c>
      <c r="H899" s="6" t="str">
        <f>IFERROR(__xludf.DUMMYFUNCTION("IF(REGEXMATCH(LOWER(G899), ""^(\?)+\s*(missing)?\s*(\?)*$""), """", PROPER(SUBSTITUTE(SUBSTITUTE(G899, ""?"", """"), ""*"", """")))"),"Mirrored Wall Art Gents")</f>
        <v>Mirrored Wall Art Gents</v>
      </c>
      <c r="I899" s="3">
        <v>1.0</v>
      </c>
      <c r="J899" s="7">
        <v>40513.521527777775</v>
      </c>
      <c r="K899" s="8" t="str">
        <f t="shared" si="4"/>
        <v>2010-12</v>
      </c>
      <c r="L899" s="5">
        <v>2.55</v>
      </c>
      <c r="M899" s="3">
        <v>17897.0</v>
      </c>
      <c r="N899" s="1" t="str">
        <f t="shared" si="5"/>
        <v>Registered</v>
      </c>
      <c r="O899" s="1" t="s">
        <v>19</v>
      </c>
      <c r="P899" s="9" t="str">
        <f t="shared" si="6"/>
        <v>UK</v>
      </c>
      <c r="Q899" s="8">
        <f t="shared" si="7"/>
        <v>2.55</v>
      </c>
    </row>
    <row r="900">
      <c r="A900" s="1">
        <v>536488.0</v>
      </c>
      <c r="B900" s="1" t="str">
        <f t="shared" si="1"/>
        <v>536488</v>
      </c>
      <c r="C900" s="1" t="str">
        <f t="shared" si="2"/>
        <v>Sale</v>
      </c>
      <c r="D900" s="1">
        <v>22376.0</v>
      </c>
      <c r="E900" s="1" t="str">
        <f>IFERROR(__xludf.DUMMYFUNCTION("IF(LEN(D900)&gt;4, IFERROR(REGEXEXTRACT(TO_TEXT(D900),""\d+""),""""),"""")"),"22376")</f>
        <v>22376</v>
      </c>
      <c r="F900" s="6" t="str">
        <f t="shared" si="3"/>
        <v>Product</v>
      </c>
      <c r="G900" s="1" t="s">
        <v>631</v>
      </c>
      <c r="H900" s="6" t="str">
        <f>IFERROR(__xludf.DUMMYFUNCTION("IF(REGEXMATCH(LOWER(G900), ""^(\?)+\s*(missing)?\s*(\?)*$""), """", PROPER(SUBSTITUTE(SUBSTITUTE(G900, ""?"", """"), ""*"", """")))"),"Airline Bag Vintage Jet Set White")</f>
        <v>Airline Bag Vintage Jet Set White</v>
      </c>
      <c r="I900" s="3">
        <v>1.0</v>
      </c>
      <c r="J900" s="7">
        <v>40513.521527777775</v>
      </c>
      <c r="K900" s="8" t="str">
        <f t="shared" si="4"/>
        <v>2010-12</v>
      </c>
      <c r="L900" s="5">
        <v>4.25</v>
      </c>
      <c r="M900" s="3">
        <v>17897.0</v>
      </c>
      <c r="N900" s="1" t="str">
        <f t="shared" si="5"/>
        <v>Registered</v>
      </c>
      <c r="O900" s="1" t="s">
        <v>19</v>
      </c>
      <c r="P900" s="9" t="str">
        <f t="shared" si="6"/>
        <v>UK</v>
      </c>
      <c r="Q900" s="8">
        <f t="shared" si="7"/>
        <v>4.25</v>
      </c>
    </row>
    <row r="901">
      <c r="A901" s="1">
        <v>536488.0</v>
      </c>
      <c r="B901" s="1" t="str">
        <f t="shared" si="1"/>
        <v>536488</v>
      </c>
      <c r="C901" s="1" t="str">
        <f t="shared" si="2"/>
        <v>Sale</v>
      </c>
      <c r="D901" s="1">
        <v>22961.0</v>
      </c>
      <c r="E901" s="1" t="str">
        <f>IFERROR(__xludf.DUMMYFUNCTION("IF(LEN(D901)&gt;4, IFERROR(REGEXEXTRACT(TO_TEXT(D901),""\d+""),""""),"""")"),"22961")</f>
        <v>22961</v>
      </c>
      <c r="F901" s="6" t="str">
        <f t="shared" si="3"/>
        <v>Product</v>
      </c>
      <c r="G901" s="1" t="s">
        <v>109</v>
      </c>
      <c r="H901" s="6" t="str">
        <f>IFERROR(__xludf.DUMMYFUNCTION("IF(REGEXMATCH(LOWER(G901), ""^(\?)+\s*(missing)?\s*(\?)*$""), """", PROPER(SUBSTITUTE(SUBSTITUTE(G901, ""?"", """"), ""*"", """")))"),"Jam Making Set Printed")</f>
        <v>Jam Making Set Printed</v>
      </c>
      <c r="I901" s="3">
        <v>1.0</v>
      </c>
      <c r="J901" s="7">
        <v>40513.521527777775</v>
      </c>
      <c r="K901" s="8" t="str">
        <f t="shared" si="4"/>
        <v>2010-12</v>
      </c>
      <c r="L901" s="5">
        <v>1.45</v>
      </c>
      <c r="M901" s="3">
        <v>17897.0</v>
      </c>
      <c r="N901" s="1" t="str">
        <f t="shared" si="5"/>
        <v>Registered</v>
      </c>
      <c r="O901" s="1" t="s">
        <v>19</v>
      </c>
      <c r="P901" s="9" t="str">
        <f t="shared" si="6"/>
        <v>UK</v>
      </c>
      <c r="Q901" s="8">
        <f t="shared" si="7"/>
        <v>1.45</v>
      </c>
    </row>
    <row r="902">
      <c r="A902" s="1">
        <v>536488.0</v>
      </c>
      <c r="B902" s="1" t="str">
        <f t="shared" si="1"/>
        <v>536488</v>
      </c>
      <c r="C902" s="1" t="str">
        <f t="shared" si="2"/>
        <v>Sale</v>
      </c>
      <c r="D902" s="1">
        <v>21895.0</v>
      </c>
      <c r="E902" s="1" t="str">
        <f>IFERROR(__xludf.DUMMYFUNCTION("IF(LEN(D902)&gt;4, IFERROR(REGEXEXTRACT(TO_TEXT(D902),""\d+""),""""),"""")"),"21895")</f>
        <v>21895</v>
      </c>
      <c r="F902" s="6" t="str">
        <f t="shared" si="3"/>
        <v>Product</v>
      </c>
      <c r="G902" s="1" t="s">
        <v>632</v>
      </c>
      <c r="H902" s="6" t="str">
        <f>IFERROR(__xludf.DUMMYFUNCTION("IF(REGEXMATCH(LOWER(G902), ""^(\?)+\s*(missing)?\s*(\?)*$""), """", PROPER(SUBSTITUTE(SUBSTITUTE(G902, ""?"", """"), ""*"", """")))"),"Potting Shed Sow 'N' Grow Set")</f>
        <v>Potting Shed Sow 'N' Grow Set</v>
      </c>
      <c r="I902" s="3">
        <v>1.0</v>
      </c>
      <c r="J902" s="7">
        <v>40513.521527777775</v>
      </c>
      <c r="K902" s="8" t="str">
        <f t="shared" si="4"/>
        <v>2010-12</v>
      </c>
      <c r="L902" s="5">
        <v>4.25</v>
      </c>
      <c r="M902" s="3">
        <v>17897.0</v>
      </c>
      <c r="N902" s="1" t="str">
        <f t="shared" si="5"/>
        <v>Registered</v>
      </c>
      <c r="O902" s="1" t="s">
        <v>19</v>
      </c>
      <c r="P902" s="9" t="str">
        <f t="shared" si="6"/>
        <v>UK</v>
      </c>
      <c r="Q902" s="8">
        <f t="shared" si="7"/>
        <v>4.25</v>
      </c>
    </row>
    <row r="903">
      <c r="A903" s="1">
        <v>536488.0</v>
      </c>
      <c r="B903" s="1" t="str">
        <f t="shared" si="1"/>
        <v>536488</v>
      </c>
      <c r="C903" s="1" t="str">
        <f t="shared" si="2"/>
        <v>Sale</v>
      </c>
      <c r="D903" s="1">
        <v>22468.0</v>
      </c>
      <c r="E903" s="1" t="str">
        <f>IFERROR(__xludf.DUMMYFUNCTION("IF(LEN(D903)&gt;4, IFERROR(REGEXEXTRACT(TO_TEXT(D903),""\d+""),""""),"""")"),"22468")</f>
        <v>22468</v>
      </c>
      <c r="F903" s="6" t="str">
        <f t="shared" si="3"/>
        <v>Product</v>
      </c>
      <c r="G903" s="1" t="s">
        <v>262</v>
      </c>
      <c r="H903" s="6" t="str">
        <f>IFERROR(__xludf.DUMMYFUNCTION("IF(REGEXMATCH(LOWER(G903), ""^(\?)+\s*(missing)?\s*(\?)*$""), """", PROPER(SUBSTITUTE(SUBSTITUTE(G903, ""?"", """"), ""*"", """")))"),"Babushka Lights String Of 10")</f>
        <v>Babushka Lights String Of 10</v>
      </c>
      <c r="I903" s="3">
        <v>1.0</v>
      </c>
      <c r="J903" s="7">
        <v>40513.521527777775</v>
      </c>
      <c r="K903" s="8" t="str">
        <f t="shared" si="4"/>
        <v>2010-12</v>
      </c>
      <c r="L903" s="5">
        <v>6.75</v>
      </c>
      <c r="M903" s="3">
        <v>17897.0</v>
      </c>
      <c r="N903" s="1" t="str">
        <f t="shared" si="5"/>
        <v>Registered</v>
      </c>
      <c r="O903" s="1" t="s">
        <v>19</v>
      </c>
      <c r="P903" s="9" t="str">
        <f t="shared" si="6"/>
        <v>UK</v>
      </c>
      <c r="Q903" s="8">
        <f t="shared" si="7"/>
        <v>6.75</v>
      </c>
    </row>
    <row r="904">
      <c r="A904" s="1">
        <v>536488.0</v>
      </c>
      <c r="B904" s="1" t="str">
        <f t="shared" si="1"/>
        <v>536488</v>
      </c>
      <c r="C904" s="1" t="str">
        <f t="shared" si="2"/>
        <v>Sale</v>
      </c>
      <c r="D904" s="1">
        <v>21034.0</v>
      </c>
      <c r="E904" s="1" t="str">
        <f>IFERROR(__xludf.DUMMYFUNCTION("IF(LEN(D904)&gt;4, IFERROR(REGEXEXTRACT(TO_TEXT(D904),""\d+""),""""),"""")"),"21034")</f>
        <v>21034</v>
      </c>
      <c r="F904" s="6" t="str">
        <f t="shared" si="3"/>
        <v>Product</v>
      </c>
      <c r="G904" s="1" t="s">
        <v>452</v>
      </c>
      <c r="H904" s="6" t="str">
        <f>IFERROR(__xludf.DUMMYFUNCTION("IF(REGEXMATCH(LOWER(G904), ""^(\?)+\s*(missing)?\s*(\?)*$""), """", PROPER(SUBSTITUTE(SUBSTITUTE(G904, ""?"", """"), ""*"", """")))"),"Rex Cash+Carry Jumbo Shopper")</f>
        <v>Rex Cash+Carry Jumbo Shopper</v>
      </c>
      <c r="I904" s="3">
        <v>1.0</v>
      </c>
      <c r="J904" s="7">
        <v>40513.521527777775</v>
      </c>
      <c r="K904" s="8" t="str">
        <f t="shared" si="4"/>
        <v>2010-12</v>
      </c>
      <c r="L904" s="5">
        <v>0.95</v>
      </c>
      <c r="M904" s="3">
        <v>17897.0</v>
      </c>
      <c r="N904" s="1" t="str">
        <f t="shared" si="5"/>
        <v>Registered</v>
      </c>
      <c r="O904" s="1" t="s">
        <v>19</v>
      </c>
      <c r="P904" s="9" t="str">
        <f t="shared" si="6"/>
        <v>UK</v>
      </c>
      <c r="Q904" s="8">
        <f t="shared" si="7"/>
        <v>0.95</v>
      </c>
    </row>
    <row r="905">
      <c r="A905" s="1">
        <v>536488.0</v>
      </c>
      <c r="B905" s="1" t="str">
        <f t="shared" si="1"/>
        <v>536488</v>
      </c>
      <c r="C905" s="1" t="str">
        <f t="shared" si="2"/>
        <v>Sale</v>
      </c>
      <c r="D905" s="1">
        <v>22372.0</v>
      </c>
      <c r="E905" s="1" t="str">
        <f>IFERROR(__xludf.DUMMYFUNCTION("IF(LEN(D905)&gt;4, IFERROR(REGEXEXTRACT(TO_TEXT(D905),""\d+""),""""),"""")"),"22372")</f>
        <v>22372</v>
      </c>
      <c r="F905" s="6" t="str">
        <f t="shared" si="3"/>
        <v>Product</v>
      </c>
      <c r="G905" s="1" t="s">
        <v>633</v>
      </c>
      <c r="H905" s="6" t="str">
        <f>IFERROR(__xludf.DUMMYFUNCTION("IF(REGEXMATCH(LOWER(G905), ""^(\?)+\s*(missing)?\s*(\?)*$""), """", PROPER(SUBSTITUTE(SUBSTITUTE(G905, ""?"", """"), ""*"", """")))"),"Airline Bag Vintage World Champion")</f>
        <v>Airline Bag Vintage World Champion</v>
      </c>
      <c r="I905" s="3">
        <v>1.0</v>
      </c>
      <c r="J905" s="7">
        <v>40513.521527777775</v>
      </c>
      <c r="K905" s="8" t="str">
        <f t="shared" si="4"/>
        <v>2010-12</v>
      </c>
      <c r="L905" s="5">
        <v>4.25</v>
      </c>
      <c r="M905" s="3">
        <v>17897.0</v>
      </c>
      <c r="N905" s="1" t="str">
        <f t="shared" si="5"/>
        <v>Registered</v>
      </c>
      <c r="O905" s="1" t="s">
        <v>19</v>
      </c>
      <c r="P905" s="9" t="str">
        <f t="shared" si="6"/>
        <v>UK</v>
      </c>
      <c r="Q905" s="8">
        <f t="shared" si="7"/>
        <v>4.25</v>
      </c>
    </row>
    <row r="906">
      <c r="A906" s="1">
        <v>536488.0</v>
      </c>
      <c r="B906" s="1" t="str">
        <f t="shared" si="1"/>
        <v>536488</v>
      </c>
      <c r="C906" s="1" t="str">
        <f t="shared" si="2"/>
        <v>Sale</v>
      </c>
      <c r="D906" s="1">
        <v>22867.0</v>
      </c>
      <c r="E906" s="1" t="str">
        <f>IFERROR(__xludf.DUMMYFUNCTION("IF(LEN(D906)&gt;4, IFERROR(REGEXEXTRACT(TO_TEXT(D906),""\d+""),""""),"""")"),"22867")</f>
        <v>22867</v>
      </c>
      <c r="F906" s="6" t="str">
        <f t="shared" si="3"/>
        <v>Product</v>
      </c>
      <c r="G906" s="1" t="s">
        <v>257</v>
      </c>
      <c r="H906" s="6" t="str">
        <f>IFERROR(__xludf.DUMMYFUNCTION("IF(REGEXMATCH(LOWER(G906), ""^(\?)+\s*(missing)?\s*(\?)*$""), """", PROPER(SUBSTITUTE(SUBSTITUTE(G906, ""?"", """"), ""*"", """")))"),"Hand Warmer Bird Design")</f>
        <v>Hand Warmer Bird Design</v>
      </c>
      <c r="I906" s="3">
        <v>1.0</v>
      </c>
      <c r="J906" s="7">
        <v>40513.521527777775</v>
      </c>
      <c r="K906" s="8" t="str">
        <f t="shared" si="4"/>
        <v>2010-12</v>
      </c>
      <c r="L906" s="5">
        <v>2.1</v>
      </c>
      <c r="M906" s="3">
        <v>17897.0</v>
      </c>
      <c r="N906" s="1" t="str">
        <f t="shared" si="5"/>
        <v>Registered</v>
      </c>
      <c r="O906" s="1" t="s">
        <v>19</v>
      </c>
      <c r="P906" s="9" t="str">
        <f t="shared" si="6"/>
        <v>UK</v>
      </c>
      <c r="Q906" s="8">
        <f t="shared" si="7"/>
        <v>2.1</v>
      </c>
    </row>
    <row r="907">
      <c r="A907" s="1">
        <v>536488.0</v>
      </c>
      <c r="B907" s="1" t="str">
        <f t="shared" si="1"/>
        <v>536488</v>
      </c>
      <c r="C907" s="1" t="str">
        <f t="shared" si="2"/>
        <v>Sale</v>
      </c>
      <c r="D907" s="1">
        <v>22144.0</v>
      </c>
      <c r="E907" s="1" t="str">
        <f>IFERROR(__xludf.DUMMYFUNCTION("IF(LEN(D907)&gt;4, IFERROR(REGEXEXTRACT(TO_TEXT(D907),""\d+""),""""),"""")"),"22144")</f>
        <v>22144</v>
      </c>
      <c r="F907" s="6" t="str">
        <f t="shared" si="3"/>
        <v>Product</v>
      </c>
      <c r="G907" s="1" t="s">
        <v>447</v>
      </c>
      <c r="H907" s="6" t="str">
        <f>IFERROR(__xludf.DUMMYFUNCTION("IF(REGEXMATCH(LOWER(G907), ""^(\?)+\s*(missing)?\s*(\?)*$""), """", PROPER(SUBSTITUTE(SUBSTITUTE(G907, ""?"", """"), ""*"", """")))"),"Christmas Craft Little Friends")</f>
        <v>Christmas Craft Little Friends</v>
      </c>
      <c r="I907" s="3">
        <v>1.0</v>
      </c>
      <c r="J907" s="7">
        <v>40513.521527777775</v>
      </c>
      <c r="K907" s="8" t="str">
        <f t="shared" si="4"/>
        <v>2010-12</v>
      </c>
      <c r="L907" s="5">
        <v>2.1</v>
      </c>
      <c r="M907" s="3">
        <v>17897.0</v>
      </c>
      <c r="N907" s="1" t="str">
        <f t="shared" si="5"/>
        <v>Registered</v>
      </c>
      <c r="O907" s="1" t="s">
        <v>19</v>
      </c>
      <c r="P907" s="9" t="str">
        <f t="shared" si="6"/>
        <v>UK</v>
      </c>
      <c r="Q907" s="8">
        <f t="shared" si="7"/>
        <v>2.1</v>
      </c>
    </row>
    <row r="908">
      <c r="A908" s="1">
        <v>536488.0</v>
      </c>
      <c r="B908" s="1" t="str">
        <f t="shared" si="1"/>
        <v>536488</v>
      </c>
      <c r="C908" s="1" t="str">
        <f t="shared" si="2"/>
        <v>Sale</v>
      </c>
      <c r="D908" s="1">
        <v>21190.0</v>
      </c>
      <c r="E908" s="1" t="str">
        <f>IFERROR(__xludf.DUMMYFUNCTION("IF(LEN(D908)&gt;4, IFERROR(REGEXEXTRACT(TO_TEXT(D908),""\d+""),""""),"""")"),"21190")</f>
        <v>21190</v>
      </c>
      <c r="F908" s="6" t="str">
        <f t="shared" si="3"/>
        <v>Product</v>
      </c>
      <c r="G908" s="1" t="s">
        <v>634</v>
      </c>
      <c r="H908" s="6" t="str">
        <f>IFERROR(__xludf.DUMMYFUNCTION("IF(REGEXMATCH(LOWER(G908), ""^(\?)+\s*(missing)?\s*(\?)*$""), """", PROPER(SUBSTITUTE(SUBSTITUTE(G908, ""?"", """"), ""*"", """")))"),"Pink Hearts Paper Garland")</f>
        <v>Pink Hearts Paper Garland</v>
      </c>
      <c r="I908" s="3">
        <v>1.0</v>
      </c>
      <c r="J908" s="7">
        <v>40513.521527777775</v>
      </c>
      <c r="K908" s="8" t="str">
        <f t="shared" si="4"/>
        <v>2010-12</v>
      </c>
      <c r="L908" s="5">
        <v>1.65</v>
      </c>
      <c r="M908" s="3">
        <v>17897.0</v>
      </c>
      <c r="N908" s="1" t="str">
        <f t="shared" si="5"/>
        <v>Registered</v>
      </c>
      <c r="O908" s="1" t="s">
        <v>19</v>
      </c>
      <c r="P908" s="9" t="str">
        <f t="shared" si="6"/>
        <v>UK</v>
      </c>
      <c r="Q908" s="8">
        <f t="shared" si="7"/>
        <v>1.65</v>
      </c>
    </row>
    <row r="909">
      <c r="A909" s="1">
        <v>536488.0</v>
      </c>
      <c r="B909" s="1" t="str">
        <f t="shared" si="1"/>
        <v>536488</v>
      </c>
      <c r="C909" s="1" t="str">
        <f t="shared" si="2"/>
        <v>Sale</v>
      </c>
      <c r="D909" s="1">
        <v>21894.0</v>
      </c>
      <c r="E909" s="1" t="str">
        <f>IFERROR(__xludf.DUMMYFUNCTION("IF(LEN(D909)&gt;4, IFERROR(REGEXEXTRACT(TO_TEXT(D909),""\d+""),""""),"""")"),"21894")</f>
        <v>21894</v>
      </c>
      <c r="F909" s="6" t="str">
        <f t="shared" si="3"/>
        <v>Product</v>
      </c>
      <c r="G909" s="1" t="s">
        <v>635</v>
      </c>
      <c r="H909" s="6" t="str">
        <f>IFERROR(__xludf.DUMMYFUNCTION("IF(REGEXMATCH(LOWER(G909), ""^(\?)+\s*(missing)?\s*(\?)*$""), """", PROPER(SUBSTITUTE(SUBSTITUTE(G909, ""?"", """"), ""*"", """")))"),"Potting Shed Seed Envelopes")</f>
        <v>Potting Shed Seed Envelopes</v>
      </c>
      <c r="I909" s="3">
        <v>3.0</v>
      </c>
      <c r="J909" s="7">
        <v>40513.521527777775</v>
      </c>
      <c r="K909" s="8" t="str">
        <f t="shared" si="4"/>
        <v>2010-12</v>
      </c>
      <c r="L909" s="5">
        <v>1.25</v>
      </c>
      <c r="M909" s="3">
        <v>17897.0</v>
      </c>
      <c r="N909" s="1" t="str">
        <f t="shared" si="5"/>
        <v>Registered</v>
      </c>
      <c r="O909" s="1" t="s">
        <v>19</v>
      </c>
      <c r="P909" s="9" t="str">
        <f t="shared" si="6"/>
        <v>UK</v>
      </c>
      <c r="Q909" s="8">
        <f t="shared" si="7"/>
        <v>3.75</v>
      </c>
    </row>
    <row r="910">
      <c r="A910" s="1">
        <v>536488.0</v>
      </c>
      <c r="B910" s="1" t="str">
        <f t="shared" si="1"/>
        <v>536488</v>
      </c>
      <c r="C910" s="1" t="str">
        <f t="shared" si="2"/>
        <v>Sale</v>
      </c>
      <c r="D910" s="1">
        <v>70007.0</v>
      </c>
      <c r="E910" s="1" t="str">
        <f>IFERROR(__xludf.DUMMYFUNCTION("IF(LEN(D910)&gt;4, IFERROR(REGEXEXTRACT(TO_TEXT(D910),""\d+""),""""),"""")"),"70007")</f>
        <v>70007</v>
      </c>
      <c r="F910" s="6" t="str">
        <f t="shared" si="3"/>
        <v>Product</v>
      </c>
      <c r="G910" s="1" t="s">
        <v>636</v>
      </c>
      <c r="H910" s="6" t="str">
        <f>IFERROR(__xludf.DUMMYFUNCTION("IF(REGEXMATCH(LOWER(G910), ""^(\?)+\s*(missing)?\s*(\?)*$""), """", PROPER(SUBSTITUTE(SUBSTITUTE(G910, ""?"", """"), ""*"", """")))"),"Hi Tec Alpine Hand Warmer")</f>
        <v>Hi Tec Alpine Hand Warmer</v>
      </c>
      <c r="I910" s="3">
        <v>3.0</v>
      </c>
      <c r="J910" s="7">
        <v>40513.521527777775</v>
      </c>
      <c r="K910" s="8" t="str">
        <f t="shared" si="4"/>
        <v>2010-12</v>
      </c>
      <c r="L910" s="5">
        <v>1.65</v>
      </c>
      <c r="M910" s="3">
        <v>17897.0</v>
      </c>
      <c r="N910" s="1" t="str">
        <f t="shared" si="5"/>
        <v>Registered</v>
      </c>
      <c r="O910" s="1" t="s">
        <v>19</v>
      </c>
      <c r="P910" s="9" t="str">
        <f t="shared" si="6"/>
        <v>UK</v>
      </c>
      <c r="Q910" s="8">
        <f t="shared" si="7"/>
        <v>4.95</v>
      </c>
    </row>
    <row r="911">
      <c r="A911" s="1">
        <v>536488.0</v>
      </c>
      <c r="B911" s="1" t="str">
        <f t="shared" si="1"/>
        <v>536488</v>
      </c>
      <c r="C911" s="1" t="str">
        <f t="shared" si="2"/>
        <v>Sale</v>
      </c>
      <c r="D911" s="1">
        <v>22940.0</v>
      </c>
      <c r="E911" s="1" t="str">
        <f>IFERROR(__xludf.DUMMYFUNCTION("IF(LEN(D911)&gt;4, IFERROR(REGEXEXTRACT(TO_TEXT(D911),""\d+""),""""),"""")"),"22940")</f>
        <v>22940</v>
      </c>
      <c r="F911" s="6" t="str">
        <f t="shared" si="3"/>
        <v>Product</v>
      </c>
      <c r="G911" s="1" t="s">
        <v>439</v>
      </c>
      <c r="H911" s="6" t="str">
        <f>IFERROR(__xludf.DUMMYFUNCTION("IF(REGEXMATCH(LOWER(G911), ""^(\?)+\s*(missing)?\s*(\?)*$""), """", PROPER(SUBSTITUTE(SUBSTITUTE(G911, ""?"", """"), ""*"", """")))"),"Feltcraft Christmas Fairy")</f>
        <v>Feltcraft Christmas Fairy</v>
      </c>
      <c r="I911" s="3">
        <v>1.0</v>
      </c>
      <c r="J911" s="7">
        <v>40513.521527777775</v>
      </c>
      <c r="K911" s="8" t="str">
        <f t="shared" si="4"/>
        <v>2010-12</v>
      </c>
      <c r="L911" s="5">
        <v>4.25</v>
      </c>
      <c r="M911" s="3">
        <v>17897.0</v>
      </c>
      <c r="N911" s="1" t="str">
        <f t="shared" si="5"/>
        <v>Registered</v>
      </c>
      <c r="O911" s="1" t="s">
        <v>19</v>
      </c>
      <c r="P911" s="9" t="str">
        <f t="shared" si="6"/>
        <v>UK</v>
      </c>
      <c r="Q911" s="8">
        <f t="shared" si="7"/>
        <v>4.25</v>
      </c>
    </row>
    <row r="912">
      <c r="A912" s="1">
        <v>536488.0</v>
      </c>
      <c r="B912" s="1" t="str">
        <f t="shared" si="1"/>
        <v>536488</v>
      </c>
      <c r="C912" s="1" t="str">
        <f t="shared" si="2"/>
        <v>Sale</v>
      </c>
      <c r="D912" s="1">
        <v>70007.0</v>
      </c>
      <c r="E912" s="1" t="str">
        <f>IFERROR(__xludf.DUMMYFUNCTION("IF(LEN(D912)&gt;4, IFERROR(REGEXEXTRACT(TO_TEXT(D912),""\d+""),""""),"""")"),"70007")</f>
        <v>70007</v>
      </c>
      <c r="F912" s="6" t="str">
        <f t="shared" si="3"/>
        <v>Product</v>
      </c>
      <c r="G912" s="1" t="s">
        <v>636</v>
      </c>
      <c r="H912" s="6" t="str">
        <f>IFERROR(__xludf.DUMMYFUNCTION("IF(REGEXMATCH(LOWER(G912), ""^(\?)+\s*(missing)?\s*(\?)*$""), """", PROPER(SUBSTITUTE(SUBSTITUTE(G912, ""?"", """"), ""*"", """")))"),"Hi Tec Alpine Hand Warmer")</f>
        <v>Hi Tec Alpine Hand Warmer</v>
      </c>
      <c r="I912" s="3">
        <v>1.0</v>
      </c>
      <c r="J912" s="7">
        <v>40513.521527777775</v>
      </c>
      <c r="K912" s="8" t="str">
        <f t="shared" si="4"/>
        <v>2010-12</v>
      </c>
      <c r="L912" s="5">
        <v>1.65</v>
      </c>
      <c r="M912" s="3">
        <v>17897.0</v>
      </c>
      <c r="N912" s="1" t="str">
        <f t="shared" si="5"/>
        <v>Registered</v>
      </c>
      <c r="O912" s="1" t="s">
        <v>19</v>
      </c>
      <c r="P912" s="9" t="str">
        <f t="shared" si="6"/>
        <v>UK</v>
      </c>
      <c r="Q912" s="8">
        <f t="shared" si="7"/>
        <v>1.65</v>
      </c>
    </row>
    <row r="913">
      <c r="A913" s="1">
        <v>536488.0</v>
      </c>
      <c r="B913" s="1" t="str">
        <f t="shared" si="1"/>
        <v>536488</v>
      </c>
      <c r="C913" s="1" t="str">
        <f t="shared" si="2"/>
        <v>Sale</v>
      </c>
      <c r="D913" s="1">
        <v>84347.0</v>
      </c>
      <c r="E913" s="1" t="str">
        <f>IFERROR(__xludf.DUMMYFUNCTION("IF(LEN(D913)&gt;4, IFERROR(REGEXEXTRACT(TO_TEXT(D913),""\d+""),""""),"""")"),"84347")</f>
        <v>84347</v>
      </c>
      <c r="F913" s="6" t="str">
        <f t="shared" si="3"/>
        <v>Product</v>
      </c>
      <c r="G913" s="1" t="s">
        <v>386</v>
      </c>
      <c r="H913" s="6" t="str">
        <f>IFERROR(__xludf.DUMMYFUNCTION("IF(REGEXMATCH(LOWER(G913), ""^(\?)+\s*(missing)?\s*(\?)*$""), """", PROPER(SUBSTITUTE(SUBSTITUTE(G913, ""?"", """"), ""*"", """")))"),"Rotating Silver Angels T-Light Hldr")</f>
        <v>Rotating Silver Angels T-Light Hldr</v>
      </c>
      <c r="I913" s="3">
        <v>3.0</v>
      </c>
      <c r="J913" s="7">
        <v>40513.521527777775</v>
      </c>
      <c r="K913" s="8" t="str">
        <f t="shared" si="4"/>
        <v>2010-12</v>
      </c>
      <c r="L913" s="5">
        <v>2.55</v>
      </c>
      <c r="M913" s="3">
        <v>17897.0</v>
      </c>
      <c r="N913" s="1" t="str">
        <f t="shared" si="5"/>
        <v>Registered</v>
      </c>
      <c r="O913" s="1" t="s">
        <v>19</v>
      </c>
      <c r="P913" s="9" t="str">
        <f t="shared" si="6"/>
        <v>UK</v>
      </c>
      <c r="Q913" s="8">
        <f t="shared" si="7"/>
        <v>7.65</v>
      </c>
    </row>
    <row r="914">
      <c r="A914" s="1">
        <v>536488.0</v>
      </c>
      <c r="B914" s="1" t="str">
        <f t="shared" si="1"/>
        <v>536488</v>
      </c>
      <c r="C914" s="1" t="str">
        <f t="shared" si="2"/>
        <v>Sale</v>
      </c>
      <c r="D914" s="1">
        <v>22150.0</v>
      </c>
      <c r="E914" s="1" t="str">
        <f>IFERROR(__xludf.DUMMYFUNCTION("IF(LEN(D914)&gt;4, IFERROR(REGEXEXTRACT(TO_TEXT(D914),""\d+""),""""),"""")"),"22150")</f>
        <v>22150</v>
      </c>
      <c r="F914" s="6" t="str">
        <f t="shared" si="3"/>
        <v>Product</v>
      </c>
      <c r="G914" s="1" t="s">
        <v>235</v>
      </c>
      <c r="H914" s="6" t="str">
        <f>IFERROR(__xludf.DUMMYFUNCTION("IF(REGEXMATCH(LOWER(G914), ""^(\?)+\s*(missing)?\s*(\?)*$""), """", PROPER(SUBSTITUTE(SUBSTITUTE(G914, ""?"", """"), ""*"", """")))"),"3 Stripey Mice Feltcraft")</f>
        <v>3 Stripey Mice Feltcraft</v>
      </c>
      <c r="I914" s="3">
        <v>1.0</v>
      </c>
      <c r="J914" s="7">
        <v>40513.521527777775</v>
      </c>
      <c r="K914" s="8" t="str">
        <f t="shared" si="4"/>
        <v>2010-12</v>
      </c>
      <c r="L914" s="5">
        <v>1.95</v>
      </c>
      <c r="M914" s="3">
        <v>17897.0</v>
      </c>
      <c r="N914" s="1" t="str">
        <f t="shared" si="5"/>
        <v>Registered</v>
      </c>
      <c r="O914" s="1" t="s">
        <v>19</v>
      </c>
      <c r="P914" s="9" t="str">
        <f t="shared" si="6"/>
        <v>UK</v>
      </c>
      <c r="Q914" s="8">
        <f t="shared" si="7"/>
        <v>1.95</v>
      </c>
    </row>
    <row r="915">
      <c r="A915" s="1">
        <v>536488.0</v>
      </c>
      <c r="B915" s="1" t="str">
        <f t="shared" si="1"/>
        <v>536488</v>
      </c>
      <c r="C915" s="1" t="str">
        <f t="shared" si="2"/>
        <v>Sale</v>
      </c>
      <c r="D915" s="1">
        <v>22149.0</v>
      </c>
      <c r="E915" s="1" t="str">
        <f>IFERROR(__xludf.DUMMYFUNCTION("IF(LEN(D915)&gt;4, IFERROR(REGEXEXTRACT(TO_TEXT(D915),""\d+""),""""),"""")"),"22149")</f>
        <v>22149</v>
      </c>
      <c r="F915" s="6" t="str">
        <f t="shared" si="3"/>
        <v>Product</v>
      </c>
      <c r="G915" s="1" t="s">
        <v>478</v>
      </c>
      <c r="H915" s="6" t="str">
        <f>IFERROR(__xludf.DUMMYFUNCTION("IF(REGEXMATCH(LOWER(G915), ""^(\?)+\s*(missing)?\s*(\?)*$""), """", PROPER(SUBSTITUTE(SUBSTITUTE(G915, ""?"", """"), ""*"", """")))"),"Feltcraft 6 Flower Friends")</f>
        <v>Feltcraft 6 Flower Friends</v>
      </c>
      <c r="I915" s="3">
        <v>2.0</v>
      </c>
      <c r="J915" s="7">
        <v>40513.521527777775</v>
      </c>
      <c r="K915" s="8" t="str">
        <f t="shared" si="4"/>
        <v>2010-12</v>
      </c>
      <c r="L915" s="5">
        <v>2.1</v>
      </c>
      <c r="M915" s="3">
        <v>17897.0</v>
      </c>
      <c r="N915" s="1" t="str">
        <f t="shared" si="5"/>
        <v>Registered</v>
      </c>
      <c r="O915" s="1" t="s">
        <v>19</v>
      </c>
      <c r="P915" s="9" t="str">
        <f t="shared" si="6"/>
        <v>UK</v>
      </c>
      <c r="Q915" s="8">
        <f t="shared" si="7"/>
        <v>4.2</v>
      </c>
    </row>
    <row r="916">
      <c r="A916" s="1">
        <v>536488.0</v>
      </c>
      <c r="B916" s="1" t="str">
        <f t="shared" si="1"/>
        <v>536488</v>
      </c>
      <c r="C916" s="1" t="str">
        <f t="shared" si="2"/>
        <v>Sale</v>
      </c>
      <c r="D916" s="1">
        <v>22144.0</v>
      </c>
      <c r="E916" s="1" t="str">
        <f>IFERROR(__xludf.DUMMYFUNCTION("IF(LEN(D916)&gt;4, IFERROR(REGEXEXTRACT(TO_TEXT(D916),""\d+""),""""),"""")"),"22144")</f>
        <v>22144</v>
      </c>
      <c r="F916" s="6" t="str">
        <f t="shared" si="3"/>
        <v>Product</v>
      </c>
      <c r="G916" s="1" t="s">
        <v>447</v>
      </c>
      <c r="H916" s="6" t="str">
        <f>IFERROR(__xludf.DUMMYFUNCTION("IF(REGEXMATCH(LOWER(G916), ""^(\?)+\s*(missing)?\s*(\?)*$""), """", PROPER(SUBSTITUTE(SUBSTITUTE(G916, ""?"", """"), ""*"", """")))"),"Christmas Craft Little Friends")</f>
        <v>Christmas Craft Little Friends</v>
      </c>
      <c r="I916" s="3">
        <v>2.0</v>
      </c>
      <c r="J916" s="7">
        <v>40513.521527777775</v>
      </c>
      <c r="K916" s="8" t="str">
        <f t="shared" si="4"/>
        <v>2010-12</v>
      </c>
      <c r="L916" s="5">
        <v>2.1</v>
      </c>
      <c r="M916" s="3">
        <v>17897.0</v>
      </c>
      <c r="N916" s="1" t="str">
        <f t="shared" si="5"/>
        <v>Registered</v>
      </c>
      <c r="O916" s="1" t="s">
        <v>19</v>
      </c>
      <c r="P916" s="9" t="str">
        <f t="shared" si="6"/>
        <v>UK</v>
      </c>
      <c r="Q916" s="8">
        <f t="shared" si="7"/>
        <v>4.2</v>
      </c>
    </row>
    <row r="917">
      <c r="A917" s="1">
        <v>536500.0</v>
      </c>
      <c r="B917" s="1" t="str">
        <f t="shared" si="1"/>
        <v>536500</v>
      </c>
      <c r="C917" s="1" t="str">
        <f t="shared" si="2"/>
        <v>Sale</v>
      </c>
      <c r="D917" s="1">
        <v>21622.0</v>
      </c>
      <c r="E917" s="1" t="str">
        <f>IFERROR(__xludf.DUMMYFUNCTION("IF(LEN(D917)&gt;4, IFERROR(REGEXEXTRACT(TO_TEXT(D917),""\d+""),""""),"""")"),"21622")</f>
        <v>21622</v>
      </c>
      <c r="F917" s="6" t="str">
        <f t="shared" si="3"/>
        <v>Product</v>
      </c>
      <c r="G917" s="1" t="s">
        <v>198</v>
      </c>
      <c r="H917" s="6" t="str">
        <f>IFERROR(__xludf.DUMMYFUNCTION("IF(REGEXMATCH(LOWER(G917), ""^(\?)+\s*(missing)?\s*(\?)*$""), """", PROPER(SUBSTITUTE(SUBSTITUTE(G917, ""?"", """"), ""*"", """")))"),"Vintage Union Jack Cushion Cover")</f>
        <v>Vintage Union Jack Cushion Cover</v>
      </c>
      <c r="I917" s="3">
        <v>10.0</v>
      </c>
      <c r="J917" s="7">
        <v>40513.524305555555</v>
      </c>
      <c r="K917" s="8" t="str">
        <f t="shared" si="4"/>
        <v>2010-12</v>
      </c>
      <c r="L917" s="5">
        <v>4.95</v>
      </c>
      <c r="M917" s="3">
        <v>17377.0</v>
      </c>
      <c r="N917" s="1" t="str">
        <f t="shared" si="5"/>
        <v>Registered</v>
      </c>
      <c r="O917" s="1" t="s">
        <v>19</v>
      </c>
      <c r="P917" s="9" t="str">
        <f t="shared" si="6"/>
        <v>UK</v>
      </c>
      <c r="Q917" s="8">
        <f t="shared" si="7"/>
        <v>49.5</v>
      </c>
    </row>
    <row r="918">
      <c r="A918" s="1">
        <v>536500.0</v>
      </c>
      <c r="B918" s="1" t="str">
        <f t="shared" si="1"/>
        <v>536500</v>
      </c>
      <c r="C918" s="1" t="str">
        <f t="shared" si="2"/>
        <v>Sale</v>
      </c>
      <c r="D918" s="1" t="s">
        <v>637</v>
      </c>
      <c r="E918" s="1" t="str">
        <f>IFERROR(__xludf.DUMMYFUNCTION("IF(LEN(D918)&gt;4, IFERROR(REGEXEXTRACT(TO_TEXT(D918),""\d+""),""""),"""")"),"46000")</f>
        <v>46000</v>
      </c>
      <c r="F918" s="6" t="str">
        <f t="shared" si="3"/>
        <v>Product</v>
      </c>
      <c r="G918" s="1" t="s">
        <v>638</v>
      </c>
      <c r="H918" s="6" t="str">
        <f>IFERROR(__xludf.DUMMYFUNCTION("IF(REGEXMATCH(LOWER(G918), ""^(\?)+\s*(missing)?\s*(\?)*$""), """", PROPER(SUBSTITUTE(SUBSTITUTE(G918, ""?"", """"), ""*"", """")))"),"Polyester Filler Pad 45X45Cm")</f>
        <v>Polyester Filler Pad 45X45Cm</v>
      </c>
      <c r="I918" s="3">
        <v>10.0</v>
      </c>
      <c r="J918" s="7">
        <v>40513.524305555555</v>
      </c>
      <c r="K918" s="8" t="str">
        <f t="shared" si="4"/>
        <v>2010-12</v>
      </c>
      <c r="L918" s="5">
        <v>1.55</v>
      </c>
      <c r="M918" s="3">
        <v>17377.0</v>
      </c>
      <c r="N918" s="1" t="str">
        <f t="shared" si="5"/>
        <v>Registered</v>
      </c>
      <c r="O918" s="1" t="s">
        <v>19</v>
      </c>
      <c r="P918" s="9" t="str">
        <f t="shared" si="6"/>
        <v>UK</v>
      </c>
      <c r="Q918" s="8">
        <f t="shared" si="7"/>
        <v>15.5</v>
      </c>
    </row>
    <row r="919">
      <c r="A919" s="1">
        <v>536500.0</v>
      </c>
      <c r="B919" s="1" t="str">
        <f t="shared" si="1"/>
        <v>536500</v>
      </c>
      <c r="C919" s="1" t="str">
        <f t="shared" si="2"/>
        <v>Sale</v>
      </c>
      <c r="D919" s="1">
        <v>22630.0</v>
      </c>
      <c r="E919" s="1" t="str">
        <f>IFERROR(__xludf.DUMMYFUNCTION("IF(LEN(D919)&gt;4, IFERROR(REGEXEXTRACT(TO_TEXT(D919),""\d+""),""""),"""")"),"22630")</f>
        <v>22630</v>
      </c>
      <c r="F919" s="6" t="str">
        <f t="shared" si="3"/>
        <v>Product</v>
      </c>
      <c r="G919" s="1" t="s">
        <v>433</v>
      </c>
      <c r="H919" s="6" t="str">
        <f>IFERROR(__xludf.DUMMYFUNCTION("IF(REGEXMATCH(LOWER(G919), ""^(\?)+\s*(missing)?\s*(\?)*$""), """", PROPER(SUBSTITUTE(SUBSTITUTE(G919, ""?"", """"), ""*"", """")))"),"Dolly Girl Lunch Box")</f>
        <v>Dolly Girl Lunch Box</v>
      </c>
      <c r="I919" s="3">
        <v>2.0</v>
      </c>
      <c r="J919" s="7">
        <v>40513.524305555555</v>
      </c>
      <c r="K919" s="8" t="str">
        <f t="shared" si="4"/>
        <v>2010-12</v>
      </c>
      <c r="L919" s="5">
        <v>1.95</v>
      </c>
      <c r="M919" s="3">
        <v>17377.0</v>
      </c>
      <c r="N919" s="1" t="str">
        <f t="shared" si="5"/>
        <v>Registered</v>
      </c>
      <c r="O919" s="1" t="s">
        <v>19</v>
      </c>
      <c r="P919" s="9" t="str">
        <f t="shared" si="6"/>
        <v>UK</v>
      </c>
      <c r="Q919" s="8">
        <f t="shared" si="7"/>
        <v>3.9</v>
      </c>
    </row>
    <row r="920">
      <c r="A920" s="1">
        <v>536500.0</v>
      </c>
      <c r="B920" s="1" t="str">
        <f t="shared" si="1"/>
        <v>536500</v>
      </c>
      <c r="C920" s="1" t="str">
        <f t="shared" si="2"/>
        <v>Sale</v>
      </c>
      <c r="D920" s="1">
        <v>22616.0</v>
      </c>
      <c r="E920" s="1" t="str">
        <f>IFERROR(__xludf.DUMMYFUNCTION("IF(LEN(D920)&gt;4, IFERROR(REGEXEXTRACT(TO_TEXT(D920),""\d+""),""""),"""")"),"22616")</f>
        <v>22616</v>
      </c>
      <c r="F920" s="6" t="str">
        <f t="shared" si="3"/>
        <v>Product</v>
      </c>
      <c r="G920" s="1" t="s">
        <v>485</v>
      </c>
      <c r="H920" s="6" t="str">
        <f>IFERROR(__xludf.DUMMYFUNCTION("IF(REGEXMATCH(LOWER(G920), ""^(\?)+\s*(missing)?\s*(\?)*$""), """", PROPER(SUBSTITUTE(SUBSTITUTE(G920, ""?"", """"), ""*"", """")))"),"Pack Of 12 London Tissues")</f>
        <v>Pack Of 12 London Tissues</v>
      </c>
      <c r="I920" s="3">
        <v>12.0</v>
      </c>
      <c r="J920" s="7">
        <v>40513.524305555555</v>
      </c>
      <c r="K920" s="8" t="str">
        <f t="shared" si="4"/>
        <v>2010-12</v>
      </c>
      <c r="L920" s="5">
        <v>0.29</v>
      </c>
      <c r="M920" s="3">
        <v>17377.0</v>
      </c>
      <c r="N920" s="1" t="str">
        <f t="shared" si="5"/>
        <v>Registered</v>
      </c>
      <c r="O920" s="1" t="s">
        <v>19</v>
      </c>
      <c r="P920" s="9" t="str">
        <f t="shared" si="6"/>
        <v>UK</v>
      </c>
      <c r="Q920" s="8">
        <f t="shared" si="7"/>
        <v>3.48</v>
      </c>
    </row>
    <row r="921">
      <c r="A921" s="1">
        <v>536500.0</v>
      </c>
      <c r="B921" s="1" t="str">
        <f t="shared" si="1"/>
        <v>536500</v>
      </c>
      <c r="C921" s="1" t="str">
        <f t="shared" si="2"/>
        <v>Sale</v>
      </c>
      <c r="D921" s="1">
        <v>22712.0</v>
      </c>
      <c r="E921" s="1" t="str">
        <f>IFERROR(__xludf.DUMMYFUNCTION("IF(LEN(D921)&gt;4, IFERROR(REGEXEXTRACT(TO_TEXT(D921),""\d+""),""""),"""")"),"22712")</f>
        <v>22712</v>
      </c>
      <c r="F921" s="6" t="str">
        <f t="shared" si="3"/>
        <v>Product</v>
      </c>
      <c r="G921" s="1" t="s">
        <v>639</v>
      </c>
      <c r="H921" s="6" t="str">
        <f>IFERROR(__xludf.DUMMYFUNCTION("IF(REGEXMATCH(LOWER(G921), ""^(\?)+\s*(missing)?\s*(\?)*$""), """", PROPER(SUBSTITUTE(SUBSTITUTE(G921, ""?"", """"), ""*"", """")))"),"Card Dolly Girl")</f>
        <v>Card Dolly Girl</v>
      </c>
      <c r="I921" s="3">
        <v>12.0</v>
      </c>
      <c r="J921" s="7">
        <v>40513.524305555555</v>
      </c>
      <c r="K921" s="8" t="str">
        <f t="shared" si="4"/>
        <v>2010-12</v>
      </c>
      <c r="L921" s="5">
        <v>0.42</v>
      </c>
      <c r="M921" s="3">
        <v>17377.0</v>
      </c>
      <c r="N921" s="1" t="str">
        <f t="shared" si="5"/>
        <v>Registered</v>
      </c>
      <c r="O921" s="1" t="s">
        <v>19</v>
      </c>
      <c r="P921" s="9" t="str">
        <f t="shared" si="6"/>
        <v>UK</v>
      </c>
      <c r="Q921" s="8">
        <f t="shared" si="7"/>
        <v>5.04</v>
      </c>
    </row>
    <row r="922">
      <c r="A922" s="1">
        <v>536500.0</v>
      </c>
      <c r="B922" s="1" t="str">
        <f t="shared" si="1"/>
        <v>536500</v>
      </c>
      <c r="C922" s="1" t="str">
        <f t="shared" si="2"/>
        <v>Sale</v>
      </c>
      <c r="D922" s="1">
        <v>22983.0</v>
      </c>
      <c r="E922" s="1" t="str">
        <f>IFERROR(__xludf.DUMMYFUNCTION("IF(LEN(D922)&gt;4, IFERROR(REGEXEXTRACT(TO_TEXT(D922),""\d+""),""""),"""")"),"22983")</f>
        <v>22983</v>
      </c>
      <c r="F922" s="6" t="str">
        <f t="shared" si="3"/>
        <v>Product</v>
      </c>
      <c r="G922" s="1" t="s">
        <v>640</v>
      </c>
      <c r="H922" s="6" t="str">
        <f>IFERROR(__xludf.DUMMYFUNCTION("IF(REGEXMATCH(LOWER(G922), ""^(\?)+\s*(missing)?\s*(\?)*$""), """", PROPER(SUBSTITUTE(SUBSTITUTE(G922, ""?"", """"), ""*"", """")))"),"Card Billboard Font")</f>
        <v>Card Billboard Font</v>
      </c>
      <c r="I922" s="3">
        <v>12.0</v>
      </c>
      <c r="J922" s="7">
        <v>40513.524305555555</v>
      </c>
      <c r="K922" s="8" t="str">
        <f t="shared" si="4"/>
        <v>2010-12</v>
      </c>
      <c r="L922" s="5">
        <v>0.42</v>
      </c>
      <c r="M922" s="3">
        <v>17377.0</v>
      </c>
      <c r="N922" s="1" t="str">
        <f t="shared" si="5"/>
        <v>Registered</v>
      </c>
      <c r="O922" s="1" t="s">
        <v>19</v>
      </c>
      <c r="P922" s="9" t="str">
        <f t="shared" si="6"/>
        <v>UK</v>
      </c>
      <c r="Q922" s="8">
        <f t="shared" si="7"/>
        <v>5.04</v>
      </c>
    </row>
    <row r="923">
      <c r="A923" s="1">
        <v>536500.0</v>
      </c>
      <c r="B923" s="1" t="str">
        <f t="shared" si="1"/>
        <v>536500</v>
      </c>
      <c r="C923" s="1" t="str">
        <f t="shared" si="2"/>
        <v>Sale</v>
      </c>
      <c r="D923" s="1">
        <v>22024.0</v>
      </c>
      <c r="E923" s="1" t="str">
        <f>IFERROR(__xludf.DUMMYFUNCTION("IF(LEN(D923)&gt;4, IFERROR(REGEXEXTRACT(TO_TEXT(D923),""\d+""),""""),"""")"),"22024")</f>
        <v>22024</v>
      </c>
      <c r="F923" s="6" t="str">
        <f t="shared" si="3"/>
        <v>Product</v>
      </c>
      <c r="G923" s="1" t="s">
        <v>641</v>
      </c>
      <c r="H923" s="6" t="str">
        <f>IFERROR(__xludf.DUMMYFUNCTION("IF(REGEXMATCH(LOWER(G923), ""^(\?)+\s*(missing)?\s*(\?)*$""), """", PROPER(SUBSTITUTE(SUBSTITUTE(G923, ""?"", """"), ""*"", """")))"),"Rainy Ladies Birthday Card")</f>
        <v>Rainy Ladies Birthday Card</v>
      </c>
      <c r="I923" s="3">
        <v>12.0</v>
      </c>
      <c r="J923" s="7">
        <v>40513.524305555555</v>
      </c>
      <c r="K923" s="8" t="str">
        <f t="shared" si="4"/>
        <v>2010-12</v>
      </c>
      <c r="L923" s="5">
        <v>0.42</v>
      </c>
      <c r="M923" s="3">
        <v>17377.0</v>
      </c>
      <c r="N923" s="1" t="str">
        <f t="shared" si="5"/>
        <v>Registered</v>
      </c>
      <c r="O923" s="1" t="s">
        <v>19</v>
      </c>
      <c r="P923" s="9" t="str">
        <f t="shared" si="6"/>
        <v>UK</v>
      </c>
      <c r="Q923" s="8">
        <f t="shared" si="7"/>
        <v>5.04</v>
      </c>
    </row>
    <row r="924">
      <c r="A924" s="1">
        <v>536500.0</v>
      </c>
      <c r="B924" s="1" t="str">
        <f t="shared" si="1"/>
        <v>536500</v>
      </c>
      <c r="C924" s="1" t="str">
        <f t="shared" si="2"/>
        <v>Sale</v>
      </c>
      <c r="D924" s="1">
        <v>22113.0</v>
      </c>
      <c r="E924" s="1" t="str">
        <f>IFERROR(__xludf.DUMMYFUNCTION("IF(LEN(D924)&gt;4, IFERROR(REGEXEXTRACT(TO_TEXT(D924),""\d+""),""""),"""")"),"22113")</f>
        <v>22113</v>
      </c>
      <c r="F924" s="6" t="str">
        <f t="shared" si="3"/>
        <v>Product</v>
      </c>
      <c r="G924" s="1" t="s">
        <v>515</v>
      </c>
      <c r="H924" s="6" t="str">
        <f>IFERROR(__xludf.DUMMYFUNCTION("IF(REGEXMATCH(LOWER(G924), ""^(\?)+\s*(missing)?\s*(\?)*$""), """", PROPER(SUBSTITUTE(SUBSTITUTE(G924, ""?"", """"), ""*"", """")))"),"Grey Heart Hot Water Bottle")</f>
        <v>Grey Heart Hot Water Bottle</v>
      </c>
      <c r="I924" s="3">
        <v>3.0</v>
      </c>
      <c r="J924" s="7">
        <v>40513.524305555555</v>
      </c>
      <c r="K924" s="8" t="str">
        <f t="shared" si="4"/>
        <v>2010-12</v>
      </c>
      <c r="L924" s="5">
        <v>3.75</v>
      </c>
      <c r="M924" s="3">
        <v>17377.0</v>
      </c>
      <c r="N924" s="1" t="str">
        <f t="shared" si="5"/>
        <v>Registered</v>
      </c>
      <c r="O924" s="1" t="s">
        <v>19</v>
      </c>
      <c r="P924" s="9" t="str">
        <f t="shared" si="6"/>
        <v>UK</v>
      </c>
      <c r="Q924" s="8">
        <f t="shared" si="7"/>
        <v>11.25</v>
      </c>
    </row>
    <row r="925">
      <c r="A925" s="1">
        <v>536500.0</v>
      </c>
      <c r="B925" s="1" t="str">
        <f t="shared" si="1"/>
        <v>536500</v>
      </c>
      <c r="C925" s="1" t="str">
        <f t="shared" si="2"/>
        <v>Sale</v>
      </c>
      <c r="D925" s="1" t="s">
        <v>25</v>
      </c>
      <c r="E925" s="1" t="str">
        <f>IFERROR(__xludf.DUMMYFUNCTION("IF(LEN(D925)&gt;4, IFERROR(REGEXEXTRACT(TO_TEXT(D925),""\d+""),""""),"""")"),"84029")</f>
        <v>84029</v>
      </c>
      <c r="F925" s="6" t="str">
        <f t="shared" si="3"/>
        <v>Product</v>
      </c>
      <c r="G925" s="1" t="s">
        <v>26</v>
      </c>
      <c r="H925" s="6" t="str">
        <f>IFERROR(__xludf.DUMMYFUNCTION("IF(REGEXMATCH(LOWER(G925), ""^(\?)+\s*(missing)?\s*(\?)*$""), """", PROPER(SUBSTITUTE(SUBSTITUTE(G925, ""?"", """"), ""*"", """")))"),"Red Woolly Hottie White Heart.")</f>
        <v>Red Woolly Hottie White Heart.</v>
      </c>
      <c r="I925" s="3">
        <v>2.0</v>
      </c>
      <c r="J925" s="7">
        <v>40513.524305555555</v>
      </c>
      <c r="K925" s="8" t="str">
        <f t="shared" si="4"/>
        <v>2010-12</v>
      </c>
      <c r="L925" s="5">
        <v>3.75</v>
      </c>
      <c r="M925" s="3">
        <v>17377.0</v>
      </c>
      <c r="N925" s="1" t="str">
        <f t="shared" si="5"/>
        <v>Registered</v>
      </c>
      <c r="O925" s="1" t="s">
        <v>19</v>
      </c>
      <c r="P925" s="9" t="str">
        <f t="shared" si="6"/>
        <v>UK</v>
      </c>
      <c r="Q925" s="8">
        <f t="shared" si="7"/>
        <v>7.5</v>
      </c>
    </row>
    <row r="926">
      <c r="A926" s="1">
        <v>536500.0</v>
      </c>
      <c r="B926" s="1" t="str">
        <f t="shared" si="1"/>
        <v>536500</v>
      </c>
      <c r="C926" s="1" t="str">
        <f t="shared" si="2"/>
        <v>Sale</v>
      </c>
      <c r="D926" s="1">
        <v>21488.0</v>
      </c>
      <c r="E926" s="1" t="str">
        <f>IFERROR(__xludf.DUMMYFUNCTION("IF(LEN(D926)&gt;4, IFERROR(REGEXEXTRACT(TO_TEXT(D926),""\d+""),""""),"""")"),"21488")</f>
        <v>21488</v>
      </c>
      <c r="F926" s="6" t="str">
        <f t="shared" si="3"/>
        <v>Product</v>
      </c>
      <c r="G926" s="1" t="s">
        <v>642</v>
      </c>
      <c r="H926" s="6" t="str">
        <f>IFERROR(__xludf.DUMMYFUNCTION("IF(REGEXMATCH(LOWER(G926), ""^(\?)+\s*(missing)?\s*(\?)*$""), """", PROPER(SUBSTITUTE(SUBSTITUTE(G926, ""?"", """"), ""*"", """")))"),"Red White Scarf Hot Water Bottle")</f>
        <v>Red White Scarf Hot Water Bottle</v>
      </c>
      <c r="I926" s="3">
        <v>2.0</v>
      </c>
      <c r="J926" s="7">
        <v>40513.524305555555</v>
      </c>
      <c r="K926" s="8" t="str">
        <f t="shared" si="4"/>
        <v>2010-12</v>
      </c>
      <c r="L926" s="5">
        <v>3.95</v>
      </c>
      <c r="M926" s="3">
        <v>17377.0</v>
      </c>
      <c r="N926" s="1" t="str">
        <f t="shared" si="5"/>
        <v>Registered</v>
      </c>
      <c r="O926" s="1" t="s">
        <v>19</v>
      </c>
      <c r="P926" s="9" t="str">
        <f t="shared" si="6"/>
        <v>UK</v>
      </c>
      <c r="Q926" s="8">
        <f t="shared" si="7"/>
        <v>7.9</v>
      </c>
    </row>
    <row r="927">
      <c r="A927" s="1">
        <v>536500.0</v>
      </c>
      <c r="B927" s="1" t="str">
        <f t="shared" si="1"/>
        <v>536500</v>
      </c>
      <c r="C927" s="1" t="str">
        <f t="shared" si="2"/>
        <v>Sale</v>
      </c>
      <c r="D927" s="1">
        <v>22900.0</v>
      </c>
      <c r="E927" s="1" t="str">
        <f>IFERROR(__xludf.DUMMYFUNCTION("IF(LEN(D927)&gt;4, IFERROR(REGEXEXTRACT(TO_TEXT(D927),""\d+""),""""),"""")"),"22900")</f>
        <v>22900</v>
      </c>
      <c r="F927" s="6" t="str">
        <f t="shared" si="3"/>
        <v>Product</v>
      </c>
      <c r="G927" s="1" t="s">
        <v>63</v>
      </c>
      <c r="H927" s="6" t="str">
        <f>IFERROR(__xludf.DUMMYFUNCTION("IF(REGEXMATCH(LOWER(G927), ""^(\?)+\s*(missing)?\s*(\?)*$""), """", PROPER(SUBSTITUTE(SUBSTITUTE(G927, ""?"", """"), ""*"", """")))"),"Set 2 Tea Towels I Love London")</f>
        <v>Set 2 Tea Towels I Love London</v>
      </c>
      <c r="I927" s="3">
        <v>7.0</v>
      </c>
      <c r="J927" s="7">
        <v>40513.524305555555</v>
      </c>
      <c r="K927" s="8" t="str">
        <f t="shared" si="4"/>
        <v>2010-12</v>
      </c>
      <c r="L927" s="5">
        <v>2.95</v>
      </c>
      <c r="M927" s="3">
        <v>17377.0</v>
      </c>
      <c r="N927" s="1" t="str">
        <f t="shared" si="5"/>
        <v>Registered</v>
      </c>
      <c r="O927" s="1" t="s">
        <v>19</v>
      </c>
      <c r="P927" s="9" t="str">
        <f t="shared" si="6"/>
        <v>UK</v>
      </c>
      <c r="Q927" s="8">
        <f t="shared" si="7"/>
        <v>20.65</v>
      </c>
    </row>
    <row r="928">
      <c r="A928" s="1">
        <v>536500.0</v>
      </c>
      <c r="B928" s="1" t="str">
        <f t="shared" si="1"/>
        <v>536500</v>
      </c>
      <c r="C928" s="1" t="str">
        <f t="shared" si="2"/>
        <v>Sale</v>
      </c>
      <c r="D928" s="1">
        <v>22895.0</v>
      </c>
      <c r="E928" s="1" t="str">
        <f>IFERROR(__xludf.DUMMYFUNCTION("IF(LEN(D928)&gt;4, IFERROR(REGEXEXTRACT(TO_TEXT(D928),""\d+""),""""),"""")"),"22895")</f>
        <v>22895</v>
      </c>
      <c r="F928" s="6" t="str">
        <f t="shared" si="3"/>
        <v>Product</v>
      </c>
      <c r="G928" s="1" t="s">
        <v>643</v>
      </c>
      <c r="H928" s="6" t="str">
        <f>IFERROR(__xludf.DUMMYFUNCTION("IF(REGEXMATCH(LOWER(G928), ""^(\?)+\s*(missing)?\s*(\?)*$""), """", PROPER(SUBSTITUTE(SUBSTITUTE(G928, ""?"", """"), ""*"", """")))"),"Set Of 2 Tea Towels Apple And Pears")</f>
        <v>Set Of 2 Tea Towels Apple And Pears</v>
      </c>
      <c r="I928" s="3">
        <v>3.0</v>
      </c>
      <c r="J928" s="7">
        <v>40513.524305555555</v>
      </c>
      <c r="K928" s="8" t="str">
        <f t="shared" si="4"/>
        <v>2010-12</v>
      </c>
      <c r="L928" s="5">
        <v>2.95</v>
      </c>
      <c r="M928" s="3">
        <v>17377.0</v>
      </c>
      <c r="N928" s="1" t="str">
        <f t="shared" si="5"/>
        <v>Registered</v>
      </c>
      <c r="O928" s="1" t="s">
        <v>19</v>
      </c>
      <c r="P928" s="9" t="str">
        <f t="shared" si="6"/>
        <v>UK</v>
      </c>
      <c r="Q928" s="8">
        <f t="shared" si="7"/>
        <v>8.85</v>
      </c>
    </row>
    <row r="929">
      <c r="A929" s="1">
        <v>536500.0</v>
      </c>
      <c r="B929" s="1" t="str">
        <f t="shared" si="1"/>
        <v>536500</v>
      </c>
      <c r="C929" s="1" t="str">
        <f t="shared" si="2"/>
        <v>Sale</v>
      </c>
      <c r="D929" s="1">
        <v>21035.0</v>
      </c>
      <c r="E929" s="1" t="str">
        <f>IFERROR(__xludf.DUMMYFUNCTION("IF(LEN(D929)&gt;4, IFERROR(REGEXEXTRACT(TO_TEXT(D929),""\d+""),""""),"""")"),"21035")</f>
        <v>21035</v>
      </c>
      <c r="F929" s="6" t="str">
        <f t="shared" si="3"/>
        <v>Product</v>
      </c>
      <c r="G929" s="1" t="s">
        <v>56</v>
      </c>
      <c r="H929" s="6" t="str">
        <f>IFERROR(__xludf.DUMMYFUNCTION("IF(REGEXMATCH(LOWER(G929), ""^(\?)+\s*(missing)?\s*(\?)*$""), """", PROPER(SUBSTITUTE(SUBSTITUTE(G929, ""?"", """"), ""*"", """")))"),"Set/2 Red Retrospot Tea Towels")</f>
        <v>Set/2 Red Retrospot Tea Towels</v>
      </c>
      <c r="I929" s="3">
        <v>3.0</v>
      </c>
      <c r="J929" s="7">
        <v>40513.524305555555</v>
      </c>
      <c r="K929" s="8" t="str">
        <f t="shared" si="4"/>
        <v>2010-12</v>
      </c>
      <c r="L929" s="5">
        <v>2.95</v>
      </c>
      <c r="M929" s="3">
        <v>17377.0</v>
      </c>
      <c r="N929" s="1" t="str">
        <f t="shared" si="5"/>
        <v>Registered</v>
      </c>
      <c r="O929" s="1" t="s">
        <v>19</v>
      </c>
      <c r="P929" s="9" t="str">
        <f t="shared" si="6"/>
        <v>UK</v>
      </c>
      <c r="Q929" s="8">
        <f t="shared" si="7"/>
        <v>8.85</v>
      </c>
    </row>
    <row r="930">
      <c r="A930" s="1">
        <v>536500.0</v>
      </c>
      <c r="B930" s="1" t="str">
        <f t="shared" si="1"/>
        <v>536500</v>
      </c>
      <c r="C930" s="1" t="str">
        <f t="shared" si="2"/>
        <v>Sale</v>
      </c>
      <c r="D930" s="1">
        <v>21755.0</v>
      </c>
      <c r="E930" s="1" t="str">
        <f>IFERROR(__xludf.DUMMYFUNCTION("IF(LEN(D930)&gt;4, IFERROR(REGEXEXTRACT(TO_TEXT(D930),""\d+""),""""),"""")"),"21755")</f>
        <v>21755</v>
      </c>
      <c r="F930" s="6" t="str">
        <f t="shared" si="3"/>
        <v>Product</v>
      </c>
      <c r="G930" s="1" t="s">
        <v>40</v>
      </c>
      <c r="H930" s="6" t="str">
        <f>IFERROR(__xludf.DUMMYFUNCTION("IF(REGEXMATCH(LOWER(G930), ""^(\?)+\s*(missing)?\s*(\?)*$""), """", PROPER(SUBSTITUTE(SUBSTITUTE(G930, ""?"", """"), ""*"", """")))"),"Love Building Block Word")</f>
        <v>Love Building Block Word</v>
      </c>
      <c r="I930" s="3">
        <v>6.0</v>
      </c>
      <c r="J930" s="7">
        <v>40513.524305555555</v>
      </c>
      <c r="K930" s="8" t="str">
        <f t="shared" si="4"/>
        <v>2010-12</v>
      </c>
      <c r="L930" s="5">
        <v>5.95</v>
      </c>
      <c r="M930" s="3">
        <v>17377.0</v>
      </c>
      <c r="N930" s="1" t="str">
        <f t="shared" si="5"/>
        <v>Registered</v>
      </c>
      <c r="O930" s="1" t="s">
        <v>19</v>
      </c>
      <c r="P930" s="9" t="str">
        <f t="shared" si="6"/>
        <v>UK</v>
      </c>
      <c r="Q930" s="8">
        <f t="shared" si="7"/>
        <v>35.7</v>
      </c>
    </row>
    <row r="931">
      <c r="A931" s="1">
        <v>536500.0</v>
      </c>
      <c r="B931" s="1" t="str">
        <f t="shared" si="1"/>
        <v>536500</v>
      </c>
      <c r="C931" s="1" t="str">
        <f t="shared" si="2"/>
        <v>Sale</v>
      </c>
      <c r="D931" s="1">
        <v>21754.0</v>
      </c>
      <c r="E931" s="1" t="str">
        <f>IFERROR(__xludf.DUMMYFUNCTION("IF(LEN(D931)&gt;4, IFERROR(REGEXEXTRACT(TO_TEXT(D931),""\d+""),""""),"""")"),"21754")</f>
        <v>21754</v>
      </c>
      <c r="F931" s="6" t="str">
        <f t="shared" si="3"/>
        <v>Product</v>
      </c>
      <c r="G931" s="1" t="s">
        <v>39</v>
      </c>
      <c r="H931" s="6" t="str">
        <f>IFERROR(__xludf.DUMMYFUNCTION("IF(REGEXMATCH(LOWER(G931), ""^(\?)+\s*(missing)?\s*(\?)*$""), """", PROPER(SUBSTITUTE(SUBSTITUTE(G931, ""?"", """"), ""*"", """")))"),"Home Building Block Word")</f>
        <v>Home Building Block Word</v>
      </c>
      <c r="I931" s="3">
        <v>6.0</v>
      </c>
      <c r="J931" s="7">
        <v>40513.524305555555</v>
      </c>
      <c r="K931" s="8" t="str">
        <f t="shared" si="4"/>
        <v>2010-12</v>
      </c>
      <c r="L931" s="5">
        <v>5.95</v>
      </c>
      <c r="M931" s="3">
        <v>17377.0</v>
      </c>
      <c r="N931" s="1" t="str">
        <f t="shared" si="5"/>
        <v>Registered</v>
      </c>
      <c r="O931" s="1" t="s">
        <v>19</v>
      </c>
      <c r="P931" s="9" t="str">
        <f t="shared" si="6"/>
        <v>UK</v>
      </c>
      <c r="Q931" s="8">
        <f t="shared" si="7"/>
        <v>35.7</v>
      </c>
    </row>
    <row r="932">
      <c r="A932" s="1">
        <v>536502.0</v>
      </c>
      <c r="B932" s="1" t="str">
        <f t="shared" si="1"/>
        <v>536502</v>
      </c>
      <c r="C932" s="1" t="str">
        <f t="shared" si="2"/>
        <v>Sale</v>
      </c>
      <c r="D932" s="1">
        <v>84879.0</v>
      </c>
      <c r="E932" s="1" t="str">
        <f>IFERROR(__xludf.DUMMYFUNCTION("IF(LEN(D932)&gt;4, IFERROR(REGEXEXTRACT(TO_TEXT(D932),""\d+""),""""),"""")"),"84879")</f>
        <v>84879</v>
      </c>
      <c r="F932" s="6" t="str">
        <f t="shared" si="3"/>
        <v>Product</v>
      </c>
      <c r="G932" s="1" t="s">
        <v>31</v>
      </c>
      <c r="H932" s="6" t="str">
        <f>IFERROR(__xludf.DUMMYFUNCTION("IF(REGEXMATCH(LOWER(G932), ""^(\?)+\s*(missing)?\s*(\?)*$""), """", PROPER(SUBSTITUTE(SUBSTITUTE(G932, ""?"", """"), ""*"", """")))"),"Assorted Colour Bird Ornament")</f>
        <v>Assorted Colour Bird Ornament</v>
      </c>
      <c r="I932" s="3">
        <v>16.0</v>
      </c>
      <c r="J932" s="7">
        <v>40513.525</v>
      </c>
      <c r="K932" s="8" t="str">
        <f t="shared" si="4"/>
        <v>2010-12</v>
      </c>
      <c r="L932" s="5">
        <v>1.69</v>
      </c>
      <c r="M932" s="3">
        <v>16552.0</v>
      </c>
      <c r="N932" s="1" t="str">
        <f t="shared" si="5"/>
        <v>Registered</v>
      </c>
      <c r="O932" s="1" t="s">
        <v>19</v>
      </c>
      <c r="P932" s="9" t="str">
        <f t="shared" si="6"/>
        <v>UK</v>
      </c>
      <c r="Q932" s="8">
        <f t="shared" si="7"/>
        <v>27.04</v>
      </c>
    </row>
    <row r="933">
      <c r="A933" s="1">
        <v>536502.0</v>
      </c>
      <c r="B933" s="1" t="str">
        <f t="shared" si="1"/>
        <v>536502</v>
      </c>
      <c r="C933" s="1" t="str">
        <f t="shared" si="2"/>
        <v>Sale</v>
      </c>
      <c r="D933" s="1">
        <v>22784.0</v>
      </c>
      <c r="E933" s="1" t="str">
        <f>IFERROR(__xludf.DUMMYFUNCTION("IF(LEN(D933)&gt;4, IFERROR(REGEXEXTRACT(TO_TEXT(D933),""\d+""),""""),"""")"),"22784")</f>
        <v>22784</v>
      </c>
      <c r="F933" s="6" t="str">
        <f t="shared" si="3"/>
        <v>Product</v>
      </c>
      <c r="G933" s="1" t="s">
        <v>644</v>
      </c>
      <c r="H933" s="6" t="str">
        <f>IFERROR(__xludf.DUMMYFUNCTION("IF(REGEXMATCH(LOWER(G933), ""^(\?)+\s*(missing)?\s*(\?)*$""), """", PROPER(SUBSTITUTE(SUBSTITUTE(G933, ""?"", """"), ""*"", """")))"),"Lantern Cream Gazebo")</f>
        <v>Lantern Cream Gazebo</v>
      </c>
      <c r="I933" s="3">
        <v>3.0</v>
      </c>
      <c r="J933" s="7">
        <v>40513.525</v>
      </c>
      <c r="K933" s="8" t="str">
        <f t="shared" si="4"/>
        <v>2010-12</v>
      </c>
      <c r="L933" s="5">
        <v>4.95</v>
      </c>
      <c r="M933" s="3">
        <v>16552.0</v>
      </c>
      <c r="N933" s="1" t="str">
        <f t="shared" si="5"/>
        <v>Registered</v>
      </c>
      <c r="O933" s="1" t="s">
        <v>19</v>
      </c>
      <c r="P933" s="9" t="str">
        <f t="shared" si="6"/>
        <v>UK</v>
      </c>
      <c r="Q933" s="8">
        <f t="shared" si="7"/>
        <v>14.85</v>
      </c>
    </row>
    <row r="934">
      <c r="A934" s="1">
        <v>536502.0</v>
      </c>
      <c r="B934" s="1" t="str">
        <f t="shared" si="1"/>
        <v>536502</v>
      </c>
      <c r="C934" s="1" t="str">
        <f t="shared" si="2"/>
        <v>Sale</v>
      </c>
      <c r="D934" s="1">
        <v>21441.0</v>
      </c>
      <c r="E934" s="1" t="str">
        <f>IFERROR(__xludf.DUMMYFUNCTION("IF(LEN(D934)&gt;4, IFERROR(REGEXEXTRACT(TO_TEXT(D934),""\d+""),""""),"""")"),"21441")</f>
        <v>21441</v>
      </c>
      <c r="F934" s="6" t="str">
        <f t="shared" si="3"/>
        <v>Product</v>
      </c>
      <c r="G934" s="1" t="s">
        <v>645</v>
      </c>
      <c r="H934" s="6" t="str">
        <f>IFERROR(__xludf.DUMMYFUNCTION("IF(REGEXMATCH(LOWER(G934), ""^(\?)+\s*(missing)?\s*(\?)*$""), """", PROPER(SUBSTITUTE(SUBSTITUTE(G934, ""?"", """"), ""*"", """")))"),"Blue Birdhouse Decoration")</f>
        <v>Blue Birdhouse Decoration</v>
      </c>
      <c r="I934" s="3">
        <v>12.0</v>
      </c>
      <c r="J934" s="7">
        <v>40513.525</v>
      </c>
      <c r="K934" s="8" t="str">
        <f t="shared" si="4"/>
        <v>2010-12</v>
      </c>
      <c r="L934" s="5">
        <v>0.85</v>
      </c>
      <c r="M934" s="3">
        <v>16552.0</v>
      </c>
      <c r="N934" s="1" t="str">
        <f t="shared" si="5"/>
        <v>Registered</v>
      </c>
      <c r="O934" s="1" t="s">
        <v>19</v>
      </c>
      <c r="P934" s="9" t="str">
        <f t="shared" si="6"/>
        <v>UK</v>
      </c>
      <c r="Q934" s="8">
        <f t="shared" si="7"/>
        <v>10.2</v>
      </c>
    </row>
    <row r="935">
      <c r="A935" s="1">
        <v>536502.0</v>
      </c>
      <c r="B935" s="1" t="str">
        <f t="shared" si="1"/>
        <v>536502</v>
      </c>
      <c r="C935" s="1" t="str">
        <f t="shared" si="2"/>
        <v>Sale</v>
      </c>
      <c r="D935" s="1" t="s">
        <v>17</v>
      </c>
      <c r="E935" s="1" t="str">
        <f>IFERROR(__xludf.DUMMYFUNCTION("IF(LEN(D935)&gt;4, IFERROR(REGEXEXTRACT(TO_TEXT(D935),""\d+""),""""),"""")"),"85123")</f>
        <v>85123</v>
      </c>
      <c r="F935" s="6" t="str">
        <f t="shared" si="3"/>
        <v>Product</v>
      </c>
      <c r="G935" s="1" t="s">
        <v>18</v>
      </c>
      <c r="H935" s="6" t="str">
        <f>IFERROR(__xludf.DUMMYFUNCTION("IF(REGEXMATCH(LOWER(G935), ""^(\?)+\s*(missing)?\s*(\?)*$""), """", PROPER(SUBSTITUTE(SUBSTITUTE(G935, ""?"", """"), ""*"", """")))"),"White Hanging Heart T-Light Holder")</f>
        <v>White Hanging Heart T-Light Holder</v>
      </c>
      <c r="I935" s="3">
        <v>6.0</v>
      </c>
      <c r="J935" s="7">
        <v>40513.525</v>
      </c>
      <c r="K935" s="8" t="str">
        <f t="shared" si="4"/>
        <v>2010-12</v>
      </c>
      <c r="L935" s="5">
        <v>2.95</v>
      </c>
      <c r="M935" s="3">
        <v>16552.0</v>
      </c>
      <c r="N935" s="1" t="str">
        <f t="shared" si="5"/>
        <v>Registered</v>
      </c>
      <c r="O935" s="1" t="s">
        <v>19</v>
      </c>
      <c r="P935" s="9" t="str">
        <f t="shared" si="6"/>
        <v>UK</v>
      </c>
      <c r="Q935" s="8">
        <f t="shared" si="7"/>
        <v>17.7</v>
      </c>
    </row>
    <row r="936">
      <c r="A936" s="1">
        <v>536502.0</v>
      </c>
      <c r="B936" s="1" t="str">
        <f t="shared" si="1"/>
        <v>536502</v>
      </c>
      <c r="C936" s="1" t="str">
        <f t="shared" si="2"/>
        <v>Sale</v>
      </c>
      <c r="D936" s="1">
        <v>22423.0</v>
      </c>
      <c r="E936" s="1" t="str">
        <f>IFERROR(__xludf.DUMMYFUNCTION("IF(LEN(D936)&gt;4, IFERROR(REGEXEXTRACT(TO_TEXT(D936),""\d+""),""""),"""")"),"22423")</f>
        <v>22423</v>
      </c>
      <c r="F936" s="6" t="str">
        <f t="shared" si="3"/>
        <v>Product</v>
      </c>
      <c r="G936" s="1" t="s">
        <v>619</v>
      </c>
      <c r="H936" s="6" t="str">
        <f>IFERROR(__xludf.DUMMYFUNCTION("IF(REGEXMATCH(LOWER(G936), ""^(\?)+\s*(missing)?\s*(\?)*$""), """", PROPER(SUBSTITUTE(SUBSTITUTE(G936, ""?"", """"), ""*"", """")))"),"Regency Cakestand 3 Tier")</f>
        <v>Regency Cakestand 3 Tier</v>
      </c>
      <c r="I936" s="3">
        <v>2.0</v>
      </c>
      <c r="J936" s="7">
        <v>40513.525</v>
      </c>
      <c r="K936" s="8" t="str">
        <f t="shared" si="4"/>
        <v>2010-12</v>
      </c>
      <c r="L936" s="5">
        <v>12.75</v>
      </c>
      <c r="M936" s="3">
        <v>16552.0</v>
      </c>
      <c r="N936" s="1" t="str">
        <f t="shared" si="5"/>
        <v>Registered</v>
      </c>
      <c r="O936" s="1" t="s">
        <v>19</v>
      </c>
      <c r="P936" s="9" t="str">
        <f t="shared" si="6"/>
        <v>UK</v>
      </c>
      <c r="Q936" s="8">
        <f t="shared" si="7"/>
        <v>25.5</v>
      </c>
    </row>
    <row r="937">
      <c r="A937" s="1">
        <v>536508.0</v>
      </c>
      <c r="B937" s="1" t="str">
        <f t="shared" si="1"/>
        <v>536508</v>
      </c>
      <c r="C937" s="1" t="str">
        <f t="shared" si="2"/>
        <v>Sale</v>
      </c>
      <c r="D937" s="1">
        <v>84947.0</v>
      </c>
      <c r="E937" s="1" t="str">
        <f>IFERROR(__xludf.DUMMYFUNCTION("IF(LEN(D937)&gt;4, IFERROR(REGEXEXTRACT(TO_TEXT(D937),""\d+""),""""),"""")"),"84947")</f>
        <v>84947</v>
      </c>
      <c r="F937" s="6" t="str">
        <f t="shared" si="3"/>
        <v>Product</v>
      </c>
      <c r="G937" s="1" t="s">
        <v>646</v>
      </c>
      <c r="H937" s="6" t="str">
        <f>IFERROR(__xludf.DUMMYFUNCTION("IF(REGEXMATCH(LOWER(G937), ""^(\?)+\s*(missing)?\s*(\?)*$""), """", PROPER(SUBSTITUTE(SUBSTITUTE(G937, ""?"", """"), ""*"", """")))"),"Antique Silver Tea Glass Engraved")</f>
        <v>Antique Silver Tea Glass Engraved</v>
      </c>
      <c r="I937" s="3">
        <v>72.0</v>
      </c>
      <c r="J937" s="7">
        <v>40513.52638888889</v>
      </c>
      <c r="K937" s="8" t="str">
        <f t="shared" si="4"/>
        <v>2010-12</v>
      </c>
      <c r="L937" s="5">
        <v>1.06</v>
      </c>
      <c r="M937" s="3">
        <v>17181.0</v>
      </c>
      <c r="N937" s="1" t="str">
        <f t="shared" si="5"/>
        <v>Registered</v>
      </c>
      <c r="O937" s="1" t="s">
        <v>19</v>
      </c>
      <c r="P937" s="9" t="str">
        <f t="shared" si="6"/>
        <v>UK</v>
      </c>
      <c r="Q937" s="8">
        <f t="shared" si="7"/>
        <v>76.32</v>
      </c>
    </row>
    <row r="938">
      <c r="A938" s="1">
        <v>536508.0</v>
      </c>
      <c r="B938" s="1" t="str">
        <f t="shared" si="1"/>
        <v>536508</v>
      </c>
      <c r="C938" s="1" t="str">
        <f t="shared" si="2"/>
        <v>Sale</v>
      </c>
      <c r="D938" s="1">
        <v>21326.0</v>
      </c>
      <c r="E938" s="1" t="str">
        <f>IFERROR(__xludf.DUMMYFUNCTION("IF(LEN(D938)&gt;4, IFERROR(REGEXEXTRACT(TO_TEXT(D938),""\d+""),""""),"""")"),"21326")</f>
        <v>21326</v>
      </c>
      <c r="F938" s="6" t="str">
        <f t="shared" si="3"/>
        <v>Product</v>
      </c>
      <c r="G938" s="1" t="s">
        <v>420</v>
      </c>
      <c r="H938" s="6" t="str">
        <f>IFERROR(__xludf.DUMMYFUNCTION("IF(REGEXMATCH(LOWER(G938), ""^(\?)+\s*(missing)?\s*(\?)*$""), """", PROPER(SUBSTITUTE(SUBSTITUTE(G938, ""?"", """"), ""*"", """")))"),"Aged Glass Silver T-Light Holder")</f>
        <v>Aged Glass Silver T-Light Holder</v>
      </c>
      <c r="I938" s="3">
        <v>144.0</v>
      </c>
      <c r="J938" s="7">
        <v>40513.52638888889</v>
      </c>
      <c r="K938" s="8" t="str">
        <f t="shared" si="4"/>
        <v>2010-12</v>
      </c>
      <c r="L938" s="5">
        <v>0.55</v>
      </c>
      <c r="M938" s="3">
        <v>17181.0</v>
      </c>
      <c r="N938" s="1" t="str">
        <f t="shared" si="5"/>
        <v>Registered</v>
      </c>
      <c r="O938" s="1" t="s">
        <v>19</v>
      </c>
      <c r="P938" s="9" t="str">
        <f t="shared" si="6"/>
        <v>UK</v>
      </c>
      <c r="Q938" s="8">
        <f t="shared" si="7"/>
        <v>79.2</v>
      </c>
    </row>
    <row r="939">
      <c r="A939" s="1" t="s">
        <v>647</v>
      </c>
      <c r="B939" s="1" t="str">
        <f t="shared" si="1"/>
        <v>536506</v>
      </c>
      <c r="C939" s="1" t="str">
        <f t="shared" si="2"/>
        <v>Return</v>
      </c>
      <c r="D939" s="1">
        <v>22960.0</v>
      </c>
      <c r="E939" s="1" t="str">
        <f>IFERROR(__xludf.DUMMYFUNCTION("IF(LEN(D939)&gt;4, IFERROR(REGEXEXTRACT(TO_TEXT(D939),""\d+""),""""),"""")"),"22960")</f>
        <v>22960</v>
      </c>
      <c r="F939" s="6" t="str">
        <f t="shared" si="3"/>
        <v>Product</v>
      </c>
      <c r="G939" s="1" t="s">
        <v>43</v>
      </c>
      <c r="H939" s="6" t="str">
        <f>IFERROR(__xludf.DUMMYFUNCTION("IF(REGEXMATCH(LOWER(G939), ""^(\?)+\s*(missing)?\s*(\?)*$""), """", PROPER(SUBSTITUTE(SUBSTITUTE(G939, ""?"", """"), ""*"", """")))"),"Jam Making Set With Jars")</f>
        <v>Jam Making Set With Jars</v>
      </c>
      <c r="I939" s="3">
        <v>-6.0</v>
      </c>
      <c r="J939" s="7">
        <v>40513.52638888889</v>
      </c>
      <c r="K939" s="8" t="str">
        <f t="shared" si="4"/>
        <v>2010-12</v>
      </c>
      <c r="L939" s="5">
        <v>4.25</v>
      </c>
      <c r="M939" s="3">
        <v>17897.0</v>
      </c>
      <c r="N939" s="1" t="str">
        <f t="shared" si="5"/>
        <v>Registered</v>
      </c>
      <c r="O939" s="1" t="s">
        <v>19</v>
      </c>
      <c r="P939" s="9" t="str">
        <f t="shared" si="6"/>
        <v>UK</v>
      </c>
      <c r="Q939" s="8">
        <f t="shared" si="7"/>
        <v>-25.5</v>
      </c>
    </row>
    <row r="940">
      <c r="A940" s="1">
        <v>536514.0</v>
      </c>
      <c r="B940" s="1" t="str">
        <f t="shared" si="1"/>
        <v>536514</v>
      </c>
      <c r="C940" s="1" t="str">
        <f t="shared" si="2"/>
        <v>Sale</v>
      </c>
      <c r="D940" s="1">
        <v>22865.0</v>
      </c>
      <c r="E940" s="1" t="str">
        <f>IFERROR(__xludf.DUMMYFUNCTION("IF(LEN(D940)&gt;4, IFERROR(REGEXEXTRACT(TO_TEXT(D940),""\d+""),""""),"""")"),"22865")</f>
        <v>22865</v>
      </c>
      <c r="F940" s="6" t="str">
        <f t="shared" si="3"/>
        <v>Product</v>
      </c>
      <c r="G940" s="1" t="s">
        <v>247</v>
      </c>
      <c r="H940" s="6" t="str">
        <f>IFERROR(__xludf.DUMMYFUNCTION("IF(REGEXMATCH(LOWER(G940), ""^(\?)+\s*(missing)?\s*(\?)*$""), """", PROPER(SUBSTITUTE(SUBSTITUTE(G940, ""?"", """"), ""*"", """")))"),"Hand Warmer Owl Design")</f>
        <v>Hand Warmer Owl Design</v>
      </c>
      <c r="I940" s="3">
        <v>36.0</v>
      </c>
      <c r="J940" s="7">
        <v>40513.52777777778</v>
      </c>
      <c r="K940" s="8" t="str">
        <f t="shared" si="4"/>
        <v>2010-12</v>
      </c>
      <c r="L940" s="5">
        <v>2.1</v>
      </c>
      <c r="M940" s="3">
        <v>17951.0</v>
      </c>
      <c r="N940" s="1" t="str">
        <f t="shared" si="5"/>
        <v>Registered</v>
      </c>
      <c r="O940" s="1" t="s">
        <v>19</v>
      </c>
      <c r="P940" s="9" t="str">
        <f t="shared" si="6"/>
        <v>UK</v>
      </c>
      <c r="Q940" s="8">
        <f t="shared" si="7"/>
        <v>75.6</v>
      </c>
    </row>
    <row r="941">
      <c r="A941" s="1">
        <v>536514.0</v>
      </c>
      <c r="B941" s="1" t="str">
        <f t="shared" si="1"/>
        <v>536514</v>
      </c>
      <c r="C941" s="1" t="str">
        <f t="shared" si="2"/>
        <v>Sale</v>
      </c>
      <c r="D941" s="1">
        <v>22485.0</v>
      </c>
      <c r="E941" s="1" t="str">
        <f>IFERROR(__xludf.DUMMYFUNCTION("IF(LEN(D941)&gt;4, IFERROR(REGEXEXTRACT(TO_TEXT(D941),""\d+""),""""),"""")"),"22485")</f>
        <v>22485</v>
      </c>
      <c r="F941" s="6" t="str">
        <f t="shared" si="3"/>
        <v>Product</v>
      </c>
      <c r="G941" s="1" t="s">
        <v>648</v>
      </c>
      <c r="H941" s="6" t="str">
        <f>IFERROR(__xludf.DUMMYFUNCTION("IF(REGEXMATCH(LOWER(G941), ""^(\?)+\s*(missing)?\s*(\?)*$""), """", PROPER(SUBSTITUTE(SUBSTITUTE(G941, ""?"", """"), ""*"", """")))"),"Set Of 2 Wooden Market Crates")</f>
        <v>Set Of 2 Wooden Market Crates</v>
      </c>
      <c r="I941" s="3">
        <v>4.0</v>
      </c>
      <c r="J941" s="7">
        <v>40513.52777777778</v>
      </c>
      <c r="K941" s="8" t="str">
        <f t="shared" si="4"/>
        <v>2010-12</v>
      </c>
      <c r="L941" s="5">
        <v>12.75</v>
      </c>
      <c r="M941" s="3">
        <v>17951.0</v>
      </c>
      <c r="N941" s="1" t="str">
        <f t="shared" si="5"/>
        <v>Registered</v>
      </c>
      <c r="O941" s="1" t="s">
        <v>19</v>
      </c>
      <c r="P941" s="9" t="str">
        <f t="shared" si="6"/>
        <v>UK</v>
      </c>
      <c r="Q941" s="8">
        <f t="shared" si="7"/>
        <v>51</v>
      </c>
    </row>
    <row r="942">
      <c r="A942" s="1">
        <v>536514.0</v>
      </c>
      <c r="B942" s="1" t="str">
        <f t="shared" si="1"/>
        <v>536514</v>
      </c>
      <c r="C942" s="1" t="str">
        <f t="shared" si="2"/>
        <v>Sale</v>
      </c>
      <c r="D942" s="1">
        <v>22807.0</v>
      </c>
      <c r="E942" s="1" t="str">
        <f>IFERROR(__xludf.DUMMYFUNCTION("IF(LEN(D942)&gt;4, IFERROR(REGEXEXTRACT(TO_TEXT(D942),""\d+""),""""),"""")"),"22807")</f>
        <v>22807</v>
      </c>
      <c r="F942" s="6" t="str">
        <f t="shared" si="3"/>
        <v>Product</v>
      </c>
      <c r="G942" s="1" t="s">
        <v>507</v>
      </c>
      <c r="H942" s="6" t="str">
        <f>IFERROR(__xludf.DUMMYFUNCTION("IF(REGEXMATCH(LOWER(G942), ""^(\?)+\s*(missing)?\s*(\?)*$""), """", PROPER(SUBSTITUTE(SUBSTITUTE(G942, ""?"", """"), ""*"", """")))"),"Set Of 6 T-Lights Toadstools")</f>
        <v>Set Of 6 T-Lights Toadstools</v>
      </c>
      <c r="I942" s="3">
        <v>6.0</v>
      </c>
      <c r="J942" s="7">
        <v>40513.52777777778</v>
      </c>
      <c r="K942" s="8" t="str">
        <f t="shared" si="4"/>
        <v>2010-12</v>
      </c>
      <c r="L942" s="5">
        <v>2.95</v>
      </c>
      <c r="M942" s="3">
        <v>17951.0</v>
      </c>
      <c r="N942" s="1" t="str">
        <f t="shared" si="5"/>
        <v>Registered</v>
      </c>
      <c r="O942" s="1" t="s">
        <v>19</v>
      </c>
      <c r="P942" s="9" t="str">
        <f t="shared" si="6"/>
        <v>UK</v>
      </c>
      <c r="Q942" s="8">
        <f t="shared" si="7"/>
        <v>17.7</v>
      </c>
    </row>
    <row r="943">
      <c r="A943" s="1">
        <v>536514.0</v>
      </c>
      <c r="B943" s="1" t="str">
        <f t="shared" si="1"/>
        <v>536514</v>
      </c>
      <c r="C943" s="1" t="str">
        <f t="shared" si="2"/>
        <v>Sale</v>
      </c>
      <c r="D943" s="1">
        <v>22633.0</v>
      </c>
      <c r="E943" s="1" t="str">
        <f>IFERROR(__xludf.DUMMYFUNCTION("IF(LEN(D943)&gt;4, IFERROR(REGEXEXTRACT(TO_TEXT(D943),""\d+""),""""),"""")"),"22633")</f>
        <v>22633</v>
      </c>
      <c r="F943" s="6" t="str">
        <f t="shared" si="3"/>
        <v>Product</v>
      </c>
      <c r="G943" s="1" t="s">
        <v>29</v>
      </c>
      <c r="H943" s="6" t="str">
        <f>IFERROR(__xludf.DUMMYFUNCTION("IF(REGEXMATCH(LOWER(G943), ""^(\?)+\s*(missing)?\s*(\?)*$""), """", PROPER(SUBSTITUTE(SUBSTITUTE(G943, ""?"", """"), ""*"", """")))"),"Hand Warmer Union Jack")</f>
        <v>Hand Warmer Union Jack</v>
      </c>
      <c r="I943" s="3">
        <v>36.0</v>
      </c>
      <c r="J943" s="7">
        <v>40513.52777777778</v>
      </c>
      <c r="K943" s="8" t="str">
        <f t="shared" si="4"/>
        <v>2010-12</v>
      </c>
      <c r="L943" s="5">
        <v>2.1</v>
      </c>
      <c r="M943" s="3">
        <v>17951.0</v>
      </c>
      <c r="N943" s="1" t="str">
        <f t="shared" si="5"/>
        <v>Registered</v>
      </c>
      <c r="O943" s="1" t="s">
        <v>19</v>
      </c>
      <c r="P943" s="9" t="str">
        <f t="shared" si="6"/>
        <v>UK</v>
      </c>
      <c r="Q943" s="8">
        <f t="shared" si="7"/>
        <v>75.6</v>
      </c>
    </row>
    <row r="944">
      <c r="A944" s="1">
        <v>536514.0</v>
      </c>
      <c r="B944" s="1" t="str">
        <f t="shared" si="1"/>
        <v>536514</v>
      </c>
      <c r="C944" s="1" t="str">
        <f t="shared" si="2"/>
        <v>Sale</v>
      </c>
      <c r="D944" s="1">
        <v>22866.0</v>
      </c>
      <c r="E944" s="1" t="str">
        <f>IFERROR(__xludf.DUMMYFUNCTION("IF(LEN(D944)&gt;4, IFERROR(REGEXEXTRACT(TO_TEXT(D944),""\d+""),""""),"""")"),"22866")</f>
        <v>22866</v>
      </c>
      <c r="F944" s="6" t="str">
        <f t="shared" si="3"/>
        <v>Product</v>
      </c>
      <c r="G944" s="1" t="s">
        <v>246</v>
      </c>
      <c r="H944" s="6" t="str">
        <f>IFERROR(__xludf.DUMMYFUNCTION("IF(REGEXMATCH(LOWER(G944), ""^(\?)+\s*(missing)?\s*(\?)*$""), """", PROPER(SUBSTITUTE(SUBSTITUTE(G944, ""?"", """"), ""*"", """")))"),"Hand Warmer Scotty Dog Design")</f>
        <v>Hand Warmer Scotty Dog Design</v>
      </c>
      <c r="I944" s="3">
        <v>36.0</v>
      </c>
      <c r="J944" s="7">
        <v>40513.52777777778</v>
      </c>
      <c r="K944" s="8" t="str">
        <f t="shared" si="4"/>
        <v>2010-12</v>
      </c>
      <c r="L944" s="5">
        <v>2.1</v>
      </c>
      <c r="M944" s="3">
        <v>17951.0</v>
      </c>
      <c r="N944" s="1" t="str">
        <f t="shared" si="5"/>
        <v>Registered</v>
      </c>
      <c r="O944" s="1" t="s">
        <v>19</v>
      </c>
      <c r="P944" s="9" t="str">
        <f t="shared" si="6"/>
        <v>UK</v>
      </c>
      <c r="Q944" s="8">
        <f t="shared" si="7"/>
        <v>75.6</v>
      </c>
    </row>
    <row r="945">
      <c r="A945" s="1">
        <v>536520.0</v>
      </c>
      <c r="B945" s="1" t="str">
        <f t="shared" si="1"/>
        <v>536520</v>
      </c>
      <c r="C945" s="1" t="str">
        <f t="shared" si="2"/>
        <v>Sale</v>
      </c>
      <c r="D945" s="1">
        <v>21794.0</v>
      </c>
      <c r="E945" s="1" t="str">
        <f>IFERROR(__xludf.DUMMYFUNCTION("IF(LEN(D945)&gt;4, IFERROR(REGEXEXTRACT(TO_TEXT(D945),""\d+""),""""),"""")"),"21794")</f>
        <v>21794</v>
      </c>
      <c r="F945" s="6" t="str">
        <f t="shared" si="3"/>
        <v>Product</v>
      </c>
      <c r="G945" s="1" t="s">
        <v>649</v>
      </c>
      <c r="H945" s="6" t="str">
        <f>IFERROR(__xludf.DUMMYFUNCTION("IF(REGEXMATCH(LOWER(G945), ""^(\?)+\s*(missing)?\s*(\?)*$""), """", PROPER(SUBSTITUTE(SUBSTITUTE(G945, ""?"", """"), ""*"", """")))"),"Classic French Style Basket Natural")</f>
        <v>Classic French Style Basket Natural</v>
      </c>
      <c r="I945" s="3">
        <v>1.0</v>
      </c>
      <c r="J945" s="7">
        <v>40513.529861111114</v>
      </c>
      <c r="K945" s="8" t="str">
        <f t="shared" si="4"/>
        <v>2010-12</v>
      </c>
      <c r="L945" s="5">
        <v>6.75</v>
      </c>
      <c r="M945" s="3">
        <v>14729.0</v>
      </c>
      <c r="N945" s="1" t="str">
        <f t="shared" si="5"/>
        <v>Registered</v>
      </c>
      <c r="O945" s="1" t="s">
        <v>19</v>
      </c>
      <c r="P945" s="9" t="str">
        <f t="shared" si="6"/>
        <v>UK</v>
      </c>
      <c r="Q945" s="8">
        <f t="shared" si="7"/>
        <v>6.75</v>
      </c>
    </row>
    <row r="946">
      <c r="A946" s="1">
        <v>536520.0</v>
      </c>
      <c r="B946" s="1" t="str">
        <f t="shared" si="1"/>
        <v>536520</v>
      </c>
      <c r="C946" s="1" t="str">
        <f t="shared" si="2"/>
        <v>Sale</v>
      </c>
      <c r="D946" s="1">
        <v>20707.0</v>
      </c>
      <c r="E946" s="1" t="str">
        <f>IFERROR(__xludf.DUMMYFUNCTION("IF(LEN(D946)&gt;4, IFERROR(REGEXEXTRACT(TO_TEXT(D946),""\d+""),""""),"""")"),"20707")</f>
        <v>20707</v>
      </c>
      <c r="F946" s="6" t="str">
        <f t="shared" si="3"/>
        <v>Product</v>
      </c>
      <c r="G946" s="1" t="s">
        <v>650</v>
      </c>
      <c r="H946" s="6" t="str">
        <f>IFERROR(__xludf.DUMMYFUNCTION("IF(REGEXMATCH(LOWER(G946), ""^(\?)+\s*(missing)?\s*(\?)*$""), """", PROPER(SUBSTITUTE(SUBSTITUTE(G946, ""?"", """"), ""*"", """")))"),"Crazy Daisy Heart Decoration")</f>
        <v>Crazy Daisy Heart Decoration</v>
      </c>
      <c r="I946" s="3">
        <v>1.0</v>
      </c>
      <c r="J946" s="7">
        <v>40513.529861111114</v>
      </c>
      <c r="K946" s="8" t="str">
        <f t="shared" si="4"/>
        <v>2010-12</v>
      </c>
      <c r="L946" s="5">
        <v>1.25</v>
      </c>
      <c r="M946" s="3">
        <v>14729.0</v>
      </c>
      <c r="N946" s="1" t="str">
        <f t="shared" si="5"/>
        <v>Registered</v>
      </c>
      <c r="O946" s="1" t="s">
        <v>19</v>
      </c>
      <c r="P946" s="9" t="str">
        <f t="shared" si="6"/>
        <v>UK</v>
      </c>
      <c r="Q946" s="8">
        <f t="shared" si="7"/>
        <v>1.25</v>
      </c>
    </row>
    <row r="947">
      <c r="A947" s="1">
        <v>536520.0</v>
      </c>
      <c r="B947" s="1" t="str">
        <f t="shared" si="1"/>
        <v>536520</v>
      </c>
      <c r="C947" s="1" t="str">
        <f t="shared" si="2"/>
        <v>Sale</v>
      </c>
      <c r="D947" s="1">
        <v>21175.0</v>
      </c>
      <c r="E947" s="1" t="str">
        <f>IFERROR(__xludf.DUMMYFUNCTION("IF(LEN(D947)&gt;4, IFERROR(REGEXEXTRACT(TO_TEXT(D947),""\d+""),""""),"""")"),"21175")</f>
        <v>21175</v>
      </c>
      <c r="F947" s="6" t="str">
        <f t="shared" si="3"/>
        <v>Product</v>
      </c>
      <c r="G947" s="1" t="s">
        <v>123</v>
      </c>
      <c r="H947" s="6" t="str">
        <f>IFERROR(__xludf.DUMMYFUNCTION("IF(REGEXMATCH(LOWER(G947), ""^(\?)+\s*(missing)?\s*(\?)*$""), """", PROPER(SUBSTITUTE(SUBSTITUTE(G947, ""?"", """"), ""*"", """")))"),"Gin + Tonic Diet Metal Sign")</f>
        <v>Gin + Tonic Diet Metal Sign</v>
      </c>
      <c r="I947" s="3">
        <v>1.0</v>
      </c>
      <c r="J947" s="7">
        <v>40513.529861111114</v>
      </c>
      <c r="K947" s="8" t="str">
        <f t="shared" si="4"/>
        <v>2010-12</v>
      </c>
      <c r="L947" s="5">
        <v>2.1</v>
      </c>
      <c r="M947" s="3">
        <v>14729.0</v>
      </c>
      <c r="N947" s="1" t="str">
        <f t="shared" si="5"/>
        <v>Registered</v>
      </c>
      <c r="O947" s="1" t="s">
        <v>19</v>
      </c>
      <c r="P947" s="9" t="str">
        <f t="shared" si="6"/>
        <v>UK</v>
      </c>
      <c r="Q947" s="8">
        <f t="shared" si="7"/>
        <v>2.1</v>
      </c>
    </row>
    <row r="948">
      <c r="A948" s="1">
        <v>536520.0</v>
      </c>
      <c r="B948" s="1" t="str">
        <f t="shared" si="1"/>
        <v>536520</v>
      </c>
      <c r="C948" s="1" t="str">
        <f t="shared" si="2"/>
        <v>Sale</v>
      </c>
      <c r="D948" s="1">
        <v>22926.0</v>
      </c>
      <c r="E948" s="1" t="str">
        <f>IFERROR(__xludf.DUMMYFUNCTION("IF(LEN(D948)&gt;4, IFERROR(REGEXEXTRACT(TO_TEXT(D948),""\d+""),""""),"""")"),"22926")</f>
        <v>22926</v>
      </c>
      <c r="F948" s="6" t="str">
        <f t="shared" si="3"/>
        <v>Product</v>
      </c>
      <c r="G948" s="1" t="s">
        <v>155</v>
      </c>
      <c r="H948" s="6" t="str">
        <f>IFERROR(__xludf.DUMMYFUNCTION("IF(REGEXMATCH(LOWER(G948), ""^(\?)+\s*(missing)?\s*(\?)*$""), """", PROPER(SUBSTITUTE(SUBSTITUTE(G948, ""?"", """"), ""*"", """")))"),"Ivory Giant Garden Thermometer")</f>
        <v>Ivory Giant Garden Thermometer</v>
      </c>
      <c r="I948" s="3">
        <v>1.0</v>
      </c>
      <c r="J948" s="7">
        <v>40513.529861111114</v>
      </c>
      <c r="K948" s="8" t="str">
        <f t="shared" si="4"/>
        <v>2010-12</v>
      </c>
      <c r="L948" s="5">
        <v>5.95</v>
      </c>
      <c r="M948" s="3">
        <v>14729.0</v>
      </c>
      <c r="N948" s="1" t="str">
        <f t="shared" si="5"/>
        <v>Registered</v>
      </c>
      <c r="O948" s="1" t="s">
        <v>19</v>
      </c>
      <c r="P948" s="9" t="str">
        <f t="shared" si="6"/>
        <v>UK</v>
      </c>
      <c r="Q948" s="8">
        <f t="shared" si="7"/>
        <v>5.95</v>
      </c>
    </row>
    <row r="949">
      <c r="A949" s="1">
        <v>536520.0</v>
      </c>
      <c r="B949" s="1" t="str">
        <f t="shared" si="1"/>
        <v>536520</v>
      </c>
      <c r="C949" s="1" t="str">
        <f t="shared" si="2"/>
        <v>Sale</v>
      </c>
      <c r="D949" s="1">
        <v>22588.0</v>
      </c>
      <c r="E949" s="1" t="str">
        <f>IFERROR(__xludf.DUMMYFUNCTION("IF(LEN(D949)&gt;4, IFERROR(REGEXEXTRACT(TO_TEXT(D949),""\d+""),""""),"""")"),"22588")</f>
        <v>22588</v>
      </c>
      <c r="F949" s="6" t="str">
        <f t="shared" si="3"/>
        <v>Product</v>
      </c>
      <c r="G949" s="1" t="s">
        <v>651</v>
      </c>
      <c r="H949" s="6" t="str">
        <f>IFERROR(__xludf.DUMMYFUNCTION("IF(REGEXMATCH(LOWER(G949), ""^(\?)+\s*(missing)?\s*(\?)*$""), """", PROPER(SUBSTITUTE(SUBSTITUTE(G949, ""?"", """"), ""*"", """")))"),"Card Holder Gingham Heart")</f>
        <v>Card Holder Gingham Heart</v>
      </c>
      <c r="I949" s="3">
        <v>2.0</v>
      </c>
      <c r="J949" s="7">
        <v>40513.529861111114</v>
      </c>
      <c r="K949" s="8" t="str">
        <f t="shared" si="4"/>
        <v>2010-12</v>
      </c>
      <c r="L949" s="5">
        <v>2.55</v>
      </c>
      <c r="M949" s="3">
        <v>14729.0</v>
      </c>
      <c r="N949" s="1" t="str">
        <f t="shared" si="5"/>
        <v>Registered</v>
      </c>
      <c r="O949" s="1" t="s">
        <v>19</v>
      </c>
      <c r="P949" s="9" t="str">
        <f t="shared" si="6"/>
        <v>UK</v>
      </c>
      <c r="Q949" s="8">
        <f t="shared" si="7"/>
        <v>5.1</v>
      </c>
    </row>
    <row r="950">
      <c r="A950" s="1">
        <v>536520.0</v>
      </c>
      <c r="B950" s="1" t="str">
        <f t="shared" si="1"/>
        <v>536520</v>
      </c>
      <c r="C950" s="1" t="str">
        <f t="shared" si="2"/>
        <v>Sale</v>
      </c>
      <c r="D950" s="1">
        <v>21292.0</v>
      </c>
      <c r="E950" s="1" t="str">
        <f>IFERROR(__xludf.DUMMYFUNCTION("IF(LEN(D950)&gt;4, IFERROR(REGEXEXTRACT(TO_TEXT(D950),""\d+""),""""),"""")"),"21292")</f>
        <v>21292</v>
      </c>
      <c r="F950" s="6" t="str">
        <f t="shared" si="3"/>
        <v>Product</v>
      </c>
      <c r="G950" s="1" t="s">
        <v>652</v>
      </c>
      <c r="H950" s="6" t="str">
        <f>IFERROR(__xludf.DUMMYFUNCTION("IF(REGEXMATCH(LOWER(G950), ""^(\?)+\s*(missing)?\s*(\?)*$""), """", PROPER(SUBSTITUTE(SUBSTITUTE(G950, ""?"", """"), ""*"", """")))"),"Small Stripes Chocolate Gift Bag")</f>
        <v>Small Stripes Chocolate Gift Bag</v>
      </c>
      <c r="I950" s="3">
        <v>16.0</v>
      </c>
      <c r="J950" s="7">
        <v>40513.529861111114</v>
      </c>
      <c r="K950" s="8" t="str">
        <f t="shared" si="4"/>
        <v>2010-12</v>
      </c>
      <c r="L950" s="5">
        <v>0.85</v>
      </c>
      <c r="M950" s="3">
        <v>14729.0</v>
      </c>
      <c r="N950" s="1" t="str">
        <f t="shared" si="5"/>
        <v>Registered</v>
      </c>
      <c r="O950" s="1" t="s">
        <v>19</v>
      </c>
      <c r="P950" s="9" t="str">
        <f t="shared" si="6"/>
        <v>UK</v>
      </c>
      <c r="Q950" s="8">
        <f t="shared" si="7"/>
        <v>13.6</v>
      </c>
    </row>
    <row r="951">
      <c r="A951" s="1">
        <v>536520.0</v>
      </c>
      <c r="B951" s="1" t="str">
        <f t="shared" si="1"/>
        <v>536520</v>
      </c>
      <c r="C951" s="1" t="str">
        <f t="shared" si="2"/>
        <v>Sale</v>
      </c>
      <c r="D951" s="1">
        <v>21890.0</v>
      </c>
      <c r="E951" s="1" t="str">
        <f>IFERROR(__xludf.DUMMYFUNCTION("IF(LEN(D951)&gt;4, IFERROR(REGEXEXTRACT(TO_TEXT(D951),""\d+""),""""),"""")"),"21890")</f>
        <v>21890</v>
      </c>
      <c r="F951" s="6" t="str">
        <f t="shared" si="3"/>
        <v>Product</v>
      </c>
      <c r="G951" s="1" t="s">
        <v>511</v>
      </c>
      <c r="H951" s="6" t="str">
        <f>IFERROR(__xludf.DUMMYFUNCTION("IF(REGEXMATCH(LOWER(G951), ""^(\?)+\s*(missing)?\s*(\?)*$""), """", PROPER(SUBSTITUTE(SUBSTITUTE(G951, ""?"", """"), ""*"", """")))"),"S/6 Wooden Skittles In Cotton Bag")</f>
        <v>S/6 Wooden Skittles In Cotton Bag</v>
      </c>
      <c r="I951" s="3">
        <v>1.0</v>
      </c>
      <c r="J951" s="7">
        <v>40513.529861111114</v>
      </c>
      <c r="K951" s="8" t="str">
        <f t="shared" si="4"/>
        <v>2010-12</v>
      </c>
      <c r="L951" s="5">
        <v>2.95</v>
      </c>
      <c r="M951" s="3">
        <v>14729.0</v>
      </c>
      <c r="N951" s="1" t="str">
        <f t="shared" si="5"/>
        <v>Registered</v>
      </c>
      <c r="O951" s="1" t="s">
        <v>19</v>
      </c>
      <c r="P951" s="9" t="str">
        <f t="shared" si="6"/>
        <v>UK</v>
      </c>
      <c r="Q951" s="8">
        <f t="shared" si="7"/>
        <v>2.95</v>
      </c>
    </row>
    <row r="952">
      <c r="A952" s="1">
        <v>536520.0</v>
      </c>
      <c r="B952" s="1" t="str">
        <f t="shared" si="1"/>
        <v>536520</v>
      </c>
      <c r="C952" s="1" t="str">
        <f t="shared" si="2"/>
        <v>Sale</v>
      </c>
      <c r="D952" s="1">
        <v>22632.0</v>
      </c>
      <c r="E952" s="1" t="str">
        <f>IFERROR(__xludf.DUMMYFUNCTION("IF(LEN(D952)&gt;4, IFERROR(REGEXEXTRACT(TO_TEXT(D952),""\d+""),""""),"""")"),"22632")</f>
        <v>22632</v>
      </c>
      <c r="F952" s="6" t="str">
        <f t="shared" si="3"/>
        <v>Product</v>
      </c>
      <c r="G952" s="1" t="s">
        <v>248</v>
      </c>
      <c r="H952" s="6" t="str">
        <f>IFERROR(__xludf.DUMMYFUNCTION("IF(REGEXMATCH(LOWER(G952), ""^(\?)+\s*(missing)?\s*(\?)*$""), """", PROPER(SUBSTITUTE(SUBSTITUTE(G952, ""?"", """"), ""*"", """")))"),"Hand Warmer Red Retrospot")</f>
        <v>Hand Warmer Red Retrospot</v>
      </c>
      <c r="I952" s="3">
        <v>4.0</v>
      </c>
      <c r="J952" s="7">
        <v>40513.529861111114</v>
      </c>
      <c r="K952" s="8" t="str">
        <f t="shared" si="4"/>
        <v>2010-12</v>
      </c>
      <c r="L952" s="5">
        <v>2.1</v>
      </c>
      <c r="M952" s="3">
        <v>14729.0</v>
      </c>
      <c r="N952" s="1" t="str">
        <f t="shared" si="5"/>
        <v>Registered</v>
      </c>
      <c r="O952" s="1" t="s">
        <v>19</v>
      </c>
      <c r="P952" s="9" t="str">
        <f t="shared" si="6"/>
        <v>UK</v>
      </c>
      <c r="Q952" s="8">
        <f t="shared" si="7"/>
        <v>8.4</v>
      </c>
    </row>
    <row r="953">
      <c r="A953" s="1">
        <v>536520.0</v>
      </c>
      <c r="B953" s="1" t="str">
        <f t="shared" si="1"/>
        <v>536520</v>
      </c>
      <c r="C953" s="1" t="str">
        <f t="shared" si="2"/>
        <v>Sale</v>
      </c>
      <c r="D953" s="1">
        <v>22633.0</v>
      </c>
      <c r="E953" s="1" t="str">
        <f>IFERROR(__xludf.DUMMYFUNCTION("IF(LEN(D953)&gt;4, IFERROR(REGEXEXTRACT(TO_TEXT(D953),""\d+""),""""),"""")"),"22633")</f>
        <v>22633</v>
      </c>
      <c r="F953" s="6" t="str">
        <f t="shared" si="3"/>
        <v>Product</v>
      </c>
      <c r="G953" s="1" t="s">
        <v>29</v>
      </c>
      <c r="H953" s="6" t="str">
        <f>IFERROR(__xludf.DUMMYFUNCTION("IF(REGEXMATCH(LOWER(G953), ""^(\?)+\s*(missing)?\s*(\?)*$""), """", PROPER(SUBSTITUTE(SUBSTITUTE(G953, ""?"", """"), ""*"", """")))"),"Hand Warmer Union Jack")</f>
        <v>Hand Warmer Union Jack</v>
      </c>
      <c r="I953" s="3">
        <v>3.0</v>
      </c>
      <c r="J953" s="7">
        <v>40513.529861111114</v>
      </c>
      <c r="K953" s="8" t="str">
        <f t="shared" si="4"/>
        <v>2010-12</v>
      </c>
      <c r="L953" s="5">
        <v>2.1</v>
      </c>
      <c r="M953" s="3">
        <v>14729.0</v>
      </c>
      <c r="N953" s="1" t="str">
        <f t="shared" si="5"/>
        <v>Registered</v>
      </c>
      <c r="O953" s="1" t="s">
        <v>19</v>
      </c>
      <c r="P953" s="9" t="str">
        <f t="shared" si="6"/>
        <v>UK</v>
      </c>
      <c r="Q953" s="8">
        <f t="shared" si="7"/>
        <v>6.3</v>
      </c>
    </row>
    <row r="954">
      <c r="A954" s="1">
        <v>536520.0</v>
      </c>
      <c r="B954" s="1" t="str">
        <f t="shared" si="1"/>
        <v>536520</v>
      </c>
      <c r="C954" s="1" t="str">
        <f t="shared" si="2"/>
        <v>Sale</v>
      </c>
      <c r="D954" s="1">
        <v>22670.0</v>
      </c>
      <c r="E954" s="1" t="str">
        <f>IFERROR(__xludf.DUMMYFUNCTION("IF(LEN(D954)&gt;4, IFERROR(REGEXEXTRACT(TO_TEXT(D954),""\d+""),""""),"""")"),"22670")</f>
        <v>22670</v>
      </c>
      <c r="F954" s="6" t="str">
        <f t="shared" si="3"/>
        <v>Product</v>
      </c>
      <c r="G954" s="1" t="s">
        <v>551</v>
      </c>
      <c r="H954" s="6" t="str">
        <f>IFERROR(__xludf.DUMMYFUNCTION("IF(REGEXMATCH(LOWER(G954), ""^(\?)+\s*(missing)?\s*(\?)*$""), """", PROPER(SUBSTITUTE(SUBSTITUTE(G954, ""?"", """"), ""*"", """")))"),"French Wc Sign Blue Metal")</f>
        <v>French Wc Sign Blue Metal</v>
      </c>
      <c r="I954" s="3">
        <v>1.0</v>
      </c>
      <c r="J954" s="7">
        <v>40513.529861111114</v>
      </c>
      <c r="K954" s="8" t="str">
        <f t="shared" si="4"/>
        <v>2010-12</v>
      </c>
      <c r="L954" s="5">
        <v>1.25</v>
      </c>
      <c r="M954" s="3">
        <v>14729.0</v>
      </c>
      <c r="N954" s="1" t="str">
        <f t="shared" si="5"/>
        <v>Registered</v>
      </c>
      <c r="O954" s="1" t="s">
        <v>19</v>
      </c>
      <c r="P954" s="9" t="str">
        <f t="shared" si="6"/>
        <v>UK</v>
      </c>
      <c r="Q954" s="8">
        <f t="shared" si="7"/>
        <v>1.25</v>
      </c>
    </row>
    <row r="955">
      <c r="A955" s="1">
        <v>536520.0</v>
      </c>
      <c r="B955" s="1" t="str">
        <f t="shared" si="1"/>
        <v>536520</v>
      </c>
      <c r="C955" s="1" t="str">
        <f t="shared" si="2"/>
        <v>Sale</v>
      </c>
      <c r="D955" s="1">
        <v>21867.0</v>
      </c>
      <c r="E955" s="1" t="str">
        <f>IFERROR(__xludf.DUMMYFUNCTION("IF(LEN(D955)&gt;4, IFERROR(REGEXEXTRACT(TO_TEXT(D955),""\d+""),""""),"""")"),"21867")</f>
        <v>21867</v>
      </c>
      <c r="F955" s="6" t="str">
        <f t="shared" si="3"/>
        <v>Product</v>
      </c>
      <c r="G955" s="1" t="s">
        <v>418</v>
      </c>
      <c r="H955" s="6" t="str">
        <f>IFERROR(__xludf.DUMMYFUNCTION("IF(REGEXMATCH(LOWER(G955), ""^(\?)+\s*(missing)?\s*(\?)*$""), """", PROPER(SUBSTITUTE(SUBSTITUTE(G955, ""?"", """"), ""*"", """")))"),"Pink Union Jack Luggage Tag")</f>
        <v>Pink Union Jack Luggage Tag</v>
      </c>
      <c r="I955" s="3">
        <v>1.0</v>
      </c>
      <c r="J955" s="7">
        <v>40513.529861111114</v>
      </c>
      <c r="K955" s="8" t="str">
        <f t="shared" si="4"/>
        <v>2010-12</v>
      </c>
      <c r="L955" s="5">
        <v>1.25</v>
      </c>
      <c r="M955" s="3">
        <v>14729.0</v>
      </c>
      <c r="N955" s="1" t="str">
        <f t="shared" si="5"/>
        <v>Registered</v>
      </c>
      <c r="O955" s="1" t="s">
        <v>19</v>
      </c>
      <c r="P955" s="9" t="str">
        <f t="shared" si="6"/>
        <v>UK</v>
      </c>
      <c r="Q955" s="8">
        <f t="shared" si="7"/>
        <v>1.25</v>
      </c>
    </row>
    <row r="956">
      <c r="A956" s="1">
        <v>536520.0</v>
      </c>
      <c r="B956" s="1" t="str">
        <f t="shared" si="1"/>
        <v>536520</v>
      </c>
      <c r="C956" s="1" t="str">
        <f t="shared" si="2"/>
        <v>Sale</v>
      </c>
      <c r="D956" s="1">
        <v>22760.0</v>
      </c>
      <c r="E956" s="1" t="str">
        <f>IFERROR(__xludf.DUMMYFUNCTION("IF(LEN(D956)&gt;4, IFERROR(REGEXEXTRACT(TO_TEXT(D956),""\d+""),""""),"""")"),"22760")</f>
        <v>22760</v>
      </c>
      <c r="F956" s="6" t="str">
        <f t="shared" si="3"/>
        <v>Product</v>
      </c>
      <c r="G956" s="1" t="s">
        <v>653</v>
      </c>
      <c r="H956" s="6" t="str">
        <f>IFERROR(__xludf.DUMMYFUNCTION("IF(REGEXMATCH(LOWER(G956), ""^(\?)+\s*(missing)?\s*(\?)*$""), """", PROPER(SUBSTITUTE(SUBSTITUTE(G956, ""?"", """"), ""*"", """")))"),"Tray, Breakfast In Bed")</f>
        <v>Tray, Breakfast In Bed</v>
      </c>
      <c r="I956" s="3">
        <v>1.0</v>
      </c>
      <c r="J956" s="7">
        <v>40513.529861111114</v>
      </c>
      <c r="K956" s="8" t="str">
        <f t="shared" si="4"/>
        <v>2010-12</v>
      </c>
      <c r="L956" s="5">
        <v>12.75</v>
      </c>
      <c r="M956" s="3">
        <v>14729.0</v>
      </c>
      <c r="N956" s="1" t="str">
        <f t="shared" si="5"/>
        <v>Registered</v>
      </c>
      <c r="O956" s="1" t="s">
        <v>19</v>
      </c>
      <c r="P956" s="9" t="str">
        <f t="shared" si="6"/>
        <v>UK</v>
      </c>
      <c r="Q956" s="8">
        <f t="shared" si="7"/>
        <v>12.75</v>
      </c>
    </row>
    <row r="957">
      <c r="A957" s="1">
        <v>536520.0</v>
      </c>
      <c r="B957" s="1" t="str">
        <f t="shared" si="1"/>
        <v>536520</v>
      </c>
      <c r="C957" s="1" t="str">
        <f t="shared" si="2"/>
        <v>Sale</v>
      </c>
      <c r="D957" s="1">
        <v>22107.0</v>
      </c>
      <c r="E957" s="1" t="str">
        <f>IFERROR(__xludf.DUMMYFUNCTION("IF(LEN(D957)&gt;4, IFERROR(REGEXEXTRACT(TO_TEXT(D957),""\d+""),""""),"""")"),"22107")</f>
        <v>22107</v>
      </c>
      <c r="F957" s="6" t="str">
        <f t="shared" si="3"/>
        <v>Product</v>
      </c>
      <c r="G957" s="1" t="s">
        <v>654</v>
      </c>
      <c r="H957" s="6" t="str">
        <f>IFERROR(__xludf.DUMMYFUNCTION("IF(REGEXMATCH(LOWER(G957), ""^(\?)+\s*(missing)?\s*(\?)*$""), """", PROPER(SUBSTITUTE(SUBSTITUTE(G957, ""?"", """"), ""*"", """")))"),"Pizza Plate In Box")</f>
        <v>Pizza Plate In Box</v>
      </c>
      <c r="I957" s="3">
        <v>2.0</v>
      </c>
      <c r="J957" s="7">
        <v>40513.529861111114</v>
      </c>
      <c r="K957" s="8" t="str">
        <f t="shared" si="4"/>
        <v>2010-12</v>
      </c>
      <c r="L957" s="5">
        <v>3.75</v>
      </c>
      <c r="M957" s="3">
        <v>14729.0</v>
      </c>
      <c r="N957" s="1" t="str">
        <f t="shared" si="5"/>
        <v>Registered</v>
      </c>
      <c r="O957" s="1" t="s">
        <v>19</v>
      </c>
      <c r="P957" s="9" t="str">
        <f t="shared" si="6"/>
        <v>UK</v>
      </c>
      <c r="Q957" s="8">
        <f t="shared" si="7"/>
        <v>7.5</v>
      </c>
    </row>
    <row r="958">
      <c r="A958" s="1">
        <v>536520.0</v>
      </c>
      <c r="B958" s="1" t="str">
        <f t="shared" si="1"/>
        <v>536520</v>
      </c>
      <c r="C958" s="1" t="str">
        <f t="shared" si="2"/>
        <v>Sale</v>
      </c>
      <c r="D958" s="1">
        <v>22470.0</v>
      </c>
      <c r="E958" s="1" t="str">
        <f>IFERROR(__xludf.DUMMYFUNCTION("IF(LEN(D958)&gt;4, IFERROR(REGEXEXTRACT(TO_TEXT(D958),""\d+""),""""),"""")"),"22470")</f>
        <v>22470</v>
      </c>
      <c r="F958" s="6" t="str">
        <f t="shared" si="3"/>
        <v>Product</v>
      </c>
      <c r="G958" s="1" t="s">
        <v>168</v>
      </c>
      <c r="H958" s="6" t="str">
        <f>IFERROR(__xludf.DUMMYFUNCTION("IF(REGEXMATCH(LOWER(G958), ""^(\?)+\s*(missing)?\s*(\?)*$""), """", PROPER(SUBSTITUTE(SUBSTITUTE(G958, ""?"", """"), ""*"", """")))"),"Heart Of Wicker Large")</f>
        <v>Heart Of Wicker Large</v>
      </c>
      <c r="I958" s="3">
        <v>1.0</v>
      </c>
      <c r="J958" s="7">
        <v>40513.529861111114</v>
      </c>
      <c r="K958" s="8" t="str">
        <f t="shared" si="4"/>
        <v>2010-12</v>
      </c>
      <c r="L958" s="5">
        <v>2.95</v>
      </c>
      <c r="M958" s="3">
        <v>14729.0</v>
      </c>
      <c r="N958" s="1" t="str">
        <f t="shared" si="5"/>
        <v>Registered</v>
      </c>
      <c r="O958" s="1" t="s">
        <v>19</v>
      </c>
      <c r="P958" s="9" t="str">
        <f t="shared" si="6"/>
        <v>UK</v>
      </c>
      <c r="Q958" s="8">
        <f t="shared" si="7"/>
        <v>2.95</v>
      </c>
    </row>
    <row r="959">
      <c r="A959" s="1">
        <v>536520.0</v>
      </c>
      <c r="B959" s="1" t="str">
        <f t="shared" si="1"/>
        <v>536520</v>
      </c>
      <c r="C959" s="1" t="str">
        <f t="shared" si="2"/>
        <v>Sale</v>
      </c>
      <c r="D959" s="1">
        <v>21486.0</v>
      </c>
      <c r="E959" s="1" t="str">
        <f>IFERROR(__xludf.DUMMYFUNCTION("IF(LEN(D959)&gt;4, IFERROR(REGEXEXTRACT(TO_TEXT(D959),""\d+""),""""),"""")"),"21486")</f>
        <v>21486</v>
      </c>
      <c r="F959" s="6" t="str">
        <f t="shared" si="3"/>
        <v>Product</v>
      </c>
      <c r="G959" s="1" t="s">
        <v>655</v>
      </c>
      <c r="H959" s="6" t="str">
        <f>IFERROR(__xludf.DUMMYFUNCTION("IF(REGEXMATCH(LOWER(G959), ""^(\?)+\s*(missing)?\s*(\?)*$""), """", PROPER(SUBSTITUTE(SUBSTITUTE(G959, ""?"", """"), ""*"", """")))"),"Pink Heart Dots Hot Water Bottle")</f>
        <v>Pink Heart Dots Hot Water Bottle</v>
      </c>
      <c r="I959" s="3">
        <v>1.0</v>
      </c>
      <c r="J959" s="7">
        <v>40513.529861111114</v>
      </c>
      <c r="K959" s="8" t="str">
        <f t="shared" si="4"/>
        <v>2010-12</v>
      </c>
      <c r="L959" s="5">
        <v>3.75</v>
      </c>
      <c r="M959" s="3">
        <v>14729.0</v>
      </c>
      <c r="N959" s="1" t="str">
        <f t="shared" si="5"/>
        <v>Registered</v>
      </c>
      <c r="O959" s="1" t="s">
        <v>19</v>
      </c>
      <c r="P959" s="9" t="str">
        <f t="shared" si="6"/>
        <v>UK</v>
      </c>
      <c r="Q959" s="8">
        <f t="shared" si="7"/>
        <v>3.75</v>
      </c>
    </row>
    <row r="960">
      <c r="A960" s="1">
        <v>536520.0</v>
      </c>
      <c r="B960" s="1" t="str">
        <f t="shared" si="1"/>
        <v>536520</v>
      </c>
      <c r="C960" s="1" t="str">
        <f t="shared" si="2"/>
        <v>Sale</v>
      </c>
      <c r="D960" s="1">
        <v>22151.0</v>
      </c>
      <c r="E960" s="1" t="str">
        <f>IFERROR(__xludf.DUMMYFUNCTION("IF(LEN(D960)&gt;4, IFERROR(REGEXEXTRACT(TO_TEXT(D960),""\d+""),""""),"""")"),"22151")</f>
        <v>22151</v>
      </c>
      <c r="F960" s="6" t="str">
        <f t="shared" si="3"/>
        <v>Product</v>
      </c>
      <c r="G960" s="1" t="s">
        <v>656</v>
      </c>
      <c r="H960" s="6" t="str">
        <f>IFERROR(__xludf.DUMMYFUNCTION("IF(REGEXMATCH(LOWER(G960), ""^(\?)+\s*(missing)?\s*(\?)*$""), """", PROPER(SUBSTITUTE(SUBSTITUTE(G960, ""?"", """"), ""*"", """")))"),"Place Setting White Heart")</f>
        <v>Place Setting White Heart</v>
      </c>
      <c r="I960" s="3">
        <v>14.0</v>
      </c>
      <c r="J960" s="7">
        <v>40513.529861111114</v>
      </c>
      <c r="K960" s="8" t="str">
        <f t="shared" si="4"/>
        <v>2010-12</v>
      </c>
      <c r="L960" s="5">
        <v>0.42</v>
      </c>
      <c r="M960" s="3">
        <v>14729.0</v>
      </c>
      <c r="N960" s="1" t="str">
        <f t="shared" si="5"/>
        <v>Registered</v>
      </c>
      <c r="O960" s="1" t="s">
        <v>19</v>
      </c>
      <c r="P960" s="9" t="str">
        <f t="shared" si="6"/>
        <v>UK</v>
      </c>
      <c r="Q960" s="8">
        <f t="shared" si="7"/>
        <v>5.88</v>
      </c>
    </row>
    <row r="961">
      <c r="A961" s="1">
        <v>536520.0</v>
      </c>
      <c r="B961" s="1" t="str">
        <f t="shared" si="1"/>
        <v>536520</v>
      </c>
      <c r="C961" s="1" t="str">
        <f t="shared" si="2"/>
        <v>Sale</v>
      </c>
      <c r="D961" s="1">
        <v>22643.0</v>
      </c>
      <c r="E961" s="1" t="str">
        <f>IFERROR(__xludf.DUMMYFUNCTION("IF(LEN(D961)&gt;4, IFERROR(REGEXEXTRACT(TO_TEXT(D961),""\d+""),""""),"""")"),"22643")</f>
        <v>22643</v>
      </c>
      <c r="F961" s="6" t="str">
        <f t="shared" si="3"/>
        <v>Product</v>
      </c>
      <c r="G961" s="1" t="s">
        <v>657</v>
      </c>
      <c r="H961" s="6" t="str">
        <f>IFERROR(__xludf.DUMMYFUNCTION("IF(REGEXMATCH(LOWER(G961), ""^(\?)+\s*(missing)?\s*(\?)*$""), """", PROPER(SUBSTITUTE(SUBSTITUTE(G961, ""?"", """"), ""*"", """")))"),"Set Of 4 Napkin Charms Leaves")</f>
        <v>Set Of 4 Napkin Charms Leaves</v>
      </c>
      <c r="I961" s="3">
        <v>4.0</v>
      </c>
      <c r="J961" s="7">
        <v>40513.529861111114</v>
      </c>
      <c r="K961" s="8" t="str">
        <f t="shared" si="4"/>
        <v>2010-12</v>
      </c>
      <c r="L961" s="5">
        <v>2.55</v>
      </c>
      <c r="M961" s="3">
        <v>14729.0</v>
      </c>
      <c r="N961" s="1" t="str">
        <f t="shared" si="5"/>
        <v>Registered</v>
      </c>
      <c r="O961" s="1" t="s">
        <v>19</v>
      </c>
      <c r="P961" s="9" t="str">
        <f t="shared" si="6"/>
        <v>UK</v>
      </c>
      <c r="Q961" s="8">
        <f t="shared" si="7"/>
        <v>10.2</v>
      </c>
    </row>
    <row r="962">
      <c r="A962" s="1">
        <v>536520.0</v>
      </c>
      <c r="B962" s="1" t="str">
        <f t="shared" si="1"/>
        <v>536520</v>
      </c>
      <c r="C962" s="1" t="str">
        <f t="shared" si="2"/>
        <v>Sale</v>
      </c>
      <c r="D962" s="1">
        <v>22642.0</v>
      </c>
      <c r="E962" s="1" t="str">
        <f>IFERROR(__xludf.DUMMYFUNCTION("IF(LEN(D962)&gt;4, IFERROR(REGEXEXTRACT(TO_TEXT(D962),""\d+""),""""),"""")"),"22642")</f>
        <v>22642</v>
      </c>
      <c r="F962" s="6" t="str">
        <f t="shared" si="3"/>
        <v>Product</v>
      </c>
      <c r="G962" s="1" t="s">
        <v>658</v>
      </c>
      <c r="H962" s="6" t="str">
        <f>IFERROR(__xludf.DUMMYFUNCTION("IF(REGEXMATCH(LOWER(G962), ""^(\?)+\s*(missing)?\s*(\?)*$""), """", PROPER(SUBSTITUTE(SUBSTITUTE(G962, ""?"", """"), ""*"", """")))"),"Set Of 4 Napkin Charms Stars")</f>
        <v>Set Of 4 Napkin Charms Stars</v>
      </c>
      <c r="I962" s="3">
        <v>4.0</v>
      </c>
      <c r="J962" s="7">
        <v>40513.529861111114</v>
      </c>
      <c r="K962" s="8" t="str">
        <f t="shared" si="4"/>
        <v>2010-12</v>
      </c>
      <c r="L962" s="5">
        <v>2.55</v>
      </c>
      <c r="M962" s="3">
        <v>14729.0</v>
      </c>
      <c r="N962" s="1" t="str">
        <f t="shared" si="5"/>
        <v>Registered</v>
      </c>
      <c r="O962" s="1" t="s">
        <v>19</v>
      </c>
      <c r="P962" s="9" t="str">
        <f t="shared" si="6"/>
        <v>UK</v>
      </c>
      <c r="Q962" s="8">
        <f t="shared" si="7"/>
        <v>10.2</v>
      </c>
    </row>
    <row r="963">
      <c r="A963" s="1">
        <v>536520.0</v>
      </c>
      <c r="B963" s="1" t="str">
        <f t="shared" si="1"/>
        <v>536520</v>
      </c>
      <c r="C963" s="1" t="str">
        <f t="shared" si="2"/>
        <v>Sale</v>
      </c>
      <c r="D963" s="1">
        <v>22604.0</v>
      </c>
      <c r="E963" s="1" t="str">
        <f>IFERROR(__xludf.DUMMYFUNCTION("IF(LEN(D963)&gt;4, IFERROR(REGEXEXTRACT(TO_TEXT(D963),""\d+""),""""),"""")"),"22604")</f>
        <v>22604</v>
      </c>
      <c r="F963" s="6" t="str">
        <f t="shared" si="3"/>
        <v>Product</v>
      </c>
      <c r="G963" s="1" t="s">
        <v>659</v>
      </c>
      <c r="H963" s="6" t="str">
        <f>IFERROR(__xludf.DUMMYFUNCTION("IF(REGEXMATCH(LOWER(G963), ""^(\?)+\s*(missing)?\s*(\?)*$""), """", PROPER(SUBSTITUTE(SUBSTITUTE(G963, ""?"", """"), ""*"", """")))"),"Set Of 4 Napkin Charms Cutlery")</f>
        <v>Set Of 4 Napkin Charms Cutlery</v>
      </c>
      <c r="I963" s="3">
        <v>3.0</v>
      </c>
      <c r="J963" s="7">
        <v>40513.529861111114</v>
      </c>
      <c r="K963" s="8" t="str">
        <f t="shared" si="4"/>
        <v>2010-12</v>
      </c>
      <c r="L963" s="5">
        <v>2.55</v>
      </c>
      <c r="M963" s="3">
        <v>14729.0</v>
      </c>
      <c r="N963" s="1" t="str">
        <f t="shared" si="5"/>
        <v>Registered</v>
      </c>
      <c r="O963" s="1" t="s">
        <v>19</v>
      </c>
      <c r="P963" s="9" t="str">
        <f t="shared" si="6"/>
        <v>UK</v>
      </c>
      <c r="Q963" s="8">
        <f t="shared" si="7"/>
        <v>7.65</v>
      </c>
    </row>
    <row r="964">
      <c r="A964" s="1">
        <v>536520.0</v>
      </c>
      <c r="B964" s="1" t="str">
        <f t="shared" si="1"/>
        <v>536520</v>
      </c>
      <c r="C964" s="1" t="str">
        <f t="shared" si="2"/>
        <v>Sale</v>
      </c>
      <c r="D964" s="1">
        <v>22099.0</v>
      </c>
      <c r="E964" s="1" t="str">
        <f>IFERROR(__xludf.DUMMYFUNCTION("IF(LEN(D964)&gt;4, IFERROR(REGEXEXTRACT(TO_TEXT(D964),""\d+""),""""),"""")"),"22099")</f>
        <v>22099</v>
      </c>
      <c r="F964" s="6" t="str">
        <f t="shared" si="3"/>
        <v>Product</v>
      </c>
      <c r="G964" s="1" t="s">
        <v>660</v>
      </c>
      <c r="H964" s="6" t="str">
        <f>IFERROR(__xludf.DUMMYFUNCTION("IF(REGEXMATCH(LOWER(G964), ""^(\?)+\s*(missing)?\s*(\?)*$""), """", PROPER(SUBSTITUTE(SUBSTITUTE(G964, ""?"", """"), ""*"", """")))"),"Caravan Square Tissue Box")</f>
        <v>Caravan Square Tissue Box</v>
      </c>
      <c r="I964" s="3">
        <v>2.0</v>
      </c>
      <c r="J964" s="7">
        <v>40513.529861111114</v>
      </c>
      <c r="K964" s="8" t="str">
        <f t="shared" si="4"/>
        <v>2010-12</v>
      </c>
      <c r="L964" s="5">
        <v>1.25</v>
      </c>
      <c r="M964" s="3">
        <v>14729.0</v>
      </c>
      <c r="N964" s="1" t="str">
        <f t="shared" si="5"/>
        <v>Registered</v>
      </c>
      <c r="O964" s="1" t="s">
        <v>19</v>
      </c>
      <c r="P964" s="9" t="str">
        <f t="shared" si="6"/>
        <v>UK</v>
      </c>
      <c r="Q964" s="8">
        <f t="shared" si="7"/>
        <v>2.5</v>
      </c>
    </row>
    <row r="965">
      <c r="A965" s="1">
        <v>536520.0</v>
      </c>
      <c r="B965" s="1" t="str">
        <f t="shared" si="1"/>
        <v>536520</v>
      </c>
      <c r="C965" s="1" t="str">
        <f t="shared" si="2"/>
        <v>Sale</v>
      </c>
      <c r="D965" s="1">
        <v>22553.0</v>
      </c>
      <c r="E965" s="1" t="str">
        <f>IFERROR(__xludf.DUMMYFUNCTION("IF(LEN(D965)&gt;4, IFERROR(REGEXEXTRACT(TO_TEXT(D965),""\d+""),""""),"""")"),"22553")</f>
        <v>22553</v>
      </c>
      <c r="F965" s="6" t="str">
        <f t="shared" si="3"/>
        <v>Product</v>
      </c>
      <c r="G965" s="1" t="s">
        <v>234</v>
      </c>
      <c r="H965" s="6" t="str">
        <f>IFERROR(__xludf.DUMMYFUNCTION("IF(REGEXMATCH(LOWER(G965), ""^(\?)+\s*(missing)?\s*(\?)*$""), """", PROPER(SUBSTITUTE(SUBSTITUTE(G965, ""?"", """"), ""*"", """")))"),"Plasters In Tin Skulls")</f>
        <v>Plasters In Tin Skulls</v>
      </c>
      <c r="I965" s="3">
        <v>1.0</v>
      </c>
      <c r="J965" s="7">
        <v>40513.529861111114</v>
      </c>
      <c r="K965" s="8" t="str">
        <f t="shared" si="4"/>
        <v>2010-12</v>
      </c>
      <c r="L965" s="5">
        <v>1.65</v>
      </c>
      <c r="M965" s="3">
        <v>14729.0</v>
      </c>
      <c r="N965" s="1" t="str">
        <f t="shared" si="5"/>
        <v>Registered</v>
      </c>
      <c r="O965" s="1" t="s">
        <v>19</v>
      </c>
      <c r="P965" s="9" t="str">
        <f t="shared" si="6"/>
        <v>UK</v>
      </c>
      <c r="Q965" s="8">
        <f t="shared" si="7"/>
        <v>1.65</v>
      </c>
    </row>
    <row r="966">
      <c r="A966" s="1">
        <v>536520.0</v>
      </c>
      <c r="B966" s="1" t="str">
        <f t="shared" si="1"/>
        <v>536520</v>
      </c>
      <c r="C966" s="1" t="str">
        <f t="shared" si="2"/>
        <v>Sale</v>
      </c>
      <c r="D966" s="1">
        <v>22551.0</v>
      </c>
      <c r="E966" s="1" t="str">
        <f>IFERROR(__xludf.DUMMYFUNCTION("IF(LEN(D966)&gt;4, IFERROR(REGEXEXTRACT(TO_TEXT(D966),""\d+""),""""),"""")"),"22551")</f>
        <v>22551</v>
      </c>
      <c r="F966" s="6" t="str">
        <f t="shared" si="3"/>
        <v>Product</v>
      </c>
      <c r="G966" s="1" t="s">
        <v>498</v>
      </c>
      <c r="H966" s="6" t="str">
        <f>IFERROR(__xludf.DUMMYFUNCTION("IF(REGEXMATCH(LOWER(G966), ""^(\?)+\s*(missing)?\s*(\?)*$""), """", PROPER(SUBSTITUTE(SUBSTITUTE(G966, ""?"", """"), ""*"", """")))"),"Plasters In Tin Spaceboy")</f>
        <v>Plasters In Tin Spaceboy</v>
      </c>
      <c r="I966" s="3">
        <v>1.0</v>
      </c>
      <c r="J966" s="7">
        <v>40513.529861111114</v>
      </c>
      <c r="K966" s="8" t="str">
        <f t="shared" si="4"/>
        <v>2010-12</v>
      </c>
      <c r="L966" s="5">
        <v>1.65</v>
      </c>
      <c r="M966" s="3">
        <v>14729.0</v>
      </c>
      <c r="N966" s="1" t="str">
        <f t="shared" si="5"/>
        <v>Registered</v>
      </c>
      <c r="O966" s="1" t="s">
        <v>19</v>
      </c>
      <c r="P966" s="9" t="str">
        <f t="shared" si="6"/>
        <v>UK</v>
      </c>
      <c r="Q966" s="8">
        <f t="shared" si="7"/>
        <v>1.65</v>
      </c>
    </row>
    <row r="967">
      <c r="A967" s="1">
        <v>536520.0</v>
      </c>
      <c r="B967" s="1" t="str">
        <f t="shared" si="1"/>
        <v>536520</v>
      </c>
      <c r="C967" s="1" t="str">
        <f t="shared" si="2"/>
        <v>Sale</v>
      </c>
      <c r="D967" s="1">
        <v>22653.0</v>
      </c>
      <c r="E967" s="1" t="str">
        <f>IFERROR(__xludf.DUMMYFUNCTION("IF(LEN(D967)&gt;4, IFERROR(REGEXEXTRACT(TO_TEXT(D967),""\d+""),""""),"""")"),"22653")</f>
        <v>22653</v>
      </c>
      <c r="F967" s="6" t="str">
        <f t="shared" si="3"/>
        <v>Product</v>
      </c>
      <c r="G967" s="1" t="s">
        <v>661</v>
      </c>
      <c r="H967" s="6" t="str">
        <f>IFERROR(__xludf.DUMMYFUNCTION("IF(REGEXMATCH(LOWER(G967), ""^(\?)+\s*(missing)?\s*(\?)*$""), """", PROPER(SUBSTITUTE(SUBSTITUTE(G967, ""?"", """"), ""*"", """")))"),"Button Box")</f>
        <v>Button Box</v>
      </c>
      <c r="I967" s="3">
        <v>1.0</v>
      </c>
      <c r="J967" s="7">
        <v>40513.529861111114</v>
      </c>
      <c r="K967" s="8" t="str">
        <f t="shared" si="4"/>
        <v>2010-12</v>
      </c>
      <c r="L967" s="5">
        <v>1.95</v>
      </c>
      <c r="M967" s="3">
        <v>14729.0</v>
      </c>
      <c r="N967" s="1" t="str">
        <f t="shared" si="5"/>
        <v>Registered</v>
      </c>
      <c r="O967" s="1" t="s">
        <v>19</v>
      </c>
      <c r="P967" s="9" t="str">
        <f t="shared" si="6"/>
        <v>UK</v>
      </c>
      <c r="Q967" s="8">
        <f t="shared" si="7"/>
        <v>1.95</v>
      </c>
    </row>
    <row r="968">
      <c r="A968" s="1">
        <v>536520.0</v>
      </c>
      <c r="B968" s="1" t="str">
        <f t="shared" si="1"/>
        <v>536520</v>
      </c>
      <c r="C968" s="1" t="str">
        <f t="shared" si="2"/>
        <v>Sale</v>
      </c>
      <c r="D968" s="1">
        <v>22557.0</v>
      </c>
      <c r="E968" s="1" t="str">
        <f>IFERROR(__xludf.DUMMYFUNCTION("IF(LEN(D968)&gt;4, IFERROR(REGEXEXTRACT(TO_TEXT(D968),""\d+""),""""),"""")"),"22557")</f>
        <v>22557</v>
      </c>
      <c r="F968" s="6" t="str">
        <f t="shared" si="3"/>
        <v>Product</v>
      </c>
      <c r="G968" s="1" t="s">
        <v>233</v>
      </c>
      <c r="H968" s="6" t="str">
        <f>IFERROR(__xludf.DUMMYFUNCTION("IF(REGEXMATCH(LOWER(G968), ""^(\?)+\s*(missing)?\s*(\?)*$""), """", PROPER(SUBSTITUTE(SUBSTITUTE(G968, ""?"", """"), ""*"", """")))"),"Plasters In Tin Vintage Paisley")</f>
        <v>Plasters In Tin Vintage Paisley</v>
      </c>
      <c r="I968" s="3">
        <v>2.0</v>
      </c>
      <c r="J968" s="7">
        <v>40513.529861111114</v>
      </c>
      <c r="K968" s="8" t="str">
        <f t="shared" si="4"/>
        <v>2010-12</v>
      </c>
      <c r="L968" s="5">
        <v>1.65</v>
      </c>
      <c r="M968" s="3">
        <v>14729.0</v>
      </c>
      <c r="N968" s="1" t="str">
        <f t="shared" si="5"/>
        <v>Registered</v>
      </c>
      <c r="O968" s="1" t="s">
        <v>19</v>
      </c>
      <c r="P968" s="9" t="str">
        <f t="shared" si="6"/>
        <v>UK</v>
      </c>
      <c r="Q968" s="8">
        <f t="shared" si="7"/>
        <v>3.3</v>
      </c>
    </row>
    <row r="969">
      <c r="A969" s="1">
        <v>536520.0</v>
      </c>
      <c r="B969" s="1" t="str">
        <f t="shared" si="1"/>
        <v>536520</v>
      </c>
      <c r="C969" s="1" t="str">
        <f t="shared" si="2"/>
        <v>Sale</v>
      </c>
      <c r="D969" s="1">
        <v>22906.0</v>
      </c>
      <c r="E969" s="1" t="str">
        <f>IFERROR(__xludf.DUMMYFUNCTION("IF(LEN(D969)&gt;4, IFERROR(REGEXEXTRACT(TO_TEXT(D969),""\d+""),""""),"""")"),"22906")</f>
        <v>22906</v>
      </c>
      <c r="F969" s="6" t="str">
        <f t="shared" si="3"/>
        <v>Product</v>
      </c>
      <c r="G969" s="1" t="s">
        <v>662</v>
      </c>
      <c r="H969" s="6" t="str">
        <f>IFERROR(__xludf.DUMMYFUNCTION("IF(REGEXMATCH(LOWER(G969), ""^(\?)+\s*(missing)?\s*(\?)*$""), """", PROPER(SUBSTITUTE(SUBSTITUTE(G969, ""?"", """"), ""*"", """")))"),"12 Message Cards With Envelopes")</f>
        <v>12 Message Cards With Envelopes</v>
      </c>
      <c r="I969" s="3">
        <v>6.0</v>
      </c>
      <c r="J969" s="7">
        <v>40513.529861111114</v>
      </c>
      <c r="K969" s="8" t="str">
        <f t="shared" si="4"/>
        <v>2010-12</v>
      </c>
      <c r="L969" s="5">
        <v>1.65</v>
      </c>
      <c r="M969" s="3">
        <v>14729.0</v>
      </c>
      <c r="N969" s="1" t="str">
        <f t="shared" si="5"/>
        <v>Registered</v>
      </c>
      <c r="O969" s="1" t="s">
        <v>19</v>
      </c>
      <c r="P969" s="9" t="str">
        <f t="shared" si="6"/>
        <v>UK</v>
      </c>
      <c r="Q969" s="8">
        <f t="shared" si="7"/>
        <v>9.9</v>
      </c>
    </row>
    <row r="970">
      <c r="A970" s="1">
        <v>536520.0</v>
      </c>
      <c r="B970" s="1" t="str">
        <f t="shared" si="1"/>
        <v>536520</v>
      </c>
      <c r="C970" s="1" t="str">
        <f t="shared" si="2"/>
        <v>Sale</v>
      </c>
      <c r="D970" s="1">
        <v>22754.0</v>
      </c>
      <c r="E970" s="1" t="str">
        <f>IFERROR(__xludf.DUMMYFUNCTION("IF(LEN(D970)&gt;4, IFERROR(REGEXEXTRACT(TO_TEXT(D970),""\d+""),""""),"""")"),"22754")</f>
        <v>22754</v>
      </c>
      <c r="F970" s="6" t="str">
        <f t="shared" si="3"/>
        <v>Product</v>
      </c>
      <c r="G970" s="1" t="s">
        <v>663</v>
      </c>
      <c r="H970" s="6" t="str">
        <f>IFERROR(__xludf.DUMMYFUNCTION("IF(REGEXMATCH(LOWER(G970), ""^(\?)+\s*(missing)?\s*(\?)*$""), """", PROPER(SUBSTITUTE(SUBSTITUTE(G970, ""?"", """"), ""*"", """")))"),"Small Red Babushka Notebook")</f>
        <v>Small Red Babushka Notebook</v>
      </c>
      <c r="I970" s="3">
        <v>1.0</v>
      </c>
      <c r="J970" s="7">
        <v>40513.529861111114</v>
      </c>
      <c r="K970" s="8" t="str">
        <f t="shared" si="4"/>
        <v>2010-12</v>
      </c>
      <c r="L970" s="5">
        <v>0.85</v>
      </c>
      <c r="M970" s="3">
        <v>14729.0</v>
      </c>
      <c r="N970" s="1" t="str">
        <f t="shared" si="5"/>
        <v>Registered</v>
      </c>
      <c r="O970" s="1" t="s">
        <v>19</v>
      </c>
      <c r="P970" s="9" t="str">
        <f t="shared" si="6"/>
        <v>UK</v>
      </c>
      <c r="Q970" s="8">
        <f t="shared" si="7"/>
        <v>0.85</v>
      </c>
    </row>
    <row r="971">
      <c r="A971" s="1">
        <v>536520.0</v>
      </c>
      <c r="B971" s="1" t="str">
        <f t="shared" si="1"/>
        <v>536520</v>
      </c>
      <c r="C971" s="1" t="str">
        <f t="shared" si="2"/>
        <v>Sale</v>
      </c>
      <c r="D971" s="1">
        <v>22938.0</v>
      </c>
      <c r="E971" s="1" t="str">
        <f>IFERROR(__xludf.DUMMYFUNCTION("IF(LEN(D971)&gt;4, IFERROR(REGEXEXTRACT(TO_TEXT(D971),""\d+""),""""),"""")"),"22938")</f>
        <v>22938</v>
      </c>
      <c r="F971" s="6" t="str">
        <f t="shared" si="3"/>
        <v>Product</v>
      </c>
      <c r="G971" s="1" t="s">
        <v>509</v>
      </c>
      <c r="H971" s="6" t="str">
        <f>IFERROR(__xludf.DUMMYFUNCTION("IF(REGEXMATCH(LOWER(G971), ""^(\?)+\s*(missing)?\s*(\?)*$""), """", PROPER(SUBSTITUTE(SUBSTITUTE(G971, ""?"", """"), ""*"", """")))"),"Cupcake Lace Paper Set 6")</f>
        <v>Cupcake Lace Paper Set 6</v>
      </c>
      <c r="I971" s="3">
        <v>5.0</v>
      </c>
      <c r="J971" s="7">
        <v>40513.529861111114</v>
      </c>
      <c r="K971" s="8" t="str">
        <f t="shared" si="4"/>
        <v>2010-12</v>
      </c>
      <c r="L971" s="5">
        <v>1.95</v>
      </c>
      <c r="M971" s="3">
        <v>14729.0</v>
      </c>
      <c r="N971" s="1" t="str">
        <f t="shared" si="5"/>
        <v>Registered</v>
      </c>
      <c r="O971" s="1" t="s">
        <v>19</v>
      </c>
      <c r="P971" s="9" t="str">
        <f t="shared" si="6"/>
        <v>UK</v>
      </c>
      <c r="Q971" s="8">
        <f t="shared" si="7"/>
        <v>9.75</v>
      </c>
    </row>
    <row r="972">
      <c r="A972" s="1">
        <v>536520.0</v>
      </c>
      <c r="B972" s="1" t="str">
        <f t="shared" si="1"/>
        <v>536520</v>
      </c>
      <c r="C972" s="1" t="str">
        <f t="shared" si="2"/>
        <v>Sale</v>
      </c>
      <c r="D972" s="1">
        <v>22812.0</v>
      </c>
      <c r="E972" s="1" t="str">
        <f>IFERROR(__xludf.DUMMYFUNCTION("IF(LEN(D972)&gt;4, IFERROR(REGEXEXTRACT(TO_TEXT(D972),""\d+""),""""),"""")"),"22812")</f>
        <v>22812</v>
      </c>
      <c r="F972" s="6" t="str">
        <f t="shared" si="3"/>
        <v>Product</v>
      </c>
      <c r="G972" s="1" t="s">
        <v>385</v>
      </c>
      <c r="H972" s="6" t="str">
        <f>IFERROR(__xludf.DUMMYFUNCTION("IF(REGEXMATCH(LOWER(G972), ""^(\?)+\s*(missing)?\s*(\?)*$""), """", PROPER(SUBSTITUTE(SUBSTITUTE(G972, ""?"", """"), ""*"", """")))"),"Pack 3 Boxes Christmas Pannetone")</f>
        <v>Pack 3 Boxes Christmas Pannetone</v>
      </c>
      <c r="I972" s="3">
        <v>3.0</v>
      </c>
      <c r="J972" s="7">
        <v>40513.529861111114</v>
      </c>
      <c r="K972" s="8" t="str">
        <f t="shared" si="4"/>
        <v>2010-12</v>
      </c>
      <c r="L972" s="5">
        <v>1.95</v>
      </c>
      <c r="M972" s="3">
        <v>14729.0</v>
      </c>
      <c r="N972" s="1" t="str">
        <f t="shared" si="5"/>
        <v>Registered</v>
      </c>
      <c r="O972" s="1" t="s">
        <v>19</v>
      </c>
      <c r="P972" s="9" t="str">
        <f t="shared" si="6"/>
        <v>UK</v>
      </c>
      <c r="Q972" s="8">
        <f t="shared" si="7"/>
        <v>5.85</v>
      </c>
    </row>
    <row r="973">
      <c r="A973" s="1">
        <v>536520.0</v>
      </c>
      <c r="B973" s="1" t="str">
        <f t="shared" si="1"/>
        <v>536520</v>
      </c>
      <c r="C973" s="1" t="str">
        <f t="shared" si="2"/>
        <v>Sale</v>
      </c>
      <c r="D973" s="1">
        <v>22919.0</v>
      </c>
      <c r="E973" s="1" t="str">
        <f>IFERROR(__xludf.DUMMYFUNCTION("IF(LEN(D973)&gt;4, IFERROR(REGEXEXTRACT(TO_TEXT(D973),""\d+""),""""),"""")"),"22919")</f>
        <v>22919</v>
      </c>
      <c r="F973" s="6" t="str">
        <f t="shared" si="3"/>
        <v>Product</v>
      </c>
      <c r="G973" s="1" t="s">
        <v>664</v>
      </c>
      <c r="H973" s="6" t="str">
        <f>IFERROR(__xludf.DUMMYFUNCTION("IF(REGEXMATCH(LOWER(G973), ""^(\?)+\s*(missing)?\s*(\?)*$""), """", PROPER(SUBSTITUTE(SUBSTITUTE(G973, ""?"", """"), ""*"", """")))"),"Herb Marker Mint")</f>
        <v>Herb Marker Mint</v>
      </c>
      <c r="I973" s="3">
        <v>2.0</v>
      </c>
      <c r="J973" s="7">
        <v>40513.529861111114</v>
      </c>
      <c r="K973" s="8" t="str">
        <f t="shared" si="4"/>
        <v>2010-12</v>
      </c>
      <c r="L973" s="5">
        <v>0.65</v>
      </c>
      <c r="M973" s="3">
        <v>14729.0</v>
      </c>
      <c r="N973" s="1" t="str">
        <f t="shared" si="5"/>
        <v>Registered</v>
      </c>
      <c r="O973" s="1" t="s">
        <v>19</v>
      </c>
      <c r="P973" s="9" t="str">
        <f t="shared" si="6"/>
        <v>UK</v>
      </c>
      <c r="Q973" s="8">
        <f t="shared" si="7"/>
        <v>1.3</v>
      </c>
    </row>
    <row r="974">
      <c r="A974" s="1">
        <v>536520.0</v>
      </c>
      <c r="B974" s="1" t="str">
        <f t="shared" si="1"/>
        <v>536520</v>
      </c>
      <c r="C974" s="1" t="str">
        <f t="shared" si="2"/>
        <v>Sale</v>
      </c>
      <c r="D974" s="1">
        <v>22917.0</v>
      </c>
      <c r="E974" s="1" t="str">
        <f>IFERROR(__xludf.DUMMYFUNCTION("IF(LEN(D974)&gt;4, IFERROR(REGEXEXTRACT(TO_TEXT(D974),""\d+""),""""),"""")"),"22917")</f>
        <v>22917</v>
      </c>
      <c r="F974" s="6" t="str">
        <f t="shared" si="3"/>
        <v>Product</v>
      </c>
      <c r="G974" s="1" t="s">
        <v>665</v>
      </c>
      <c r="H974" s="6" t="str">
        <f>IFERROR(__xludf.DUMMYFUNCTION("IF(REGEXMATCH(LOWER(G974), ""^(\?)+\s*(missing)?\s*(\?)*$""), """", PROPER(SUBSTITUTE(SUBSTITUTE(G974, ""?"", """"), ""*"", """")))"),"Herb Marker Rosemary")</f>
        <v>Herb Marker Rosemary</v>
      </c>
      <c r="I974" s="3">
        <v>1.0</v>
      </c>
      <c r="J974" s="7">
        <v>40513.529861111114</v>
      </c>
      <c r="K974" s="8" t="str">
        <f t="shared" si="4"/>
        <v>2010-12</v>
      </c>
      <c r="L974" s="5">
        <v>0.65</v>
      </c>
      <c r="M974" s="3">
        <v>14729.0</v>
      </c>
      <c r="N974" s="1" t="str">
        <f t="shared" si="5"/>
        <v>Registered</v>
      </c>
      <c r="O974" s="1" t="s">
        <v>19</v>
      </c>
      <c r="P974" s="9" t="str">
        <f t="shared" si="6"/>
        <v>UK</v>
      </c>
      <c r="Q974" s="8">
        <f t="shared" si="7"/>
        <v>0.65</v>
      </c>
    </row>
    <row r="975">
      <c r="A975" s="1">
        <v>536520.0</v>
      </c>
      <c r="B975" s="1" t="str">
        <f t="shared" si="1"/>
        <v>536520</v>
      </c>
      <c r="C975" s="1" t="str">
        <f t="shared" si="2"/>
        <v>Sale</v>
      </c>
      <c r="D975" s="1">
        <v>22920.0</v>
      </c>
      <c r="E975" s="1" t="str">
        <f>IFERROR(__xludf.DUMMYFUNCTION("IF(LEN(D975)&gt;4, IFERROR(REGEXEXTRACT(TO_TEXT(D975),""\d+""),""""),"""")"),"22920")</f>
        <v>22920</v>
      </c>
      <c r="F975" s="6" t="str">
        <f t="shared" si="3"/>
        <v>Product</v>
      </c>
      <c r="G975" s="1" t="s">
        <v>666</v>
      </c>
      <c r="H975" s="6" t="str">
        <f>IFERROR(__xludf.DUMMYFUNCTION("IF(REGEXMATCH(LOWER(G975), ""^(\?)+\s*(missing)?\s*(\?)*$""), """", PROPER(SUBSTITUTE(SUBSTITUTE(G975, ""?"", """"), ""*"", """")))"),"Herb Marker Basil")</f>
        <v>Herb Marker Basil</v>
      </c>
      <c r="I975" s="3">
        <v>3.0</v>
      </c>
      <c r="J975" s="7">
        <v>40513.529861111114</v>
      </c>
      <c r="K975" s="8" t="str">
        <f t="shared" si="4"/>
        <v>2010-12</v>
      </c>
      <c r="L975" s="5">
        <v>0.65</v>
      </c>
      <c r="M975" s="3">
        <v>14729.0</v>
      </c>
      <c r="N975" s="1" t="str">
        <f t="shared" si="5"/>
        <v>Registered</v>
      </c>
      <c r="O975" s="1" t="s">
        <v>19</v>
      </c>
      <c r="P975" s="9" t="str">
        <f t="shared" si="6"/>
        <v>UK</v>
      </c>
      <c r="Q975" s="8">
        <f t="shared" si="7"/>
        <v>1.95</v>
      </c>
    </row>
    <row r="976">
      <c r="A976" s="1">
        <v>536520.0</v>
      </c>
      <c r="B976" s="1" t="str">
        <f t="shared" si="1"/>
        <v>536520</v>
      </c>
      <c r="C976" s="1" t="str">
        <f t="shared" si="2"/>
        <v>Sale</v>
      </c>
      <c r="D976" s="1">
        <v>22921.0</v>
      </c>
      <c r="E976" s="1" t="str">
        <f>IFERROR(__xludf.DUMMYFUNCTION("IF(LEN(D976)&gt;4, IFERROR(REGEXEXTRACT(TO_TEXT(D976),""\d+""),""""),"""")"),"22921")</f>
        <v>22921</v>
      </c>
      <c r="F976" s="6" t="str">
        <f t="shared" si="3"/>
        <v>Product</v>
      </c>
      <c r="G976" s="1" t="s">
        <v>667</v>
      </c>
      <c r="H976" s="6" t="str">
        <f>IFERROR(__xludf.DUMMYFUNCTION("IF(REGEXMATCH(LOWER(G976), ""^(\?)+\s*(missing)?\s*(\?)*$""), """", PROPER(SUBSTITUTE(SUBSTITUTE(G976, ""?"", """"), ""*"", """")))"),"Herb Marker Chives")</f>
        <v>Herb Marker Chives</v>
      </c>
      <c r="I976" s="3">
        <v>2.0</v>
      </c>
      <c r="J976" s="7">
        <v>40513.529861111114</v>
      </c>
      <c r="K976" s="8" t="str">
        <f t="shared" si="4"/>
        <v>2010-12</v>
      </c>
      <c r="L976" s="5">
        <v>0.65</v>
      </c>
      <c r="M976" s="3">
        <v>14729.0</v>
      </c>
      <c r="N976" s="1" t="str">
        <f t="shared" si="5"/>
        <v>Registered</v>
      </c>
      <c r="O976" s="1" t="s">
        <v>19</v>
      </c>
      <c r="P976" s="9" t="str">
        <f t="shared" si="6"/>
        <v>UK</v>
      </c>
      <c r="Q976" s="8">
        <f t="shared" si="7"/>
        <v>1.3</v>
      </c>
    </row>
    <row r="977">
      <c r="A977" s="1">
        <v>536520.0</v>
      </c>
      <c r="B977" s="1" t="str">
        <f t="shared" si="1"/>
        <v>536520</v>
      </c>
      <c r="C977" s="1" t="str">
        <f t="shared" si="2"/>
        <v>Sale</v>
      </c>
      <c r="D977" s="1">
        <v>22918.0</v>
      </c>
      <c r="E977" s="1" t="str">
        <f>IFERROR(__xludf.DUMMYFUNCTION("IF(LEN(D977)&gt;4, IFERROR(REGEXEXTRACT(TO_TEXT(D977),""\d+""),""""),"""")"),"22918")</f>
        <v>22918</v>
      </c>
      <c r="F977" s="6" t="str">
        <f t="shared" si="3"/>
        <v>Product</v>
      </c>
      <c r="G977" s="1" t="s">
        <v>668</v>
      </c>
      <c r="H977" s="6" t="str">
        <f>IFERROR(__xludf.DUMMYFUNCTION("IF(REGEXMATCH(LOWER(G977), ""^(\?)+\s*(missing)?\s*(\?)*$""), """", PROPER(SUBSTITUTE(SUBSTITUTE(G977, ""?"", """"), ""*"", """")))"),"Herb Marker Parsley")</f>
        <v>Herb Marker Parsley</v>
      </c>
      <c r="I977" s="3">
        <v>2.0</v>
      </c>
      <c r="J977" s="7">
        <v>40513.529861111114</v>
      </c>
      <c r="K977" s="8" t="str">
        <f t="shared" si="4"/>
        <v>2010-12</v>
      </c>
      <c r="L977" s="5">
        <v>0.65</v>
      </c>
      <c r="M977" s="3">
        <v>14729.0</v>
      </c>
      <c r="N977" s="1" t="str">
        <f t="shared" si="5"/>
        <v>Registered</v>
      </c>
      <c r="O977" s="1" t="s">
        <v>19</v>
      </c>
      <c r="P977" s="9" t="str">
        <f t="shared" si="6"/>
        <v>UK</v>
      </c>
      <c r="Q977" s="8">
        <f t="shared" si="7"/>
        <v>1.3</v>
      </c>
    </row>
    <row r="978">
      <c r="A978" s="1">
        <v>536520.0</v>
      </c>
      <c r="B978" s="1" t="str">
        <f t="shared" si="1"/>
        <v>536520</v>
      </c>
      <c r="C978" s="1" t="str">
        <f t="shared" si="2"/>
        <v>Sale</v>
      </c>
      <c r="D978" s="1">
        <v>22916.0</v>
      </c>
      <c r="E978" s="1" t="str">
        <f>IFERROR(__xludf.DUMMYFUNCTION("IF(LEN(D978)&gt;4, IFERROR(REGEXEXTRACT(TO_TEXT(D978),""\d+""),""""),"""")"),"22916")</f>
        <v>22916</v>
      </c>
      <c r="F978" s="6" t="str">
        <f t="shared" si="3"/>
        <v>Product</v>
      </c>
      <c r="G978" s="1" t="s">
        <v>669</v>
      </c>
      <c r="H978" s="6" t="str">
        <f>IFERROR(__xludf.DUMMYFUNCTION("IF(REGEXMATCH(LOWER(G978), ""^(\?)+\s*(missing)?\s*(\?)*$""), """", PROPER(SUBSTITUTE(SUBSTITUTE(G978, ""?"", """"), ""*"", """")))"),"Herb Marker Thyme")</f>
        <v>Herb Marker Thyme</v>
      </c>
      <c r="I978" s="3">
        <v>1.0</v>
      </c>
      <c r="J978" s="7">
        <v>40513.529861111114</v>
      </c>
      <c r="K978" s="8" t="str">
        <f t="shared" si="4"/>
        <v>2010-12</v>
      </c>
      <c r="L978" s="5">
        <v>0.65</v>
      </c>
      <c r="M978" s="3">
        <v>14729.0</v>
      </c>
      <c r="N978" s="1" t="str">
        <f t="shared" si="5"/>
        <v>Registered</v>
      </c>
      <c r="O978" s="1" t="s">
        <v>19</v>
      </c>
      <c r="P978" s="9" t="str">
        <f t="shared" si="6"/>
        <v>UK</v>
      </c>
      <c r="Q978" s="8">
        <f t="shared" si="7"/>
        <v>0.65</v>
      </c>
    </row>
    <row r="979">
      <c r="A979" s="1">
        <v>536520.0</v>
      </c>
      <c r="B979" s="1" t="str">
        <f t="shared" si="1"/>
        <v>536520</v>
      </c>
      <c r="C979" s="1" t="str">
        <f t="shared" si="2"/>
        <v>Sale</v>
      </c>
      <c r="D979" s="1" t="s">
        <v>17</v>
      </c>
      <c r="E979" s="1" t="str">
        <f>IFERROR(__xludf.DUMMYFUNCTION("IF(LEN(D979)&gt;4, IFERROR(REGEXEXTRACT(TO_TEXT(D979),""\d+""),""""),"""")"),"85123")</f>
        <v>85123</v>
      </c>
      <c r="F979" s="6" t="str">
        <f t="shared" si="3"/>
        <v>Product</v>
      </c>
      <c r="G979" s="1" t="s">
        <v>18</v>
      </c>
      <c r="H979" s="6" t="str">
        <f>IFERROR(__xludf.DUMMYFUNCTION("IF(REGEXMATCH(LOWER(G979), ""^(\?)+\s*(missing)?\s*(\?)*$""), """", PROPER(SUBSTITUTE(SUBSTITUTE(G979, ""?"", """"), ""*"", """")))"),"White Hanging Heart T-Light Holder")</f>
        <v>White Hanging Heart T-Light Holder</v>
      </c>
      <c r="I979" s="3">
        <v>3.0</v>
      </c>
      <c r="J979" s="7">
        <v>40513.529861111114</v>
      </c>
      <c r="K979" s="8" t="str">
        <f t="shared" si="4"/>
        <v>2010-12</v>
      </c>
      <c r="L979" s="5">
        <v>2.95</v>
      </c>
      <c r="M979" s="3">
        <v>14729.0</v>
      </c>
      <c r="N979" s="1" t="str">
        <f t="shared" si="5"/>
        <v>Registered</v>
      </c>
      <c r="O979" s="1" t="s">
        <v>19</v>
      </c>
      <c r="P979" s="9" t="str">
        <f t="shared" si="6"/>
        <v>UK</v>
      </c>
      <c r="Q979" s="8">
        <f t="shared" si="7"/>
        <v>8.85</v>
      </c>
    </row>
    <row r="980">
      <c r="A980" s="1">
        <v>536520.0</v>
      </c>
      <c r="B980" s="1" t="str">
        <f t="shared" si="1"/>
        <v>536520</v>
      </c>
      <c r="C980" s="1" t="str">
        <f t="shared" si="2"/>
        <v>Sale</v>
      </c>
      <c r="D980" s="1">
        <v>22575.0</v>
      </c>
      <c r="E980" s="1" t="str">
        <f>IFERROR(__xludf.DUMMYFUNCTION("IF(LEN(D980)&gt;4, IFERROR(REGEXEXTRACT(TO_TEXT(D980),""\d+""),""""),"""")"),"22575")</f>
        <v>22575</v>
      </c>
      <c r="F980" s="6" t="str">
        <f t="shared" si="3"/>
        <v>Product</v>
      </c>
      <c r="G980" s="1" t="s">
        <v>670</v>
      </c>
      <c r="H980" s="6" t="str">
        <f>IFERROR(__xludf.DUMMYFUNCTION("IF(REGEXMATCH(LOWER(G980), ""^(\?)+\s*(missing)?\s*(\?)*$""), """", PROPER(SUBSTITUTE(SUBSTITUTE(G980, ""?"", """"), ""*"", """")))"),"Metal Merry Christmas Wreath")</f>
        <v>Metal Merry Christmas Wreath</v>
      </c>
      <c r="I980" s="3">
        <v>1.0</v>
      </c>
      <c r="J980" s="7">
        <v>40513.529861111114</v>
      </c>
      <c r="K980" s="8" t="str">
        <f t="shared" si="4"/>
        <v>2010-12</v>
      </c>
      <c r="L980" s="5">
        <v>1.95</v>
      </c>
      <c r="M980" s="3">
        <v>14729.0</v>
      </c>
      <c r="N980" s="1" t="str">
        <f t="shared" si="5"/>
        <v>Registered</v>
      </c>
      <c r="O980" s="1" t="s">
        <v>19</v>
      </c>
      <c r="P980" s="9" t="str">
        <f t="shared" si="6"/>
        <v>UK</v>
      </c>
      <c r="Q980" s="8">
        <f t="shared" si="7"/>
        <v>1.95</v>
      </c>
    </row>
    <row r="981">
      <c r="A981" s="1">
        <v>536520.0</v>
      </c>
      <c r="B981" s="1" t="str">
        <f t="shared" si="1"/>
        <v>536520</v>
      </c>
      <c r="C981" s="1" t="str">
        <f t="shared" si="2"/>
        <v>Sale</v>
      </c>
      <c r="D981" s="1">
        <v>21804.0</v>
      </c>
      <c r="E981" s="1" t="str">
        <f>IFERROR(__xludf.DUMMYFUNCTION("IF(LEN(D981)&gt;4, IFERROR(REGEXEXTRACT(TO_TEXT(D981),""\d+""),""""),"""")"),"21804")</f>
        <v>21804</v>
      </c>
      <c r="F981" s="6" t="str">
        <f t="shared" si="3"/>
        <v>Product</v>
      </c>
      <c r="G981" s="1" t="s">
        <v>671</v>
      </c>
      <c r="H981" s="6" t="str">
        <f>IFERROR(__xludf.DUMMYFUNCTION("IF(REGEXMATCH(LOWER(G981), ""^(\?)+\s*(missing)?\s*(\?)*$""), """", PROPER(SUBSTITUTE(SUBSTITUTE(G981, ""?"", """"), ""*"", """")))"),"White Christmas Garland Stars Trees")</f>
        <v>White Christmas Garland Stars Trees</v>
      </c>
      <c r="I981" s="3">
        <v>3.0</v>
      </c>
      <c r="J981" s="7">
        <v>40513.529861111114</v>
      </c>
      <c r="K981" s="8" t="str">
        <f t="shared" si="4"/>
        <v>2010-12</v>
      </c>
      <c r="L981" s="5">
        <v>3.75</v>
      </c>
      <c r="M981" s="3">
        <v>14729.0</v>
      </c>
      <c r="N981" s="1" t="str">
        <f t="shared" si="5"/>
        <v>Registered</v>
      </c>
      <c r="O981" s="1" t="s">
        <v>19</v>
      </c>
      <c r="P981" s="9" t="str">
        <f t="shared" si="6"/>
        <v>UK</v>
      </c>
      <c r="Q981" s="8">
        <f t="shared" si="7"/>
        <v>11.25</v>
      </c>
    </row>
    <row r="982">
      <c r="A982" s="1">
        <v>536520.0</v>
      </c>
      <c r="B982" s="1" t="str">
        <f t="shared" si="1"/>
        <v>536520</v>
      </c>
      <c r="C982" s="1" t="str">
        <f t="shared" si="2"/>
        <v>Sale</v>
      </c>
      <c r="D982" s="1">
        <v>21584.0</v>
      </c>
      <c r="E982" s="1" t="str">
        <f>IFERROR(__xludf.DUMMYFUNCTION("IF(LEN(D982)&gt;4, IFERROR(REGEXEXTRACT(TO_TEXT(D982),""\d+""),""""),"""")"),"21584")</f>
        <v>21584</v>
      </c>
      <c r="F982" s="6" t="str">
        <f t="shared" si="3"/>
        <v>Product</v>
      </c>
      <c r="G982" s="1" t="s">
        <v>598</v>
      </c>
      <c r="H982" s="6" t="str">
        <f>IFERROR(__xludf.DUMMYFUNCTION("IF(REGEXMATCH(LOWER(G982), ""^(\?)+\s*(missing)?\s*(\?)*$""), """", PROPER(SUBSTITUTE(SUBSTITUTE(G982, ""?"", """"), ""*"", """")))"),"Retrospot Small Tube Matches")</f>
        <v>Retrospot Small Tube Matches</v>
      </c>
      <c r="I982" s="3">
        <v>12.0</v>
      </c>
      <c r="J982" s="7">
        <v>40513.529861111114</v>
      </c>
      <c r="K982" s="8" t="str">
        <f t="shared" si="4"/>
        <v>2010-12</v>
      </c>
      <c r="L982" s="5">
        <v>1.65</v>
      </c>
      <c r="M982" s="3">
        <v>14729.0</v>
      </c>
      <c r="N982" s="1" t="str">
        <f t="shared" si="5"/>
        <v>Registered</v>
      </c>
      <c r="O982" s="1" t="s">
        <v>19</v>
      </c>
      <c r="P982" s="9" t="str">
        <f t="shared" si="6"/>
        <v>UK</v>
      </c>
      <c r="Q982" s="8">
        <f t="shared" si="7"/>
        <v>19.8</v>
      </c>
    </row>
    <row r="983">
      <c r="A983" s="1">
        <v>536520.0</v>
      </c>
      <c r="B983" s="1" t="str">
        <f t="shared" si="1"/>
        <v>536520</v>
      </c>
      <c r="C983" s="1" t="str">
        <f t="shared" si="2"/>
        <v>Sale</v>
      </c>
      <c r="D983" s="1">
        <v>21588.0</v>
      </c>
      <c r="E983" s="1" t="str">
        <f>IFERROR(__xludf.DUMMYFUNCTION("IF(LEN(D983)&gt;4, IFERROR(REGEXEXTRACT(TO_TEXT(D983),""\d+""),""""),"""")"),"21588")</f>
        <v>21588</v>
      </c>
      <c r="F983" s="6" t="str">
        <f t="shared" si="3"/>
        <v>Product</v>
      </c>
      <c r="G983" s="1" t="s">
        <v>672</v>
      </c>
      <c r="H983" s="6" t="str">
        <f>IFERROR(__xludf.DUMMYFUNCTION("IF(REGEXMATCH(LOWER(G983), ""^(\?)+\s*(missing)?\s*(\?)*$""), """", PROPER(SUBSTITUTE(SUBSTITUTE(G983, ""?"", """"), ""*"", """")))"),"Retrospot Giant Tube Matches")</f>
        <v>Retrospot Giant Tube Matches</v>
      </c>
      <c r="I983" s="3">
        <v>3.0</v>
      </c>
      <c r="J983" s="7">
        <v>40513.529861111114</v>
      </c>
      <c r="K983" s="8" t="str">
        <f t="shared" si="4"/>
        <v>2010-12</v>
      </c>
      <c r="L983" s="5">
        <v>2.55</v>
      </c>
      <c r="M983" s="3">
        <v>14729.0</v>
      </c>
      <c r="N983" s="1" t="str">
        <f t="shared" si="5"/>
        <v>Registered</v>
      </c>
      <c r="O983" s="1" t="s">
        <v>19</v>
      </c>
      <c r="P983" s="9" t="str">
        <f t="shared" si="6"/>
        <v>UK</v>
      </c>
      <c r="Q983" s="8">
        <f t="shared" si="7"/>
        <v>7.65</v>
      </c>
    </row>
    <row r="984">
      <c r="A984" s="1">
        <v>536520.0</v>
      </c>
      <c r="B984" s="1" t="str">
        <f t="shared" si="1"/>
        <v>536520</v>
      </c>
      <c r="C984" s="1" t="str">
        <f t="shared" si="2"/>
        <v>Sale</v>
      </c>
      <c r="D984" s="1">
        <v>22152.0</v>
      </c>
      <c r="E984" s="1" t="str">
        <f>IFERROR(__xludf.DUMMYFUNCTION("IF(LEN(D984)&gt;4, IFERROR(REGEXEXTRACT(TO_TEXT(D984),""\d+""),""""),"""")"),"22152")</f>
        <v>22152</v>
      </c>
      <c r="F984" s="6" t="str">
        <f t="shared" si="3"/>
        <v>Product</v>
      </c>
      <c r="G984" s="1" t="s">
        <v>549</v>
      </c>
      <c r="H984" s="6" t="str">
        <f>IFERROR(__xludf.DUMMYFUNCTION("IF(REGEXMATCH(LOWER(G984), ""^(\?)+\s*(missing)?\s*(\?)*$""), """", PROPER(SUBSTITUTE(SUBSTITUTE(G984, ""?"", """"), ""*"", """")))"),"Place Setting White Star")</f>
        <v>Place Setting White Star</v>
      </c>
      <c r="I984" s="3">
        <v>12.0</v>
      </c>
      <c r="J984" s="7">
        <v>40513.529861111114</v>
      </c>
      <c r="K984" s="8" t="str">
        <f t="shared" si="4"/>
        <v>2010-12</v>
      </c>
      <c r="L984" s="5">
        <v>0.42</v>
      </c>
      <c r="M984" s="3">
        <v>14729.0</v>
      </c>
      <c r="N984" s="1" t="str">
        <f t="shared" si="5"/>
        <v>Registered</v>
      </c>
      <c r="O984" s="1" t="s">
        <v>19</v>
      </c>
      <c r="P984" s="9" t="str">
        <f t="shared" si="6"/>
        <v>UK</v>
      </c>
      <c r="Q984" s="8">
        <f t="shared" si="7"/>
        <v>5.04</v>
      </c>
    </row>
    <row r="985">
      <c r="A985" s="1">
        <v>536520.0</v>
      </c>
      <c r="B985" s="1" t="str">
        <f t="shared" si="1"/>
        <v>536520</v>
      </c>
      <c r="C985" s="1" t="str">
        <f t="shared" si="2"/>
        <v>Sale</v>
      </c>
      <c r="D985" s="1">
        <v>22441.0</v>
      </c>
      <c r="E985" s="1" t="str">
        <f>IFERROR(__xludf.DUMMYFUNCTION("IF(LEN(D985)&gt;4, IFERROR(REGEXEXTRACT(TO_TEXT(D985),""\d+""),""""),"""")"),"22441")</f>
        <v>22441</v>
      </c>
      <c r="F985" s="6" t="str">
        <f t="shared" si="3"/>
        <v>Product</v>
      </c>
      <c r="G985" s="1" t="s">
        <v>301</v>
      </c>
      <c r="H985" s="6" t="str">
        <f>IFERROR(__xludf.DUMMYFUNCTION("IF(REGEXMATCH(LOWER(G985), ""^(\?)+\s*(missing)?\s*(\?)*$""), """", PROPER(SUBSTITUTE(SUBSTITUTE(G985, ""?"", """"), ""*"", """")))"),"Grow Your Own Basil In Enamel Mug")</f>
        <v>Grow Your Own Basil In Enamel Mug</v>
      </c>
      <c r="I985" s="3">
        <v>1.0</v>
      </c>
      <c r="J985" s="7">
        <v>40513.529861111114</v>
      </c>
      <c r="K985" s="8" t="str">
        <f t="shared" si="4"/>
        <v>2010-12</v>
      </c>
      <c r="L985" s="5">
        <v>2.1</v>
      </c>
      <c r="M985" s="3">
        <v>14729.0</v>
      </c>
      <c r="N985" s="1" t="str">
        <f t="shared" si="5"/>
        <v>Registered</v>
      </c>
      <c r="O985" s="1" t="s">
        <v>19</v>
      </c>
      <c r="P985" s="9" t="str">
        <f t="shared" si="6"/>
        <v>UK</v>
      </c>
      <c r="Q985" s="8">
        <f t="shared" si="7"/>
        <v>2.1</v>
      </c>
    </row>
    <row r="986">
      <c r="A986" s="1">
        <v>536520.0</v>
      </c>
      <c r="B986" s="1" t="str">
        <f t="shared" si="1"/>
        <v>536520</v>
      </c>
      <c r="C986" s="1" t="str">
        <f t="shared" si="2"/>
        <v>Sale</v>
      </c>
      <c r="D986" s="1">
        <v>22955.0</v>
      </c>
      <c r="E986" s="1" t="str">
        <f>IFERROR(__xludf.DUMMYFUNCTION("IF(LEN(D986)&gt;4, IFERROR(REGEXEXTRACT(TO_TEXT(D986),""\d+""),""""),"""")"),"22955")</f>
        <v>22955</v>
      </c>
      <c r="F986" s="6" t="str">
        <f t="shared" si="3"/>
        <v>Product</v>
      </c>
      <c r="G986" s="1" t="s">
        <v>673</v>
      </c>
      <c r="H986" s="6" t="str">
        <f>IFERROR(__xludf.DUMMYFUNCTION("IF(REGEXMATCH(LOWER(G986), ""^(\?)+\s*(missing)?\s*(\?)*$""), """", PROPER(SUBSTITUTE(SUBSTITUTE(G986, ""?"", """"), ""*"", """")))"),"36 Foil Star Cake Cases")</f>
        <v>36 Foil Star Cake Cases</v>
      </c>
      <c r="I986" s="3">
        <v>2.0</v>
      </c>
      <c r="J986" s="7">
        <v>40513.529861111114</v>
      </c>
      <c r="K986" s="8" t="str">
        <f t="shared" si="4"/>
        <v>2010-12</v>
      </c>
      <c r="L986" s="5">
        <v>2.1</v>
      </c>
      <c r="M986" s="3">
        <v>14729.0</v>
      </c>
      <c r="N986" s="1" t="str">
        <f t="shared" si="5"/>
        <v>Registered</v>
      </c>
      <c r="O986" s="1" t="s">
        <v>19</v>
      </c>
      <c r="P986" s="9" t="str">
        <f t="shared" si="6"/>
        <v>UK</v>
      </c>
      <c r="Q986" s="8">
        <f t="shared" si="7"/>
        <v>4.2</v>
      </c>
    </row>
    <row r="987">
      <c r="A987" s="1">
        <v>536520.0</v>
      </c>
      <c r="B987" s="1" t="str">
        <f t="shared" si="1"/>
        <v>536520</v>
      </c>
      <c r="C987" s="1" t="str">
        <f t="shared" si="2"/>
        <v>Sale</v>
      </c>
      <c r="D987" s="1">
        <v>22956.0</v>
      </c>
      <c r="E987" s="1" t="str">
        <f>IFERROR(__xludf.DUMMYFUNCTION("IF(LEN(D987)&gt;4, IFERROR(REGEXEXTRACT(TO_TEXT(D987),""\d+""),""""),"""")"),"22956")</f>
        <v>22956</v>
      </c>
      <c r="F987" s="6" t="str">
        <f t="shared" si="3"/>
        <v>Product</v>
      </c>
      <c r="G987" s="1" t="s">
        <v>600</v>
      </c>
      <c r="H987" s="6" t="str">
        <f>IFERROR(__xludf.DUMMYFUNCTION("IF(REGEXMATCH(LOWER(G987), ""^(\?)+\s*(missing)?\s*(\?)*$""), """", PROPER(SUBSTITUTE(SUBSTITUTE(G987, ""?"", """"), ""*"", """")))"),"36 Foil Heart Cake Cases")</f>
        <v>36 Foil Heart Cake Cases</v>
      </c>
      <c r="I987" s="3">
        <v>2.0</v>
      </c>
      <c r="J987" s="7">
        <v>40513.529861111114</v>
      </c>
      <c r="K987" s="8" t="str">
        <f t="shared" si="4"/>
        <v>2010-12</v>
      </c>
      <c r="L987" s="5">
        <v>2.1</v>
      </c>
      <c r="M987" s="3">
        <v>14729.0</v>
      </c>
      <c r="N987" s="1" t="str">
        <f t="shared" si="5"/>
        <v>Registered</v>
      </c>
      <c r="O987" s="1" t="s">
        <v>19</v>
      </c>
      <c r="P987" s="9" t="str">
        <f t="shared" si="6"/>
        <v>UK</v>
      </c>
      <c r="Q987" s="8">
        <f t="shared" si="7"/>
        <v>4.2</v>
      </c>
    </row>
    <row r="988">
      <c r="A988" s="1">
        <v>536520.0</v>
      </c>
      <c r="B988" s="1" t="str">
        <f t="shared" si="1"/>
        <v>536520</v>
      </c>
      <c r="C988" s="1" t="str">
        <f t="shared" si="2"/>
        <v>Sale</v>
      </c>
      <c r="D988" s="1">
        <v>22582.0</v>
      </c>
      <c r="E988" s="1" t="str">
        <f>IFERROR(__xludf.DUMMYFUNCTION("IF(LEN(D988)&gt;4, IFERROR(REGEXEXTRACT(TO_TEXT(D988),""\d+""),""""),"""")"),"22582")</f>
        <v>22582</v>
      </c>
      <c r="F988" s="6" t="str">
        <f t="shared" si="3"/>
        <v>Product</v>
      </c>
      <c r="G988" s="1" t="s">
        <v>601</v>
      </c>
      <c r="H988" s="6" t="str">
        <f>IFERROR(__xludf.DUMMYFUNCTION("IF(REGEXMATCH(LOWER(G988), ""^(\?)+\s*(missing)?\s*(\?)*$""), """", PROPER(SUBSTITUTE(SUBSTITUTE(G988, ""?"", """"), ""*"", """")))"),"Pack Of 6 Sweetie Gift Boxes")</f>
        <v>Pack Of 6 Sweetie Gift Boxes</v>
      </c>
      <c r="I988" s="3">
        <v>2.0</v>
      </c>
      <c r="J988" s="7">
        <v>40513.529861111114</v>
      </c>
      <c r="K988" s="8" t="str">
        <f t="shared" si="4"/>
        <v>2010-12</v>
      </c>
      <c r="L988" s="5">
        <v>2.55</v>
      </c>
      <c r="M988" s="3">
        <v>14729.0</v>
      </c>
      <c r="N988" s="1" t="str">
        <f t="shared" si="5"/>
        <v>Registered</v>
      </c>
      <c r="O988" s="1" t="s">
        <v>19</v>
      </c>
      <c r="P988" s="9" t="str">
        <f t="shared" si="6"/>
        <v>UK</v>
      </c>
      <c r="Q988" s="8">
        <f t="shared" si="7"/>
        <v>5.1</v>
      </c>
    </row>
    <row r="989">
      <c r="A989" s="1">
        <v>536520.0</v>
      </c>
      <c r="B989" s="1" t="str">
        <f t="shared" si="1"/>
        <v>536520</v>
      </c>
      <c r="C989" s="1" t="str">
        <f t="shared" si="2"/>
        <v>Sale</v>
      </c>
      <c r="D989" s="1">
        <v>22583.0</v>
      </c>
      <c r="E989" s="1" t="str">
        <f>IFERROR(__xludf.DUMMYFUNCTION("IF(LEN(D989)&gt;4, IFERROR(REGEXEXTRACT(TO_TEXT(D989),""\d+""),""""),"""")"),"22583")</f>
        <v>22583</v>
      </c>
      <c r="F989" s="6" t="str">
        <f t="shared" si="3"/>
        <v>Product</v>
      </c>
      <c r="G989" s="1" t="s">
        <v>674</v>
      </c>
      <c r="H989" s="6" t="str">
        <f>IFERROR(__xludf.DUMMYFUNCTION("IF(REGEXMATCH(LOWER(G989), ""^(\?)+\s*(missing)?\s*(\?)*$""), """", PROPER(SUBSTITUTE(SUBSTITUTE(G989, ""?"", """"), ""*"", """")))"),"Pack Of 6 Handbag Gift Boxes")</f>
        <v>Pack Of 6 Handbag Gift Boxes</v>
      </c>
      <c r="I989" s="3">
        <v>3.0</v>
      </c>
      <c r="J989" s="7">
        <v>40513.529861111114</v>
      </c>
      <c r="K989" s="8" t="str">
        <f t="shared" si="4"/>
        <v>2010-12</v>
      </c>
      <c r="L989" s="5">
        <v>2.55</v>
      </c>
      <c r="M989" s="3">
        <v>14729.0</v>
      </c>
      <c r="N989" s="1" t="str">
        <f t="shared" si="5"/>
        <v>Registered</v>
      </c>
      <c r="O989" s="1" t="s">
        <v>19</v>
      </c>
      <c r="P989" s="9" t="str">
        <f t="shared" si="6"/>
        <v>UK</v>
      </c>
      <c r="Q989" s="8">
        <f t="shared" si="7"/>
        <v>7.65</v>
      </c>
    </row>
    <row r="990">
      <c r="A990" s="1">
        <v>536520.0</v>
      </c>
      <c r="B990" s="1" t="str">
        <f t="shared" si="1"/>
        <v>536520</v>
      </c>
      <c r="C990" s="1" t="str">
        <f t="shared" si="2"/>
        <v>Sale</v>
      </c>
      <c r="D990" s="1">
        <v>22241.0</v>
      </c>
      <c r="E990" s="1" t="str">
        <f>IFERROR(__xludf.DUMMYFUNCTION("IF(LEN(D990)&gt;4, IFERROR(REGEXEXTRACT(TO_TEXT(D990),""\d+""),""""),"""")"),"22241")</f>
        <v>22241</v>
      </c>
      <c r="F990" s="6" t="str">
        <f t="shared" si="3"/>
        <v>Product</v>
      </c>
      <c r="G990" s="1" t="s">
        <v>675</v>
      </c>
      <c r="H990" s="6" t="str">
        <f>IFERROR(__xludf.DUMMYFUNCTION("IF(REGEXMATCH(LOWER(G990), ""^(\?)+\s*(missing)?\s*(\?)*$""), """", PROPER(SUBSTITUTE(SUBSTITUTE(G990, ""?"", """"), ""*"", """")))"),"Garland Wooden Happy Easter")</f>
        <v>Garland Wooden Happy Easter</v>
      </c>
      <c r="I990" s="3">
        <v>2.0</v>
      </c>
      <c r="J990" s="7">
        <v>40513.529861111114</v>
      </c>
      <c r="K990" s="8" t="str">
        <f t="shared" si="4"/>
        <v>2010-12</v>
      </c>
      <c r="L990" s="5">
        <v>1.25</v>
      </c>
      <c r="M990" s="3">
        <v>14729.0</v>
      </c>
      <c r="N990" s="1" t="str">
        <f t="shared" si="5"/>
        <v>Registered</v>
      </c>
      <c r="O990" s="1" t="s">
        <v>19</v>
      </c>
      <c r="P990" s="9" t="str">
        <f t="shared" si="6"/>
        <v>UK</v>
      </c>
      <c r="Q990" s="8">
        <f t="shared" si="7"/>
        <v>2.5</v>
      </c>
    </row>
    <row r="991">
      <c r="A991" s="1">
        <v>536520.0</v>
      </c>
      <c r="B991" s="1" t="str">
        <f t="shared" si="1"/>
        <v>536520</v>
      </c>
      <c r="C991" s="1" t="str">
        <f t="shared" si="2"/>
        <v>Sale</v>
      </c>
      <c r="D991" s="1">
        <v>22904.0</v>
      </c>
      <c r="E991" s="1" t="str">
        <f>IFERROR(__xludf.DUMMYFUNCTION("IF(LEN(D991)&gt;4, IFERROR(REGEXEXTRACT(TO_TEXT(D991),""\d+""),""""),"""")"),"22904")</f>
        <v>22904</v>
      </c>
      <c r="F991" s="6" t="str">
        <f t="shared" si="3"/>
        <v>Product</v>
      </c>
      <c r="G991" s="1" t="s">
        <v>676</v>
      </c>
      <c r="H991" s="6" t="str">
        <f>IFERROR(__xludf.DUMMYFUNCTION("IF(REGEXMATCH(LOWER(G991), ""^(\?)+\s*(missing)?\s*(\?)*$""), """", PROPER(SUBSTITUTE(SUBSTITUTE(G991, ""?"", """"), ""*"", """")))"),"Calendar Paper Cut Design")</f>
        <v>Calendar Paper Cut Design</v>
      </c>
      <c r="I991" s="3">
        <v>3.0</v>
      </c>
      <c r="J991" s="7">
        <v>40513.529861111114</v>
      </c>
      <c r="K991" s="8" t="str">
        <f t="shared" si="4"/>
        <v>2010-12</v>
      </c>
      <c r="L991" s="5">
        <v>2.95</v>
      </c>
      <c r="M991" s="3">
        <v>14729.0</v>
      </c>
      <c r="N991" s="1" t="str">
        <f t="shared" si="5"/>
        <v>Registered</v>
      </c>
      <c r="O991" s="1" t="s">
        <v>19</v>
      </c>
      <c r="P991" s="9" t="str">
        <f t="shared" si="6"/>
        <v>UK</v>
      </c>
      <c r="Q991" s="8">
        <f t="shared" si="7"/>
        <v>8.85</v>
      </c>
    </row>
    <row r="992">
      <c r="A992" s="1">
        <v>536520.0</v>
      </c>
      <c r="B992" s="1" t="str">
        <f t="shared" si="1"/>
        <v>536520</v>
      </c>
      <c r="C992" s="1" t="str">
        <f t="shared" si="2"/>
        <v>Sale</v>
      </c>
      <c r="D992" s="1">
        <v>22905.0</v>
      </c>
      <c r="E992" s="1" t="str">
        <f>IFERROR(__xludf.DUMMYFUNCTION("IF(LEN(D992)&gt;4, IFERROR(REGEXEXTRACT(TO_TEXT(D992),""\d+""),""""),"""")"),"22905")</f>
        <v>22905</v>
      </c>
      <c r="F992" s="6" t="str">
        <f t="shared" si="3"/>
        <v>Product</v>
      </c>
      <c r="G992" s="1" t="s">
        <v>677</v>
      </c>
      <c r="H992" s="6" t="str">
        <f>IFERROR(__xludf.DUMMYFUNCTION("IF(REGEXMATCH(LOWER(G992), ""^(\?)+\s*(missing)?\s*(\?)*$""), """", PROPER(SUBSTITUTE(SUBSTITUTE(G992, ""?"", """"), ""*"", """")))"),"Calendar In Season Design")</f>
        <v>Calendar In Season Design</v>
      </c>
      <c r="I992" s="3">
        <v>2.0</v>
      </c>
      <c r="J992" s="7">
        <v>40513.529861111114</v>
      </c>
      <c r="K992" s="8" t="str">
        <f t="shared" si="4"/>
        <v>2010-12</v>
      </c>
      <c r="L992" s="5">
        <v>2.95</v>
      </c>
      <c r="M992" s="3">
        <v>14729.0</v>
      </c>
      <c r="N992" s="1" t="str">
        <f t="shared" si="5"/>
        <v>Registered</v>
      </c>
      <c r="O992" s="1" t="s">
        <v>19</v>
      </c>
      <c r="P992" s="9" t="str">
        <f t="shared" si="6"/>
        <v>UK</v>
      </c>
      <c r="Q992" s="8">
        <f t="shared" si="7"/>
        <v>5.9</v>
      </c>
    </row>
    <row r="993">
      <c r="A993" s="1">
        <v>536520.0</v>
      </c>
      <c r="B993" s="1" t="str">
        <f t="shared" si="1"/>
        <v>536520</v>
      </c>
      <c r="C993" s="1" t="str">
        <f t="shared" si="2"/>
        <v>Sale</v>
      </c>
      <c r="D993" s="1">
        <v>22197.0</v>
      </c>
      <c r="E993" s="1" t="str">
        <f>IFERROR(__xludf.DUMMYFUNCTION("IF(LEN(D993)&gt;4, IFERROR(REGEXEXTRACT(TO_TEXT(D993),""\d+""),""""),"""")"),"22197")</f>
        <v>22197</v>
      </c>
      <c r="F993" s="6" t="str">
        <f t="shared" si="3"/>
        <v>Product</v>
      </c>
      <c r="G993" s="1" t="s">
        <v>217</v>
      </c>
      <c r="H993" s="6" t="str">
        <f>IFERROR(__xludf.DUMMYFUNCTION("IF(REGEXMATCH(LOWER(G993), ""^(\?)+\s*(missing)?\s*(\?)*$""), """", PROPER(SUBSTITUTE(SUBSTITUTE(G993, ""?"", """"), ""*"", """")))"),"Small Popcorn Holder")</f>
        <v>Small Popcorn Holder</v>
      </c>
      <c r="I993" s="3">
        <v>3.0</v>
      </c>
      <c r="J993" s="7">
        <v>40513.529861111114</v>
      </c>
      <c r="K993" s="8" t="str">
        <f t="shared" si="4"/>
        <v>2010-12</v>
      </c>
      <c r="L993" s="5">
        <v>0.85</v>
      </c>
      <c r="M993" s="3">
        <v>14729.0</v>
      </c>
      <c r="N993" s="1" t="str">
        <f t="shared" si="5"/>
        <v>Registered</v>
      </c>
      <c r="O993" s="1" t="s">
        <v>19</v>
      </c>
      <c r="P993" s="9" t="str">
        <f t="shared" si="6"/>
        <v>UK</v>
      </c>
      <c r="Q993" s="8">
        <f t="shared" si="7"/>
        <v>2.55</v>
      </c>
    </row>
    <row r="994">
      <c r="A994" s="1">
        <v>536520.0</v>
      </c>
      <c r="B994" s="1" t="str">
        <f t="shared" si="1"/>
        <v>536520</v>
      </c>
      <c r="C994" s="1" t="str">
        <f t="shared" si="2"/>
        <v>Sale</v>
      </c>
      <c r="D994" s="1">
        <v>22092.0</v>
      </c>
      <c r="E994" s="1" t="str">
        <f>IFERROR(__xludf.DUMMYFUNCTION("IF(LEN(D994)&gt;4, IFERROR(REGEXEXTRACT(TO_TEXT(D994),""\d+""),""""),"""")"),"22092")</f>
        <v>22092</v>
      </c>
      <c r="F994" s="6" t="str">
        <f t="shared" si="3"/>
        <v>Product</v>
      </c>
      <c r="G994" s="1" t="s">
        <v>678</v>
      </c>
      <c r="H994" s="6" t="str">
        <f>IFERROR(__xludf.DUMMYFUNCTION("IF(REGEXMATCH(LOWER(G994), ""^(\?)+\s*(missing)?\s*(\?)*$""), """", PROPER(SUBSTITUTE(SUBSTITUTE(G994, ""?"", """"), ""*"", """")))"),"Blue Paisley Tissue Box")</f>
        <v>Blue Paisley Tissue Box</v>
      </c>
      <c r="I994" s="3">
        <v>1.0</v>
      </c>
      <c r="J994" s="7">
        <v>40513.529861111114</v>
      </c>
      <c r="K994" s="8" t="str">
        <f t="shared" si="4"/>
        <v>2010-12</v>
      </c>
      <c r="L994" s="5">
        <v>1.25</v>
      </c>
      <c r="M994" s="3">
        <v>14729.0</v>
      </c>
      <c r="N994" s="1" t="str">
        <f t="shared" si="5"/>
        <v>Registered</v>
      </c>
      <c r="O994" s="1" t="s">
        <v>19</v>
      </c>
      <c r="P994" s="9" t="str">
        <f t="shared" si="6"/>
        <v>UK</v>
      </c>
      <c r="Q994" s="8">
        <f t="shared" si="7"/>
        <v>1.25</v>
      </c>
    </row>
    <row r="995">
      <c r="A995" s="1">
        <v>536520.0</v>
      </c>
      <c r="B995" s="1" t="str">
        <f t="shared" si="1"/>
        <v>536520</v>
      </c>
      <c r="C995" s="1" t="str">
        <f t="shared" si="2"/>
        <v>Sale</v>
      </c>
      <c r="D995" s="1">
        <v>22469.0</v>
      </c>
      <c r="E995" s="1" t="str">
        <f>IFERROR(__xludf.DUMMYFUNCTION("IF(LEN(D995)&gt;4, IFERROR(REGEXEXTRACT(TO_TEXT(D995),""\d+""),""""),"""")"),"22469")</f>
        <v>22469</v>
      </c>
      <c r="F995" s="6" t="str">
        <f t="shared" si="3"/>
        <v>Product</v>
      </c>
      <c r="G995" s="1" t="s">
        <v>167</v>
      </c>
      <c r="H995" s="6" t="str">
        <f>IFERROR(__xludf.DUMMYFUNCTION("IF(REGEXMATCH(LOWER(G995), ""^(\?)+\s*(missing)?\s*(\?)*$""), """", PROPER(SUBSTITUTE(SUBSTITUTE(G995, ""?"", """"), ""*"", """")))"),"Heart Of Wicker Small")</f>
        <v>Heart Of Wicker Small</v>
      </c>
      <c r="I995" s="3">
        <v>1.0</v>
      </c>
      <c r="J995" s="7">
        <v>40513.529861111114</v>
      </c>
      <c r="K995" s="8" t="str">
        <f t="shared" si="4"/>
        <v>2010-12</v>
      </c>
      <c r="L995" s="5">
        <v>1.65</v>
      </c>
      <c r="M995" s="3">
        <v>14729.0</v>
      </c>
      <c r="N995" s="1" t="str">
        <f t="shared" si="5"/>
        <v>Registered</v>
      </c>
      <c r="O995" s="1" t="s">
        <v>19</v>
      </c>
      <c r="P995" s="9" t="str">
        <f t="shared" si="6"/>
        <v>UK</v>
      </c>
      <c r="Q995" s="8">
        <f t="shared" si="7"/>
        <v>1.65</v>
      </c>
    </row>
    <row r="996">
      <c r="A996" s="1">
        <v>536520.0</v>
      </c>
      <c r="B996" s="1" t="str">
        <f t="shared" si="1"/>
        <v>536520</v>
      </c>
      <c r="C996" s="1" t="str">
        <f t="shared" si="2"/>
        <v>Sale</v>
      </c>
      <c r="D996" s="1">
        <v>22100.0</v>
      </c>
      <c r="E996" s="1" t="str">
        <f>IFERROR(__xludf.DUMMYFUNCTION("IF(LEN(D996)&gt;4, IFERROR(REGEXEXTRACT(TO_TEXT(D996),""\d+""),""""),"""")"),"22100")</f>
        <v>22100</v>
      </c>
      <c r="F996" s="6" t="str">
        <f t="shared" si="3"/>
        <v>Product</v>
      </c>
      <c r="G996" s="1" t="s">
        <v>273</v>
      </c>
      <c r="H996" s="6" t="str">
        <f>IFERROR(__xludf.DUMMYFUNCTION("IF(REGEXMATCH(LOWER(G996), ""^(\?)+\s*(missing)?\s*(\?)*$""), """", PROPER(SUBSTITUTE(SUBSTITUTE(G996, ""?"", """"), ""*"", """")))"),"Skulls Square Tissue Box")</f>
        <v>Skulls Square Tissue Box</v>
      </c>
      <c r="I996" s="3">
        <v>1.0</v>
      </c>
      <c r="J996" s="7">
        <v>40513.529861111114</v>
      </c>
      <c r="K996" s="8" t="str">
        <f t="shared" si="4"/>
        <v>2010-12</v>
      </c>
      <c r="L996" s="5">
        <v>1.25</v>
      </c>
      <c r="M996" s="3">
        <v>14729.0</v>
      </c>
      <c r="N996" s="1" t="str">
        <f t="shared" si="5"/>
        <v>Registered</v>
      </c>
      <c r="O996" s="1" t="s">
        <v>19</v>
      </c>
      <c r="P996" s="9" t="str">
        <f t="shared" si="6"/>
        <v>UK</v>
      </c>
      <c r="Q996" s="8">
        <f t="shared" si="7"/>
        <v>1.25</v>
      </c>
    </row>
    <row r="997">
      <c r="A997" s="1">
        <v>536520.0</v>
      </c>
      <c r="B997" s="1" t="str">
        <f t="shared" si="1"/>
        <v>536520</v>
      </c>
      <c r="C997" s="1" t="str">
        <f t="shared" si="2"/>
        <v>Sale</v>
      </c>
      <c r="D997" s="1">
        <v>22096.0</v>
      </c>
      <c r="E997" s="1" t="str">
        <f>IFERROR(__xludf.DUMMYFUNCTION("IF(LEN(D997)&gt;4, IFERROR(REGEXEXTRACT(TO_TEXT(D997),""\d+""),""""),"""")"),"22096")</f>
        <v>22096</v>
      </c>
      <c r="F997" s="6" t="str">
        <f t="shared" si="3"/>
        <v>Product</v>
      </c>
      <c r="G997" s="1" t="s">
        <v>679</v>
      </c>
      <c r="H997" s="6" t="str">
        <f>IFERROR(__xludf.DUMMYFUNCTION("IF(REGEXMATCH(LOWER(G997), ""^(\?)+\s*(missing)?\s*(\?)*$""), """", PROPER(SUBSTITUTE(SUBSTITUTE(G997, ""?"", """"), ""*"", """")))"),"Pink Paisley Square Tissue Box")</f>
        <v>Pink Paisley Square Tissue Box</v>
      </c>
      <c r="I997" s="3">
        <v>1.0</v>
      </c>
      <c r="J997" s="7">
        <v>40513.529861111114</v>
      </c>
      <c r="K997" s="8" t="str">
        <f t="shared" si="4"/>
        <v>2010-12</v>
      </c>
      <c r="L997" s="5">
        <v>1.25</v>
      </c>
      <c r="M997" s="3">
        <v>14729.0</v>
      </c>
      <c r="N997" s="1" t="str">
        <f t="shared" si="5"/>
        <v>Registered</v>
      </c>
      <c r="O997" s="1" t="s">
        <v>19</v>
      </c>
      <c r="P997" s="9" t="str">
        <f t="shared" si="6"/>
        <v>UK</v>
      </c>
      <c r="Q997" s="8">
        <f t="shared" si="7"/>
        <v>1.25</v>
      </c>
    </row>
    <row r="998">
      <c r="A998" s="1">
        <v>536520.0</v>
      </c>
      <c r="B998" s="1" t="str">
        <f t="shared" si="1"/>
        <v>536520</v>
      </c>
      <c r="C998" s="1" t="str">
        <f t="shared" si="2"/>
        <v>Sale</v>
      </c>
      <c r="D998" s="1">
        <v>22583.0</v>
      </c>
      <c r="E998" s="1" t="str">
        <f>IFERROR(__xludf.DUMMYFUNCTION("IF(LEN(D998)&gt;4, IFERROR(REGEXEXTRACT(TO_TEXT(D998),""\d+""),""""),"""")"),"22583")</f>
        <v>22583</v>
      </c>
      <c r="F998" s="6" t="str">
        <f t="shared" si="3"/>
        <v>Product</v>
      </c>
      <c r="G998" s="1" t="s">
        <v>674</v>
      </c>
      <c r="H998" s="6" t="str">
        <f>IFERROR(__xludf.DUMMYFUNCTION("IF(REGEXMATCH(LOWER(G998), ""^(\?)+\s*(missing)?\s*(\?)*$""), """", PROPER(SUBSTITUTE(SUBSTITUTE(G998, ""?"", """"), ""*"", """")))"),"Pack Of 6 Handbag Gift Boxes")</f>
        <v>Pack Of 6 Handbag Gift Boxes</v>
      </c>
      <c r="I998" s="3">
        <v>1.0</v>
      </c>
      <c r="J998" s="7">
        <v>40513.529861111114</v>
      </c>
      <c r="K998" s="8" t="str">
        <f t="shared" si="4"/>
        <v>2010-12</v>
      </c>
      <c r="L998" s="5">
        <v>2.55</v>
      </c>
      <c r="M998" s="3">
        <v>14729.0</v>
      </c>
      <c r="N998" s="1" t="str">
        <f t="shared" si="5"/>
        <v>Registered</v>
      </c>
      <c r="O998" s="1" t="s">
        <v>19</v>
      </c>
      <c r="P998" s="9" t="str">
        <f t="shared" si="6"/>
        <v>UK</v>
      </c>
      <c r="Q998" s="8">
        <f t="shared" si="7"/>
        <v>2.55</v>
      </c>
    </row>
    <row r="999">
      <c r="A999" s="1">
        <v>536520.0</v>
      </c>
      <c r="B999" s="1" t="str">
        <f t="shared" si="1"/>
        <v>536520</v>
      </c>
      <c r="C999" s="1" t="str">
        <f t="shared" si="2"/>
        <v>Sale</v>
      </c>
      <c r="D999" s="1">
        <v>21358.0</v>
      </c>
      <c r="E999" s="1" t="str">
        <f>IFERROR(__xludf.DUMMYFUNCTION("IF(LEN(D999)&gt;4, IFERROR(REGEXEXTRACT(TO_TEXT(D999),""\d+""),""""),"""")"),"21358")</f>
        <v>21358</v>
      </c>
      <c r="F999" s="6" t="str">
        <f t="shared" si="3"/>
        <v>Product</v>
      </c>
      <c r="G999" s="1" t="s">
        <v>680</v>
      </c>
      <c r="H999" s="6" t="str">
        <f>IFERROR(__xludf.DUMMYFUNCTION("IF(REGEXMATCH(LOWER(G999), ""^(\?)+\s*(missing)?\s*(\?)*$""), """", PROPER(SUBSTITUTE(SUBSTITUTE(G999, ""?"", """"), ""*"", """")))"),"Toast Its - Happy Birthday")</f>
        <v>Toast Its - Happy Birthday</v>
      </c>
      <c r="I999" s="3">
        <v>2.0</v>
      </c>
      <c r="J999" s="7">
        <v>40513.529861111114</v>
      </c>
      <c r="K999" s="8" t="str">
        <f t="shared" si="4"/>
        <v>2010-12</v>
      </c>
      <c r="L999" s="5">
        <v>1.25</v>
      </c>
      <c r="M999" s="3">
        <v>14729.0</v>
      </c>
      <c r="N999" s="1" t="str">
        <f t="shared" si="5"/>
        <v>Registered</v>
      </c>
      <c r="O999" s="1" t="s">
        <v>19</v>
      </c>
      <c r="P999" s="9" t="str">
        <f t="shared" si="6"/>
        <v>UK</v>
      </c>
      <c r="Q999" s="8">
        <f t="shared" si="7"/>
        <v>2.5</v>
      </c>
    </row>
    <row r="1000">
      <c r="A1000" s="1">
        <v>536520.0</v>
      </c>
      <c r="B1000" s="1" t="str">
        <f t="shared" si="1"/>
        <v>536520</v>
      </c>
      <c r="C1000" s="1" t="str">
        <f t="shared" si="2"/>
        <v>Sale</v>
      </c>
      <c r="D1000" s="1">
        <v>21123.0</v>
      </c>
      <c r="E1000" s="1" t="str">
        <f>IFERROR(__xludf.DUMMYFUNCTION("IF(LEN(D1000)&gt;4, IFERROR(REGEXEXTRACT(TO_TEXT(D1000),""\d+""),""""),"""")"),"21123")</f>
        <v>21123</v>
      </c>
      <c r="F1000" s="6" t="str">
        <f t="shared" si="3"/>
        <v>Product</v>
      </c>
      <c r="G1000" s="1" t="s">
        <v>681</v>
      </c>
      <c r="H1000" s="6" t="str">
        <f>IFERROR(__xludf.DUMMYFUNCTION("IF(REGEXMATCH(LOWER(G1000), ""^(\?)+\s*(missing)?\s*(\?)*$""), """", PROPER(SUBSTITUTE(SUBSTITUTE(G1000, ""?"", """"), ""*"", """")))"),"Set/10 Ivory Polkadot Party Candles")</f>
        <v>Set/10 Ivory Polkadot Party Candles</v>
      </c>
      <c r="I1000" s="3">
        <v>1.0</v>
      </c>
      <c r="J1000" s="7">
        <v>40513.529861111114</v>
      </c>
      <c r="K1000" s="8" t="str">
        <f t="shared" si="4"/>
        <v>2010-12</v>
      </c>
      <c r="L1000" s="5">
        <v>1.25</v>
      </c>
      <c r="M1000" s="3">
        <v>14729.0</v>
      </c>
      <c r="N1000" s="1" t="str">
        <f t="shared" si="5"/>
        <v>Registered</v>
      </c>
      <c r="O1000" s="1" t="s">
        <v>19</v>
      </c>
      <c r="P1000" s="9" t="str">
        <f t="shared" si="6"/>
        <v>UK</v>
      </c>
      <c r="Q1000" s="8">
        <f t="shared" si="7"/>
        <v>1.25</v>
      </c>
    </row>
    <row r="1001">
      <c r="A1001" s="1">
        <v>544812.0</v>
      </c>
      <c r="B1001" s="1" t="str">
        <f t="shared" si="1"/>
        <v>544812</v>
      </c>
      <c r="C1001" s="1" t="str">
        <f t="shared" si="2"/>
        <v>Sale</v>
      </c>
      <c r="D1001" s="1">
        <v>22654.0</v>
      </c>
      <c r="E1001" s="1" t="str">
        <f>IFERROR(__xludf.DUMMYFUNCTION("IF(LEN(D1001)&gt;4, IFERROR(REGEXEXTRACT(TO_TEXT(D1001),""\d+""),""""),"""")"),"22654")</f>
        <v>22654</v>
      </c>
      <c r="F1001" s="6" t="str">
        <f t="shared" si="3"/>
        <v>Product</v>
      </c>
      <c r="G1001" s="1" t="s">
        <v>222</v>
      </c>
      <c r="H1001" s="6" t="str">
        <f>IFERROR(__xludf.DUMMYFUNCTION("IF(REGEXMATCH(LOWER(G1001), ""^(\?)+\s*(missing)?\s*(\?)*$""), """", PROPER(SUBSTITUTE(SUBSTITUTE(G1001, ""?"", """"), ""*"", """")))"),"Deluxe Sewing Kit")</f>
        <v>Deluxe Sewing Kit</v>
      </c>
      <c r="I1001" s="3">
        <v>1.0</v>
      </c>
      <c r="J1001" s="7">
        <v>40597.66527777778</v>
      </c>
      <c r="K1001" s="8" t="str">
        <f t="shared" si="4"/>
        <v>2011-02</v>
      </c>
      <c r="L1001" s="5">
        <v>11.63</v>
      </c>
      <c r="M1001" s="10"/>
      <c r="N1001" s="1" t="str">
        <f t="shared" si="5"/>
        <v>Guest</v>
      </c>
      <c r="O1001" s="1" t="s">
        <v>19</v>
      </c>
      <c r="P1001" s="9" t="str">
        <f t="shared" si="6"/>
        <v>UK</v>
      </c>
      <c r="Q1001" s="8">
        <f t="shared" si="7"/>
        <v>11.63</v>
      </c>
    </row>
    <row r="1002">
      <c r="A1002" s="1">
        <v>544812.0</v>
      </c>
      <c r="B1002" s="1" t="str">
        <f t="shared" si="1"/>
        <v>544812</v>
      </c>
      <c r="C1002" s="1" t="str">
        <f t="shared" si="2"/>
        <v>Sale</v>
      </c>
      <c r="D1002" s="1">
        <v>22664.0</v>
      </c>
      <c r="E1002" s="1" t="str">
        <f>IFERROR(__xludf.DUMMYFUNCTION("IF(LEN(D1002)&gt;4, IFERROR(REGEXEXTRACT(TO_TEXT(D1002),""\d+""),""""),"""")"),"22664")</f>
        <v>22664</v>
      </c>
      <c r="F1002" s="6" t="str">
        <f t="shared" si="3"/>
        <v>Product</v>
      </c>
      <c r="G1002" s="1" t="s">
        <v>397</v>
      </c>
      <c r="H1002" s="6" t="str">
        <f>IFERROR(__xludf.DUMMYFUNCTION("IF(REGEXMATCH(LOWER(G1002), ""^(\?)+\s*(missing)?\s*(\?)*$""), """", PROPER(SUBSTITUTE(SUBSTITUTE(G1002, ""?"", """"), ""*"", """")))"),"Toy Tidy Dolly Girl Design")</f>
        <v>Toy Tidy Dolly Girl Design</v>
      </c>
      <c r="I1002" s="3">
        <v>1.0</v>
      </c>
      <c r="J1002" s="7">
        <v>40597.66527777778</v>
      </c>
      <c r="K1002" s="8" t="str">
        <f t="shared" si="4"/>
        <v>2011-02</v>
      </c>
      <c r="L1002" s="5">
        <v>4.13</v>
      </c>
      <c r="M1002" s="10"/>
      <c r="N1002" s="1" t="str">
        <f t="shared" si="5"/>
        <v>Guest</v>
      </c>
      <c r="O1002" s="1" t="s">
        <v>19</v>
      </c>
      <c r="P1002" s="9" t="str">
        <f t="shared" si="6"/>
        <v>UK</v>
      </c>
      <c r="Q1002" s="8">
        <f t="shared" si="7"/>
        <v>4.13</v>
      </c>
    </row>
    <row r="1003">
      <c r="A1003" s="1">
        <v>544812.0</v>
      </c>
      <c r="B1003" s="1" t="str">
        <f t="shared" si="1"/>
        <v>544812</v>
      </c>
      <c r="C1003" s="1" t="str">
        <f t="shared" si="2"/>
        <v>Sale</v>
      </c>
      <c r="D1003" s="1">
        <v>22697.0</v>
      </c>
      <c r="E1003" s="1" t="str">
        <f>IFERROR(__xludf.DUMMYFUNCTION("IF(LEN(D1003)&gt;4, IFERROR(REGEXEXTRACT(TO_TEXT(D1003),""\d+""),""""),"""")"),"22697")</f>
        <v>22697</v>
      </c>
      <c r="F1003" s="6" t="str">
        <f t="shared" si="3"/>
        <v>Product</v>
      </c>
      <c r="G1003" s="1" t="s">
        <v>682</v>
      </c>
      <c r="H1003" s="6" t="str">
        <f>IFERROR(__xludf.DUMMYFUNCTION("IF(REGEXMATCH(LOWER(G1003), ""^(\?)+\s*(missing)?\s*(\?)*$""), """", PROPER(SUBSTITUTE(SUBSTITUTE(G1003, ""?"", """"), ""*"", """")))"),"Green Regency Teacup And Saucer")</f>
        <v>Green Regency Teacup And Saucer</v>
      </c>
      <c r="I1003" s="3">
        <v>7.0</v>
      </c>
      <c r="J1003" s="7">
        <v>40597.66527777778</v>
      </c>
      <c r="K1003" s="8" t="str">
        <f t="shared" si="4"/>
        <v>2011-02</v>
      </c>
      <c r="L1003" s="5">
        <v>5.79</v>
      </c>
      <c r="M1003" s="10"/>
      <c r="N1003" s="1" t="str">
        <f t="shared" si="5"/>
        <v>Guest</v>
      </c>
      <c r="O1003" s="1" t="s">
        <v>19</v>
      </c>
      <c r="P1003" s="9" t="str">
        <f t="shared" si="6"/>
        <v>UK</v>
      </c>
      <c r="Q1003" s="8">
        <f t="shared" si="7"/>
        <v>40.53</v>
      </c>
    </row>
    <row r="1004">
      <c r="A1004" s="1">
        <v>544812.0</v>
      </c>
      <c r="B1004" s="1" t="str">
        <f t="shared" si="1"/>
        <v>544812</v>
      </c>
      <c r="C1004" s="1" t="str">
        <f t="shared" si="2"/>
        <v>Sale</v>
      </c>
      <c r="D1004" s="1">
        <v>22698.0</v>
      </c>
      <c r="E1004" s="1" t="str">
        <f>IFERROR(__xludf.DUMMYFUNCTION("IF(LEN(D1004)&gt;4, IFERROR(REGEXEXTRACT(TO_TEXT(D1004),""\d+""),""""),"""")"),"22698")</f>
        <v>22698</v>
      </c>
      <c r="F1004" s="6" t="str">
        <f t="shared" si="3"/>
        <v>Product</v>
      </c>
      <c r="G1004" s="1" t="s">
        <v>683</v>
      </c>
      <c r="H1004" s="6" t="str">
        <f>IFERROR(__xludf.DUMMYFUNCTION("IF(REGEXMATCH(LOWER(G1004), ""^(\?)+\s*(missing)?\s*(\?)*$""), """", PROPER(SUBSTITUTE(SUBSTITUTE(G1004, ""?"", """"), ""*"", """")))"),"Pink Regency Teacup And Saucer")</f>
        <v>Pink Regency Teacup And Saucer</v>
      </c>
      <c r="I1004" s="3">
        <v>3.0</v>
      </c>
      <c r="J1004" s="7">
        <v>40597.66527777778</v>
      </c>
      <c r="K1004" s="8" t="str">
        <f t="shared" si="4"/>
        <v>2011-02</v>
      </c>
      <c r="L1004" s="5">
        <v>5.79</v>
      </c>
      <c r="M1004" s="10"/>
      <c r="N1004" s="1" t="str">
        <f t="shared" si="5"/>
        <v>Guest</v>
      </c>
      <c r="O1004" s="1" t="s">
        <v>19</v>
      </c>
      <c r="P1004" s="9" t="str">
        <f t="shared" si="6"/>
        <v>UK</v>
      </c>
      <c r="Q1004" s="8">
        <f t="shared" si="7"/>
        <v>17.37</v>
      </c>
    </row>
    <row r="1005">
      <c r="A1005" s="1">
        <v>544812.0</v>
      </c>
      <c r="B1005" s="1" t="str">
        <f t="shared" si="1"/>
        <v>544812</v>
      </c>
      <c r="C1005" s="1" t="str">
        <f t="shared" si="2"/>
        <v>Sale</v>
      </c>
      <c r="D1005" s="1">
        <v>22699.0</v>
      </c>
      <c r="E1005" s="1" t="str">
        <f>IFERROR(__xludf.DUMMYFUNCTION("IF(LEN(D1005)&gt;4, IFERROR(REGEXEXTRACT(TO_TEXT(D1005),""\d+""),""""),"""")"),"22699")</f>
        <v>22699</v>
      </c>
      <c r="F1005" s="6" t="str">
        <f t="shared" si="3"/>
        <v>Product</v>
      </c>
      <c r="G1005" s="1" t="s">
        <v>684</v>
      </c>
      <c r="H1005" s="6" t="str">
        <f>IFERROR(__xludf.DUMMYFUNCTION("IF(REGEXMATCH(LOWER(G1005), ""^(\?)+\s*(missing)?\s*(\?)*$""), """", PROPER(SUBSTITUTE(SUBSTITUTE(G1005, ""?"", """"), ""*"", """")))"),"Roses Regency Teacup And Saucer")</f>
        <v>Roses Regency Teacup And Saucer</v>
      </c>
      <c r="I1005" s="3">
        <v>3.0</v>
      </c>
      <c r="J1005" s="7">
        <v>40597.66527777778</v>
      </c>
      <c r="K1005" s="8" t="str">
        <f t="shared" si="4"/>
        <v>2011-02</v>
      </c>
      <c r="L1005" s="5">
        <v>5.79</v>
      </c>
      <c r="M1005" s="10"/>
      <c r="N1005" s="1" t="str">
        <f t="shared" si="5"/>
        <v>Guest</v>
      </c>
      <c r="O1005" s="1" t="s">
        <v>19</v>
      </c>
      <c r="P1005" s="9" t="str">
        <f t="shared" si="6"/>
        <v>UK</v>
      </c>
      <c r="Q1005" s="8">
        <f t="shared" si="7"/>
        <v>17.37</v>
      </c>
    </row>
    <row r="1006">
      <c r="A1006" s="1">
        <v>544812.0</v>
      </c>
      <c r="B1006" s="1" t="str">
        <f t="shared" si="1"/>
        <v>544812</v>
      </c>
      <c r="C1006" s="1" t="str">
        <f t="shared" si="2"/>
        <v>Sale</v>
      </c>
      <c r="D1006" s="1">
        <v>22713.0</v>
      </c>
      <c r="E1006" s="1" t="str">
        <f>IFERROR(__xludf.DUMMYFUNCTION("IF(LEN(D1006)&gt;4, IFERROR(REGEXEXTRACT(TO_TEXT(D1006),""\d+""),""""),"""")"),"22713")</f>
        <v>22713</v>
      </c>
      <c r="F1006" s="6" t="str">
        <f t="shared" si="3"/>
        <v>Product</v>
      </c>
      <c r="G1006" s="1" t="s">
        <v>628</v>
      </c>
      <c r="H1006" s="6" t="str">
        <f>IFERROR(__xludf.DUMMYFUNCTION("IF(REGEXMATCH(LOWER(G1006), ""^(\?)+\s*(missing)?\s*(\?)*$""), """", PROPER(SUBSTITUTE(SUBSTITUTE(G1006, ""?"", """"), ""*"", """")))"),"Card I Love London")</f>
        <v>Card I Love London</v>
      </c>
      <c r="I1006" s="3">
        <v>1.0</v>
      </c>
      <c r="J1006" s="7">
        <v>40597.66527777778</v>
      </c>
      <c r="K1006" s="8" t="str">
        <f t="shared" si="4"/>
        <v>2011-02</v>
      </c>
      <c r="L1006" s="5">
        <v>0.83</v>
      </c>
      <c r="M1006" s="10"/>
      <c r="N1006" s="1" t="str">
        <f t="shared" si="5"/>
        <v>Guest</v>
      </c>
      <c r="O1006" s="1" t="s">
        <v>19</v>
      </c>
      <c r="P1006" s="9" t="str">
        <f t="shared" si="6"/>
        <v>UK</v>
      </c>
      <c r="Q1006" s="8">
        <f t="shared" si="7"/>
        <v>0.83</v>
      </c>
    </row>
    <row r="1007">
      <c r="A1007" s="1">
        <v>544812.0</v>
      </c>
      <c r="B1007" s="1" t="str">
        <f t="shared" si="1"/>
        <v>544812</v>
      </c>
      <c r="C1007" s="1" t="str">
        <f t="shared" si="2"/>
        <v>Sale</v>
      </c>
      <c r="D1007" s="1">
        <v>22714.0</v>
      </c>
      <c r="E1007" s="1" t="str">
        <f>IFERROR(__xludf.DUMMYFUNCTION("IF(LEN(D1007)&gt;4, IFERROR(REGEXEXTRACT(TO_TEXT(D1007),""\d+""),""""),"""")"),"22714")</f>
        <v>22714</v>
      </c>
      <c r="F1007" s="6" t="str">
        <f t="shared" si="3"/>
        <v>Product</v>
      </c>
      <c r="G1007" s="1" t="s">
        <v>384</v>
      </c>
      <c r="H1007" s="6" t="str">
        <f>IFERROR(__xludf.DUMMYFUNCTION("IF(REGEXMATCH(LOWER(G1007), ""^(\?)+\s*(missing)?\s*(\?)*$""), """", PROPER(SUBSTITUTE(SUBSTITUTE(G1007, ""?"", """"), ""*"", """")))"),"Card Birthday Cowboy")</f>
        <v>Card Birthday Cowboy</v>
      </c>
      <c r="I1007" s="3">
        <v>1.0</v>
      </c>
      <c r="J1007" s="7">
        <v>40597.66527777778</v>
      </c>
      <c r="K1007" s="8" t="str">
        <f t="shared" si="4"/>
        <v>2011-02</v>
      </c>
      <c r="L1007" s="5">
        <v>0.83</v>
      </c>
      <c r="M1007" s="10"/>
      <c r="N1007" s="1" t="str">
        <f t="shared" si="5"/>
        <v>Guest</v>
      </c>
      <c r="O1007" s="1" t="s">
        <v>19</v>
      </c>
      <c r="P1007" s="9" t="str">
        <f t="shared" si="6"/>
        <v>UK</v>
      </c>
      <c r="Q1007" s="8">
        <f t="shared" si="7"/>
        <v>0.83</v>
      </c>
    </row>
    <row r="1008">
      <c r="A1008" s="1">
        <v>544812.0</v>
      </c>
      <c r="B1008" s="1" t="str">
        <f t="shared" si="1"/>
        <v>544812</v>
      </c>
      <c r="C1008" s="1" t="str">
        <f t="shared" si="2"/>
        <v>Sale</v>
      </c>
      <c r="D1008" s="1">
        <v>22716.0</v>
      </c>
      <c r="E1008" s="1" t="str">
        <f>IFERROR(__xludf.DUMMYFUNCTION("IF(LEN(D1008)&gt;4, IFERROR(REGEXEXTRACT(TO_TEXT(D1008),""\d+""),""""),"""")"),"22716")</f>
        <v>22716</v>
      </c>
      <c r="F1008" s="6" t="str">
        <f t="shared" si="3"/>
        <v>Product</v>
      </c>
      <c r="G1008" s="1" t="s">
        <v>379</v>
      </c>
      <c r="H1008" s="6" t="str">
        <f>IFERROR(__xludf.DUMMYFUNCTION("IF(REGEXMATCH(LOWER(G1008), ""^(\?)+\s*(missing)?\s*(\?)*$""), """", PROPER(SUBSTITUTE(SUBSTITUTE(G1008, ""?"", """"), ""*"", """")))"),"Card Circus Parade")</f>
        <v>Card Circus Parade</v>
      </c>
      <c r="I1008" s="3">
        <v>1.0</v>
      </c>
      <c r="J1008" s="7">
        <v>40597.66527777778</v>
      </c>
      <c r="K1008" s="8" t="str">
        <f t="shared" si="4"/>
        <v>2011-02</v>
      </c>
      <c r="L1008" s="5">
        <v>0.83</v>
      </c>
      <c r="M1008" s="10"/>
      <c r="N1008" s="1" t="str">
        <f t="shared" si="5"/>
        <v>Guest</v>
      </c>
      <c r="O1008" s="1" t="s">
        <v>19</v>
      </c>
      <c r="P1008" s="9" t="str">
        <f t="shared" si="6"/>
        <v>UK</v>
      </c>
      <c r="Q1008" s="8">
        <f t="shared" si="7"/>
        <v>0.83</v>
      </c>
    </row>
    <row r="1009">
      <c r="A1009" s="1">
        <v>544812.0</v>
      </c>
      <c r="B1009" s="1" t="str">
        <f t="shared" si="1"/>
        <v>544812</v>
      </c>
      <c r="C1009" s="1" t="str">
        <f t="shared" si="2"/>
        <v>Sale</v>
      </c>
      <c r="D1009" s="1">
        <v>22720.0</v>
      </c>
      <c r="E1009" s="1" t="str">
        <f>IFERROR(__xludf.DUMMYFUNCTION("IF(LEN(D1009)&gt;4, IFERROR(REGEXEXTRACT(TO_TEXT(D1009),""\d+""),""""),"""")"),"22720")</f>
        <v>22720</v>
      </c>
      <c r="F1009" s="6" t="str">
        <f t="shared" si="3"/>
        <v>Product</v>
      </c>
      <c r="G1009" s="1" t="s">
        <v>685</v>
      </c>
      <c r="H1009" s="6" t="str">
        <f>IFERROR(__xludf.DUMMYFUNCTION("IF(REGEXMATCH(LOWER(G1009), ""^(\?)+\s*(missing)?\s*(\?)*$""), """", PROPER(SUBSTITUTE(SUBSTITUTE(G1009, ""?"", """"), ""*"", """")))"),"Set Of 3 Cake Tins Pantry Design")</f>
        <v>Set Of 3 Cake Tins Pantry Design</v>
      </c>
      <c r="I1009" s="3">
        <v>1.0</v>
      </c>
      <c r="J1009" s="7">
        <v>40597.66527777778</v>
      </c>
      <c r="K1009" s="8" t="str">
        <f t="shared" si="4"/>
        <v>2011-02</v>
      </c>
      <c r="L1009" s="5">
        <v>10.79</v>
      </c>
      <c r="M1009" s="10"/>
      <c r="N1009" s="1" t="str">
        <f t="shared" si="5"/>
        <v>Guest</v>
      </c>
      <c r="O1009" s="1" t="s">
        <v>19</v>
      </c>
      <c r="P1009" s="9" t="str">
        <f t="shared" si="6"/>
        <v>UK</v>
      </c>
      <c r="Q1009" s="8">
        <f t="shared" si="7"/>
        <v>10.79</v>
      </c>
    </row>
    <row r="1010">
      <c r="A1010" s="1">
        <v>544812.0</v>
      </c>
      <c r="B1010" s="1" t="str">
        <f t="shared" si="1"/>
        <v>544812</v>
      </c>
      <c r="C1010" s="1" t="str">
        <f t="shared" si="2"/>
        <v>Sale</v>
      </c>
      <c r="D1010" s="1">
        <v>22722.0</v>
      </c>
      <c r="E1010" s="1" t="str">
        <f>IFERROR(__xludf.DUMMYFUNCTION("IF(LEN(D1010)&gt;4, IFERROR(REGEXEXTRACT(TO_TEXT(D1010),""\d+""),""""),"""")"),"22722")</f>
        <v>22722</v>
      </c>
      <c r="F1010" s="6" t="str">
        <f t="shared" si="3"/>
        <v>Product</v>
      </c>
      <c r="G1010" s="1" t="s">
        <v>686</v>
      </c>
      <c r="H1010" s="6" t="str">
        <f>IFERROR(__xludf.DUMMYFUNCTION("IF(REGEXMATCH(LOWER(G1010), ""^(\?)+\s*(missing)?\s*(\?)*$""), """", PROPER(SUBSTITUTE(SUBSTITUTE(G1010, ""?"", """"), ""*"", """")))"),"Set Of 6 Spice Tins Pantry Design")</f>
        <v>Set Of 6 Spice Tins Pantry Design</v>
      </c>
      <c r="I1010" s="3">
        <v>2.0</v>
      </c>
      <c r="J1010" s="7">
        <v>40597.66527777778</v>
      </c>
      <c r="K1010" s="8" t="str">
        <f t="shared" si="4"/>
        <v>2011-02</v>
      </c>
      <c r="L1010" s="5">
        <v>8.29</v>
      </c>
      <c r="M1010" s="10"/>
      <c r="N1010" s="1" t="str">
        <f t="shared" si="5"/>
        <v>Guest</v>
      </c>
      <c r="O1010" s="1" t="s">
        <v>19</v>
      </c>
      <c r="P1010" s="9" t="str">
        <f t="shared" si="6"/>
        <v>UK</v>
      </c>
      <c r="Q1010" s="8">
        <f t="shared" si="7"/>
        <v>16.58</v>
      </c>
    </row>
    <row r="1011">
      <c r="A1011" s="1">
        <v>544812.0</v>
      </c>
      <c r="B1011" s="1" t="str">
        <f t="shared" si="1"/>
        <v>544812</v>
      </c>
      <c r="C1011" s="1" t="str">
        <f t="shared" si="2"/>
        <v>Sale</v>
      </c>
      <c r="D1011" s="1">
        <v>22726.0</v>
      </c>
      <c r="E1011" s="1" t="str">
        <f>IFERROR(__xludf.DUMMYFUNCTION("IF(LEN(D1011)&gt;4, IFERROR(REGEXEXTRACT(TO_TEXT(D1011),""\d+""),""""),"""")"),"22726")</f>
        <v>22726</v>
      </c>
      <c r="F1011" s="6" t="str">
        <f t="shared" si="3"/>
        <v>Product</v>
      </c>
      <c r="G1011" s="1" t="s">
        <v>51</v>
      </c>
      <c r="H1011" s="6" t="str">
        <f>IFERROR(__xludf.DUMMYFUNCTION("IF(REGEXMATCH(LOWER(G1011), ""^(\?)+\s*(missing)?\s*(\?)*$""), """", PROPER(SUBSTITUTE(SUBSTITUTE(G1011, ""?"", """"), ""*"", """")))"),"Alarm Clock Bakelike Green")</f>
        <v>Alarm Clock Bakelike Green</v>
      </c>
      <c r="I1011" s="3">
        <v>1.0</v>
      </c>
      <c r="J1011" s="7">
        <v>40597.66527777778</v>
      </c>
      <c r="K1011" s="8" t="str">
        <f t="shared" si="4"/>
        <v>2011-02</v>
      </c>
      <c r="L1011" s="5">
        <v>7.46</v>
      </c>
      <c r="M1011" s="10"/>
      <c r="N1011" s="1" t="str">
        <f t="shared" si="5"/>
        <v>Guest</v>
      </c>
      <c r="O1011" s="1" t="s">
        <v>19</v>
      </c>
      <c r="P1011" s="9" t="str">
        <f t="shared" si="6"/>
        <v>UK</v>
      </c>
      <c r="Q1011" s="8">
        <f t="shared" si="7"/>
        <v>7.46</v>
      </c>
    </row>
    <row r="1012">
      <c r="A1012" s="1">
        <v>544812.0</v>
      </c>
      <c r="B1012" s="1" t="str">
        <f t="shared" si="1"/>
        <v>544812</v>
      </c>
      <c r="C1012" s="1" t="str">
        <f t="shared" si="2"/>
        <v>Sale</v>
      </c>
      <c r="D1012" s="1">
        <v>22727.0</v>
      </c>
      <c r="E1012" s="1" t="str">
        <f>IFERROR(__xludf.DUMMYFUNCTION("IF(LEN(D1012)&gt;4, IFERROR(REGEXEXTRACT(TO_TEXT(D1012),""\d+""),""""),"""")"),"22727")</f>
        <v>22727</v>
      </c>
      <c r="F1012" s="6" t="str">
        <f t="shared" si="3"/>
        <v>Product</v>
      </c>
      <c r="G1012" s="1" t="s">
        <v>50</v>
      </c>
      <c r="H1012" s="6" t="str">
        <f>IFERROR(__xludf.DUMMYFUNCTION("IF(REGEXMATCH(LOWER(G1012), ""^(\?)+\s*(missing)?\s*(\?)*$""), """", PROPER(SUBSTITUTE(SUBSTITUTE(G1012, ""?"", """"), ""*"", """")))"),"Alarm Clock Bakelike Red")</f>
        <v>Alarm Clock Bakelike Red</v>
      </c>
      <c r="I1012" s="3">
        <v>2.0</v>
      </c>
      <c r="J1012" s="7">
        <v>40597.66527777778</v>
      </c>
      <c r="K1012" s="8" t="str">
        <f t="shared" si="4"/>
        <v>2011-02</v>
      </c>
      <c r="L1012" s="5">
        <v>7.46</v>
      </c>
      <c r="M1012" s="10"/>
      <c r="N1012" s="1" t="str">
        <f t="shared" si="5"/>
        <v>Guest</v>
      </c>
      <c r="O1012" s="1" t="s">
        <v>19</v>
      </c>
      <c r="P1012" s="9" t="str">
        <f t="shared" si="6"/>
        <v>UK</v>
      </c>
      <c r="Q1012" s="8">
        <f t="shared" si="7"/>
        <v>14.92</v>
      </c>
    </row>
    <row r="1013">
      <c r="A1013" s="1">
        <v>544812.0</v>
      </c>
      <c r="B1013" s="1" t="str">
        <f t="shared" si="1"/>
        <v>544812</v>
      </c>
      <c r="C1013" s="1" t="str">
        <f t="shared" si="2"/>
        <v>Sale</v>
      </c>
      <c r="D1013" s="1">
        <v>22729.0</v>
      </c>
      <c r="E1013" s="1" t="str">
        <f>IFERROR(__xludf.DUMMYFUNCTION("IF(LEN(D1013)&gt;4, IFERROR(REGEXEXTRACT(TO_TEXT(D1013),""\d+""),""""),"""")"),"22729")</f>
        <v>22729</v>
      </c>
      <c r="F1013" s="6" t="str">
        <f t="shared" si="3"/>
        <v>Product</v>
      </c>
      <c r="G1013" s="1" t="s">
        <v>256</v>
      </c>
      <c r="H1013" s="6" t="str">
        <f>IFERROR(__xludf.DUMMYFUNCTION("IF(REGEXMATCH(LOWER(G1013), ""^(\?)+\s*(missing)?\s*(\?)*$""), """", PROPER(SUBSTITUTE(SUBSTITUTE(G1013, ""?"", """"), ""*"", """")))"),"Alarm Clock Bakelike Orange")</f>
        <v>Alarm Clock Bakelike Orange</v>
      </c>
      <c r="I1013" s="3">
        <v>1.0</v>
      </c>
      <c r="J1013" s="7">
        <v>40597.66527777778</v>
      </c>
      <c r="K1013" s="8" t="str">
        <f t="shared" si="4"/>
        <v>2011-02</v>
      </c>
      <c r="L1013" s="5">
        <v>7.46</v>
      </c>
      <c r="M1013" s="10"/>
      <c r="N1013" s="1" t="str">
        <f t="shared" si="5"/>
        <v>Guest</v>
      </c>
      <c r="O1013" s="1" t="s">
        <v>19</v>
      </c>
      <c r="P1013" s="9" t="str">
        <f t="shared" si="6"/>
        <v>UK</v>
      </c>
      <c r="Q1013" s="8">
        <f t="shared" si="7"/>
        <v>7.46</v>
      </c>
    </row>
    <row r="1014">
      <c r="A1014" s="1">
        <v>544812.0</v>
      </c>
      <c r="B1014" s="1" t="str">
        <f t="shared" si="1"/>
        <v>544812</v>
      </c>
      <c r="C1014" s="1" t="str">
        <f t="shared" si="2"/>
        <v>Sale</v>
      </c>
      <c r="D1014" s="1">
        <v>22747.0</v>
      </c>
      <c r="E1014" s="1" t="str">
        <f>IFERROR(__xludf.DUMMYFUNCTION("IF(LEN(D1014)&gt;4, IFERROR(REGEXEXTRACT(TO_TEXT(D1014),""\d+""),""""),"""")"),"22747")</f>
        <v>22747</v>
      </c>
      <c r="F1014" s="6" t="str">
        <f t="shared" si="3"/>
        <v>Product</v>
      </c>
      <c r="G1014" s="1" t="s">
        <v>687</v>
      </c>
      <c r="H1014" s="6" t="str">
        <f>IFERROR(__xludf.DUMMYFUNCTION("IF(REGEXMATCH(LOWER(G1014), ""^(\?)+\s*(missing)?\s*(\?)*$""), """", PROPER(SUBSTITUTE(SUBSTITUTE(G1014, ""?"", """"), ""*"", """")))"),"Poppy'S Playhouse Bathroom")</f>
        <v>Poppy'S Playhouse Bathroom</v>
      </c>
      <c r="I1014" s="3">
        <v>1.0</v>
      </c>
      <c r="J1014" s="7">
        <v>40597.66527777778</v>
      </c>
      <c r="K1014" s="8" t="str">
        <f t="shared" si="4"/>
        <v>2011-02</v>
      </c>
      <c r="L1014" s="5">
        <v>4.13</v>
      </c>
      <c r="M1014" s="10"/>
      <c r="N1014" s="1" t="str">
        <f t="shared" si="5"/>
        <v>Guest</v>
      </c>
      <c r="O1014" s="1" t="s">
        <v>19</v>
      </c>
      <c r="P1014" s="9" t="str">
        <f t="shared" si="6"/>
        <v>UK</v>
      </c>
      <c r="Q1014" s="8">
        <f t="shared" si="7"/>
        <v>4.13</v>
      </c>
    </row>
    <row r="1015">
      <c r="A1015" s="1">
        <v>544812.0</v>
      </c>
      <c r="B1015" s="1" t="str">
        <f t="shared" si="1"/>
        <v>544812</v>
      </c>
      <c r="C1015" s="1" t="str">
        <f t="shared" si="2"/>
        <v>Sale</v>
      </c>
      <c r="D1015" s="1">
        <v>22748.0</v>
      </c>
      <c r="E1015" s="1" t="str">
        <f>IFERROR(__xludf.DUMMYFUNCTION("IF(LEN(D1015)&gt;4, IFERROR(REGEXEXTRACT(TO_TEXT(D1015),""\d+""),""""),"""")"),"22748")</f>
        <v>22748</v>
      </c>
      <c r="F1015" s="6" t="str">
        <f t="shared" si="3"/>
        <v>Product</v>
      </c>
      <c r="G1015" s="1" t="s">
        <v>33</v>
      </c>
      <c r="H1015" s="6" t="str">
        <f>IFERROR(__xludf.DUMMYFUNCTION("IF(REGEXMATCH(LOWER(G1015), ""^(\?)+\s*(missing)?\s*(\?)*$""), """", PROPER(SUBSTITUTE(SUBSTITUTE(G1015, ""?"", """"), ""*"", """")))"),"Poppy'S Playhouse Kitchen")</f>
        <v>Poppy'S Playhouse Kitchen</v>
      </c>
      <c r="I1015" s="3">
        <v>1.0</v>
      </c>
      <c r="J1015" s="7">
        <v>40597.66527777778</v>
      </c>
      <c r="K1015" s="8" t="str">
        <f t="shared" si="4"/>
        <v>2011-02</v>
      </c>
      <c r="L1015" s="5">
        <v>4.13</v>
      </c>
      <c r="M1015" s="10"/>
      <c r="N1015" s="1" t="str">
        <f t="shared" si="5"/>
        <v>Guest</v>
      </c>
      <c r="O1015" s="1" t="s">
        <v>19</v>
      </c>
      <c r="P1015" s="9" t="str">
        <f t="shared" si="6"/>
        <v>UK</v>
      </c>
      <c r="Q1015" s="8">
        <f t="shared" si="7"/>
        <v>4.13</v>
      </c>
    </row>
    <row r="1016">
      <c r="A1016" s="1">
        <v>544812.0</v>
      </c>
      <c r="B1016" s="1" t="str">
        <f t="shared" si="1"/>
        <v>544812</v>
      </c>
      <c r="C1016" s="1" t="str">
        <f t="shared" si="2"/>
        <v>Sale</v>
      </c>
      <c r="D1016" s="1">
        <v>22754.0</v>
      </c>
      <c r="E1016" s="1" t="str">
        <f>IFERROR(__xludf.DUMMYFUNCTION("IF(LEN(D1016)&gt;4, IFERROR(REGEXEXTRACT(TO_TEXT(D1016),""\d+""),""""),"""")"),"22754")</f>
        <v>22754</v>
      </c>
      <c r="F1016" s="6" t="str">
        <f t="shared" si="3"/>
        <v>Product</v>
      </c>
      <c r="G1016" s="1" t="s">
        <v>663</v>
      </c>
      <c r="H1016" s="6" t="str">
        <f>IFERROR(__xludf.DUMMYFUNCTION("IF(REGEXMATCH(LOWER(G1016), ""^(\?)+\s*(missing)?\s*(\?)*$""), """", PROPER(SUBSTITUTE(SUBSTITUTE(G1016, ""?"", """"), ""*"", """")))"),"Small Red Babushka Notebook")</f>
        <v>Small Red Babushka Notebook</v>
      </c>
      <c r="I1016" s="3">
        <v>12.0</v>
      </c>
      <c r="J1016" s="7">
        <v>40597.66527777778</v>
      </c>
      <c r="K1016" s="8" t="str">
        <f t="shared" si="4"/>
        <v>2011-02</v>
      </c>
      <c r="L1016" s="5">
        <v>1.63</v>
      </c>
      <c r="M1016" s="10"/>
      <c r="N1016" s="1" t="str">
        <f t="shared" si="5"/>
        <v>Guest</v>
      </c>
      <c r="O1016" s="1" t="s">
        <v>19</v>
      </c>
      <c r="P1016" s="9" t="str">
        <f t="shared" si="6"/>
        <v>UK</v>
      </c>
      <c r="Q1016" s="8">
        <f t="shared" si="7"/>
        <v>19.56</v>
      </c>
    </row>
    <row r="1017">
      <c r="A1017" s="1">
        <v>544812.0</v>
      </c>
      <c r="B1017" s="1" t="str">
        <f t="shared" si="1"/>
        <v>544812</v>
      </c>
      <c r="C1017" s="1" t="str">
        <f t="shared" si="2"/>
        <v>Sale</v>
      </c>
      <c r="D1017" s="1">
        <v>22771.0</v>
      </c>
      <c r="E1017" s="1" t="str">
        <f>IFERROR(__xludf.DUMMYFUNCTION("IF(LEN(D1017)&gt;4, IFERROR(REGEXEXTRACT(TO_TEXT(D1017),""\d+""),""""),"""")"),"22771")</f>
        <v>22771</v>
      </c>
      <c r="F1017" s="6" t="str">
        <f t="shared" si="3"/>
        <v>Product</v>
      </c>
      <c r="G1017" s="1" t="s">
        <v>116</v>
      </c>
      <c r="H1017" s="6" t="str">
        <f>IFERROR(__xludf.DUMMYFUNCTION("IF(REGEXMATCH(LOWER(G1017), ""^(\?)+\s*(missing)?\s*(\?)*$""), """", PROPER(SUBSTITUTE(SUBSTITUTE(G1017, ""?"", """"), ""*"", """")))"),"Clear Drawer Knob Acrylic Edwardian")</f>
        <v>Clear Drawer Knob Acrylic Edwardian</v>
      </c>
      <c r="I1017" s="3">
        <v>2.0</v>
      </c>
      <c r="J1017" s="7">
        <v>40597.66527777778</v>
      </c>
      <c r="K1017" s="8" t="str">
        <f t="shared" si="4"/>
        <v>2011-02</v>
      </c>
      <c r="L1017" s="5">
        <v>2.5</v>
      </c>
      <c r="M1017" s="10"/>
      <c r="N1017" s="1" t="str">
        <f t="shared" si="5"/>
        <v>Guest</v>
      </c>
      <c r="O1017" s="1" t="s">
        <v>19</v>
      </c>
      <c r="P1017" s="9" t="str">
        <f t="shared" si="6"/>
        <v>UK</v>
      </c>
      <c r="Q1017" s="8">
        <f t="shared" si="7"/>
        <v>5</v>
      </c>
    </row>
    <row r="1018">
      <c r="A1018" s="1">
        <v>544812.0</v>
      </c>
      <c r="B1018" s="1" t="str">
        <f t="shared" si="1"/>
        <v>544812</v>
      </c>
      <c r="C1018" s="1" t="str">
        <f t="shared" si="2"/>
        <v>Sale</v>
      </c>
      <c r="D1018" s="1">
        <v>22774.0</v>
      </c>
      <c r="E1018" s="1" t="str">
        <f>IFERROR(__xludf.DUMMYFUNCTION("IF(LEN(D1018)&gt;4, IFERROR(REGEXEXTRACT(TO_TEXT(D1018),""\d+""),""""),"""")"),"22774")</f>
        <v>22774</v>
      </c>
      <c r="F1018" s="6" t="str">
        <f t="shared" si="3"/>
        <v>Product</v>
      </c>
      <c r="G1018" s="1" t="s">
        <v>115</v>
      </c>
      <c r="H1018" s="6" t="str">
        <f>IFERROR(__xludf.DUMMYFUNCTION("IF(REGEXMATCH(LOWER(G1018), ""^(\?)+\s*(missing)?\s*(\?)*$""), """", PROPER(SUBSTITUTE(SUBSTITUTE(G1018, ""?"", """"), ""*"", """")))"),"Red Drawer Knob Acrylic Edwardian")</f>
        <v>Red Drawer Knob Acrylic Edwardian</v>
      </c>
      <c r="I1018" s="3">
        <v>2.0</v>
      </c>
      <c r="J1018" s="7">
        <v>40597.66527777778</v>
      </c>
      <c r="K1018" s="8" t="str">
        <f t="shared" si="4"/>
        <v>2011-02</v>
      </c>
      <c r="L1018" s="5">
        <v>2.5</v>
      </c>
      <c r="M1018" s="10"/>
      <c r="N1018" s="1" t="str">
        <f t="shared" si="5"/>
        <v>Guest</v>
      </c>
      <c r="O1018" s="1" t="s">
        <v>19</v>
      </c>
      <c r="P1018" s="9" t="str">
        <f t="shared" si="6"/>
        <v>UK</v>
      </c>
      <c r="Q1018" s="8">
        <f t="shared" si="7"/>
        <v>5</v>
      </c>
    </row>
    <row r="1019">
      <c r="A1019" s="1">
        <v>544812.0</v>
      </c>
      <c r="B1019" s="1" t="str">
        <f t="shared" si="1"/>
        <v>544812</v>
      </c>
      <c r="C1019" s="1" t="str">
        <f t="shared" si="2"/>
        <v>Sale</v>
      </c>
      <c r="D1019" s="1">
        <v>22777.0</v>
      </c>
      <c r="E1019" s="1" t="str">
        <f>IFERROR(__xludf.DUMMYFUNCTION("IF(LEN(D1019)&gt;4, IFERROR(REGEXEXTRACT(TO_TEXT(D1019),""\d+""),""""),"""")"),"22777")</f>
        <v>22777</v>
      </c>
      <c r="F1019" s="6" t="str">
        <f t="shared" si="3"/>
        <v>Product</v>
      </c>
      <c r="G1019" s="1" t="s">
        <v>688</v>
      </c>
      <c r="H1019" s="6" t="str">
        <f>IFERROR(__xludf.DUMMYFUNCTION("IF(REGEXMATCH(LOWER(G1019), ""^(\?)+\s*(missing)?\s*(\?)*$""), """", PROPER(SUBSTITUTE(SUBSTITUTE(G1019, ""?"", """"), ""*"", """")))"),"Glass Cloche Large")</f>
        <v>Glass Cloche Large</v>
      </c>
      <c r="I1019" s="3">
        <v>1.0</v>
      </c>
      <c r="J1019" s="7">
        <v>40597.66527777778</v>
      </c>
      <c r="K1019" s="8" t="str">
        <f t="shared" si="4"/>
        <v>2011-02</v>
      </c>
      <c r="L1019" s="5">
        <v>16.63</v>
      </c>
      <c r="M1019" s="10"/>
      <c r="N1019" s="1" t="str">
        <f t="shared" si="5"/>
        <v>Guest</v>
      </c>
      <c r="O1019" s="1" t="s">
        <v>19</v>
      </c>
      <c r="P1019" s="9" t="str">
        <f t="shared" si="6"/>
        <v>UK</v>
      </c>
      <c r="Q1019" s="8">
        <f t="shared" si="7"/>
        <v>16.63</v>
      </c>
    </row>
    <row r="1020">
      <c r="A1020" s="1">
        <v>544812.0</v>
      </c>
      <c r="B1020" s="1" t="str">
        <f t="shared" si="1"/>
        <v>544812</v>
      </c>
      <c r="C1020" s="1" t="str">
        <f t="shared" si="2"/>
        <v>Sale</v>
      </c>
      <c r="D1020" s="1">
        <v>22807.0</v>
      </c>
      <c r="E1020" s="1" t="str">
        <f>IFERROR(__xludf.DUMMYFUNCTION("IF(LEN(D1020)&gt;4, IFERROR(REGEXEXTRACT(TO_TEXT(D1020),""\d+""),""""),"""")"),"22807")</f>
        <v>22807</v>
      </c>
      <c r="F1020" s="6" t="str">
        <f t="shared" si="3"/>
        <v>Product</v>
      </c>
      <c r="G1020" s="1" t="s">
        <v>507</v>
      </c>
      <c r="H1020" s="6" t="str">
        <f>IFERROR(__xludf.DUMMYFUNCTION("IF(REGEXMATCH(LOWER(G1020), ""^(\?)+\s*(missing)?\s*(\?)*$""), """", PROPER(SUBSTITUTE(SUBSTITUTE(G1020, ""?"", """"), ""*"", """")))"),"Set Of 6 T-Lights Toadstools")</f>
        <v>Set Of 6 T-Lights Toadstools</v>
      </c>
      <c r="I1020" s="3">
        <v>1.0</v>
      </c>
      <c r="J1020" s="7">
        <v>40597.66527777778</v>
      </c>
      <c r="K1020" s="8" t="str">
        <f t="shared" si="4"/>
        <v>2011-02</v>
      </c>
      <c r="L1020" s="5">
        <v>5.79</v>
      </c>
      <c r="M1020" s="10"/>
      <c r="N1020" s="1" t="str">
        <f t="shared" si="5"/>
        <v>Guest</v>
      </c>
      <c r="O1020" s="1" t="s">
        <v>19</v>
      </c>
      <c r="P1020" s="9" t="str">
        <f t="shared" si="6"/>
        <v>UK</v>
      </c>
      <c r="Q1020" s="8">
        <f t="shared" si="7"/>
        <v>5.79</v>
      </c>
    </row>
    <row r="1021">
      <c r="A1021" s="1">
        <v>544812.0</v>
      </c>
      <c r="B1021" s="1" t="str">
        <f t="shared" si="1"/>
        <v>544812</v>
      </c>
      <c r="C1021" s="1" t="str">
        <f t="shared" si="2"/>
        <v>Sale</v>
      </c>
      <c r="D1021" s="1">
        <v>22815.0</v>
      </c>
      <c r="E1021" s="1" t="str">
        <f>IFERROR(__xludf.DUMMYFUNCTION("IF(LEN(D1021)&gt;4, IFERROR(REGEXEXTRACT(TO_TEXT(D1021),""\d+""),""""),"""")"),"22815")</f>
        <v>22815</v>
      </c>
      <c r="F1021" s="6" t="str">
        <f t="shared" si="3"/>
        <v>Product</v>
      </c>
      <c r="G1021" s="1" t="s">
        <v>689</v>
      </c>
      <c r="H1021" s="6" t="str">
        <f>IFERROR(__xludf.DUMMYFUNCTION("IF(REGEXMATCH(LOWER(G1021), ""^(\?)+\s*(missing)?\s*(\?)*$""), """", PROPER(SUBSTITUTE(SUBSTITUTE(G1021, ""?"", """"), ""*"", """")))"),"Card Psychedelic Apples")</f>
        <v>Card Psychedelic Apples</v>
      </c>
      <c r="I1021" s="3">
        <v>2.0</v>
      </c>
      <c r="J1021" s="7">
        <v>40597.66527777778</v>
      </c>
      <c r="K1021" s="8" t="str">
        <f t="shared" si="4"/>
        <v>2011-02</v>
      </c>
      <c r="L1021" s="5">
        <v>0.83</v>
      </c>
      <c r="M1021" s="10"/>
      <c r="N1021" s="1" t="str">
        <f t="shared" si="5"/>
        <v>Guest</v>
      </c>
      <c r="O1021" s="1" t="s">
        <v>19</v>
      </c>
      <c r="P1021" s="9" t="str">
        <f t="shared" si="6"/>
        <v>UK</v>
      </c>
      <c r="Q1021" s="8">
        <f t="shared" si="7"/>
        <v>1.66</v>
      </c>
    </row>
    <row r="1022">
      <c r="A1022" s="1">
        <v>544812.0</v>
      </c>
      <c r="B1022" s="1" t="str">
        <f t="shared" si="1"/>
        <v>544812</v>
      </c>
      <c r="C1022" s="1" t="str">
        <f t="shared" si="2"/>
        <v>Sale</v>
      </c>
      <c r="D1022" s="1">
        <v>22835.0</v>
      </c>
      <c r="E1022" s="1" t="str">
        <f>IFERROR(__xludf.DUMMYFUNCTION("IF(LEN(D1022)&gt;4, IFERROR(REGEXEXTRACT(TO_TEXT(D1022),""\d+""),""""),"""")"),"22835")</f>
        <v>22835</v>
      </c>
      <c r="F1022" s="6" t="str">
        <f t="shared" si="3"/>
        <v>Product</v>
      </c>
      <c r="G1022" s="1" t="s">
        <v>267</v>
      </c>
      <c r="H1022" s="6" t="str">
        <f>IFERROR(__xludf.DUMMYFUNCTION("IF(REGEXMATCH(LOWER(G1022), ""^(\?)+\s*(missing)?\s*(\?)*$""), """", PROPER(SUBSTITUTE(SUBSTITUTE(G1022, ""?"", """"), ""*"", """")))"),"Hot Water Bottle I Am So Poorly")</f>
        <v>Hot Water Bottle I Am So Poorly</v>
      </c>
      <c r="I1022" s="3">
        <v>2.0</v>
      </c>
      <c r="J1022" s="7">
        <v>40597.66527777778</v>
      </c>
      <c r="K1022" s="8" t="str">
        <f t="shared" si="4"/>
        <v>2011-02</v>
      </c>
      <c r="L1022" s="5">
        <v>9.13</v>
      </c>
      <c r="M1022" s="10"/>
      <c r="N1022" s="1" t="str">
        <f t="shared" si="5"/>
        <v>Guest</v>
      </c>
      <c r="O1022" s="1" t="s">
        <v>19</v>
      </c>
      <c r="P1022" s="9" t="str">
        <f t="shared" si="6"/>
        <v>UK</v>
      </c>
      <c r="Q1022" s="8">
        <f t="shared" si="7"/>
        <v>18.26</v>
      </c>
    </row>
    <row r="1023">
      <c r="A1023" s="1">
        <v>544812.0</v>
      </c>
      <c r="B1023" s="1" t="str">
        <f t="shared" si="1"/>
        <v>544812</v>
      </c>
      <c r="C1023" s="1" t="str">
        <f t="shared" si="2"/>
        <v>Sale</v>
      </c>
      <c r="D1023" s="1">
        <v>22855.0</v>
      </c>
      <c r="E1023" s="1" t="str">
        <f>IFERROR(__xludf.DUMMYFUNCTION("IF(LEN(D1023)&gt;4, IFERROR(REGEXEXTRACT(TO_TEXT(D1023),""\d+""),""""),"""")"),"22855")</f>
        <v>22855</v>
      </c>
      <c r="F1023" s="6" t="str">
        <f t="shared" si="3"/>
        <v>Product</v>
      </c>
      <c r="G1023" s="1" t="s">
        <v>690</v>
      </c>
      <c r="H1023" s="6" t="str">
        <f>IFERROR(__xludf.DUMMYFUNCTION("IF(REGEXMATCH(LOWER(G1023), ""^(\?)+\s*(missing)?\s*(\?)*$""), """", PROPER(SUBSTITUTE(SUBSTITUTE(G1023, ""?"", """"), ""*"", """")))"),"Fine Wicker Heart")</f>
        <v>Fine Wicker Heart</v>
      </c>
      <c r="I1023" s="3">
        <v>1.0</v>
      </c>
      <c r="J1023" s="7">
        <v>40597.66527777778</v>
      </c>
      <c r="K1023" s="8" t="str">
        <f t="shared" si="4"/>
        <v>2011-02</v>
      </c>
      <c r="L1023" s="5">
        <v>2.46</v>
      </c>
      <c r="M1023" s="10"/>
      <c r="N1023" s="1" t="str">
        <f t="shared" si="5"/>
        <v>Guest</v>
      </c>
      <c r="O1023" s="1" t="s">
        <v>19</v>
      </c>
      <c r="P1023" s="9" t="str">
        <f t="shared" si="6"/>
        <v>UK</v>
      </c>
      <c r="Q1023" s="8">
        <f t="shared" si="7"/>
        <v>2.46</v>
      </c>
    </row>
    <row r="1024">
      <c r="A1024" s="1">
        <v>544812.0</v>
      </c>
      <c r="B1024" s="1" t="str">
        <f t="shared" si="1"/>
        <v>544812</v>
      </c>
      <c r="C1024" s="1" t="str">
        <f t="shared" si="2"/>
        <v>Sale</v>
      </c>
      <c r="D1024" s="1">
        <v>22867.0</v>
      </c>
      <c r="E1024" s="1" t="str">
        <f>IFERROR(__xludf.DUMMYFUNCTION("IF(LEN(D1024)&gt;4, IFERROR(REGEXEXTRACT(TO_TEXT(D1024),""\d+""),""""),"""")"),"22867")</f>
        <v>22867</v>
      </c>
      <c r="F1024" s="6" t="str">
        <f t="shared" si="3"/>
        <v>Product</v>
      </c>
      <c r="G1024" s="1" t="s">
        <v>257</v>
      </c>
      <c r="H1024" s="6" t="str">
        <f>IFERROR(__xludf.DUMMYFUNCTION("IF(REGEXMATCH(LOWER(G1024), ""^(\?)+\s*(missing)?\s*(\?)*$""), """", PROPER(SUBSTITUTE(SUBSTITUTE(G1024, ""?"", """"), ""*"", """")))"),"Hand Warmer Bird Design")</f>
        <v>Hand Warmer Bird Design</v>
      </c>
      <c r="I1024" s="3">
        <v>1.0</v>
      </c>
      <c r="J1024" s="7">
        <v>40597.66527777778</v>
      </c>
      <c r="K1024" s="8" t="str">
        <f t="shared" si="4"/>
        <v>2011-02</v>
      </c>
      <c r="L1024" s="5">
        <v>4.13</v>
      </c>
      <c r="M1024" s="10"/>
      <c r="N1024" s="1" t="str">
        <f t="shared" si="5"/>
        <v>Guest</v>
      </c>
      <c r="O1024" s="1" t="s">
        <v>19</v>
      </c>
      <c r="P1024" s="9" t="str">
        <f t="shared" si="6"/>
        <v>UK</v>
      </c>
      <c r="Q1024" s="8">
        <f t="shared" si="7"/>
        <v>4.13</v>
      </c>
    </row>
    <row r="1025">
      <c r="A1025" s="1">
        <v>544812.0</v>
      </c>
      <c r="B1025" s="1" t="str">
        <f t="shared" si="1"/>
        <v>544812</v>
      </c>
      <c r="C1025" s="1" t="str">
        <f t="shared" si="2"/>
        <v>Sale</v>
      </c>
      <c r="D1025" s="1">
        <v>22906.0</v>
      </c>
      <c r="E1025" s="1" t="str">
        <f>IFERROR(__xludf.DUMMYFUNCTION("IF(LEN(D1025)&gt;4, IFERROR(REGEXEXTRACT(TO_TEXT(D1025),""\d+""),""""),"""")"),"22906")</f>
        <v>22906</v>
      </c>
      <c r="F1025" s="6" t="str">
        <f t="shared" si="3"/>
        <v>Product</v>
      </c>
      <c r="G1025" s="1" t="s">
        <v>662</v>
      </c>
      <c r="H1025" s="6" t="str">
        <f>IFERROR(__xludf.DUMMYFUNCTION("IF(REGEXMATCH(LOWER(G1025), ""^(\?)+\s*(missing)?\s*(\?)*$""), """", PROPER(SUBSTITUTE(SUBSTITUTE(G1025, ""?"", """"), ""*"", """")))"),"12 Message Cards With Envelopes")</f>
        <v>12 Message Cards With Envelopes</v>
      </c>
      <c r="I1025" s="3">
        <v>1.0</v>
      </c>
      <c r="J1025" s="7">
        <v>40597.66527777778</v>
      </c>
      <c r="K1025" s="8" t="str">
        <f t="shared" si="4"/>
        <v>2011-02</v>
      </c>
      <c r="L1025" s="5">
        <v>3.29</v>
      </c>
      <c r="M1025" s="10"/>
      <c r="N1025" s="1" t="str">
        <f t="shared" si="5"/>
        <v>Guest</v>
      </c>
      <c r="O1025" s="1" t="s">
        <v>19</v>
      </c>
      <c r="P1025" s="9" t="str">
        <f t="shared" si="6"/>
        <v>UK</v>
      </c>
      <c r="Q1025" s="8">
        <f t="shared" si="7"/>
        <v>3.29</v>
      </c>
    </row>
    <row r="1026">
      <c r="A1026" s="1">
        <v>544812.0</v>
      </c>
      <c r="B1026" s="1" t="str">
        <f t="shared" si="1"/>
        <v>544812</v>
      </c>
      <c r="C1026" s="1" t="str">
        <f t="shared" si="2"/>
        <v>Sale</v>
      </c>
      <c r="D1026" s="1">
        <v>22907.0</v>
      </c>
      <c r="E1026" s="1" t="str">
        <f>IFERROR(__xludf.DUMMYFUNCTION("IF(LEN(D1026)&gt;4, IFERROR(REGEXEXTRACT(TO_TEXT(D1026),""\d+""),""""),"""")"),"22907")</f>
        <v>22907</v>
      </c>
      <c r="F1026" s="6" t="str">
        <f t="shared" si="3"/>
        <v>Product</v>
      </c>
      <c r="G1026" s="1" t="s">
        <v>691</v>
      </c>
      <c r="H1026" s="6" t="str">
        <f>IFERROR(__xludf.DUMMYFUNCTION("IF(REGEXMATCH(LOWER(G1026), ""^(\?)+\s*(missing)?\s*(\?)*$""), """", PROPER(SUBSTITUTE(SUBSTITUTE(G1026, ""?"", """"), ""*"", """")))"),"Pack Of 20 Napkins Pantry Design")</f>
        <v>Pack Of 20 Napkins Pantry Design</v>
      </c>
      <c r="I1026" s="3">
        <v>1.0</v>
      </c>
      <c r="J1026" s="7">
        <v>40597.66527777778</v>
      </c>
      <c r="K1026" s="8" t="str">
        <f t="shared" si="4"/>
        <v>2011-02</v>
      </c>
      <c r="L1026" s="5">
        <v>1.63</v>
      </c>
      <c r="M1026" s="10"/>
      <c r="N1026" s="1" t="str">
        <f t="shared" si="5"/>
        <v>Guest</v>
      </c>
      <c r="O1026" s="1" t="s">
        <v>19</v>
      </c>
      <c r="P1026" s="9" t="str">
        <f t="shared" si="6"/>
        <v>UK</v>
      </c>
      <c r="Q1026" s="8">
        <f t="shared" si="7"/>
        <v>1.63</v>
      </c>
    </row>
    <row r="1027">
      <c r="A1027" s="1">
        <v>544812.0</v>
      </c>
      <c r="B1027" s="1" t="str">
        <f t="shared" si="1"/>
        <v>544812</v>
      </c>
      <c r="C1027" s="1" t="str">
        <f t="shared" si="2"/>
        <v>Sale</v>
      </c>
      <c r="D1027" s="1">
        <v>10135.0</v>
      </c>
      <c r="E1027" s="1" t="str">
        <f>IFERROR(__xludf.DUMMYFUNCTION("IF(LEN(D1027)&gt;4, IFERROR(REGEXEXTRACT(TO_TEXT(D1027),""\d+""),""""),"""")"),"10135")</f>
        <v>10135</v>
      </c>
      <c r="F1027" s="6" t="str">
        <f t="shared" si="3"/>
        <v>Product</v>
      </c>
      <c r="G1027" s="1" t="s">
        <v>537</v>
      </c>
      <c r="H1027" s="6" t="str">
        <f>IFERROR(__xludf.DUMMYFUNCTION("IF(REGEXMATCH(LOWER(G1027), ""^(\?)+\s*(missing)?\s*(\?)*$""), """", PROPER(SUBSTITUTE(SUBSTITUTE(G1027, ""?"", """"), ""*"", """")))"),"Colouring Pencils Brown Tube")</f>
        <v>Colouring Pencils Brown Tube</v>
      </c>
      <c r="I1027" s="3">
        <v>5.0</v>
      </c>
      <c r="J1027" s="7">
        <v>40597.66527777778</v>
      </c>
      <c r="K1027" s="8" t="str">
        <f t="shared" si="4"/>
        <v>2011-02</v>
      </c>
      <c r="L1027" s="5">
        <v>2.46</v>
      </c>
      <c r="M1027" s="10"/>
      <c r="N1027" s="1" t="str">
        <f t="shared" si="5"/>
        <v>Guest</v>
      </c>
      <c r="O1027" s="1" t="s">
        <v>19</v>
      </c>
      <c r="P1027" s="9" t="str">
        <f t="shared" si="6"/>
        <v>UK</v>
      </c>
      <c r="Q1027" s="8">
        <f t="shared" si="7"/>
        <v>12.3</v>
      </c>
    </row>
    <row r="1028">
      <c r="A1028" s="1">
        <v>544812.0</v>
      </c>
      <c r="B1028" s="1" t="str">
        <f t="shared" si="1"/>
        <v>544812</v>
      </c>
      <c r="C1028" s="1" t="str">
        <f t="shared" si="2"/>
        <v>Sale</v>
      </c>
      <c r="D1028" s="1">
        <v>15036.0</v>
      </c>
      <c r="E1028" s="1" t="str">
        <f>IFERROR(__xludf.DUMMYFUNCTION("IF(LEN(D1028)&gt;4, IFERROR(REGEXEXTRACT(TO_TEXT(D1028),""\d+""),""""),"""")"),"15036")</f>
        <v>15036</v>
      </c>
      <c r="F1028" s="6" t="str">
        <f t="shared" si="3"/>
        <v>Product</v>
      </c>
      <c r="G1028" s="1" t="s">
        <v>692</v>
      </c>
      <c r="H1028" s="6" t="str">
        <f>IFERROR(__xludf.DUMMYFUNCTION("IF(REGEXMATCH(LOWER(G1028), ""^(\?)+\s*(missing)?\s*(\?)*$""), """", PROPER(SUBSTITUTE(SUBSTITUTE(G1028, ""?"", """"), ""*"", """")))"),"Assorted Colours Silk Fan")</f>
        <v>Assorted Colours Silk Fan</v>
      </c>
      <c r="I1028" s="3">
        <v>8.0</v>
      </c>
      <c r="J1028" s="7">
        <v>40597.66527777778</v>
      </c>
      <c r="K1028" s="8" t="str">
        <f t="shared" si="4"/>
        <v>2011-02</v>
      </c>
      <c r="L1028" s="5">
        <v>1.63</v>
      </c>
      <c r="M1028" s="10"/>
      <c r="N1028" s="1" t="str">
        <f t="shared" si="5"/>
        <v>Guest</v>
      </c>
      <c r="O1028" s="1" t="s">
        <v>19</v>
      </c>
      <c r="P1028" s="9" t="str">
        <f t="shared" si="6"/>
        <v>UK</v>
      </c>
      <c r="Q1028" s="8">
        <f t="shared" si="7"/>
        <v>13.04</v>
      </c>
    </row>
    <row r="1029">
      <c r="A1029" s="1">
        <v>544812.0</v>
      </c>
      <c r="B1029" s="1" t="str">
        <f t="shared" si="1"/>
        <v>544812</v>
      </c>
      <c r="C1029" s="1" t="str">
        <f t="shared" si="2"/>
        <v>Sale</v>
      </c>
      <c r="D1029" s="1">
        <v>16235.0</v>
      </c>
      <c r="E1029" s="1" t="str">
        <f>IFERROR(__xludf.DUMMYFUNCTION("IF(LEN(D1029)&gt;4, IFERROR(REGEXEXTRACT(TO_TEXT(D1029),""\d+""),""""),"""")"),"16235")</f>
        <v>16235</v>
      </c>
      <c r="F1029" s="6" t="str">
        <f t="shared" si="3"/>
        <v>Product</v>
      </c>
      <c r="G1029" s="1" t="s">
        <v>693</v>
      </c>
      <c r="H1029" s="6" t="str">
        <f>IFERROR(__xludf.DUMMYFUNCTION("IF(REGEXMATCH(LOWER(G1029), ""^(\?)+\s*(missing)?\s*(\?)*$""), """", PROPER(SUBSTITUTE(SUBSTITUTE(G1029, ""?"", """"), ""*"", """")))"),"Recycled Pencil With Rabbit Eraser")</f>
        <v>Recycled Pencil With Rabbit Eraser</v>
      </c>
      <c r="I1029" s="3">
        <v>12.0</v>
      </c>
      <c r="J1029" s="7">
        <v>40597.66527777778</v>
      </c>
      <c r="K1029" s="8" t="str">
        <f t="shared" si="4"/>
        <v>2011-02</v>
      </c>
      <c r="L1029" s="5">
        <v>0.42</v>
      </c>
      <c r="M1029" s="10"/>
      <c r="N1029" s="1" t="str">
        <f t="shared" si="5"/>
        <v>Guest</v>
      </c>
      <c r="O1029" s="1" t="s">
        <v>19</v>
      </c>
      <c r="P1029" s="9" t="str">
        <f t="shared" si="6"/>
        <v>UK</v>
      </c>
      <c r="Q1029" s="8">
        <f t="shared" si="7"/>
        <v>5.04</v>
      </c>
    </row>
    <row r="1030">
      <c r="A1030" s="1">
        <v>544812.0</v>
      </c>
      <c r="B1030" s="1" t="str">
        <f t="shared" si="1"/>
        <v>544812</v>
      </c>
      <c r="C1030" s="1" t="str">
        <f t="shared" si="2"/>
        <v>Sale</v>
      </c>
      <c r="D1030" s="1">
        <v>16236.0</v>
      </c>
      <c r="E1030" s="1" t="str">
        <f>IFERROR(__xludf.DUMMYFUNCTION("IF(LEN(D1030)&gt;4, IFERROR(REGEXEXTRACT(TO_TEXT(D1030),""\d+""),""""),"""")"),"16236")</f>
        <v>16236</v>
      </c>
      <c r="F1030" s="6" t="str">
        <f t="shared" si="3"/>
        <v>Product</v>
      </c>
      <c r="G1030" s="1" t="s">
        <v>694</v>
      </c>
      <c r="H1030" s="6" t="str">
        <f>IFERROR(__xludf.DUMMYFUNCTION("IF(REGEXMATCH(LOWER(G1030), ""^(\?)+\s*(missing)?\s*(\?)*$""), """", PROPER(SUBSTITUTE(SUBSTITUTE(G1030, ""?"", """"), ""*"", """")))"),"Kitty Pencil Erasers")</f>
        <v>Kitty Pencil Erasers</v>
      </c>
      <c r="I1030" s="3">
        <v>6.0</v>
      </c>
      <c r="J1030" s="7">
        <v>40597.66527777778</v>
      </c>
      <c r="K1030" s="8" t="str">
        <f t="shared" si="4"/>
        <v>2011-02</v>
      </c>
      <c r="L1030" s="5">
        <v>0.42</v>
      </c>
      <c r="M1030" s="10"/>
      <c r="N1030" s="1" t="str">
        <f t="shared" si="5"/>
        <v>Guest</v>
      </c>
      <c r="O1030" s="1" t="s">
        <v>19</v>
      </c>
      <c r="P1030" s="9" t="str">
        <f t="shared" si="6"/>
        <v>UK</v>
      </c>
      <c r="Q1030" s="8">
        <f t="shared" si="7"/>
        <v>2.52</v>
      </c>
    </row>
    <row r="1031">
      <c r="A1031" s="1">
        <v>544812.0</v>
      </c>
      <c r="B1031" s="1" t="str">
        <f t="shared" si="1"/>
        <v>544812</v>
      </c>
      <c r="C1031" s="1" t="str">
        <f t="shared" si="2"/>
        <v>Sale</v>
      </c>
      <c r="D1031" s="1">
        <v>16237.0</v>
      </c>
      <c r="E1031" s="1" t="str">
        <f>IFERROR(__xludf.DUMMYFUNCTION("IF(LEN(D1031)&gt;4, IFERROR(REGEXEXTRACT(TO_TEXT(D1031),""\d+""),""""),"""")"),"16237")</f>
        <v>16237</v>
      </c>
      <c r="F1031" s="6" t="str">
        <f t="shared" si="3"/>
        <v>Product</v>
      </c>
      <c r="G1031" s="1" t="s">
        <v>383</v>
      </c>
      <c r="H1031" s="6" t="str">
        <f>IFERROR(__xludf.DUMMYFUNCTION("IF(REGEXMATCH(LOWER(G1031), ""^(\?)+\s*(missing)?\s*(\?)*$""), """", PROPER(SUBSTITUTE(SUBSTITUTE(G1031, ""?"", """"), ""*"", """")))"),"Sleeping Cat Erasers")</f>
        <v>Sleeping Cat Erasers</v>
      </c>
      <c r="I1031" s="3">
        <v>10.0</v>
      </c>
      <c r="J1031" s="7">
        <v>40597.66527777778</v>
      </c>
      <c r="K1031" s="8" t="str">
        <f t="shared" si="4"/>
        <v>2011-02</v>
      </c>
      <c r="L1031" s="5">
        <v>0.42</v>
      </c>
      <c r="M1031" s="10"/>
      <c r="N1031" s="1" t="str">
        <f t="shared" si="5"/>
        <v>Guest</v>
      </c>
      <c r="O1031" s="1" t="s">
        <v>19</v>
      </c>
      <c r="P1031" s="9" t="str">
        <f t="shared" si="6"/>
        <v>UK</v>
      </c>
      <c r="Q1031" s="8">
        <f t="shared" si="7"/>
        <v>4.2</v>
      </c>
    </row>
    <row r="1032">
      <c r="A1032" s="1">
        <v>544812.0</v>
      </c>
      <c r="B1032" s="1" t="str">
        <f t="shared" si="1"/>
        <v>544812</v>
      </c>
      <c r="C1032" s="1" t="str">
        <f t="shared" si="2"/>
        <v>Sale</v>
      </c>
      <c r="D1032" s="1">
        <v>20615.0</v>
      </c>
      <c r="E1032" s="1" t="str">
        <f>IFERROR(__xludf.DUMMYFUNCTION("IF(LEN(D1032)&gt;4, IFERROR(REGEXEXTRACT(TO_TEXT(D1032),""\d+""),""""),"""")"),"20615")</f>
        <v>20615</v>
      </c>
      <c r="F1032" s="6" t="str">
        <f t="shared" si="3"/>
        <v>Product</v>
      </c>
      <c r="G1032" s="1" t="s">
        <v>695</v>
      </c>
      <c r="H1032" s="6" t="str">
        <f>IFERROR(__xludf.DUMMYFUNCTION("IF(REGEXMATCH(LOWER(G1032), ""^(\?)+\s*(missing)?\s*(\?)*$""), """", PROPER(SUBSTITUTE(SUBSTITUTE(G1032, ""?"", """"), ""*"", """")))"),"Blue Polkadot Passport Cover")</f>
        <v>Blue Polkadot Passport Cover</v>
      </c>
      <c r="I1032" s="3">
        <v>1.0</v>
      </c>
      <c r="J1032" s="7">
        <v>40597.66527777778</v>
      </c>
      <c r="K1032" s="8" t="str">
        <f t="shared" si="4"/>
        <v>2011-02</v>
      </c>
      <c r="L1032" s="5">
        <v>4.13</v>
      </c>
      <c r="M1032" s="10"/>
      <c r="N1032" s="1" t="str">
        <f t="shared" si="5"/>
        <v>Guest</v>
      </c>
      <c r="O1032" s="1" t="s">
        <v>19</v>
      </c>
      <c r="P1032" s="9" t="str">
        <f t="shared" si="6"/>
        <v>UK</v>
      </c>
      <c r="Q1032" s="8">
        <f t="shared" si="7"/>
        <v>4.13</v>
      </c>
    </row>
    <row r="1033">
      <c r="A1033" s="1">
        <v>544812.0</v>
      </c>
      <c r="B1033" s="1" t="str">
        <f t="shared" si="1"/>
        <v>544812</v>
      </c>
      <c r="C1033" s="1" t="str">
        <f t="shared" si="2"/>
        <v>Sale</v>
      </c>
      <c r="D1033" s="1">
        <v>20652.0</v>
      </c>
      <c r="E1033" s="1" t="str">
        <f>IFERROR(__xludf.DUMMYFUNCTION("IF(LEN(D1033)&gt;4, IFERROR(REGEXEXTRACT(TO_TEXT(D1033),""\d+""),""""),"""")"),"20652")</f>
        <v>20652</v>
      </c>
      <c r="F1033" s="6" t="str">
        <f t="shared" si="3"/>
        <v>Product</v>
      </c>
      <c r="G1033" s="1" t="s">
        <v>696</v>
      </c>
      <c r="H1033" s="6" t="str">
        <f>IFERROR(__xludf.DUMMYFUNCTION("IF(REGEXMATCH(LOWER(G1033), ""^(\?)+\s*(missing)?\s*(\?)*$""), """", PROPER(SUBSTITUTE(SUBSTITUTE(G1033, ""?"", """"), ""*"", """")))"),"Blue Polkadot Luggage Tag")</f>
        <v>Blue Polkadot Luggage Tag</v>
      </c>
      <c r="I1033" s="3">
        <v>1.0</v>
      </c>
      <c r="J1033" s="7">
        <v>40597.66527777778</v>
      </c>
      <c r="K1033" s="8" t="str">
        <f t="shared" si="4"/>
        <v>2011-02</v>
      </c>
      <c r="L1033" s="5">
        <v>2.46</v>
      </c>
      <c r="M1033" s="10"/>
      <c r="N1033" s="1" t="str">
        <f t="shared" si="5"/>
        <v>Guest</v>
      </c>
      <c r="O1033" s="1" t="s">
        <v>19</v>
      </c>
      <c r="P1033" s="9" t="str">
        <f t="shared" si="6"/>
        <v>UK</v>
      </c>
      <c r="Q1033" s="8">
        <f t="shared" si="7"/>
        <v>2.46</v>
      </c>
    </row>
    <row r="1034">
      <c r="A1034" s="1">
        <v>544812.0</v>
      </c>
      <c r="B1034" s="1" t="str">
        <f t="shared" si="1"/>
        <v>544812</v>
      </c>
      <c r="C1034" s="1" t="str">
        <f t="shared" si="2"/>
        <v>Sale</v>
      </c>
      <c r="D1034" s="1">
        <v>20711.0</v>
      </c>
      <c r="E1034" s="1" t="str">
        <f>IFERROR(__xludf.DUMMYFUNCTION("IF(LEN(D1034)&gt;4, IFERROR(REGEXEXTRACT(TO_TEXT(D1034),""\d+""),""""),"""")"),"20711")</f>
        <v>20711</v>
      </c>
      <c r="F1034" s="6" t="str">
        <f t="shared" si="3"/>
        <v>Product</v>
      </c>
      <c r="G1034" s="1" t="s">
        <v>697</v>
      </c>
      <c r="H1034" s="6" t="str">
        <f>IFERROR(__xludf.DUMMYFUNCTION("IF(REGEXMATCH(LOWER(G1034), ""^(\?)+\s*(missing)?\s*(\?)*$""), """", PROPER(SUBSTITUTE(SUBSTITUTE(G1034, ""?"", """"), ""*"", """")))"),"Jumbo Bag Toys")</f>
        <v>Jumbo Bag Toys</v>
      </c>
      <c r="I1034" s="3">
        <v>1.0</v>
      </c>
      <c r="J1034" s="7">
        <v>40597.66527777778</v>
      </c>
      <c r="K1034" s="8" t="str">
        <f t="shared" si="4"/>
        <v>2011-02</v>
      </c>
      <c r="L1034" s="5">
        <v>4.13</v>
      </c>
      <c r="M1034" s="10"/>
      <c r="N1034" s="1" t="str">
        <f t="shared" si="5"/>
        <v>Guest</v>
      </c>
      <c r="O1034" s="1" t="s">
        <v>19</v>
      </c>
      <c r="P1034" s="9" t="str">
        <f t="shared" si="6"/>
        <v>UK</v>
      </c>
      <c r="Q1034" s="8">
        <f t="shared" si="7"/>
        <v>4.13</v>
      </c>
    </row>
    <row r="1035">
      <c r="A1035" s="1">
        <v>544812.0</v>
      </c>
      <c r="B1035" s="1" t="str">
        <f t="shared" si="1"/>
        <v>544812</v>
      </c>
      <c r="C1035" s="1" t="str">
        <f t="shared" si="2"/>
        <v>Sale</v>
      </c>
      <c r="D1035" s="1">
        <v>20712.0</v>
      </c>
      <c r="E1035" s="1" t="str">
        <f>IFERROR(__xludf.DUMMYFUNCTION("IF(LEN(D1035)&gt;4, IFERROR(REGEXEXTRACT(TO_TEXT(D1035),""\d+""),""""),"""")"),"20712")</f>
        <v>20712</v>
      </c>
      <c r="F1035" s="6" t="str">
        <f t="shared" si="3"/>
        <v>Product</v>
      </c>
      <c r="G1035" s="1" t="s">
        <v>698</v>
      </c>
      <c r="H1035" s="6" t="str">
        <f>IFERROR(__xludf.DUMMYFUNCTION("IF(REGEXMATCH(LOWER(G1035), ""^(\?)+\s*(missing)?\s*(\?)*$""), """", PROPER(SUBSTITUTE(SUBSTITUTE(G1035, ""?"", """"), ""*"", """")))"),"Jumbo Bag Woodland Animals")</f>
        <v>Jumbo Bag Woodland Animals</v>
      </c>
      <c r="I1035" s="3">
        <v>1.0</v>
      </c>
      <c r="J1035" s="7">
        <v>40597.66527777778</v>
      </c>
      <c r="K1035" s="8" t="str">
        <f t="shared" si="4"/>
        <v>2011-02</v>
      </c>
      <c r="L1035" s="5">
        <v>4.13</v>
      </c>
      <c r="M1035" s="10"/>
      <c r="N1035" s="1" t="str">
        <f t="shared" si="5"/>
        <v>Guest</v>
      </c>
      <c r="O1035" s="1" t="s">
        <v>19</v>
      </c>
      <c r="P1035" s="9" t="str">
        <f t="shared" si="6"/>
        <v>UK</v>
      </c>
      <c r="Q1035" s="8">
        <f t="shared" si="7"/>
        <v>4.13</v>
      </c>
    </row>
    <row r="1036">
      <c r="A1036" s="1">
        <v>544812.0</v>
      </c>
      <c r="B1036" s="1" t="str">
        <f t="shared" si="1"/>
        <v>544812</v>
      </c>
      <c r="C1036" s="1" t="str">
        <f t="shared" si="2"/>
        <v>Sale</v>
      </c>
      <c r="D1036" s="1">
        <v>20713.0</v>
      </c>
      <c r="E1036" s="1" t="str">
        <f>IFERROR(__xludf.DUMMYFUNCTION("IF(LEN(D1036)&gt;4, IFERROR(REGEXEXTRACT(TO_TEXT(D1036),""\d+""),""""),"""")"),"20713")</f>
        <v>20713</v>
      </c>
      <c r="F1036" s="6" t="str">
        <f t="shared" si="3"/>
        <v>Product</v>
      </c>
      <c r="G1036" s="1" t="s">
        <v>423</v>
      </c>
      <c r="H1036" s="6" t="str">
        <f>IFERROR(__xludf.DUMMYFUNCTION("IF(REGEXMATCH(LOWER(G1036), ""^(\?)+\s*(missing)?\s*(\?)*$""), """", PROPER(SUBSTITUTE(SUBSTITUTE(G1036, ""?"", """"), ""*"", """")))"),"Jumbo Bag Owls")</f>
        <v>Jumbo Bag Owls</v>
      </c>
      <c r="I1036" s="3">
        <v>1.0</v>
      </c>
      <c r="J1036" s="7">
        <v>40597.66527777778</v>
      </c>
      <c r="K1036" s="8" t="str">
        <f t="shared" si="4"/>
        <v>2011-02</v>
      </c>
      <c r="L1036" s="5">
        <v>4.13</v>
      </c>
      <c r="M1036" s="10"/>
      <c r="N1036" s="1" t="str">
        <f t="shared" si="5"/>
        <v>Guest</v>
      </c>
      <c r="O1036" s="1" t="s">
        <v>19</v>
      </c>
      <c r="P1036" s="9" t="str">
        <f t="shared" si="6"/>
        <v>UK</v>
      </c>
      <c r="Q1036" s="8">
        <f t="shared" si="7"/>
        <v>4.13</v>
      </c>
    </row>
    <row r="1037">
      <c r="A1037" s="1">
        <v>544812.0</v>
      </c>
      <c r="B1037" s="1" t="str">
        <f t="shared" si="1"/>
        <v>544812</v>
      </c>
      <c r="C1037" s="1" t="str">
        <f t="shared" si="2"/>
        <v>Sale</v>
      </c>
      <c r="D1037" s="1">
        <v>20717.0</v>
      </c>
      <c r="E1037" s="1" t="str">
        <f>IFERROR(__xludf.DUMMYFUNCTION("IF(LEN(D1037)&gt;4, IFERROR(REGEXEXTRACT(TO_TEXT(D1037),""\d+""),""""),"""")"),"20717")</f>
        <v>20717</v>
      </c>
      <c r="F1037" s="6" t="str">
        <f t="shared" si="3"/>
        <v>Product</v>
      </c>
      <c r="G1037" s="1" t="s">
        <v>430</v>
      </c>
      <c r="H1037" s="6" t="str">
        <f>IFERROR(__xludf.DUMMYFUNCTION("IF(REGEXMATCH(LOWER(G1037), ""^(\?)+\s*(missing)?\s*(\?)*$""), """", PROPER(SUBSTITUTE(SUBSTITUTE(G1037, ""?"", """"), ""*"", """")))"),"Strawberry Shopper Bag")</f>
        <v>Strawberry Shopper Bag</v>
      </c>
      <c r="I1037" s="3">
        <v>1.0</v>
      </c>
      <c r="J1037" s="7">
        <v>40597.66527777778</v>
      </c>
      <c r="K1037" s="8" t="str">
        <f t="shared" si="4"/>
        <v>2011-02</v>
      </c>
      <c r="L1037" s="5">
        <v>2.46</v>
      </c>
      <c r="M1037" s="10"/>
      <c r="N1037" s="1" t="str">
        <f t="shared" si="5"/>
        <v>Guest</v>
      </c>
      <c r="O1037" s="1" t="s">
        <v>19</v>
      </c>
      <c r="P1037" s="9" t="str">
        <f t="shared" si="6"/>
        <v>UK</v>
      </c>
      <c r="Q1037" s="8">
        <f t="shared" si="7"/>
        <v>2.46</v>
      </c>
    </row>
    <row r="1038">
      <c r="A1038" s="1">
        <v>544812.0</v>
      </c>
      <c r="B1038" s="1" t="str">
        <f t="shared" si="1"/>
        <v>544812</v>
      </c>
      <c r="C1038" s="1" t="str">
        <f t="shared" si="2"/>
        <v>Sale</v>
      </c>
      <c r="D1038" s="1">
        <v>20718.0</v>
      </c>
      <c r="E1038" s="1" t="str">
        <f>IFERROR(__xludf.DUMMYFUNCTION("IF(LEN(D1038)&gt;4, IFERROR(REGEXEXTRACT(TO_TEXT(D1038),""\d+""),""""),"""")"),"20718")</f>
        <v>20718</v>
      </c>
      <c r="F1038" s="6" t="str">
        <f t="shared" si="3"/>
        <v>Product</v>
      </c>
      <c r="G1038" s="1" t="s">
        <v>699</v>
      </c>
      <c r="H1038" s="6" t="str">
        <f>IFERROR(__xludf.DUMMYFUNCTION("IF(REGEXMATCH(LOWER(G1038), ""^(\?)+\s*(missing)?\s*(\?)*$""), """", PROPER(SUBSTITUTE(SUBSTITUTE(G1038, ""?"", """"), ""*"", """")))"),"Red Retrospot Shopper Bag")</f>
        <v>Red Retrospot Shopper Bag</v>
      </c>
      <c r="I1038" s="3">
        <v>1.0</v>
      </c>
      <c r="J1038" s="7">
        <v>40597.66527777778</v>
      </c>
      <c r="K1038" s="8" t="str">
        <f t="shared" si="4"/>
        <v>2011-02</v>
      </c>
      <c r="L1038" s="5">
        <v>2.46</v>
      </c>
      <c r="M1038" s="10"/>
      <c r="N1038" s="1" t="str">
        <f t="shared" si="5"/>
        <v>Guest</v>
      </c>
      <c r="O1038" s="1" t="s">
        <v>19</v>
      </c>
      <c r="P1038" s="9" t="str">
        <f t="shared" si="6"/>
        <v>UK</v>
      </c>
      <c r="Q1038" s="8">
        <f t="shared" si="7"/>
        <v>2.46</v>
      </c>
    </row>
    <row r="1039">
      <c r="A1039" s="1">
        <v>544812.0</v>
      </c>
      <c r="B1039" s="1" t="str">
        <f t="shared" si="1"/>
        <v>544812</v>
      </c>
      <c r="C1039" s="1" t="str">
        <f t="shared" si="2"/>
        <v>Sale</v>
      </c>
      <c r="D1039" s="1">
        <v>20719.0</v>
      </c>
      <c r="E1039" s="1" t="str">
        <f>IFERROR(__xludf.DUMMYFUNCTION("IF(LEN(D1039)&gt;4, IFERROR(REGEXEXTRACT(TO_TEXT(D1039),""\d+""),""""),"""")"),"20719")</f>
        <v>20719</v>
      </c>
      <c r="F1039" s="6" t="str">
        <f t="shared" si="3"/>
        <v>Product</v>
      </c>
      <c r="G1039" s="1" t="s">
        <v>700</v>
      </c>
      <c r="H1039" s="6" t="str">
        <f>IFERROR(__xludf.DUMMYFUNCTION("IF(REGEXMATCH(LOWER(G1039), ""^(\?)+\s*(missing)?\s*(\?)*$""), """", PROPER(SUBSTITUTE(SUBSTITUTE(G1039, ""?"", """"), ""*"", """")))"),"Woodland Charlotte Bag")</f>
        <v>Woodland Charlotte Bag</v>
      </c>
      <c r="I1039" s="3">
        <v>1.0</v>
      </c>
      <c r="J1039" s="7">
        <v>40597.66527777778</v>
      </c>
      <c r="K1039" s="8" t="str">
        <f t="shared" si="4"/>
        <v>2011-02</v>
      </c>
      <c r="L1039" s="5">
        <v>1.63</v>
      </c>
      <c r="M1039" s="10"/>
      <c r="N1039" s="1" t="str">
        <f t="shared" si="5"/>
        <v>Guest</v>
      </c>
      <c r="O1039" s="1" t="s">
        <v>19</v>
      </c>
      <c r="P1039" s="9" t="str">
        <f t="shared" si="6"/>
        <v>UK</v>
      </c>
      <c r="Q1039" s="8">
        <f t="shared" si="7"/>
        <v>1.63</v>
      </c>
    </row>
    <row r="1040">
      <c r="A1040" s="1">
        <v>544812.0</v>
      </c>
      <c r="B1040" s="1" t="str">
        <f t="shared" si="1"/>
        <v>544812</v>
      </c>
      <c r="C1040" s="1" t="str">
        <f t="shared" si="2"/>
        <v>Sale</v>
      </c>
      <c r="D1040" s="1">
        <v>20723.0</v>
      </c>
      <c r="E1040" s="1" t="str">
        <f>IFERROR(__xludf.DUMMYFUNCTION("IF(LEN(D1040)&gt;4, IFERROR(REGEXEXTRACT(TO_TEXT(D1040),""\d+""),""""),"""")"),"20723")</f>
        <v>20723</v>
      </c>
      <c r="F1040" s="6" t="str">
        <f t="shared" si="3"/>
        <v>Product</v>
      </c>
      <c r="G1040" s="1" t="s">
        <v>88</v>
      </c>
      <c r="H1040" s="6" t="str">
        <f>IFERROR(__xludf.DUMMYFUNCTION("IF(REGEXMATCH(LOWER(G1040), ""^(\?)+\s*(missing)?\s*(\?)*$""), """", PROPER(SUBSTITUTE(SUBSTITUTE(G1040, ""?"", """"), ""*"", """")))"),"Strawberry Charlotte Bag")</f>
        <v>Strawberry Charlotte Bag</v>
      </c>
      <c r="I1040" s="3">
        <v>1.0</v>
      </c>
      <c r="J1040" s="7">
        <v>40597.66527777778</v>
      </c>
      <c r="K1040" s="8" t="str">
        <f t="shared" si="4"/>
        <v>2011-02</v>
      </c>
      <c r="L1040" s="5">
        <v>1.63</v>
      </c>
      <c r="M1040" s="10"/>
      <c r="N1040" s="1" t="str">
        <f t="shared" si="5"/>
        <v>Guest</v>
      </c>
      <c r="O1040" s="1" t="s">
        <v>19</v>
      </c>
      <c r="P1040" s="9" t="str">
        <f t="shared" si="6"/>
        <v>UK</v>
      </c>
      <c r="Q1040" s="8">
        <f t="shared" si="7"/>
        <v>1.63</v>
      </c>
    </row>
    <row r="1041">
      <c r="A1041" s="1">
        <v>544812.0</v>
      </c>
      <c r="B1041" s="1" t="str">
        <f t="shared" si="1"/>
        <v>544812</v>
      </c>
      <c r="C1041" s="1" t="str">
        <f t="shared" si="2"/>
        <v>Sale</v>
      </c>
      <c r="D1041" s="1">
        <v>20724.0</v>
      </c>
      <c r="E1041" s="1" t="str">
        <f>IFERROR(__xludf.DUMMYFUNCTION("IF(LEN(D1041)&gt;4, IFERROR(REGEXEXTRACT(TO_TEXT(D1041),""\d+""),""""),"""")"),"20724")</f>
        <v>20724</v>
      </c>
      <c r="F1041" s="6" t="str">
        <f t="shared" si="3"/>
        <v>Product</v>
      </c>
      <c r="G1041" s="1" t="s">
        <v>701</v>
      </c>
      <c r="H1041" s="6" t="str">
        <f>IFERROR(__xludf.DUMMYFUNCTION("IF(REGEXMATCH(LOWER(G1041), ""^(\?)+\s*(missing)?\s*(\?)*$""), """", PROPER(SUBSTITUTE(SUBSTITUTE(G1041, ""?"", """"), ""*"", """")))"),"Red Retrospot Charlotte Bag")</f>
        <v>Red Retrospot Charlotte Bag</v>
      </c>
      <c r="I1041" s="3">
        <v>7.0</v>
      </c>
      <c r="J1041" s="7">
        <v>40597.66527777778</v>
      </c>
      <c r="K1041" s="8" t="str">
        <f t="shared" si="4"/>
        <v>2011-02</v>
      </c>
      <c r="L1041" s="5">
        <v>1.63</v>
      </c>
      <c r="M1041" s="10"/>
      <c r="N1041" s="1" t="str">
        <f t="shared" si="5"/>
        <v>Guest</v>
      </c>
      <c r="O1041" s="1" t="s">
        <v>19</v>
      </c>
      <c r="P1041" s="9" t="str">
        <f t="shared" si="6"/>
        <v>UK</v>
      </c>
      <c r="Q1041" s="8">
        <f t="shared" si="7"/>
        <v>11.41</v>
      </c>
    </row>
    <row r="1042">
      <c r="A1042" s="1">
        <v>544812.0</v>
      </c>
      <c r="B1042" s="1" t="str">
        <f t="shared" si="1"/>
        <v>544812</v>
      </c>
      <c r="C1042" s="1" t="str">
        <f t="shared" si="2"/>
        <v>Sale</v>
      </c>
      <c r="D1042" s="1">
        <v>20725.0</v>
      </c>
      <c r="E1042" s="1" t="str">
        <f>IFERROR(__xludf.DUMMYFUNCTION("IF(LEN(D1042)&gt;4, IFERROR(REGEXEXTRACT(TO_TEXT(D1042),""\d+""),""""),"""")"),"20725")</f>
        <v>20725</v>
      </c>
      <c r="F1042" s="6" t="str">
        <f t="shared" si="3"/>
        <v>Product</v>
      </c>
      <c r="G1042" s="1" t="s">
        <v>94</v>
      </c>
      <c r="H1042" s="6" t="str">
        <f>IFERROR(__xludf.DUMMYFUNCTION("IF(REGEXMATCH(LOWER(G1042), ""^(\?)+\s*(missing)?\s*(\?)*$""), """", PROPER(SUBSTITUTE(SUBSTITUTE(G1042, ""?"", """"), ""*"", """")))"),"Lunch Bag Red Retrospot")</f>
        <v>Lunch Bag Red Retrospot</v>
      </c>
      <c r="I1042" s="3">
        <v>4.0</v>
      </c>
      <c r="J1042" s="7">
        <v>40597.66527777778</v>
      </c>
      <c r="K1042" s="8" t="str">
        <f t="shared" si="4"/>
        <v>2011-02</v>
      </c>
      <c r="L1042" s="5">
        <v>4.13</v>
      </c>
      <c r="M1042" s="10"/>
      <c r="N1042" s="1" t="str">
        <f t="shared" si="5"/>
        <v>Guest</v>
      </c>
      <c r="O1042" s="1" t="s">
        <v>19</v>
      </c>
      <c r="P1042" s="9" t="str">
        <f t="shared" si="6"/>
        <v>UK</v>
      </c>
      <c r="Q1042" s="8">
        <f t="shared" si="7"/>
        <v>16.52</v>
      </c>
    </row>
    <row r="1043">
      <c r="A1043" s="1">
        <v>544812.0</v>
      </c>
      <c r="B1043" s="1" t="str">
        <f t="shared" si="1"/>
        <v>544812</v>
      </c>
      <c r="C1043" s="1" t="str">
        <f t="shared" si="2"/>
        <v>Sale</v>
      </c>
      <c r="D1043" s="1">
        <v>20727.0</v>
      </c>
      <c r="E1043" s="1" t="str">
        <f>IFERROR(__xludf.DUMMYFUNCTION("IF(LEN(D1043)&gt;4, IFERROR(REGEXEXTRACT(TO_TEXT(D1043),""\d+""),""""),"""")"),"20727")</f>
        <v>20727</v>
      </c>
      <c r="F1043" s="6" t="str">
        <f t="shared" si="3"/>
        <v>Product</v>
      </c>
      <c r="G1043" s="1" t="s">
        <v>357</v>
      </c>
      <c r="H1043" s="6" t="str">
        <f>IFERROR(__xludf.DUMMYFUNCTION("IF(REGEXMATCH(LOWER(G1043), ""^(\?)+\s*(missing)?\s*(\?)*$""), """", PROPER(SUBSTITUTE(SUBSTITUTE(G1043, ""?"", """"), ""*"", """")))"),"Lunch Bag Black Skull.")</f>
        <v>Lunch Bag Black Skull.</v>
      </c>
      <c r="I1043" s="3">
        <v>1.0</v>
      </c>
      <c r="J1043" s="7">
        <v>40597.66527777778</v>
      </c>
      <c r="K1043" s="8" t="str">
        <f t="shared" si="4"/>
        <v>2011-02</v>
      </c>
      <c r="L1043" s="5">
        <v>4.13</v>
      </c>
      <c r="M1043" s="10"/>
      <c r="N1043" s="1" t="str">
        <f t="shared" si="5"/>
        <v>Guest</v>
      </c>
      <c r="O1043" s="1" t="s">
        <v>19</v>
      </c>
      <c r="P1043" s="9" t="str">
        <f t="shared" si="6"/>
        <v>UK</v>
      </c>
      <c r="Q1043" s="8">
        <f t="shared" si="7"/>
        <v>4.13</v>
      </c>
    </row>
    <row r="1044">
      <c r="A1044" s="1">
        <v>544812.0</v>
      </c>
      <c r="B1044" s="1" t="str">
        <f t="shared" si="1"/>
        <v>544812</v>
      </c>
      <c r="C1044" s="1" t="str">
        <f t="shared" si="2"/>
        <v>Sale</v>
      </c>
      <c r="D1044" s="1">
        <v>20733.0</v>
      </c>
      <c r="E1044" s="1" t="str">
        <f>IFERROR(__xludf.DUMMYFUNCTION("IF(LEN(D1044)&gt;4, IFERROR(REGEXEXTRACT(TO_TEXT(D1044),""\d+""),""""),"""")"),"20733")</f>
        <v>20733</v>
      </c>
      <c r="F1044" s="6" t="str">
        <f t="shared" si="3"/>
        <v>Product</v>
      </c>
      <c r="G1044" s="1" t="s">
        <v>702</v>
      </c>
      <c r="H1044" s="6" t="str">
        <f>IFERROR(__xludf.DUMMYFUNCTION("IF(REGEXMATCH(LOWER(G1044), ""^(\?)+\s*(missing)?\s*(\?)*$""), """", PROPER(SUBSTITUTE(SUBSTITUTE(G1044, ""?"", """"), ""*"", """")))"),"Gold Mini Tape Measure")</f>
        <v>Gold Mini Tape Measure</v>
      </c>
      <c r="I1044" s="3">
        <v>1.0</v>
      </c>
      <c r="J1044" s="7">
        <v>40597.66527777778</v>
      </c>
      <c r="K1044" s="8" t="str">
        <f t="shared" si="4"/>
        <v>2011-02</v>
      </c>
      <c r="L1044" s="5">
        <v>0.83</v>
      </c>
      <c r="M1044" s="10"/>
      <c r="N1044" s="1" t="str">
        <f t="shared" si="5"/>
        <v>Guest</v>
      </c>
      <c r="O1044" s="1" t="s">
        <v>19</v>
      </c>
      <c r="P1044" s="9" t="str">
        <f t="shared" si="6"/>
        <v>UK</v>
      </c>
      <c r="Q1044" s="8">
        <f t="shared" si="7"/>
        <v>0.83</v>
      </c>
    </row>
    <row r="1045">
      <c r="A1045" s="1">
        <v>544812.0</v>
      </c>
      <c r="B1045" s="1" t="str">
        <f t="shared" si="1"/>
        <v>544812</v>
      </c>
      <c r="C1045" s="1" t="str">
        <f t="shared" si="2"/>
        <v>Sale</v>
      </c>
      <c r="D1045" s="1">
        <v>20752.0</v>
      </c>
      <c r="E1045" s="1" t="str">
        <f>IFERROR(__xludf.DUMMYFUNCTION("IF(LEN(D1045)&gt;4, IFERROR(REGEXEXTRACT(TO_TEXT(D1045),""\d+""),""""),"""")"),"20752")</f>
        <v>20752</v>
      </c>
      <c r="F1045" s="6" t="str">
        <f t="shared" si="3"/>
        <v>Product</v>
      </c>
      <c r="G1045" s="1" t="s">
        <v>703</v>
      </c>
      <c r="H1045" s="6" t="str">
        <f>IFERROR(__xludf.DUMMYFUNCTION("IF(REGEXMATCH(LOWER(G1045), ""^(\?)+\s*(missing)?\s*(\?)*$""), """", PROPER(SUBSTITUTE(SUBSTITUTE(G1045, ""?"", """"), ""*"", """")))"),"Blue Polkadot Washing Up Gloves")</f>
        <v>Blue Polkadot Washing Up Gloves</v>
      </c>
      <c r="I1045" s="3">
        <v>1.0</v>
      </c>
      <c r="J1045" s="7">
        <v>40597.66527777778</v>
      </c>
      <c r="K1045" s="8" t="str">
        <f t="shared" si="4"/>
        <v>2011-02</v>
      </c>
      <c r="L1045" s="5">
        <v>4.13</v>
      </c>
      <c r="M1045" s="10"/>
      <c r="N1045" s="1" t="str">
        <f t="shared" si="5"/>
        <v>Guest</v>
      </c>
      <c r="O1045" s="1" t="s">
        <v>19</v>
      </c>
      <c r="P1045" s="9" t="str">
        <f t="shared" si="6"/>
        <v>UK</v>
      </c>
      <c r="Q1045" s="8">
        <f t="shared" si="7"/>
        <v>4.13</v>
      </c>
    </row>
    <row r="1046">
      <c r="A1046" s="1">
        <v>544812.0</v>
      </c>
      <c r="B1046" s="1" t="str">
        <f t="shared" si="1"/>
        <v>544812</v>
      </c>
      <c r="C1046" s="1" t="str">
        <f t="shared" si="2"/>
        <v>Sale</v>
      </c>
      <c r="D1046" s="1">
        <v>20754.0</v>
      </c>
      <c r="E1046" s="1" t="str">
        <f>IFERROR(__xludf.DUMMYFUNCTION("IF(LEN(D1046)&gt;4, IFERROR(REGEXEXTRACT(TO_TEXT(D1046),""\d+""),""""),"""")"),"20754")</f>
        <v>20754</v>
      </c>
      <c r="F1046" s="6" t="str">
        <f t="shared" si="3"/>
        <v>Product</v>
      </c>
      <c r="G1046" s="1" t="s">
        <v>704</v>
      </c>
      <c r="H1046" s="6" t="str">
        <f>IFERROR(__xludf.DUMMYFUNCTION("IF(REGEXMATCH(LOWER(G1046), ""^(\?)+\s*(missing)?\s*(\?)*$""), """", PROPER(SUBSTITUTE(SUBSTITUTE(G1046, ""?"", """"), ""*"", """")))"),"Retrospot Red Washing Up Gloves")</f>
        <v>Retrospot Red Washing Up Gloves</v>
      </c>
      <c r="I1046" s="3">
        <v>2.0</v>
      </c>
      <c r="J1046" s="7">
        <v>40597.66527777778</v>
      </c>
      <c r="K1046" s="8" t="str">
        <f t="shared" si="4"/>
        <v>2011-02</v>
      </c>
      <c r="L1046" s="5">
        <v>4.13</v>
      </c>
      <c r="M1046" s="10"/>
      <c r="N1046" s="1" t="str">
        <f t="shared" si="5"/>
        <v>Guest</v>
      </c>
      <c r="O1046" s="1" t="s">
        <v>19</v>
      </c>
      <c r="P1046" s="9" t="str">
        <f t="shared" si="6"/>
        <v>UK</v>
      </c>
      <c r="Q1046" s="8">
        <f t="shared" si="7"/>
        <v>8.26</v>
      </c>
    </row>
    <row r="1047">
      <c r="A1047" s="1">
        <v>544812.0</v>
      </c>
      <c r="B1047" s="1" t="str">
        <f t="shared" si="1"/>
        <v>544812</v>
      </c>
      <c r="C1047" s="1" t="str">
        <f t="shared" si="2"/>
        <v>Sale</v>
      </c>
      <c r="D1047" s="1">
        <v>20828.0</v>
      </c>
      <c r="E1047" s="1" t="str">
        <f>IFERROR(__xludf.DUMMYFUNCTION("IF(LEN(D1047)&gt;4, IFERROR(REGEXEXTRACT(TO_TEXT(D1047),""\d+""),""""),"""")"),"20828")</f>
        <v>20828</v>
      </c>
      <c r="F1047" s="6" t="str">
        <f t="shared" si="3"/>
        <v>Product</v>
      </c>
      <c r="G1047" s="1" t="s">
        <v>705</v>
      </c>
      <c r="H1047" s="6" t="str">
        <f>IFERROR(__xludf.DUMMYFUNCTION("IF(REGEXMATCH(LOWER(G1047), ""^(\?)+\s*(missing)?\s*(\?)*$""), """", PROPER(SUBSTITUTE(SUBSTITUTE(G1047, ""?"", """"), ""*"", """")))"),"Glitter Butterfly Clips")</f>
        <v>Glitter Butterfly Clips</v>
      </c>
      <c r="I1047" s="3">
        <v>1.0</v>
      </c>
      <c r="J1047" s="7">
        <v>40597.66527777778</v>
      </c>
      <c r="K1047" s="8" t="str">
        <f t="shared" si="4"/>
        <v>2011-02</v>
      </c>
      <c r="L1047" s="5">
        <v>4.96</v>
      </c>
      <c r="M1047" s="10"/>
      <c r="N1047" s="1" t="str">
        <f t="shared" si="5"/>
        <v>Guest</v>
      </c>
      <c r="O1047" s="1" t="s">
        <v>19</v>
      </c>
      <c r="P1047" s="9" t="str">
        <f t="shared" si="6"/>
        <v>UK</v>
      </c>
      <c r="Q1047" s="8">
        <f t="shared" si="7"/>
        <v>4.96</v>
      </c>
    </row>
    <row r="1048">
      <c r="A1048" s="1">
        <v>544812.0</v>
      </c>
      <c r="B1048" s="1" t="str">
        <f t="shared" si="1"/>
        <v>544812</v>
      </c>
      <c r="C1048" s="1" t="str">
        <f t="shared" si="2"/>
        <v>Sale</v>
      </c>
      <c r="D1048" s="1">
        <v>20830.0</v>
      </c>
      <c r="E1048" s="1" t="str">
        <f>IFERROR(__xludf.DUMMYFUNCTION("IF(LEN(D1048)&gt;4, IFERROR(REGEXEXTRACT(TO_TEXT(D1048),""\d+""),""""),"""")"),"20830")</f>
        <v>20830</v>
      </c>
      <c r="F1048" s="6" t="str">
        <f t="shared" si="3"/>
        <v>Product</v>
      </c>
      <c r="G1048" s="1" t="s">
        <v>706</v>
      </c>
      <c r="H1048" s="6" t="str">
        <f>IFERROR(__xludf.DUMMYFUNCTION("IF(REGEXMATCH(LOWER(G1048), ""^(\?)+\s*(missing)?\s*(\?)*$""), """", PROPER(SUBSTITUTE(SUBSTITUTE(G1048, ""?"", """"), ""*"", """")))"),"Silver Photo Frame")</f>
        <v>Silver Photo Frame</v>
      </c>
      <c r="I1048" s="3">
        <v>5.0</v>
      </c>
      <c r="J1048" s="7">
        <v>40597.66527777778</v>
      </c>
      <c r="K1048" s="8" t="str">
        <f t="shared" si="4"/>
        <v>2011-02</v>
      </c>
      <c r="L1048" s="5">
        <v>4.13</v>
      </c>
      <c r="M1048" s="10"/>
      <c r="N1048" s="1" t="str">
        <f t="shared" si="5"/>
        <v>Guest</v>
      </c>
      <c r="O1048" s="1" t="s">
        <v>19</v>
      </c>
      <c r="P1048" s="9" t="str">
        <f t="shared" si="6"/>
        <v>UK</v>
      </c>
      <c r="Q1048" s="8">
        <f t="shared" si="7"/>
        <v>20.65</v>
      </c>
    </row>
    <row r="1049">
      <c r="A1049" s="1">
        <v>544812.0</v>
      </c>
      <c r="B1049" s="1" t="str">
        <f t="shared" si="1"/>
        <v>544812</v>
      </c>
      <c r="C1049" s="1" t="str">
        <f t="shared" si="2"/>
        <v>Sale</v>
      </c>
      <c r="D1049" s="1">
        <v>20831.0</v>
      </c>
      <c r="E1049" s="1" t="str">
        <f>IFERROR(__xludf.DUMMYFUNCTION("IF(LEN(D1049)&gt;4, IFERROR(REGEXEXTRACT(TO_TEXT(D1049),""\d+""),""""),"""")"),"20831")</f>
        <v>20831</v>
      </c>
      <c r="F1049" s="6" t="str">
        <f t="shared" si="3"/>
        <v>Product</v>
      </c>
      <c r="G1049" s="1" t="s">
        <v>707</v>
      </c>
      <c r="H1049" s="6" t="str">
        <f>IFERROR(__xludf.DUMMYFUNCTION("IF(REGEXMATCH(LOWER(G1049), ""^(\?)+\s*(missing)?\s*(\?)*$""), """", PROPER(SUBSTITUTE(SUBSTITUTE(G1049, ""?"", """"), ""*"", """")))"),"Gold Photo Frame")</f>
        <v>Gold Photo Frame</v>
      </c>
      <c r="I1049" s="3">
        <v>2.0</v>
      </c>
      <c r="J1049" s="7">
        <v>40597.66527777778</v>
      </c>
      <c r="K1049" s="8" t="str">
        <f t="shared" si="4"/>
        <v>2011-02</v>
      </c>
      <c r="L1049" s="5">
        <v>4.13</v>
      </c>
      <c r="M1049" s="10"/>
      <c r="N1049" s="1" t="str">
        <f t="shared" si="5"/>
        <v>Guest</v>
      </c>
      <c r="O1049" s="1" t="s">
        <v>19</v>
      </c>
      <c r="P1049" s="9" t="str">
        <f t="shared" si="6"/>
        <v>UK</v>
      </c>
      <c r="Q1049" s="8">
        <f t="shared" si="7"/>
        <v>8.26</v>
      </c>
    </row>
    <row r="1050">
      <c r="A1050" s="1">
        <v>544812.0</v>
      </c>
      <c r="B1050" s="1" t="str">
        <f t="shared" si="1"/>
        <v>544812</v>
      </c>
      <c r="C1050" s="1" t="str">
        <f t="shared" si="2"/>
        <v>Sale</v>
      </c>
      <c r="D1050" s="1">
        <v>22908.0</v>
      </c>
      <c r="E1050" s="1" t="str">
        <f>IFERROR(__xludf.DUMMYFUNCTION("IF(LEN(D1050)&gt;4, IFERROR(REGEXEXTRACT(TO_TEXT(D1050),""\d+""),""""),"""")"),"22908")</f>
        <v>22908</v>
      </c>
      <c r="F1050" s="6" t="str">
        <f t="shared" si="3"/>
        <v>Product</v>
      </c>
      <c r="G1050" s="1" t="s">
        <v>708</v>
      </c>
      <c r="H1050" s="6" t="str">
        <f>IFERROR(__xludf.DUMMYFUNCTION("IF(REGEXMATCH(LOWER(G1050), ""^(\?)+\s*(missing)?\s*(\?)*$""), """", PROPER(SUBSTITUTE(SUBSTITUTE(G1050, ""?"", """"), ""*"", """")))"),"Pack Of 20 Napkins Red Apples")</f>
        <v>Pack Of 20 Napkins Red Apples</v>
      </c>
      <c r="I1050" s="3">
        <v>1.0</v>
      </c>
      <c r="J1050" s="7">
        <v>40597.66527777778</v>
      </c>
      <c r="K1050" s="8" t="str">
        <f t="shared" si="4"/>
        <v>2011-02</v>
      </c>
      <c r="L1050" s="5">
        <v>1.63</v>
      </c>
      <c r="M1050" s="10"/>
      <c r="N1050" s="1" t="str">
        <f t="shared" si="5"/>
        <v>Guest</v>
      </c>
      <c r="O1050" s="1" t="s">
        <v>19</v>
      </c>
      <c r="P1050" s="9" t="str">
        <f t="shared" si="6"/>
        <v>UK</v>
      </c>
      <c r="Q1050" s="8">
        <f t="shared" si="7"/>
        <v>1.63</v>
      </c>
    </row>
    <row r="1051">
      <c r="A1051" s="1">
        <v>544812.0</v>
      </c>
      <c r="B1051" s="1" t="str">
        <f t="shared" si="1"/>
        <v>544812</v>
      </c>
      <c r="C1051" s="1" t="str">
        <f t="shared" si="2"/>
        <v>Sale</v>
      </c>
      <c r="D1051" s="1">
        <v>22960.0</v>
      </c>
      <c r="E1051" s="1" t="str">
        <f>IFERROR(__xludf.DUMMYFUNCTION("IF(LEN(D1051)&gt;4, IFERROR(REGEXEXTRACT(TO_TEXT(D1051),""\d+""),""""),"""")"),"22960")</f>
        <v>22960</v>
      </c>
      <c r="F1051" s="6" t="str">
        <f t="shared" si="3"/>
        <v>Product</v>
      </c>
      <c r="G1051" s="1" t="s">
        <v>43</v>
      </c>
      <c r="H1051" s="6" t="str">
        <f>IFERROR(__xludf.DUMMYFUNCTION("IF(REGEXMATCH(LOWER(G1051), ""^(\?)+\s*(missing)?\s*(\?)*$""), """", PROPER(SUBSTITUTE(SUBSTITUTE(G1051, ""?"", """"), ""*"", """")))"),"Jam Making Set With Jars")</f>
        <v>Jam Making Set With Jars</v>
      </c>
      <c r="I1051" s="3">
        <v>2.0</v>
      </c>
      <c r="J1051" s="7">
        <v>40597.66527777778</v>
      </c>
      <c r="K1051" s="8" t="str">
        <f t="shared" si="4"/>
        <v>2011-02</v>
      </c>
      <c r="L1051" s="5">
        <v>8.29</v>
      </c>
      <c r="M1051" s="10"/>
      <c r="N1051" s="1" t="str">
        <f t="shared" si="5"/>
        <v>Guest</v>
      </c>
      <c r="O1051" s="1" t="s">
        <v>19</v>
      </c>
      <c r="P1051" s="9" t="str">
        <f t="shared" si="6"/>
        <v>UK</v>
      </c>
      <c r="Q1051" s="8">
        <f t="shared" si="7"/>
        <v>16.58</v>
      </c>
    </row>
    <row r="1052">
      <c r="A1052" s="1">
        <v>544812.0</v>
      </c>
      <c r="B1052" s="1" t="str">
        <f t="shared" si="1"/>
        <v>544812</v>
      </c>
      <c r="C1052" s="1" t="str">
        <f t="shared" si="2"/>
        <v>Sale</v>
      </c>
      <c r="D1052" s="1">
        <v>22961.0</v>
      </c>
      <c r="E1052" s="1" t="str">
        <f>IFERROR(__xludf.DUMMYFUNCTION("IF(LEN(D1052)&gt;4, IFERROR(REGEXEXTRACT(TO_TEXT(D1052),""\d+""),""""),"""")"),"22961")</f>
        <v>22961</v>
      </c>
      <c r="F1052" s="6" t="str">
        <f t="shared" si="3"/>
        <v>Product</v>
      </c>
      <c r="G1052" s="1" t="s">
        <v>109</v>
      </c>
      <c r="H1052" s="6" t="str">
        <f>IFERROR(__xludf.DUMMYFUNCTION("IF(REGEXMATCH(LOWER(G1052), ""^(\?)+\s*(missing)?\s*(\?)*$""), """", PROPER(SUBSTITUTE(SUBSTITUTE(G1052, ""?"", """"), ""*"", """")))"),"Jam Making Set Printed")</f>
        <v>Jam Making Set Printed</v>
      </c>
      <c r="I1052" s="3">
        <v>2.0</v>
      </c>
      <c r="J1052" s="7">
        <v>40597.66527777778</v>
      </c>
      <c r="K1052" s="8" t="str">
        <f t="shared" si="4"/>
        <v>2011-02</v>
      </c>
      <c r="L1052" s="5">
        <v>3.29</v>
      </c>
      <c r="M1052" s="10"/>
      <c r="N1052" s="1" t="str">
        <f t="shared" si="5"/>
        <v>Guest</v>
      </c>
      <c r="O1052" s="1" t="s">
        <v>19</v>
      </c>
      <c r="P1052" s="9" t="str">
        <f t="shared" si="6"/>
        <v>UK</v>
      </c>
      <c r="Q1052" s="8">
        <f t="shared" si="7"/>
        <v>6.58</v>
      </c>
    </row>
    <row r="1053">
      <c r="A1053" s="1">
        <v>544812.0</v>
      </c>
      <c r="B1053" s="1" t="str">
        <f t="shared" si="1"/>
        <v>544812</v>
      </c>
      <c r="C1053" s="1" t="str">
        <f t="shared" si="2"/>
        <v>Sale</v>
      </c>
      <c r="D1053" s="1">
        <v>22968.0</v>
      </c>
      <c r="E1053" s="1" t="str">
        <f>IFERROR(__xludf.DUMMYFUNCTION("IF(LEN(D1053)&gt;4, IFERROR(REGEXEXTRACT(TO_TEXT(D1053),""\d+""),""""),"""")"),"22968")</f>
        <v>22968</v>
      </c>
      <c r="F1053" s="6" t="str">
        <f t="shared" si="3"/>
        <v>Product</v>
      </c>
      <c r="G1053" s="1" t="s">
        <v>212</v>
      </c>
      <c r="H1053" s="6" t="str">
        <f>IFERROR(__xludf.DUMMYFUNCTION("IF(REGEXMATCH(LOWER(G1053), ""^(\?)+\s*(missing)?\s*(\?)*$""), """", PROPER(SUBSTITUTE(SUBSTITUTE(G1053, ""?"", """"), ""*"", """")))"),"Rose Cottage Keepsake Box")</f>
        <v>Rose Cottage Keepsake Box</v>
      </c>
      <c r="I1053" s="3">
        <v>2.0</v>
      </c>
      <c r="J1053" s="7">
        <v>40597.66527777778</v>
      </c>
      <c r="K1053" s="8" t="str">
        <f t="shared" si="4"/>
        <v>2011-02</v>
      </c>
      <c r="L1053" s="5">
        <v>19.96</v>
      </c>
      <c r="M1053" s="10"/>
      <c r="N1053" s="1" t="str">
        <f t="shared" si="5"/>
        <v>Guest</v>
      </c>
      <c r="O1053" s="1" t="s">
        <v>19</v>
      </c>
      <c r="P1053" s="9" t="str">
        <f t="shared" si="6"/>
        <v>UK</v>
      </c>
      <c r="Q1053" s="8">
        <f t="shared" si="7"/>
        <v>39.92</v>
      </c>
    </row>
    <row r="1054">
      <c r="A1054" s="1">
        <v>544812.0</v>
      </c>
      <c r="B1054" s="1" t="str">
        <f t="shared" si="1"/>
        <v>544812</v>
      </c>
      <c r="C1054" s="1" t="str">
        <f t="shared" si="2"/>
        <v>Sale</v>
      </c>
      <c r="D1054" s="1">
        <v>22983.0</v>
      </c>
      <c r="E1054" s="1" t="str">
        <f>IFERROR(__xludf.DUMMYFUNCTION("IF(LEN(D1054)&gt;4, IFERROR(REGEXEXTRACT(TO_TEXT(D1054),""\d+""),""""),"""")"),"22983")</f>
        <v>22983</v>
      </c>
      <c r="F1054" s="6" t="str">
        <f t="shared" si="3"/>
        <v>Product</v>
      </c>
      <c r="G1054" s="1" t="s">
        <v>640</v>
      </c>
      <c r="H1054" s="6" t="str">
        <f>IFERROR(__xludf.DUMMYFUNCTION("IF(REGEXMATCH(LOWER(G1054), ""^(\?)+\s*(missing)?\s*(\?)*$""), """", PROPER(SUBSTITUTE(SUBSTITUTE(G1054, ""?"", """"), ""*"", """")))"),"Card Billboard Font")</f>
        <v>Card Billboard Font</v>
      </c>
      <c r="I1054" s="3">
        <v>1.0</v>
      </c>
      <c r="J1054" s="7">
        <v>40597.66527777778</v>
      </c>
      <c r="K1054" s="8" t="str">
        <f t="shared" si="4"/>
        <v>2011-02</v>
      </c>
      <c r="L1054" s="5">
        <v>0.83</v>
      </c>
      <c r="M1054" s="10"/>
      <c r="N1054" s="1" t="str">
        <f t="shared" si="5"/>
        <v>Guest</v>
      </c>
      <c r="O1054" s="1" t="s">
        <v>19</v>
      </c>
      <c r="P1054" s="9" t="str">
        <f t="shared" si="6"/>
        <v>UK</v>
      </c>
      <c r="Q1054" s="8">
        <f t="shared" si="7"/>
        <v>0.83</v>
      </c>
    </row>
    <row r="1055">
      <c r="A1055" s="1">
        <v>544812.0</v>
      </c>
      <c r="B1055" s="1" t="str">
        <f t="shared" si="1"/>
        <v>544812</v>
      </c>
      <c r="C1055" s="1" t="str">
        <f t="shared" si="2"/>
        <v>Sale</v>
      </c>
      <c r="D1055" s="1">
        <v>22993.0</v>
      </c>
      <c r="E1055" s="1" t="str">
        <f>IFERROR(__xludf.DUMMYFUNCTION("IF(LEN(D1055)&gt;4, IFERROR(REGEXEXTRACT(TO_TEXT(D1055),""\d+""),""""),"""")"),"22993")</f>
        <v>22993</v>
      </c>
      <c r="F1055" s="6" t="str">
        <f t="shared" si="3"/>
        <v>Product</v>
      </c>
      <c r="G1055" s="1" t="s">
        <v>709</v>
      </c>
      <c r="H1055" s="6" t="str">
        <f>IFERROR(__xludf.DUMMYFUNCTION("IF(REGEXMATCH(LOWER(G1055), ""^(\?)+\s*(missing)?\s*(\?)*$""), """", PROPER(SUBSTITUTE(SUBSTITUTE(G1055, ""?"", """"), ""*"", """")))"),"Set Of 4 Pantry Jelly Moulds")</f>
        <v>Set Of 4 Pantry Jelly Moulds</v>
      </c>
      <c r="I1055" s="3">
        <v>2.0</v>
      </c>
      <c r="J1055" s="7">
        <v>40597.66527777778</v>
      </c>
      <c r="K1055" s="8" t="str">
        <f t="shared" si="4"/>
        <v>2011-02</v>
      </c>
      <c r="L1055" s="5">
        <v>2.5</v>
      </c>
      <c r="M1055" s="10"/>
      <c r="N1055" s="1" t="str">
        <f t="shared" si="5"/>
        <v>Guest</v>
      </c>
      <c r="O1055" s="1" t="s">
        <v>19</v>
      </c>
      <c r="P1055" s="9" t="str">
        <f t="shared" si="6"/>
        <v>UK</v>
      </c>
      <c r="Q1055" s="8">
        <f t="shared" si="7"/>
        <v>5</v>
      </c>
    </row>
    <row r="1056">
      <c r="A1056" s="1">
        <v>544812.0</v>
      </c>
      <c r="B1056" s="1" t="str">
        <f t="shared" si="1"/>
        <v>544812</v>
      </c>
      <c r="C1056" s="1" t="str">
        <f t="shared" si="2"/>
        <v>Sale</v>
      </c>
      <c r="D1056" s="1">
        <v>22995.0</v>
      </c>
      <c r="E1056" s="1" t="str">
        <f>IFERROR(__xludf.DUMMYFUNCTION("IF(LEN(D1056)&gt;4, IFERROR(REGEXEXTRACT(TO_TEXT(D1056),""\d+""),""""),"""")"),"22995")</f>
        <v>22995</v>
      </c>
      <c r="F1056" s="6" t="str">
        <f t="shared" si="3"/>
        <v>Product</v>
      </c>
      <c r="G1056" s="1" t="s">
        <v>710</v>
      </c>
      <c r="H1056" s="6" t="str">
        <f>IFERROR(__xludf.DUMMYFUNCTION("IF(REGEXMATCH(LOWER(G1056), ""^(\?)+\s*(missing)?\s*(\?)*$""), """", PROPER(SUBSTITUTE(SUBSTITUTE(G1056, ""?"", """"), ""*"", """")))"),"Travel Card Wallet Suki")</f>
        <v>Travel Card Wallet Suki</v>
      </c>
      <c r="I1056" s="3">
        <v>1.0</v>
      </c>
      <c r="J1056" s="7">
        <v>40597.66527777778</v>
      </c>
      <c r="K1056" s="8" t="str">
        <f t="shared" si="4"/>
        <v>2011-02</v>
      </c>
      <c r="L1056" s="5">
        <v>0.83</v>
      </c>
      <c r="M1056" s="10"/>
      <c r="N1056" s="1" t="str">
        <f t="shared" si="5"/>
        <v>Guest</v>
      </c>
      <c r="O1056" s="1" t="s">
        <v>19</v>
      </c>
      <c r="P1056" s="9" t="str">
        <f t="shared" si="6"/>
        <v>UK</v>
      </c>
      <c r="Q1056" s="8">
        <f t="shared" si="7"/>
        <v>0.83</v>
      </c>
    </row>
    <row r="1057">
      <c r="A1057" s="1">
        <v>544812.0</v>
      </c>
      <c r="B1057" s="1" t="str">
        <f t="shared" si="1"/>
        <v>544812</v>
      </c>
      <c r="C1057" s="1" t="str">
        <f t="shared" si="2"/>
        <v>Sale</v>
      </c>
      <c r="D1057" s="1">
        <v>22996.0</v>
      </c>
      <c r="E1057" s="1" t="str">
        <f>IFERROR(__xludf.DUMMYFUNCTION("IF(LEN(D1057)&gt;4, IFERROR(REGEXEXTRACT(TO_TEXT(D1057),""\d+""),""""),"""")"),"22996")</f>
        <v>22996</v>
      </c>
      <c r="F1057" s="6" t="str">
        <f t="shared" si="3"/>
        <v>Product</v>
      </c>
      <c r="G1057" s="1" t="s">
        <v>711</v>
      </c>
      <c r="H1057" s="6" t="str">
        <f>IFERROR(__xludf.DUMMYFUNCTION("IF(REGEXMATCH(LOWER(G1057), ""^(\?)+\s*(missing)?\s*(\?)*$""), """", PROPER(SUBSTITUTE(SUBSTITUTE(G1057, ""?"", """"), ""*"", """")))"),"Travel Card Wallet Vintage Ticket")</f>
        <v>Travel Card Wallet Vintage Ticket</v>
      </c>
      <c r="I1057" s="3">
        <v>2.0</v>
      </c>
      <c r="J1057" s="7">
        <v>40597.66527777778</v>
      </c>
      <c r="K1057" s="8" t="str">
        <f t="shared" si="4"/>
        <v>2011-02</v>
      </c>
      <c r="L1057" s="5">
        <v>0.83</v>
      </c>
      <c r="M1057" s="10"/>
      <c r="N1057" s="1" t="str">
        <f t="shared" si="5"/>
        <v>Guest</v>
      </c>
      <c r="O1057" s="1" t="s">
        <v>19</v>
      </c>
      <c r="P1057" s="9" t="str">
        <f t="shared" si="6"/>
        <v>UK</v>
      </c>
      <c r="Q1057" s="8">
        <f t="shared" si="7"/>
        <v>1.66</v>
      </c>
    </row>
    <row r="1058">
      <c r="A1058" s="1">
        <v>544812.0</v>
      </c>
      <c r="B1058" s="1" t="str">
        <f t="shared" si="1"/>
        <v>544812</v>
      </c>
      <c r="C1058" s="1" t="str">
        <f t="shared" si="2"/>
        <v>Sale</v>
      </c>
      <c r="D1058" s="1">
        <v>22998.0</v>
      </c>
      <c r="E1058" s="1" t="str">
        <f>IFERROR(__xludf.DUMMYFUNCTION("IF(LEN(D1058)&gt;4, IFERROR(REGEXEXTRACT(TO_TEXT(D1058),""\d+""),""""),"""")"),"22998")</f>
        <v>22998</v>
      </c>
      <c r="F1058" s="6" t="str">
        <f t="shared" si="3"/>
        <v>Product</v>
      </c>
      <c r="G1058" s="1" t="s">
        <v>712</v>
      </c>
      <c r="H1058" s="6" t="str">
        <f>IFERROR(__xludf.DUMMYFUNCTION("IF(REGEXMATCH(LOWER(G1058), ""^(\?)+\s*(missing)?\s*(\?)*$""), """", PROPER(SUBSTITUTE(SUBSTITUTE(G1058, ""?"", """"), ""*"", """")))"),"Travel Card Wallet Keep Calm")</f>
        <v>Travel Card Wallet Keep Calm</v>
      </c>
      <c r="I1058" s="3">
        <v>1.0</v>
      </c>
      <c r="J1058" s="7">
        <v>40597.66527777778</v>
      </c>
      <c r="K1058" s="8" t="str">
        <f t="shared" si="4"/>
        <v>2011-02</v>
      </c>
      <c r="L1058" s="5">
        <v>0.83</v>
      </c>
      <c r="M1058" s="10"/>
      <c r="N1058" s="1" t="str">
        <f t="shared" si="5"/>
        <v>Guest</v>
      </c>
      <c r="O1058" s="1" t="s">
        <v>19</v>
      </c>
      <c r="P1058" s="9" t="str">
        <f t="shared" si="6"/>
        <v>UK</v>
      </c>
      <c r="Q1058" s="8">
        <f t="shared" si="7"/>
        <v>0.83</v>
      </c>
    </row>
    <row r="1059">
      <c r="A1059" s="1">
        <v>544812.0</v>
      </c>
      <c r="B1059" s="1" t="str">
        <f t="shared" si="1"/>
        <v>544812</v>
      </c>
      <c r="C1059" s="1" t="str">
        <f t="shared" si="2"/>
        <v>Sale</v>
      </c>
      <c r="D1059" s="1">
        <v>22999.0</v>
      </c>
      <c r="E1059" s="1" t="str">
        <f>IFERROR(__xludf.DUMMYFUNCTION("IF(LEN(D1059)&gt;4, IFERROR(REGEXEXTRACT(TO_TEXT(D1059),""\d+""),""""),"""")"),"22999")</f>
        <v>22999</v>
      </c>
      <c r="F1059" s="6" t="str">
        <f t="shared" si="3"/>
        <v>Product</v>
      </c>
      <c r="G1059" s="1" t="s">
        <v>713</v>
      </c>
      <c r="H1059" s="6" t="str">
        <f>IFERROR(__xludf.DUMMYFUNCTION("IF(REGEXMATCH(LOWER(G1059), ""^(\?)+\s*(missing)?\s*(\?)*$""), """", PROPER(SUBSTITUTE(SUBSTITUTE(G1059, ""?"", """"), ""*"", """")))"),"Travel Card Wallet Retro Petals")</f>
        <v>Travel Card Wallet Retro Petals</v>
      </c>
      <c r="I1059" s="3">
        <v>1.0</v>
      </c>
      <c r="J1059" s="7">
        <v>40597.66527777778</v>
      </c>
      <c r="K1059" s="8" t="str">
        <f t="shared" si="4"/>
        <v>2011-02</v>
      </c>
      <c r="L1059" s="5">
        <v>0.83</v>
      </c>
      <c r="M1059" s="10"/>
      <c r="N1059" s="1" t="str">
        <f t="shared" si="5"/>
        <v>Guest</v>
      </c>
      <c r="O1059" s="1" t="s">
        <v>19</v>
      </c>
      <c r="P1059" s="9" t="str">
        <f t="shared" si="6"/>
        <v>UK</v>
      </c>
      <c r="Q1059" s="8">
        <f t="shared" si="7"/>
        <v>0.83</v>
      </c>
    </row>
    <row r="1060">
      <c r="A1060" s="1">
        <v>544812.0</v>
      </c>
      <c r="B1060" s="1" t="str">
        <f t="shared" si="1"/>
        <v>544812</v>
      </c>
      <c r="C1060" s="1" t="str">
        <f t="shared" si="2"/>
        <v>Sale</v>
      </c>
      <c r="D1060" s="1">
        <v>23000.0</v>
      </c>
      <c r="E1060" s="1" t="str">
        <f>IFERROR(__xludf.DUMMYFUNCTION("IF(LEN(D1060)&gt;4, IFERROR(REGEXEXTRACT(TO_TEXT(D1060),""\d+""),""""),"""")"),"23000")</f>
        <v>23000</v>
      </c>
      <c r="F1060" s="6" t="str">
        <f t="shared" si="3"/>
        <v>Product</v>
      </c>
      <c r="G1060" s="1" t="s">
        <v>714</v>
      </c>
      <c r="H1060" s="6" t="str">
        <f>IFERROR(__xludf.DUMMYFUNCTION("IF(REGEXMATCH(LOWER(G1060), ""^(\?)+\s*(missing)?\s*(\?)*$""), """", PROPER(SUBSTITUTE(SUBSTITUTE(G1060, ""?"", """"), ""*"", """")))"),"Travel Card Wallet Transport")</f>
        <v>Travel Card Wallet Transport</v>
      </c>
      <c r="I1060" s="3">
        <v>1.0</v>
      </c>
      <c r="J1060" s="7">
        <v>40597.66527777778</v>
      </c>
      <c r="K1060" s="8" t="str">
        <f t="shared" si="4"/>
        <v>2011-02</v>
      </c>
      <c r="L1060" s="5">
        <v>0.83</v>
      </c>
      <c r="M1060" s="10"/>
      <c r="N1060" s="1" t="str">
        <f t="shared" si="5"/>
        <v>Guest</v>
      </c>
      <c r="O1060" s="1" t="s">
        <v>19</v>
      </c>
      <c r="P1060" s="9" t="str">
        <f t="shared" si="6"/>
        <v>UK</v>
      </c>
      <c r="Q1060" s="8">
        <f t="shared" si="7"/>
        <v>0.83</v>
      </c>
    </row>
    <row r="1061">
      <c r="A1061" s="1">
        <v>544812.0</v>
      </c>
      <c r="B1061" s="1" t="str">
        <f t="shared" si="1"/>
        <v>544812</v>
      </c>
      <c r="C1061" s="1" t="str">
        <f t="shared" si="2"/>
        <v>Sale</v>
      </c>
      <c r="D1061" s="1">
        <v>23002.0</v>
      </c>
      <c r="E1061" s="1" t="str">
        <f>IFERROR(__xludf.DUMMYFUNCTION("IF(LEN(D1061)&gt;4, IFERROR(REGEXEXTRACT(TO_TEXT(D1061),""\d+""),""""),"""")"),"23002")</f>
        <v>23002</v>
      </c>
      <c r="F1061" s="6" t="str">
        <f t="shared" si="3"/>
        <v>Product</v>
      </c>
      <c r="G1061" s="1" t="s">
        <v>715</v>
      </c>
      <c r="H1061" s="6" t="str">
        <f>IFERROR(__xludf.DUMMYFUNCTION("IF(REGEXMATCH(LOWER(G1061), ""^(\?)+\s*(missing)?\s*(\?)*$""), """", PROPER(SUBSTITUTE(SUBSTITUTE(G1061, ""?"", """"), ""*"", """")))"),"Travel Card Wallet Skulls")</f>
        <v>Travel Card Wallet Skulls</v>
      </c>
      <c r="I1061" s="3">
        <v>2.0</v>
      </c>
      <c r="J1061" s="7">
        <v>40597.66527777778</v>
      </c>
      <c r="K1061" s="8" t="str">
        <f t="shared" si="4"/>
        <v>2011-02</v>
      </c>
      <c r="L1061" s="5">
        <v>0.83</v>
      </c>
      <c r="M1061" s="10"/>
      <c r="N1061" s="1" t="str">
        <f t="shared" si="5"/>
        <v>Guest</v>
      </c>
      <c r="O1061" s="1" t="s">
        <v>19</v>
      </c>
      <c r="P1061" s="9" t="str">
        <f t="shared" si="6"/>
        <v>UK</v>
      </c>
      <c r="Q1061" s="8">
        <f t="shared" si="7"/>
        <v>1.66</v>
      </c>
    </row>
    <row r="1062">
      <c r="A1062" s="1">
        <v>544812.0</v>
      </c>
      <c r="B1062" s="1" t="str">
        <f t="shared" si="1"/>
        <v>544812</v>
      </c>
      <c r="C1062" s="1" t="str">
        <f t="shared" si="2"/>
        <v>Sale</v>
      </c>
      <c r="D1062" s="1">
        <v>35241.0</v>
      </c>
      <c r="E1062" s="1" t="str">
        <f>IFERROR(__xludf.DUMMYFUNCTION("IF(LEN(D1062)&gt;4, IFERROR(REGEXEXTRACT(TO_TEXT(D1062),""\d+""),""""),"""")"),"35241")</f>
        <v>35241</v>
      </c>
      <c r="F1062" s="6" t="str">
        <f t="shared" si="3"/>
        <v>Product</v>
      </c>
      <c r="G1062" s="1" t="s">
        <v>716</v>
      </c>
      <c r="H1062" s="6" t="str">
        <f>IFERROR(__xludf.DUMMYFUNCTION("IF(REGEXMATCH(LOWER(G1062), ""^(\?)+\s*(missing)?\s*(\?)*$""), """", PROPER(SUBSTITUTE(SUBSTITUTE(G1062, ""?"", """"), ""*"", """")))"),"Enamel Blue Rim Biscuit Bin")</f>
        <v>Enamel Blue Rim Biscuit Bin</v>
      </c>
      <c r="I1062" s="3">
        <v>1.0</v>
      </c>
      <c r="J1062" s="7">
        <v>40597.66527777778</v>
      </c>
      <c r="K1062" s="8" t="str">
        <f t="shared" si="4"/>
        <v>2011-02</v>
      </c>
      <c r="L1062" s="5">
        <v>9.96</v>
      </c>
      <c r="M1062" s="10"/>
      <c r="N1062" s="1" t="str">
        <f t="shared" si="5"/>
        <v>Guest</v>
      </c>
      <c r="O1062" s="1" t="s">
        <v>19</v>
      </c>
      <c r="P1062" s="9" t="str">
        <f t="shared" si="6"/>
        <v>UK</v>
      </c>
      <c r="Q1062" s="8">
        <f t="shared" si="7"/>
        <v>9.96</v>
      </c>
    </row>
    <row r="1063">
      <c r="A1063" s="1">
        <v>544812.0</v>
      </c>
      <c r="B1063" s="1" t="str">
        <f t="shared" si="1"/>
        <v>544812</v>
      </c>
      <c r="C1063" s="1" t="str">
        <f t="shared" si="2"/>
        <v>Sale</v>
      </c>
      <c r="D1063" s="1" t="s">
        <v>17</v>
      </c>
      <c r="E1063" s="1" t="str">
        <f>IFERROR(__xludf.DUMMYFUNCTION("IF(LEN(D1063)&gt;4, IFERROR(REGEXEXTRACT(TO_TEXT(D1063),""\d+""),""""),"""")"),"85123")</f>
        <v>85123</v>
      </c>
      <c r="F1063" s="6" t="str">
        <f t="shared" si="3"/>
        <v>Product</v>
      </c>
      <c r="G1063" s="1" t="s">
        <v>18</v>
      </c>
      <c r="H1063" s="6" t="str">
        <f>IFERROR(__xludf.DUMMYFUNCTION("IF(REGEXMATCH(LOWER(G1063), ""^(\?)+\s*(missing)?\s*(\?)*$""), """", PROPER(SUBSTITUTE(SUBSTITUTE(G1063, ""?"", """"), ""*"", """")))"),"White Hanging Heart T-Light Holder")</f>
        <v>White Hanging Heart T-Light Holder</v>
      </c>
      <c r="I1063" s="3">
        <v>1.0</v>
      </c>
      <c r="J1063" s="7">
        <v>40597.66527777778</v>
      </c>
      <c r="K1063" s="8" t="str">
        <f t="shared" si="4"/>
        <v>2011-02</v>
      </c>
      <c r="L1063" s="5">
        <v>2.95</v>
      </c>
      <c r="M1063" s="10"/>
      <c r="N1063" s="1" t="str">
        <f t="shared" si="5"/>
        <v>Guest</v>
      </c>
      <c r="O1063" s="1" t="s">
        <v>19</v>
      </c>
      <c r="P1063" s="9" t="str">
        <f t="shared" si="6"/>
        <v>UK</v>
      </c>
      <c r="Q1063" s="8">
        <f t="shared" si="7"/>
        <v>2.95</v>
      </c>
    </row>
    <row r="1064">
      <c r="A1064" s="1">
        <v>544812.0</v>
      </c>
      <c r="B1064" s="1" t="str">
        <f t="shared" si="1"/>
        <v>544812</v>
      </c>
      <c r="C1064" s="1" t="str">
        <f t="shared" si="2"/>
        <v>Sale</v>
      </c>
      <c r="D1064" s="1">
        <v>21733.0</v>
      </c>
      <c r="E1064" s="1" t="str">
        <f>IFERROR(__xludf.DUMMYFUNCTION("IF(LEN(D1064)&gt;4, IFERROR(REGEXEXTRACT(TO_TEXT(D1064),""\d+""),""""),"""")"),"21733")</f>
        <v>21733</v>
      </c>
      <c r="F1064" s="6" t="str">
        <f t="shared" si="3"/>
        <v>Product</v>
      </c>
      <c r="G1064" s="1" t="s">
        <v>83</v>
      </c>
      <c r="H1064" s="6" t="str">
        <f>IFERROR(__xludf.DUMMYFUNCTION("IF(REGEXMATCH(LOWER(G1064), ""^(\?)+\s*(missing)?\s*(\?)*$""), """", PROPER(SUBSTITUTE(SUBSTITUTE(G1064, ""?"", """"), ""*"", """")))"),"Red Hanging Heart T-Light Holder")</f>
        <v>Red Hanging Heart T-Light Holder</v>
      </c>
      <c r="I1064" s="3">
        <v>7.0</v>
      </c>
      <c r="J1064" s="7">
        <v>40597.66527777778</v>
      </c>
      <c r="K1064" s="8" t="str">
        <f t="shared" si="4"/>
        <v>2011-02</v>
      </c>
      <c r="L1064" s="5">
        <v>2.95</v>
      </c>
      <c r="M1064" s="10"/>
      <c r="N1064" s="1" t="str">
        <f t="shared" si="5"/>
        <v>Guest</v>
      </c>
      <c r="O1064" s="1" t="s">
        <v>19</v>
      </c>
      <c r="P1064" s="9" t="str">
        <f t="shared" si="6"/>
        <v>UK</v>
      </c>
      <c r="Q1064" s="8">
        <f t="shared" si="7"/>
        <v>20.65</v>
      </c>
    </row>
    <row r="1065">
      <c r="A1065" s="1">
        <v>544812.0</v>
      </c>
      <c r="B1065" s="1" t="str">
        <f t="shared" si="1"/>
        <v>544812</v>
      </c>
      <c r="C1065" s="1" t="str">
        <f t="shared" si="2"/>
        <v>Sale</v>
      </c>
      <c r="D1065" s="1">
        <v>22173.0</v>
      </c>
      <c r="E1065" s="1" t="str">
        <f>IFERROR(__xludf.DUMMYFUNCTION("IF(LEN(D1065)&gt;4, IFERROR(REGEXEXTRACT(TO_TEXT(D1065),""\d+""),""""),"""")"),"22173")</f>
        <v>22173</v>
      </c>
      <c r="F1065" s="6" t="str">
        <f t="shared" si="3"/>
        <v>Product</v>
      </c>
      <c r="G1065" s="1" t="s">
        <v>717</v>
      </c>
      <c r="H1065" s="6" t="str">
        <f>IFERROR(__xludf.DUMMYFUNCTION("IF(REGEXMATCH(LOWER(G1065), ""^(\?)+\s*(missing)?\s*(\?)*$""), """", PROPER(SUBSTITUTE(SUBSTITUTE(G1065, ""?"", """"), ""*"", """")))"),"Metal 4 Hook Hanger French Chateau")</f>
        <v>Metal 4 Hook Hanger French Chateau</v>
      </c>
      <c r="I1065" s="3">
        <v>9.0</v>
      </c>
      <c r="J1065" s="7">
        <v>40597.66527777778</v>
      </c>
      <c r="K1065" s="8" t="str">
        <f t="shared" si="4"/>
        <v>2011-02</v>
      </c>
      <c r="L1065" s="5">
        <v>2.95</v>
      </c>
      <c r="M1065" s="10"/>
      <c r="N1065" s="1" t="str">
        <f t="shared" si="5"/>
        <v>Guest</v>
      </c>
      <c r="O1065" s="1" t="s">
        <v>19</v>
      </c>
      <c r="P1065" s="9" t="str">
        <f t="shared" si="6"/>
        <v>UK</v>
      </c>
      <c r="Q1065" s="8">
        <f t="shared" si="7"/>
        <v>26.55</v>
      </c>
    </row>
    <row r="1066">
      <c r="A1066" s="1">
        <v>544812.0</v>
      </c>
      <c r="B1066" s="1" t="str">
        <f t="shared" si="1"/>
        <v>544812</v>
      </c>
      <c r="C1066" s="1" t="str">
        <f t="shared" si="2"/>
        <v>Sale</v>
      </c>
      <c r="D1066" s="1" t="s">
        <v>79</v>
      </c>
      <c r="E1066" s="1" t="str">
        <f>IFERROR(__xludf.DUMMYFUNCTION("IF(LEN(D1066)&gt;4, IFERROR(REGEXEXTRACT(TO_TEXT(D1066),""\d+""),""""),"""")"),"82494")</f>
        <v>82494</v>
      </c>
      <c r="F1066" s="6" t="str">
        <f t="shared" si="3"/>
        <v>Product</v>
      </c>
      <c r="G1066" s="1" t="s">
        <v>80</v>
      </c>
      <c r="H1066" s="6" t="str">
        <f>IFERROR(__xludf.DUMMYFUNCTION("IF(REGEXMATCH(LOWER(G1066), ""^(\?)+\s*(missing)?\s*(\?)*$""), """", PROPER(SUBSTITUTE(SUBSTITUTE(G1066, ""?"", """"), ""*"", """")))"),"Wooden Frame Antique White")</f>
        <v>Wooden Frame Antique White</v>
      </c>
      <c r="I1066" s="3">
        <v>11.0</v>
      </c>
      <c r="J1066" s="7">
        <v>40597.66527777778</v>
      </c>
      <c r="K1066" s="8" t="str">
        <f t="shared" si="4"/>
        <v>2011-02</v>
      </c>
      <c r="L1066" s="5">
        <v>2.95</v>
      </c>
      <c r="M1066" s="10"/>
      <c r="N1066" s="1" t="str">
        <f t="shared" si="5"/>
        <v>Guest</v>
      </c>
      <c r="O1066" s="1" t="s">
        <v>19</v>
      </c>
      <c r="P1066" s="9" t="str">
        <f t="shared" si="6"/>
        <v>UK</v>
      </c>
      <c r="Q1066" s="8">
        <f t="shared" si="7"/>
        <v>32.45</v>
      </c>
    </row>
    <row r="1067">
      <c r="A1067" s="1">
        <v>544813.0</v>
      </c>
      <c r="B1067" s="1" t="str">
        <f t="shared" si="1"/>
        <v>544813</v>
      </c>
      <c r="C1067" s="1" t="str">
        <f t="shared" si="2"/>
        <v>Sale</v>
      </c>
      <c r="D1067" s="1">
        <v>22084.0</v>
      </c>
      <c r="E1067" s="1" t="str">
        <f>IFERROR(__xludf.DUMMYFUNCTION("IF(LEN(D1067)&gt;4, IFERROR(REGEXEXTRACT(TO_TEXT(D1067),""\d+""),""""),"""")"),"22084")</f>
        <v>22084</v>
      </c>
      <c r="F1067" s="6" t="str">
        <f t="shared" si="3"/>
        <v>Product</v>
      </c>
      <c r="G1067" s="1" t="s">
        <v>718</v>
      </c>
      <c r="H1067" s="6" t="str">
        <f>IFERROR(__xludf.DUMMYFUNCTION("IF(REGEXMATCH(LOWER(G1067), ""^(\?)+\s*(missing)?\s*(\?)*$""), """", PROPER(SUBSTITUTE(SUBSTITUTE(G1067, ""?"", """"), ""*"", """")))"),"Paper Chain Kit Empire")</f>
        <v>Paper Chain Kit Empire</v>
      </c>
      <c r="I1067" s="3">
        <v>1.0</v>
      </c>
      <c r="J1067" s="7">
        <v>40597.68263888889</v>
      </c>
      <c r="K1067" s="8" t="str">
        <f t="shared" si="4"/>
        <v>2011-02</v>
      </c>
      <c r="L1067" s="5">
        <v>2.95</v>
      </c>
      <c r="M1067" s="3">
        <v>15984.0</v>
      </c>
      <c r="N1067" s="1" t="str">
        <f t="shared" si="5"/>
        <v>Registered</v>
      </c>
      <c r="O1067" s="1" t="s">
        <v>19</v>
      </c>
      <c r="P1067" s="9" t="str">
        <f t="shared" si="6"/>
        <v>UK</v>
      </c>
      <c r="Q1067" s="8">
        <f t="shared" si="7"/>
        <v>2.95</v>
      </c>
    </row>
    <row r="1068">
      <c r="A1068" s="1">
        <v>544813.0</v>
      </c>
      <c r="B1068" s="1" t="str">
        <f t="shared" si="1"/>
        <v>544813</v>
      </c>
      <c r="C1068" s="1" t="str">
        <f t="shared" si="2"/>
        <v>Sale</v>
      </c>
      <c r="D1068" s="1" t="s">
        <v>17</v>
      </c>
      <c r="E1068" s="1" t="str">
        <f>IFERROR(__xludf.DUMMYFUNCTION("IF(LEN(D1068)&gt;4, IFERROR(REGEXEXTRACT(TO_TEXT(D1068),""\d+""),""""),"""")"),"85123")</f>
        <v>85123</v>
      </c>
      <c r="F1068" s="6" t="str">
        <f t="shared" si="3"/>
        <v>Product</v>
      </c>
      <c r="G1068" s="1" t="s">
        <v>18</v>
      </c>
      <c r="H1068" s="6" t="str">
        <f>IFERROR(__xludf.DUMMYFUNCTION("IF(REGEXMATCH(LOWER(G1068), ""^(\?)+\s*(missing)?\s*(\?)*$""), """", PROPER(SUBSTITUTE(SUBSTITUTE(G1068, ""?"", """"), ""*"", """")))"),"White Hanging Heart T-Light Holder")</f>
        <v>White Hanging Heart T-Light Holder</v>
      </c>
      <c r="I1068" s="3">
        <v>1.0</v>
      </c>
      <c r="J1068" s="7">
        <v>40597.68263888889</v>
      </c>
      <c r="K1068" s="8" t="str">
        <f t="shared" si="4"/>
        <v>2011-02</v>
      </c>
      <c r="L1068" s="5">
        <v>2.95</v>
      </c>
      <c r="M1068" s="3">
        <v>15984.0</v>
      </c>
      <c r="N1068" s="1" t="str">
        <f t="shared" si="5"/>
        <v>Registered</v>
      </c>
      <c r="O1068" s="1" t="s">
        <v>19</v>
      </c>
      <c r="P1068" s="9" t="str">
        <f t="shared" si="6"/>
        <v>UK</v>
      </c>
      <c r="Q1068" s="8">
        <f t="shared" si="7"/>
        <v>2.95</v>
      </c>
    </row>
    <row r="1069">
      <c r="A1069" s="1">
        <v>544813.0</v>
      </c>
      <c r="B1069" s="1" t="str">
        <f t="shared" si="1"/>
        <v>544813</v>
      </c>
      <c r="C1069" s="1" t="str">
        <f t="shared" si="2"/>
        <v>Sale</v>
      </c>
      <c r="D1069" s="1">
        <v>84380.0</v>
      </c>
      <c r="E1069" s="1" t="str">
        <f>IFERROR(__xludf.DUMMYFUNCTION("IF(LEN(D1069)&gt;4, IFERROR(REGEXEXTRACT(TO_TEXT(D1069),""\d+""),""""),"""")"),"84380")</f>
        <v>84380</v>
      </c>
      <c r="F1069" s="6" t="str">
        <f t="shared" si="3"/>
        <v>Product</v>
      </c>
      <c r="G1069" s="1" t="s">
        <v>349</v>
      </c>
      <c r="H1069" s="6" t="str">
        <f>IFERROR(__xludf.DUMMYFUNCTION("IF(REGEXMATCH(LOWER(G1069), ""^(\?)+\s*(missing)?\s*(\?)*$""), """", PROPER(SUBSTITUTE(SUBSTITUTE(G1069, ""?"", """"), ""*"", """")))"),"Set Of 3 Butterfly Cookie Cutters")</f>
        <v>Set Of 3 Butterfly Cookie Cutters</v>
      </c>
      <c r="I1069" s="3">
        <v>2.0</v>
      </c>
      <c r="J1069" s="7">
        <v>40597.68263888889</v>
      </c>
      <c r="K1069" s="8" t="str">
        <f t="shared" si="4"/>
        <v>2011-02</v>
      </c>
      <c r="L1069" s="5">
        <v>1.25</v>
      </c>
      <c r="M1069" s="3">
        <v>15984.0</v>
      </c>
      <c r="N1069" s="1" t="str">
        <f t="shared" si="5"/>
        <v>Registered</v>
      </c>
      <c r="O1069" s="1" t="s">
        <v>19</v>
      </c>
      <c r="P1069" s="9" t="str">
        <f t="shared" si="6"/>
        <v>UK</v>
      </c>
      <c r="Q1069" s="8">
        <f t="shared" si="7"/>
        <v>2.5</v>
      </c>
    </row>
    <row r="1070">
      <c r="A1070" s="1">
        <v>544813.0</v>
      </c>
      <c r="B1070" s="1" t="str">
        <f t="shared" si="1"/>
        <v>544813</v>
      </c>
      <c r="C1070" s="1" t="str">
        <f t="shared" si="2"/>
        <v>Sale</v>
      </c>
      <c r="D1070" s="1">
        <v>22082.0</v>
      </c>
      <c r="E1070" s="1" t="str">
        <f>IFERROR(__xludf.DUMMYFUNCTION("IF(LEN(D1070)&gt;4, IFERROR(REGEXEXTRACT(TO_TEXT(D1070),""\d+""),""""),"""")"),"22082")</f>
        <v>22082</v>
      </c>
      <c r="F1070" s="6" t="str">
        <f t="shared" si="3"/>
        <v>Product</v>
      </c>
      <c r="G1070" s="1" t="s">
        <v>606</v>
      </c>
      <c r="H1070" s="6" t="str">
        <f>IFERROR(__xludf.DUMMYFUNCTION("IF(REGEXMATCH(LOWER(G1070), ""^(\?)+\s*(missing)?\s*(\?)*$""), """", PROPER(SUBSTITUTE(SUBSTITUTE(G1070, ""?"", """"), ""*"", """")))"),"Ribbon Reel Stripes Design")</f>
        <v>Ribbon Reel Stripes Design</v>
      </c>
      <c r="I1070" s="3">
        <v>10.0</v>
      </c>
      <c r="J1070" s="7">
        <v>40597.68263888889</v>
      </c>
      <c r="K1070" s="8" t="str">
        <f t="shared" si="4"/>
        <v>2011-02</v>
      </c>
      <c r="L1070" s="5">
        <v>1.65</v>
      </c>
      <c r="M1070" s="3">
        <v>15984.0</v>
      </c>
      <c r="N1070" s="1" t="str">
        <f t="shared" si="5"/>
        <v>Registered</v>
      </c>
      <c r="O1070" s="1" t="s">
        <v>19</v>
      </c>
      <c r="P1070" s="9" t="str">
        <f t="shared" si="6"/>
        <v>UK</v>
      </c>
      <c r="Q1070" s="8">
        <f t="shared" si="7"/>
        <v>16.5</v>
      </c>
    </row>
    <row r="1071">
      <c r="A1071" s="1">
        <v>544813.0</v>
      </c>
      <c r="B1071" s="1" t="str">
        <f t="shared" si="1"/>
        <v>544813</v>
      </c>
      <c r="C1071" s="1" t="str">
        <f t="shared" si="2"/>
        <v>Sale</v>
      </c>
      <c r="D1071" s="1">
        <v>22084.0</v>
      </c>
      <c r="E1071" s="1" t="str">
        <f>IFERROR(__xludf.DUMMYFUNCTION("IF(LEN(D1071)&gt;4, IFERROR(REGEXEXTRACT(TO_TEXT(D1071),""\d+""),""""),"""")"),"22084")</f>
        <v>22084</v>
      </c>
      <c r="F1071" s="6" t="str">
        <f t="shared" si="3"/>
        <v>Product</v>
      </c>
      <c r="G1071" s="1" t="s">
        <v>718</v>
      </c>
      <c r="H1071" s="6" t="str">
        <f>IFERROR(__xludf.DUMMYFUNCTION("IF(REGEXMATCH(LOWER(G1071), ""^(\?)+\s*(missing)?\s*(\?)*$""), """", PROPER(SUBSTITUTE(SUBSTITUTE(G1071, ""?"", """"), ""*"", """")))"),"Paper Chain Kit Empire")</f>
        <v>Paper Chain Kit Empire</v>
      </c>
      <c r="I1071" s="3">
        <v>10.0</v>
      </c>
      <c r="J1071" s="7">
        <v>40597.68263888889</v>
      </c>
      <c r="K1071" s="8" t="str">
        <f t="shared" si="4"/>
        <v>2011-02</v>
      </c>
      <c r="L1071" s="5">
        <v>2.95</v>
      </c>
      <c r="M1071" s="3">
        <v>15984.0</v>
      </c>
      <c r="N1071" s="1" t="str">
        <f t="shared" si="5"/>
        <v>Registered</v>
      </c>
      <c r="O1071" s="1" t="s">
        <v>19</v>
      </c>
      <c r="P1071" s="9" t="str">
        <f t="shared" si="6"/>
        <v>UK</v>
      </c>
      <c r="Q1071" s="8">
        <f t="shared" si="7"/>
        <v>29.5</v>
      </c>
    </row>
    <row r="1072">
      <c r="A1072" s="1">
        <v>544813.0</v>
      </c>
      <c r="B1072" s="1" t="str">
        <f t="shared" si="1"/>
        <v>544813</v>
      </c>
      <c r="C1072" s="1" t="str">
        <f t="shared" si="2"/>
        <v>Sale</v>
      </c>
      <c r="D1072" s="1">
        <v>22113.0</v>
      </c>
      <c r="E1072" s="1" t="str">
        <f>IFERROR(__xludf.DUMMYFUNCTION("IF(LEN(D1072)&gt;4, IFERROR(REGEXEXTRACT(TO_TEXT(D1072),""\d+""),""""),"""")"),"22113")</f>
        <v>22113</v>
      </c>
      <c r="F1072" s="6" t="str">
        <f t="shared" si="3"/>
        <v>Product</v>
      </c>
      <c r="G1072" s="1" t="s">
        <v>515</v>
      </c>
      <c r="H1072" s="6" t="str">
        <f>IFERROR(__xludf.DUMMYFUNCTION("IF(REGEXMATCH(LOWER(G1072), ""^(\?)+\s*(missing)?\s*(\?)*$""), """", PROPER(SUBSTITUTE(SUBSTITUTE(G1072, ""?"", """"), ""*"", """")))"),"Grey Heart Hot Water Bottle")</f>
        <v>Grey Heart Hot Water Bottle</v>
      </c>
      <c r="I1072" s="3">
        <v>4.0</v>
      </c>
      <c r="J1072" s="7">
        <v>40597.68263888889</v>
      </c>
      <c r="K1072" s="8" t="str">
        <f t="shared" si="4"/>
        <v>2011-02</v>
      </c>
      <c r="L1072" s="5">
        <v>3.75</v>
      </c>
      <c r="M1072" s="3">
        <v>15984.0</v>
      </c>
      <c r="N1072" s="1" t="str">
        <f t="shared" si="5"/>
        <v>Registered</v>
      </c>
      <c r="O1072" s="1" t="s">
        <v>19</v>
      </c>
      <c r="P1072" s="9" t="str">
        <f t="shared" si="6"/>
        <v>UK</v>
      </c>
      <c r="Q1072" s="8">
        <f t="shared" si="7"/>
        <v>15</v>
      </c>
    </row>
    <row r="1073">
      <c r="A1073" s="1">
        <v>544813.0</v>
      </c>
      <c r="B1073" s="1" t="str">
        <f t="shared" si="1"/>
        <v>544813</v>
      </c>
      <c r="C1073" s="1" t="str">
        <f t="shared" si="2"/>
        <v>Sale</v>
      </c>
      <c r="D1073" s="1">
        <v>84378.0</v>
      </c>
      <c r="E1073" s="1" t="str">
        <f>IFERROR(__xludf.DUMMYFUNCTION("IF(LEN(D1073)&gt;4, IFERROR(REGEXEXTRACT(TO_TEXT(D1073),""\d+""),""""),"""")"),"84378")</f>
        <v>84378</v>
      </c>
      <c r="F1073" s="6" t="str">
        <f t="shared" si="3"/>
        <v>Product</v>
      </c>
      <c r="G1073" s="1" t="s">
        <v>350</v>
      </c>
      <c r="H1073" s="6" t="str">
        <f>IFERROR(__xludf.DUMMYFUNCTION("IF(REGEXMATCH(LOWER(G1073), ""^(\?)+\s*(missing)?\s*(\?)*$""), """", PROPER(SUBSTITUTE(SUBSTITUTE(G1073, ""?"", """"), ""*"", """")))"),"Set Of 3 Heart Cookie Cutters")</f>
        <v>Set Of 3 Heart Cookie Cutters</v>
      </c>
      <c r="I1073" s="3">
        <v>5.0</v>
      </c>
      <c r="J1073" s="7">
        <v>40597.68263888889</v>
      </c>
      <c r="K1073" s="8" t="str">
        <f t="shared" si="4"/>
        <v>2011-02</v>
      </c>
      <c r="L1073" s="5">
        <v>1.25</v>
      </c>
      <c r="M1073" s="3">
        <v>15984.0</v>
      </c>
      <c r="N1073" s="1" t="str">
        <f t="shared" si="5"/>
        <v>Registered</v>
      </c>
      <c r="O1073" s="1" t="s">
        <v>19</v>
      </c>
      <c r="P1073" s="9" t="str">
        <f t="shared" si="6"/>
        <v>UK</v>
      </c>
      <c r="Q1073" s="8">
        <f t="shared" si="7"/>
        <v>6.25</v>
      </c>
    </row>
    <row r="1074">
      <c r="A1074" s="1">
        <v>544813.0</v>
      </c>
      <c r="B1074" s="1" t="str">
        <f t="shared" si="1"/>
        <v>544813</v>
      </c>
      <c r="C1074" s="1" t="str">
        <f t="shared" si="2"/>
        <v>Sale</v>
      </c>
      <c r="D1074" s="1">
        <v>22750.0</v>
      </c>
      <c r="E1074" s="1" t="str">
        <f>IFERROR(__xludf.DUMMYFUNCTION("IF(LEN(D1074)&gt;4, IFERROR(REGEXEXTRACT(TO_TEXT(D1074),""\d+""),""""),"""")"),"22750")</f>
        <v>22750</v>
      </c>
      <c r="F1074" s="6" t="str">
        <f t="shared" si="3"/>
        <v>Product</v>
      </c>
      <c r="G1074" s="1" t="s">
        <v>484</v>
      </c>
      <c r="H1074" s="6" t="str">
        <f>IFERROR(__xludf.DUMMYFUNCTION("IF(REGEXMATCH(LOWER(G1074), ""^(\?)+\s*(missing)?\s*(\?)*$""), """", PROPER(SUBSTITUTE(SUBSTITUTE(G1074, ""?"", """"), ""*"", """")))"),"Feltcraft Princess Lola Doll")</f>
        <v>Feltcraft Princess Lola Doll</v>
      </c>
      <c r="I1074" s="3">
        <v>1.0</v>
      </c>
      <c r="J1074" s="7">
        <v>40597.68263888889</v>
      </c>
      <c r="K1074" s="8" t="str">
        <f t="shared" si="4"/>
        <v>2011-02</v>
      </c>
      <c r="L1074" s="5">
        <v>3.75</v>
      </c>
      <c r="M1074" s="3">
        <v>15984.0</v>
      </c>
      <c r="N1074" s="1" t="str">
        <f t="shared" si="5"/>
        <v>Registered</v>
      </c>
      <c r="O1074" s="1" t="s">
        <v>19</v>
      </c>
      <c r="P1074" s="9" t="str">
        <f t="shared" si="6"/>
        <v>UK</v>
      </c>
      <c r="Q1074" s="8">
        <f t="shared" si="7"/>
        <v>3.75</v>
      </c>
    </row>
    <row r="1075">
      <c r="A1075" s="1">
        <v>544813.0</v>
      </c>
      <c r="B1075" s="1" t="str">
        <f t="shared" si="1"/>
        <v>544813</v>
      </c>
      <c r="C1075" s="1" t="str">
        <f t="shared" si="2"/>
        <v>Sale</v>
      </c>
      <c r="D1075" s="1">
        <v>22274.0</v>
      </c>
      <c r="E1075" s="1" t="str">
        <f>IFERROR(__xludf.DUMMYFUNCTION("IF(LEN(D1075)&gt;4, IFERROR(REGEXEXTRACT(TO_TEXT(D1075),""\d+""),""""),"""")"),"22274")</f>
        <v>22274</v>
      </c>
      <c r="F1075" s="6" t="str">
        <f t="shared" si="3"/>
        <v>Product</v>
      </c>
      <c r="G1075" s="1" t="s">
        <v>450</v>
      </c>
      <c r="H1075" s="6" t="str">
        <f>IFERROR(__xludf.DUMMYFUNCTION("IF(REGEXMATCH(LOWER(G1075), ""^(\?)+\s*(missing)?\s*(\?)*$""), """", PROPER(SUBSTITUTE(SUBSTITUTE(G1075, ""?"", """"), ""*"", """")))"),"Feltcraft Doll Emily")</f>
        <v>Feltcraft Doll Emily</v>
      </c>
      <c r="I1075" s="3">
        <v>1.0</v>
      </c>
      <c r="J1075" s="7">
        <v>40597.68263888889</v>
      </c>
      <c r="K1075" s="8" t="str">
        <f t="shared" si="4"/>
        <v>2011-02</v>
      </c>
      <c r="L1075" s="5">
        <v>2.95</v>
      </c>
      <c r="M1075" s="3">
        <v>15984.0</v>
      </c>
      <c r="N1075" s="1" t="str">
        <f t="shared" si="5"/>
        <v>Registered</v>
      </c>
      <c r="O1075" s="1" t="s">
        <v>19</v>
      </c>
      <c r="P1075" s="9" t="str">
        <f t="shared" si="6"/>
        <v>UK</v>
      </c>
      <c r="Q1075" s="8">
        <f t="shared" si="7"/>
        <v>2.95</v>
      </c>
    </row>
    <row r="1076">
      <c r="A1076" s="1">
        <v>544813.0</v>
      </c>
      <c r="B1076" s="1" t="str">
        <f t="shared" si="1"/>
        <v>544813</v>
      </c>
      <c r="C1076" s="1" t="str">
        <f t="shared" si="2"/>
        <v>Sale</v>
      </c>
      <c r="D1076" s="1">
        <v>22749.0</v>
      </c>
      <c r="E1076" s="1" t="str">
        <f>IFERROR(__xludf.DUMMYFUNCTION("IF(LEN(D1076)&gt;4, IFERROR(REGEXEXTRACT(TO_TEXT(D1076),""\d+""),""""),"""")"),"22749")</f>
        <v>22749</v>
      </c>
      <c r="F1076" s="6" t="str">
        <f t="shared" si="3"/>
        <v>Product</v>
      </c>
      <c r="G1076" s="1" t="s">
        <v>34</v>
      </c>
      <c r="H1076" s="6" t="str">
        <f>IFERROR(__xludf.DUMMYFUNCTION("IF(REGEXMATCH(LOWER(G1076), ""^(\?)+\s*(missing)?\s*(\?)*$""), """", PROPER(SUBSTITUTE(SUBSTITUTE(G1076, ""?"", """"), ""*"", """")))"),"Feltcraft Princess Charlotte Doll")</f>
        <v>Feltcraft Princess Charlotte Doll</v>
      </c>
      <c r="I1076" s="3">
        <v>1.0</v>
      </c>
      <c r="J1076" s="7">
        <v>40597.68263888889</v>
      </c>
      <c r="K1076" s="8" t="str">
        <f t="shared" si="4"/>
        <v>2011-02</v>
      </c>
      <c r="L1076" s="5">
        <v>3.75</v>
      </c>
      <c r="M1076" s="3">
        <v>15984.0</v>
      </c>
      <c r="N1076" s="1" t="str">
        <f t="shared" si="5"/>
        <v>Registered</v>
      </c>
      <c r="O1076" s="1" t="s">
        <v>19</v>
      </c>
      <c r="P1076" s="9" t="str">
        <f t="shared" si="6"/>
        <v>UK</v>
      </c>
      <c r="Q1076" s="8">
        <f t="shared" si="7"/>
        <v>3.75</v>
      </c>
    </row>
    <row r="1077">
      <c r="A1077" s="1">
        <v>544813.0</v>
      </c>
      <c r="B1077" s="1" t="str">
        <f t="shared" si="1"/>
        <v>544813</v>
      </c>
      <c r="C1077" s="1" t="str">
        <f t="shared" si="2"/>
        <v>Sale</v>
      </c>
      <c r="D1077" s="1">
        <v>22568.0</v>
      </c>
      <c r="E1077" s="1" t="str">
        <f>IFERROR(__xludf.DUMMYFUNCTION("IF(LEN(D1077)&gt;4, IFERROR(REGEXEXTRACT(TO_TEXT(D1077),""\d+""),""""),"""")"),"22568")</f>
        <v>22568</v>
      </c>
      <c r="F1077" s="6" t="str">
        <f t="shared" si="3"/>
        <v>Product</v>
      </c>
      <c r="G1077" s="1" t="s">
        <v>395</v>
      </c>
      <c r="H1077" s="6" t="str">
        <f>IFERROR(__xludf.DUMMYFUNCTION("IF(REGEXMATCH(LOWER(G1077), ""^(\?)+\s*(missing)?\s*(\?)*$""), """", PROPER(SUBSTITUTE(SUBSTITUTE(G1077, ""?"", """"), ""*"", """")))"),"Feltcraft Cushion Owl")</f>
        <v>Feltcraft Cushion Owl</v>
      </c>
      <c r="I1077" s="3">
        <v>1.0</v>
      </c>
      <c r="J1077" s="7">
        <v>40597.68263888889</v>
      </c>
      <c r="K1077" s="8" t="str">
        <f t="shared" si="4"/>
        <v>2011-02</v>
      </c>
      <c r="L1077" s="5">
        <v>3.75</v>
      </c>
      <c r="M1077" s="3">
        <v>15984.0</v>
      </c>
      <c r="N1077" s="1" t="str">
        <f t="shared" si="5"/>
        <v>Registered</v>
      </c>
      <c r="O1077" s="1" t="s">
        <v>19</v>
      </c>
      <c r="P1077" s="9" t="str">
        <f t="shared" si="6"/>
        <v>UK</v>
      </c>
      <c r="Q1077" s="8">
        <f t="shared" si="7"/>
        <v>3.75</v>
      </c>
    </row>
    <row r="1078">
      <c r="A1078" s="1">
        <v>544813.0</v>
      </c>
      <c r="B1078" s="1" t="str">
        <f t="shared" si="1"/>
        <v>544813</v>
      </c>
      <c r="C1078" s="1" t="str">
        <f t="shared" si="2"/>
        <v>Sale</v>
      </c>
      <c r="D1078" s="1">
        <v>22185.0</v>
      </c>
      <c r="E1078" s="1" t="str">
        <f>IFERROR(__xludf.DUMMYFUNCTION("IF(LEN(D1078)&gt;4, IFERROR(REGEXEXTRACT(TO_TEXT(D1078),""\d+""),""""),"""")"),"22185")</f>
        <v>22185</v>
      </c>
      <c r="F1078" s="6" t="str">
        <f t="shared" si="3"/>
        <v>Product</v>
      </c>
      <c r="G1078" s="1" t="s">
        <v>719</v>
      </c>
      <c r="H1078" s="6" t="str">
        <f>IFERROR(__xludf.DUMMYFUNCTION("IF(REGEXMATCH(LOWER(G1078), ""^(\?)+\s*(missing)?\s*(\?)*$""), """", PROPER(SUBSTITUTE(SUBSTITUTE(G1078, ""?"", """"), ""*"", """")))"),"Slate Tile Natural Hanging")</f>
        <v>Slate Tile Natural Hanging</v>
      </c>
      <c r="I1078" s="3">
        <v>2.0</v>
      </c>
      <c r="J1078" s="7">
        <v>40597.68263888889</v>
      </c>
      <c r="K1078" s="8" t="str">
        <f t="shared" si="4"/>
        <v>2011-02</v>
      </c>
      <c r="L1078" s="5">
        <v>1.65</v>
      </c>
      <c r="M1078" s="3">
        <v>15984.0</v>
      </c>
      <c r="N1078" s="1" t="str">
        <f t="shared" si="5"/>
        <v>Registered</v>
      </c>
      <c r="O1078" s="1" t="s">
        <v>19</v>
      </c>
      <c r="P1078" s="9" t="str">
        <f t="shared" si="6"/>
        <v>UK</v>
      </c>
      <c r="Q1078" s="8">
        <f t="shared" si="7"/>
        <v>3.3</v>
      </c>
    </row>
    <row r="1079">
      <c r="A1079" s="1">
        <v>544813.0</v>
      </c>
      <c r="B1079" s="1" t="str">
        <f t="shared" si="1"/>
        <v>544813</v>
      </c>
      <c r="C1079" s="1" t="str">
        <f t="shared" si="2"/>
        <v>Sale</v>
      </c>
      <c r="D1079" s="1" t="s">
        <v>17</v>
      </c>
      <c r="E1079" s="1" t="str">
        <f>IFERROR(__xludf.DUMMYFUNCTION("IF(LEN(D1079)&gt;4, IFERROR(REGEXEXTRACT(TO_TEXT(D1079),""\d+""),""""),"""")"),"85123")</f>
        <v>85123</v>
      </c>
      <c r="F1079" s="6" t="str">
        <f t="shared" si="3"/>
        <v>Product</v>
      </c>
      <c r="G1079" s="1" t="s">
        <v>18</v>
      </c>
      <c r="H1079" s="6" t="str">
        <f>IFERROR(__xludf.DUMMYFUNCTION("IF(REGEXMATCH(LOWER(G1079), ""^(\?)+\s*(missing)?\s*(\?)*$""), """", PROPER(SUBSTITUTE(SUBSTITUTE(G1079, ""?"", """"), ""*"", """")))"),"White Hanging Heart T-Light Holder")</f>
        <v>White Hanging Heart T-Light Holder</v>
      </c>
      <c r="I1079" s="3">
        <v>4.0</v>
      </c>
      <c r="J1079" s="7">
        <v>40597.68263888889</v>
      </c>
      <c r="K1079" s="8" t="str">
        <f t="shared" si="4"/>
        <v>2011-02</v>
      </c>
      <c r="L1079" s="5">
        <v>2.95</v>
      </c>
      <c r="M1079" s="3">
        <v>15984.0</v>
      </c>
      <c r="N1079" s="1" t="str">
        <f t="shared" si="5"/>
        <v>Registered</v>
      </c>
      <c r="O1079" s="1" t="s">
        <v>19</v>
      </c>
      <c r="P1079" s="9" t="str">
        <f t="shared" si="6"/>
        <v>UK</v>
      </c>
      <c r="Q1079" s="8">
        <f t="shared" si="7"/>
        <v>11.8</v>
      </c>
    </row>
    <row r="1080">
      <c r="A1080" s="1" t="s">
        <v>720</v>
      </c>
      <c r="B1080" s="1" t="str">
        <f t="shared" si="1"/>
        <v>544814</v>
      </c>
      <c r="C1080" s="1" t="str">
        <f t="shared" si="2"/>
        <v>Return</v>
      </c>
      <c r="D1080" s="1" t="s">
        <v>721</v>
      </c>
      <c r="E1080" s="1" t="str">
        <f>IFERROR(__xludf.DUMMYFUNCTION("IF(LEN(D1080)&gt;4, IFERROR(REGEXEXTRACT(TO_TEXT(D1080),""\d+""),""""),"""")"),"")</f>
        <v/>
      </c>
      <c r="F1080" s="6" t="str">
        <f t="shared" si="3"/>
        <v>Adjustment</v>
      </c>
      <c r="G1080" s="1" t="s">
        <v>722</v>
      </c>
      <c r="H1080" s="6" t="str">
        <f>IFERROR(__xludf.DUMMYFUNCTION("IF(REGEXMATCH(LOWER(G1080), ""^(\?)+\s*(missing)?\s*(\?)*$""), """", PROPER(SUBSTITUTE(SUBSTITUTE(G1080, ""?"", """"), ""*"", """")))"),"Manual")</f>
        <v>Manual</v>
      </c>
      <c r="I1080" s="3">
        <v>-1.0</v>
      </c>
      <c r="J1080" s="7">
        <v>40597.691666666666</v>
      </c>
      <c r="K1080" s="8" t="str">
        <f t="shared" si="4"/>
        <v>2011-02</v>
      </c>
      <c r="L1080" s="5">
        <v>30.19</v>
      </c>
      <c r="M1080" s="3">
        <v>15590.0</v>
      </c>
      <c r="N1080" s="1" t="str">
        <f t="shared" si="5"/>
        <v>Registered</v>
      </c>
      <c r="O1080" s="1" t="s">
        <v>19</v>
      </c>
      <c r="P1080" s="9" t="str">
        <f t="shared" si="6"/>
        <v>UK</v>
      </c>
      <c r="Q1080" s="8">
        <f t="shared" si="7"/>
        <v>-30.19</v>
      </c>
    </row>
    <row r="1081">
      <c r="A1081" s="1">
        <v>544815.0</v>
      </c>
      <c r="B1081" s="1" t="str">
        <f t="shared" si="1"/>
        <v>544815</v>
      </c>
      <c r="C1081" s="1" t="str">
        <f t="shared" si="2"/>
        <v>Sale</v>
      </c>
      <c r="D1081" s="1">
        <v>22421.0</v>
      </c>
      <c r="E1081" s="1" t="str">
        <f>IFERROR(__xludf.DUMMYFUNCTION("IF(LEN(D1081)&gt;4, IFERROR(REGEXEXTRACT(TO_TEXT(D1081),""\d+""),""""),"""")"),"22421")</f>
        <v>22421</v>
      </c>
      <c r="F1081" s="6" t="str">
        <f t="shared" si="3"/>
        <v>Product</v>
      </c>
      <c r="G1081" s="1" t="s">
        <v>723</v>
      </c>
      <c r="H1081" s="6" t="str">
        <f>IFERROR(__xludf.DUMMYFUNCTION("IF(REGEXMATCH(LOWER(G1081), ""^(\?)+\s*(missing)?\s*(\?)*$""), """", PROPER(SUBSTITUTE(SUBSTITUTE(G1081, ""?"", """"), ""*"", """")))"),"Lipstick Pen Fuschia")</f>
        <v>Lipstick Pen Fuschia</v>
      </c>
      <c r="I1081" s="3">
        <v>12.0</v>
      </c>
      <c r="J1081" s="7">
        <v>40597.69236111111</v>
      </c>
      <c r="K1081" s="8" t="str">
        <f t="shared" si="4"/>
        <v>2011-02</v>
      </c>
      <c r="L1081" s="5">
        <v>0.42</v>
      </c>
      <c r="M1081" s="3">
        <v>17171.0</v>
      </c>
      <c r="N1081" s="1" t="str">
        <f t="shared" si="5"/>
        <v>Registered</v>
      </c>
      <c r="O1081" s="1" t="s">
        <v>19</v>
      </c>
      <c r="P1081" s="9" t="str">
        <f t="shared" si="6"/>
        <v>UK</v>
      </c>
      <c r="Q1081" s="8">
        <f t="shared" si="7"/>
        <v>5.04</v>
      </c>
    </row>
    <row r="1082">
      <c r="A1082" s="1">
        <v>544815.0</v>
      </c>
      <c r="B1082" s="1" t="str">
        <f t="shared" si="1"/>
        <v>544815</v>
      </c>
      <c r="C1082" s="1" t="str">
        <f t="shared" si="2"/>
        <v>Sale</v>
      </c>
      <c r="D1082" s="1">
        <v>22419.0</v>
      </c>
      <c r="E1082" s="1" t="str">
        <f>IFERROR(__xludf.DUMMYFUNCTION("IF(LEN(D1082)&gt;4, IFERROR(REGEXEXTRACT(TO_TEXT(D1082),""\d+""),""""),"""")"),"22419")</f>
        <v>22419</v>
      </c>
      <c r="F1082" s="6" t="str">
        <f t="shared" si="3"/>
        <v>Product</v>
      </c>
      <c r="G1082" s="1" t="s">
        <v>724</v>
      </c>
      <c r="H1082" s="6" t="str">
        <f>IFERROR(__xludf.DUMMYFUNCTION("IF(REGEXMATCH(LOWER(G1082), ""^(\?)+\s*(missing)?\s*(\?)*$""), """", PROPER(SUBSTITUTE(SUBSTITUTE(G1082, ""?"", """"), ""*"", """")))"),"Lipstick Pen Red")</f>
        <v>Lipstick Pen Red</v>
      </c>
      <c r="I1082" s="3">
        <v>12.0</v>
      </c>
      <c r="J1082" s="7">
        <v>40597.69236111111</v>
      </c>
      <c r="K1082" s="8" t="str">
        <f t="shared" si="4"/>
        <v>2011-02</v>
      </c>
      <c r="L1082" s="5">
        <v>0.42</v>
      </c>
      <c r="M1082" s="3">
        <v>17171.0</v>
      </c>
      <c r="N1082" s="1" t="str">
        <f t="shared" si="5"/>
        <v>Registered</v>
      </c>
      <c r="O1082" s="1" t="s">
        <v>19</v>
      </c>
      <c r="P1082" s="9" t="str">
        <f t="shared" si="6"/>
        <v>UK</v>
      </c>
      <c r="Q1082" s="8">
        <f t="shared" si="7"/>
        <v>5.04</v>
      </c>
    </row>
    <row r="1083">
      <c r="A1083" s="1">
        <v>544815.0</v>
      </c>
      <c r="B1083" s="1" t="str">
        <f t="shared" si="1"/>
        <v>544815</v>
      </c>
      <c r="C1083" s="1" t="str">
        <f t="shared" si="2"/>
        <v>Sale</v>
      </c>
      <c r="D1083" s="1">
        <v>22420.0</v>
      </c>
      <c r="E1083" s="1" t="str">
        <f>IFERROR(__xludf.DUMMYFUNCTION("IF(LEN(D1083)&gt;4, IFERROR(REGEXEXTRACT(TO_TEXT(D1083),""\d+""),""""),"""")"),"22420")</f>
        <v>22420</v>
      </c>
      <c r="F1083" s="6" t="str">
        <f t="shared" si="3"/>
        <v>Product</v>
      </c>
      <c r="G1083" s="1" t="s">
        <v>725</v>
      </c>
      <c r="H1083" s="6" t="str">
        <f>IFERROR(__xludf.DUMMYFUNCTION("IF(REGEXMATCH(LOWER(G1083), ""^(\?)+\s*(missing)?\s*(\?)*$""), """", PROPER(SUBSTITUTE(SUBSTITUTE(G1083, ""?"", """"), ""*"", """")))"),"Lipstick Pen Baby Pink")</f>
        <v>Lipstick Pen Baby Pink</v>
      </c>
      <c r="I1083" s="3">
        <v>12.0</v>
      </c>
      <c r="J1083" s="7">
        <v>40597.69236111111</v>
      </c>
      <c r="K1083" s="8" t="str">
        <f t="shared" si="4"/>
        <v>2011-02</v>
      </c>
      <c r="L1083" s="5">
        <v>0.42</v>
      </c>
      <c r="M1083" s="3">
        <v>17171.0</v>
      </c>
      <c r="N1083" s="1" t="str">
        <f t="shared" si="5"/>
        <v>Registered</v>
      </c>
      <c r="O1083" s="1" t="s">
        <v>19</v>
      </c>
      <c r="P1083" s="9" t="str">
        <f t="shared" si="6"/>
        <v>UK</v>
      </c>
      <c r="Q1083" s="8">
        <f t="shared" si="7"/>
        <v>5.04</v>
      </c>
    </row>
    <row r="1084">
      <c r="A1084" s="1">
        <v>544815.0</v>
      </c>
      <c r="B1084" s="1" t="str">
        <f t="shared" si="1"/>
        <v>544815</v>
      </c>
      <c r="C1084" s="1" t="str">
        <f t="shared" si="2"/>
        <v>Sale</v>
      </c>
      <c r="D1084" s="1">
        <v>22077.0</v>
      </c>
      <c r="E1084" s="1" t="str">
        <f>IFERROR(__xludf.DUMMYFUNCTION("IF(LEN(D1084)&gt;4, IFERROR(REGEXEXTRACT(TO_TEXT(D1084),""\d+""),""""),"""")"),"22077")</f>
        <v>22077</v>
      </c>
      <c r="F1084" s="6" t="str">
        <f t="shared" si="3"/>
        <v>Product</v>
      </c>
      <c r="G1084" s="1" t="s">
        <v>443</v>
      </c>
      <c r="H1084" s="6" t="str">
        <f>IFERROR(__xludf.DUMMYFUNCTION("IF(REGEXMATCH(LOWER(G1084), ""^(\?)+\s*(missing)?\s*(\?)*$""), """", PROPER(SUBSTITUTE(SUBSTITUTE(G1084, ""?"", """"), ""*"", """")))"),"6 Ribbons Rustic Charm")</f>
        <v>6 Ribbons Rustic Charm</v>
      </c>
      <c r="I1084" s="3">
        <v>12.0</v>
      </c>
      <c r="J1084" s="7">
        <v>40597.69236111111</v>
      </c>
      <c r="K1084" s="8" t="str">
        <f t="shared" si="4"/>
        <v>2011-02</v>
      </c>
      <c r="L1084" s="5">
        <v>1.65</v>
      </c>
      <c r="M1084" s="3">
        <v>17171.0</v>
      </c>
      <c r="N1084" s="1" t="str">
        <f t="shared" si="5"/>
        <v>Registered</v>
      </c>
      <c r="O1084" s="1" t="s">
        <v>19</v>
      </c>
      <c r="P1084" s="9" t="str">
        <f t="shared" si="6"/>
        <v>UK</v>
      </c>
      <c r="Q1084" s="8">
        <f t="shared" si="7"/>
        <v>19.8</v>
      </c>
    </row>
    <row r="1085">
      <c r="A1085" s="1">
        <v>544815.0</v>
      </c>
      <c r="B1085" s="1" t="str">
        <f t="shared" si="1"/>
        <v>544815</v>
      </c>
      <c r="C1085" s="1" t="str">
        <f t="shared" si="2"/>
        <v>Sale</v>
      </c>
      <c r="D1085" s="1">
        <v>22087.0</v>
      </c>
      <c r="E1085" s="1" t="str">
        <f>IFERROR(__xludf.DUMMYFUNCTION("IF(LEN(D1085)&gt;4, IFERROR(REGEXEXTRACT(TO_TEXT(D1085),""\d+""),""""),"""")"),"22087")</f>
        <v>22087</v>
      </c>
      <c r="F1085" s="6" t="str">
        <f t="shared" si="3"/>
        <v>Product</v>
      </c>
      <c r="G1085" s="1" t="s">
        <v>626</v>
      </c>
      <c r="H1085" s="6" t="str">
        <f>IFERROR(__xludf.DUMMYFUNCTION("IF(REGEXMATCH(LOWER(G1085), ""^(\?)+\s*(missing)?\s*(\?)*$""), """", PROPER(SUBSTITUTE(SUBSTITUTE(G1085, ""?"", """"), ""*"", """")))"),"Paper Bunting White Lace")</f>
        <v>Paper Bunting White Lace</v>
      </c>
      <c r="I1085" s="3">
        <v>6.0</v>
      </c>
      <c r="J1085" s="7">
        <v>40597.69236111111</v>
      </c>
      <c r="K1085" s="8" t="str">
        <f t="shared" si="4"/>
        <v>2011-02</v>
      </c>
      <c r="L1085" s="5">
        <v>2.95</v>
      </c>
      <c r="M1085" s="3">
        <v>17171.0</v>
      </c>
      <c r="N1085" s="1" t="str">
        <f t="shared" si="5"/>
        <v>Registered</v>
      </c>
      <c r="O1085" s="1" t="s">
        <v>19</v>
      </c>
      <c r="P1085" s="9" t="str">
        <f t="shared" si="6"/>
        <v>UK</v>
      </c>
      <c r="Q1085" s="8">
        <f t="shared" si="7"/>
        <v>17.7</v>
      </c>
    </row>
    <row r="1086">
      <c r="A1086" s="1">
        <v>544815.0</v>
      </c>
      <c r="B1086" s="1" t="str">
        <f t="shared" si="1"/>
        <v>544815</v>
      </c>
      <c r="C1086" s="1" t="str">
        <f t="shared" si="2"/>
        <v>Sale</v>
      </c>
      <c r="D1086" s="1">
        <v>21340.0</v>
      </c>
      <c r="E1086" s="1" t="str">
        <f>IFERROR(__xludf.DUMMYFUNCTION("IF(LEN(D1086)&gt;4, IFERROR(REGEXEXTRACT(TO_TEXT(D1086),""\d+""),""""),"""")"),"21340")</f>
        <v>21340</v>
      </c>
      <c r="F1086" s="6" t="str">
        <f t="shared" si="3"/>
        <v>Product</v>
      </c>
      <c r="G1086" s="1" t="s">
        <v>170</v>
      </c>
      <c r="H1086" s="6" t="str">
        <f>IFERROR(__xludf.DUMMYFUNCTION("IF(REGEXMATCH(LOWER(G1086), ""^(\?)+\s*(missing)?\s*(\?)*$""), """", PROPER(SUBSTITUTE(SUBSTITUTE(G1086, ""?"", """"), ""*"", """")))"),"Classic Metal Birdcage Plant Holder")</f>
        <v>Classic Metal Birdcage Plant Holder</v>
      </c>
      <c r="I1086" s="3">
        <v>2.0</v>
      </c>
      <c r="J1086" s="7">
        <v>40597.69236111111</v>
      </c>
      <c r="K1086" s="8" t="str">
        <f t="shared" si="4"/>
        <v>2011-02</v>
      </c>
      <c r="L1086" s="5">
        <v>12.75</v>
      </c>
      <c r="M1086" s="3">
        <v>17171.0</v>
      </c>
      <c r="N1086" s="1" t="str">
        <f t="shared" si="5"/>
        <v>Registered</v>
      </c>
      <c r="O1086" s="1" t="s">
        <v>19</v>
      </c>
      <c r="P1086" s="9" t="str">
        <f t="shared" si="6"/>
        <v>UK</v>
      </c>
      <c r="Q1086" s="8">
        <f t="shared" si="7"/>
        <v>25.5</v>
      </c>
    </row>
    <row r="1087">
      <c r="A1087" s="1">
        <v>544815.0</v>
      </c>
      <c r="B1087" s="1" t="str">
        <f t="shared" si="1"/>
        <v>544815</v>
      </c>
      <c r="C1087" s="1" t="str">
        <f t="shared" si="2"/>
        <v>Sale</v>
      </c>
      <c r="D1087" s="1">
        <v>22469.0</v>
      </c>
      <c r="E1087" s="1" t="str">
        <f>IFERROR(__xludf.DUMMYFUNCTION("IF(LEN(D1087)&gt;4, IFERROR(REGEXEXTRACT(TO_TEXT(D1087),""\d+""),""""),"""")"),"22469")</f>
        <v>22469</v>
      </c>
      <c r="F1087" s="6" t="str">
        <f t="shared" si="3"/>
        <v>Product</v>
      </c>
      <c r="G1087" s="1" t="s">
        <v>167</v>
      </c>
      <c r="H1087" s="6" t="str">
        <f>IFERROR(__xludf.DUMMYFUNCTION("IF(REGEXMATCH(LOWER(G1087), ""^(\?)+\s*(missing)?\s*(\?)*$""), """", PROPER(SUBSTITUTE(SUBSTITUTE(G1087, ""?"", """"), ""*"", """")))"),"Heart Of Wicker Small")</f>
        <v>Heart Of Wicker Small</v>
      </c>
      <c r="I1087" s="3">
        <v>24.0</v>
      </c>
      <c r="J1087" s="7">
        <v>40597.69236111111</v>
      </c>
      <c r="K1087" s="8" t="str">
        <f t="shared" si="4"/>
        <v>2011-02</v>
      </c>
      <c r="L1087" s="5">
        <v>1.65</v>
      </c>
      <c r="M1087" s="3">
        <v>17171.0</v>
      </c>
      <c r="N1087" s="1" t="str">
        <f t="shared" si="5"/>
        <v>Registered</v>
      </c>
      <c r="O1087" s="1" t="s">
        <v>19</v>
      </c>
      <c r="P1087" s="9" t="str">
        <f t="shared" si="6"/>
        <v>UK</v>
      </c>
      <c r="Q1087" s="8">
        <f t="shared" si="7"/>
        <v>39.6</v>
      </c>
    </row>
    <row r="1088">
      <c r="A1088" s="1">
        <v>544815.0</v>
      </c>
      <c r="B1088" s="1" t="str">
        <f t="shared" si="1"/>
        <v>544815</v>
      </c>
      <c r="C1088" s="1" t="str">
        <f t="shared" si="2"/>
        <v>Sale</v>
      </c>
      <c r="D1088" s="1">
        <v>22219.0</v>
      </c>
      <c r="E1088" s="1" t="str">
        <f>IFERROR(__xludf.DUMMYFUNCTION("IF(LEN(D1088)&gt;4, IFERROR(REGEXEXTRACT(TO_TEXT(D1088),""\d+""),""""),"""")"),"22219")</f>
        <v>22219</v>
      </c>
      <c r="F1088" s="6" t="str">
        <f t="shared" si="3"/>
        <v>Product</v>
      </c>
      <c r="G1088" s="1" t="s">
        <v>377</v>
      </c>
      <c r="H1088" s="6" t="str">
        <f>IFERROR(__xludf.DUMMYFUNCTION("IF(REGEXMATCH(LOWER(G1088), ""^(\?)+\s*(missing)?\s*(\?)*$""), """", PROPER(SUBSTITUTE(SUBSTITUTE(G1088, ""?"", """"), ""*"", """")))"),"Lovebird Hanging Decoration White")</f>
        <v>Lovebird Hanging Decoration White</v>
      </c>
      <c r="I1088" s="3">
        <v>12.0</v>
      </c>
      <c r="J1088" s="7">
        <v>40597.69236111111</v>
      </c>
      <c r="K1088" s="8" t="str">
        <f t="shared" si="4"/>
        <v>2011-02</v>
      </c>
      <c r="L1088" s="5">
        <v>0.85</v>
      </c>
      <c r="M1088" s="3">
        <v>17171.0</v>
      </c>
      <c r="N1088" s="1" t="str">
        <f t="shared" si="5"/>
        <v>Registered</v>
      </c>
      <c r="O1088" s="1" t="s">
        <v>19</v>
      </c>
      <c r="P1088" s="9" t="str">
        <f t="shared" si="6"/>
        <v>UK</v>
      </c>
      <c r="Q1088" s="8">
        <f t="shared" si="7"/>
        <v>10.2</v>
      </c>
    </row>
    <row r="1089">
      <c r="A1089" s="1">
        <v>544815.0</v>
      </c>
      <c r="B1089" s="1" t="str">
        <f t="shared" si="1"/>
        <v>544815</v>
      </c>
      <c r="C1089" s="1" t="str">
        <f t="shared" si="2"/>
        <v>Sale</v>
      </c>
      <c r="D1089" s="1">
        <v>22398.0</v>
      </c>
      <c r="E1089" s="1" t="str">
        <f>IFERROR(__xludf.DUMMYFUNCTION("IF(LEN(D1089)&gt;4, IFERROR(REGEXEXTRACT(TO_TEXT(D1089),""\d+""),""""),"""")"),"22398")</f>
        <v>22398</v>
      </c>
      <c r="F1089" s="6" t="str">
        <f t="shared" si="3"/>
        <v>Product</v>
      </c>
      <c r="G1089" s="1" t="s">
        <v>726</v>
      </c>
      <c r="H1089" s="6" t="str">
        <f>IFERROR(__xludf.DUMMYFUNCTION("IF(REGEXMATCH(LOWER(G1089), ""^(\?)+\s*(missing)?\s*(\?)*$""), """", PROPER(SUBSTITUTE(SUBSTITUTE(G1089, ""?"", """"), ""*"", """")))"),"Magnets Pack Of 4 Swallows")</f>
        <v>Magnets Pack Of 4 Swallows</v>
      </c>
      <c r="I1089" s="3">
        <v>12.0</v>
      </c>
      <c r="J1089" s="7">
        <v>40597.69236111111</v>
      </c>
      <c r="K1089" s="8" t="str">
        <f t="shared" si="4"/>
        <v>2011-02</v>
      </c>
      <c r="L1089" s="5">
        <v>1.25</v>
      </c>
      <c r="M1089" s="3">
        <v>17171.0</v>
      </c>
      <c r="N1089" s="1" t="str">
        <f t="shared" si="5"/>
        <v>Registered</v>
      </c>
      <c r="O1089" s="1" t="s">
        <v>19</v>
      </c>
      <c r="P1089" s="9" t="str">
        <f t="shared" si="6"/>
        <v>UK</v>
      </c>
      <c r="Q1089" s="8">
        <f t="shared" si="7"/>
        <v>15</v>
      </c>
    </row>
    <row r="1090">
      <c r="A1090" s="1">
        <v>544815.0</v>
      </c>
      <c r="B1090" s="1" t="str">
        <f t="shared" si="1"/>
        <v>544815</v>
      </c>
      <c r="C1090" s="1" t="str">
        <f t="shared" si="2"/>
        <v>Sale</v>
      </c>
      <c r="D1090" s="1">
        <v>22915.0</v>
      </c>
      <c r="E1090" s="1" t="str">
        <f>IFERROR(__xludf.DUMMYFUNCTION("IF(LEN(D1090)&gt;4, IFERROR(REGEXEXTRACT(TO_TEXT(D1090),""\d+""),""""),"""")"),"22915")</f>
        <v>22915</v>
      </c>
      <c r="F1090" s="6" t="str">
        <f t="shared" si="3"/>
        <v>Product</v>
      </c>
      <c r="G1090" s="1" t="s">
        <v>190</v>
      </c>
      <c r="H1090" s="6" t="str">
        <f>IFERROR(__xludf.DUMMYFUNCTION("IF(REGEXMATCH(LOWER(G1090), ""^(\?)+\s*(missing)?\s*(\?)*$""), """", PROPER(SUBSTITUTE(SUBSTITUTE(G1090, ""?"", """"), ""*"", """")))"),"Assorted Bottle Top Magnets")</f>
        <v>Assorted Bottle Top Magnets</v>
      </c>
      <c r="I1090" s="3">
        <v>12.0</v>
      </c>
      <c r="J1090" s="7">
        <v>40597.69236111111</v>
      </c>
      <c r="K1090" s="8" t="str">
        <f t="shared" si="4"/>
        <v>2011-02</v>
      </c>
      <c r="L1090" s="5">
        <v>0.42</v>
      </c>
      <c r="M1090" s="3">
        <v>17171.0</v>
      </c>
      <c r="N1090" s="1" t="str">
        <f t="shared" si="5"/>
        <v>Registered</v>
      </c>
      <c r="O1090" s="1" t="s">
        <v>19</v>
      </c>
      <c r="P1090" s="9" t="str">
        <f t="shared" si="6"/>
        <v>UK</v>
      </c>
      <c r="Q1090" s="8">
        <f t="shared" si="7"/>
        <v>5.04</v>
      </c>
    </row>
    <row r="1091">
      <c r="A1091" s="1">
        <v>544815.0</v>
      </c>
      <c r="B1091" s="1" t="str">
        <f t="shared" si="1"/>
        <v>544815</v>
      </c>
      <c r="C1091" s="1" t="str">
        <f t="shared" si="2"/>
        <v>Sale</v>
      </c>
      <c r="D1091" s="1">
        <v>22908.0</v>
      </c>
      <c r="E1091" s="1" t="str">
        <f>IFERROR(__xludf.DUMMYFUNCTION("IF(LEN(D1091)&gt;4, IFERROR(REGEXEXTRACT(TO_TEXT(D1091),""\d+""),""""),"""")"),"22908")</f>
        <v>22908</v>
      </c>
      <c r="F1091" s="6" t="str">
        <f t="shared" si="3"/>
        <v>Product</v>
      </c>
      <c r="G1091" s="1" t="s">
        <v>708</v>
      </c>
      <c r="H1091" s="6" t="str">
        <f>IFERROR(__xludf.DUMMYFUNCTION("IF(REGEXMATCH(LOWER(G1091), ""^(\?)+\s*(missing)?\s*(\?)*$""), """", PROPER(SUBSTITUTE(SUBSTITUTE(G1091, ""?"", """"), ""*"", """")))"),"Pack Of 20 Napkins Red Apples")</f>
        <v>Pack Of 20 Napkins Red Apples</v>
      </c>
      <c r="I1091" s="3">
        <v>12.0</v>
      </c>
      <c r="J1091" s="7">
        <v>40597.69236111111</v>
      </c>
      <c r="K1091" s="8" t="str">
        <f t="shared" si="4"/>
        <v>2011-02</v>
      </c>
      <c r="L1091" s="5">
        <v>0.85</v>
      </c>
      <c r="M1091" s="3">
        <v>17171.0</v>
      </c>
      <c r="N1091" s="1" t="str">
        <f t="shared" si="5"/>
        <v>Registered</v>
      </c>
      <c r="O1091" s="1" t="s">
        <v>19</v>
      </c>
      <c r="P1091" s="9" t="str">
        <f t="shared" si="6"/>
        <v>UK</v>
      </c>
      <c r="Q1091" s="8">
        <f t="shared" si="7"/>
        <v>10.2</v>
      </c>
    </row>
    <row r="1092">
      <c r="A1092" s="1">
        <v>544815.0</v>
      </c>
      <c r="B1092" s="1" t="str">
        <f t="shared" si="1"/>
        <v>544815</v>
      </c>
      <c r="C1092" s="1" t="str">
        <f t="shared" si="2"/>
        <v>Sale</v>
      </c>
      <c r="D1092" s="1">
        <v>22499.0</v>
      </c>
      <c r="E1092" s="1" t="str">
        <f>IFERROR(__xludf.DUMMYFUNCTION("IF(LEN(D1092)&gt;4, IFERROR(REGEXEXTRACT(TO_TEXT(D1092),""\d+""),""""),"""")"),"22499")</f>
        <v>22499</v>
      </c>
      <c r="F1092" s="6" t="str">
        <f t="shared" si="3"/>
        <v>Product</v>
      </c>
      <c r="G1092" s="1" t="s">
        <v>727</v>
      </c>
      <c r="H1092" s="6" t="str">
        <f>IFERROR(__xludf.DUMMYFUNCTION("IF(REGEXMATCH(LOWER(G1092), ""^(\?)+\s*(missing)?\s*(\?)*$""), """", PROPER(SUBSTITUTE(SUBSTITUTE(G1092, ""?"", """"), ""*"", """")))"),"Wooden Union Jack Bunting")</f>
        <v>Wooden Union Jack Bunting</v>
      </c>
      <c r="I1092" s="3">
        <v>3.0</v>
      </c>
      <c r="J1092" s="7">
        <v>40597.69236111111</v>
      </c>
      <c r="K1092" s="8" t="str">
        <f t="shared" si="4"/>
        <v>2011-02</v>
      </c>
      <c r="L1092" s="5">
        <v>5.95</v>
      </c>
      <c r="M1092" s="3">
        <v>17171.0</v>
      </c>
      <c r="N1092" s="1" t="str">
        <f t="shared" si="5"/>
        <v>Registered</v>
      </c>
      <c r="O1092" s="1" t="s">
        <v>19</v>
      </c>
      <c r="P1092" s="9" t="str">
        <f t="shared" si="6"/>
        <v>UK</v>
      </c>
      <c r="Q1092" s="8">
        <f t="shared" si="7"/>
        <v>17.85</v>
      </c>
    </row>
    <row r="1093">
      <c r="A1093" s="1">
        <v>544815.0</v>
      </c>
      <c r="B1093" s="1" t="str">
        <f t="shared" si="1"/>
        <v>544815</v>
      </c>
      <c r="C1093" s="1" t="str">
        <f t="shared" si="2"/>
        <v>Sale</v>
      </c>
      <c r="D1093" s="1">
        <v>22335.0</v>
      </c>
      <c r="E1093" s="1" t="str">
        <f>IFERROR(__xludf.DUMMYFUNCTION("IF(LEN(D1093)&gt;4, IFERROR(REGEXEXTRACT(TO_TEXT(D1093),""\d+""),""""),"""")"),"22335")</f>
        <v>22335</v>
      </c>
      <c r="F1093" s="6" t="str">
        <f t="shared" si="3"/>
        <v>Product</v>
      </c>
      <c r="G1093" s="1" t="s">
        <v>728</v>
      </c>
      <c r="H1093" s="6" t="str">
        <f>IFERROR(__xludf.DUMMYFUNCTION("IF(REGEXMATCH(LOWER(G1093), ""^(\?)+\s*(missing)?\s*(\?)*$""), """", PROPER(SUBSTITUTE(SUBSTITUTE(G1093, ""?"", """"), ""*"", """")))"),"Heart Decoration Painted Zinc")</f>
        <v>Heart Decoration Painted Zinc</v>
      </c>
      <c r="I1093" s="3">
        <v>24.0</v>
      </c>
      <c r="J1093" s="7">
        <v>40597.69236111111</v>
      </c>
      <c r="K1093" s="8" t="str">
        <f t="shared" si="4"/>
        <v>2011-02</v>
      </c>
      <c r="L1093" s="5">
        <v>0.65</v>
      </c>
      <c r="M1093" s="3">
        <v>17171.0</v>
      </c>
      <c r="N1093" s="1" t="str">
        <f t="shared" si="5"/>
        <v>Registered</v>
      </c>
      <c r="O1093" s="1" t="s">
        <v>19</v>
      </c>
      <c r="P1093" s="9" t="str">
        <f t="shared" si="6"/>
        <v>UK</v>
      </c>
      <c r="Q1093" s="8">
        <f t="shared" si="7"/>
        <v>15.6</v>
      </c>
    </row>
    <row r="1094">
      <c r="A1094" s="1">
        <v>544815.0</v>
      </c>
      <c r="B1094" s="1" t="str">
        <f t="shared" si="1"/>
        <v>544815</v>
      </c>
      <c r="C1094" s="1" t="str">
        <f t="shared" si="2"/>
        <v>Sale</v>
      </c>
      <c r="D1094" s="1">
        <v>20903.0</v>
      </c>
      <c r="E1094" s="1" t="str">
        <f>IFERROR(__xludf.DUMMYFUNCTION("IF(LEN(D1094)&gt;4, IFERROR(REGEXEXTRACT(TO_TEXT(D1094),""\d+""),""""),"""")"),"20903")</f>
        <v>20903</v>
      </c>
      <c r="F1094" s="6" t="str">
        <f t="shared" si="3"/>
        <v>Product</v>
      </c>
      <c r="G1094" s="1" t="s">
        <v>729</v>
      </c>
      <c r="H1094" s="6" t="str">
        <f>IFERROR(__xludf.DUMMYFUNCTION("IF(REGEXMATCH(LOWER(G1094), ""^(\?)+\s*(missing)?\s*(\?)*$""), """", PROPER(SUBSTITUTE(SUBSTITUTE(G1094, ""?"", """"), ""*"", """")))"),"Vintage Keepsake Box Travelogue")</f>
        <v>Vintage Keepsake Box Travelogue</v>
      </c>
      <c r="I1094" s="3">
        <v>2.0</v>
      </c>
      <c r="J1094" s="7">
        <v>40597.69236111111</v>
      </c>
      <c r="K1094" s="8" t="str">
        <f t="shared" si="4"/>
        <v>2011-02</v>
      </c>
      <c r="L1094" s="5">
        <v>6.35</v>
      </c>
      <c r="M1094" s="3">
        <v>17171.0</v>
      </c>
      <c r="N1094" s="1" t="str">
        <f t="shared" si="5"/>
        <v>Registered</v>
      </c>
      <c r="O1094" s="1" t="s">
        <v>19</v>
      </c>
      <c r="P1094" s="9" t="str">
        <f t="shared" si="6"/>
        <v>UK</v>
      </c>
      <c r="Q1094" s="8">
        <f t="shared" si="7"/>
        <v>12.7</v>
      </c>
    </row>
    <row r="1095">
      <c r="A1095" s="1">
        <v>544815.0</v>
      </c>
      <c r="B1095" s="1" t="str">
        <f t="shared" si="1"/>
        <v>544815</v>
      </c>
      <c r="C1095" s="1" t="str">
        <f t="shared" si="2"/>
        <v>Sale</v>
      </c>
      <c r="D1095" s="1">
        <v>22576.0</v>
      </c>
      <c r="E1095" s="1" t="str">
        <f>IFERROR(__xludf.DUMMYFUNCTION("IF(LEN(D1095)&gt;4, IFERROR(REGEXEXTRACT(TO_TEXT(D1095),""\d+""),""""),"""")"),"22576")</f>
        <v>22576</v>
      </c>
      <c r="F1095" s="6" t="str">
        <f t="shared" si="3"/>
        <v>Product</v>
      </c>
      <c r="G1095" s="1" t="s">
        <v>730</v>
      </c>
      <c r="H1095" s="6" t="str">
        <f>IFERROR(__xludf.DUMMYFUNCTION("IF(REGEXMATCH(LOWER(G1095), ""^(\?)+\s*(missing)?\s*(\?)*$""), """", PROPER(SUBSTITUTE(SUBSTITUTE(G1095, ""?"", """"), ""*"", """")))"),"Swallow Wooden Christmas Decoration")</f>
        <v>Swallow Wooden Christmas Decoration</v>
      </c>
      <c r="I1095" s="3">
        <v>12.0</v>
      </c>
      <c r="J1095" s="7">
        <v>40597.69236111111</v>
      </c>
      <c r="K1095" s="8" t="str">
        <f t="shared" si="4"/>
        <v>2011-02</v>
      </c>
      <c r="L1095" s="5">
        <v>0.85</v>
      </c>
      <c r="M1095" s="3">
        <v>17171.0</v>
      </c>
      <c r="N1095" s="1" t="str">
        <f t="shared" si="5"/>
        <v>Registered</v>
      </c>
      <c r="O1095" s="1" t="s">
        <v>19</v>
      </c>
      <c r="P1095" s="9" t="str">
        <f t="shared" si="6"/>
        <v>UK</v>
      </c>
      <c r="Q1095" s="8">
        <f t="shared" si="7"/>
        <v>10.2</v>
      </c>
    </row>
    <row r="1096">
      <c r="A1096" s="1">
        <v>544815.0</v>
      </c>
      <c r="B1096" s="1" t="str">
        <f t="shared" si="1"/>
        <v>544815</v>
      </c>
      <c r="C1096" s="1" t="str">
        <f t="shared" si="2"/>
        <v>Sale</v>
      </c>
      <c r="D1096" s="1">
        <v>84755.0</v>
      </c>
      <c r="E1096" s="1" t="str">
        <f>IFERROR(__xludf.DUMMYFUNCTION("IF(LEN(D1096)&gt;4, IFERROR(REGEXEXTRACT(TO_TEXT(D1096),""\d+""),""""),"""")"),"84755")</f>
        <v>84755</v>
      </c>
      <c r="F1096" s="6" t="str">
        <f t="shared" si="3"/>
        <v>Product</v>
      </c>
      <c r="G1096" s="1" t="s">
        <v>163</v>
      </c>
      <c r="H1096" s="6" t="str">
        <f>IFERROR(__xludf.DUMMYFUNCTION("IF(REGEXMATCH(LOWER(G1096), ""^(\?)+\s*(missing)?\s*(\?)*$""), """", PROPER(SUBSTITUTE(SUBSTITUTE(G1096, ""?"", """"), ""*"", """")))"),"Colour Glass T-Light Holder Hanging")</f>
        <v>Colour Glass T-Light Holder Hanging</v>
      </c>
      <c r="I1096" s="3">
        <v>16.0</v>
      </c>
      <c r="J1096" s="7">
        <v>40597.69236111111</v>
      </c>
      <c r="K1096" s="8" t="str">
        <f t="shared" si="4"/>
        <v>2011-02</v>
      </c>
      <c r="L1096" s="5">
        <v>0.65</v>
      </c>
      <c r="M1096" s="3">
        <v>17171.0</v>
      </c>
      <c r="N1096" s="1" t="str">
        <f t="shared" si="5"/>
        <v>Registered</v>
      </c>
      <c r="O1096" s="1" t="s">
        <v>19</v>
      </c>
      <c r="P1096" s="9" t="str">
        <f t="shared" si="6"/>
        <v>UK</v>
      </c>
      <c r="Q1096" s="8">
        <f t="shared" si="7"/>
        <v>10.4</v>
      </c>
    </row>
    <row r="1097">
      <c r="A1097" s="1">
        <v>544816.0</v>
      </c>
      <c r="B1097" s="1" t="str">
        <f t="shared" si="1"/>
        <v>544816</v>
      </c>
      <c r="C1097" s="1" t="str">
        <f t="shared" si="2"/>
        <v>Sale</v>
      </c>
      <c r="D1097" s="1">
        <v>22991.0</v>
      </c>
      <c r="E1097" s="1" t="str">
        <f>IFERROR(__xludf.DUMMYFUNCTION("IF(LEN(D1097)&gt;4, IFERROR(REGEXEXTRACT(TO_TEXT(D1097),""\d+""),""""),"""")"),"22991")</f>
        <v>22991</v>
      </c>
      <c r="F1097" s="6" t="str">
        <f t="shared" si="3"/>
        <v>Product</v>
      </c>
      <c r="G1097" s="1" t="s">
        <v>731</v>
      </c>
      <c r="H1097" s="6" t="str">
        <f>IFERROR(__xludf.DUMMYFUNCTION("IF(REGEXMATCH(LOWER(G1097), ""^(\?)+\s*(missing)?\s*(\?)*$""), """", PROPER(SUBSTITUTE(SUBSTITUTE(G1097, ""?"", """"), ""*"", """")))"),"Giraffe Wooden Ruler")</f>
        <v>Giraffe Wooden Ruler</v>
      </c>
      <c r="I1097" s="3">
        <v>12.0</v>
      </c>
      <c r="J1097" s="7">
        <v>40597.69513888889</v>
      </c>
      <c r="K1097" s="8" t="str">
        <f t="shared" si="4"/>
        <v>2011-02</v>
      </c>
      <c r="L1097" s="5">
        <v>1.95</v>
      </c>
      <c r="M1097" s="3">
        <v>13090.0</v>
      </c>
      <c r="N1097" s="1" t="str">
        <f t="shared" si="5"/>
        <v>Registered</v>
      </c>
      <c r="O1097" s="1" t="s">
        <v>19</v>
      </c>
      <c r="P1097" s="9" t="str">
        <f t="shared" si="6"/>
        <v>UK</v>
      </c>
      <c r="Q1097" s="8">
        <f t="shared" si="7"/>
        <v>23.4</v>
      </c>
    </row>
    <row r="1098">
      <c r="A1098" s="1">
        <v>544816.0</v>
      </c>
      <c r="B1098" s="1" t="str">
        <f t="shared" si="1"/>
        <v>544816</v>
      </c>
      <c r="C1098" s="1" t="str">
        <f t="shared" si="2"/>
        <v>Sale</v>
      </c>
      <c r="D1098" s="1">
        <v>22992.0</v>
      </c>
      <c r="E1098" s="1" t="str">
        <f>IFERROR(__xludf.DUMMYFUNCTION("IF(LEN(D1098)&gt;4, IFERROR(REGEXEXTRACT(TO_TEXT(D1098),""\d+""),""""),"""")"),"22992")</f>
        <v>22992</v>
      </c>
      <c r="F1098" s="6" t="str">
        <f t="shared" si="3"/>
        <v>Product</v>
      </c>
      <c r="G1098" s="1" t="s">
        <v>732</v>
      </c>
      <c r="H1098" s="6" t="str">
        <f>IFERROR(__xludf.DUMMYFUNCTION("IF(REGEXMATCH(LOWER(G1098), ""^(\?)+\s*(missing)?\s*(\?)*$""), """", PROPER(SUBSTITUTE(SUBSTITUTE(G1098, ""?"", """"), ""*"", """")))"),"Revolver Wooden Ruler")</f>
        <v>Revolver Wooden Ruler</v>
      </c>
      <c r="I1098" s="3">
        <v>12.0</v>
      </c>
      <c r="J1098" s="7">
        <v>40597.69513888889</v>
      </c>
      <c r="K1098" s="8" t="str">
        <f t="shared" si="4"/>
        <v>2011-02</v>
      </c>
      <c r="L1098" s="5">
        <v>1.95</v>
      </c>
      <c r="M1098" s="3">
        <v>13090.0</v>
      </c>
      <c r="N1098" s="1" t="str">
        <f t="shared" si="5"/>
        <v>Registered</v>
      </c>
      <c r="O1098" s="1" t="s">
        <v>19</v>
      </c>
      <c r="P1098" s="9" t="str">
        <f t="shared" si="6"/>
        <v>UK</v>
      </c>
      <c r="Q1098" s="8">
        <f t="shared" si="7"/>
        <v>23.4</v>
      </c>
    </row>
    <row r="1099">
      <c r="A1099" s="1">
        <v>544816.0</v>
      </c>
      <c r="B1099" s="1" t="str">
        <f t="shared" si="1"/>
        <v>544816</v>
      </c>
      <c r="C1099" s="1" t="str">
        <f t="shared" si="2"/>
        <v>Sale</v>
      </c>
      <c r="D1099" s="1">
        <v>23006.0</v>
      </c>
      <c r="E1099" s="1" t="str">
        <f>IFERROR(__xludf.DUMMYFUNCTION("IF(LEN(D1099)&gt;4, IFERROR(REGEXEXTRACT(TO_TEXT(D1099),""\d+""),""""),"""")"),"23006")</f>
        <v>23006</v>
      </c>
      <c r="F1099" s="6" t="str">
        <f t="shared" si="3"/>
        <v>Product</v>
      </c>
      <c r="G1099" s="1" t="s">
        <v>733</v>
      </c>
      <c r="H1099" s="6" t="str">
        <f>IFERROR(__xludf.DUMMYFUNCTION("IF(REGEXMATCH(LOWER(G1099), ""^(\?)+\s*(missing)?\s*(\?)*$""), """", PROPER(SUBSTITUTE(SUBSTITUTE(G1099, ""?"", """"), ""*"", """")))"),"Travel Card Wallet Flower Meadow")</f>
        <v>Travel Card Wallet Flower Meadow</v>
      </c>
      <c r="I1099" s="3">
        <v>24.0</v>
      </c>
      <c r="J1099" s="7">
        <v>40597.69513888889</v>
      </c>
      <c r="K1099" s="8" t="str">
        <f t="shared" si="4"/>
        <v>2011-02</v>
      </c>
      <c r="L1099" s="5">
        <v>0.42</v>
      </c>
      <c r="M1099" s="3">
        <v>13090.0</v>
      </c>
      <c r="N1099" s="1" t="str">
        <f t="shared" si="5"/>
        <v>Registered</v>
      </c>
      <c r="O1099" s="1" t="s">
        <v>19</v>
      </c>
      <c r="P1099" s="9" t="str">
        <f t="shared" si="6"/>
        <v>UK</v>
      </c>
      <c r="Q1099" s="8">
        <f t="shared" si="7"/>
        <v>10.08</v>
      </c>
    </row>
    <row r="1100">
      <c r="A1100" s="1">
        <v>544816.0</v>
      </c>
      <c r="B1100" s="1" t="str">
        <f t="shared" si="1"/>
        <v>544816</v>
      </c>
      <c r="C1100" s="1" t="str">
        <f t="shared" si="2"/>
        <v>Sale</v>
      </c>
      <c r="D1100" s="1">
        <v>23004.0</v>
      </c>
      <c r="E1100" s="1" t="str">
        <f>IFERROR(__xludf.DUMMYFUNCTION("IF(LEN(D1100)&gt;4, IFERROR(REGEXEXTRACT(TO_TEXT(D1100),""\d+""),""""),"""")"),"23004")</f>
        <v>23004</v>
      </c>
      <c r="F1100" s="6" t="str">
        <f t="shared" si="3"/>
        <v>Product</v>
      </c>
      <c r="G1100" s="1" t="s">
        <v>734</v>
      </c>
      <c r="H1100" s="6" t="str">
        <f>IFERROR(__xludf.DUMMYFUNCTION("IF(REGEXMATCH(LOWER(G1100), ""^(\?)+\s*(missing)?\s*(\?)*$""), """", PROPER(SUBSTITUTE(SUBSTITUTE(G1100, ""?"", """"), ""*"", """")))"),"Travel Card Wallet Pantry")</f>
        <v>Travel Card Wallet Pantry</v>
      </c>
      <c r="I1100" s="3">
        <v>24.0</v>
      </c>
      <c r="J1100" s="7">
        <v>40597.69513888889</v>
      </c>
      <c r="K1100" s="8" t="str">
        <f t="shared" si="4"/>
        <v>2011-02</v>
      </c>
      <c r="L1100" s="5">
        <v>0.42</v>
      </c>
      <c r="M1100" s="3">
        <v>13090.0</v>
      </c>
      <c r="N1100" s="1" t="str">
        <f t="shared" si="5"/>
        <v>Registered</v>
      </c>
      <c r="O1100" s="1" t="s">
        <v>19</v>
      </c>
      <c r="P1100" s="9" t="str">
        <f t="shared" si="6"/>
        <v>UK</v>
      </c>
      <c r="Q1100" s="8">
        <f t="shared" si="7"/>
        <v>10.08</v>
      </c>
    </row>
    <row r="1101">
      <c r="A1101" s="1">
        <v>544816.0</v>
      </c>
      <c r="B1101" s="1" t="str">
        <f t="shared" si="1"/>
        <v>544816</v>
      </c>
      <c r="C1101" s="1" t="str">
        <f t="shared" si="2"/>
        <v>Sale</v>
      </c>
      <c r="D1101" s="1">
        <v>23000.0</v>
      </c>
      <c r="E1101" s="1" t="str">
        <f>IFERROR(__xludf.DUMMYFUNCTION("IF(LEN(D1101)&gt;4, IFERROR(REGEXEXTRACT(TO_TEXT(D1101),""\d+""),""""),"""")"),"23000")</f>
        <v>23000</v>
      </c>
      <c r="F1101" s="6" t="str">
        <f t="shared" si="3"/>
        <v>Product</v>
      </c>
      <c r="G1101" s="1" t="s">
        <v>714</v>
      </c>
      <c r="H1101" s="6" t="str">
        <f>IFERROR(__xludf.DUMMYFUNCTION("IF(REGEXMATCH(LOWER(G1101), ""^(\?)+\s*(missing)?\s*(\?)*$""), """", PROPER(SUBSTITUTE(SUBSTITUTE(G1101, ""?"", """"), ""*"", """")))"),"Travel Card Wallet Transport")</f>
        <v>Travel Card Wallet Transport</v>
      </c>
      <c r="I1101" s="3">
        <v>24.0</v>
      </c>
      <c r="J1101" s="7">
        <v>40597.69513888889</v>
      </c>
      <c r="K1101" s="8" t="str">
        <f t="shared" si="4"/>
        <v>2011-02</v>
      </c>
      <c r="L1101" s="5">
        <v>0.42</v>
      </c>
      <c r="M1101" s="3">
        <v>13090.0</v>
      </c>
      <c r="N1101" s="1" t="str">
        <f t="shared" si="5"/>
        <v>Registered</v>
      </c>
      <c r="O1101" s="1" t="s">
        <v>19</v>
      </c>
      <c r="P1101" s="9" t="str">
        <f t="shared" si="6"/>
        <v>UK</v>
      </c>
      <c r="Q1101" s="8">
        <f t="shared" si="7"/>
        <v>10.08</v>
      </c>
    </row>
    <row r="1102">
      <c r="A1102" s="1">
        <v>544816.0</v>
      </c>
      <c r="B1102" s="1" t="str">
        <f t="shared" si="1"/>
        <v>544816</v>
      </c>
      <c r="C1102" s="1" t="str">
        <f t="shared" si="2"/>
        <v>Sale</v>
      </c>
      <c r="D1102" s="1">
        <v>22138.0</v>
      </c>
      <c r="E1102" s="1" t="str">
        <f>IFERROR(__xludf.DUMMYFUNCTION("IF(LEN(D1102)&gt;4, IFERROR(REGEXEXTRACT(TO_TEXT(D1102),""\d+""),""""),"""")"),"22138")</f>
        <v>22138</v>
      </c>
      <c r="F1102" s="6" t="str">
        <f t="shared" si="3"/>
        <v>Product</v>
      </c>
      <c r="G1102" s="1" t="s">
        <v>735</v>
      </c>
      <c r="H1102" s="6" t="str">
        <f>IFERROR(__xludf.DUMMYFUNCTION("IF(REGEXMATCH(LOWER(G1102), ""^(\?)+\s*(missing)?\s*(\?)*$""), """", PROPER(SUBSTITUTE(SUBSTITUTE(G1102, ""?"", """"), ""*"", """")))"),"Baking Set 9 Piece Retrospot")</f>
        <v>Baking Set 9 Piece Retrospot</v>
      </c>
      <c r="I1102" s="3">
        <v>96.0</v>
      </c>
      <c r="J1102" s="7">
        <v>40597.69513888889</v>
      </c>
      <c r="K1102" s="8" t="str">
        <f t="shared" si="4"/>
        <v>2011-02</v>
      </c>
      <c r="L1102" s="5">
        <v>4.25</v>
      </c>
      <c r="M1102" s="3">
        <v>13090.0</v>
      </c>
      <c r="N1102" s="1" t="str">
        <f t="shared" si="5"/>
        <v>Registered</v>
      </c>
      <c r="O1102" s="1" t="s">
        <v>19</v>
      </c>
      <c r="P1102" s="9" t="str">
        <f t="shared" si="6"/>
        <v>UK</v>
      </c>
      <c r="Q1102" s="8">
        <f t="shared" si="7"/>
        <v>408</v>
      </c>
    </row>
    <row r="1103">
      <c r="A1103" s="1">
        <v>544817.0</v>
      </c>
      <c r="B1103" s="1" t="str">
        <f t="shared" si="1"/>
        <v>544817</v>
      </c>
      <c r="C1103" s="1" t="str">
        <f t="shared" si="2"/>
        <v>Sale</v>
      </c>
      <c r="D1103" s="1">
        <v>22197.0</v>
      </c>
      <c r="E1103" s="1" t="str">
        <f>IFERROR(__xludf.DUMMYFUNCTION("IF(LEN(D1103)&gt;4, IFERROR(REGEXEXTRACT(TO_TEXT(D1103),""\d+""),""""),"""")"),"22197")</f>
        <v>22197</v>
      </c>
      <c r="F1103" s="6" t="str">
        <f t="shared" si="3"/>
        <v>Product</v>
      </c>
      <c r="G1103" s="1" t="s">
        <v>217</v>
      </c>
      <c r="H1103" s="6" t="str">
        <f>IFERROR(__xludf.DUMMYFUNCTION("IF(REGEXMATCH(LOWER(G1103), ""^(\?)+\s*(missing)?\s*(\?)*$""), """", PROPER(SUBSTITUTE(SUBSTITUTE(G1103, ""?"", """"), ""*"", """")))"),"Small Popcorn Holder")</f>
        <v>Small Popcorn Holder</v>
      </c>
      <c r="I1103" s="3">
        <v>12.0</v>
      </c>
      <c r="J1103" s="7">
        <v>40597.697222222225</v>
      </c>
      <c r="K1103" s="8" t="str">
        <f t="shared" si="4"/>
        <v>2011-02</v>
      </c>
      <c r="L1103" s="5">
        <v>0.85</v>
      </c>
      <c r="M1103" s="3">
        <v>12437.0</v>
      </c>
      <c r="N1103" s="1" t="str">
        <f t="shared" si="5"/>
        <v>Registered</v>
      </c>
      <c r="O1103" s="1" t="s">
        <v>49</v>
      </c>
      <c r="P1103" s="9" t="str">
        <f t="shared" si="6"/>
        <v>International</v>
      </c>
      <c r="Q1103" s="8">
        <f t="shared" si="7"/>
        <v>10.2</v>
      </c>
    </row>
    <row r="1104">
      <c r="A1104" s="1">
        <v>544817.0</v>
      </c>
      <c r="B1104" s="1" t="str">
        <f t="shared" si="1"/>
        <v>544817</v>
      </c>
      <c r="C1104" s="1" t="str">
        <f t="shared" si="2"/>
        <v>Sale</v>
      </c>
      <c r="D1104" s="1">
        <v>20676.0</v>
      </c>
      <c r="E1104" s="1" t="str">
        <f>IFERROR(__xludf.DUMMYFUNCTION("IF(LEN(D1104)&gt;4, IFERROR(REGEXEXTRACT(TO_TEXT(D1104),""\d+""),""""),"""")"),"20676")</f>
        <v>20676</v>
      </c>
      <c r="F1104" s="6" t="str">
        <f t="shared" si="3"/>
        <v>Product</v>
      </c>
      <c r="G1104" s="1" t="s">
        <v>736</v>
      </c>
      <c r="H1104" s="6" t="str">
        <f>IFERROR(__xludf.DUMMYFUNCTION("IF(REGEXMATCH(LOWER(G1104), ""^(\?)+\s*(missing)?\s*(\?)*$""), """", PROPER(SUBSTITUTE(SUBSTITUTE(G1104, ""?"", """"), ""*"", """")))"),"Red Retrospot Bowl")</f>
        <v>Red Retrospot Bowl</v>
      </c>
      <c r="I1104" s="3">
        <v>8.0</v>
      </c>
      <c r="J1104" s="7">
        <v>40597.697222222225</v>
      </c>
      <c r="K1104" s="8" t="str">
        <f t="shared" si="4"/>
        <v>2011-02</v>
      </c>
      <c r="L1104" s="5">
        <v>1.25</v>
      </c>
      <c r="M1104" s="3">
        <v>12437.0</v>
      </c>
      <c r="N1104" s="1" t="str">
        <f t="shared" si="5"/>
        <v>Registered</v>
      </c>
      <c r="O1104" s="1" t="s">
        <v>49</v>
      </c>
      <c r="P1104" s="9" t="str">
        <f t="shared" si="6"/>
        <v>International</v>
      </c>
      <c r="Q1104" s="8">
        <f t="shared" si="7"/>
        <v>10</v>
      </c>
    </row>
    <row r="1105">
      <c r="A1105" s="1">
        <v>544817.0</v>
      </c>
      <c r="B1105" s="1" t="str">
        <f t="shared" si="1"/>
        <v>544817</v>
      </c>
      <c r="C1105" s="1" t="str">
        <f t="shared" si="2"/>
        <v>Sale</v>
      </c>
      <c r="D1105" s="1">
        <v>22215.0</v>
      </c>
      <c r="E1105" s="1" t="str">
        <f>IFERROR(__xludf.DUMMYFUNCTION("IF(LEN(D1105)&gt;4, IFERROR(REGEXEXTRACT(TO_TEXT(D1105),""\d+""),""""),"""")"),"22215")</f>
        <v>22215</v>
      </c>
      <c r="F1105" s="6" t="str">
        <f t="shared" si="3"/>
        <v>Product</v>
      </c>
      <c r="G1105" s="1" t="s">
        <v>737</v>
      </c>
      <c r="H1105" s="6" t="str">
        <f>IFERROR(__xludf.DUMMYFUNCTION("IF(REGEXMATCH(LOWER(G1105), ""^(\?)+\s*(missing)?\s*(\?)*$""), """", PROPER(SUBSTITUTE(SUBSTITUTE(G1105, ""?"", """"), ""*"", """")))"),"Cake Stand White Two Tier Lace")</f>
        <v>Cake Stand White Two Tier Lace</v>
      </c>
      <c r="I1105" s="3">
        <v>4.0</v>
      </c>
      <c r="J1105" s="7">
        <v>40597.697222222225</v>
      </c>
      <c r="K1105" s="8" t="str">
        <f t="shared" si="4"/>
        <v>2011-02</v>
      </c>
      <c r="L1105" s="5">
        <v>8.5</v>
      </c>
      <c r="M1105" s="3">
        <v>12437.0</v>
      </c>
      <c r="N1105" s="1" t="str">
        <f t="shared" si="5"/>
        <v>Registered</v>
      </c>
      <c r="O1105" s="1" t="s">
        <v>49</v>
      </c>
      <c r="P1105" s="9" t="str">
        <f t="shared" si="6"/>
        <v>International</v>
      </c>
      <c r="Q1105" s="8">
        <f t="shared" si="7"/>
        <v>34</v>
      </c>
    </row>
    <row r="1106">
      <c r="A1106" s="1">
        <v>544817.0</v>
      </c>
      <c r="B1106" s="1" t="str">
        <f t="shared" si="1"/>
        <v>544817</v>
      </c>
      <c r="C1106" s="1" t="str">
        <f t="shared" si="2"/>
        <v>Sale</v>
      </c>
      <c r="D1106" s="1">
        <v>22132.0</v>
      </c>
      <c r="E1106" s="1" t="str">
        <f>IFERROR(__xludf.DUMMYFUNCTION("IF(LEN(D1106)&gt;4, IFERROR(REGEXEXTRACT(TO_TEXT(D1106),""\d+""),""""),"""")"),"22132")</f>
        <v>22132</v>
      </c>
      <c r="F1106" s="6" t="str">
        <f t="shared" si="3"/>
        <v>Product</v>
      </c>
      <c r="G1106" s="1" t="s">
        <v>738</v>
      </c>
      <c r="H1106" s="6" t="str">
        <f>IFERROR(__xludf.DUMMYFUNCTION("IF(REGEXMATCH(LOWER(G1106), ""^(\?)+\s*(missing)?\s*(\?)*$""), """", PROPER(SUBSTITUTE(SUBSTITUTE(G1106, ""?"", """"), ""*"", """")))"),"Red Love Heart Shape Cup")</f>
        <v>Red Love Heart Shape Cup</v>
      </c>
      <c r="I1106" s="3">
        <v>12.0</v>
      </c>
      <c r="J1106" s="7">
        <v>40597.697222222225</v>
      </c>
      <c r="K1106" s="8" t="str">
        <f t="shared" si="4"/>
        <v>2011-02</v>
      </c>
      <c r="L1106" s="5">
        <v>0.85</v>
      </c>
      <c r="M1106" s="3">
        <v>12437.0</v>
      </c>
      <c r="N1106" s="1" t="str">
        <f t="shared" si="5"/>
        <v>Registered</v>
      </c>
      <c r="O1106" s="1" t="s">
        <v>49</v>
      </c>
      <c r="P1106" s="9" t="str">
        <f t="shared" si="6"/>
        <v>International</v>
      </c>
      <c r="Q1106" s="8">
        <f t="shared" si="7"/>
        <v>10.2</v>
      </c>
    </row>
    <row r="1107">
      <c r="A1107" s="1">
        <v>544817.0</v>
      </c>
      <c r="B1107" s="1" t="str">
        <f t="shared" si="1"/>
        <v>544817</v>
      </c>
      <c r="C1107" s="1" t="str">
        <f t="shared" si="2"/>
        <v>Sale</v>
      </c>
      <c r="D1107" s="1">
        <v>22133.0</v>
      </c>
      <c r="E1107" s="1" t="str">
        <f>IFERROR(__xludf.DUMMYFUNCTION("IF(LEN(D1107)&gt;4, IFERROR(REGEXEXTRACT(TO_TEXT(D1107),""\d+""),""""),"""")"),"22133")</f>
        <v>22133</v>
      </c>
      <c r="F1107" s="6" t="str">
        <f t="shared" si="3"/>
        <v>Product</v>
      </c>
      <c r="G1107" s="1" t="s">
        <v>739</v>
      </c>
      <c r="H1107" s="6" t="str">
        <f>IFERROR(__xludf.DUMMYFUNCTION("IF(REGEXMATCH(LOWER(G1107), ""^(\?)+\s*(missing)?\s*(\?)*$""), """", PROPER(SUBSTITUTE(SUBSTITUTE(G1107, ""?"", """"), ""*"", """")))"),"Pink Love Heart Shape Cup")</f>
        <v>Pink Love Heart Shape Cup</v>
      </c>
      <c r="I1107" s="3">
        <v>12.0</v>
      </c>
      <c r="J1107" s="7">
        <v>40597.697222222225</v>
      </c>
      <c r="K1107" s="8" t="str">
        <f t="shared" si="4"/>
        <v>2011-02</v>
      </c>
      <c r="L1107" s="5">
        <v>0.85</v>
      </c>
      <c r="M1107" s="3">
        <v>12437.0</v>
      </c>
      <c r="N1107" s="1" t="str">
        <f t="shared" si="5"/>
        <v>Registered</v>
      </c>
      <c r="O1107" s="1" t="s">
        <v>49</v>
      </c>
      <c r="P1107" s="9" t="str">
        <f t="shared" si="6"/>
        <v>International</v>
      </c>
      <c r="Q1107" s="8">
        <f t="shared" si="7"/>
        <v>10.2</v>
      </c>
    </row>
    <row r="1108">
      <c r="A1108" s="1">
        <v>544817.0</v>
      </c>
      <c r="B1108" s="1" t="str">
        <f t="shared" si="1"/>
        <v>544817</v>
      </c>
      <c r="C1108" s="1" t="str">
        <f t="shared" si="2"/>
        <v>Sale</v>
      </c>
      <c r="D1108" s="1">
        <v>22435.0</v>
      </c>
      <c r="E1108" s="1" t="str">
        <f>IFERROR(__xludf.DUMMYFUNCTION("IF(LEN(D1108)&gt;4, IFERROR(REGEXEXTRACT(TO_TEXT(D1108),""\d+""),""""),"""")"),"22435")</f>
        <v>22435</v>
      </c>
      <c r="F1108" s="6" t="str">
        <f t="shared" si="3"/>
        <v>Product</v>
      </c>
      <c r="G1108" s="1" t="s">
        <v>306</v>
      </c>
      <c r="H1108" s="6" t="str">
        <f>IFERROR(__xludf.DUMMYFUNCTION("IF(REGEXMATCH(LOWER(G1108), ""^(\?)+\s*(missing)?\s*(\?)*$""), """", PROPER(SUBSTITUTE(SUBSTITUTE(G1108, ""?"", """"), ""*"", """")))"),"Set Of 9 Heart Shaped Balloons")</f>
        <v>Set Of 9 Heart Shaped Balloons</v>
      </c>
      <c r="I1108" s="3">
        <v>36.0</v>
      </c>
      <c r="J1108" s="7">
        <v>40597.697222222225</v>
      </c>
      <c r="K1108" s="8" t="str">
        <f t="shared" si="4"/>
        <v>2011-02</v>
      </c>
      <c r="L1108" s="5">
        <v>1.25</v>
      </c>
      <c r="M1108" s="3">
        <v>12437.0</v>
      </c>
      <c r="N1108" s="1" t="str">
        <f t="shared" si="5"/>
        <v>Registered</v>
      </c>
      <c r="O1108" s="1" t="s">
        <v>49</v>
      </c>
      <c r="P1108" s="9" t="str">
        <f t="shared" si="6"/>
        <v>International</v>
      </c>
      <c r="Q1108" s="8">
        <f t="shared" si="7"/>
        <v>45</v>
      </c>
    </row>
    <row r="1109">
      <c r="A1109" s="1">
        <v>544817.0</v>
      </c>
      <c r="B1109" s="1" t="str">
        <f t="shared" si="1"/>
        <v>544817</v>
      </c>
      <c r="C1109" s="1" t="str">
        <f t="shared" si="2"/>
        <v>Sale</v>
      </c>
      <c r="D1109" s="1">
        <v>21559.0</v>
      </c>
      <c r="E1109" s="1" t="str">
        <f>IFERROR(__xludf.DUMMYFUNCTION("IF(LEN(D1109)&gt;4, IFERROR(REGEXEXTRACT(TO_TEXT(D1109),""\d+""),""""),"""")"),"21559")</f>
        <v>21559</v>
      </c>
      <c r="F1109" s="6" t="str">
        <f t="shared" si="3"/>
        <v>Product</v>
      </c>
      <c r="G1109" s="1" t="s">
        <v>95</v>
      </c>
      <c r="H1109" s="6" t="str">
        <f>IFERROR(__xludf.DUMMYFUNCTION("IF(REGEXMATCH(LOWER(G1109), ""^(\?)+\s*(missing)?\s*(\?)*$""), """", PROPER(SUBSTITUTE(SUBSTITUTE(G1109, ""?"", """"), ""*"", """")))"),"Strawberry Lunch Box With Cutlery")</f>
        <v>Strawberry Lunch Box With Cutlery</v>
      </c>
      <c r="I1109" s="3">
        <v>12.0</v>
      </c>
      <c r="J1109" s="7">
        <v>40597.697222222225</v>
      </c>
      <c r="K1109" s="8" t="str">
        <f t="shared" si="4"/>
        <v>2011-02</v>
      </c>
      <c r="L1109" s="5">
        <v>2.55</v>
      </c>
      <c r="M1109" s="3">
        <v>12437.0</v>
      </c>
      <c r="N1109" s="1" t="str">
        <f t="shared" si="5"/>
        <v>Registered</v>
      </c>
      <c r="O1109" s="1" t="s">
        <v>49</v>
      </c>
      <c r="P1109" s="9" t="str">
        <f t="shared" si="6"/>
        <v>International</v>
      </c>
      <c r="Q1109" s="8">
        <f t="shared" si="7"/>
        <v>30.6</v>
      </c>
    </row>
    <row r="1110">
      <c r="A1110" s="1">
        <v>544817.0</v>
      </c>
      <c r="B1110" s="1" t="str">
        <f t="shared" si="1"/>
        <v>544817</v>
      </c>
      <c r="C1110" s="1" t="str">
        <f t="shared" si="2"/>
        <v>Sale</v>
      </c>
      <c r="D1110" s="1">
        <v>21509.0</v>
      </c>
      <c r="E1110" s="1" t="str">
        <f>IFERROR(__xludf.DUMMYFUNCTION("IF(LEN(D1110)&gt;4, IFERROR(REGEXEXTRACT(TO_TEXT(D1110),""\d+""),""""),"""")"),"21509")</f>
        <v>21509</v>
      </c>
      <c r="F1110" s="6" t="str">
        <f t="shared" si="3"/>
        <v>Product</v>
      </c>
      <c r="G1110" s="1" t="s">
        <v>740</v>
      </c>
      <c r="H1110" s="6" t="str">
        <f>IFERROR(__xludf.DUMMYFUNCTION("IF(REGEXMATCH(LOWER(G1110), ""^(\?)+\s*(missing)?\s*(\?)*$""), """", PROPER(SUBSTITUTE(SUBSTITUTE(G1110, ""?"", """"), ""*"", """")))"),"Cowboys And Indians Birthday Card")</f>
        <v>Cowboys And Indians Birthday Card</v>
      </c>
      <c r="I1110" s="3">
        <v>12.0</v>
      </c>
      <c r="J1110" s="7">
        <v>40597.697222222225</v>
      </c>
      <c r="K1110" s="8" t="str">
        <f t="shared" si="4"/>
        <v>2011-02</v>
      </c>
      <c r="L1110" s="5">
        <v>0.42</v>
      </c>
      <c r="M1110" s="3">
        <v>12437.0</v>
      </c>
      <c r="N1110" s="1" t="str">
        <f t="shared" si="5"/>
        <v>Registered</v>
      </c>
      <c r="O1110" s="1" t="s">
        <v>49</v>
      </c>
      <c r="P1110" s="9" t="str">
        <f t="shared" si="6"/>
        <v>International</v>
      </c>
      <c r="Q1110" s="8">
        <f t="shared" si="7"/>
        <v>5.04</v>
      </c>
    </row>
    <row r="1111">
      <c r="A1111" s="1">
        <v>544817.0</v>
      </c>
      <c r="B1111" s="1" t="str">
        <f t="shared" si="1"/>
        <v>544817</v>
      </c>
      <c r="C1111" s="1" t="str">
        <f t="shared" si="2"/>
        <v>Sale</v>
      </c>
      <c r="D1111" s="1">
        <v>22551.0</v>
      </c>
      <c r="E1111" s="1" t="str">
        <f>IFERROR(__xludf.DUMMYFUNCTION("IF(LEN(D1111)&gt;4, IFERROR(REGEXEXTRACT(TO_TEXT(D1111),""\d+""),""""),"""")"),"22551")</f>
        <v>22551</v>
      </c>
      <c r="F1111" s="6" t="str">
        <f t="shared" si="3"/>
        <v>Product</v>
      </c>
      <c r="G1111" s="1" t="s">
        <v>498</v>
      </c>
      <c r="H1111" s="6" t="str">
        <f>IFERROR(__xludf.DUMMYFUNCTION("IF(REGEXMATCH(LOWER(G1111), ""^(\?)+\s*(missing)?\s*(\?)*$""), """", PROPER(SUBSTITUTE(SUBSTITUTE(G1111, ""?"", """"), ""*"", """")))"),"Plasters In Tin Spaceboy")</f>
        <v>Plasters In Tin Spaceboy</v>
      </c>
      <c r="I1111" s="3">
        <v>12.0</v>
      </c>
      <c r="J1111" s="7">
        <v>40597.697222222225</v>
      </c>
      <c r="K1111" s="8" t="str">
        <f t="shared" si="4"/>
        <v>2011-02</v>
      </c>
      <c r="L1111" s="5">
        <v>1.65</v>
      </c>
      <c r="M1111" s="3">
        <v>12437.0</v>
      </c>
      <c r="N1111" s="1" t="str">
        <f t="shared" si="5"/>
        <v>Registered</v>
      </c>
      <c r="O1111" s="1" t="s">
        <v>49</v>
      </c>
      <c r="P1111" s="9" t="str">
        <f t="shared" si="6"/>
        <v>International</v>
      </c>
      <c r="Q1111" s="8">
        <f t="shared" si="7"/>
        <v>19.8</v>
      </c>
    </row>
    <row r="1112">
      <c r="A1112" s="1">
        <v>544817.0</v>
      </c>
      <c r="B1112" s="1" t="str">
        <f t="shared" si="1"/>
        <v>544817</v>
      </c>
      <c r="C1112" s="1" t="str">
        <f t="shared" si="2"/>
        <v>Sale</v>
      </c>
      <c r="D1112" s="1">
        <v>22556.0</v>
      </c>
      <c r="E1112" s="1" t="str">
        <f>IFERROR(__xludf.DUMMYFUNCTION("IF(LEN(D1112)&gt;4, IFERROR(REGEXEXTRACT(TO_TEXT(D1112),""\d+""),""""),"""")"),"22556")</f>
        <v>22556</v>
      </c>
      <c r="F1112" s="6" t="str">
        <f t="shared" si="3"/>
        <v>Product</v>
      </c>
      <c r="G1112" s="1" t="s">
        <v>228</v>
      </c>
      <c r="H1112" s="6" t="str">
        <f>IFERROR(__xludf.DUMMYFUNCTION("IF(REGEXMATCH(LOWER(G1112), ""^(\?)+\s*(missing)?\s*(\?)*$""), """", PROPER(SUBSTITUTE(SUBSTITUTE(G1112, ""?"", """"), ""*"", """")))"),"Plasters In Tin Circus Parade")</f>
        <v>Plasters In Tin Circus Parade</v>
      </c>
      <c r="I1112" s="3">
        <v>12.0</v>
      </c>
      <c r="J1112" s="7">
        <v>40597.697222222225</v>
      </c>
      <c r="K1112" s="8" t="str">
        <f t="shared" si="4"/>
        <v>2011-02</v>
      </c>
      <c r="L1112" s="5">
        <v>1.65</v>
      </c>
      <c r="M1112" s="3">
        <v>12437.0</v>
      </c>
      <c r="N1112" s="1" t="str">
        <f t="shared" si="5"/>
        <v>Registered</v>
      </c>
      <c r="O1112" s="1" t="s">
        <v>49</v>
      </c>
      <c r="P1112" s="9" t="str">
        <f t="shared" si="6"/>
        <v>International</v>
      </c>
      <c r="Q1112" s="8">
        <f t="shared" si="7"/>
        <v>19.8</v>
      </c>
    </row>
    <row r="1113">
      <c r="A1113" s="1">
        <v>544817.0</v>
      </c>
      <c r="B1113" s="1" t="str">
        <f t="shared" si="1"/>
        <v>544817</v>
      </c>
      <c r="C1113" s="1" t="str">
        <f t="shared" si="2"/>
        <v>Sale</v>
      </c>
      <c r="D1113" s="1">
        <v>22693.0</v>
      </c>
      <c r="E1113" s="1" t="str">
        <f>IFERROR(__xludf.DUMMYFUNCTION("IF(LEN(D1113)&gt;4, IFERROR(REGEXEXTRACT(TO_TEXT(D1113),""\d+""),""""),"""")"),"22693")</f>
        <v>22693</v>
      </c>
      <c r="F1113" s="6" t="str">
        <f t="shared" si="3"/>
        <v>Product</v>
      </c>
      <c r="G1113" s="1" t="s">
        <v>741</v>
      </c>
      <c r="H1113" s="6" t="str">
        <f>IFERROR(__xludf.DUMMYFUNCTION("IF(REGEXMATCH(LOWER(G1113), ""^(\?)+\s*(missing)?\s*(\?)*$""), """", PROPER(SUBSTITUTE(SUBSTITUTE(G1113, ""?"", """"), ""*"", """")))"),"Grow A Flytrap Or Sunflower In Tin")</f>
        <v>Grow A Flytrap Or Sunflower In Tin</v>
      </c>
      <c r="I1113" s="3">
        <v>24.0</v>
      </c>
      <c r="J1113" s="7">
        <v>40597.697222222225</v>
      </c>
      <c r="K1113" s="8" t="str">
        <f t="shared" si="4"/>
        <v>2011-02</v>
      </c>
      <c r="L1113" s="5">
        <v>1.25</v>
      </c>
      <c r="M1113" s="3">
        <v>12437.0</v>
      </c>
      <c r="N1113" s="1" t="str">
        <f t="shared" si="5"/>
        <v>Registered</v>
      </c>
      <c r="O1113" s="1" t="s">
        <v>49</v>
      </c>
      <c r="P1113" s="9" t="str">
        <f t="shared" si="6"/>
        <v>International</v>
      </c>
      <c r="Q1113" s="8">
        <f t="shared" si="7"/>
        <v>30</v>
      </c>
    </row>
    <row r="1114">
      <c r="A1114" s="1">
        <v>544817.0</v>
      </c>
      <c r="B1114" s="1" t="str">
        <f t="shared" si="1"/>
        <v>544817</v>
      </c>
      <c r="C1114" s="1" t="str">
        <f t="shared" si="2"/>
        <v>Sale</v>
      </c>
      <c r="D1114" s="1">
        <v>22492.0</v>
      </c>
      <c r="E1114" s="1" t="str">
        <f>IFERROR(__xludf.DUMMYFUNCTION("IF(LEN(D1114)&gt;4, IFERROR(REGEXEXTRACT(TO_TEXT(D1114),""\d+""),""""),"""")"),"22492")</f>
        <v>22492</v>
      </c>
      <c r="F1114" s="6" t="str">
        <f t="shared" si="3"/>
        <v>Product</v>
      </c>
      <c r="G1114" s="1" t="s">
        <v>67</v>
      </c>
      <c r="H1114" s="6" t="str">
        <f>IFERROR(__xludf.DUMMYFUNCTION("IF(REGEXMATCH(LOWER(G1114), ""^(\?)+\s*(missing)?\s*(\?)*$""), """", PROPER(SUBSTITUTE(SUBSTITUTE(G1114, ""?"", """"), ""*"", """")))"),"Mini Paint Set Vintage")</f>
        <v>Mini Paint Set Vintage</v>
      </c>
      <c r="I1114" s="3">
        <v>36.0</v>
      </c>
      <c r="J1114" s="7">
        <v>40597.697222222225</v>
      </c>
      <c r="K1114" s="8" t="str">
        <f t="shared" si="4"/>
        <v>2011-02</v>
      </c>
      <c r="L1114" s="5">
        <v>0.65</v>
      </c>
      <c r="M1114" s="3">
        <v>12437.0</v>
      </c>
      <c r="N1114" s="1" t="str">
        <f t="shared" si="5"/>
        <v>Registered</v>
      </c>
      <c r="O1114" s="1" t="s">
        <v>49</v>
      </c>
      <c r="P1114" s="9" t="str">
        <f t="shared" si="6"/>
        <v>International</v>
      </c>
      <c r="Q1114" s="8">
        <f t="shared" si="7"/>
        <v>23.4</v>
      </c>
    </row>
    <row r="1115">
      <c r="A1115" s="1">
        <v>544817.0</v>
      </c>
      <c r="B1115" s="1" t="str">
        <f t="shared" si="1"/>
        <v>544817</v>
      </c>
      <c r="C1115" s="1" t="str">
        <f t="shared" si="2"/>
        <v>Sale</v>
      </c>
      <c r="D1115" s="1">
        <v>21208.0</v>
      </c>
      <c r="E1115" s="1" t="str">
        <f>IFERROR(__xludf.DUMMYFUNCTION("IF(LEN(D1115)&gt;4, IFERROR(REGEXEXTRACT(TO_TEXT(D1115),""\d+""),""""),"""")"),"21208")</f>
        <v>21208</v>
      </c>
      <c r="F1115" s="6" t="str">
        <f t="shared" si="3"/>
        <v>Product</v>
      </c>
      <c r="G1115" s="1" t="s">
        <v>742</v>
      </c>
      <c r="H1115" s="6" t="str">
        <f>IFERROR(__xludf.DUMMYFUNCTION("IF(REGEXMATCH(LOWER(G1115), ""^(\?)+\s*(missing)?\s*(\?)*$""), """", PROPER(SUBSTITUTE(SUBSTITUTE(G1115, ""?"", """"), ""*"", """")))"),"Pastel Colour Honeycomb Fan")</f>
        <v>Pastel Colour Honeycomb Fan</v>
      </c>
      <c r="I1115" s="3">
        <v>12.0</v>
      </c>
      <c r="J1115" s="7">
        <v>40597.697222222225</v>
      </c>
      <c r="K1115" s="8" t="str">
        <f t="shared" si="4"/>
        <v>2011-02</v>
      </c>
      <c r="L1115" s="5">
        <v>1.65</v>
      </c>
      <c r="M1115" s="3">
        <v>12437.0</v>
      </c>
      <c r="N1115" s="1" t="str">
        <f t="shared" si="5"/>
        <v>Registered</v>
      </c>
      <c r="O1115" s="1" t="s">
        <v>49</v>
      </c>
      <c r="P1115" s="9" t="str">
        <f t="shared" si="6"/>
        <v>International</v>
      </c>
      <c r="Q1115" s="8">
        <f t="shared" si="7"/>
        <v>19.8</v>
      </c>
    </row>
    <row r="1116">
      <c r="A1116" s="1">
        <v>544817.0</v>
      </c>
      <c r="B1116" s="1" t="str">
        <f t="shared" si="1"/>
        <v>544817</v>
      </c>
      <c r="C1116" s="1" t="str">
        <f t="shared" si="2"/>
        <v>Sale</v>
      </c>
      <c r="D1116" s="1">
        <v>21209.0</v>
      </c>
      <c r="E1116" s="1" t="str">
        <f>IFERROR(__xludf.DUMMYFUNCTION("IF(LEN(D1116)&gt;4, IFERROR(REGEXEXTRACT(TO_TEXT(D1116),""\d+""),""""),"""")"),"21209")</f>
        <v>21209</v>
      </c>
      <c r="F1116" s="6" t="str">
        <f t="shared" si="3"/>
        <v>Product</v>
      </c>
      <c r="G1116" s="1" t="s">
        <v>743</v>
      </c>
      <c r="H1116" s="6" t="str">
        <f>IFERROR(__xludf.DUMMYFUNCTION("IF(REGEXMATCH(LOWER(G1116), ""^(\?)+\s*(missing)?\s*(\?)*$""), """", PROPER(SUBSTITUTE(SUBSTITUTE(G1116, ""?"", """"), ""*"", """")))"),"Multicolour Honeycomb Fan")</f>
        <v>Multicolour Honeycomb Fan</v>
      </c>
      <c r="I1116" s="3">
        <v>12.0</v>
      </c>
      <c r="J1116" s="7">
        <v>40597.697222222225</v>
      </c>
      <c r="K1116" s="8" t="str">
        <f t="shared" si="4"/>
        <v>2011-02</v>
      </c>
      <c r="L1116" s="5">
        <v>1.65</v>
      </c>
      <c r="M1116" s="3">
        <v>12437.0</v>
      </c>
      <c r="N1116" s="1" t="str">
        <f t="shared" si="5"/>
        <v>Registered</v>
      </c>
      <c r="O1116" s="1" t="s">
        <v>49</v>
      </c>
      <c r="P1116" s="9" t="str">
        <f t="shared" si="6"/>
        <v>International</v>
      </c>
      <c r="Q1116" s="8">
        <f t="shared" si="7"/>
        <v>19.8</v>
      </c>
    </row>
    <row r="1117">
      <c r="A1117" s="1">
        <v>544817.0</v>
      </c>
      <c r="B1117" s="1" t="str">
        <f t="shared" si="1"/>
        <v>544817</v>
      </c>
      <c r="C1117" s="1" t="str">
        <f t="shared" si="2"/>
        <v>Sale</v>
      </c>
      <c r="D1117" s="1">
        <v>22716.0</v>
      </c>
      <c r="E1117" s="1" t="str">
        <f>IFERROR(__xludf.DUMMYFUNCTION("IF(LEN(D1117)&gt;4, IFERROR(REGEXEXTRACT(TO_TEXT(D1117),""\d+""),""""),"""")"),"22716")</f>
        <v>22716</v>
      </c>
      <c r="F1117" s="6" t="str">
        <f t="shared" si="3"/>
        <v>Product</v>
      </c>
      <c r="G1117" s="1" t="s">
        <v>379</v>
      </c>
      <c r="H1117" s="6" t="str">
        <f>IFERROR(__xludf.DUMMYFUNCTION("IF(REGEXMATCH(LOWER(G1117), ""^(\?)+\s*(missing)?\s*(\?)*$""), """", PROPER(SUBSTITUTE(SUBSTITUTE(G1117, ""?"", """"), ""*"", """")))"),"Card Circus Parade")</f>
        <v>Card Circus Parade</v>
      </c>
      <c r="I1117" s="3">
        <v>24.0</v>
      </c>
      <c r="J1117" s="7">
        <v>40597.697222222225</v>
      </c>
      <c r="K1117" s="8" t="str">
        <f t="shared" si="4"/>
        <v>2011-02</v>
      </c>
      <c r="L1117" s="5">
        <v>0.42</v>
      </c>
      <c r="M1117" s="3">
        <v>12437.0</v>
      </c>
      <c r="N1117" s="1" t="str">
        <f t="shared" si="5"/>
        <v>Registered</v>
      </c>
      <c r="O1117" s="1" t="s">
        <v>49</v>
      </c>
      <c r="P1117" s="9" t="str">
        <f t="shared" si="6"/>
        <v>International</v>
      </c>
      <c r="Q1117" s="8">
        <f t="shared" si="7"/>
        <v>10.08</v>
      </c>
    </row>
    <row r="1118">
      <c r="A1118" s="1">
        <v>544817.0</v>
      </c>
      <c r="B1118" s="1" t="str">
        <f t="shared" si="1"/>
        <v>544817</v>
      </c>
      <c r="C1118" s="1" t="str">
        <f t="shared" si="2"/>
        <v>Sale</v>
      </c>
      <c r="D1118" s="1">
        <v>22714.0</v>
      </c>
      <c r="E1118" s="1" t="str">
        <f>IFERROR(__xludf.DUMMYFUNCTION("IF(LEN(D1118)&gt;4, IFERROR(REGEXEXTRACT(TO_TEXT(D1118),""\d+""),""""),"""")"),"22714")</f>
        <v>22714</v>
      </c>
      <c r="F1118" s="6" t="str">
        <f t="shared" si="3"/>
        <v>Product</v>
      </c>
      <c r="G1118" s="1" t="s">
        <v>384</v>
      </c>
      <c r="H1118" s="6" t="str">
        <f>IFERROR(__xludf.DUMMYFUNCTION("IF(REGEXMATCH(LOWER(G1118), ""^(\?)+\s*(missing)?\s*(\?)*$""), """", PROPER(SUBSTITUTE(SUBSTITUTE(G1118, ""?"", """"), ""*"", """")))"),"Card Birthday Cowboy")</f>
        <v>Card Birthday Cowboy</v>
      </c>
      <c r="I1118" s="3">
        <v>24.0</v>
      </c>
      <c r="J1118" s="7">
        <v>40597.697222222225</v>
      </c>
      <c r="K1118" s="8" t="str">
        <f t="shared" si="4"/>
        <v>2011-02</v>
      </c>
      <c r="L1118" s="5">
        <v>0.42</v>
      </c>
      <c r="M1118" s="3">
        <v>12437.0</v>
      </c>
      <c r="N1118" s="1" t="str">
        <f t="shared" si="5"/>
        <v>Registered</v>
      </c>
      <c r="O1118" s="1" t="s">
        <v>49</v>
      </c>
      <c r="P1118" s="9" t="str">
        <f t="shared" si="6"/>
        <v>International</v>
      </c>
      <c r="Q1118" s="8">
        <f t="shared" si="7"/>
        <v>10.08</v>
      </c>
    </row>
    <row r="1119">
      <c r="A1119" s="1">
        <v>544817.0</v>
      </c>
      <c r="B1119" s="1" t="str">
        <f t="shared" si="1"/>
        <v>544817</v>
      </c>
      <c r="C1119" s="1" t="str">
        <f t="shared" si="2"/>
        <v>Sale</v>
      </c>
      <c r="D1119" s="1" t="s">
        <v>68</v>
      </c>
      <c r="E1119" s="1" t="str">
        <f>IFERROR(__xludf.DUMMYFUNCTION("IF(LEN(D1119)&gt;4, IFERROR(REGEXEXTRACT(TO_TEXT(D1119),""\d+""),""""),"""")"),"")</f>
        <v/>
      </c>
      <c r="F1119" s="6" t="str">
        <f t="shared" si="3"/>
        <v>Shipping</v>
      </c>
      <c r="G1119" s="1" t="s">
        <v>69</v>
      </c>
      <c r="H1119" s="6" t="str">
        <f>IFERROR(__xludf.DUMMYFUNCTION("IF(REGEXMATCH(LOWER(G1119), ""^(\?)+\s*(missing)?\s*(\?)*$""), """", PROPER(SUBSTITUTE(SUBSTITUTE(G1119, ""?"", """"), ""*"", """")))"),"Postage")</f>
        <v>Postage</v>
      </c>
      <c r="I1119" s="3">
        <v>2.0</v>
      </c>
      <c r="J1119" s="7">
        <v>40597.697222222225</v>
      </c>
      <c r="K1119" s="8" t="str">
        <f t="shared" si="4"/>
        <v>2011-02</v>
      </c>
      <c r="L1119" s="5">
        <v>18.0</v>
      </c>
      <c r="M1119" s="3">
        <v>12437.0</v>
      </c>
      <c r="N1119" s="1" t="str">
        <f t="shared" si="5"/>
        <v>Registered</v>
      </c>
      <c r="O1119" s="1" t="s">
        <v>49</v>
      </c>
      <c r="P1119" s="9" t="str">
        <f t="shared" si="6"/>
        <v>International</v>
      </c>
      <c r="Q1119" s="8">
        <f t="shared" si="7"/>
        <v>36</v>
      </c>
    </row>
    <row r="1120">
      <c r="A1120" s="1">
        <v>544818.0</v>
      </c>
      <c r="B1120" s="1" t="str">
        <f t="shared" si="1"/>
        <v>544818</v>
      </c>
      <c r="C1120" s="1" t="str">
        <f t="shared" si="2"/>
        <v>Sale</v>
      </c>
      <c r="D1120" s="1">
        <v>22893.0</v>
      </c>
      <c r="E1120" s="1" t="str">
        <f>IFERROR(__xludf.DUMMYFUNCTION("IF(LEN(D1120)&gt;4, IFERROR(REGEXEXTRACT(TO_TEXT(D1120),""\d+""),""""),"""")"),"22893")</f>
        <v>22893</v>
      </c>
      <c r="F1120" s="6" t="str">
        <f t="shared" si="3"/>
        <v>Product</v>
      </c>
      <c r="G1120" s="1" t="s">
        <v>744</v>
      </c>
      <c r="H1120" s="6" t="str">
        <f>IFERROR(__xludf.DUMMYFUNCTION("IF(REGEXMATCH(LOWER(G1120), ""^(\?)+\s*(missing)?\s*(\?)*$""), """", PROPER(SUBSTITUTE(SUBSTITUTE(G1120, ""?"", """"), ""*"", """")))"),"Mini Cake Stand T-Light Holder")</f>
        <v>Mini Cake Stand T-Light Holder</v>
      </c>
      <c r="I1120" s="3">
        <v>48.0</v>
      </c>
      <c r="J1120" s="7">
        <v>40597.697916666664</v>
      </c>
      <c r="K1120" s="8" t="str">
        <f t="shared" si="4"/>
        <v>2011-02</v>
      </c>
      <c r="L1120" s="5">
        <v>0.42</v>
      </c>
      <c r="M1120" s="3">
        <v>12437.0</v>
      </c>
      <c r="N1120" s="1" t="str">
        <f t="shared" si="5"/>
        <v>Registered</v>
      </c>
      <c r="O1120" s="1" t="s">
        <v>49</v>
      </c>
      <c r="P1120" s="9" t="str">
        <f t="shared" si="6"/>
        <v>International</v>
      </c>
      <c r="Q1120" s="8">
        <f t="shared" si="7"/>
        <v>20.16</v>
      </c>
    </row>
    <row r="1121">
      <c r="A1121" s="1">
        <v>544818.0</v>
      </c>
      <c r="B1121" s="1" t="str">
        <f t="shared" si="1"/>
        <v>544818</v>
      </c>
      <c r="C1121" s="1" t="str">
        <f t="shared" si="2"/>
        <v>Sale</v>
      </c>
      <c r="D1121" s="1">
        <v>84380.0</v>
      </c>
      <c r="E1121" s="1" t="str">
        <f>IFERROR(__xludf.DUMMYFUNCTION("IF(LEN(D1121)&gt;4, IFERROR(REGEXEXTRACT(TO_TEXT(D1121),""\d+""),""""),"""")"),"84380")</f>
        <v>84380</v>
      </c>
      <c r="F1121" s="6" t="str">
        <f t="shared" si="3"/>
        <v>Product</v>
      </c>
      <c r="G1121" s="1" t="s">
        <v>349</v>
      </c>
      <c r="H1121" s="6" t="str">
        <f>IFERROR(__xludf.DUMMYFUNCTION("IF(REGEXMATCH(LOWER(G1121), ""^(\?)+\s*(missing)?\s*(\?)*$""), """", PROPER(SUBSTITUTE(SUBSTITUTE(G1121, ""?"", """"), ""*"", """")))"),"Set Of 3 Butterfly Cookie Cutters")</f>
        <v>Set Of 3 Butterfly Cookie Cutters</v>
      </c>
      <c r="I1121" s="3">
        <v>12.0</v>
      </c>
      <c r="J1121" s="7">
        <v>40597.697916666664</v>
      </c>
      <c r="K1121" s="8" t="str">
        <f t="shared" si="4"/>
        <v>2011-02</v>
      </c>
      <c r="L1121" s="5">
        <v>1.25</v>
      </c>
      <c r="M1121" s="3">
        <v>12437.0</v>
      </c>
      <c r="N1121" s="1" t="str">
        <f t="shared" si="5"/>
        <v>Registered</v>
      </c>
      <c r="O1121" s="1" t="s">
        <v>49</v>
      </c>
      <c r="P1121" s="9" t="str">
        <f t="shared" si="6"/>
        <v>International</v>
      </c>
      <c r="Q1121" s="8">
        <f t="shared" si="7"/>
        <v>15</v>
      </c>
    </row>
    <row r="1122">
      <c r="A1122" s="1">
        <v>544818.0</v>
      </c>
      <c r="B1122" s="1" t="str">
        <f t="shared" si="1"/>
        <v>544818</v>
      </c>
      <c r="C1122" s="1" t="str">
        <f t="shared" si="2"/>
        <v>Sale</v>
      </c>
      <c r="D1122" s="1">
        <v>21121.0</v>
      </c>
      <c r="E1122" s="1" t="str">
        <f>IFERROR(__xludf.DUMMYFUNCTION("IF(LEN(D1122)&gt;4, IFERROR(REGEXEXTRACT(TO_TEXT(D1122),""\d+""),""""),"""")"),"21121")</f>
        <v>21121</v>
      </c>
      <c r="F1122" s="6" t="str">
        <f t="shared" si="3"/>
        <v>Product</v>
      </c>
      <c r="G1122" s="1" t="s">
        <v>558</v>
      </c>
      <c r="H1122" s="6" t="str">
        <f>IFERROR(__xludf.DUMMYFUNCTION("IF(REGEXMATCH(LOWER(G1122), ""^(\?)+\s*(missing)?\s*(\?)*$""), """", PROPER(SUBSTITUTE(SUBSTITUTE(G1122, ""?"", """"), ""*"", """")))"),"Set/10 Red Polkadot Party Candles")</f>
        <v>Set/10 Red Polkadot Party Candles</v>
      </c>
      <c r="I1122" s="3">
        <v>24.0</v>
      </c>
      <c r="J1122" s="7">
        <v>40597.697916666664</v>
      </c>
      <c r="K1122" s="8" t="str">
        <f t="shared" si="4"/>
        <v>2011-02</v>
      </c>
      <c r="L1122" s="5">
        <v>1.25</v>
      </c>
      <c r="M1122" s="3">
        <v>12437.0</v>
      </c>
      <c r="N1122" s="1" t="str">
        <f t="shared" si="5"/>
        <v>Registered</v>
      </c>
      <c r="O1122" s="1" t="s">
        <v>49</v>
      </c>
      <c r="P1122" s="9" t="str">
        <f t="shared" si="6"/>
        <v>International</v>
      </c>
      <c r="Q1122" s="8">
        <f t="shared" si="7"/>
        <v>30</v>
      </c>
    </row>
    <row r="1123">
      <c r="A1123" s="1">
        <v>544818.0</v>
      </c>
      <c r="B1123" s="1" t="str">
        <f t="shared" si="1"/>
        <v>544818</v>
      </c>
      <c r="C1123" s="1" t="str">
        <f t="shared" si="2"/>
        <v>Sale</v>
      </c>
      <c r="D1123" s="1">
        <v>22352.0</v>
      </c>
      <c r="E1123" s="1" t="str">
        <f>IFERROR(__xludf.DUMMYFUNCTION("IF(LEN(D1123)&gt;4, IFERROR(REGEXEXTRACT(TO_TEXT(D1123),""\d+""),""""),"""")"),"22352")</f>
        <v>22352</v>
      </c>
      <c r="F1123" s="6" t="str">
        <f t="shared" si="3"/>
        <v>Product</v>
      </c>
      <c r="G1123" s="1" t="s">
        <v>96</v>
      </c>
      <c r="H1123" s="6" t="str">
        <f>IFERROR(__xludf.DUMMYFUNCTION("IF(REGEXMATCH(LOWER(G1123), ""^(\?)+\s*(missing)?\s*(\?)*$""), """", PROPER(SUBSTITUTE(SUBSTITUTE(G1123, ""?"", """"), ""*"", """")))"),"Lunch Box With Cutlery Retrospot")</f>
        <v>Lunch Box With Cutlery Retrospot</v>
      </c>
      <c r="I1123" s="3">
        <v>12.0</v>
      </c>
      <c r="J1123" s="7">
        <v>40597.697916666664</v>
      </c>
      <c r="K1123" s="8" t="str">
        <f t="shared" si="4"/>
        <v>2011-02</v>
      </c>
      <c r="L1123" s="5">
        <v>2.55</v>
      </c>
      <c r="M1123" s="3">
        <v>12437.0</v>
      </c>
      <c r="N1123" s="1" t="str">
        <f t="shared" si="5"/>
        <v>Registered</v>
      </c>
      <c r="O1123" s="1" t="s">
        <v>49</v>
      </c>
      <c r="P1123" s="9" t="str">
        <f t="shared" si="6"/>
        <v>International</v>
      </c>
      <c r="Q1123" s="8">
        <f t="shared" si="7"/>
        <v>30.6</v>
      </c>
    </row>
    <row r="1124">
      <c r="A1124" s="1">
        <v>544819.0</v>
      </c>
      <c r="B1124" s="1" t="str">
        <f t="shared" si="1"/>
        <v>544819</v>
      </c>
      <c r="C1124" s="1" t="str">
        <f t="shared" si="2"/>
        <v>Sale</v>
      </c>
      <c r="D1124" s="1" t="s">
        <v>721</v>
      </c>
      <c r="E1124" s="1" t="str">
        <f>IFERROR(__xludf.DUMMYFUNCTION("IF(LEN(D1124)&gt;4, IFERROR(REGEXEXTRACT(TO_TEXT(D1124),""\d+""),""""),"""")"),"")</f>
        <v/>
      </c>
      <c r="F1124" s="6" t="str">
        <f t="shared" si="3"/>
        <v>Adjustment</v>
      </c>
      <c r="G1124" s="1" t="s">
        <v>722</v>
      </c>
      <c r="H1124" s="6" t="str">
        <f>IFERROR(__xludf.DUMMYFUNCTION("IF(REGEXMATCH(LOWER(G1124), ""^(\?)+\s*(missing)?\s*(\?)*$""), """", PROPER(SUBSTITUTE(SUBSTITUTE(G1124, ""?"", """"), ""*"", """")))"),"Manual")</f>
        <v>Manual</v>
      </c>
      <c r="I1124" s="3">
        <v>6.0</v>
      </c>
      <c r="J1124" s="7">
        <v>40597.71875</v>
      </c>
      <c r="K1124" s="8" t="str">
        <f t="shared" si="4"/>
        <v>2011-02</v>
      </c>
      <c r="L1124" s="5">
        <v>5.0</v>
      </c>
      <c r="M1124" s="3">
        <v>12748.0</v>
      </c>
      <c r="N1124" s="1" t="str">
        <f t="shared" si="5"/>
        <v>Registered</v>
      </c>
      <c r="O1124" s="1" t="s">
        <v>19</v>
      </c>
      <c r="P1124" s="9" t="str">
        <f t="shared" si="6"/>
        <v>UK</v>
      </c>
      <c r="Q1124" s="8">
        <f t="shared" si="7"/>
        <v>30</v>
      </c>
    </row>
    <row r="1125">
      <c r="A1125" s="1">
        <v>544819.0</v>
      </c>
      <c r="B1125" s="1" t="str">
        <f t="shared" si="1"/>
        <v>544819</v>
      </c>
      <c r="C1125" s="1" t="str">
        <f t="shared" si="2"/>
        <v>Sale</v>
      </c>
      <c r="D1125" s="1" t="s">
        <v>745</v>
      </c>
      <c r="E1125" s="1" t="str">
        <f>IFERROR(__xludf.DUMMYFUNCTION("IF(LEN(D1125)&gt;4, IFERROR(REGEXEXTRACT(TO_TEXT(D1125),""\d+""),""""),"""")"),"84985")</f>
        <v>84985</v>
      </c>
      <c r="F1125" s="6" t="str">
        <f t="shared" si="3"/>
        <v>Product</v>
      </c>
      <c r="G1125" s="1" t="s">
        <v>746</v>
      </c>
      <c r="H1125" s="6" t="str">
        <f>IFERROR(__xludf.DUMMYFUNCTION("IF(REGEXMATCH(LOWER(G1125), ""^(\?)+\s*(missing)?\s*(\?)*$""), """", PROPER(SUBSTITUTE(SUBSTITUTE(G1125, ""?"", """"), ""*"", """")))"),"Set Of 72 Green Paper Doilies")</f>
        <v>Set Of 72 Green Paper Doilies</v>
      </c>
      <c r="I1125" s="3">
        <v>1.0</v>
      </c>
      <c r="J1125" s="7">
        <v>40597.71875</v>
      </c>
      <c r="K1125" s="8" t="str">
        <f t="shared" si="4"/>
        <v>2011-02</v>
      </c>
      <c r="L1125" s="5">
        <v>1.45</v>
      </c>
      <c r="M1125" s="3">
        <v>12748.0</v>
      </c>
      <c r="N1125" s="1" t="str">
        <f t="shared" si="5"/>
        <v>Registered</v>
      </c>
      <c r="O1125" s="1" t="s">
        <v>19</v>
      </c>
      <c r="P1125" s="9" t="str">
        <f t="shared" si="6"/>
        <v>UK</v>
      </c>
      <c r="Q1125" s="8">
        <f t="shared" si="7"/>
        <v>1.45</v>
      </c>
    </row>
    <row r="1126">
      <c r="A1126" s="1">
        <v>544819.0</v>
      </c>
      <c r="B1126" s="1" t="str">
        <f t="shared" si="1"/>
        <v>544819</v>
      </c>
      <c r="C1126" s="1" t="str">
        <f t="shared" si="2"/>
        <v>Sale</v>
      </c>
      <c r="D1126" s="1">
        <v>21171.0</v>
      </c>
      <c r="E1126" s="1" t="str">
        <f>IFERROR(__xludf.DUMMYFUNCTION("IF(LEN(D1126)&gt;4, IFERROR(REGEXEXTRACT(TO_TEXT(D1126),""\d+""),""""),"""")"),"21171")</f>
        <v>21171</v>
      </c>
      <c r="F1126" s="6" t="str">
        <f t="shared" si="3"/>
        <v>Product</v>
      </c>
      <c r="G1126" s="1" t="s">
        <v>296</v>
      </c>
      <c r="H1126" s="6" t="str">
        <f>IFERROR(__xludf.DUMMYFUNCTION("IF(REGEXMATCH(LOWER(G1126), ""^(\?)+\s*(missing)?\s*(\?)*$""), """", PROPER(SUBSTITUTE(SUBSTITUTE(G1126, ""?"", """"), ""*"", """")))"),"Bathroom Metal Sign")</f>
        <v>Bathroom Metal Sign</v>
      </c>
      <c r="I1126" s="3">
        <v>1.0</v>
      </c>
      <c r="J1126" s="7">
        <v>40597.71875</v>
      </c>
      <c r="K1126" s="8" t="str">
        <f t="shared" si="4"/>
        <v>2011-02</v>
      </c>
      <c r="L1126" s="5">
        <v>1.45</v>
      </c>
      <c r="M1126" s="3">
        <v>12748.0</v>
      </c>
      <c r="N1126" s="1" t="str">
        <f t="shared" si="5"/>
        <v>Registered</v>
      </c>
      <c r="O1126" s="1" t="s">
        <v>19</v>
      </c>
      <c r="P1126" s="9" t="str">
        <f t="shared" si="6"/>
        <v>UK</v>
      </c>
      <c r="Q1126" s="8">
        <f t="shared" si="7"/>
        <v>1.45</v>
      </c>
    </row>
    <row r="1127">
      <c r="A1127" s="1">
        <v>544819.0</v>
      </c>
      <c r="B1127" s="1" t="str">
        <f t="shared" si="1"/>
        <v>544819</v>
      </c>
      <c r="C1127" s="1" t="str">
        <f t="shared" si="2"/>
        <v>Sale</v>
      </c>
      <c r="D1127" s="1">
        <v>84988.0</v>
      </c>
      <c r="E1127" s="1" t="str">
        <f>IFERROR(__xludf.DUMMYFUNCTION("IF(LEN(D1127)&gt;4, IFERROR(REGEXEXTRACT(TO_TEXT(D1127),""\d+""),""""),"""")"),"84988")</f>
        <v>84988</v>
      </c>
      <c r="F1127" s="6" t="str">
        <f t="shared" si="3"/>
        <v>Product</v>
      </c>
      <c r="G1127" s="1" t="s">
        <v>747</v>
      </c>
      <c r="H1127" s="6" t="str">
        <f>IFERROR(__xludf.DUMMYFUNCTION("IF(REGEXMATCH(LOWER(G1127), ""^(\?)+\s*(missing)?\s*(\?)*$""), """", PROPER(SUBSTITUTE(SUBSTITUTE(G1127, ""?"", """"), ""*"", """")))"),"Set Of 72 Pink Heart Paper Doilies")</f>
        <v>Set Of 72 Pink Heart Paper Doilies</v>
      </c>
      <c r="I1127" s="3">
        <v>1.0</v>
      </c>
      <c r="J1127" s="7">
        <v>40597.71875</v>
      </c>
      <c r="K1127" s="8" t="str">
        <f t="shared" si="4"/>
        <v>2011-02</v>
      </c>
      <c r="L1127" s="5">
        <v>1.45</v>
      </c>
      <c r="M1127" s="3">
        <v>12748.0</v>
      </c>
      <c r="N1127" s="1" t="str">
        <f t="shared" si="5"/>
        <v>Registered</v>
      </c>
      <c r="O1127" s="1" t="s">
        <v>19</v>
      </c>
      <c r="P1127" s="9" t="str">
        <f t="shared" si="6"/>
        <v>UK</v>
      </c>
      <c r="Q1127" s="8">
        <f t="shared" si="7"/>
        <v>1.45</v>
      </c>
    </row>
    <row r="1128">
      <c r="A1128" s="1">
        <v>544819.0</v>
      </c>
      <c r="B1128" s="1" t="str">
        <f t="shared" si="1"/>
        <v>544819</v>
      </c>
      <c r="C1128" s="1" t="str">
        <f t="shared" si="2"/>
        <v>Sale</v>
      </c>
      <c r="D1128" s="1">
        <v>21201.0</v>
      </c>
      <c r="E1128" s="1" t="str">
        <f>IFERROR(__xludf.DUMMYFUNCTION("IF(LEN(D1128)&gt;4, IFERROR(REGEXEXTRACT(TO_TEXT(D1128),""\d+""),""""),"""")"),"21201")</f>
        <v>21201</v>
      </c>
      <c r="F1128" s="6" t="str">
        <f t="shared" si="3"/>
        <v>Product</v>
      </c>
      <c r="G1128" s="1" t="s">
        <v>748</v>
      </c>
      <c r="H1128" s="6" t="str">
        <f>IFERROR(__xludf.DUMMYFUNCTION("IF(REGEXMATCH(LOWER(G1128), ""^(\?)+\s*(missing)?\s*(\?)*$""), """", PROPER(SUBSTITUTE(SUBSTITUTE(G1128, ""?"", """"), ""*"", """")))"),"Tropical Honeycomb Paper Garland")</f>
        <v>Tropical Honeycomb Paper Garland</v>
      </c>
      <c r="I1128" s="3">
        <v>1.0</v>
      </c>
      <c r="J1128" s="7">
        <v>40597.71875</v>
      </c>
      <c r="K1128" s="8" t="str">
        <f t="shared" si="4"/>
        <v>2011-02</v>
      </c>
      <c r="L1128" s="5">
        <v>2.55</v>
      </c>
      <c r="M1128" s="3">
        <v>12748.0</v>
      </c>
      <c r="N1128" s="1" t="str">
        <f t="shared" si="5"/>
        <v>Registered</v>
      </c>
      <c r="O1128" s="1" t="s">
        <v>19</v>
      </c>
      <c r="P1128" s="9" t="str">
        <f t="shared" si="6"/>
        <v>UK</v>
      </c>
      <c r="Q1128" s="8">
        <f t="shared" si="7"/>
        <v>2.55</v>
      </c>
    </row>
    <row r="1129">
      <c r="A1129" s="1">
        <v>544819.0</v>
      </c>
      <c r="B1129" s="1" t="str">
        <f t="shared" si="1"/>
        <v>544819</v>
      </c>
      <c r="C1129" s="1" t="str">
        <f t="shared" si="2"/>
        <v>Sale</v>
      </c>
      <c r="D1129" s="1">
        <v>22091.0</v>
      </c>
      <c r="E1129" s="1" t="str">
        <f>IFERROR(__xludf.DUMMYFUNCTION("IF(LEN(D1129)&gt;4, IFERROR(REGEXEXTRACT(TO_TEXT(D1129),""\d+""),""""),"""")"),"22091")</f>
        <v>22091</v>
      </c>
      <c r="F1129" s="6" t="str">
        <f t="shared" si="3"/>
        <v>Product</v>
      </c>
      <c r="G1129" s="1" t="s">
        <v>749</v>
      </c>
      <c r="H1129" s="6" t="str">
        <f>IFERROR(__xludf.DUMMYFUNCTION("IF(REGEXMATCH(LOWER(G1129), ""^(\?)+\s*(missing)?\s*(\?)*$""), """", PROPER(SUBSTITUTE(SUBSTITUTE(G1129, ""?"", """"), ""*"", """")))"),"Empire Tissue Box")</f>
        <v>Empire Tissue Box</v>
      </c>
      <c r="I1129" s="3">
        <v>1.0</v>
      </c>
      <c r="J1129" s="7">
        <v>40597.71875</v>
      </c>
      <c r="K1129" s="8" t="str">
        <f t="shared" si="4"/>
        <v>2011-02</v>
      </c>
      <c r="L1129" s="5">
        <v>1.25</v>
      </c>
      <c r="M1129" s="3">
        <v>12748.0</v>
      </c>
      <c r="N1129" s="1" t="str">
        <f t="shared" si="5"/>
        <v>Registered</v>
      </c>
      <c r="O1129" s="1" t="s">
        <v>19</v>
      </c>
      <c r="P1129" s="9" t="str">
        <f t="shared" si="6"/>
        <v>UK</v>
      </c>
      <c r="Q1129" s="8">
        <f t="shared" si="7"/>
        <v>1.25</v>
      </c>
    </row>
    <row r="1130">
      <c r="A1130" s="1">
        <v>544819.0</v>
      </c>
      <c r="B1130" s="1" t="str">
        <f t="shared" si="1"/>
        <v>544819</v>
      </c>
      <c r="C1130" s="1" t="str">
        <f t="shared" si="2"/>
        <v>Sale</v>
      </c>
      <c r="D1130" s="1">
        <v>82552.0</v>
      </c>
      <c r="E1130" s="1" t="str">
        <f>IFERROR(__xludf.DUMMYFUNCTION("IF(LEN(D1130)&gt;4, IFERROR(REGEXEXTRACT(TO_TEXT(D1130),""\d+""),""""),"""")"),"82552")</f>
        <v>82552</v>
      </c>
      <c r="F1130" s="6" t="str">
        <f t="shared" si="3"/>
        <v>Product</v>
      </c>
      <c r="G1130" s="1" t="s">
        <v>559</v>
      </c>
      <c r="H1130" s="6" t="str">
        <f>IFERROR(__xludf.DUMMYFUNCTION("IF(REGEXMATCH(LOWER(G1130), ""^(\?)+\s*(missing)?\s*(\?)*$""), """", PROPER(SUBSTITUTE(SUBSTITUTE(G1130, ""?"", """"), ""*"", """")))"),"Washroom Metal Sign")</f>
        <v>Washroom Metal Sign</v>
      </c>
      <c r="I1130" s="3">
        <v>1.0</v>
      </c>
      <c r="J1130" s="7">
        <v>40597.71875</v>
      </c>
      <c r="K1130" s="8" t="str">
        <f t="shared" si="4"/>
        <v>2011-02</v>
      </c>
      <c r="L1130" s="5">
        <v>1.45</v>
      </c>
      <c r="M1130" s="3">
        <v>12748.0</v>
      </c>
      <c r="N1130" s="1" t="str">
        <f t="shared" si="5"/>
        <v>Registered</v>
      </c>
      <c r="O1130" s="1" t="s">
        <v>19</v>
      </c>
      <c r="P1130" s="9" t="str">
        <f t="shared" si="6"/>
        <v>UK</v>
      </c>
      <c r="Q1130" s="8">
        <f t="shared" si="7"/>
        <v>1.45</v>
      </c>
    </row>
    <row r="1131">
      <c r="A1131" s="1">
        <v>544819.0</v>
      </c>
      <c r="B1131" s="1" t="str">
        <f t="shared" si="1"/>
        <v>544819</v>
      </c>
      <c r="C1131" s="1" t="str">
        <f t="shared" si="2"/>
        <v>Sale</v>
      </c>
      <c r="D1131" s="1">
        <v>40016.0</v>
      </c>
      <c r="E1131" s="1" t="str">
        <f>IFERROR(__xludf.DUMMYFUNCTION("IF(LEN(D1131)&gt;4, IFERROR(REGEXEXTRACT(TO_TEXT(D1131),""\d+""),""""),"""")"),"40016")</f>
        <v>40016</v>
      </c>
      <c r="F1131" s="6" t="str">
        <f t="shared" si="3"/>
        <v>Product</v>
      </c>
      <c r="G1131" s="1" t="s">
        <v>750</v>
      </c>
      <c r="H1131" s="6" t="str">
        <f>IFERROR(__xludf.DUMMYFUNCTION("IF(REGEXMATCH(LOWER(G1131), ""^(\?)+\s*(missing)?\s*(\?)*$""), """", PROPER(SUBSTITUTE(SUBSTITUTE(G1131, ""?"", """"), ""*"", """")))"),"Chinese Dragon Paper Lanterns")</f>
        <v>Chinese Dragon Paper Lanterns</v>
      </c>
      <c r="I1131" s="3">
        <v>12.0</v>
      </c>
      <c r="J1131" s="7">
        <v>40597.71875</v>
      </c>
      <c r="K1131" s="8" t="str">
        <f t="shared" si="4"/>
        <v>2011-02</v>
      </c>
      <c r="L1131" s="5">
        <v>0.42</v>
      </c>
      <c r="M1131" s="3">
        <v>12748.0</v>
      </c>
      <c r="N1131" s="1" t="str">
        <f t="shared" si="5"/>
        <v>Registered</v>
      </c>
      <c r="O1131" s="1" t="s">
        <v>19</v>
      </c>
      <c r="P1131" s="9" t="str">
        <f t="shared" si="6"/>
        <v>UK</v>
      </c>
      <c r="Q1131" s="8">
        <f t="shared" si="7"/>
        <v>5.04</v>
      </c>
    </row>
    <row r="1132">
      <c r="A1132" s="1">
        <v>544819.0</v>
      </c>
      <c r="B1132" s="1" t="str">
        <f t="shared" si="1"/>
        <v>544819</v>
      </c>
      <c r="C1132" s="1" t="str">
        <f t="shared" si="2"/>
        <v>Sale</v>
      </c>
      <c r="D1132" s="1">
        <v>21743.0</v>
      </c>
      <c r="E1132" s="1" t="str">
        <f>IFERROR(__xludf.DUMMYFUNCTION("IF(LEN(D1132)&gt;4, IFERROR(REGEXEXTRACT(TO_TEXT(D1132),""\d+""),""""),"""")"),"21743")</f>
        <v>21743</v>
      </c>
      <c r="F1132" s="6" t="str">
        <f t="shared" si="3"/>
        <v>Product</v>
      </c>
      <c r="G1132" s="1" t="s">
        <v>311</v>
      </c>
      <c r="H1132" s="6" t="str">
        <f>IFERROR(__xludf.DUMMYFUNCTION("IF(REGEXMATCH(LOWER(G1132), ""^(\?)+\s*(missing)?\s*(\?)*$""), """", PROPER(SUBSTITUTE(SUBSTITUTE(G1132, ""?"", """"), ""*"", """")))"),"Star Portable Table Light")</f>
        <v>Star Portable Table Light</v>
      </c>
      <c r="I1132" s="3">
        <v>2.0</v>
      </c>
      <c r="J1132" s="7">
        <v>40597.71875</v>
      </c>
      <c r="K1132" s="8" t="str">
        <f t="shared" si="4"/>
        <v>2011-02</v>
      </c>
      <c r="L1132" s="5">
        <v>2.95</v>
      </c>
      <c r="M1132" s="3">
        <v>12748.0</v>
      </c>
      <c r="N1132" s="1" t="str">
        <f t="shared" si="5"/>
        <v>Registered</v>
      </c>
      <c r="O1132" s="1" t="s">
        <v>19</v>
      </c>
      <c r="P1132" s="9" t="str">
        <f t="shared" si="6"/>
        <v>UK</v>
      </c>
      <c r="Q1132" s="8">
        <f t="shared" si="7"/>
        <v>5.9</v>
      </c>
    </row>
    <row r="1133">
      <c r="A1133" s="1">
        <v>544819.0</v>
      </c>
      <c r="B1133" s="1" t="str">
        <f t="shared" si="1"/>
        <v>544819</v>
      </c>
      <c r="C1133" s="1" t="str">
        <f t="shared" si="2"/>
        <v>Sale</v>
      </c>
      <c r="D1133" s="1">
        <v>21713.0</v>
      </c>
      <c r="E1133" s="1" t="str">
        <f>IFERROR(__xludf.DUMMYFUNCTION("IF(LEN(D1133)&gt;4, IFERROR(REGEXEXTRACT(TO_TEXT(D1133),""\d+""),""""),"""")"),"21713")</f>
        <v>21713</v>
      </c>
      <c r="F1133" s="6" t="str">
        <f t="shared" si="3"/>
        <v>Product</v>
      </c>
      <c r="G1133" s="1" t="s">
        <v>751</v>
      </c>
      <c r="H1133" s="6" t="str">
        <f>IFERROR(__xludf.DUMMYFUNCTION("IF(REGEXMATCH(LOWER(G1133), ""^(\?)+\s*(missing)?\s*(\?)*$""), """", PROPER(SUBSTITUTE(SUBSTITUTE(G1133, ""?"", """"), ""*"", """")))"),"Citronella Candle Flowerpot")</f>
        <v>Citronella Candle Flowerpot</v>
      </c>
      <c r="I1133" s="3">
        <v>3.0</v>
      </c>
      <c r="J1133" s="7">
        <v>40597.71875</v>
      </c>
      <c r="K1133" s="8" t="str">
        <f t="shared" si="4"/>
        <v>2011-02</v>
      </c>
      <c r="L1133" s="5">
        <v>2.1</v>
      </c>
      <c r="M1133" s="3">
        <v>12748.0</v>
      </c>
      <c r="N1133" s="1" t="str">
        <f t="shared" si="5"/>
        <v>Registered</v>
      </c>
      <c r="O1133" s="1" t="s">
        <v>19</v>
      </c>
      <c r="P1133" s="9" t="str">
        <f t="shared" si="6"/>
        <v>UK</v>
      </c>
      <c r="Q1133" s="8">
        <f t="shared" si="7"/>
        <v>6.3</v>
      </c>
    </row>
    <row r="1134">
      <c r="A1134" s="1">
        <v>544819.0</v>
      </c>
      <c r="B1134" s="1" t="str">
        <f t="shared" si="1"/>
        <v>544819</v>
      </c>
      <c r="C1134" s="1" t="str">
        <f t="shared" si="2"/>
        <v>Sale</v>
      </c>
      <c r="D1134" s="1">
        <v>21201.0</v>
      </c>
      <c r="E1134" s="1" t="str">
        <f>IFERROR(__xludf.DUMMYFUNCTION("IF(LEN(D1134)&gt;4, IFERROR(REGEXEXTRACT(TO_TEXT(D1134),""\d+""),""""),"""")"),"21201")</f>
        <v>21201</v>
      </c>
      <c r="F1134" s="6" t="str">
        <f t="shared" si="3"/>
        <v>Product</v>
      </c>
      <c r="G1134" s="1" t="s">
        <v>748</v>
      </c>
      <c r="H1134" s="6" t="str">
        <f>IFERROR(__xludf.DUMMYFUNCTION("IF(REGEXMATCH(LOWER(G1134), ""^(\?)+\s*(missing)?\s*(\?)*$""), """", PROPER(SUBSTITUTE(SUBSTITUTE(G1134, ""?"", """"), ""*"", """")))"),"Tropical Honeycomb Paper Garland")</f>
        <v>Tropical Honeycomb Paper Garland</v>
      </c>
      <c r="I1134" s="3">
        <v>3.0</v>
      </c>
      <c r="J1134" s="7">
        <v>40597.71875</v>
      </c>
      <c r="K1134" s="8" t="str">
        <f t="shared" si="4"/>
        <v>2011-02</v>
      </c>
      <c r="L1134" s="5">
        <v>2.55</v>
      </c>
      <c r="M1134" s="3">
        <v>12748.0</v>
      </c>
      <c r="N1134" s="1" t="str">
        <f t="shared" si="5"/>
        <v>Registered</v>
      </c>
      <c r="O1134" s="1" t="s">
        <v>19</v>
      </c>
      <c r="P1134" s="9" t="str">
        <f t="shared" si="6"/>
        <v>UK</v>
      </c>
      <c r="Q1134" s="8">
        <f t="shared" si="7"/>
        <v>7.65</v>
      </c>
    </row>
    <row r="1135">
      <c r="A1135" s="1">
        <v>544819.0</v>
      </c>
      <c r="B1135" s="1" t="str">
        <f t="shared" si="1"/>
        <v>544819</v>
      </c>
      <c r="C1135" s="1" t="str">
        <f t="shared" si="2"/>
        <v>Sale</v>
      </c>
      <c r="D1135" s="1">
        <v>20828.0</v>
      </c>
      <c r="E1135" s="1" t="str">
        <f>IFERROR(__xludf.DUMMYFUNCTION("IF(LEN(D1135)&gt;4, IFERROR(REGEXEXTRACT(TO_TEXT(D1135),""\d+""),""""),"""")"),"20828")</f>
        <v>20828</v>
      </c>
      <c r="F1135" s="6" t="str">
        <f t="shared" si="3"/>
        <v>Product</v>
      </c>
      <c r="G1135" s="1" t="s">
        <v>705</v>
      </c>
      <c r="H1135" s="6" t="str">
        <f>IFERROR(__xludf.DUMMYFUNCTION("IF(REGEXMATCH(LOWER(G1135), ""^(\?)+\s*(missing)?\s*(\?)*$""), """", PROPER(SUBSTITUTE(SUBSTITUTE(G1135, ""?"", """"), ""*"", """")))"),"Glitter Butterfly Clips")</f>
        <v>Glitter Butterfly Clips</v>
      </c>
      <c r="I1135" s="3">
        <v>2.0</v>
      </c>
      <c r="J1135" s="7">
        <v>40597.71875</v>
      </c>
      <c r="K1135" s="8" t="str">
        <f t="shared" si="4"/>
        <v>2011-02</v>
      </c>
      <c r="L1135" s="5">
        <v>2.55</v>
      </c>
      <c r="M1135" s="3">
        <v>12748.0</v>
      </c>
      <c r="N1135" s="1" t="str">
        <f t="shared" si="5"/>
        <v>Registered</v>
      </c>
      <c r="O1135" s="1" t="s">
        <v>19</v>
      </c>
      <c r="P1135" s="9" t="str">
        <f t="shared" si="6"/>
        <v>UK</v>
      </c>
      <c r="Q1135" s="8">
        <f t="shared" si="7"/>
        <v>5.1</v>
      </c>
    </row>
    <row r="1136">
      <c r="A1136" s="1">
        <v>544820.0</v>
      </c>
      <c r="B1136" s="1" t="str">
        <f t="shared" si="1"/>
        <v>544820</v>
      </c>
      <c r="C1136" s="1" t="str">
        <f t="shared" si="2"/>
        <v>Sale</v>
      </c>
      <c r="D1136" s="1">
        <v>22634.0</v>
      </c>
      <c r="E1136" s="1" t="str">
        <f>IFERROR(__xludf.DUMMYFUNCTION("IF(LEN(D1136)&gt;4, IFERROR(REGEXEXTRACT(TO_TEXT(D1136),""\d+""),""""),"""")"),"22634")</f>
        <v>22634</v>
      </c>
      <c r="F1136" s="6" t="str">
        <f t="shared" si="3"/>
        <v>Product</v>
      </c>
      <c r="G1136" s="1" t="s">
        <v>752</v>
      </c>
      <c r="H1136" s="6" t="str">
        <f>IFERROR(__xludf.DUMMYFUNCTION("IF(REGEXMATCH(LOWER(G1136), ""^(\?)+\s*(missing)?\s*(\?)*$""), """", PROPER(SUBSTITUTE(SUBSTITUTE(G1136, ""?"", """"), ""*"", """")))"),"Childs Breakfast Set Spaceboy")</f>
        <v>Childs Breakfast Set Spaceboy</v>
      </c>
      <c r="I1136" s="3">
        <v>1.0</v>
      </c>
      <c r="J1136" s="7">
        <v>40597.72430555556</v>
      </c>
      <c r="K1136" s="8" t="str">
        <f t="shared" si="4"/>
        <v>2011-02</v>
      </c>
      <c r="L1136" s="5">
        <v>9.95</v>
      </c>
      <c r="M1136" s="10"/>
      <c r="N1136" s="1" t="str">
        <f t="shared" si="5"/>
        <v>Guest</v>
      </c>
      <c r="O1136" s="1" t="s">
        <v>19</v>
      </c>
      <c r="P1136" s="9" t="str">
        <f t="shared" si="6"/>
        <v>UK</v>
      </c>
      <c r="Q1136" s="8">
        <f t="shared" si="7"/>
        <v>9.95</v>
      </c>
    </row>
    <row r="1137">
      <c r="A1137" s="1">
        <v>544821.0</v>
      </c>
      <c r="B1137" s="1" t="str">
        <f t="shared" si="1"/>
        <v>544821</v>
      </c>
      <c r="C1137" s="1" t="str">
        <f t="shared" si="2"/>
        <v>Sale</v>
      </c>
      <c r="D1137" s="1">
        <v>22053.0</v>
      </c>
      <c r="E1137" s="1" t="str">
        <f>IFERROR(__xludf.DUMMYFUNCTION("IF(LEN(D1137)&gt;4, IFERROR(REGEXEXTRACT(TO_TEXT(D1137),""\d+""),""""),"""")"),"22053")</f>
        <v>22053</v>
      </c>
      <c r="F1137" s="6" t="str">
        <f t="shared" si="3"/>
        <v>Product</v>
      </c>
      <c r="G1137" s="1" t="s">
        <v>753</v>
      </c>
      <c r="H1137" s="6" t="str">
        <f>IFERROR(__xludf.DUMMYFUNCTION("IF(REGEXMATCH(LOWER(G1137), ""^(\?)+\s*(missing)?\s*(\?)*$""), """", PROPER(SUBSTITUTE(SUBSTITUTE(G1137, ""?"", """"), ""*"", """")))"),"Empire Design Rosette")</f>
        <v>Empire Design Rosette</v>
      </c>
      <c r="I1137" s="3">
        <v>60.0</v>
      </c>
      <c r="J1137" s="7">
        <v>40598.37847222222</v>
      </c>
      <c r="K1137" s="8" t="str">
        <f t="shared" si="4"/>
        <v>2011-02</v>
      </c>
      <c r="L1137" s="5">
        <v>1.25</v>
      </c>
      <c r="M1137" s="3">
        <v>12971.0</v>
      </c>
      <c r="N1137" s="1" t="str">
        <f t="shared" si="5"/>
        <v>Registered</v>
      </c>
      <c r="O1137" s="1" t="s">
        <v>19</v>
      </c>
      <c r="P1137" s="9" t="str">
        <f t="shared" si="6"/>
        <v>UK</v>
      </c>
      <c r="Q1137" s="8">
        <f t="shared" si="7"/>
        <v>75</v>
      </c>
    </row>
    <row r="1138">
      <c r="A1138" s="1">
        <v>544821.0</v>
      </c>
      <c r="B1138" s="1" t="str">
        <f t="shared" si="1"/>
        <v>544821</v>
      </c>
      <c r="C1138" s="1" t="str">
        <f t="shared" si="2"/>
        <v>Sale</v>
      </c>
      <c r="D1138" s="1">
        <v>21621.0</v>
      </c>
      <c r="E1138" s="1" t="str">
        <f>IFERROR(__xludf.DUMMYFUNCTION("IF(LEN(D1138)&gt;4, IFERROR(REGEXEXTRACT(TO_TEXT(D1138),""\d+""),""""),"""")"),"21621")</f>
        <v>21621</v>
      </c>
      <c r="F1138" s="6" t="str">
        <f t="shared" si="3"/>
        <v>Product</v>
      </c>
      <c r="G1138" s="1" t="s">
        <v>620</v>
      </c>
      <c r="H1138" s="6" t="str">
        <f>IFERROR(__xludf.DUMMYFUNCTION("IF(REGEXMATCH(LOWER(G1138), ""^(\?)+\s*(missing)?\s*(\?)*$""), """", PROPER(SUBSTITUTE(SUBSTITUTE(G1138, ""?"", """"), ""*"", """")))"),"Vintage Union Jack Bunting")</f>
        <v>Vintage Union Jack Bunting</v>
      </c>
      <c r="I1138" s="3">
        <v>4.0</v>
      </c>
      <c r="J1138" s="7">
        <v>40598.37847222222</v>
      </c>
      <c r="K1138" s="8" t="str">
        <f t="shared" si="4"/>
        <v>2011-02</v>
      </c>
      <c r="L1138" s="5">
        <v>8.5</v>
      </c>
      <c r="M1138" s="3">
        <v>12971.0</v>
      </c>
      <c r="N1138" s="1" t="str">
        <f t="shared" si="5"/>
        <v>Registered</v>
      </c>
      <c r="O1138" s="1" t="s">
        <v>19</v>
      </c>
      <c r="P1138" s="9" t="str">
        <f t="shared" si="6"/>
        <v>UK</v>
      </c>
      <c r="Q1138" s="8">
        <f t="shared" si="7"/>
        <v>34</v>
      </c>
    </row>
    <row r="1139">
      <c r="A1139" s="1">
        <v>544822.0</v>
      </c>
      <c r="B1139" s="1" t="str">
        <f t="shared" si="1"/>
        <v>544822</v>
      </c>
      <c r="C1139" s="1" t="str">
        <f t="shared" si="2"/>
        <v>Sale</v>
      </c>
      <c r="D1139" s="1">
        <v>21326.0</v>
      </c>
      <c r="E1139" s="1" t="str">
        <f>IFERROR(__xludf.DUMMYFUNCTION("IF(LEN(D1139)&gt;4, IFERROR(REGEXEXTRACT(TO_TEXT(D1139),""\d+""),""""),"""")"),"21326")</f>
        <v>21326</v>
      </c>
      <c r="F1139" s="6" t="str">
        <f t="shared" si="3"/>
        <v>Product</v>
      </c>
      <c r="G1139" s="1" t="s">
        <v>420</v>
      </c>
      <c r="H1139" s="6" t="str">
        <f>IFERROR(__xludf.DUMMYFUNCTION("IF(REGEXMATCH(LOWER(G1139), ""^(\?)+\s*(missing)?\s*(\?)*$""), """", PROPER(SUBSTITUTE(SUBSTITUTE(G1139, ""?"", """"), ""*"", """")))"),"Aged Glass Silver T-Light Holder")</f>
        <v>Aged Glass Silver T-Light Holder</v>
      </c>
      <c r="I1139" s="3">
        <v>24.0</v>
      </c>
      <c r="J1139" s="7">
        <v>40598.38055555556</v>
      </c>
      <c r="K1139" s="8" t="str">
        <f t="shared" si="4"/>
        <v>2011-02</v>
      </c>
      <c r="L1139" s="5">
        <v>0.65</v>
      </c>
      <c r="M1139" s="3">
        <v>18231.0</v>
      </c>
      <c r="N1139" s="1" t="str">
        <f t="shared" si="5"/>
        <v>Registered</v>
      </c>
      <c r="O1139" s="1" t="s">
        <v>19</v>
      </c>
      <c r="P1139" s="9" t="str">
        <f t="shared" si="6"/>
        <v>UK</v>
      </c>
      <c r="Q1139" s="8">
        <f t="shared" si="7"/>
        <v>15.6</v>
      </c>
    </row>
    <row r="1140">
      <c r="A1140" s="1">
        <v>544822.0</v>
      </c>
      <c r="B1140" s="1" t="str">
        <f t="shared" si="1"/>
        <v>544822</v>
      </c>
      <c r="C1140" s="1" t="str">
        <f t="shared" si="2"/>
        <v>Sale</v>
      </c>
      <c r="D1140" s="1">
        <v>22150.0</v>
      </c>
      <c r="E1140" s="1" t="str">
        <f>IFERROR(__xludf.DUMMYFUNCTION("IF(LEN(D1140)&gt;4, IFERROR(REGEXEXTRACT(TO_TEXT(D1140),""\d+""),""""),"""")"),"22150")</f>
        <v>22150</v>
      </c>
      <c r="F1140" s="6" t="str">
        <f t="shared" si="3"/>
        <v>Product</v>
      </c>
      <c r="G1140" s="1" t="s">
        <v>235</v>
      </c>
      <c r="H1140" s="6" t="str">
        <f>IFERROR(__xludf.DUMMYFUNCTION("IF(REGEXMATCH(LOWER(G1140), ""^(\?)+\s*(missing)?\s*(\?)*$""), """", PROPER(SUBSTITUTE(SUBSTITUTE(G1140, ""?"", """"), ""*"", """")))"),"3 Stripey Mice Feltcraft")</f>
        <v>3 Stripey Mice Feltcraft</v>
      </c>
      <c r="I1140" s="3">
        <v>12.0</v>
      </c>
      <c r="J1140" s="7">
        <v>40598.38055555556</v>
      </c>
      <c r="K1140" s="8" t="str">
        <f t="shared" si="4"/>
        <v>2011-02</v>
      </c>
      <c r="L1140" s="5">
        <v>1.95</v>
      </c>
      <c r="M1140" s="3">
        <v>18231.0</v>
      </c>
      <c r="N1140" s="1" t="str">
        <f t="shared" si="5"/>
        <v>Registered</v>
      </c>
      <c r="O1140" s="1" t="s">
        <v>19</v>
      </c>
      <c r="P1140" s="9" t="str">
        <f t="shared" si="6"/>
        <v>UK</v>
      </c>
      <c r="Q1140" s="8">
        <f t="shared" si="7"/>
        <v>23.4</v>
      </c>
    </row>
    <row r="1141">
      <c r="A1141" s="1">
        <v>544822.0</v>
      </c>
      <c r="B1141" s="1" t="str">
        <f t="shared" si="1"/>
        <v>544822</v>
      </c>
      <c r="C1141" s="1" t="str">
        <f t="shared" si="2"/>
        <v>Sale</v>
      </c>
      <c r="D1141" s="1">
        <v>22149.0</v>
      </c>
      <c r="E1141" s="1" t="str">
        <f>IFERROR(__xludf.DUMMYFUNCTION("IF(LEN(D1141)&gt;4, IFERROR(REGEXEXTRACT(TO_TEXT(D1141),""\d+""),""""),"""")"),"22149")</f>
        <v>22149</v>
      </c>
      <c r="F1141" s="6" t="str">
        <f t="shared" si="3"/>
        <v>Product</v>
      </c>
      <c r="G1141" s="1" t="s">
        <v>478</v>
      </c>
      <c r="H1141" s="6" t="str">
        <f>IFERROR(__xludf.DUMMYFUNCTION("IF(REGEXMATCH(LOWER(G1141), ""^(\?)+\s*(missing)?\s*(\?)*$""), """", PROPER(SUBSTITUTE(SUBSTITUTE(G1141, ""?"", """"), ""*"", """")))"),"Feltcraft 6 Flower Friends")</f>
        <v>Feltcraft 6 Flower Friends</v>
      </c>
      <c r="I1141" s="3">
        <v>24.0</v>
      </c>
      <c r="J1141" s="7">
        <v>40598.38055555556</v>
      </c>
      <c r="K1141" s="8" t="str">
        <f t="shared" si="4"/>
        <v>2011-02</v>
      </c>
      <c r="L1141" s="5">
        <v>2.1</v>
      </c>
      <c r="M1141" s="3">
        <v>18231.0</v>
      </c>
      <c r="N1141" s="1" t="str">
        <f t="shared" si="5"/>
        <v>Registered</v>
      </c>
      <c r="O1141" s="1" t="s">
        <v>19</v>
      </c>
      <c r="P1141" s="9" t="str">
        <f t="shared" si="6"/>
        <v>UK</v>
      </c>
      <c r="Q1141" s="8">
        <f t="shared" si="7"/>
        <v>50.4</v>
      </c>
    </row>
    <row r="1142">
      <c r="A1142" s="1">
        <v>544822.0</v>
      </c>
      <c r="B1142" s="1" t="str">
        <f t="shared" si="1"/>
        <v>544822</v>
      </c>
      <c r="C1142" s="1" t="str">
        <f t="shared" si="2"/>
        <v>Sale</v>
      </c>
      <c r="D1142" s="1">
        <v>22148.0</v>
      </c>
      <c r="E1142" s="1" t="str">
        <f>IFERROR(__xludf.DUMMYFUNCTION("IF(LEN(D1142)&gt;4, IFERROR(REGEXEXTRACT(TO_TEXT(D1142),""\d+""),""""),"""")"),"22148")</f>
        <v>22148</v>
      </c>
      <c r="F1142" s="6" t="str">
        <f t="shared" si="3"/>
        <v>Product</v>
      </c>
      <c r="G1142" s="1" t="s">
        <v>754</v>
      </c>
      <c r="H1142" s="6" t="str">
        <f>IFERROR(__xludf.DUMMYFUNCTION("IF(REGEXMATCH(LOWER(G1142), ""^(\?)+\s*(missing)?\s*(\?)*$""), """", PROPER(SUBSTITUTE(SUBSTITUTE(G1142, ""?"", """"), ""*"", """")))"),"Easter Craft 4 Chicks")</f>
        <v>Easter Craft 4 Chicks</v>
      </c>
      <c r="I1142" s="3">
        <v>12.0</v>
      </c>
      <c r="J1142" s="7">
        <v>40598.38055555556</v>
      </c>
      <c r="K1142" s="8" t="str">
        <f t="shared" si="4"/>
        <v>2011-02</v>
      </c>
      <c r="L1142" s="5">
        <v>1.95</v>
      </c>
      <c r="M1142" s="3">
        <v>18231.0</v>
      </c>
      <c r="N1142" s="1" t="str">
        <f t="shared" si="5"/>
        <v>Registered</v>
      </c>
      <c r="O1142" s="1" t="s">
        <v>19</v>
      </c>
      <c r="P1142" s="9" t="str">
        <f t="shared" si="6"/>
        <v>UK</v>
      </c>
      <c r="Q1142" s="8">
        <f t="shared" si="7"/>
        <v>23.4</v>
      </c>
    </row>
    <row r="1143">
      <c r="A1143" s="1">
        <v>544822.0</v>
      </c>
      <c r="B1143" s="1" t="str">
        <f t="shared" si="1"/>
        <v>544822</v>
      </c>
      <c r="C1143" s="1" t="str">
        <f t="shared" si="2"/>
        <v>Sale</v>
      </c>
      <c r="D1143" s="1" t="s">
        <v>755</v>
      </c>
      <c r="E1143" s="1" t="str">
        <f>IFERROR(__xludf.DUMMYFUNCTION("IF(LEN(D1143)&gt;4, IFERROR(REGEXEXTRACT(TO_TEXT(D1143),""\d+""),""""),"""")"),"72800")</f>
        <v>72800</v>
      </c>
      <c r="F1143" s="6" t="str">
        <f t="shared" si="3"/>
        <v>Product</v>
      </c>
      <c r="G1143" s="1" t="s">
        <v>756</v>
      </c>
      <c r="H1143" s="6" t="str">
        <f>IFERROR(__xludf.DUMMYFUNCTION("IF(REGEXMATCH(LOWER(G1143), ""^(\?)+\s*(missing)?\s*(\?)*$""), """", PROPER(SUBSTITUTE(SUBSTITUTE(G1143, ""?"", """"), ""*"", """")))"),"4 Pink Dinner Candle Silver Flock")</f>
        <v>4 Pink Dinner Candle Silver Flock</v>
      </c>
      <c r="I1143" s="3">
        <v>6.0</v>
      </c>
      <c r="J1143" s="7">
        <v>40598.38055555556</v>
      </c>
      <c r="K1143" s="8" t="str">
        <f t="shared" si="4"/>
        <v>2011-02</v>
      </c>
      <c r="L1143" s="5">
        <v>2.55</v>
      </c>
      <c r="M1143" s="3">
        <v>18231.0</v>
      </c>
      <c r="N1143" s="1" t="str">
        <f t="shared" si="5"/>
        <v>Registered</v>
      </c>
      <c r="O1143" s="1" t="s">
        <v>19</v>
      </c>
      <c r="P1143" s="9" t="str">
        <f t="shared" si="6"/>
        <v>UK</v>
      </c>
      <c r="Q1143" s="8">
        <f t="shared" si="7"/>
        <v>15.3</v>
      </c>
    </row>
    <row r="1144">
      <c r="A1144" s="1">
        <v>544822.0</v>
      </c>
      <c r="B1144" s="1" t="str">
        <f t="shared" si="1"/>
        <v>544822</v>
      </c>
      <c r="C1144" s="1" t="str">
        <f t="shared" si="2"/>
        <v>Sale</v>
      </c>
      <c r="D1144" s="1" t="s">
        <v>757</v>
      </c>
      <c r="E1144" s="1" t="str">
        <f>IFERROR(__xludf.DUMMYFUNCTION("IF(LEN(D1144)&gt;4, IFERROR(REGEXEXTRACT(TO_TEXT(D1144),""\d+""),""""),"""")"),"72800")</f>
        <v>72800</v>
      </c>
      <c r="F1144" s="6" t="str">
        <f t="shared" si="3"/>
        <v>Product</v>
      </c>
      <c r="G1144" s="1" t="s">
        <v>758</v>
      </c>
      <c r="H1144" s="6" t="str">
        <f>IFERROR(__xludf.DUMMYFUNCTION("IF(REGEXMATCH(LOWER(G1144), ""^(\?)+\s*(missing)?\s*(\?)*$""), """", PROPER(SUBSTITUTE(SUBSTITUTE(G1144, ""?"", """"), ""*"", """")))"),"4 Blue Dinner Candles Silver Flock")</f>
        <v>4 Blue Dinner Candles Silver Flock</v>
      </c>
      <c r="I1144" s="3">
        <v>6.0</v>
      </c>
      <c r="J1144" s="7">
        <v>40598.38055555556</v>
      </c>
      <c r="K1144" s="8" t="str">
        <f t="shared" si="4"/>
        <v>2011-02</v>
      </c>
      <c r="L1144" s="5">
        <v>2.55</v>
      </c>
      <c r="M1144" s="3">
        <v>18231.0</v>
      </c>
      <c r="N1144" s="1" t="str">
        <f t="shared" si="5"/>
        <v>Registered</v>
      </c>
      <c r="O1144" s="1" t="s">
        <v>19</v>
      </c>
      <c r="P1144" s="9" t="str">
        <f t="shared" si="6"/>
        <v>UK</v>
      </c>
      <c r="Q1144" s="8">
        <f t="shared" si="7"/>
        <v>15.3</v>
      </c>
    </row>
    <row r="1145">
      <c r="A1145" s="1">
        <v>544822.0</v>
      </c>
      <c r="B1145" s="1" t="str">
        <f t="shared" si="1"/>
        <v>544822</v>
      </c>
      <c r="C1145" s="1" t="str">
        <f t="shared" si="2"/>
        <v>Sale</v>
      </c>
      <c r="D1145" s="1">
        <v>20972.0</v>
      </c>
      <c r="E1145" s="1" t="str">
        <f>IFERROR(__xludf.DUMMYFUNCTION("IF(LEN(D1145)&gt;4, IFERROR(REGEXEXTRACT(TO_TEXT(D1145),""\d+""),""""),"""")"),"20972")</f>
        <v>20972</v>
      </c>
      <c r="F1145" s="6" t="str">
        <f t="shared" si="3"/>
        <v>Product</v>
      </c>
      <c r="G1145" s="1" t="s">
        <v>759</v>
      </c>
      <c r="H1145" s="6" t="str">
        <f>IFERROR(__xludf.DUMMYFUNCTION("IF(REGEXMATCH(LOWER(G1145), ""^(\?)+\s*(missing)?\s*(\?)*$""), """", PROPER(SUBSTITUTE(SUBSTITUTE(G1145, ""?"", """"), ""*"", """")))"),"Pink Cream Felt Craft Trinket Box")</f>
        <v>Pink Cream Felt Craft Trinket Box</v>
      </c>
      <c r="I1145" s="3">
        <v>24.0</v>
      </c>
      <c r="J1145" s="7">
        <v>40598.38055555556</v>
      </c>
      <c r="K1145" s="8" t="str">
        <f t="shared" si="4"/>
        <v>2011-02</v>
      </c>
      <c r="L1145" s="5">
        <v>1.25</v>
      </c>
      <c r="M1145" s="3">
        <v>18231.0</v>
      </c>
      <c r="N1145" s="1" t="str">
        <f t="shared" si="5"/>
        <v>Registered</v>
      </c>
      <c r="O1145" s="1" t="s">
        <v>19</v>
      </c>
      <c r="P1145" s="9" t="str">
        <f t="shared" si="6"/>
        <v>UK</v>
      </c>
      <c r="Q1145" s="8">
        <f t="shared" si="7"/>
        <v>30</v>
      </c>
    </row>
    <row r="1146">
      <c r="A1146" s="1">
        <v>544822.0</v>
      </c>
      <c r="B1146" s="1" t="str">
        <f t="shared" si="1"/>
        <v>544822</v>
      </c>
      <c r="C1146" s="1" t="str">
        <f t="shared" si="2"/>
        <v>Sale</v>
      </c>
      <c r="D1146" s="1">
        <v>22147.0</v>
      </c>
      <c r="E1146" s="1" t="str">
        <f>IFERROR(__xludf.DUMMYFUNCTION("IF(LEN(D1146)&gt;4, IFERROR(REGEXEXTRACT(TO_TEXT(D1146),""\d+""),""""),"""")"),"22147")</f>
        <v>22147</v>
      </c>
      <c r="F1146" s="6" t="str">
        <f t="shared" si="3"/>
        <v>Product</v>
      </c>
      <c r="G1146" s="1" t="s">
        <v>474</v>
      </c>
      <c r="H1146" s="6" t="str">
        <f>IFERROR(__xludf.DUMMYFUNCTION("IF(REGEXMATCH(LOWER(G1146), ""^(\?)+\s*(missing)?\s*(\?)*$""), """", PROPER(SUBSTITUTE(SUBSTITUTE(G1146, ""?"", """"), ""*"", """")))"),"Feltcraft Butterfly Hearts")</f>
        <v>Feltcraft Butterfly Hearts</v>
      </c>
      <c r="I1146" s="3">
        <v>36.0</v>
      </c>
      <c r="J1146" s="7">
        <v>40598.38055555556</v>
      </c>
      <c r="K1146" s="8" t="str">
        <f t="shared" si="4"/>
        <v>2011-02</v>
      </c>
      <c r="L1146" s="5">
        <v>1.45</v>
      </c>
      <c r="M1146" s="3">
        <v>18231.0</v>
      </c>
      <c r="N1146" s="1" t="str">
        <f t="shared" si="5"/>
        <v>Registered</v>
      </c>
      <c r="O1146" s="1" t="s">
        <v>19</v>
      </c>
      <c r="P1146" s="9" t="str">
        <f t="shared" si="6"/>
        <v>UK</v>
      </c>
      <c r="Q1146" s="8">
        <f t="shared" si="7"/>
        <v>52.2</v>
      </c>
    </row>
    <row r="1147">
      <c r="A1147" s="1">
        <v>544822.0</v>
      </c>
      <c r="B1147" s="1" t="str">
        <f t="shared" si="1"/>
        <v>544822</v>
      </c>
      <c r="C1147" s="1" t="str">
        <f t="shared" si="2"/>
        <v>Sale</v>
      </c>
      <c r="D1147" s="1">
        <v>22271.0</v>
      </c>
      <c r="E1147" s="1" t="str">
        <f>IFERROR(__xludf.DUMMYFUNCTION("IF(LEN(D1147)&gt;4, IFERROR(REGEXEXTRACT(TO_TEXT(D1147),""\d+""),""""),"""")"),"22271")</f>
        <v>22271</v>
      </c>
      <c r="F1147" s="6" t="str">
        <f t="shared" si="3"/>
        <v>Product</v>
      </c>
      <c r="G1147" s="1" t="s">
        <v>449</v>
      </c>
      <c r="H1147" s="6" t="str">
        <f>IFERROR(__xludf.DUMMYFUNCTION("IF(REGEXMATCH(LOWER(G1147), ""^(\?)+\s*(missing)?\s*(\?)*$""), """", PROPER(SUBSTITUTE(SUBSTITUTE(G1147, ""?"", """"), ""*"", """")))"),"Feltcraft Doll Rosie")</f>
        <v>Feltcraft Doll Rosie</v>
      </c>
      <c r="I1147" s="3">
        <v>12.0</v>
      </c>
      <c r="J1147" s="7">
        <v>40598.38055555556</v>
      </c>
      <c r="K1147" s="8" t="str">
        <f t="shared" si="4"/>
        <v>2011-02</v>
      </c>
      <c r="L1147" s="5">
        <v>2.95</v>
      </c>
      <c r="M1147" s="3">
        <v>18231.0</v>
      </c>
      <c r="N1147" s="1" t="str">
        <f t="shared" si="5"/>
        <v>Registered</v>
      </c>
      <c r="O1147" s="1" t="s">
        <v>19</v>
      </c>
      <c r="P1147" s="9" t="str">
        <f t="shared" si="6"/>
        <v>UK</v>
      </c>
      <c r="Q1147" s="8">
        <f t="shared" si="7"/>
        <v>35.4</v>
      </c>
    </row>
    <row r="1148">
      <c r="A1148" s="1">
        <v>544822.0</v>
      </c>
      <c r="B1148" s="1" t="str">
        <f t="shared" si="1"/>
        <v>544822</v>
      </c>
      <c r="C1148" s="1" t="str">
        <f t="shared" si="2"/>
        <v>Sale</v>
      </c>
      <c r="D1148" s="1">
        <v>20971.0</v>
      </c>
      <c r="E1148" s="1" t="str">
        <f>IFERROR(__xludf.DUMMYFUNCTION("IF(LEN(D1148)&gt;4, IFERROR(REGEXEXTRACT(TO_TEXT(D1148),""\d+""),""""),"""")"),"20971")</f>
        <v>20971</v>
      </c>
      <c r="F1148" s="6" t="str">
        <f t="shared" si="3"/>
        <v>Product</v>
      </c>
      <c r="G1148" s="1" t="s">
        <v>760</v>
      </c>
      <c r="H1148" s="6" t="str">
        <f>IFERROR(__xludf.DUMMYFUNCTION("IF(REGEXMATCH(LOWER(G1148), ""^(\?)+\s*(missing)?\s*(\?)*$""), """", PROPER(SUBSTITUTE(SUBSTITUTE(G1148, ""?"", """"), ""*"", """")))"),"Pink Blue Felt Craft Trinket Box")</f>
        <v>Pink Blue Felt Craft Trinket Box</v>
      </c>
      <c r="I1148" s="3">
        <v>24.0</v>
      </c>
      <c r="J1148" s="7">
        <v>40598.38055555556</v>
      </c>
      <c r="K1148" s="8" t="str">
        <f t="shared" si="4"/>
        <v>2011-02</v>
      </c>
      <c r="L1148" s="5">
        <v>1.25</v>
      </c>
      <c r="M1148" s="3">
        <v>18231.0</v>
      </c>
      <c r="N1148" s="1" t="str">
        <f t="shared" si="5"/>
        <v>Registered</v>
      </c>
      <c r="O1148" s="1" t="s">
        <v>19</v>
      </c>
      <c r="P1148" s="9" t="str">
        <f t="shared" si="6"/>
        <v>UK</v>
      </c>
      <c r="Q1148" s="8">
        <f t="shared" si="7"/>
        <v>30</v>
      </c>
    </row>
    <row r="1149">
      <c r="A1149" s="1">
        <v>544823.0</v>
      </c>
      <c r="B1149" s="1" t="str">
        <f t="shared" si="1"/>
        <v>544823</v>
      </c>
      <c r="C1149" s="1" t="str">
        <f t="shared" si="2"/>
        <v>Sale</v>
      </c>
      <c r="D1149" s="1">
        <v>21790.0</v>
      </c>
      <c r="E1149" s="1" t="str">
        <f>IFERROR(__xludf.DUMMYFUNCTION("IF(LEN(D1149)&gt;4, IFERROR(REGEXEXTRACT(TO_TEXT(D1149),""\d+""),""""),"""")"),"21790")</f>
        <v>21790</v>
      </c>
      <c r="F1149" s="6" t="str">
        <f t="shared" si="3"/>
        <v>Product</v>
      </c>
      <c r="G1149" s="1" t="s">
        <v>477</v>
      </c>
      <c r="H1149" s="6" t="str">
        <f>IFERROR(__xludf.DUMMYFUNCTION("IF(REGEXMATCH(LOWER(G1149), ""^(\?)+\s*(missing)?\s*(\?)*$""), """", PROPER(SUBSTITUTE(SUBSTITUTE(G1149, ""?"", """"), ""*"", """")))"),"Vintage Snap Cards")</f>
        <v>Vintage Snap Cards</v>
      </c>
      <c r="I1149" s="3">
        <v>24.0</v>
      </c>
      <c r="J1149" s="7">
        <v>40598.39444444444</v>
      </c>
      <c r="K1149" s="8" t="str">
        <f t="shared" si="4"/>
        <v>2011-02</v>
      </c>
      <c r="L1149" s="5">
        <v>0.85</v>
      </c>
      <c r="M1149" s="3">
        <v>14004.0</v>
      </c>
      <c r="N1149" s="1" t="str">
        <f t="shared" si="5"/>
        <v>Registered</v>
      </c>
      <c r="O1149" s="1" t="s">
        <v>19</v>
      </c>
      <c r="P1149" s="9" t="str">
        <f t="shared" si="6"/>
        <v>UK</v>
      </c>
      <c r="Q1149" s="8">
        <f t="shared" si="7"/>
        <v>20.4</v>
      </c>
    </row>
    <row r="1150">
      <c r="A1150" s="1">
        <v>544823.0</v>
      </c>
      <c r="B1150" s="1" t="str">
        <f t="shared" si="1"/>
        <v>544823</v>
      </c>
      <c r="C1150" s="1" t="str">
        <f t="shared" si="2"/>
        <v>Sale</v>
      </c>
      <c r="D1150" s="1">
        <v>22560.0</v>
      </c>
      <c r="E1150" s="1" t="str">
        <f>IFERROR(__xludf.DUMMYFUNCTION("IF(LEN(D1150)&gt;4, IFERROR(REGEXEXTRACT(TO_TEXT(D1150),""\d+""),""""),"""")"),"22560")</f>
        <v>22560</v>
      </c>
      <c r="F1150" s="6" t="str">
        <f t="shared" si="3"/>
        <v>Product</v>
      </c>
      <c r="G1150" s="1" t="s">
        <v>761</v>
      </c>
      <c r="H1150" s="6" t="str">
        <f>IFERROR(__xludf.DUMMYFUNCTION("IF(REGEXMATCH(LOWER(G1150), ""^(\?)+\s*(missing)?\s*(\?)*$""), """", PROPER(SUBSTITUTE(SUBSTITUTE(G1150, ""?"", """"), ""*"", """")))"),"Traditional Modelling Clay")</f>
        <v>Traditional Modelling Clay</v>
      </c>
      <c r="I1150" s="3">
        <v>24.0</v>
      </c>
      <c r="J1150" s="7">
        <v>40598.39444444444</v>
      </c>
      <c r="K1150" s="8" t="str">
        <f t="shared" si="4"/>
        <v>2011-02</v>
      </c>
      <c r="L1150" s="5">
        <v>1.25</v>
      </c>
      <c r="M1150" s="3">
        <v>14004.0</v>
      </c>
      <c r="N1150" s="1" t="str">
        <f t="shared" si="5"/>
        <v>Registered</v>
      </c>
      <c r="O1150" s="1" t="s">
        <v>19</v>
      </c>
      <c r="P1150" s="9" t="str">
        <f t="shared" si="6"/>
        <v>UK</v>
      </c>
      <c r="Q1150" s="8">
        <f t="shared" si="7"/>
        <v>30</v>
      </c>
    </row>
    <row r="1151">
      <c r="A1151" s="1">
        <v>544823.0</v>
      </c>
      <c r="B1151" s="1" t="str">
        <f t="shared" si="1"/>
        <v>544823</v>
      </c>
      <c r="C1151" s="1" t="str">
        <f t="shared" si="2"/>
        <v>Sale</v>
      </c>
      <c r="D1151" s="1">
        <v>21914.0</v>
      </c>
      <c r="E1151" s="1" t="str">
        <f>IFERROR(__xludf.DUMMYFUNCTION("IF(LEN(D1151)&gt;4, IFERROR(REGEXEXTRACT(TO_TEXT(D1151),""\d+""),""""),"""")"),"21914")</f>
        <v>21914</v>
      </c>
      <c r="F1151" s="6" t="str">
        <f t="shared" si="3"/>
        <v>Product</v>
      </c>
      <c r="G1151" s="1" t="s">
        <v>364</v>
      </c>
      <c r="H1151" s="6" t="str">
        <f>IFERROR(__xludf.DUMMYFUNCTION("IF(REGEXMATCH(LOWER(G1151), ""^(\?)+\s*(missing)?\s*(\?)*$""), """", PROPER(SUBSTITUTE(SUBSTITUTE(G1151, ""?"", """"), ""*"", """")))"),"Blue Harmonica In Box")</f>
        <v>Blue Harmonica In Box</v>
      </c>
      <c r="I1151" s="3">
        <v>24.0</v>
      </c>
      <c r="J1151" s="7">
        <v>40598.39444444444</v>
      </c>
      <c r="K1151" s="8" t="str">
        <f t="shared" si="4"/>
        <v>2011-02</v>
      </c>
      <c r="L1151" s="5">
        <v>1.25</v>
      </c>
      <c r="M1151" s="3">
        <v>14004.0</v>
      </c>
      <c r="N1151" s="1" t="str">
        <f t="shared" si="5"/>
        <v>Registered</v>
      </c>
      <c r="O1151" s="1" t="s">
        <v>19</v>
      </c>
      <c r="P1151" s="9" t="str">
        <f t="shared" si="6"/>
        <v>UK</v>
      </c>
      <c r="Q1151" s="8">
        <f t="shared" si="7"/>
        <v>30</v>
      </c>
    </row>
    <row r="1152">
      <c r="A1152" s="1">
        <v>544823.0</v>
      </c>
      <c r="B1152" s="1" t="str">
        <f t="shared" si="1"/>
        <v>544823</v>
      </c>
      <c r="C1152" s="1" t="str">
        <f t="shared" si="2"/>
        <v>Sale</v>
      </c>
      <c r="D1152" s="1">
        <v>21915.0</v>
      </c>
      <c r="E1152" s="1" t="str">
        <f>IFERROR(__xludf.DUMMYFUNCTION("IF(LEN(D1152)&gt;4, IFERROR(REGEXEXTRACT(TO_TEXT(D1152),""\d+""),""""),"""")"),"21915")</f>
        <v>21915</v>
      </c>
      <c r="F1152" s="6" t="str">
        <f t="shared" si="3"/>
        <v>Product</v>
      </c>
      <c r="G1152" s="1" t="s">
        <v>363</v>
      </c>
      <c r="H1152" s="6" t="str">
        <f>IFERROR(__xludf.DUMMYFUNCTION("IF(REGEXMATCH(LOWER(G1152), ""^(\?)+\s*(missing)?\s*(\?)*$""), """", PROPER(SUBSTITUTE(SUBSTITUTE(G1152, ""?"", """"), ""*"", """")))"),"Red Harmonica In Box")</f>
        <v>Red Harmonica In Box</v>
      </c>
      <c r="I1152" s="3">
        <v>24.0</v>
      </c>
      <c r="J1152" s="7">
        <v>40598.39444444444</v>
      </c>
      <c r="K1152" s="8" t="str">
        <f t="shared" si="4"/>
        <v>2011-02</v>
      </c>
      <c r="L1152" s="5">
        <v>1.25</v>
      </c>
      <c r="M1152" s="3">
        <v>14004.0</v>
      </c>
      <c r="N1152" s="1" t="str">
        <f t="shared" si="5"/>
        <v>Registered</v>
      </c>
      <c r="O1152" s="1" t="s">
        <v>19</v>
      </c>
      <c r="P1152" s="9" t="str">
        <f t="shared" si="6"/>
        <v>UK</v>
      </c>
      <c r="Q1152" s="8">
        <f t="shared" si="7"/>
        <v>30</v>
      </c>
    </row>
    <row r="1153">
      <c r="A1153" s="1">
        <v>544823.0</v>
      </c>
      <c r="B1153" s="1" t="str">
        <f t="shared" si="1"/>
        <v>544823</v>
      </c>
      <c r="C1153" s="1" t="str">
        <f t="shared" si="2"/>
        <v>Sale</v>
      </c>
      <c r="D1153" s="1">
        <v>22993.0</v>
      </c>
      <c r="E1153" s="1" t="str">
        <f>IFERROR(__xludf.DUMMYFUNCTION("IF(LEN(D1153)&gt;4, IFERROR(REGEXEXTRACT(TO_TEXT(D1153),""\d+""),""""),"""")"),"22993")</f>
        <v>22993</v>
      </c>
      <c r="F1153" s="6" t="str">
        <f t="shared" si="3"/>
        <v>Product</v>
      </c>
      <c r="G1153" s="1" t="s">
        <v>709</v>
      </c>
      <c r="H1153" s="6" t="str">
        <f>IFERROR(__xludf.DUMMYFUNCTION("IF(REGEXMATCH(LOWER(G1153), ""^(\?)+\s*(missing)?\s*(\?)*$""), """", PROPER(SUBSTITUTE(SUBSTITUTE(G1153, ""?"", """"), ""*"", """")))"),"Set Of 4 Pantry Jelly Moulds")</f>
        <v>Set Of 4 Pantry Jelly Moulds</v>
      </c>
      <c r="I1153" s="3">
        <v>24.0</v>
      </c>
      <c r="J1153" s="7">
        <v>40598.39444444444</v>
      </c>
      <c r="K1153" s="8" t="str">
        <f t="shared" si="4"/>
        <v>2011-02</v>
      </c>
      <c r="L1153" s="5">
        <v>1.25</v>
      </c>
      <c r="M1153" s="3">
        <v>14004.0</v>
      </c>
      <c r="N1153" s="1" t="str">
        <f t="shared" si="5"/>
        <v>Registered</v>
      </c>
      <c r="O1153" s="1" t="s">
        <v>19</v>
      </c>
      <c r="P1153" s="9" t="str">
        <f t="shared" si="6"/>
        <v>UK</v>
      </c>
      <c r="Q1153" s="8">
        <f t="shared" si="7"/>
        <v>30</v>
      </c>
    </row>
    <row r="1154">
      <c r="A1154" s="1">
        <v>544823.0</v>
      </c>
      <c r="B1154" s="1" t="str">
        <f t="shared" si="1"/>
        <v>544823</v>
      </c>
      <c r="C1154" s="1" t="str">
        <f t="shared" si="2"/>
        <v>Sale</v>
      </c>
      <c r="D1154" s="1">
        <v>22730.0</v>
      </c>
      <c r="E1154" s="1" t="str">
        <f>IFERROR(__xludf.DUMMYFUNCTION("IF(LEN(D1154)&gt;4, IFERROR(REGEXEXTRACT(TO_TEXT(D1154),""\d+""),""""),"""")"),"22730")</f>
        <v>22730</v>
      </c>
      <c r="F1154" s="6" t="str">
        <f t="shared" si="3"/>
        <v>Product</v>
      </c>
      <c r="G1154" s="1" t="s">
        <v>255</v>
      </c>
      <c r="H1154" s="6" t="str">
        <f>IFERROR(__xludf.DUMMYFUNCTION("IF(REGEXMATCH(LOWER(G1154), ""^(\?)+\s*(missing)?\s*(\?)*$""), """", PROPER(SUBSTITUTE(SUBSTITUTE(G1154, ""?"", """"), ""*"", """")))"),"Alarm Clock Bakelike Ivory")</f>
        <v>Alarm Clock Bakelike Ivory</v>
      </c>
      <c r="I1154" s="3">
        <v>8.0</v>
      </c>
      <c r="J1154" s="7">
        <v>40598.39444444444</v>
      </c>
      <c r="K1154" s="8" t="str">
        <f t="shared" si="4"/>
        <v>2011-02</v>
      </c>
      <c r="L1154" s="5">
        <v>3.75</v>
      </c>
      <c r="M1154" s="3">
        <v>14004.0</v>
      </c>
      <c r="N1154" s="1" t="str">
        <f t="shared" si="5"/>
        <v>Registered</v>
      </c>
      <c r="O1154" s="1" t="s">
        <v>19</v>
      </c>
      <c r="P1154" s="9" t="str">
        <f t="shared" si="6"/>
        <v>UK</v>
      </c>
      <c r="Q1154" s="8">
        <f t="shared" si="7"/>
        <v>30</v>
      </c>
    </row>
    <row r="1155">
      <c r="A1155" s="1">
        <v>544823.0</v>
      </c>
      <c r="B1155" s="1" t="str">
        <f t="shared" si="1"/>
        <v>544823</v>
      </c>
      <c r="C1155" s="1" t="str">
        <f t="shared" si="2"/>
        <v>Sale</v>
      </c>
      <c r="D1155" s="1">
        <v>22727.0</v>
      </c>
      <c r="E1155" s="1" t="str">
        <f>IFERROR(__xludf.DUMMYFUNCTION("IF(LEN(D1155)&gt;4, IFERROR(REGEXEXTRACT(TO_TEXT(D1155),""\d+""),""""),"""")"),"22727")</f>
        <v>22727</v>
      </c>
      <c r="F1155" s="6" t="str">
        <f t="shared" si="3"/>
        <v>Product</v>
      </c>
      <c r="G1155" s="1" t="s">
        <v>50</v>
      </c>
      <c r="H1155" s="6" t="str">
        <f>IFERROR(__xludf.DUMMYFUNCTION("IF(REGEXMATCH(LOWER(G1155), ""^(\?)+\s*(missing)?\s*(\?)*$""), """", PROPER(SUBSTITUTE(SUBSTITUTE(G1155, ""?"", """"), ""*"", """")))"),"Alarm Clock Bakelike Red")</f>
        <v>Alarm Clock Bakelike Red</v>
      </c>
      <c r="I1155" s="3">
        <v>8.0</v>
      </c>
      <c r="J1155" s="7">
        <v>40598.39444444444</v>
      </c>
      <c r="K1155" s="8" t="str">
        <f t="shared" si="4"/>
        <v>2011-02</v>
      </c>
      <c r="L1155" s="5">
        <v>3.75</v>
      </c>
      <c r="M1155" s="3">
        <v>14004.0</v>
      </c>
      <c r="N1155" s="1" t="str">
        <f t="shared" si="5"/>
        <v>Registered</v>
      </c>
      <c r="O1155" s="1" t="s">
        <v>19</v>
      </c>
      <c r="P1155" s="9" t="str">
        <f t="shared" si="6"/>
        <v>UK</v>
      </c>
      <c r="Q1155" s="8">
        <f t="shared" si="7"/>
        <v>30</v>
      </c>
    </row>
    <row r="1156">
      <c r="A1156" s="1">
        <v>544823.0</v>
      </c>
      <c r="B1156" s="1" t="str">
        <f t="shared" si="1"/>
        <v>544823</v>
      </c>
      <c r="C1156" s="1" t="str">
        <f t="shared" si="2"/>
        <v>Sale</v>
      </c>
      <c r="D1156" s="1">
        <v>22726.0</v>
      </c>
      <c r="E1156" s="1" t="str">
        <f>IFERROR(__xludf.DUMMYFUNCTION("IF(LEN(D1156)&gt;4, IFERROR(REGEXEXTRACT(TO_TEXT(D1156),""\d+""),""""),"""")"),"22726")</f>
        <v>22726</v>
      </c>
      <c r="F1156" s="6" t="str">
        <f t="shared" si="3"/>
        <v>Product</v>
      </c>
      <c r="G1156" s="1" t="s">
        <v>51</v>
      </c>
      <c r="H1156" s="6" t="str">
        <f>IFERROR(__xludf.DUMMYFUNCTION("IF(REGEXMATCH(LOWER(G1156), ""^(\?)+\s*(missing)?\s*(\?)*$""), """", PROPER(SUBSTITUTE(SUBSTITUTE(G1156, ""?"", """"), ""*"", """")))"),"Alarm Clock Bakelike Green")</f>
        <v>Alarm Clock Bakelike Green</v>
      </c>
      <c r="I1156" s="3">
        <v>8.0</v>
      </c>
      <c r="J1156" s="7">
        <v>40598.39444444444</v>
      </c>
      <c r="K1156" s="8" t="str">
        <f t="shared" si="4"/>
        <v>2011-02</v>
      </c>
      <c r="L1156" s="5">
        <v>3.75</v>
      </c>
      <c r="M1156" s="3">
        <v>14004.0</v>
      </c>
      <c r="N1156" s="1" t="str">
        <f t="shared" si="5"/>
        <v>Registered</v>
      </c>
      <c r="O1156" s="1" t="s">
        <v>19</v>
      </c>
      <c r="P1156" s="9" t="str">
        <f t="shared" si="6"/>
        <v>UK</v>
      </c>
      <c r="Q1156" s="8">
        <f t="shared" si="7"/>
        <v>30</v>
      </c>
    </row>
    <row r="1157">
      <c r="A1157" s="1">
        <v>544823.0</v>
      </c>
      <c r="B1157" s="1" t="str">
        <f t="shared" si="1"/>
        <v>544823</v>
      </c>
      <c r="C1157" s="1" t="str">
        <f t="shared" si="2"/>
        <v>Sale</v>
      </c>
      <c r="D1157" s="1">
        <v>22846.0</v>
      </c>
      <c r="E1157" s="1" t="str">
        <f>IFERROR(__xludf.DUMMYFUNCTION("IF(LEN(D1157)&gt;4, IFERROR(REGEXEXTRACT(TO_TEXT(D1157),""\d+""),""""),"""")"),"22846")</f>
        <v>22846</v>
      </c>
      <c r="F1157" s="6" t="str">
        <f t="shared" si="3"/>
        <v>Product</v>
      </c>
      <c r="G1157" s="1" t="s">
        <v>762</v>
      </c>
      <c r="H1157" s="6" t="str">
        <f>IFERROR(__xludf.DUMMYFUNCTION("IF(REGEXMATCH(LOWER(G1157), ""^(\?)+\s*(missing)?\s*(\?)*$""), """", PROPER(SUBSTITUTE(SUBSTITUTE(G1157, ""?"", """"), ""*"", """")))"),"Bread Bin Diner Style Red")</f>
        <v>Bread Bin Diner Style Red</v>
      </c>
      <c r="I1157" s="3">
        <v>4.0</v>
      </c>
      <c r="J1157" s="7">
        <v>40598.39444444444</v>
      </c>
      <c r="K1157" s="8" t="str">
        <f t="shared" si="4"/>
        <v>2011-02</v>
      </c>
      <c r="L1157" s="5">
        <v>14.95</v>
      </c>
      <c r="M1157" s="3">
        <v>14004.0</v>
      </c>
      <c r="N1157" s="1" t="str">
        <f t="shared" si="5"/>
        <v>Registered</v>
      </c>
      <c r="O1157" s="1" t="s">
        <v>19</v>
      </c>
      <c r="P1157" s="9" t="str">
        <f t="shared" si="6"/>
        <v>UK</v>
      </c>
      <c r="Q1157" s="8">
        <f t="shared" si="7"/>
        <v>59.8</v>
      </c>
    </row>
    <row r="1158">
      <c r="A1158" s="1">
        <v>544823.0</v>
      </c>
      <c r="B1158" s="1" t="str">
        <f t="shared" si="1"/>
        <v>544823</v>
      </c>
      <c r="C1158" s="1" t="str">
        <f t="shared" si="2"/>
        <v>Sale</v>
      </c>
      <c r="D1158" s="1">
        <v>22848.0</v>
      </c>
      <c r="E1158" s="1" t="str">
        <f>IFERROR(__xludf.DUMMYFUNCTION("IF(LEN(D1158)&gt;4, IFERROR(REGEXEXTRACT(TO_TEXT(D1158),""\d+""),""""),"""")"),"22848")</f>
        <v>22848</v>
      </c>
      <c r="F1158" s="6" t="str">
        <f t="shared" si="3"/>
        <v>Product</v>
      </c>
      <c r="G1158" s="1" t="s">
        <v>329</v>
      </c>
      <c r="H1158" s="6" t="str">
        <f>IFERROR(__xludf.DUMMYFUNCTION("IF(REGEXMATCH(LOWER(G1158), ""^(\?)+\s*(missing)?\s*(\?)*$""), """", PROPER(SUBSTITUTE(SUBSTITUTE(G1158, ""?"", """"), ""*"", """")))"),"Bread Bin Diner Style Pink")</f>
        <v>Bread Bin Diner Style Pink</v>
      </c>
      <c r="I1158" s="3">
        <v>4.0</v>
      </c>
      <c r="J1158" s="7">
        <v>40598.39444444444</v>
      </c>
      <c r="K1158" s="8" t="str">
        <f t="shared" si="4"/>
        <v>2011-02</v>
      </c>
      <c r="L1158" s="5">
        <v>14.95</v>
      </c>
      <c r="M1158" s="3">
        <v>14004.0</v>
      </c>
      <c r="N1158" s="1" t="str">
        <f t="shared" si="5"/>
        <v>Registered</v>
      </c>
      <c r="O1158" s="1" t="s">
        <v>19</v>
      </c>
      <c r="P1158" s="9" t="str">
        <f t="shared" si="6"/>
        <v>UK</v>
      </c>
      <c r="Q1158" s="8">
        <f t="shared" si="7"/>
        <v>59.8</v>
      </c>
    </row>
    <row r="1159">
      <c r="A1159" s="1">
        <v>544823.0</v>
      </c>
      <c r="B1159" s="1" t="str">
        <f t="shared" si="1"/>
        <v>544823</v>
      </c>
      <c r="C1159" s="1" t="str">
        <f t="shared" si="2"/>
        <v>Sale</v>
      </c>
      <c r="D1159" s="1">
        <v>22849.0</v>
      </c>
      <c r="E1159" s="1" t="str">
        <f>IFERROR(__xludf.DUMMYFUNCTION("IF(LEN(D1159)&gt;4, IFERROR(REGEXEXTRACT(TO_TEXT(D1159),""\d+""),""""),"""")"),"22849")</f>
        <v>22849</v>
      </c>
      <c r="F1159" s="6" t="str">
        <f t="shared" si="3"/>
        <v>Product</v>
      </c>
      <c r="G1159" s="1" t="s">
        <v>763</v>
      </c>
      <c r="H1159" s="6" t="str">
        <f>IFERROR(__xludf.DUMMYFUNCTION("IF(REGEXMATCH(LOWER(G1159), ""^(\?)+\s*(missing)?\s*(\?)*$""), """", PROPER(SUBSTITUTE(SUBSTITUTE(G1159, ""?"", """"), ""*"", """")))"),"Bread Bin Diner Style Mint")</f>
        <v>Bread Bin Diner Style Mint</v>
      </c>
      <c r="I1159" s="3">
        <v>4.0</v>
      </c>
      <c r="J1159" s="7">
        <v>40598.39444444444</v>
      </c>
      <c r="K1159" s="8" t="str">
        <f t="shared" si="4"/>
        <v>2011-02</v>
      </c>
      <c r="L1159" s="5">
        <v>14.95</v>
      </c>
      <c r="M1159" s="3">
        <v>14004.0</v>
      </c>
      <c r="N1159" s="1" t="str">
        <f t="shared" si="5"/>
        <v>Registered</v>
      </c>
      <c r="O1159" s="1" t="s">
        <v>19</v>
      </c>
      <c r="P1159" s="9" t="str">
        <f t="shared" si="6"/>
        <v>UK</v>
      </c>
      <c r="Q1159" s="8">
        <f t="shared" si="7"/>
        <v>59.8</v>
      </c>
    </row>
    <row r="1160">
      <c r="A1160" s="1">
        <v>544823.0</v>
      </c>
      <c r="B1160" s="1" t="str">
        <f t="shared" si="1"/>
        <v>544823</v>
      </c>
      <c r="C1160" s="1" t="str">
        <f t="shared" si="2"/>
        <v>Sale</v>
      </c>
      <c r="D1160" s="1">
        <v>22625.0</v>
      </c>
      <c r="E1160" s="1" t="str">
        <f>IFERROR(__xludf.DUMMYFUNCTION("IF(LEN(D1160)&gt;4, IFERROR(REGEXEXTRACT(TO_TEXT(D1160),""\d+""),""""),"""")"),"22625")</f>
        <v>22625</v>
      </c>
      <c r="F1160" s="6" t="str">
        <f t="shared" si="3"/>
        <v>Product</v>
      </c>
      <c r="G1160" s="1" t="s">
        <v>764</v>
      </c>
      <c r="H1160" s="6" t="str">
        <f>IFERROR(__xludf.DUMMYFUNCTION("IF(REGEXMATCH(LOWER(G1160), ""^(\?)+\s*(missing)?\s*(\?)*$""), """", PROPER(SUBSTITUTE(SUBSTITUTE(G1160, ""?"", """"), ""*"", """")))"),"Red Kitchen Scales")</f>
        <v>Red Kitchen Scales</v>
      </c>
      <c r="I1160" s="3">
        <v>2.0</v>
      </c>
      <c r="J1160" s="7">
        <v>40598.39444444444</v>
      </c>
      <c r="K1160" s="8" t="str">
        <f t="shared" si="4"/>
        <v>2011-02</v>
      </c>
      <c r="L1160" s="5">
        <v>8.5</v>
      </c>
      <c r="M1160" s="3">
        <v>14004.0</v>
      </c>
      <c r="N1160" s="1" t="str">
        <f t="shared" si="5"/>
        <v>Registered</v>
      </c>
      <c r="O1160" s="1" t="s">
        <v>19</v>
      </c>
      <c r="P1160" s="9" t="str">
        <f t="shared" si="6"/>
        <v>UK</v>
      </c>
      <c r="Q1160" s="8">
        <f t="shared" si="7"/>
        <v>17</v>
      </c>
    </row>
    <row r="1161">
      <c r="A1161" s="1">
        <v>544823.0</v>
      </c>
      <c r="B1161" s="1" t="str">
        <f t="shared" si="1"/>
        <v>544823</v>
      </c>
      <c r="C1161" s="1" t="str">
        <f t="shared" si="2"/>
        <v>Sale</v>
      </c>
      <c r="D1161" s="1">
        <v>22191.0</v>
      </c>
      <c r="E1161" s="1" t="str">
        <f>IFERROR(__xludf.DUMMYFUNCTION("IF(LEN(D1161)&gt;4, IFERROR(REGEXEXTRACT(TO_TEXT(D1161),""\d+""),""""),"""")"),"22191")</f>
        <v>22191</v>
      </c>
      <c r="F1161" s="6" t="str">
        <f t="shared" si="3"/>
        <v>Product</v>
      </c>
      <c r="G1161" s="1" t="s">
        <v>207</v>
      </c>
      <c r="H1161" s="6" t="str">
        <f>IFERROR(__xludf.DUMMYFUNCTION("IF(REGEXMATCH(LOWER(G1161), ""^(\?)+\s*(missing)?\s*(\?)*$""), """", PROPER(SUBSTITUTE(SUBSTITUTE(G1161, ""?"", """"), ""*"", """")))"),"Ivory Diner Wall Clock")</f>
        <v>Ivory Diner Wall Clock</v>
      </c>
      <c r="I1161" s="3">
        <v>4.0</v>
      </c>
      <c r="J1161" s="7">
        <v>40598.39444444444</v>
      </c>
      <c r="K1161" s="8" t="str">
        <f t="shared" si="4"/>
        <v>2011-02</v>
      </c>
      <c r="L1161" s="5">
        <v>8.5</v>
      </c>
      <c r="M1161" s="3">
        <v>14004.0</v>
      </c>
      <c r="N1161" s="1" t="str">
        <f t="shared" si="5"/>
        <v>Registered</v>
      </c>
      <c r="O1161" s="1" t="s">
        <v>19</v>
      </c>
      <c r="P1161" s="9" t="str">
        <f t="shared" si="6"/>
        <v>UK</v>
      </c>
      <c r="Q1161" s="8">
        <f t="shared" si="7"/>
        <v>34</v>
      </c>
    </row>
    <row r="1162">
      <c r="A1162" s="1">
        <v>544823.0</v>
      </c>
      <c r="B1162" s="1" t="str">
        <f t="shared" si="1"/>
        <v>544823</v>
      </c>
      <c r="C1162" s="1" t="str">
        <f t="shared" si="2"/>
        <v>Sale</v>
      </c>
      <c r="D1162" s="1">
        <v>22192.0</v>
      </c>
      <c r="E1162" s="1" t="str">
        <f>IFERROR(__xludf.DUMMYFUNCTION("IF(LEN(D1162)&gt;4, IFERROR(REGEXEXTRACT(TO_TEXT(D1162),""\d+""),""""),"""")"),"22192")</f>
        <v>22192</v>
      </c>
      <c r="F1162" s="6" t="str">
        <f t="shared" si="3"/>
        <v>Product</v>
      </c>
      <c r="G1162" s="1" t="s">
        <v>206</v>
      </c>
      <c r="H1162" s="6" t="str">
        <f>IFERROR(__xludf.DUMMYFUNCTION("IF(REGEXMATCH(LOWER(G1162), ""^(\?)+\s*(missing)?\s*(\?)*$""), """", PROPER(SUBSTITUTE(SUBSTITUTE(G1162, ""?"", """"), ""*"", """")))"),"Blue Diner Wall Clock")</f>
        <v>Blue Diner Wall Clock</v>
      </c>
      <c r="I1162" s="3">
        <v>4.0</v>
      </c>
      <c r="J1162" s="7">
        <v>40598.39444444444</v>
      </c>
      <c r="K1162" s="8" t="str">
        <f t="shared" si="4"/>
        <v>2011-02</v>
      </c>
      <c r="L1162" s="5">
        <v>8.5</v>
      </c>
      <c r="M1162" s="3">
        <v>14004.0</v>
      </c>
      <c r="N1162" s="1" t="str">
        <f t="shared" si="5"/>
        <v>Registered</v>
      </c>
      <c r="O1162" s="1" t="s">
        <v>19</v>
      </c>
      <c r="P1162" s="9" t="str">
        <f t="shared" si="6"/>
        <v>UK</v>
      </c>
      <c r="Q1162" s="8">
        <f t="shared" si="7"/>
        <v>34</v>
      </c>
    </row>
    <row r="1163">
      <c r="A1163" s="1">
        <v>544823.0</v>
      </c>
      <c r="B1163" s="1" t="str">
        <f t="shared" si="1"/>
        <v>544823</v>
      </c>
      <c r="C1163" s="1" t="str">
        <f t="shared" si="2"/>
        <v>Sale</v>
      </c>
      <c r="D1163" s="1">
        <v>22193.0</v>
      </c>
      <c r="E1163" s="1" t="str">
        <f>IFERROR(__xludf.DUMMYFUNCTION("IF(LEN(D1163)&gt;4, IFERROR(REGEXEXTRACT(TO_TEXT(D1163),""\d+""),""""),"""")"),"22193")</f>
        <v>22193</v>
      </c>
      <c r="F1163" s="6" t="str">
        <f t="shared" si="3"/>
        <v>Product</v>
      </c>
      <c r="G1163" s="1" t="s">
        <v>205</v>
      </c>
      <c r="H1163" s="6" t="str">
        <f>IFERROR(__xludf.DUMMYFUNCTION("IF(REGEXMATCH(LOWER(G1163), ""^(\?)+\s*(missing)?\s*(\?)*$""), """", PROPER(SUBSTITUTE(SUBSTITUTE(G1163, ""?"", """"), ""*"", """")))"),"Red Diner Wall Clock")</f>
        <v>Red Diner Wall Clock</v>
      </c>
      <c r="I1163" s="3">
        <v>4.0</v>
      </c>
      <c r="J1163" s="7">
        <v>40598.39444444444</v>
      </c>
      <c r="K1163" s="8" t="str">
        <f t="shared" si="4"/>
        <v>2011-02</v>
      </c>
      <c r="L1163" s="5">
        <v>8.5</v>
      </c>
      <c r="M1163" s="3">
        <v>14004.0</v>
      </c>
      <c r="N1163" s="1" t="str">
        <f t="shared" si="5"/>
        <v>Registered</v>
      </c>
      <c r="O1163" s="1" t="s">
        <v>19</v>
      </c>
      <c r="P1163" s="9" t="str">
        <f t="shared" si="6"/>
        <v>UK</v>
      </c>
      <c r="Q1163" s="8">
        <f t="shared" si="7"/>
        <v>34</v>
      </c>
    </row>
    <row r="1164">
      <c r="A1164" s="1">
        <v>544823.0</v>
      </c>
      <c r="B1164" s="1" t="str">
        <f t="shared" si="1"/>
        <v>544823</v>
      </c>
      <c r="C1164" s="1" t="str">
        <f t="shared" si="2"/>
        <v>Sale</v>
      </c>
      <c r="D1164" s="1">
        <v>22605.0</v>
      </c>
      <c r="E1164" s="1" t="str">
        <f>IFERROR(__xludf.DUMMYFUNCTION("IF(LEN(D1164)&gt;4, IFERROR(REGEXEXTRACT(TO_TEXT(D1164),""\d+""),""""),"""")"),"22605")</f>
        <v>22605</v>
      </c>
      <c r="F1164" s="6" t="str">
        <f t="shared" si="3"/>
        <v>Product</v>
      </c>
      <c r="G1164" s="1" t="s">
        <v>765</v>
      </c>
      <c r="H1164" s="6" t="str">
        <f>IFERROR(__xludf.DUMMYFUNCTION("IF(REGEXMATCH(LOWER(G1164), ""^(\?)+\s*(missing)?\s*(\?)*$""), """", PROPER(SUBSTITUTE(SUBSTITUTE(G1164, ""?"", """"), ""*"", """")))"),"Wooden Croquet Garden Set")</f>
        <v>Wooden Croquet Garden Set</v>
      </c>
      <c r="I1164" s="3">
        <v>4.0</v>
      </c>
      <c r="J1164" s="7">
        <v>40598.39444444444</v>
      </c>
      <c r="K1164" s="8" t="str">
        <f t="shared" si="4"/>
        <v>2011-02</v>
      </c>
      <c r="L1164" s="5">
        <v>12.75</v>
      </c>
      <c r="M1164" s="3">
        <v>14004.0</v>
      </c>
      <c r="N1164" s="1" t="str">
        <f t="shared" si="5"/>
        <v>Registered</v>
      </c>
      <c r="O1164" s="1" t="s">
        <v>19</v>
      </c>
      <c r="P1164" s="9" t="str">
        <f t="shared" si="6"/>
        <v>UK</v>
      </c>
      <c r="Q1164" s="8">
        <f t="shared" si="7"/>
        <v>51</v>
      </c>
    </row>
    <row r="1165">
      <c r="A1165" s="1">
        <v>544823.0</v>
      </c>
      <c r="B1165" s="1" t="str">
        <f t="shared" si="1"/>
        <v>544823</v>
      </c>
      <c r="C1165" s="1" t="str">
        <f t="shared" si="2"/>
        <v>Sale</v>
      </c>
      <c r="D1165" s="1">
        <v>22488.0</v>
      </c>
      <c r="E1165" s="1" t="str">
        <f>IFERROR(__xludf.DUMMYFUNCTION("IF(LEN(D1165)&gt;4, IFERROR(REGEXEXTRACT(TO_TEXT(D1165),""\d+""),""""),"""")"),"22488")</f>
        <v>22488</v>
      </c>
      <c r="F1165" s="6" t="str">
        <f t="shared" si="3"/>
        <v>Product</v>
      </c>
      <c r="G1165" s="1" t="s">
        <v>376</v>
      </c>
      <c r="H1165" s="6" t="str">
        <f>IFERROR(__xludf.DUMMYFUNCTION("IF(REGEXMATCH(LOWER(G1165), ""^(\?)+\s*(missing)?\s*(\?)*$""), """", PROPER(SUBSTITUTE(SUBSTITUTE(G1165, ""?"", """"), ""*"", """")))"),"Natural Slate Rectangle Chalkboard")</f>
        <v>Natural Slate Rectangle Chalkboard</v>
      </c>
      <c r="I1165" s="3">
        <v>12.0</v>
      </c>
      <c r="J1165" s="7">
        <v>40598.39444444444</v>
      </c>
      <c r="K1165" s="8" t="str">
        <f t="shared" si="4"/>
        <v>2011-02</v>
      </c>
      <c r="L1165" s="5">
        <v>1.65</v>
      </c>
      <c r="M1165" s="3">
        <v>14004.0</v>
      </c>
      <c r="N1165" s="1" t="str">
        <f t="shared" si="5"/>
        <v>Registered</v>
      </c>
      <c r="O1165" s="1" t="s">
        <v>19</v>
      </c>
      <c r="P1165" s="9" t="str">
        <f t="shared" si="6"/>
        <v>UK</v>
      </c>
      <c r="Q1165" s="8">
        <f t="shared" si="7"/>
        <v>19.8</v>
      </c>
    </row>
    <row r="1166">
      <c r="A1166" s="1">
        <v>544823.0</v>
      </c>
      <c r="B1166" s="1" t="str">
        <f t="shared" si="1"/>
        <v>544823</v>
      </c>
      <c r="C1166" s="1" t="str">
        <f t="shared" si="2"/>
        <v>Sale</v>
      </c>
      <c r="D1166" s="1">
        <v>22767.0</v>
      </c>
      <c r="E1166" s="1" t="str">
        <f>IFERROR(__xludf.DUMMYFUNCTION("IF(LEN(D1166)&gt;4, IFERROR(REGEXEXTRACT(TO_TEXT(D1166),""\d+""),""""),"""")"),"22767")</f>
        <v>22767</v>
      </c>
      <c r="F1166" s="6" t="str">
        <f t="shared" si="3"/>
        <v>Product</v>
      </c>
      <c r="G1166" s="1" t="s">
        <v>288</v>
      </c>
      <c r="H1166" s="6" t="str">
        <f>IFERROR(__xludf.DUMMYFUNCTION("IF(REGEXMATCH(LOWER(G1166), ""^(\?)+\s*(missing)?\s*(\?)*$""), """", PROPER(SUBSTITUTE(SUBSTITUTE(G1166, ""?"", """"), ""*"", """")))"),"Triple Photo Frame Cornice")</f>
        <v>Triple Photo Frame Cornice</v>
      </c>
      <c r="I1166" s="3">
        <v>2.0</v>
      </c>
      <c r="J1166" s="7">
        <v>40598.39444444444</v>
      </c>
      <c r="K1166" s="8" t="str">
        <f t="shared" si="4"/>
        <v>2011-02</v>
      </c>
      <c r="L1166" s="5">
        <v>9.95</v>
      </c>
      <c r="M1166" s="3">
        <v>14004.0</v>
      </c>
      <c r="N1166" s="1" t="str">
        <f t="shared" si="5"/>
        <v>Registered</v>
      </c>
      <c r="O1166" s="1" t="s">
        <v>19</v>
      </c>
      <c r="P1166" s="9" t="str">
        <f t="shared" si="6"/>
        <v>UK</v>
      </c>
      <c r="Q1166" s="8">
        <f t="shared" si="7"/>
        <v>19.9</v>
      </c>
    </row>
    <row r="1167">
      <c r="A1167" s="1">
        <v>544823.0</v>
      </c>
      <c r="B1167" s="1" t="str">
        <f t="shared" si="1"/>
        <v>544823</v>
      </c>
      <c r="C1167" s="1" t="str">
        <f t="shared" si="2"/>
        <v>Sale</v>
      </c>
      <c r="D1167" s="1">
        <v>22087.0</v>
      </c>
      <c r="E1167" s="1" t="str">
        <f>IFERROR(__xludf.DUMMYFUNCTION("IF(LEN(D1167)&gt;4, IFERROR(REGEXEXTRACT(TO_TEXT(D1167),""\d+""),""""),"""")"),"22087")</f>
        <v>22087</v>
      </c>
      <c r="F1167" s="6" t="str">
        <f t="shared" si="3"/>
        <v>Product</v>
      </c>
      <c r="G1167" s="1" t="s">
        <v>626</v>
      </c>
      <c r="H1167" s="6" t="str">
        <f>IFERROR(__xludf.DUMMYFUNCTION("IF(REGEXMATCH(LOWER(G1167), ""^(\?)+\s*(missing)?\s*(\?)*$""), """", PROPER(SUBSTITUTE(SUBSTITUTE(G1167, ""?"", """"), ""*"", """")))"),"Paper Bunting White Lace")</f>
        <v>Paper Bunting White Lace</v>
      </c>
      <c r="I1167" s="3">
        <v>12.0</v>
      </c>
      <c r="J1167" s="7">
        <v>40598.39444444444</v>
      </c>
      <c r="K1167" s="8" t="str">
        <f t="shared" si="4"/>
        <v>2011-02</v>
      </c>
      <c r="L1167" s="5">
        <v>2.95</v>
      </c>
      <c r="M1167" s="3">
        <v>14004.0</v>
      </c>
      <c r="N1167" s="1" t="str">
        <f t="shared" si="5"/>
        <v>Registered</v>
      </c>
      <c r="O1167" s="1" t="s">
        <v>19</v>
      </c>
      <c r="P1167" s="9" t="str">
        <f t="shared" si="6"/>
        <v>UK</v>
      </c>
      <c r="Q1167" s="8">
        <f t="shared" si="7"/>
        <v>35.4</v>
      </c>
    </row>
    <row r="1168">
      <c r="A1168" s="1">
        <v>544823.0</v>
      </c>
      <c r="B1168" s="1" t="str">
        <f t="shared" si="1"/>
        <v>544823</v>
      </c>
      <c r="C1168" s="1" t="str">
        <f t="shared" si="2"/>
        <v>Sale</v>
      </c>
      <c r="D1168" s="1">
        <v>22771.0</v>
      </c>
      <c r="E1168" s="1" t="str">
        <f>IFERROR(__xludf.DUMMYFUNCTION("IF(LEN(D1168)&gt;4, IFERROR(REGEXEXTRACT(TO_TEXT(D1168),""\d+""),""""),"""")"),"22771")</f>
        <v>22771</v>
      </c>
      <c r="F1168" s="6" t="str">
        <f t="shared" si="3"/>
        <v>Product</v>
      </c>
      <c r="G1168" s="1" t="s">
        <v>116</v>
      </c>
      <c r="H1168" s="6" t="str">
        <f>IFERROR(__xludf.DUMMYFUNCTION("IF(REGEXMATCH(LOWER(G1168), ""^(\?)+\s*(missing)?\s*(\?)*$""), """", PROPER(SUBSTITUTE(SUBSTITUTE(G1168, ""?"", """"), ""*"", """")))"),"Clear Drawer Knob Acrylic Edwardian")</f>
        <v>Clear Drawer Knob Acrylic Edwardian</v>
      </c>
      <c r="I1168" s="3">
        <v>12.0</v>
      </c>
      <c r="J1168" s="7">
        <v>40598.39444444444</v>
      </c>
      <c r="K1168" s="8" t="str">
        <f t="shared" si="4"/>
        <v>2011-02</v>
      </c>
      <c r="L1168" s="5">
        <v>1.25</v>
      </c>
      <c r="M1168" s="3">
        <v>14004.0</v>
      </c>
      <c r="N1168" s="1" t="str">
        <f t="shared" si="5"/>
        <v>Registered</v>
      </c>
      <c r="O1168" s="1" t="s">
        <v>19</v>
      </c>
      <c r="P1168" s="9" t="str">
        <f t="shared" si="6"/>
        <v>UK</v>
      </c>
      <c r="Q1168" s="8">
        <f t="shared" si="7"/>
        <v>15</v>
      </c>
    </row>
    <row r="1169">
      <c r="A1169" s="1">
        <v>544823.0</v>
      </c>
      <c r="B1169" s="1" t="str">
        <f t="shared" si="1"/>
        <v>544823</v>
      </c>
      <c r="C1169" s="1" t="str">
        <f t="shared" si="2"/>
        <v>Sale</v>
      </c>
      <c r="D1169" s="1">
        <v>21672.0</v>
      </c>
      <c r="E1169" s="1" t="str">
        <f>IFERROR(__xludf.DUMMYFUNCTION("IF(LEN(D1169)&gt;4, IFERROR(REGEXEXTRACT(TO_TEXT(D1169),""\d+""),""""),"""")"),"21672")</f>
        <v>21672</v>
      </c>
      <c r="F1169" s="6" t="str">
        <f t="shared" si="3"/>
        <v>Product</v>
      </c>
      <c r="G1169" s="1" t="s">
        <v>114</v>
      </c>
      <c r="H1169" s="6" t="str">
        <f>IFERROR(__xludf.DUMMYFUNCTION("IF(REGEXMATCH(LOWER(G1169), ""^(\?)+\s*(missing)?\s*(\?)*$""), """", PROPER(SUBSTITUTE(SUBSTITUTE(G1169, ""?"", """"), ""*"", """")))"),"White Spot Red Ceramic Drawer Knob")</f>
        <v>White Spot Red Ceramic Drawer Knob</v>
      </c>
      <c r="I1169" s="3">
        <v>12.0</v>
      </c>
      <c r="J1169" s="7">
        <v>40598.39444444444</v>
      </c>
      <c r="K1169" s="8" t="str">
        <f t="shared" si="4"/>
        <v>2011-02</v>
      </c>
      <c r="L1169" s="5">
        <v>1.25</v>
      </c>
      <c r="M1169" s="3">
        <v>14004.0</v>
      </c>
      <c r="N1169" s="1" t="str">
        <f t="shared" si="5"/>
        <v>Registered</v>
      </c>
      <c r="O1169" s="1" t="s">
        <v>19</v>
      </c>
      <c r="P1169" s="9" t="str">
        <f t="shared" si="6"/>
        <v>UK</v>
      </c>
      <c r="Q1169" s="8">
        <f t="shared" si="7"/>
        <v>15</v>
      </c>
    </row>
    <row r="1170">
      <c r="A1170" s="1">
        <v>544823.0</v>
      </c>
      <c r="B1170" s="1" t="str">
        <f t="shared" si="1"/>
        <v>544823</v>
      </c>
      <c r="C1170" s="1" t="str">
        <f t="shared" si="2"/>
        <v>Sale</v>
      </c>
      <c r="D1170" s="1">
        <v>21669.0</v>
      </c>
      <c r="E1170" s="1" t="str">
        <f>IFERROR(__xludf.DUMMYFUNCTION("IF(LEN(D1170)&gt;4, IFERROR(REGEXEXTRACT(TO_TEXT(D1170),""\d+""),""""),"""")"),"21669")</f>
        <v>21669</v>
      </c>
      <c r="F1170" s="6" t="str">
        <f t="shared" si="3"/>
        <v>Product</v>
      </c>
      <c r="G1170" s="1" t="s">
        <v>766</v>
      </c>
      <c r="H1170" s="6" t="str">
        <f>IFERROR(__xludf.DUMMYFUNCTION("IF(REGEXMATCH(LOWER(G1170), ""^(\?)+\s*(missing)?\s*(\?)*$""), """", PROPER(SUBSTITUTE(SUBSTITUTE(G1170, ""?"", """"), ""*"", """")))"),"Blue Stripe Ceramic Drawer Knob")</f>
        <v>Blue Stripe Ceramic Drawer Knob</v>
      </c>
      <c r="I1170" s="3">
        <v>12.0</v>
      </c>
      <c r="J1170" s="7">
        <v>40598.39444444444</v>
      </c>
      <c r="K1170" s="8" t="str">
        <f t="shared" si="4"/>
        <v>2011-02</v>
      </c>
      <c r="L1170" s="5">
        <v>1.25</v>
      </c>
      <c r="M1170" s="3">
        <v>14004.0</v>
      </c>
      <c r="N1170" s="1" t="str">
        <f t="shared" si="5"/>
        <v>Registered</v>
      </c>
      <c r="O1170" s="1" t="s">
        <v>19</v>
      </c>
      <c r="P1170" s="9" t="str">
        <f t="shared" si="6"/>
        <v>UK</v>
      </c>
      <c r="Q1170" s="8">
        <f t="shared" si="7"/>
        <v>15</v>
      </c>
    </row>
    <row r="1171">
      <c r="A1171" s="1">
        <v>544823.0</v>
      </c>
      <c r="B1171" s="1" t="str">
        <f t="shared" si="1"/>
        <v>544823</v>
      </c>
      <c r="C1171" s="1" t="str">
        <f t="shared" si="2"/>
        <v>Sale</v>
      </c>
      <c r="D1171" s="1">
        <v>21673.0</v>
      </c>
      <c r="E1171" s="1" t="str">
        <f>IFERROR(__xludf.DUMMYFUNCTION("IF(LEN(D1171)&gt;4, IFERROR(REGEXEXTRACT(TO_TEXT(D1171),""\d+""),""""),"""")"),"21673")</f>
        <v>21673</v>
      </c>
      <c r="F1171" s="6" t="str">
        <f t="shared" si="3"/>
        <v>Product</v>
      </c>
      <c r="G1171" s="1" t="s">
        <v>767</v>
      </c>
      <c r="H1171" s="6" t="str">
        <f>IFERROR(__xludf.DUMMYFUNCTION("IF(REGEXMATCH(LOWER(G1171), ""^(\?)+\s*(missing)?\s*(\?)*$""), """", PROPER(SUBSTITUTE(SUBSTITUTE(G1171, ""?"", """"), ""*"", """")))"),"White Spot Blue Ceramic Drawer Knob")</f>
        <v>White Spot Blue Ceramic Drawer Knob</v>
      </c>
      <c r="I1171" s="3">
        <v>12.0</v>
      </c>
      <c r="J1171" s="7">
        <v>40598.39444444444</v>
      </c>
      <c r="K1171" s="8" t="str">
        <f t="shared" si="4"/>
        <v>2011-02</v>
      </c>
      <c r="L1171" s="5">
        <v>1.25</v>
      </c>
      <c r="M1171" s="3">
        <v>14004.0</v>
      </c>
      <c r="N1171" s="1" t="str">
        <f t="shared" si="5"/>
        <v>Registered</v>
      </c>
      <c r="O1171" s="1" t="s">
        <v>19</v>
      </c>
      <c r="P1171" s="9" t="str">
        <f t="shared" si="6"/>
        <v>UK</v>
      </c>
      <c r="Q1171" s="8">
        <f t="shared" si="7"/>
        <v>15</v>
      </c>
    </row>
    <row r="1172">
      <c r="A1172" s="1">
        <v>544823.0</v>
      </c>
      <c r="B1172" s="1" t="str">
        <f t="shared" si="1"/>
        <v>544823</v>
      </c>
      <c r="C1172" s="1" t="str">
        <f t="shared" si="2"/>
        <v>Sale</v>
      </c>
      <c r="D1172" s="1">
        <v>21670.0</v>
      </c>
      <c r="E1172" s="1" t="str">
        <f>IFERROR(__xludf.DUMMYFUNCTION("IF(LEN(D1172)&gt;4, IFERROR(REGEXEXTRACT(TO_TEXT(D1172),""\d+""),""""),"""")"),"21670")</f>
        <v>21670</v>
      </c>
      <c r="F1172" s="6" t="str">
        <f t="shared" si="3"/>
        <v>Product</v>
      </c>
      <c r="G1172" s="1" t="s">
        <v>768</v>
      </c>
      <c r="H1172" s="6" t="str">
        <f>IFERROR(__xludf.DUMMYFUNCTION("IF(REGEXMATCH(LOWER(G1172), ""^(\?)+\s*(missing)?\s*(\?)*$""), """", PROPER(SUBSTITUTE(SUBSTITUTE(G1172, ""?"", """"), ""*"", """")))"),"Blue Spot Ceramic Drawer Knob")</f>
        <v>Blue Spot Ceramic Drawer Knob</v>
      </c>
      <c r="I1172" s="3">
        <v>12.0</v>
      </c>
      <c r="J1172" s="7">
        <v>40598.39444444444</v>
      </c>
      <c r="K1172" s="8" t="str">
        <f t="shared" si="4"/>
        <v>2011-02</v>
      </c>
      <c r="L1172" s="5">
        <v>1.25</v>
      </c>
      <c r="M1172" s="3">
        <v>14004.0</v>
      </c>
      <c r="N1172" s="1" t="str">
        <f t="shared" si="5"/>
        <v>Registered</v>
      </c>
      <c r="O1172" s="1" t="s">
        <v>19</v>
      </c>
      <c r="P1172" s="9" t="str">
        <f t="shared" si="6"/>
        <v>UK</v>
      </c>
      <c r="Q1172" s="8">
        <f t="shared" si="7"/>
        <v>15</v>
      </c>
    </row>
    <row r="1173">
      <c r="A1173" s="1">
        <v>544823.0</v>
      </c>
      <c r="B1173" s="1" t="str">
        <f t="shared" si="1"/>
        <v>544823</v>
      </c>
      <c r="C1173" s="1" t="str">
        <f t="shared" si="2"/>
        <v>Sale</v>
      </c>
      <c r="D1173" s="1">
        <v>21668.0</v>
      </c>
      <c r="E1173" s="1" t="str">
        <f>IFERROR(__xludf.DUMMYFUNCTION("IF(LEN(D1173)&gt;4, IFERROR(REGEXEXTRACT(TO_TEXT(D1173),""\d+""),""""),"""")"),"21668")</f>
        <v>21668</v>
      </c>
      <c r="F1173" s="6" t="str">
        <f t="shared" si="3"/>
        <v>Product</v>
      </c>
      <c r="G1173" s="1" t="s">
        <v>769</v>
      </c>
      <c r="H1173" s="6" t="str">
        <f>IFERROR(__xludf.DUMMYFUNCTION("IF(REGEXMATCH(LOWER(G1173), ""^(\?)+\s*(missing)?\s*(\?)*$""), """", PROPER(SUBSTITUTE(SUBSTITUTE(G1173, ""?"", """"), ""*"", """")))"),"Red Stripe Ceramic Drawer Knob")</f>
        <v>Red Stripe Ceramic Drawer Knob</v>
      </c>
      <c r="I1173" s="3">
        <v>12.0</v>
      </c>
      <c r="J1173" s="7">
        <v>40598.39444444444</v>
      </c>
      <c r="K1173" s="8" t="str">
        <f t="shared" si="4"/>
        <v>2011-02</v>
      </c>
      <c r="L1173" s="5">
        <v>1.25</v>
      </c>
      <c r="M1173" s="3">
        <v>14004.0</v>
      </c>
      <c r="N1173" s="1" t="str">
        <f t="shared" si="5"/>
        <v>Registered</v>
      </c>
      <c r="O1173" s="1" t="s">
        <v>19</v>
      </c>
      <c r="P1173" s="9" t="str">
        <f t="shared" si="6"/>
        <v>UK</v>
      </c>
      <c r="Q1173" s="8">
        <f t="shared" si="7"/>
        <v>15</v>
      </c>
    </row>
    <row r="1174">
      <c r="A1174" s="1">
        <v>544823.0</v>
      </c>
      <c r="B1174" s="1" t="str">
        <f t="shared" si="1"/>
        <v>544823</v>
      </c>
      <c r="C1174" s="1" t="str">
        <f t="shared" si="2"/>
        <v>Sale</v>
      </c>
      <c r="D1174" s="1">
        <v>21671.0</v>
      </c>
      <c r="E1174" s="1" t="str">
        <f>IFERROR(__xludf.DUMMYFUNCTION("IF(LEN(D1174)&gt;4, IFERROR(REGEXEXTRACT(TO_TEXT(D1174),""\d+""),""""),"""")"),"21671")</f>
        <v>21671</v>
      </c>
      <c r="F1174" s="6" t="str">
        <f t="shared" si="3"/>
        <v>Product</v>
      </c>
      <c r="G1174" s="1" t="s">
        <v>770</v>
      </c>
      <c r="H1174" s="6" t="str">
        <f>IFERROR(__xludf.DUMMYFUNCTION("IF(REGEXMATCH(LOWER(G1174), ""^(\?)+\s*(missing)?\s*(\?)*$""), """", PROPER(SUBSTITUTE(SUBSTITUTE(G1174, ""?"", """"), ""*"", """")))"),"Red Spot Ceramic Drawer Knob")</f>
        <v>Red Spot Ceramic Drawer Knob</v>
      </c>
      <c r="I1174" s="3">
        <v>12.0</v>
      </c>
      <c r="J1174" s="7">
        <v>40598.39444444444</v>
      </c>
      <c r="K1174" s="8" t="str">
        <f t="shared" si="4"/>
        <v>2011-02</v>
      </c>
      <c r="L1174" s="5">
        <v>1.25</v>
      </c>
      <c r="M1174" s="3">
        <v>14004.0</v>
      </c>
      <c r="N1174" s="1" t="str">
        <f t="shared" si="5"/>
        <v>Registered</v>
      </c>
      <c r="O1174" s="1" t="s">
        <v>19</v>
      </c>
      <c r="P1174" s="9" t="str">
        <f t="shared" si="6"/>
        <v>UK</v>
      </c>
      <c r="Q1174" s="8">
        <f t="shared" si="7"/>
        <v>15</v>
      </c>
    </row>
    <row r="1175">
      <c r="A1175" s="1">
        <v>544823.0</v>
      </c>
      <c r="B1175" s="1" t="str">
        <f t="shared" si="1"/>
        <v>544823</v>
      </c>
      <c r="C1175" s="1" t="str">
        <f t="shared" si="2"/>
        <v>Sale</v>
      </c>
      <c r="D1175" s="1">
        <v>22148.0</v>
      </c>
      <c r="E1175" s="1" t="str">
        <f>IFERROR(__xludf.DUMMYFUNCTION("IF(LEN(D1175)&gt;4, IFERROR(REGEXEXTRACT(TO_TEXT(D1175),""\d+""),""""),"""")"),"22148")</f>
        <v>22148</v>
      </c>
      <c r="F1175" s="6" t="str">
        <f t="shared" si="3"/>
        <v>Product</v>
      </c>
      <c r="G1175" s="1" t="s">
        <v>754</v>
      </c>
      <c r="H1175" s="6" t="str">
        <f>IFERROR(__xludf.DUMMYFUNCTION("IF(REGEXMATCH(LOWER(G1175), ""^(\?)+\s*(missing)?\s*(\?)*$""), """", PROPER(SUBSTITUTE(SUBSTITUTE(G1175, ""?"", """"), ""*"", """")))"),"Easter Craft 4 Chicks")</f>
        <v>Easter Craft 4 Chicks</v>
      </c>
      <c r="I1175" s="3">
        <v>24.0</v>
      </c>
      <c r="J1175" s="7">
        <v>40598.39444444444</v>
      </c>
      <c r="K1175" s="8" t="str">
        <f t="shared" si="4"/>
        <v>2011-02</v>
      </c>
      <c r="L1175" s="5">
        <v>1.95</v>
      </c>
      <c r="M1175" s="3">
        <v>14004.0</v>
      </c>
      <c r="N1175" s="1" t="str">
        <f t="shared" si="5"/>
        <v>Registered</v>
      </c>
      <c r="O1175" s="1" t="s">
        <v>19</v>
      </c>
      <c r="P1175" s="9" t="str">
        <f t="shared" si="6"/>
        <v>UK</v>
      </c>
      <c r="Q1175" s="8">
        <f t="shared" si="7"/>
        <v>46.8</v>
      </c>
    </row>
    <row r="1176">
      <c r="A1176" s="1">
        <v>544823.0</v>
      </c>
      <c r="B1176" s="1" t="str">
        <f t="shared" si="1"/>
        <v>544823</v>
      </c>
      <c r="C1176" s="1" t="str">
        <f t="shared" si="2"/>
        <v>Sale</v>
      </c>
      <c r="D1176" s="1">
        <v>21791.0</v>
      </c>
      <c r="E1176" s="1" t="str">
        <f>IFERROR(__xludf.DUMMYFUNCTION("IF(LEN(D1176)&gt;4, IFERROR(REGEXEXTRACT(TO_TEXT(D1176),""\d+""),""""),"""")"),"21791")</f>
        <v>21791</v>
      </c>
      <c r="F1176" s="6" t="str">
        <f t="shared" si="3"/>
        <v>Product</v>
      </c>
      <c r="G1176" s="1" t="s">
        <v>55</v>
      </c>
      <c r="H1176" s="6" t="str">
        <f>IFERROR(__xludf.DUMMYFUNCTION("IF(REGEXMATCH(LOWER(G1176), ""^(\?)+\s*(missing)?\s*(\?)*$""), """", PROPER(SUBSTITUTE(SUBSTITUTE(G1176, ""?"", """"), ""*"", """")))"),"Vintage Heads And Tails Card Game")</f>
        <v>Vintage Heads And Tails Card Game</v>
      </c>
      <c r="I1176" s="3">
        <v>72.0</v>
      </c>
      <c r="J1176" s="7">
        <v>40598.39444444444</v>
      </c>
      <c r="K1176" s="8" t="str">
        <f t="shared" si="4"/>
        <v>2011-02</v>
      </c>
      <c r="L1176" s="5">
        <v>1.06</v>
      </c>
      <c r="M1176" s="3">
        <v>14004.0</v>
      </c>
      <c r="N1176" s="1" t="str">
        <f t="shared" si="5"/>
        <v>Registered</v>
      </c>
      <c r="O1176" s="1" t="s">
        <v>19</v>
      </c>
      <c r="P1176" s="9" t="str">
        <f t="shared" si="6"/>
        <v>UK</v>
      </c>
      <c r="Q1176" s="8">
        <f t="shared" si="7"/>
        <v>76.32</v>
      </c>
    </row>
    <row r="1177">
      <c r="A1177" s="1">
        <v>544823.0</v>
      </c>
      <c r="B1177" s="1" t="str">
        <f t="shared" si="1"/>
        <v>544823</v>
      </c>
      <c r="C1177" s="1" t="str">
        <f t="shared" si="2"/>
        <v>Sale</v>
      </c>
      <c r="D1177" s="1">
        <v>22624.0</v>
      </c>
      <c r="E1177" s="1" t="str">
        <f>IFERROR(__xludf.DUMMYFUNCTION("IF(LEN(D1177)&gt;4, IFERROR(REGEXEXTRACT(TO_TEXT(D1177),""\d+""),""""),"""")"),"22624")</f>
        <v>22624</v>
      </c>
      <c r="F1177" s="6" t="str">
        <f t="shared" si="3"/>
        <v>Product</v>
      </c>
      <c r="G1177" s="1" t="s">
        <v>771</v>
      </c>
      <c r="H1177" s="6" t="str">
        <f>IFERROR(__xludf.DUMMYFUNCTION("IF(REGEXMATCH(LOWER(G1177), ""^(\?)+\s*(missing)?\s*(\?)*$""), """", PROPER(SUBSTITUTE(SUBSTITUTE(G1177, ""?"", """"), ""*"", """")))"),"Ivory Kitchen Scales")</f>
        <v>Ivory Kitchen Scales</v>
      </c>
      <c r="I1177" s="3">
        <v>2.0</v>
      </c>
      <c r="J1177" s="7">
        <v>40598.39444444444</v>
      </c>
      <c r="K1177" s="8" t="str">
        <f t="shared" si="4"/>
        <v>2011-02</v>
      </c>
      <c r="L1177" s="5">
        <v>8.5</v>
      </c>
      <c r="M1177" s="3">
        <v>14004.0</v>
      </c>
      <c r="N1177" s="1" t="str">
        <f t="shared" si="5"/>
        <v>Registered</v>
      </c>
      <c r="O1177" s="1" t="s">
        <v>19</v>
      </c>
      <c r="P1177" s="9" t="str">
        <f t="shared" si="6"/>
        <v>UK</v>
      </c>
      <c r="Q1177" s="8">
        <f t="shared" si="7"/>
        <v>17</v>
      </c>
    </row>
    <row r="1178">
      <c r="A1178" s="1">
        <v>544824.0</v>
      </c>
      <c r="B1178" s="1" t="str">
        <f t="shared" si="1"/>
        <v>544824</v>
      </c>
      <c r="C1178" s="1" t="str">
        <f t="shared" si="2"/>
        <v>Sale</v>
      </c>
      <c r="D1178" s="1">
        <v>22679.0</v>
      </c>
      <c r="E1178" s="1" t="str">
        <f>IFERROR(__xludf.DUMMYFUNCTION("IF(LEN(D1178)&gt;4, IFERROR(REGEXEXTRACT(TO_TEXT(D1178),""\d+""),""""),"""")"),"22679")</f>
        <v>22679</v>
      </c>
      <c r="F1178" s="6" t="str">
        <f t="shared" si="3"/>
        <v>Product</v>
      </c>
      <c r="G1178" s="1" t="s">
        <v>772</v>
      </c>
      <c r="H1178" s="6" t="str">
        <f>IFERROR(__xludf.DUMMYFUNCTION("IF(REGEXMATCH(LOWER(G1178), ""^(\?)+\s*(missing)?\s*(\?)*$""), """", PROPER(SUBSTITUTE(SUBSTITUTE(G1178, ""?"", """"), ""*"", """")))"),"French Blue Metal Door Sign 4")</f>
        <v>French Blue Metal Door Sign 4</v>
      </c>
      <c r="I1178" s="3">
        <v>10.0</v>
      </c>
      <c r="J1178" s="7">
        <v>40598.39722222222</v>
      </c>
      <c r="K1178" s="8" t="str">
        <f t="shared" si="4"/>
        <v>2011-02</v>
      </c>
      <c r="L1178" s="5">
        <v>1.25</v>
      </c>
      <c r="M1178" s="3">
        <v>17139.0</v>
      </c>
      <c r="N1178" s="1" t="str">
        <f t="shared" si="5"/>
        <v>Registered</v>
      </c>
      <c r="O1178" s="1" t="s">
        <v>19</v>
      </c>
      <c r="P1178" s="9" t="str">
        <f t="shared" si="6"/>
        <v>UK</v>
      </c>
      <c r="Q1178" s="8">
        <f t="shared" si="7"/>
        <v>12.5</v>
      </c>
    </row>
    <row r="1179">
      <c r="A1179" s="1">
        <v>544824.0</v>
      </c>
      <c r="B1179" s="1" t="str">
        <f t="shared" si="1"/>
        <v>544824</v>
      </c>
      <c r="C1179" s="1" t="str">
        <f t="shared" si="2"/>
        <v>Sale</v>
      </c>
      <c r="D1179" s="1">
        <v>22680.0</v>
      </c>
      <c r="E1179" s="1" t="str">
        <f>IFERROR(__xludf.DUMMYFUNCTION("IF(LEN(D1179)&gt;4, IFERROR(REGEXEXTRACT(TO_TEXT(D1179),""\d+""),""""),"""")"),"22680")</f>
        <v>22680</v>
      </c>
      <c r="F1179" s="6" t="str">
        <f t="shared" si="3"/>
        <v>Product</v>
      </c>
      <c r="G1179" s="1" t="s">
        <v>773</v>
      </c>
      <c r="H1179" s="6" t="str">
        <f>IFERROR(__xludf.DUMMYFUNCTION("IF(REGEXMATCH(LOWER(G1179), ""^(\?)+\s*(missing)?\s*(\?)*$""), """", PROPER(SUBSTITUTE(SUBSTITUTE(G1179, ""?"", """"), ""*"", """")))"),"French Blue Metal Door Sign 5")</f>
        <v>French Blue Metal Door Sign 5</v>
      </c>
      <c r="I1179" s="3">
        <v>10.0</v>
      </c>
      <c r="J1179" s="7">
        <v>40598.39722222222</v>
      </c>
      <c r="K1179" s="8" t="str">
        <f t="shared" si="4"/>
        <v>2011-02</v>
      </c>
      <c r="L1179" s="5">
        <v>1.25</v>
      </c>
      <c r="M1179" s="3">
        <v>17139.0</v>
      </c>
      <c r="N1179" s="1" t="str">
        <f t="shared" si="5"/>
        <v>Registered</v>
      </c>
      <c r="O1179" s="1" t="s">
        <v>19</v>
      </c>
      <c r="P1179" s="9" t="str">
        <f t="shared" si="6"/>
        <v>UK</v>
      </c>
      <c r="Q1179" s="8">
        <f t="shared" si="7"/>
        <v>12.5</v>
      </c>
    </row>
    <row r="1180">
      <c r="A1180" s="1">
        <v>544824.0</v>
      </c>
      <c r="B1180" s="1" t="str">
        <f t="shared" si="1"/>
        <v>544824</v>
      </c>
      <c r="C1180" s="1" t="str">
        <f t="shared" si="2"/>
        <v>Sale</v>
      </c>
      <c r="D1180" s="1">
        <v>22681.0</v>
      </c>
      <c r="E1180" s="1" t="str">
        <f>IFERROR(__xludf.DUMMYFUNCTION("IF(LEN(D1180)&gt;4, IFERROR(REGEXEXTRACT(TO_TEXT(D1180),""\d+""),""""),"""")"),"22681")</f>
        <v>22681</v>
      </c>
      <c r="F1180" s="6" t="str">
        <f t="shared" si="3"/>
        <v>Product</v>
      </c>
      <c r="G1180" s="1" t="s">
        <v>774</v>
      </c>
      <c r="H1180" s="6" t="str">
        <f>IFERROR(__xludf.DUMMYFUNCTION("IF(REGEXMATCH(LOWER(G1180), ""^(\?)+\s*(missing)?\s*(\?)*$""), """", PROPER(SUBSTITUTE(SUBSTITUTE(G1180, ""?"", """"), ""*"", """")))"),"French Blue Metal Door Sign 6")</f>
        <v>French Blue Metal Door Sign 6</v>
      </c>
      <c r="I1180" s="3">
        <v>10.0</v>
      </c>
      <c r="J1180" s="7">
        <v>40598.39722222222</v>
      </c>
      <c r="K1180" s="8" t="str">
        <f t="shared" si="4"/>
        <v>2011-02</v>
      </c>
      <c r="L1180" s="5">
        <v>1.25</v>
      </c>
      <c r="M1180" s="3">
        <v>17139.0</v>
      </c>
      <c r="N1180" s="1" t="str">
        <f t="shared" si="5"/>
        <v>Registered</v>
      </c>
      <c r="O1180" s="1" t="s">
        <v>19</v>
      </c>
      <c r="P1180" s="9" t="str">
        <f t="shared" si="6"/>
        <v>UK</v>
      </c>
      <c r="Q1180" s="8">
        <f t="shared" si="7"/>
        <v>12.5</v>
      </c>
    </row>
    <row r="1181">
      <c r="A1181" s="1">
        <v>544824.0</v>
      </c>
      <c r="B1181" s="1" t="str">
        <f t="shared" si="1"/>
        <v>544824</v>
      </c>
      <c r="C1181" s="1" t="str">
        <f t="shared" si="2"/>
        <v>Sale</v>
      </c>
      <c r="D1181" s="1">
        <v>82552.0</v>
      </c>
      <c r="E1181" s="1" t="str">
        <f>IFERROR(__xludf.DUMMYFUNCTION("IF(LEN(D1181)&gt;4, IFERROR(REGEXEXTRACT(TO_TEXT(D1181),""\d+""),""""),"""")"),"82552")</f>
        <v>82552</v>
      </c>
      <c r="F1181" s="6" t="str">
        <f t="shared" si="3"/>
        <v>Product</v>
      </c>
      <c r="G1181" s="1" t="s">
        <v>559</v>
      </c>
      <c r="H1181" s="6" t="str">
        <f>IFERROR(__xludf.DUMMYFUNCTION("IF(REGEXMATCH(LOWER(G1181), ""^(\?)+\s*(missing)?\s*(\?)*$""), """", PROPER(SUBSTITUTE(SUBSTITUTE(G1181, ""?"", """"), ""*"", """")))"),"Washroom Metal Sign")</f>
        <v>Washroom Metal Sign</v>
      </c>
      <c r="I1181" s="3">
        <v>12.0</v>
      </c>
      <c r="J1181" s="7">
        <v>40598.39722222222</v>
      </c>
      <c r="K1181" s="8" t="str">
        <f t="shared" si="4"/>
        <v>2011-02</v>
      </c>
      <c r="L1181" s="5">
        <v>1.45</v>
      </c>
      <c r="M1181" s="3">
        <v>17139.0</v>
      </c>
      <c r="N1181" s="1" t="str">
        <f t="shared" si="5"/>
        <v>Registered</v>
      </c>
      <c r="O1181" s="1" t="s">
        <v>19</v>
      </c>
      <c r="P1181" s="9" t="str">
        <f t="shared" si="6"/>
        <v>UK</v>
      </c>
      <c r="Q1181" s="8">
        <f t="shared" si="7"/>
        <v>17.4</v>
      </c>
    </row>
    <row r="1182">
      <c r="A1182" s="1">
        <v>544824.0</v>
      </c>
      <c r="B1182" s="1" t="str">
        <f t="shared" si="1"/>
        <v>544824</v>
      </c>
      <c r="C1182" s="1" t="str">
        <f t="shared" si="2"/>
        <v>Sale</v>
      </c>
      <c r="D1182" s="1">
        <v>82551.0</v>
      </c>
      <c r="E1182" s="1" t="str">
        <f>IFERROR(__xludf.DUMMYFUNCTION("IF(LEN(D1182)&gt;4, IFERROR(REGEXEXTRACT(TO_TEXT(D1182),""\d+""),""""),"""")"),"82551")</f>
        <v>82551</v>
      </c>
      <c r="F1182" s="6" t="str">
        <f t="shared" si="3"/>
        <v>Product</v>
      </c>
      <c r="G1182" s="1" t="s">
        <v>775</v>
      </c>
      <c r="H1182" s="6" t="str">
        <f>IFERROR(__xludf.DUMMYFUNCTION("IF(REGEXMATCH(LOWER(G1182), ""^(\?)+\s*(missing)?\s*(\?)*$""), """", PROPER(SUBSTITUTE(SUBSTITUTE(G1182, ""?"", """"), ""*"", """")))"),"Laundry 15C Metal Sign")</f>
        <v>Laundry 15C Metal Sign</v>
      </c>
      <c r="I1182" s="3">
        <v>12.0</v>
      </c>
      <c r="J1182" s="7">
        <v>40598.39722222222</v>
      </c>
      <c r="K1182" s="8" t="str">
        <f t="shared" si="4"/>
        <v>2011-02</v>
      </c>
      <c r="L1182" s="5">
        <v>1.45</v>
      </c>
      <c r="M1182" s="3">
        <v>17139.0</v>
      </c>
      <c r="N1182" s="1" t="str">
        <f t="shared" si="5"/>
        <v>Registered</v>
      </c>
      <c r="O1182" s="1" t="s">
        <v>19</v>
      </c>
      <c r="P1182" s="9" t="str">
        <f t="shared" si="6"/>
        <v>UK</v>
      </c>
      <c r="Q1182" s="8">
        <f t="shared" si="7"/>
        <v>17.4</v>
      </c>
    </row>
    <row r="1183">
      <c r="A1183" s="1">
        <v>544824.0</v>
      </c>
      <c r="B1183" s="1" t="str">
        <f t="shared" si="1"/>
        <v>544824</v>
      </c>
      <c r="C1183" s="1" t="str">
        <f t="shared" si="2"/>
        <v>Sale</v>
      </c>
      <c r="D1183" s="1">
        <v>21181.0</v>
      </c>
      <c r="E1183" s="1" t="str">
        <f>IFERROR(__xludf.DUMMYFUNCTION("IF(LEN(D1183)&gt;4, IFERROR(REGEXEXTRACT(TO_TEXT(D1183),""\d+""),""""),"""")"),"21181")</f>
        <v>21181</v>
      </c>
      <c r="F1183" s="6" t="str">
        <f t="shared" si="3"/>
        <v>Product</v>
      </c>
      <c r="G1183" s="1" t="s">
        <v>776</v>
      </c>
      <c r="H1183" s="6" t="str">
        <f>IFERROR(__xludf.DUMMYFUNCTION("IF(REGEXMATCH(LOWER(G1183), ""^(\?)+\s*(missing)?\s*(\?)*$""), """", PROPER(SUBSTITUTE(SUBSTITUTE(G1183, ""?"", """"), ""*"", """")))"),"Please One Person Metal Sign")</f>
        <v>Please One Person Metal Sign</v>
      </c>
      <c r="I1183" s="3">
        <v>12.0</v>
      </c>
      <c r="J1183" s="7">
        <v>40598.39722222222</v>
      </c>
      <c r="K1183" s="8" t="str">
        <f t="shared" si="4"/>
        <v>2011-02</v>
      </c>
      <c r="L1183" s="5">
        <v>2.1</v>
      </c>
      <c r="M1183" s="3">
        <v>17139.0</v>
      </c>
      <c r="N1183" s="1" t="str">
        <f t="shared" si="5"/>
        <v>Registered</v>
      </c>
      <c r="O1183" s="1" t="s">
        <v>19</v>
      </c>
      <c r="P1183" s="9" t="str">
        <f t="shared" si="6"/>
        <v>UK</v>
      </c>
      <c r="Q1183" s="8">
        <f t="shared" si="7"/>
        <v>25.2</v>
      </c>
    </row>
    <row r="1184">
      <c r="A1184" s="1">
        <v>544824.0</v>
      </c>
      <c r="B1184" s="1" t="str">
        <f t="shared" si="1"/>
        <v>544824</v>
      </c>
      <c r="C1184" s="1" t="str">
        <f t="shared" si="2"/>
        <v>Sale</v>
      </c>
      <c r="D1184" s="1">
        <v>21166.0</v>
      </c>
      <c r="E1184" s="1" t="str">
        <f>IFERROR(__xludf.DUMMYFUNCTION("IF(LEN(D1184)&gt;4, IFERROR(REGEXEXTRACT(TO_TEXT(D1184),""\d+""),""""),"""")"),"21166")</f>
        <v>21166</v>
      </c>
      <c r="F1184" s="6" t="str">
        <f t="shared" si="3"/>
        <v>Product</v>
      </c>
      <c r="G1184" s="1" t="s">
        <v>122</v>
      </c>
      <c r="H1184" s="6" t="str">
        <f>IFERROR(__xludf.DUMMYFUNCTION("IF(REGEXMATCH(LOWER(G1184), ""^(\?)+\s*(missing)?\s*(\?)*$""), """", PROPER(SUBSTITUTE(SUBSTITUTE(G1184, ""?"", """"), ""*"", """")))"),"Cook With Wine Metal Sign")</f>
        <v>Cook With Wine Metal Sign</v>
      </c>
      <c r="I1184" s="3">
        <v>12.0</v>
      </c>
      <c r="J1184" s="7">
        <v>40598.39722222222</v>
      </c>
      <c r="K1184" s="8" t="str">
        <f t="shared" si="4"/>
        <v>2011-02</v>
      </c>
      <c r="L1184" s="5">
        <v>2.08</v>
      </c>
      <c r="M1184" s="3">
        <v>17139.0</v>
      </c>
      <c r="N1184" s="1" t="str">
        <f t="shared" si="5"/>
        <v>Registered</v>
      </c>
      <c r="O1184" s="1" t="s">
        <v>19</v>
      </c>
      <c r="P1184" s="9" t="str">
        <f t="shared" si="6"/>
        <v>UK</v>
      </c>
      <c r="Q1184" s="8">
        <f t="shared" si="7"/>
        <v>24.96</v>
      </c>
    </row>
    <row r="1185">
      <c r="A1185" s="1">
        <v>544824.0</v>
      </c>
      <c r="B1185" s="1" t="str">
        <f t="shared" si="1"/>
        <v>544824</v>
      </c>
      <c r="C1185" s="1" t="str">
        <f t="shared" si="2"/>
        <v>Sale</v>
      </c>
      <c r="D1185" s="1">
        <v>21907.0</v>
      </c>
      <c r="E1185" s="1" t="str">
        <f>IFERROR(__xludf.DUMMYFUNCTION("IF(LEN(D1185)&gt;4, IFERROR(REGEXEXTRACT(TO_TEXT(D1185),""\d+""),""""),"""")"),"21907")</f>
        <v>21907</v>
      </c>
      <c r="F1185" s="6" t="str">
        <f t="shared" si="3"/>
        <v>Product</v>
      </c>
      <c r="G1185" s="1" t="s">
        <v>300</v>
      </c>
      <c r="H1185" s="6" t="str">
        <f>IFERROR(__xludf.DUMMYFUNCTION("IF(REGEXMATCH(LOWER(G1185), ""^(\?)+\s*(missing)?\s*(\?)*$""), """", PROPER(SUBSTITUTE(SUBSTITUTE(G1185, ""?"", """"), ""*"", """")))"),"I'M On Holiday Metal Sign")</f>
        <v>I'M On Holiday Metal Sign</v>
      </c>
      <c r="I1185" s="3">
        <v>12.0</v>
      </c>
      <c r="J1185" s="7">
        <v>40598.39722222222</v>
      </c>
      <c r="K1185" s="8" t="str">
        <f t="shared" si="4"/>
        <v>2011-02</v>
      </c>
      <c r="L1185" s="5">
        <v>2.1</v>
      </c>
      <c r="M1185" s="3">
        <v>17139.0</v>
      </c>
      <c r="N1185" s="1" t="str">
        <f t="shared" si="5"/>
        <v>Registered</v>
      </c>
      <c r="O1185" s="1" t="s">
        <v>19</v>
      </c>
      <c r="P1185" s="9" t="str">
        <f t="shared" si="6"/>
        <v>UK</v>
      </c>
      <c r="Q1185" s="8">
        <f t="shared" si="7"/>
        <v>25.2</v>
      </c>
    </row>
    <row r="1186">
      <c r="A1186" s="1">
        <v>544824.0</v>
      </c>
      <c r="B1186" s="1" t="str">
        <f t="shared" si="1"/>
        <v>544824</v>
      </c>
      <c r="C1186" s="1" t="str">
        <f t="shared" si="2"/>
        <v>Sale</v>
      </c>
      <c r="D1186" s="1">
        <v>22720.0</v>
      </c>
      <c r="E1186" s="1" t="str">
        <f>IFERROR(__xludf.DUMMYFUNCTION("IF(LEN(D1186)&gt;4, IFERROR(REGEXEXTRACT(TO_TEXT(D1186),""\d+""),""""),"""")"),"22720")</f>
        <v>22720</v>
      </c>
      <c r="F1186" s="6" t="str">
        <f t="shared" si="3"/>
        <v>Product</v>
      </c>
      <c r="G1186" s="1" t="s">
        <v>685</v>
      </c>
      <c r="H1186" s="6" t="str">
        <f>IFERROR(__xludf.DUMMYFUNCTION("IF(REGEXMATCH(LOWER(G1186), ""^(\?)+\s*(missing)?\s*(\?)*$""), """", PROPER(SUBSTITUTE(SUBSTITUTE(G1186, ""?"", """"), ""*"", """")))"),"Set Of 3 Cake Tins Pantry Design")</f>
        <v>Set Of 3 Cake Tins Pantry Design</v>
      </c>
      <c r="I1186" s="3">
        <v>3.0</v>
      </c>
      <c r="J1186" s="7">
        <v>40598.39722222222</v>
      </c>
      <c r="K1186" s="8" t="str">
        <f t="shared" si="4"/>
        <v>2011-02</v>
      </c>
      <c r="L1186" s="5">
        <v>4.95</v>
      </c>
      <c r="M1186" s="3">
        <v>17139.0</v>
      </c>
      <c r="N1186" s="1" t="str">
        <f t="shared" si="5"/>
        <v>Registered</v>
      </c>
      <c r="O1186" s="1" t="s">
        <v>19</v>
      </c>
      <c r="P1186" s="9" t="str">
        <f t="shared" si="6"/>
        <v>UK</v>
      </c>
      <c r="Q1186" s="8">
        <f t="shared" si="7"/>
        <v>14.85</v>
      </c>
    </row>
    <row r="1187">
      <c r="A1187" s="1">
        <v>544824.0</v>
      </c>
      <c r="B1187" s="1" t="str">
        <f t="shared" si="1"/>
        <v>544824</v>
      </c>
      <c r="C1187" s="1" t="str">
        <f t="shared" si="2"/>
        <v>Sale</v>
      </c>
      <c r="D1187" s="1">
        <v>22960.0</v>
      </c>
      <c r="E1187" s="1" t="str">
        <f>IFERROR(__xludf.DUMMYFUNCTION("IF(LEN(D1187)&gt;4, IFERROR(REGEXEXTRACT(TO_TEXT(D1187),""\d+""),""""),"""")"),"22960")</f>
        <v>22960</v>
      </c>
      <c r="F1187" s="6" t="str">
        <f t="shared" si="3"/>
        <v>Product</v>
      </c>
      <c r="G1187" s="1" t="s">
        <v>43</v>
      </c>
      <c r="H1187" s="6" t="str">
        <f>IFERROR(__xludf.DUMMYFUNCTION("IF(REGEXMATCH(LOWER(G1187), ""^(\?)+\s*(missing)?\s*(\?)*$""), """", PROPER(SUBSTITUTE(SUBSTITUTE(G1187, ""?"", """"), ""*"", """")))"),"Jam Making Set With Jars")</f>
        <v>Jam Making Set With Jars</v>
      </c>
      <c r="I1187" s="3">
        <v>6.0</v>
      </c>
      <c r="J1187" s="7">
        <v>40598.39722222222</v>
      </c>
      <c r="K1187" s="8" t="str">
        <f t="shared" si="4"/>
        <v>2011-02</v>
      </c>
      <c r="L1187" s="5">
        <v>4.25</v>
      </c>
      <c r="M1187" s="3">
        <v>17139.0</v>
      </c>
      <c r="N1187" s="1" t="str">
        <f t="shared" si="5"/>
        <v>Registered</v>
      </c>
      <c r="O1187" s="1" t="s">
        <v>19</v>
      </c>
      <c r="P1187" s="9" t="str">
        <f t="shared" si="6"/>
        <v>UK</v>
      </c>
      <c r="Q1187" s="8">
        <f t="shared" si="7"/>
        <v>25.5</v>
      </c>
    </row>
    <row r="1188">
      <c r="A1188" s="1">
        <v>544824.0</v>
      </c>
      <c r="B1188" s="1" t="str">
        <f t="shared" si="1"/>
        <v>544824</v>
      </c>
      <c r="C1188" s="1" t="str">
        <f t="shared" si="2"/>
        <v>Sale</v>
      </c>
      <c r="D1188" s="1">
        <v>22980.0</v>
      </c>
      <c r="E1188" s="1" t="str">
        <f>IFERROR(__xludf.DUMMYFUNCTION("IF(LEN(D1188)&gt;4, IFERROR(REGEXEXTRACT(TO_TEXT(D1188),""\d+""),""""),"""")"),"22980")</f>
        <v>22980</v>
      </c>
      <c r="F1188" s="6" t="str">
        <f t="shared" si="3"/>
        <v>Product</v>
      </c>
      <c r="G1188" s="1" t="s">
        <v>777</v>
      </c>
      <c r="H1188" s="6" t="str">
        <f>IFERROR(__xludf.DUMMYFUNCTION("IF(REGEXMATCH(LOWER(G1188), ""^(\?)+\s*(missing)?\s*(\?)*$""), """", PROPER(SUBSTITUTE(SUBSTITUTE(G1188, ""?"", """"), ""*"", """")))"),"Pantry Scrubbing Brush")</f>
        <v>Pantry Scrubbing Brush</v>
      </c>
      <c r="I1188" s="3">
        <v>12.0</v>
      </c>
      <c r="J1188" s="7">
        <v>40598.39722222222</v>
      </c>
      <c r="K1188" s="8" t="str">
        <f t="shared" si="4"/>
        <v>2011-02</v>
      </c>
      <c r="L1188" s="5">
        <v>1.65</v>
      </c>
      <c r="M1188" s="3">
        <v>17139.0</v>
      </c>
      <c r="N1188" s="1" t="str">
        <f t="shared" si="5"/>
        <v>Registered</v>
      </c>
      <c r="O1188" s="1" t="s">
        <v>19</v>
      </c>
      <c r="P1188" s="9" t="str">
        <f t="shared" si="6"/>
        <v>UK</v>
      </c>
      <c r="Q1188" s="8">
        <f t="shared" si="7"/>
        <v>19.8</v>
      </c>
    </row>
    <row r="1189">
      <c r="A1189" s="1">
        <v>544824.0</v>
      </c>
      <c r="B1189" s="1" t="str">
        <f t="shared" si="1"/>
        <v>544824</v>
      </c>
      <c r="C1189" s="1" t="str">
        <f t="shared" si="2"/>
        <v>Sale</v>
      </c>
      <c r="D1189" s="1">
        <v>22978.0</v>
      </c>
      <c r="E1189" s="1" t="str">
        <f>IFERROR(__xludf.DUMMYFUNCTION("IF(LEN(D1189)&gt;4, IFERROR(REGEXEXTRACT(TO_TEXT(D1189),""\d+""),""""),"""")"),"22978")</f>
        <v>22978</v>
      </c>
      <c r="F1189" s="6" t="str">
        <f t="shared" si="3"/>
        <v>Product</v>
      </c>
      <c r="G1189" s="1" t="s">
        <v>778</v>
      </c>
      <c r="H1189" s="6" t="str">
        <f>IFERROR(__xludf.DUMMYFUNCTION("IF(REGEXMATCH(LOWER(G1189), ""^(\?)+\s*(missing)?\s*(\?)*$""), """", PROPER(SUBSTITUTE(SUBSTITUTE(G1189, ""?"", """"), ""*"", """")))"),"Pantry Rolling Pin")</f>
        <v>Pantry Rolling Pin</v>
      </c>
      <c r="I1189" s="3">
        <v>6.0</v>
      </c>
      <c r="J1189" s="7">
        <v>40598.39722222222</v>
      </c>
      <c r="K1189" s="8" t="str">
        <f t="shared" si="4"/>
        <v>2011-02</v>
      </c>
      <c r="L1189" s="5">
        <v>3.75</v>
      </c>
      <c r="M1189" s="3">
        <v>17139.0</v>
      </c>
      <c r="N1189" s="1" t="str">
        <f t="shared" si="5"/>
        <v>Registered</v>
      </c>
      <c r="O1189" s="1" t="s">
        <v>19</v>
      </c>
      <c r="P1189" s="9" t="str">
        <f t="shared" si="6"/>
        <v>UK</v>
      </c>
      <c r="Q1189" s="8">
        <f t="shared" si="7"/>
        <v>22.5</v>
      </c>
    </row>
    <row r="1190">
      <c r="A1190" s="1">
        <v>544824.0</v>
      </c>
      <c r="B1190" s="1" t="str">
        <f t="shared" si="1"/>
        <v>544824</v>
      </c>
      <c r="C1190" s="1" t="str">
        <f t="shared" si="2"/>
        <v>Sale</v>
      </c>
      <c r="D1190" s="1">
        <v>22993.0</v>
      </c>
      <c r="E1190" s="1" t="str">
        <f>IFERROR(__xludf.DUMMYFUNCTION("IF(LEN(D1190)&gt;4, IFERROR(REGEXEXTRACT(TO_TEXT(D1190),""\d+""),""""),"""")"),"22993")</f>
        <v>22993</v>
      </c>
      <c r="F1190" s="6" t="str">
        <f t="shared" si="3"/>
        <v>Product</v>
      </c>
      <c r="G1190" s="1" t="s">
        <v>709</v>
      </c>
      <c r="H1190" s="6" t="str">
        <f>IFERROR(__xludf.DUMMYFUNCTION("IF(REGEXMATCH(LOWER(G1190), ""^(\?)+\s*(missing)?\s*(\?)*$""), """", PROPER(SUBSTITUTE(SUBSTITUTE(G1190, ""?"", """"), ""*"", """")))"),"Set Of 4 Pantry Jelly Moulds")</f>
        <v>Set Of 4 Pantry Jelly Moulds</v>
      </c>
      <c r="I1190" s="3">
        <v>12.0</v>
      </c>
      <c r="J1190" s="7">
        <v>40598.39722222222</v>
      </c>
      <c r="K1190" s="8" t="str">
        <f t="shared" si="4"/>
        <v>2011-02</v>
      </c>
      <c r="L1190" s="5">
        <v>1.25</v>
      </c>
      <c r="M1190" s="3">
        <v>17139.0</v>
      </c>
      <c r="N1190" s="1" t="str">
        <f t="shared" si="5"/>
        <v>Registered</v>
      </c>
      <c r="O1190" s="1" t="s">
        <v>19</v>
      </c>
      <c r="P1190" s="9" t="str">
        <f t="shared" si="6"/>
        <v>UK</v>
      </c>
      <c r="Q1190" s="8">
        <f t="shared" si="7"/>
        <v>15</v>
      </c>
    </row>
    <row r="1191">
      <c r="A1191" s="1">
        <v>544824.0</v>
      </c>
      <c r="B1191" s="1" t="str">
        <f t="shared" si="1"/>
        <v>544824</v>
      </c>
      <c r="C1191" s="1" t="str">
        <f t="shared" si="2"/>
        <v>Sale</v>
      </c>
      <c r="D1191" s="1">
        <v>22966.0</v>
      </c>
      <c r="E1191" s="1" t="str">
        <f>IFERROR(__xludf.DUMMYFUNCTION("IF(LEN(D1191)&gt;4, IFERROR(REGEXEXTRACT(TO_TEXT(D1191),""\d+""),""""),"""")"),"22966")</f>
        <v>22966</v>
      </c>
      <c r="F1191" s="6" t="str">
        <f t="shared" si="3"/>
        <v>Product</v>
      </c>
      <c r="G1191" s="1" t="s">
        <v>779</v>
      </c>
      <c r="H1191" s="6" t="str">
        <f>IFERROR(__xludf.DUMMYFUNCTION("IF(REGEXMATCH(LOWER(G1191), ""^(\?)+\s*(missing)?\s*(\?)*$""), """", PROPER(SUBSTITUTE(SUBSTITUTE(G1191, ""?"", """"), ""*"", """")))"),"Gingerbread Man Cookie Cutter")</f>
        <v>Gingerbread Man Cookie Cutter</v>
      </c>
      <c r="I1191" s="3">
        <v>12.0</v>
      </c>
      <c r="J1191" s="7">
        <v>40598.39722222222</v>
      </c>
      <c r="K1191" s="8" t="str">
        <f t="shared" si="4"/>
        <v>2011-02</v>
      </c>
      <c r="L1191" s="5">
        <v>1.25</v>
      </c>
      <c r="M1191" s="3">
        <v>17139.0</v>
      </c>
      <c r="N1191" s="1" t="str">
        <f t="shared" si="5"/>
        <v>Registered</v>
      </c>
      <c r="O1191" s="1" t="s">
        <v>19</v>
      </c>
      <c r="P1191" s="9" t="str">
        <f t="shared" si="6"/>
        <v>UK</v>
      </c>
      <c r="Q1191" s="8">
        <f t="shared" si="7"/>
        <v>15</v>
      </c>
    </row>
    <row r="1192">
      <c r="A1192" s="1">
        <v>544824.0</v>
      </c>
      <c r="B1192" s="1" t="str">
        <f t="shared" si="1"/>
        <v>544824</v>
      </c>
      <c r="C1192" s="1" t="str">
        <f t="shared" si="2"/>
        <v>Sale</v>
      </c>
      <c r="D1192" s="1">
        <v>22965.0</v>
      </c>
      <c r="E1192" s="1" t="str">
        <f>IFERROR(__xludf.DUMMYFUNCTION("IF(LEN(D1192)&gt;4, IFERROR(REGEXEXTRACT(TO_TEXT(D1192),""\d+""),""""),"""")"),"22965")</f>
        <v>22965</v>
      </c>
      <c r="F1192" s="6" t="str">
        <f t="shared" si="3"/>
        <v>Product</v>
      </c>
      <c r="G1192" s="1" t="s">
        <v>780</v>
      </c>
      <c r="H1192" s="6" t="str">
        <f>IFERROR(__xludf.DUMMYFUNCTION("IF(REGEXMATCH(LOWER(G1192), ""^(\?)+\s*(missing)?\s*(\?)*$""), """", PROPER(SUBSTITUTE(SUBSTITUTE(G1192, ""?"", """"), ""*"", """")))"),"3 Traditional Biscuit Cutters Set")</f>
        <v>3 Traditional Biscuit Cutters Set</v>
      </c>
      <c r="I1192" s="3">
        <v>6.0</v>
      </c>
      <c r="J1192" s="7">
        <v>40598.39722222222</v>
      </c>
      <c r="K1192" s="8" t="str">
        <f t="shared" si="4"/>
        <v>2011-02</v>
      </c>
      <c r="L1192" s="5">
        <v>2.1</v>
      </c>
      <c r="M1192" s="3">
        <v>17139.0</v>
      </c>
      <c r="N1192" s="1" t="str">
        <f t="shared" si="5"/>
        <v>Registered</v>
      </c>
      <c r="O1192" s="1" t="s">
        <v>19</v>
      </c>
      <c r="P1192" s="9" t="str">
        <f t="shared" si="6"/>
        <v>UK</v>
      </c>
      <c r="Q1192" s="8">
        <f t="shared" si="7"/>
        <v>12.6</v>
      </c>
    </row>
    <row r="1193">
      <c r="A1193" s="1">
        <v>544824.0</v>
      </c>
      <c r="B1193" s="1" t="str">
        <f t="shared" si="1"/>
        <v>544824</v>
      </c>
      <c r="C1193" s="1" t="str">
        <f t="shared" si="2"/>
        <v>Sale</v>
      </c>
      <c r="D1193" s="1">
        <v>84380.0</v>
      </c>
      <c r="E1193" s="1" t="str">
        <f>IFERROR(__xludf.DUMMYFUNCTION("IF(LEN(D1193)&gt;4, IFERROR(REGEXEXTRACT(TO_TEXT(D1193),""\d+""),""""),"""")"),"84380")</f>
        <v>84380</v>
      </c>
      <c r="F1193" s="6" t="str">
        <f t="shared" si="3"/>
        <v>Product</v>
      </c>
      <c r="G1193" s="1" t="s">
        <v>349</v>
      </c>
      <c r="H1193" s="6" t="str">
        <f>IFERROR(__xludf.DUMMYFUNCTION("IF(REGEXMATCH(LOWER(G1193), ""^(\?)+\s*(missing)?\s*(\?)*$""), """", PROPER(SUBSTITUTE(SUBSTITUTE(G1193, ""?"", """"), ""*"", """")))"),"Set Of 3 Butterfly Cookie Cutters")</f>
        <v>Set Of 3 Butterfly Cookie Cutters</v>
      </c>
      <c r="I1193" s="3">
        <v>12.0</v>
      </c>
      <c r="J1193" s="7">
        <v>40598.39722222222</v>
      </c>
      <c r="K1193" s="8" t="str">
        <f t="shared" si="4"/>
        <v>2011-02</v>
      </c>
      <c r="L1193" s="5">
        <v>1.25</v>
      </c>
      <c r="M1193" s="3">
        <v>17139.0</v>
      </c>
      <c r="N1193" s="1" t="str">
        <f t="shared" si="5"/>
        <v>Registered</v>
      </c>
      <c r="O1193" s="1" t="s">
        <v>19</v>
      </c>
      <c r="P1193" s="9" t="str">
        <f t="shared" si="6"/>
        <v>UK</v>
      </c>
      <c r="Q1193" s="8">
        <f t="shared" si="7"/>
        <v>15</v>
      </c>
    </row>
    <row r="1194">
      <c r="A1194" s="1">
        <v>544824.0</v>
      </c>
      <c r="B1194" s="1" t="str">
        <f t="shared" si="1"/>
        <v>544824</v>
      </c>
      <c r="C1194" s="1" t="str">
        <f t="shared" si="2"/>
        <v>Sale</v>
      </c>
      <c r="D1194" s="1">
        <v>22666.0</v>
      </c>
      <c r="E1194" s="1" t="str">
        <f>IFERROR(__xludf.DUMMYFUNCTION("IF(LEN(D1194)&gt;4, IFERROR(REGEXEXTRACT(TO_TEXT(D1194),""\d+""),""""),"""")"),"22666")</f>
        <v>22666</v>
      </c>
      <c r="F1194" s="6" t="str">
        <f t="shared" si="3"/>
        <v>Product</v>
      </c>
      <c r="G1194" s="1" t="s">
        <v>781</v>
      </c>
      <c r="H1194" s="6" t="str">
        <f>IFERROR(__xludf.DUMMYFUNCTION("IF(REGEXMATCH(LOWER(G1194), ""^(\?)+\s*(missing)?\s*(\?)*$""), """", PROPER(SUBSTITUTE(SUBSTITUTE(G1194, ""?"", """"), ""*"", """")))"),"Recipe Box Pantry Yellow Design")</f>
        <v>Recipe Box Pantry Yellow Design</v>
      </c>
      <c r="I1194" s="3">
        <v>6.0</v>
      </c>
      <c r="J1194" s="7">
        <v>40598.39722222222</v>
      </c>
      <c r="K1194" s="8" t="str">
        <f t="shared" si="4"/>
        <v>2011-02</v>
      </c>
      <c r="L1194" s="5">
        <v>2.95</v>
      </c>
      <c r="M1194" s="3">
        <v>17139.0</v>
      </c>
      <c r="N1194" s="1" t="str">
        <f t="shared" si="5"/>
        <v>Registered</v>
      </c>
      <c r="O1194" s="1" t="s">
        <v>19</v>
      </c>
      <c r="P1194" s="9" t="str">
        <f t="shared" si="6"/>
        <v>UK</v>
      </c>
      <c r="Q1194" s="8">
        <f t="shared" si="7"/>
        <v>17.7</v>
      </c>
    </row>
    <row r="1195">
      <c r="A1195" s="1">
        <v>544824.0</v>
      </c>
      <c r="B1195" s="1" t="str">
        <f t="shared" si="1"/>
        <v>544824</v>
      </c>
      <c r="C1195" s="1" t="str">
        <f t="shared" si="2"/>
        <v>Sale</v>
      </c>
      <c r="D1195" s="1">
        <v>22840.0</v>
      </c>
      <c r="E1195" s="1" t="str">
        <f>IFERROR(__xludf.DUMMYFUNCTION("IF(LEN(D1195)&gt;4, IFERROR(REGEXEXTRACT(TO_TEXT(D1195),""\d+""),""""),"""")"),"22840")</f>
        <v>22840</v>
      </c>
      <c r="F1195" s="6" t="str">
        <f t="shared" si="3"/>
        <v>Product</v>
      </c>
      <c r="G1195" s="1" t="s">
        <v>782</v>
      </c>
      <c r="H1195" s="6" t="str">
        <f>IFERROR(__xludf.DUMMYFUNCTION("IF(REGEXMATCH(LOWER(G1195), ""^(\?)+\s*(missing)?\s*(\?)*$""), """", PROPER(SUBSTITUTE(SUBSTITUTE(G1195, ""?"", """"), ""*"", """")))"),"Round Cake Tin Vintage Red")</f>
        <v>Round Cake Tin Vintage Red</v>
      </c>
      <c r="I1195" s="3">
        <v>2.0</v>
      </c>
      <c r="J1195" s="7">
        <v>40598.39722222222</v>
      </c>
      <c r="K1195" s="8" t="str">
        <f t="shared" si="4"/>
        <v>2011-02</v>
      </c>
      <c r="L1195" s="5">
        <v>7.95</v>
      </c>
      <c r="M1195" s="3">
        <v>17139.0</v>
      </c>
      <c r="N1195" s="1" t="str">
        <f t="shared" si="5"/>
        <v>Registered</v>
      </c>
      <c r="O1195" s="1" t="s">
        <v>19</v>
      </c>
      <c r="P1195" s="9" t="str">
        <f t="shared" si="6"/>
        <v>UK</v>
      </c>
      <c r="Q1195" s="8">
        <f t="shared" si="7"/>
        <v>15.9</v>
      </c>
    </row>
    <row r="1196">
      <c r="A1196" s="1">
        <v>544824.0</v>
      </c>
      <c r="B1196" s="1" t="str">
        <f t="shared" si="1"/>
        <v>544824</v>
      </c>
      <c r="C1196" s="1" t="str">
        <f t="shared" si="2"/>
        <v>Sale</v>
      </c>
      <c r="D1196" s="1">
        <v>22842.0</v>
      </c>
      <c r="E1196" s="1" t="str">
        <f>IFERROR(__xludf.DUMMYFUNCTION("IF(LEN(D1196)&gt;4, IFERROR(REGEXEXTRACT(TO_TEXT(D1196),""\d+""),""""),"""")"),"22842")</f>
        <v>22842</v>
      </c>
      <c r="F1196" s="6" t="str">
        <f t="shared" si="3"/>
        <v>Product</v>
      </c>
      <c r="G1196" s="1" t="s">
        <v>783</v>
      </c>
      <c r="H1196" s="6" t="str">
        <f>IFERROR(__xludf.DUMMYFUNCTION("IF(REGEXMATCH(LOWER(G1196), ""^(\?)+\s*(missing)?\s*(\?)*$""), """", PROPER(SUBSTITUTE(SUBSTITUTE(G1196, ""?"", """"), ""*"", """")))"),"Biscuit Tin Vintage Red")</f>
        <v>Biscuit Tin Vintage Red</v>
      </c>
      <c r="I1196" s="3">
        <v>2.0</v>
      </c>
      <c r="J1196" s="7">
        <v>40598.39722222222</v>
      </c>
      <c r="K1196" s="8" t="str">
        <f t="shared" si="4"/>
        <v>2011-02</v>
      </c>
      <c r="L1196" s="5">
        <v>6.75</v>
      </c>
      <c r="M1196" s="3">
        <v>17139.0</v>
      </c>
      <c r="N1196" s="1" t="str">
        <f t="shared" si="5"/>
        <v>Registered</v>
      </c>
      <c r="O1196" s="1" t="s">
        <v>19</v>
      </c>
      <c r="P1196" s="9" t="str">
        <f t="shared" si="6"/>
        <v>UK</v>
      </c>
      <c r="Q1196" s="8">
        <f t="shared" si="7"/>
        <v>13.5</v>
      </c>
    </row>
    <row r="1197">
      <c r="A1197" s="1">
        <v>544824.0</v>
      </c>
      <c r="B1197" s="1" t="str">
        <f t="shared" si="1"/>
        <v>544824</v>
      </c>
      <c r="C1197" s="1" t="str">
        <f t="shared" si="2"/>
        <v>Sale</v>
      </c>
      <c r="D1197" s="1">
        <v>22626.0</v>
      </c>
      <c r="E1197" s="1" t="str">
        <f>IFERROR(__xludf.DUMMYFUNCTION("IF(LEN(D1197)&gt;4, IFERROR(REGEXEXTRACT(TO_TEXT(D1197),""\d+""),""""),"""")"),"22626")</f>
        <v>22626</v>
      </c>
      <c r="F1197" s="6" t="str">
        <f t="shared" si="3"/>
        <v>Product</v>
      </c>
      <c r="G1197" s="1" t="s">
        <v>784</v>
      </c>
      <c r="H1197" s="6" t="str">
        <f>IFERROR(__xludf.DUMMYFUNCTION("IF(REGEXMATCH(LOWER(G1197), ""^(\?)+\s*(missing)?\s*(\?)*$""), """", PROPER(SUBSTITUTE(SUBSTITUTE(G1197, ""?"", """"), ""*"", """")))"),"Black Kitchen Scales")</f>
        <v>Black Kitchen Scales</v>
      </c>
      <c r="I1197" s="3">
        <v>2.0</v>
      </c>
      <c r="J1197" s="7">
        <v>40598.39722222222</v>
      </c>
      <c r="K1197" s="8" t="str">
        <f t="shared" si="4"/>
        <v>2011-02</v>
      </c>
      <c r="L1197" s="5">
        <v>8.5</v>
      </c>
      <c r="M1197" s="3">
        <v>17139.0</v>
      </c>
      <c r="N1197" s="1" t="str">
        <f t="shared" si="5"/>
        <v>Registered</v>
      </c>
      <c r="O1197" s="1" t="s">
        <v>19</v>
      </c>
      <c r="P1197" s="9" t="str">
        <f t="shared" si="6"/>
        <v>UK</v>
      </c>
      <c r="Q1197" s="8">
        <f t="shared" si="7"/>
        <v>17</v>
      </c>
    </row>
    <row r="1198">
      <c r="A1198" s="1">
        <v>544824.0</v>
      </c>
      <c r="B1198" s="1" t="str">
        <f t="shared" si="1"/>
        <v>544824</v>
      </c>
      <c r="C1198" s="1" t="str">
        <f t="shared" si="2"/>
        <v>Sale</v>
      </c>
      <c r="D1198" s="1">
        <v>22624.0</v>
      </c>
      <c r="E1198" s="1" t="str">
        <f>IFERROR(__xludf.DUMMYFUNCTION("IF(LEN(D1198)&gt;4, IFERROR(REGEXEXTRACT(TO_TEXT(D1198),""\d+""),""""),"""")"),"22624")</f>
        <v>22624</v>
      </c>
      <c r="F1198" s="6" t="str">
        <f t="shared" si="3"/>
        <v>Product</v>
      </c>
      <c r="G1198" s="1" t="s">
        <v>771</v>
      </c>
      <c r="H1198" s="6" t="str">
        <f>IFERROR(__xludf.DUMMYFUNCTION("IF(REGEXMATCH(LOWER(G1198), ""^(\?)+\s*(missing)?\s*(\?)*$""), """", PROPER(SUBSTITUTE(SUBSTITUTE(G1198, ""?"", """"), ""*"", """")))"),"Ivory Kitchen Scales")</f>
        <v>Ivory Kitchen Scales</v>
      </c>
      <c r="I1198" s="3">
        <v>2.0</v>
      </c>
      <c r="J1198" s="7">
        <v>40598.39722222222</v>
      </c>
      <c r="K1198" s="8" t="str">
        <f t="shared" si="4"/>
        <v>2011-02</v>
      </c>
      <c r="L1198" s="5">
        <v>8.5</v>
      </c>
      <c r="M1198" s="3">
        <v>17139.0</v>
      </c>
      <c r="N1198" s="1" t="str">
        <f t="shared" si="5"/>
        <v>Registered</v>
      </c>
      <c r="O1198" s="1" t="s">
        <v>19</v>
      </c>
      <c r="P1198" s="9" t="str">
        <f t="shared" si="6"/>
        <v>UK</v>
      </c>
      <c r="Q1198" s="8">
        <f t="shared" si="7"/>
        <v>17</v>
      </c>
    </row>
    <row r="1199">
      <c r="A1199" s="1">
        <v>544824.0</v>
      </c>
      <c r="B1199" s="1" t="str">
        <f t="shared" si="1"/>
        <v>544824</v>
      </c>
      <c r="C1199" s="1" t="str">
        <f t="shared" si="2"/>
        <v>Sale</v>
      </c>
      <c r="D1199" s="1">
        <v>22852.0</v>
      </c>
      <c r="E1199" s="1" t="str">
        <f>IFERROR(__xludf.DUMMYFUNCTION("IF(LEN(D1199)&gt;4, IFERROR(REGEXEXTRACT(TO_TEXT(D1199),""\d+""),""""),"""")"),"22852")</f>
        <v>22852</v>
      </c>
      <c r="F1199" s="6" t="str">
        <f t="shared" si="3"/>
        <v>Product</v>
      </c>
      <c r="G1199" s="1" t="s">
        <v>785</v>
      </c>
      <c r="H1199" s="6" t="str">
        <f>IFERROR(__xludf.DUMMYFUNCTION("IF(REGEXMATCH(LOWER(G1199), ""^(\?)+\s*(missing)?\s*(\?)*$""), """", PROPER(SUBSTITUTE(SUBSTITUTE(G1199, ""?"", """"), ""*"", """")))"),"Dog Bowl Vintage Cream")</f>
        <v>Dog Bowl Vintage Cream</v>
      </c>
      <c r="I1199" s="3">
        <v>4.0</v>
      </c>
      <c r="J1199" s="7">
        <v>40598.39722222222</v>
      </c>
      <c r="K1199" s="8" t="str">
        <f t="shared" si="4"/>
        <v>2011-02</v>
      </c>
      <c r="L1199" s="5">
        <v>4.25</v>
      </c>
      <c r="M1199" s="3">
        <v>17139.0</v>
      </c>
      <c r="N1199" s="1" t="str">
        <f t="shared" si="5"/>
        <v>Registered</v>
      </c>
      <c r="O1199" s="1" t="s">
        <v>19</v>
      </c>
      <c r="P1199" s="9" t="str">
        <f t="shared" si="6"/>
        <v>UK</v>
      </c>
      <c r="Q1199" s="8">
        <f t="shared" si="7"/>
        <v>17</v>
      </c>
    </row>
    <row r="1200">
      <c r="A1200" s="1">
        <v>544824.0</v>
      </c>
      <c r="B1200" s="1" t="str">
        <f t="shared" si="1"/>
        <v>544824</v>
      </c>
      <c r="C1200" s="1" t="str">
        <f t="shared" si="2"/>
        <v>Sale</v>
      </c>
      <c r="D1200" s="1">
        <v>22844.0</v>
      </c>
      <c r="E1200" s="1" t="str">
        <f>IFERROR(__xludf.DUMMYFUNCTION("IF(LEN(D1200)&gt;4, IFERROR(REGEXEXTRACT(TO_TEXT(D1200),""\d+""),""""),"""")"),"22844")</f>
        <v>22844</v>
      </c>
      <c r="F1200" s="6" t="str">
        <f t="shared" si="3"/>
        <v>Product</v>
      </c>
      <c r="G1200" s="1" t="s">
        <v>786</v>
      </c>
      <c r="H1200" s="6" t="str">
        <f>IFERROR(__xludf.DUMMYFUNCTION("IF(REGEXMATCH(LOWER(G1200), ""^(\?)+\s*(missing)?\s*(\?)*$""), """", PROPER(SUBSTITUTE(SUBSTITUTE(G1200, ""?"", """"), ""*"", """")))"),"Vintage Cream Dog Food Container")</f>
        <v>Vintage Cream Dog Food Container</v>
      </c>
      <c r="I1200" s="3">
        <v>2.0</v>
      </c>
      <c r="J1200" s="7">
        <v>40598.39722222222</v>
      </c>
      <c r="K1200" s="8" t="str">
        <f t="shared" si="4"/>
        <v>2011-02</v>
      </c>
      <c r="L1200" s="5">
        <v>8.5</v>
      </c>
      <c r="M1200" s="3">
        <v>17139.0</v>
      </c>
      <c r="N1200" s="1" t="str">
        <f t="shared" si="5"/>
        <v>Registered</v>
      </c>
      <c r="O1200" s="1" t="s">
        <v>19</v>
      </c>
      <c r="P1200" s="9" t="str">
        <f t="shared" si="6"/>
        <v>UK</v>
      </c>
      <c r="Q1200" s="8">
        <f t="shared" si="7"/>
        <v>17</v>
      </c>
    </row>
    <row r="1201">
      <c r="A1201" s="1">
        <v>544824.0</v>
      </c>
      <c r="B1201" s="1" t="str">
        <f t="shared" si="1"/>
        <v>544824</v>
      </c>
      <c r="C1201" s="1" t="str">
        <f t="shared" si="2"/>
        <v>Sale</v>
      </c>
      <c r="D1201" s="1">
        <v>22845.0</v>
      </c>
      <c r="E1201" s="1" t="str">
        <f>IFERROR(__xludf.DUMMYFUNCTION("IF(LEN(D1201)&gt;4, IFERROR(REGEXEXTRACT(TO_TEXT(D1201),""\d+""),""""),"""")"),"22845")</f>
        <v>22845</v>
      </c>
      <c r="F1201" s="6" t="str">
        <f t="shared" si="3"/>
        <v>Product</v>
      </c>
      <c r="G1201" s="1" t="s">
        <v>787</v>
      </c>
      <c r="H1201" s="6" t="str">
        <f>IFERROR(__xludf.DUMMYFUNCTION("IF(REGEXMATCH(LOWER(G1201), ""^(\?)+\s*(missing)?\s*(\?)*$""), """", PROPER(SUBSTITUTE(SUBSTITUTE(G1201, ""?"", """"), ""*"", """")))"),"Vintage Cream Cat Food Container")</f>
        <v>Vintage Cream Cat Food Container</v>
      </c>
      <c r="I1201" s="3">
        <v>2.0</v>
      </c>
      <c r="J1201" s="7">
        <v>40598.39722222222</v>
      </c>
      <c r="K1201" s="8" t="str">
        <f t="shared" si="4"/>
        <v>2011-02</v>
      </c>
      <c r="L1201" s="5">
        <v>6.35</v>
      </c>
      <c r="M1201" s="3">
        <v>17139.0</v>
      </c>
      <c r="N1201" s="1" t="str">
        <f t="shared" si="5"/>
        <v>Registered</v>
      </c>
      <c r="O1201" s="1" t="s">
        <v>19</v>
      </c>
      <c r="P1201" s="9" t="str">
        <f t="shared" si="6"/>
        <v>UK</v>
      </c>
      <c r="Q1201" s="8">
        <f t="shared" si="7"/>
        <v>12.7</v>
      </c>
    </row>
    <row r="1202">
      <c r="A1202" s="1">
        <v>544824.0</v>
      </c>
      <c r="B1202" s="1" t="str">
        <f t="shared" si="1"/>
        <v>544824</v>
      </c>
      <c r="C1202" s="1" t="str">
        <f t="shared" si="2"/>
        <v>Sale</v>
      </c>
      <c r="D1202" s="1">
        <v>22853.0</v>
      </c>
      <c r="E1202" s="1" t="str">
        <f>IFERROR(__xludf.DUMMYFUNCTION("IF(LEN(D1202)&gt;4, IFERROR(REGEXEXTRACT(TO_TEXT(D1202),""\d+""),""""),"""")"),"22853")</f>
        <v>22853</v>
      </c>
      <c r="F1202" s="6" t="str">
        <f t="shared" si="3"/>
        <v>Product</v>
      </c>
      <c r="G1202" s="1" t="s">
        <v>788</v>
      </c>
      <c r="H1202" s="6" t="str">
        <f>IFERROR(__xludf.DUMMYFUNCTION("IF(REGEXMATCH(LOWER(G1202), ""^(\?)+\s*(missing)?\s*(\?)*$""), """", PROPER(SUBSTITUTE(SUBSTITUTE(G1202, ""?"", """"), ""*"", """")))"),"Cat Bowl Vintage Cream")</f>
        <v>Cat Bowl Vintage Cream</v>
      </c>
      <c r="I1202" s="3">
        <v>6.0</v>
      </c>
      <c r="J1202" s="7">
        <v>40598.39722222222</v>
      </c>
      <c r="K1202" s="8" t="str">
        <f t="shared" si="4"/>
        <v>2011-02</v>
      </c>
      <c r="L1202" s="5">
        <v>3.25</v>
      </c>
      <c r="M1202" s="3">
        <v>17139.0</v>
      </c>
      <c r="N1202" s="1" t="str">
        <f t="shared" si="5"/>
        <v>Registered</v>
      </c>
      <c r="O1202" s="1" t="s">
        <v>19</v>
      </c>
      <c r="P1202" s="9" t="str">
        <f t="shared" si="6"/>
        <v>UK</v>
      </c>
      <c r="Q1202" s="8">
        <f t="shared" si="7"/>
        <v>19.5</v>
      </c>
    </row>
    <row r="1203">
      <c r="A1203" s="1">
        <v>544824.0</v>
      </c>
      <c r="B1203" s="1" t="str">
        <f t="shared" si="1"/>
        <v>544824</v>
      </c>
      <c r="C1203" s="1" t="str">
        <f t="shared" si="2"/>
        <v>Sale</v>
      </c>
      <c r="D1203" s="1">
        <v>22827.0</v>
      </c>
      <c r="E1203" s="1" t="str">
        <f>IFERROR(__xludf.DUMMYFUNCTION("IF(LEN(D1203)&gt;4, IFERROR(REGEXEXTRACT(TO_TEXT(D1203),""\d+""),""""),"""")"),"22827")</f>
        <v>22827</v>
      </c>
      <c r="F1203" s="6" t="str">
        <f t="shared" si="3"/>
        <v>Product</v>
      </c>
      <c r="G1203" s="1" t="s">
        <v>239</v>
      </c>
      <c r="H1203" s="6" t="str">
        <f>IFERROR(__xludf.DUMMYFUNCTION("IF(REGEXMATCH(LOWER(G1203), ""^(\?)+\s*(missing)?\s*(\?)*$""), """", PROPER(SUBSTITUTE(SUBSTITUTE(G1203, ""?"", """"), ""*"", """")))"),"Rustic Seventeen Drawer Sideboard")</f>
        <v>Rustic Seventeen Drawer Sideboard</v>
      </c>
      <c r="I1203" s="3">
        <v>1.0</v>
      </c>
      <c r="J1203" s="7">
        <v>40598.39722222222</v>
      </c>
      <c r="K1203" s="8" t="str">
        <f t="shared" si="4"/>
        <v>2011-02</v>
      </c>
      <c r="L1203" s="5">
        <v>165.0</v>
      </c>
      <c r="M1203" s="3">
        <v>17139.0</v>
      </c>
      <c r="N1203" s="1" t="str">
        <f t="shared" si="5"/>
        <v>Registered</v>
      </c>
      <c r="O1203" s="1" t="s">
        <v>19</v>
      </c>
      <c r="P1203" s="9" t="str">
        <f t="shared" si="6"/>
        <v>UK</v>
      </c>
      <c r="Q1203" s="8">
        <f t="shared" si="7"/>
        <v>165</v>
      </c>
    </row>
    <row r="1204">
      <c r="A1204" s="1">
        <v>544824.0</v>
      </c>
      <c r="B1204" s="1" t="str">
        <f t="shared" si="1"/>
        <v>544824</v>
      </c>
      <c r="C1204" s="1" t="str">
        <f t="shared" si="2"/>
        <v>Sale</v>
      </c>
      <c r="D1204" s="1">
        <v>22823.0</v>
      </c>
      <c r="E1204" s="1" t="str">
        <f>IFERROR(__xludf.DUMMYFUNCTION("IF(LEN(D1204)&gt;4, IFERROR(REGEXEXTRACT(TO_TEXT(D1204),""\d+""),""""),"""")"),"22823")</f>
        <v>22823</v>
      </c>
      <c r="F1204" s="6" t="str">
        <f t="shared" si="3"/>
        <v>Product</v>
      </c>
      <c r="G1204" s="1" t="s">
        <v>789</v>
      </c>
      <c r="H1204" s="6" t="str">
        <f>IFERROR(__xludf.DUMMYFUNCTION("IF(REGEXMATCH(LOWER(G1204), ""^(\?)+\s*(missing)?\s*(\?)*$""), """", PROPER(SUBSTITUTE(SUBSTITUTE(G1204, ""?"", """"), ""*"", """")))"),"Chest Natural Wood 20 Drawers")</f>
        <v>Chest Natural Wood 20 Drawers</v>
      </c>
      <c r="I1204" s="3">
        <v>1.0</v>
      </c>
      <c r="J1204" s="7">
        <v>40598.39722222222</v>
      </c>
      <c r="K1204" s="8" t="str">
        <f t="shared" si="4"/>
        <v>2011-02</v>
      </c>
      <c r="L1204" s="5">
        <v>125.0</v>
      </c>
      <c r="M1204" s="3">
        <v>17139.0</v>
      </c>
      <c r="N1204" s="1" t="str">
        <f t="shared" si="5"/>
        <v>Registered</v>
      </c>
      <c r="O1204" s="1" t="s">
        <v>19</v>
      </c>
      <c r="P1204" s="9" t="str">
        <f t="shared" si="6"/>
        <v>UK</v>
      </c>
      <c r="Q1204" s="8">
        <f t="shared" si="7"/>
        <v>125</v>
      </c>
    </row>
    <row r="1205">
      <c r="A1205" s="1">
        <v>544824.0</v>
      </c>
      <c r="B1205" s="1" t="str">
        <f t="shared" si="1"/>
        <v>544824</v>
      </c>
      <c r="C1205" s="1" t="str">
        <f t="shared" si="2"/>
        <v>Sale</v>
      </c>
      <c r="D1205" s="1">
        <v>22173.0</v>
      </c>
      <c r="E1205" s="1" t="str">
        <f>IFERROR(__xludf.DUMMYFUNCTION("IF(LEN(D1205)&gt;4, IFERROR(REGEXEXTRACT(TO_TEXT(D1205),""\d+""),""""),"""")"),"22173")</f>
        <v>22173</v>
      </c>
      <c r="F1205" s="6" t="str">
        <f t="shared" si="3"/>
        <v>Product</v>
      </c>
      <c r="G1205" s="1" t="s">
        <v>717</v>
      </c>
      <c r="H1205" s="6" t="str">
        <f>IFERROR(__xludf.DUMMYFUNCTION("IF(REGEXMATCH(LOWER(G1205), ""^(\?)+\s*(missing)?\s*(\?)*$""), """", PROPER(SUBSTITUTE(SUBSTITUTE(G1205, ""?"", """"), ""*"", """")))"),"Metal 4 Hook Hanger French Chateau")</f>
        <v>Metal 4 Hook Hanger French Chateau</v>
      </c>
      <c r="I1205" s="3">
        <v>8.0</v>
      </c>
      <c r="J1205" s="7">
        <v>40598.39722222222</v>
      </c>
      <c r="K1205" s="8" t="str">
        <f t="shared" si="4"/>
        <v>2011-02</v>
      </c>
      <c r="L1205" s="5">
        <v>2.95</v>
      </c>
      <c r="M1205" s="3">
        <v>17139.0</v>
      </c>
      <c r="N1205" s="1" t="str">
        <f t="shared" si="5"/>
        <v>Registered</v>
      </c>
      <c r="O1205" s="1" t="s">
        <v>19</v>
      </c>
      <c r="P1205" s="9" t="str">
        <f t="shared" si="6"/>
        <v>UK</v>
      </c>
      <c r="Q1205" s="8">
        <f t="shared" si="7"/>
        <v>23.6</v>
      </c>
    </row>
    <row r="1206">
      <c r="A1206" s="1">
        <v>544824.0</v>
      </c>
      <c r="B1206" s="1" t="str">
        <f t="shared" si="1"/>
        <v>544824</v>
      </c>
      <c r="C1206" s="1" t="str">
        <f t="shared" si="2"/>
        <v>Sale</v>
      </c>
      <c r="D1206" s="1">
        <v>21257.0</v>
      </c>
      <c r="E1206" s="1" t="str">
        <f>IFERROR(__xludf.DUMMYFUNCTION("IF(LEN(D1206)&gt;4, IFERROR(REGEXEXTRACT(TO_TEXT(D1206),""\d+""),""""),"""")"),"21257")</f>
        <v>21257</v>
      </c>
      <c r="F1206" s="6" t="str">
        <f t="shared" si="3"/>
        <v>Product</v>
      </c>
      <c r="G1206" s="1" t="s">
        <v>557</v>
      </c>
      <c r="H1206" s="6" t="str">
        <f>IFERROR(__xludf.DUMMYFUNCTION("IF(REGEXMATCH(LOWER(G1206), ""^(\?)+\s*(missing)?\s*(\?)*$""), """", PROPER(SUBSTITUTE(SUBSTITUTE(G1206, ""?"", """"), ""*"", """")))"),"Victorian Sewing Box Medium")</f>
        <v>Victorian Sewing Box Medium</v>
      </c>
      <c r="I1206" s="3">
        <v>2.0</v>
      </c>
      <c r="J1206" s="7">
        <v>40598.39722222222</v>
      </c>
      <c r="K1206" s="8" t="str">
        <f t="shared" si="4"/>
        <v>2011-02</v>
      </c>
      <c r="L1206" s="5">
        <v>7.95</v>
      </c>
      <c r="M1206" s="3">
        <v>17139.0</v>
      </c>
      <c r="N1206" s="1" t="str">
        <f t="shared" si="5"/>
        <v>Registered</v>
      </c>
      <c r="O1206" s="1" t="s">
        <v>19</v>
      </c>
      <c r="P1206" s="9" t="str">
        <f t="shared" si="6"/>
        <v>UK</v>
      </c>
      <c r="Q1206" s="8">
        <f t="shared" si="7"/>
        <v>15.9</v>
      </c>
    </row>
    <row r="1207">
      <c r="A1207" s="1">
        <v>544824.0</v>
      </c>
      <c r="B1207" s="1" t="str">
        <f t="shared" si="1"/>
        <v>544824</v>
      </c>
      <c r="C1207" s="1" t="str">
        <f t="shared" si="2"/>
        <v>Sale</v>
      </c>
      <c r="D1207" s="1">
        <v>21259.0</v>
      </c>
      <c r="E1207" s="1" t="str">
        <f>IFERROR(__xludf.DUMMYFUNCTION("IF(LEN(D1207)&gt;4, IFERROR(REGEXEXTRACT(TO_TEXT(D1207),""\d+""),""""),"""")"),"21259")</f>
        <v>21259</v>
      </c>
      <c r="F1207" s="6" t="str">
        <f t="shared" si="3"/>
        <v>Product</v>
      </c>
      <c r="G1207" s="1" t="s">
        <v>556</v>
      </c>
      <c r="H1207" s="6" t="str">
        <f>IFERROR(__xludf.DUMMYFUNCTION("IF(REGEXMATCH(LOWER(G1207), ""^(\?)+\s*(missing)?\s*(\?)*$""), """", PROPER(SUBSTITUTE(SUBSTITUTE(G1207, ""?"", """"), ""*"", """")))"),"Victorian Sewing Box Small")</f>
        <v>Victorian Sewing Box Small</v>
      </c>
      <c r="I1207" s="3">
        <v>2.0</v>
      </c>
      <c r="J1207" s="7">
        <v>40598.39722222222</v>
      </c>
      <c r="K1207" s="8" t="str">
        <f t="shared" si="4"/>
        <v>2011-02</v>
      </c>
      <c r="L1207" s="5">
        <v>5.95</v>
      </c>
      <c r="M1207" s="3">
        <v>17139.0</v>
      </c>
      <c r="N1207" s="1" t="str">
        <f t="shared" si="5"/>
        <v>Registered</v>
      </c>
      <c r="O1207" s="1" t="s">
        <v>19</v>
      </c>
      <c r="P1207" s="9" t="str">
        <f t="shared" si="6"/>
        <v>UK</v>
      </c>
      <c r="Q1207" s="8">
        <f t="shared" si="7"/>
        <v>11.9</v>
      </c>
    </row>
    <row r="1208">
      <c r="A1208" s="1">
        <v>544824.0</v>
      </c>
      <c r="B1208" s="1" t="str">
        <f t="shared" si="1"/>
        <v>544824</v>
      </c>
      <c r="C1208" s="1" t="str">
        <f t="shared" si="2"/>
        <v>Sale</v>
      </c>
      <c r="D1208" s="1">
        <v>22777.0</v>
      </c>
      <c r="E1208" s="1" t="str">
        <f>IFERROR(__xludf.DUMMYFUNCTION("IF(LEN(D1208)&gt;4, IFERROR(REGEXEXTRACT(TO_TEXT(D1208),""\d+""),""""),"""")"),"22777")</f>
        <v>22777</v>
      </c>
      <c r="F1208" s="6" t="str">
        <f t="shared" si="3"/>
        <v>Product</v>
      </c>
      <c r="G1208" s="1" t="s">
        <v>688</v>
      </c>
      <c r="H1208" s="6" t="str">
        <f>IFERROR(__xludf.DUMMYFUNCTION("IF(REGEXMATCH(LOWER(G1208), ""^(\?)+\s*(missing)?\s*(\?)*$""), """", PROPER(SUBSTITUTE(SUBSTITUTE(G1208, ""?"", """"), ""*"", """")))"),"Glass Cloche Large")</f>
        <v>Glass Cloche Large</v>
      </c>
      <c r="I1208" s="3">
        <v>2.0</v>
      </c>
      <c r="J1208" s="7">
        <v>40598.39722222222</v>
      </c>
      <c r="K1208" s="8" t="str">
        <f t="shared" si="4"/>
        <v>2011-02</v>
      </c>
      <c r="L1208" s="5">
        <v>8.5</v>
      </c>
      <c r="M1208" s="3">
        <v>17139.0</v>
      </c>
      <c r="N1208" s="1" t="str">
        <f t="shared" si="5"/>
        <v>Registered</v>
      </c>
      <c r="O1208" s="1" t="s">
        <v>19</v>
      </c>
      <c r="P1208" s="9" t="str">
        <f t="shared" si="6"/>
        <v>UK</v>
      </c>
      <c r="Q1208" s="8">
        <f t="shared" si="7"/>
        <v>17</v>
      </c>
    </row>
    <row r="1209">
      <c r="A1209" s="1">
        <v>544824.0</v>
      </c>
      <c r="B1209" s="1" t="str">
        <f t="shared" si="1"/>
        <v>544824</v>
      </c>
      <c r="C1209" s="1" t="str">
        <f t="shared" si="2"/>
        <v>Sale</v>
      </c>
      <c r="D1209" s="1">
        <v>22778.0</v>
      </c>
      <c r="E1209" s="1" t="str">
        <f>IFERROR(__xludf.DUMMYFUNCTION("IF(LEN(D1209)&gt;4, IFERROR(REGEXEXTRACT(TO_TEXT(D1209),""\d+""),""""),"""")"),"22778")</f>
        <v>22778</v>
      </c>
      <c r="F1209" s="6" t="str">
        <f t="shared" si="3"/>
        <v>Product</v>
      </c>
      <c r="G1209" s="1" t="s">
        <v>144</v>
      </c>
      <c r="H1209" s="6" t="str">
        <f>IFERROR(__xludf.DUMMYFUNCTION("IF(REGEXMATCH(LOWER(G1209), ""^(\?)+\s*(missing)?\s*(\?)*$""), """", PROPER(SUBSTITUTE(SUBSTITUTE(G1209, ""?"", """"), ""*"", """")))"),"Glass Cloche Small")</f>
        <v>Glass Cloche Small</v>
      </c>
      <c r="I1209" s="3">
        <v>4.0</v>
      </c>
      <c r="J1209" s="7">
        <v>40598.39722222222</v>
      </c>
      <c r="K1209" s="8" t="str">
        <f t="shared" si="4"/>
        <v>2011-02</v>
      </c>
      <c r="L1209" s="5">
        <v>3.95</v>
      </c>
      <c r="M1209" s="3">
        <v>17139.0</v>
      </c>
      <c r="N1209" s="1" t="str">
        <f t="shared" si="5"/>
        <v>Registered</v>
      </c>
      <c r="O1209" s="1" t="s">
        <v>19</v>
      </c>
      <c r="P1209" s="9" t="str">
        <f t="shared" si="6"/>
        <v>UK</v>
      </c>
      <c r="Q1209" s="8">
        <f t="shared" si="7"/>
        <v>15.8</v>
      </c>
    </row>
    <row r="1210">
      <c r="A1210" s="1">
        <v>544824.0</v>
      </c>
      <c r="B1210" s="1" t="str">
        <f t="shared" si="1"/>
        <v>544824</v>
      </c>
      <c r="C1210" s="1" t="str">
        <f t="shared" si="2"/>
        <v>Sale</v>
      </c>
      <c r="D1210" s="1">
        <v>22429.0</v>
      </c>
      <c r="E1210" s="1" t="str">
        <f>IFERROR(__xludf.DUMMYFUNCTION("IF(LEN(D1210)&gt;4, IFERROR(REGEXEXTRACT(TO_TEXT(D1210),""\d+""),""""),"""")"),"22429")</f>
        <v>22429</v>
      </c>
      <c r="F1210" s="6" t="str">
        <f t="shared" si="3"/>
        <v>Product</v>
      </c>
      <c r="G1210" s="1" t="s">
        <v>790</v>
      </c>
      <c r="H1210" s="6" t="str">
        <f>IFERROR(__xludf.DUMMYFUNCTION("IF(REGEXMATCH(LOWER(G1210), ""^(\?)+\s*(missing)?\s*(\?)*$""), """", PROPER(SUBSTITUTE(SUBSTITUTE(G1210, ""?"", """"), ""*"", """")))"),"Enamel Measuring Jug Cream")</f>
        <v>Enamel Measuring Jug Cream</v>
      </c>
      <c r="I1210" s="3">
        <v>4.0</v>
      </c>
      <c r="J1210" s="7">
        <v>40598.39722222222</v>
      </c>
      <c r="K1210" s="8" t="str">
        <f t="shared" si="4"/>
        <v>2011-02</v>
      </c>
      <c r="L1210" s="5">
        <v>4.25</v>
      </c>
      <c r="M1210" s="3">
        <v>17139.0</v>
      </c>
      <c r="N1210" s="1" t="str">
        <f t="shared" si="5"/>
        <v>Registered</v>
      </c>
      <c r="O1210" s="1" t="s">
        <v>19</v>
      </c>
      <c r="P1210" s="9" t="str">
        <f t="shared" si="6"/>
        <v>UK</v>
      </c>
      <c r="Q1210" s="8">
        <f t="shared" si="7"/>
        <v>17</v>
      </c>
    </row>
    <row r="1211">
      <c r="A1211" s="1">
        <v>544824.0</v>
      </c>
      <c r="B1211" s="1" t="str">
        <f t="shared" si="1"/>
        <v>544824</v>
      </c>
      <c r="C1211" s="1" t="str">
        <f t="shared" si="2"/>
        <v>Sale</v>
      </c>
      <c r="D1211" s="1">
        <v>22227.0</v>
      </c>
      <c r="E1211" s="1" t="str">
        <f>IFERROR(__xludf.DUMMYFUNCTION("IF(LEN(D1211)&gt;4, IFERROR(REGEXEXTRACT(TO_TEXT(D1211),""\d+""),""""),"""")"),"22227")</f>
        <v>22227</v>
      </c>
      <c r="F1211" s="6" t="str">
        <f t="shared" si="3"/>
        <v>Product</v>
      </c>
      <c r="G1211" s="1" t="s">
        <v>791</v>
      </c>
      <c r="H1211" s="6" t="str">
        <f>IFERROR(__xludf.DUMMYFUNCTION("IF(REGEXMATCH(LOWER(G1211), ""^(\?)+\s*(missing)?\s*(\?)*$""), """", PROPER(SUBSTITUTE(SUBSTITUTE(G1211, ""?"", """"), ""*"", """")))"),"Hanging Heart Mirror Decoration")</f>
        <v>Hanging Heart Mirror Decoration</v>
      </c>
      <c r="I1211" s="3">
        <v>24.0</v>
      </c>
      <c r="J1211" s="7">
        <v>40598.39722222222</v>
      </c>
      <c r="K1211" s="8" t="str">
        <f t="shared" si="4"/>
        <v>2011-02</v>
      </c>
      <c r="L1211" s="5">
        <v>0.65</v>
      </c>
      <c r="M1211" s="3">
        <v>17139.0</v>
      </c>
      <c r="N1211" s="1" t="str">
        <f t="shared" si="5"/>
        <v>Registered</v>
      </c>
      <c r="O1211" s="1" t="s">
        <v>19</v>
      </c>
      <c r="P1211" s="9" t="str">
        <f t="shared" si="6"/>
        <v>UK</v>
      </c>
      <c r="Q1211" s="8">
        <f t="shared" si="7"/>
        <v>15.6</v>
      </c>
    </row>
    <row r="1212">
      <c r="A1212" s="1">
        <v>544824.0</v>
      </c>
      <c r="B1212" s="1" t="str">
        <f t="shared" si="1"/>
        <v>544824</v>
      </c>
      <c r="C1212" s="1" t="str">
        <f t="shared" si="2"/>
        <v>Sale</v>
      </c>
      <c r="D1212" s="1" t="s">
        <v>17</v>
      </c>
      <c r="E1212" s="1" t="str">
        <f>IFERROR(__xludf.DUMMYFUNCTION("IF(LEN(D1212)&gt;4, IFERROR(REGEXEXTRACT(TO_TEXT(D1212),""\d+""),""""),"""")"),"85123")</f>
        <v>85123</v>
      </c>
      <c r="F1212" s="6" t="str">
        <f t="shared" si="3"/>
        <v>Product</v>
      </c>
      <c r="G1212" s="1" t="s">
        <v>18</v>
      </c>
      <c r="H1212" s="6" t="str">
        <f>IFERROR(__xludf.DUMMYFUNCTION("IF(REGEXMATCH(LOWER(G1212), ""^(\?)+\s*(missing)?\s*(\?)*$""), """", PROPER(SUBSTITUTE(SUBSTITUTE(G1212, ""?"", """"), ""*"", """")))"),"White Hanging Heart T-Light Holder")</f>
        <v>White Hanging Heart T-Light Holder</v>
      </c>
      <c r="I1212" s="3">
        <v>6.0</v>
      </c>
      <c r="J1212" s="7">
        <v>40598.39722222222</v>
      </c>
      <c r="K1212" s="8" t="str">
        <f t="shared" si="4"/>
        <v>2011-02</v>
      </c>
      <c r="L1212" s="5">
        <v>2.95</v>
      </c>
      <c r="M1212" s="3">
        <v>17139.0</v>
      </c>
      <c r="N1212" s="1" t="str">
        <f t="shared" si="5"/>
        <v>Registered</v>
      </c>
      <c r="O1212" s="1" t="s">
        <v>19</v>
      </c>
      <c r="P1212" s="9" t="str">
        <f t="shared" si="6"/>
        <v>UK</v>
      </c>
      <c r="Q1212" s="8">
        <f t="shared" si="7"/>
        <v>17.7</v>
      </c>
    </row>
    <row r="1213">
      <c r="A1213" s="1">
        <v>544824.0</v>
      </c>
      <c r="B1213" s="1" t="str">
        <f t="shared" si="1"/>
        <v>544824</v>
      </c>
      <c r="C1213" s="1" t="str">
        <f t="shared" si="2"/>
        <v>Sale</v>
      </c>
      <c r="D1213" s="1">
        <v>22794.0</v>
      </c>
      <c r="E1213" s="1" t="str">
        <f>IFERROR(__xludf.DUMMYFUNCTION("IF(LEN(D1213)&gt;4, IFERROR(REGEXEXTRACT(TO_TEXT(D1213),""\d+""),""""),"""")"),"22794")</f>
        <v>22794</v>
      </c>
      <c r="F1213" s="6" t="str">
        <f t="shared" si="3"/>
        <v>Product</v>
      </c>
      <c r="G1213" s="1" t="s">
        <v>792</v>
      </c>
      <c r="H1213" s="6" t="str">
        <f>IFERROR(__xludf.DUMMYFUNCTION("IF(REGEXMATCH(LOWER(G1213), ""^(\?)+\s*(missing)?\s*(\?)*$""), """", PROPER(SUBSTITUTE(SUBSTITUTE(G1213, ""?"", """"), ""*"", """")))"),"Sweetheart Wire Magazine Rack")</f>
        <v>Sweetheart Wire Magazine Rack</v>
      </c>
      <c r="I1213" s="3">
        <v>2.0</v>
      </c>
      <c r="J1213" s="7">
        <v>40598.39722222222</v>
      </c>
      <c r="K1213" s="8" t="str">
        <f t="shared" si="4"/>
        <v>2011-02</v>
      </c>
      <c r="L1213" s="5">
        <v>7.95</v>
      </c>
      <c r="M1213" s="3">
        <v>17139.0</v>
      </c>
      <c r="N1213" s="1" t="str">
        <f t="shared" si="5"/>
        <v>Registered</v>
      </c>
      <c r="O1213" s="1" t="s">
        <v>19</v>
      </c>
      <c r="P1213" s="9" t="str">
        <f t="shared" si="6"/>
        <v>UK</v>
      </c>
      <c r="Q1213" s="8">
        <f t="shared" si="7"/>
        <v>15.9</v>
      </c>
    </row>
    <row r="1214">
      <c r="A1214" s="1">
        <v>544824.0</v>
      </c>
      <c r="B1214" s="1" t="str">
        <f t="shared" si="1"/>
        <v>544824</v>
      </c>
      <c r="C1214" s="1" t="str">
        <f t="shared" si="2"/>
        <v>Sale</v>
      </c>
      <c r="D1214" s="1">
        <v>22423.0</v>
      </c>
      <c r="E1214" s="1" t="str">
        <f>IFERROR(__xludf.DUMMYFUNCTION("IF(LEN(D1214)&gt;4, IFERROR(REGEXEXTRACT(TO_TEXT(D1214),""\d+""),""""),"""")"),"22423")</f>
        <v>22423</v>
      </c>
      <c r="F1214" s="6" t="str">
        <f t="shared" si="3"/>
        <v>Product</v>
      </c>
      <c r="G1214" s="1" t="s">
        <v>619</v>
      </c>
      <c r="H1214" s="6" t="str">
        <f>IFERROR(__xludf.DUMMYFUNCTION("IF(REGEXMATCH(LOWER(G1214), ""^(\?)+\s*(missing)?\s*(\?)*$""), """", PROPER(SUBSTITUTE(SUBSTITUTE(G1214, ""?"", """"), ""*"", """")))"),"Regency Cakestand 3 Tier")</f>
        <v>Regency Cakestand 3 Tier</v>
      </c>
      <c r="I1214" s="3">
        <v>3.0</v>
      </c>
      <c r="J1214" s="7">
        <v>40598.39722222222</v>
      </c>
      <c r="K1214" s="8" t="str">
        <f t="shared" si="4"/>
        <v>2011-02</v>
      </c>
      <c r="L1214" s="5">
        <v>12.75</v>
      </c>
      <c r="M1214" s="3">
        <v>17139.0</v>
      </c>
      <c r="N1214" s="1" t="str">
        <f t="shared" si="5"/>
        <v>Registered</v>
      </c>
      <c r="O1214" s="1" t="s">
        <v>19</v>
      </c>
      <c r="P1214" s="9" t="str">
        <f t="shared" si="6"/>
        <v>UK</v>
      </c>
      <c r="Q1214" s="8">
        <f t="shared" si="7"/>
        <v>38.25</v>
      </c>
    </row>
    <row r="1215">
      <c r="A1215" s="1">
        <v>544824.0</v>
      </c>
      <c r="B1215" s="1" t="str">
        <f t="shared" si="1"/>
        <v>544824</v>
      </c>
      <c r="C1215" s="1" t="str">
        <f t="shared" si="2"/>
        <v>Sale</v>
      </c>
      <c r="D1215" s="1">
        <v>22699.0</v>
      </c>
      <c r="E1215" s="1" t="str">
        <f>IFERROR(__xludf.DUMMYFUNCTION("IF(LEN(D1215)&gt;4, IFERROR(REGEXEXTRACT(TO_TEXT(D1215),""\d+""),""""),"""")"),"22699")</f>
        <v>22699</v>
      </c>
      <c r="F1215" s="6" t="str">
        <f t="shared" si="3"/>
        <v>Product</v>
      </c>
      <c r="G1215" s="1" t="s">
        <v>684</v>
      </c>
      <c r="H1215" s="6" t="str">
        <f>IFERROR(__xludf.DUMMYFUNCTION("IF(REGEXMATCH(LOWER(G1215), ""^(\?)+\s*(missing)?\s*(\?)*$""), """", PROPER(SUBSTITUTE(SUBSTITUTE(G1215, ""?"", """"), ""*"", """")))"),"Roses Regency Teacup And Saucer")</f>
        <v>Roses Regency Teacup And Saucer</v>
      </c>
      <c r="I1215" s="3">
        <v>6.0</v>
      </c>
      <c r="J1215" s="7">
        <v>40598.39722222222</v>
      </c>
      <c r="K1215" s="8" t="str">
        <f t="shared" si="4"/>
        <v>2011-02</v>
      </c>
      <c r="L1215" s="5">
        <v>2.95</v>
      </c>
      <c r="M1215" s="3">
        <v>17139.0</v>
      </c>
      <c r="N1215" s="1" t="str">
        <f t="shared" si="5"/>
        <v>Registered</v>
      </c>
      <c r="O1215" s="1" t="s">
        <v>19</v>
      </c>
      <c r="P1215" s="9" t="str">
        <f t="shared" si="6"/>
        <v>UK</v>
      </c>
      <c r="Q1215" s="8">
        <f t="shared" si="7"/>
        <v>17.7</v>
      </c>
    </row>
    <row r="1216">
      <c r="A1216" s="1">
        <v>544824.0</v>
      </c>
      <c r="B1216" s="1" t="str">
        <f t="shared" si="1"/>
        <v>544824</v>
      </c>
      <c r="C1216" s="1" t="str">
        <f t="shared" si="2"/>
        <v>Sale</v>
      </c>
      <c r="D1216" s="1">
        <v>22697.0</v>
      </c>
      <c r="E1216" s="1" t="str">
        <f>IFERROR(__xludf.DUMMYFUNCTION("IF(LEN(D1216)&gt;4, IFERROR(REGEXEXTRACT(TO_TEXT(D1216),""\d+""),""""),"""")"),"22697")</f>
        <v>22697</v>
      </c>
      <c r="F1216" s="6" t="str">
        <f t="shared" si="3"/>
        <v>Product</v>
      </c>
      <c r="G1216" s="1" t="s">
        <v>682</v>
      </c>
      <c r="H1216" s="6" t="str">
        <f>IFERROR(__xludf.DUMMYFUNCTION("IF(REGEXMATCH(LOWER(G1216), ""^(\?)+\s*(missing)?\s*(\?)*$""), """", PROPER(SUBSTITUTE(SUBSTITUTE(G1216, ""?"", """"), ""*"", """")))"),"Green Regency Teacup And Saucer")</f>
        <v>Green Regency Teacup And Saucer</v>
      </c>
      <c r="I1216" s="3">
        <v>6.0</v>
      </c>
      <c r="J1216" s="7">
        <v>40598.39722222222</v>
      </c>
      <c r="K1216" s="8" t="str">
        <f t="shared" si="4"/>
        <v>2011-02</v>
      </c>
      <c r="L1216" s="5">
        <v>2.95</v>
      </c>
      <c r="M1216" s="3">
        <v>17139.0</v>
      </c>
      <c r="N1216" s="1" t="str">
        <f t="shared" si="5"/>
        <v>Registered</v>
      </c>
      <c r="O1216" s="1" t="s">
        <v>19</v>
      </c>
      <c r="P1216" s="9" t="str">
        <f t="shared" si="6"/>
        <v>UK</v>
      </c>
      <c r="Q1216" s="8">
        <f t="shared" si="7"/>
        <v>17.7</v>
      </c>
    </row>
    <row r="1217">
      <c r="A1217" s="1">
        <v>544824.0</v>
      </c>
      <c r="B1217" s="1" t="str">
        <f t="shared" si="1"/>
        <v>544824</v>
      </c>
      <c r="C1217" s="1" t="str">
        <f t="shared" si="2"/>
        <v>Sale</v>
      </c>
      <c r="D1217" s="1">
        <v>22698.0</v>
      </c>
      <c r="E1217" s="1" t="str">
        <f>IFERROR(__xludf.DUMMYFUNCTION("IF(LEN(D1217)&gt;4, IFERROR(REGEXEXTRACT(TO_TEXT(D1217),""\d+""),""""),"""")"),"22698")</f>
        <v>22698</v>
      </c>
      <c r="F1217" s="6" t="str">
        <f t="shared" si="3"/>
        <v>Product</v>
      </c>
      <c r="G1217" s="1" t="s">
        <v>683</v>
      </c>
      <c r="H1217" s="6" t="str">
        <f>IFERROR(__xludf.DUMMYFUNCTION("IF(REGEXMATCH(LOWER(G1217), ""^(\?)+\s*(missing)?\s*(\?)*$""), """", PROPER(SUBSTITUTE(SUBSTITUTE(G1217, ""?"", """"), ""*"", """")))"),"Pink Regency Teacup And Saucer")</f>
        <v>Pink Regency Teacup And Saucer</v>
      </c>
      <c r="I1217" s="3">
        <v>6.0</v>
      </c>
      <c r="J1217" s="7">
        <v>40598.39722222222</v>
      </c>
      <c r="K1217" s="8" t="str">
        <f t="shared" si="4"/>
        <v>2011-02</v>
      </c>
      <c r="L1217" s="5">
        <v>2.95</v>
      </c>
      <c r="M1217" s="3">
        <v>17139.0</v>
      </c>
      <c r="N1217" s="1" t="str">
        <f t="shared" si="5"/>
        <v>Registered</v>
      </c>
      <c r="O1217" s="1" t="s">
        <v>19</v>
      </c>
      <c r="P1217" s="9" t="str">
        <f t="shared" si="6"/>
        <v>UK</v>
      </c>
      <c r="Q1217" s="8">
        <f t="shared" si="7"/>
        <v>17.7</v>
      </c>
    </row>
    <row r="1218">
      <c r="A1218" s="1">
        <v>544824.0</v>
      </c>
      <c r="B1218" s="1" t="str">
        <f t="shared" si="1"/>
        <v>544824</v>
      </c>
      <c r="C1218" s="1" t="str">
        <f t="shared" si="2"/>
        <v>Sale</v>
      </c>
      <c r="D1218" s="1">
        <v>84879.0</v>
      </c>
      <c r="E1218" s="1" t="str">
        <f>IFERROR(__xludf.DUMMYFUNCTION("IF(LEN(D1218)&gt;4, IFERROR(REGEXEXTRACT(TO_TEXT(D1218),""\d+""),""""),"""")"),"84879")</f>
        <v>84879</v>
      </c>
      <c r="F1218" s="6" t="str">
        <f t="shared" si="3"/>
        <v>Product</v>
      </c>
      <c r="G1218" s="1" t="s">
        <v>31</v>
      </c>
      <c r="H1218" s="6" t="str">
        <f>IFERROR(__xludf.DUMMYFUNCTION("IF(REGEXMATCH(LOWER(G1218), ""^(\?)+\s*(missing)?\s*(\?)*$""), """", PROPER(SUBSTITUTE(SUBSTITUTE(G1218, ""?"", """"), ""*"", """")))"),"Assorted Colour Bird Ornament")</f>
        <v>Assorted Colour Bird Ornament</v>
      </c>
      <c r="I1218" s="3">
        <v>8.0</v>
      </c>
      <c r="J1218" s="7">
        <v>40598.39722222222</v>
      </c>
      <c r="K1218" s="8" t="str">
        <f t="shared" si="4"/>
        <v>2011-02</v>
      </c>
      <c r="L1218" s="5">
        <v>1.69</v>
      </c>
      <c r="M1218" s="3">
        <v>17139.0</v>
      </c>
      <c r="N1218" s="1" t="str">
        <f t="shared" si="5"/>
        <v>Registered</v>
      </c>
      <c r="O1218" s="1" t="s">
        <v>19</v>
      </c>
      <c r="P1218" s="9" t="str">
        <f t="shared" si="6"/>
        <v>UK</v>
      </c>
      <c r="Q1218" s="8">
        <f t="shared" si="7"/>
        <v>13.52</v>
      </c>
    </row>
    <row r="1219">
      <c r="A1219" s="1">
        <v>544824.0</v>
      </c>
      <c r="B1219" s="1" t="str">
        <f t="shared" si="1"/>
        <v>544824</v>
      </c>
      <c r="C1219" s="1" t="str">
        <f t="shared" si="2"/>
        <v>Sale</v>
      </c>
      <c r="D1219" s="1">
        <v>22488.0</v>
      </c>
      <c r="E1219" s="1" t="str">
        <f>IFERROR(__xludf.DUMMYFUNCTION("IF(LEN(D1219)&gt;4, IFERROR(REGEXEXTRACT(TO_TEXT(D1219),""\d+""),""""),"""")"),"22488")</f>
        <v>22488</v>
      </c>
      <c r="F1219" s="6" t="str">
        <f t="shared" si="3"/>
        <v>Product</v>
      </c>
      <c r="G1219" s="1" t="s">
        <v>376</v>
      </c>
      <c r="H1219" s="6" t="str">
        <f>IFERROR(__xludf.DUMMYFUNCTION("IF(REGEXMATCH(LOWER(G1219), ""^(\?)+\s*(missing)?\s*(\?)*$""), """", PROPER(SUBSTITUTE(SUBSTITUTE(G1219, ""?"", """"), ""*"", """")))"),"Natural Slate Rectangle Chalkboard")</f>
        <v>Natural Slate Rectangle Chalkboard</v>
      </c>
      <c r="I1219" s="3">
        <v>12.0</v>
      </c>
      <c r="J1219" s="7">
        <v>40598.39722222222</v>
      </c>
      <c r="K1219" s="8" t="str">
        <f t="shared" si="4"/>
        <v>2011-02</v>
      </c>
      <c r="L1219" s="5">
        <v>1.65</v>
      </c>
      <c r="M1219" s="3">
        <v>17139.0</v>
      </c>
      <c r="N1219" s="1" t="str">
        <f t="shared" si="5"/>
        <v>Registered</v>
      </c>
      <c r="O1219" s="1" t="s">
        <v>19</v>
      </c>
      <c r="P1219" s="9" t="str">
        <f t="shared" si="6"/>
        <v>UK</v>
      </c>
      <c r="Q1219" s="8">
        <f t="shared" si="7"/>
        <v>19.8</v>
      </c>
    </row>
    <row r="1220">
      <c r="A1220" s="1">
        <v>544824.0</v>
      </c>
      <c r="B1220" s="1" t="str">
        <f t="shared" si="1"/>
        <v>544824</v>
      </c>
      <c r="C1220" s="1" t="str">
        <f t="shared" si="2"/>
        <v>Sale</v>
      </c>
      <c r="D1220" s="1">
        <v>22456.0</v>
      </c>
      <c r="E1220" s="1" t="str">
        <f>IFERROR(__xludf.DUMMYFUNCTION("IF(LEN(D1220)&gt;4, IFERROR(REGEXEXTRACT(TO_TEXT(D1220),""\d+""),""""),"""")"),"22456")</f>
        <v>22456</v>
      </c>
      <c r="F1220" s="6" t="str">
        <f t="shared" si="3"/>
        <v>Product</v>
      </c>
      <c r="G1220" s="1" t="s">
        <v>793</v>
      </c>
      <c r="H1220" s="6" t="str">
        <f>IFERROR(__xludf.DUMMYFUNCTION("IF(REGEXMATCH(LOWER(G1220), ""^(\?)+\s*(missing)?\s*(\?)*$""), """", PROPER(SUBSTITUTE(SUBSTITUTE(G1220, ""?"", """"), ""*"", """")))"),"Natural Slate Chalkboard Large")</f>
        <v>Natural Slate Chalkboard Large</v>
      </c>
      <c r="I1220" s="3">
        <v>3.0</v>
      </c>
      <c r="J1220" s="7">
        <v>40598.39722222222</v>
      </c>
      <c r="K1220" s="8" t="str">
        <f t="shared" si="4"/>
        <v>2011-02</v>
      </c>
      <c r="L1220" s="5">
        <v>4.95</v>
      </c>
      <c r="M1220" s="3">
        <v>17139.0</v>
      </c>
      <c r="N1220" s="1" t="str">
        <f t="shared" si="5"/>
        <v>Registered</v>
      </c>
      <c r="O1220" s="1" t="s">
        <v>19</v>
      </c>
      <c r="P1220" s="9" t="str">
        <f t="shared" si="6"/>
        <v>UK</v>
      </c>
      <c r="Q1220" s="8">
        <f t="shared" si="7"/>
        <v>14.85</v>
      </c>
    </row>
    <row r="1221">
      <c r="A1221" s="1">
        <v>544824.0</v>
      </c>
      <c r="B1221" s="1" t="str">
        <f t="shared" si="1"/>
        <v>544824</v>
      </c>
      <c r="C1221" s="1" t="str">
        <f t="shared" si="2"/>
        <v>Sale</v>
      </c>
      <c r="D1221" s="1">
        <v>21745.0</v>
      </c>
      <c r="E1221" s="1" t="str">
        <f>IFERROR(__xludf.DUMMYFUNCTION("IF(LEN(D1221)&gt;4, IFERROR(REGEXEXTRACT(TO_TEXT(D1221),""\d+""),""""),"""")"),"21745")</f>
        <v>21745</v>
      </c>
      <c r="F1221" s="6" t="str">
        <f t="shared" si="3"/>
        <v>Product</v>
      </c>
      <c r="G1221" s="1" t="s">
        <v>794</v>
      </c>
      <c r="H1221" s="6" t="str">
        <f>IFERROR(__xludf.DUMMYFUNCTION("IF(REGEXMATCH(LOWER(G1221), ""^(\?)+\s*(missing)?\s*(\?)*$""), """", PROPER(SUBSTITUTE(SUBSTITUTE(G1221, ""?"", """"), ""*"", """")))"),"Gaolers Keys Decorative Garden")</f>
        <v>Gaolers Keys Decorative Garden</v>
      </c>
      <c r="I1221" s="3">
        <v>4.0</v>
      </c>
      <c r="J1221" s="7">
        <v>40598.39722222222</v>
      </c>
      <c r="K1221" s="8" t="str">
        <f t="shared" si="4"/>
        <v>2011-02</v>
      </c>
      <c r="L1221" s="5">
        <v>3.75</v>
      </c>
      <c r="M1221" s="3">
        <v>17139.0</v>
      </c>
      <c r="N1221" s="1" t="str">
        <f t="shared" si="5"/>
        <v>Registered</v>
      </c>
      <c r="O1221" s="1" t="s">
        <v>19</v>
      </c>
      <c r="P1221" s="9" t="str">
        <f t="shared" si="6"/>
        <v>UK</v>
      </c>
      <c r="Q1221" s="8">
        <f t="shared" si="7"/>
        <v>15</v>
      </c>
    </row>
    <row r="1222">
      <c r="A1222" s="1">
        <v>544824.0</v>
      </c>
      <c r="B1222" s="1" t="str">
        <f t="shared" si="1"/>
        <v>544824</v>
      </c>
      <c r="C1222" s="1" t="str">
        <f t="shared" si="2"/>
        <v>Sale</v>
      </c>
      <c r="D1222" s="1">
        <v>22926.0</v>
      </c>
      <c r="E1222" s="1" t="str">
        <f>IFERROR(__xludf.DUMMYFUNCTION("IF(LEN(D1222)&gt;4, IFERROR(REGEXEXTRACT(TO_TEXT(D1222),""\d+""),""""),"""")"),"22926")</f>
        <v>22926</v>
      </c>
      <c r="F1222" s="6" t="str">
        <f t="shared" si="3"/>
        <v>Product</v>
      </c>
      <c r="G1222" s="1" t="s">
        <v>155</v>
      </c>
      <c r="H1222" s="6" t="str">
        <f>IFERROR(__xludf.DUMMYFUNCTION("IF(REGEXMATCH(LOWER(G1222), ""^(\?)+\s*(missing)?\s*(\?)*$""), """", PROPER(SUBSTITUTE(SUBSTITUTE(G1222, ""?"", """"), ""*"", """")))"),"Ivory Giant Garden Thermometer")</f>
        <v>Ivory Giant Garden Thermometer</v>
      </c>
      <c r="I1222" s="3">
        <v>2.0</v>
      </c>
      <c r="J1222" s="7">
        <v>40598.39722222222</v>
      </c>
      <c r="K1222" s="8" t="str">
        <f t="shared" si="4"/>
        <v>2011-02</v>
      </c>
      <c r="L1222" s="5">
        <v>5.95</v>
      </c>
      <c r="M1222" s="3">
        <v>17139.0</v>
      </c>
      <c r="N1222" s="1" t="str">
        <f t="shared" si="5"/>
        <v>Registered</v>
      </c>
      <c r="O1222" s="1" t="s">
        <v>19</v>
      </c>
      <c r="P1222" s="9" t="str">
        <f t="shared" si="6"/>
        <v>UK</v>
      </c>
      <c r="Q1222" s="8">
        <f t="shared" si="7"/>
        <v>11.9</v>
      </c>
    </row>
    <row r="1223">
      <c r="A1223" s="1">
        <v>544824.0</v>
      </c>
      <c r="B1223" s="1" t="str">
        <f t="shared" si="1"/>
        <v>544824</v>
      </c>
      <c r="C1223" s="1" t="str">
        <f t="shared" si="2"/>
        <v>Sale</v>
      </c>
      <c r="D1223" s="1">
        <v>22917.0</v>
      </c>
      <c r="E1223" s="1" t="str">
        <f>IFERROR(__xludf.DUMMYFUNCTION("IF(LEN(D1223)&gt;4, IFERROR(REGEXEXTRACT(TO_TEXT(D1223),""\d+""),""""),"""")"),"22917")</f>
        <v>22917</v>
      </c>
      <c r="F1223" s="6" t="str">
        <f t="shared" si="3"/>
        <v>Product</v>
      </c>
      <c r="G1223" s="1" t="s">
        <v>665</v>
      </c>
      <c r="H1223" s="6" t="str">
        <f>IFERROR(__xludf.DUMMYFUNCTION("IF(REGEXMATCH(LOWER(G1223), ""^(\?)+\s*(missing)?\s*(\?)*$""), """", PROPER(SUBSTITUTE(SUBSTITUTE(G1223, ""?"", """"), ""*"", """")))"),"Herb Marker Rosemary")</f>
        <v>Herb Marker Rosemary</v>
      </c>
      <c r="I1223" s="3">
        <v>12.0</v>
      </c>
      <c r="J1223" s="7">
        <v>40598.39722222222</v>
      </c>
      <c r="K1223" s="8" t="str">
        <f t="shared" si="4"/>
        <v>2011-02</v>
      </c>
      <c r="L1223" s="5">
        <v>0.65</v>
      </c>
      <c r="M1223" s="3">
        <v>17139.0</v>
      </c>
      <c r="N1223" s="1" t="str">
        <f t="shared" si="5"/>
        <v>Registered</v>
      </c>
      <c r="O1223" s="1" t="s">
        <v>19</v>
      </c>
      <c r="P1223" s="9" t="str">
        <f t="shared" si="6"/>
        <v>UK</v>
      </c>
      <c r="Q1223" s="8">
        <f t="shared" si="7"/>
        <v>7.8</v>
      </c>
    </row>
    <row r="1224">
      <c r="A1224" s="1">
        <v>544824.0</v>
      </c>
      <c r="B1224" s="1" t="str">
        <f t="shared" si="1"/>
        <v>544824</v>
      </c>
      <c r="C1224" s="1" t="str">
        <f t="shared" si="2"/>
        <v>Sale</v>
      </c>
      <c r="D1224" s="1">
        <v>22916.0</v>
      </c>
      <c r="E1224" s="1" t="str">
        <f>IFERROR(__xludf.DUMMYFUNCTION("IF(LEN(D1224)&gt;4, IFERROR(REGEXEXTRACT(TO_TEXT(D1224),""\d+""),""""),"""")"),"22916")</f>
        <v>22916</v>
      </c>
      <c r="F1224" s="6" t="str">
        <f t="shared" si="3"/>
        <v>Product</v>
      </c>
      <c r="G1224" s="1" t="s">
        <v>669</v>
      </c>
      <c r="H1224" s="6" t="str">
        <f>IFERROR(__xludf.DUMMYFUNCTION("IF(REGEXMATCH(LOWER(G1224), ""^(\?)+\s*(missing)?\s*(\?)*$""), """", PROPER(SUBSTITUTE(SUBSTITUTE(G1224, ""?"", """"), ""*"", """")))"),"Herb Marker Thyme")</f>
        <v>Herb Marker Thyme</v>
      </c>
      <c r="I1224" s="3">
        <v>12.0</v>
      </c>
      <c r="J1224" s="7">
        <v>40598.39722222222</v>
      </c>
      <c r="K1224" s="8" t="str">
        <f t="shared" si="4"/>
        <v>2011-02</v>
      </c>
      <c r="L1224" s="5">
        <v>0.65</v>
      </c>
      <c r="M1224" s="3">
        <v>17139.0</v>
      </c>
      <c r="N1224" s="1" t="str">
        <f t="shared" si="5"/>
        <v>Registered</v>
      </c>
      <c r="O1224" s="1" t="s">
        <v>19</v>
      </c>
      <c r="P1224" s="9" t="str">
        <f t="shared" si="6"/>
        <v>UK</v>
      </c>
      <c r="Q1224" s="8">
        <f t="shared" si="7"/>
        <v>7.8</v>
      </c>
    </row>
    <row r="1225">
      <c r="A1225" s="1">
        <v>544824.0</v>
      </c>
      <c r="B1225" s="1" t="str">
        <f t="shared" si="1"/>
        <v>544824</v>
      </c>
      <c r="C1225" s="1" t="str">
        <f t="shared" si="2"/>
        <v>Sale</v>
      </c>
      <c r="D1225" s="1">
        <v>22918.0</v>
      </c>
      <c r="E1225" s="1" t="str">
        <f>IFERROR(__xludf.DUMMYFUNCTION("IF(LEN(D1225)&gt;4, IFERROR(REGEXEXTRACT(TO_TEXT(D1225),""\d+""),""""),"""")"),"22918")</f>
        <v>22918</v>
      </c>
      <c r="F1225" s="6" t="str">
        <f t="shared" si="3"/>
        <v>Product</v>
      </c>
      <c r="G1225" s="1" t="s">
        <v>668</v>
      </c>
      <c r="H1225" s="6" t="str">
        <f>IFERROR(__xludf.DUMMYFUNCTION("IF(REGEXMATCH(LOWER(G1225), ""^(\?)+\s*(missing)?\s*(\?)*$""), """", PROPER(SUBSTITUTE(SUBSTITUTE(G1225, ""?"", """"), ""*"", """")))"),"Herb Marker Parsley")</f>
        <v>Herb Marker Parsley</v>
      </c>
      <c r="I1225" s="3">
        <v>12.0</v>
      </c>
      <c r="J1225" s="7">
        <v>40598.39722222222</v>
      </c>
      <c r="K1225" s="8" t="str">
        <f t="shared" si="4"/>
        <v>2011-02</v>
      </c>
      <c r="L1225" s="5">
        <v>0.65</v>
      </c>
      <c r="M1225" s="3">
        <v>17139.0</v>
      </c>
      <c r="N1225" s="1" t="str">
        <f t="shared" si="5"/>
        <v>Registered</v>
      </c>
      <c r="O1225" s="1" t="s">
        <v>19</v>
      </c>
      <c r="P1225" s="9" t="str">
        <f t="shared" si="6"/>
        <v>UK</v>
      </c>
      <c r="Q1225" s="8">
        <f t="shared" si="7"/>
        <v>7.8</v>
      </c>
    </row>
    <row r="1226">
      <c r="A1226" s="1">
        <v>544824.0</v>
      </c>
      <c r="B1226" s="1" t="str">
        <f t="shared" si="1"/>
        <v>544824</v>
      </c>
      <c r="C1226" s="1" t="str">
        <f t="shared" si="2"/>
        <v>Sale</v>
      </c>
      <c r="D1226" s="1">
        <v>22920.0</v>
      </c>
      <c r="E1226" s="1" t="str">
        <f>IFERROR(__xludf.DUMMYFUNCTION("IF(LEN(D1226)&gt;4, IFERROR(REGEXEXTRACT(TO_TEXT(D1226),""\d+""),""""),"""")"),"22920")</f>
        <v>22920</v>
      </c>
      <c r="F1226" s="6" t="str">
        <f t="shared" si="3"/>
        <v>Product</v>
      </c>
      <c r="G1226" s="1" t="s">
        <v>666</v>
      </c>
      <c r="H1226" s="6" t="str">
        <f>IFERROR(__xludf.DUMMYFUNCTION("IF(REGEXMATCH(LOWER(G1226), ""^(\?)+\s*(missing)?\s*(\?)*$""), """", PROPER(SUBSTITUTE(SUBSTITUTE(G1226, ""?"", """"), ""*"", """")))"),"Herb Marker Basil")</f>
        <v>Herb Marker Basil</v>
      </c>
      <c r="I1226" s="3">
        <v>12.0</v>
      </c>
      <c r="J1226" s="7">
        <v>40598.39722222222</v>
      </c>
      <c r="K1226" s="8" t="str">
        <f t="shared" si="4"/>
        <v>2011-02</v>
      </c>
      <c r="L1226" s="5">
        <v>0.65</v>
      </c>
      <c r="M1226" s="3">
        <v>17139.0</v>
      </c>
      <c r="N1226" s="1" t="str">
        <f t="shared" si="5"/>
        <v>Registered</v>
      </c>
      <c r="O1226" s="1" t="s">
        <v>19</v>
      </c>
      <c r="P1226" s="9" t="str">
        <f t="shared" si="6"/>
        <v>UK</v>
      </c>
      <c r="Q1226" s="8">
        <f t="shared" si="7"/>
        <v>7.8</v>
      </c>
    </row>
    <row r="1227">
      <c r="A1227" s="1">
        <v>544824.0</v>
      </c>
      <c r="B1227" s="1" t="str">
        <f t="shared" si="1"/>
        <v>544824</v>
      </c>
      <c r="C1227" s="1" t="str">
        <f t="shared" si="2"/>
        <v>Sale</v>
      </c>
      <c r="D1227" s="1">
        <v>22919.0</v>
      </c>
      <c r="E1227" s="1" t="str">
        <f>IFERROR(__xludf.DUMMYFUNCTION("IF(LEN(D1227)&gt;4, IFERROR(REGEXEXTRACT(TO_TEXT(D1227),""\d+""),""""),"""")"),"22919")</f>
        <v>22919</v>
      </c>
      <c r="F1227" s="6" t="str">
        <f t="shared" si="3"/>
        <v>Product</v>
      </c>
      <c r="G1227" s="1" t="s">
        <v>664</v>
      </c>
      <c r="H1227" s="6" t="str">
        <f>IFERROR(__xludf.DUMMYFUNCTION("IF(REGEXMATCH(LOWER(G1227), ""^(\?)+\s*(missing)?\s*(\?)*$""), """", PROPER(SUBSTITUTE(SUBSTITUTE(G1227, ""?"", """"), ""*"", """")))"),"Herb Marker Mint")</f>
        <v>Herb Marker Mint</v>
      </c>
      <c r="I1227" s="3">
        <v>12.0</v>
      </c>
      <c r="J1227" s="7">
        <v>40598.39722222222</v>
      </c>
      <c r="K1227" s="8" t="str">
        <f t="shared" si="4"/>
        <v>2011-02</v>
      </c>
      <c r="L1227" s="5">
        <v>0.65</v>
      </c>
      <c r="M1227" s="3">
        <v>17139.0</v>
      </c>
      <c r="N1227" s="1" t="str">
        <f t="shared" si="5"/>
        <v>Registered</v>
      </c>
      <c r="O1227" s="1" t="s">
        <v>19</v>
      </c>
      <c r="P1227" s="9" t="str">
        <f t="shared" si="6"/>
        <v>UK</v>
      </c>
      <c r="Q1227" s="8">
        <f t="shared" si="7"/>
        <v>7.8</v>
      </c>
    </row>
    <row r="1228">
      <c r="A1228" s="1">
        <v>544824.0</v>
      </c>
      <c r="B1228" s="1" t="str">
        <f t="shared" si="1"/>
        <v>544824</v>
      </c>
      <c r="C1228" s="1" t="str">
        <f t="shared" si="2"/>
        <v>Sale</v>
      </c>
      <c r="D1228" s="1">
        <v>22921.0</v>
      </c>
      <c r="E1228" s="1" t="str">
        <f>IFERROR(__xludf.DUMMYFUNCTION("IF(LEN(D1228)&gt;4, IFERROR(REGEXEXTRACT(TO_TEXT(D1228),""\d+""),""""),"""")"),"22921")</f>
        <v>22921</v>
      </c>
      <c r="F1228" s="6" t="str">
        <f t="shared" si="3"/>
        <v>Product</v>
      </c>
      <c r="G1228" s="1" t="s">
        <v>667</v>
      </c>
      <c r="H1228" s="6" t="str">
        <f>IFERROR(__xludf.DUMMYFUNCTION("IF(REGEXMATCH(LOWER(G1228), ""^(\?)+\s*(missing)?\s*(\?)*$""), """", PROPER(SUBSTITUTE(SUBSTITUTE(G1228, ""?"", """"), ""*"", """")))"),"Herb Marker Chives")</f>
        <v>Herb Marker Chives</v>
      </c>
      <c r="I1228" s="3">
        <v>12.0</v>
      </c>
      <c r="J1228" s="7">
        <v>40598.39722222222</v>
      </c>
      <c r="K1228" s="8" t="str">
        <f t="shared" si="4"/>
        <v>2011-02</v>
      </c>
      <c r="L1228" s="5">
        <v>0.65</v>
      </c>
      <c r="M1228" s="3">
        <v>17139.0</v>
      </c>
      <c r="N1228" s="1" t="str">
        <f t="shared" si="5"/>
        <v>Registered</v>
      </c>
      <c r="O1228" s="1" t="s">
        <v>19</v>
      </c>
      <c r="P1228" s="9" t="str">
        <f t="shared" si="6"/>
        <v>UK</v>
      </c>
      <c r="Q1228" s="8">
        <f t="shared" si="7"/>
        <v>7.8</v>
      </c>
    </row>
    <row r="1229">
      <c r="A1229" s="1">
        <v>544824.0</v>
      </c>
      <c r="B1229" s="1" t="str">
        <f t="shared" si="1"/>
        <v>544824</v>
      </c>
      <c r="C1229" s="1" t="str">
        <f t="shared" si="2"/>
        <v>Sale</v>
      </c>
      <c r="D1229" s="1">
        <v>22502.0</v>
      </c>
      <c r="E1229" s="1" t="str">
        <f>IFERROR(__xludf.DUMMYFUNCTION("IF(LEN(D1229)&gt;4, IFERROR(REGEXEXTRACT(TO_TEXT(D1229),""\d+""),""""),"""")"),"22502")</f>
        <v>22502</v>
      </c>
      <c r="F1229" s="6" t="str">
        <f t="shared" si="3"/>
        <v>Product</v>
      </c>
      <c r="G1229" s="1" t="s">
        <v>242</v>
      </c>
      <c r="H1229" s="6" t="str">
        <f>IFERROR(__xludf.DUMMYFUNCTION("IF(REGEXMATCH(LOWER(G1229), ""^(\?)+\s*(missing)?\s*(\?)*$""), """", PROPER(SUBSTITUTE(SUBSTITUTE(G1229, ""?"", """"), ""*"", """")))"),"Picnic Basket Wicker Small")</f>
        <v>Picnic Basket Wicker Small</v>
      </c>
      <c r="I1229" s="3">
        <v>4.0</v>
      </c>
      <c r="J1229" s="7">
        <v>40598.39722222222</v>
      </c>
      <c r="K1229" s="8" t="str">
        <f t="shared" si="4"/>
        <v>2011-02</v>
      </c>
      <c r="L1229" s="5">
        <v>5.95</v>
      </c>
      <c r="M1229" s="3">
        <v>17139.0</v>
      </c>
      <c r="N1229" s="1" t="str">
        <f t="shared" si="5"/>
        <v>Registered</v>
      </c>
      <c r="O1229" s="1" t="s">
        <v>19</v>
      </c>
      <c r="P1229" s="9" t="str">
        <f t="shared" si="6"/>
        <v>UK</v>
      </c>
      <c r="Q1229" s="8">
        <f t="shared" si="7"/>
        <v>23.8</v>
      </c>
    </row>
    <row r="1230">
      <c r="A1230" s="1">
        <v>544824.0</v>
      </c>
      <c r="B1230" s="1" t="str">
        <f t="shared" si="1"/>
        <v>544824</v>
      </c>
      <c r="C1230" s="1" t="str">
        <f t="shared" si="2"/>
        <v>Sale</v>
      </c>
      <c r="D1230" s="1">
        <v>22501.0</v>
      </c>
      <c r="E1230" s="1" t="str">
        <f>IFERROR(__xludf.DUMMYFUNCTION("IF(LEN(D1230)&gt;4, IFERROR(REGEXEXTRACT(TO_TEXT(D1230),""\d+""),""""),"""")"),"22501")</f>
        <v>22501</v>
      </c>
      <c r="F1230" s="6" t="str">
        <f t="shared" si="3"/>
        <v>Product</v>
      </c>
      <c r="G1230" s="1" t="s">
        <v>795</v>
      </c>
      <c r="H1230" s="6" t="str">
        <f>IFERROR(__xludf.DUMMYFUNCTION("IF(REGEXMATCH(LOWER(G1230), ""^(\?)+\s*(missing)?\s*(\?)*$""), """", PROPER(SUBSTITUTE(SUBSTITUTE(G1230, ""?"", """"), ""*"", """")))"),"Picnic Basket Wicker Large")</f>
        <v>Picnic Basket Wicker Large</v>
      </c>
      <c r="I1230" s="3">
        <v>2.0</v>
      </c>
      <c r="J1230" s="7">
        <v>40598.39722222222</v>
      </c>
      <c r="K1230" s="8" t="str">
        <f t="shared" si="4"/>
        <v>2011-02</v>
      </c>
      <c r="L1230" s="5">
        <v>9.95</v>
      </c>
      <c r="M1230" s="3">
        <v>17139.0</v>
      </c>
      <c r="N1230" s="1" t="str">
        <f t="shared" si="5"/>
        <v>Registered</v>
      </c>
      <c r="O1230" s="1" t="s">
        <v>19</v>
      </c>
      <c r="P1230" s="9" t="str">
        <f t="shared" si="6"/>
        <v>UK</v>
      </c>
      <c r="Q1230" s="8">
        <f t="shared" si="7"/>
        <v>19.9</v>
      </c>
    </row>
    <row r="1231">
      <c r="A1231" s="1">
        <v>544824.0</v>
      </c>
      <c r="B1231" s="1" t="str">
        <f t="shared" si="1"/>
        <v>544824</v>
      </c>
      <c r="C1231" s="1" t="str">
        <f t="shared" si="2"/>
        <v>Sale</v>
      </c>
      <c r="D1231" s="1">
        <v>22607.0</v>
      </c>
      <c r="E1231" s="1" t="str">
        <f>IFERROR(__xludf.DUMMYFUNCTION("IF(LEN(D1231)&gt;4, IFERROR(REGEXEXTRACT(TO_TEXT(D1231),""\d+""),""""),"""")"),"22607")</f>
        <v>22607</v>
      </c>
      <c r="F1231" s="6" t="str">
        <f t="shared" si="3"/>
        <v>Product</v>
      </c>
      <c r="G1231" s="1" t="s">
        <v>796</v>
      </c>
      <c r="H1231" s="6" t="str">
        <f>IFERROR(__xludf.DUMMYFUNCTION("IF(REGEXMATCH(LOWER(G1231), ""^(\?)+\s*(missing)?\s*(\?)*$""), """", PROPER(SUBSTITUTE(SUBSTITUTE(G1231, ""?"", """"), ""*"", """")))"),"Wooden Rounders Garden Set")</f>
        <v>Wooden Rounders Garden Set</v>
      </c>
      <c r="I1231" s="3">
        <v>2.0</v>
      </c>
      <c r="J1231" s="7">
        <v>40598.39722222222</v>
      </c>
      <c r="K1231" s="8" t="str">
        <f t="shared" si="4"/>
        <v>2011-02</v>
      </c>
      <c r="L1231" s="5">
        <v>9.95</v>
      </c>
      <c r="M1231" s="3">
        <v>17139.0</v>
      </c>
      <c r="N1231" s="1" t="str">
        <f t="shared" si="5"/>
        <v>Registered</v>
      </c>
      <c r="O1231" s="1" t="s">
        <v>19</v>
      </c>
      <c r="P1231" s="9" t="str">
        <f t="shared" si="6"/>
        <v>UK</v>
      </c>
      <c r="Q1231" s="8">
        <f t="shared" si="7"/>
        <v>19.9</v>
      </c>
    </row>
    <row r="1232">
      <c r="A1232" s="1">
        <v>544824.0</v>
      </c>
      <c r="B1232" s="1" t="str">
        <f t="shared" si="1"/>
        <v>544824</v>
      </c>
      <c r="C1232" s="1" t="str">
        <f t="shared" si="2"/>
        <v>Sale</v>
      </c>
      <c r="D1232" s="1">
        <v>22605.0</v>
      </c>
      <c r="E1232" s="1" t="str">
        <f>IFERROR(__xludf.DUMMYFUNCTION("IF(LEN(D1232)&gt;4, IFERROR(REGEXEXTRACT(TO_TEXT(D1232),""\d+""),""""),"""")"),"22605")</f>
        <v>22605</v>
      </c>
      <c r="F1232" s="6" t="str">
        <f t="shared" si="3"/>
        <v>Product</v>
      </c>
      <c r="G1232" s="1" t="s">
        <v>765</v>
      </c>
      <c r="H1232" s="6" t="str">
        <f>IFERROR(__xludf.DUMMYFUNCTION("IF(REGEXMATCH(LOWER(G1232), ""^(\?)+\s*(missing)?\s*(\?)*$""), """", PROPER(SUBSTITUTE(SUBSTITUTE(G1232, ""?"", """"), ""*"", """")))"),"Wooden Croquet Garden Set")</f>
        <v>Wooden Croquet Garden Set</v>
      </c>
      <c r="I1232" s="3">
        <v>1.0</v>
      </c>
      <c r="J1232" s="7">
        <v>40598.39722222222</v>
      </c>
      <c r="K1232" s="8" t="str">
        <f t="shared" si="4"/>
        <v>2011-02</v>
      </c>
      <c r="L1232" s="5">
        <v>14.95</v>
      </c>
      <c r="M1232" s="3">
        <v>17139.0</v>
      </c>
      <c r="N1232" s="1" t="str">
        <f t="shared" si="5"/>
        <v>Registered</v>
      </c>
      <c r="O1232" s="1" t="s">
        <v>19</v>
      </c>
      <c r="P1232" s="9" t="str">
        <f t="shared" si="6"/>
        <v>UK</v>
      </c>
      <c r="Q1232" s="8">
        <f t="shared" si="7"/>
        <v>14.95</v>
      </c>
    </row>
    <row r="1233">
      <c r="A1233" s="1">
        <v>544824.0</v>
      </c>
      <c r="B1233" s="1" t="str">
        <f t="shared" si="1"/>
        <v>544824</v>
      </c>
      <c r="C1233" s="1" t="str">
        <f t="shared" si="2"/>
        <v>Sale</v>
      </c>
      <c r="D1233" s="1">
        <v>22606.0</v>
      </c>
      <c r="E1233" s="1" t="str">
        <f>IFERROR(__xludf.DUMMYFUNCTION("IF(LEN(D1233)&gt;4, IFERROR(REGEXEXTRACT(TO_TEXT(D1233),""\d+""),""""),"""")"),"22606")</f>
        <v>22606</v>
      </c>
      <c r="F1233" s="6" t="str">
        <f t="shared" si="3"/>
        <v>Product</v>
      </c>
      <c r="G1233" s="1" t="s">
        <v>797</v>
      </c>
      <c r="H1233" s="6" t="str">
        <f>IFERROR(__xludf.DUMMYFUNCTION("IF(REGEXMATCH(LOWER(G1233), ""^(\?)+\s*(missing)?\s*(\?)*$""), """", PROPER(SUBSTITUTE(SUBSTITUTE(G1233, ""?"", """"), ""*"", """")))"),"Wooden Skittles Garden Set")</f>
        <v>Wooden Skittles Garden Set</v>
      </c>
      <c r="I1233" s="3">
        <v>1.0</v>
      </c>
      <c r="J1233" s="7">
        <v>40598.39722222222</v>
      </c>
      <c r="K1233" s="8" t="str">
        <f t="shared" si="4"/>
        <v>2011-02</v>
      </c>
      <c r="L1233" s="5">
        <v>15.95</v>
      </c>
      <c r="M1233" s="3">
        <v>17139.0</v>
      </c>
      <c r="N1233" s="1" t="str">
        <f t="shared" si="5"/>
        <v>Registered</v>
      </c>
      <c r="O1233" s="1" t="s">
        <v>19</v>
      </c>
      <c r="P1233" s="9" t="str">
        <f t="shared" si="6"/>
        <v>UK</v>
      </c>
      <c r="Q1233" s="8">
        <f t="shared" si="7"/>
        <v>15.95</v>
      </c>
    </row>
    <row r="1234">
      <c r="A1234" s="1">
        <v>544824.0</v>
      </c>
      <c r="B1234" s="1" t="str">
        <f t="shared" si="1"/>
        <v>544824</v>
      </c>
      <c r="C1234" s="1" t="str">
        <f t="shared" si="2"/>
        <v>Sale</v>
      </c>
      <c r="D1234" s="1">
        <v>48185.0</v>
      </c>
      <c r="E1234" s="1" t="str">
        <f>IFERROR(__xludf.DUMMYFUNCTION("IF(LEN(D1234)&gt;4, IFERROR(REGEXEXTRACT(TO_TEXT(D1234),""\d+""),""""),"""")"),"48185")</f>
        <v>48185</v>
      </c>
      <c r="F1234" s="6" t="str">
        <f t="shared" si="3"/>
        <v>Product</v>
      </c>
      <c r="G1234" s="1" t="s">
        <v>263</v>
      </c>
      <c r="H1234" s="6" t="str">
        <f>IFERROR(__xludf.DUMMYFUNCTION("IF(REGEXMATCH(LOWER(G1234), ""^(\?)+\s*(missing)?\s*(\?)*$""), """", PROPER(SUBSTITUTE(SUBSTITUTE(G1234, ""?"", """"), ""*"", """")))"),"Doormat Fairy Cake")</f>
        <v>Doormat Fairy Cake</v>
      </c>
      <c r="I1234" s="3">
        <v>10.0</v>
      </c>
      <c r="J1234" s="7">
        <v>40598.39722222222</v>
      </c>
      <c r="K1234" s="8" t="str">
        <f t="shared" si="4"/>
        <v>2011-02</v>
      </c>
      <c r="L1234" s="5">
        <v>6.75</v>
      </c>
      <c r="M1234" s="3">
        <v>17139.0</v>
      </c>
      <c r="N1234" s="1" t="str">
        <f t="shared" si="5"/>
        <v>Registered</v>
      </c>
      <c r="O1234" s="1" t="s">
        <v>19</v>
      </c>
      <c r="P1234" s="9" t="str">
        <f t="shared" si="6"/>
        <v>UK</v>
      </c>
      <c r="Q1234" s="8">
        <f t="shared" si="7"/>
        <v>67.5</v>
      </c>
    </row>
    <row r="1235">
      <c r="A1235" s="1">
        <v>544824.0</v>
      </c>
      <c r="B1235" s="1" t="str">
        <f t="shared" si="1"/>
        <v>544824</v>
      </c>
      <c r="C1235" s="1" t="str">
        <f t="shared" si="2"/>
        <v>Sale</v>
      </c>
      <c r="D1235" s="1">
        <v>48111.0</v>
      </c>
      <c r="E1235" s="1" t="str">
        <f>IFERROR(__xludf.DUMMYFUNCTION("IF(LEN(D1235)&gt;4, IFERROR(REGEXEXTRACT(TO_TEXT(D1235),""\d+""),""""),"""")"),"48111")</f>
        <v>48111</v>
      </c>
      <c r="F1235" s="6" t="str">
        <f t="shared" si="3"/>
        <v>Product</v>
      </c>
      <c r="G1235" s="1" t="s">
        <v>798</v>
      </c>
      <c r="H1235" s="6" t="str">
        <f>IFERROR(__xludf.DUMMYFUNCTION("IF(REGEXMATCH(LOWER(G1235), ""^(\?)+\s*(missing)?\s*(\?)*$""), """", PROPER(SUBSTITUTE(SUBSTITUTE(G1235, ""?"", """"), ""*"", """")))"),"Doormat 3 Smiley Cats")</f>
        <v>Doormat 3 Smiley Cats</v>
      </c>
      <c r="I1235" s="3">
        <v>10.0</v>
      </c>
      <c r="J1235" s="7">
        <v>40598.39722222222</v>
      </c>
      <c r="K1235" s="8" t="str">
        <f t="shared" si="4"/>
        <v>2011-02</v>
      </c>
      <c r="L1235" s="5">
        <v>6.75</v>
      </c>
      <c r="M1235" s="3">
        <v>17139.0</v>
      </c>
      <c r="N1235" s="1" t="str">
        <f t="shared" si="5"/>
        <v>Registered</v>
      </c>
      <c r="O1235" s="1" t="s">
        <v>19</v>
      </c>
      <c r="P1235" s="9" t="str">
        <f t="shared" si="6"/>
        <v>UK</v>
      </c>
      <c r="Q1235" s="8">
        <f t="shared" si="7"/>
        <v>67.5</v>
      </c>
    </row>
    <row r="1236">
      <c r="A1236" s="1">
        <v>544824.0</v>
      </c>
      <c r="B1236" s="1" t="str">
        <f t="shared" si="1"/>
        <v>544824</v>
      </c>
      <c r="C1236" s="1" t="str">
        <f t="shared" si="2"/>
        <v>Sale</v>
      </c>
      <c r="D1236" s="1">
        <v>22690.0</v>
      </c>
      <c r="E1236" s="1" t="str">
        <f>IFERROR(__xludf.DUMMYFUNCTION("IF(LEN(D1236)&gt;4, IFERROR(REGEXEXTRACT(TO_TEXT(D1236),""\d+""),""""),"""")"),"22690")</f>
        <v>22690</v>
      </c>
      <c r="F1236" s="6" t="str">
        <f t="shared" si="3"/>
        <v>Product</v>
      </c>
      <c r="G1236" s="1" t="s">
        <v>799</v>
      </c>
      <c r="H1236" s="6" t="str">
        <f>IFERROR(__xludf.DUMMYFUNCTION("IF(REGEXMATCH(LOWER(G1236), ""^(\?)+\s*(missing)?\s*(\?)*$""), """", PROPER(SUBSTITUTE(SUBSTITUTE(G1236, ""?"", """"), ""*"", """")))"),"Doormat Home Sweet Home Blue")</f>
        <v>Doormat Home Sweet Home Blue</v>
      </c>
      <c r="I1236" s="3">
        <v>10.0</v>
      </c>
      <c r="J1236" s="7">
        <v>40598.39722222222</v>
      </c>
      <c r="K1236" s="8" t="str">
        <f t="shared" si="4"/>
        <v>2011-02</v>
      </c>
      <c r="L1236" s="5">
        <v>6.75</v>
      </c>
      <c r="M1236" s="3">
        <v>17139.0</v>
      </c>
      <c r="N1236" s="1" t="str">
        <f t="shared" si="5"/>
        <v>Registered</v>
      </c>
      <c r="O1236" s="1" t="s">
        <v>19</v>
      </c>
      <c r="P1236" s="9" t="str">
        <f t="shared" si="6"/>
        <v>UK</v>
      </c>
      <c r="Q1236" s="8">
        <f t="shared" si="7"/>
        <v>67.5</v>
      </c>
    </row>
    <row r="1237">
      <c r="A1237" s="1">
        <v>544824.0</v>
      </c>
      <c r="B1237" s="1" t="str">
        <f t="shared" si="1"/>
        <v>544824</v>
      </c>
      <c r="C1237" s="1" t="str">
        <f t="shared" si="2"/>
        <v>Sale</v>
      </c>
      <c r="D1237" s="1">
        <v>22692.0</v>
      </c>
      <c r="E1237" s="1" t="str">
        <f>IFERROR(__xludf.DUMMYFUNCTION("IF(LEN(D1237)&gt;4, IFERROR(REGEXEXTRACT(TO_TEXT(D1237),""\d+""),""""),"""")"),"22692")</f>
        <v>22692</v>
      </c>
      <c r="F1237" s="6" t="str">
        <f t="shared" si="3"/>
        <v>Product</v>
      </c>
      <c r="G1237" s="1" t="s">
        <v>800</v>
      </c>
      <c r="H1237" s="6" t="str">
        <f>IFERROR(__xludf.DUMMYFUNCTION("IF(REGEXMATCH(LOWER(G1237), ""^(\?)+\s*(missing)?\s*(\?)*$""), """", PROPER(SUBSTITUTE(SUBSTITUTE(G1237, ""?"", """"), ""*"", """")))"),"Doormat Welcome To Our Home")</f>
        <v>Doormat Welcome To Our Home</v>
      </c>
      <c r="I1237" s="3">
        <v>10.0</v>
      </c>
      <c r="J1237" s="7">
        <v>40598.39722222222</v>
      </c>
      <c r="K1237" s="8" t="str">
        <f t="shared" si="4"/>
        <v>2011-02</v>
      </c>
      <c r="L1237" s="5">
        <v>6.75</v>
      </c>
      <c r="M1237" s="3">
        <v>17139.0</v>
      </c>
      <c r="N1237" s="1" t="str">
        <f t="shared" si="5"/>
        <v>Registered</v>
      </c>
      <c r="O1237" s="1" t="s">
        <v>19</v>
      </c>
      <c r="P1237" s="9" t="str">
        <f t="shared" si="6"/>
        <v>UK</v>
      </c>
      <c r="Q1237" s="8">
        <f t="shared" si="7"/>
        <v>67.5</v>
      </c>
    </row>
    <row r="1238">
      <c r="A1238" s="1">
        <v>544824.0</v>
      </c>
      <c r="B1238" s="1" t="str">
        <f t="shared" si="1"/>
        <v>544824</v>
      </c>
      <c r="C1238" s="1" t="str">
        <f t="shared" si="2"/>
        <v>Sale</v>
      </c>
      <c r="D1238" s="1">
        <v>22931.0</v>
      </c>
      <c r="E1238" s="1" t="str">
        <f>IFERROR(__xludf.DUMMYFUNCTION("IF(LEN(D1238)&gt;4, IFERROR(REGEXEXTRACT(TO_TEXT(D1238),""\d+""),""""),"""")"),"22931")</f>
        <v>22931</v>
      </c>
      <c r="F1238" s="6" t="str">
        <f t="shared" si="3"/>
        <v>Product</v>
      </c>
      <c r="G1238" s="1" t="s">
        <v>801</v>
      </c>
      <c r="H1238" s="6" t="str">
        <f>IFERROR(__xludf.DUMMYFUNCTION("IF(REGEXMATCH(LOWER(G1238), ""^(\?)+\s*(missing)?\s*(\?)*$""), """", PROPER(SUBSTITUTE(SUBSTITUTE(G1238, ""?"", """"), ""*"", """")))"),"Baking Mould Heart White Chocolate")</f>
        <v>Baking Mould Heart White Chocolate</v>
      </c>
      <c r="I1238" s="3">
        <v>6.0</v>
      </c>
      <c r="J1238" s="7">
        <v>40598.39722222222</v>
      </c>
      <c r="K1238" s="8" t="str">
        <f t="shared" si="4"/>
        <v>2011-02</v>
      </c>
      <c r="L1238" s="5">
        <v>2.55</v>
      </c>
      <c r="M1238" s="3">
        <v>17139.0</v>
      </c>
      <c r="N1238" s="1" t="str">
        <f t="shared" si="5"/>
        <v>Registered</v>
      </c>
      <c r="O1238" s="1" t="s">
        <v>19</v>
      </c>
      <c r="P1238" s="9" t="str">
        <f t="shared" si="6"/>
        <v>UK</v>
      </c>
      <c r="Q1238" s="8">
        <f t="shared" si="7"/>
        <v>15.3</v>
      </c>
    </row>
    <row r="1239">
      <c r="A1239" s="1">
        <v>544824.0</v>
      </c>
      <c r="B1239" s="1" t="str">
        <f t="shared" si="1"/>
        <v>544824</v>
      </c>
      <c r="C1239" s="1" t="str">
        <f t="shared" si="2"/>
        <v>Sale</v>
      </c>
      <c r="D1239" s="1">
        <v>22932.0</v>
      </c>
      <c r="E1239" s="1" t="str">
        <f>IFERROR(__xludf.DUMMYFUNCTION("IF(LEN(D1239)&gt;4, IFERROR(REGEXEXTRACT(TO_TEXT(D1239),""\d+""),""""),"""")"),"22932")</f>
        <v>22932</v>
      </c>
      <c r="F1239" s="6" t="str">
        <f t="shared" si="3"/>
        <v>Product</v>
      </c>
      <c r="G1239" s="1" t="s">
        <v>802</v>
      </c>
      <c r="H1239" s="6" t="str">
        <f>IFERROR(__xludf.DUMMYFUNCTION("IF(REGEXMATCH(LOWER(G1239), ""^(\?)+\s*(missing)?\s*(\?)*$""), """", PROPER(SUBSTITUTE(SUBSTITUTE(G1239, ""?"", """"), ""*"", """")))"),"Baking Mould Toffee Cup Chocolate")</f>
        <v>Baking Mould Toffee Cup Chocolate</v>
      </c>
      <c r="I1239" s="3">
        <v>6.0</v>
      </c>
      <c r="J1239" s="7">
        <v>40598.39722222222</v>
      </c>
      <c r="K1239" s="8" t="str">
        <f t="shared" si="4"/>
        <v>2011-02</v>
      </c>
      <c r="L1239" s="5">
        <v>2.55</v>
      </c>
      <c r="M1239" s="3">
        <v>17139.0</v>
      </c>
      <c r="N1239" s="1" t="str">
        <f t="shared" si="5"/>
        <v>Registered</v>
      </c>
      <c r="O1239" s="1" t="s">
        <v>19</v>
      </c>
      <c r="P1239" s="9" t="str">
        <f t="shared" si="6"/>
        <v>UK</v>
      </c>
      <c r="Q1239" s="8">
        <f t="shared" si="7"/>
        <v>15.3</v>
      </c>
    </row>
    <row r="1240">
      <c r="A1240" s="1">
        <v>544824.0</v>
      </c>
      <c r="B1240" s="1" t="str">
        <f t="shared" si="1"/>
        <v>544824</v>
      </c>
      <c r="C1240" s="1" t="str">
        <f t="shared" si="2"/>
        <v>Sale</v>
      </c>
      <c r="D1240" s="1">
        <v>21137.0</v>
      </c>
      <c r="E1240" s="1" t="str">
        <f>IFERROR(__xludf.DUMMYFUNCTION("IF(LEN(D1240)&gt;4, IFERROR(REGEXEXTRACT(TO_TEXT(D1240),""\d+""),""""),"""")"),"21137")</f>
        <v>21137</v>
      </c>
      <c r="F1240" s="6" t="str">
        <f t="shared" si="3"/>
        <v>Product</v>
      </c>
      <c r="G1240" s="1" t="s">
        <v>803</v>
      </c>
      <c r="H1240" s="6" t="str">
        <f>IFERROR(__xludf.DUMMYFUNCTION("IF(REGEXMATCH(LOWER(G1240), ""^(\?)+\s*(missing)?\s*(\?)*$""), """", PROPER(SUBSTITUTE(SUBSTITUTE(G1240, ""?"", """"), ""*"", """")))"),"Black Record Cover Frame")</f>
        <v>Black Record Cover Frame</v>
      </c>
      <c r="I1240" s="3">
        <v>4.0</v>
      </c>
      <c r="J1240" s="7">
        <v>40598.39722222222</v>
      </c>
      <c r="K1240" s="8" t="str">
        <f t="shared" si="4"/>
        <v>2011-02</v>
      </c>
      <c r="L1240" s="5">
        <v>3.75</v>
      </c>
      <c r="M1240" s="3">
        <v>17139.0</v>
      </c>
      <c r="N1240" s="1" t="str">
        <f t="shared" si="5"/>
        <v>Registered</v>
      </c>
      <c r="O1240" s="1" t="s">
        <v>19</v>
      </c>
      <c r="P1240" s="9" t="str">
        <f t="shared" si="6"/>
        <v>UK</v>
      </c>
      <c r="Q1240" s="8">
        <f t="shared" si="7"/>
        <v>15</v>
      </c>
    </row>
    <row r="1241">
      <c r="A1241" s="1">
        <v>544824.0</v>
      </c>
      <c r="B1241" s="1" t="str">
        <f t="shared" si="1"/>
        <v>544824</v>
      </c>
      <c r="C1241" s="1" t="str">
        <f t="shared" si="2"/>
        <v>Sale</v>
      </c>
      <c r="D1241" s="1">
        <v>22041.0</v>
      </c>
      <c r="E1241" s="1" t="str">
        <f>IFERROR(__xludf.DUMMYFUNCTION("IF(LEN(D1241)&gt;4, IFERROR(REGEXEXTRACT(TO_TEXT(D1241),""\d+""),""""),"""")"),"22041")</f>
        <v>22041</v>
      </c>
      <c r="F1241" s="6" t="str">
        <f t="shared" si="3"/>
        <v>Product</v>
      </c>
      <c r="G1241" s="1" t="s">
        <v>615</v>
      </c>
      <c r="H1241" s="6" t="str">
        <f>IFERROR(__xludf.DUMMYFUNCTION("IF(REGEXMATCH(LOWER(G1241), ""^(\?)+\s*(missing)?\s*(\?)*$""), """", PROPER(SUBSTITUTE(SUBSTITUTE(G1241, ""?"", """"), ""*"", """")))"),"Record Frame 7"" Single Size")</f>
        <v>Record Frame 7" Single Size</v>
      </c>
      <c r="I1241" s="3">
        <v>6.0</v>
      </c>
      <c r="J1241" s="7">
        <v>40598.39722222222</v>
      </c>
      <c r="K1241" s="8" t="str">
        <f t="shared" si="4"/>
        <v>2011-02</v>
      </c>
      <c r="L1241" s="5">
        <v>2.55</v>
      </c>
      <c r="M1241" s="3">
        <v>17139.0</v>
      </c>
      <c r="N1241" s="1" t="str">
        <f t="shared" si="5"/>
        <v>Registered</v>
      </c>
      <c r="O1241" s="1" t="s">
        <v>19</v>
      </c>
      <c r="P1241" s="9" t="str">
        <f t="shared" si="6"/>
        <v>UK</v>
      </c>
      <c r="Q1241" s="8">
        <f t="shared" si="7"/>
        <v>15.3</v>
      </c>
    </row>
    <row r="1242">
      <c r="A1242" s="1">
        <v>544824.0</v>
      </c>
      <c r="B1242" s="1" t="str">
        <f t="shared" si="1"/>
        <v>544824</v>
      </c>
      <c r="C1242" s="1" t="str">
        <f t="shared" si="2"/>
        <v>Sale</v>
      </c>
      <c r="D1242" s="1">
        <v>22751.0</v>
      </c>
      <c r="E1242" s="1" t="str">
        <f>IFERROR(__xludf.DUMMYFUNCTION("IF(LEN(D1242)&gt;4, IFERROR(REGEXEXTRACT(TO_TEXT(D1242),""\d+""),""""),"""")"),"22751")</f>
        <v>22751</v>
      </c>
      <c r="F1242" s="6" t="str">
        <f t="shared" si="3"/>
        <v>Product</v>
      </c>
      <c r="G1242" s="1" t="s">
        <v>451</v>
      </c>
      <c r="H1242" s="6" t="str">
        <f>IFERROR(__xludf.DUMMYFUNCTION("IF(REGEXMATCH(LOWER(G1242), ""^(\?)+\s*(missing)?\s*(\?)*$""), """", PROPER(SUBSTITUTE(SUBSTITUTE(G1242, ""?"", """"), ""*"", """")))"),"Feltcraft Princess Olivia Doll")</f>
        <v>Feltcraft Princess Olivia Doll</v>
      </c>
      <c r="I1242" s="3">
        <v>4.0</v>
      </c>
      <c r="J1242" s="7">
        <v>40598.39722222222</v>
      </c>
      <c r="K1242" s="8" t="str">
        <f t="shared" si="4"/>
        <v>2011-02</v>
      </c>
      <c r="L1242" s="5">
        <v>3.75</v>
      </c>
      <c r="M1242" s="3">
        <v>17139.0</v>
      </c>
      <c r="N1242" s="1" t="str">
        <f t="shared" si="5"/>
        <v>Registered</v>
      </c>
      <c r="O1242" s="1" t="s">
        <v>19</v>
      </c>
      <c r="P1242" s="9" t="str">
        <f t="shared" si="6"/>
        <v>UK</v>
      </c>
      <c r="Q1242" s="8">
        <f t="shared" si="7"/>
        <v>15</v>
      </c>
    </row>
    <row r="1243">
      <c r="A1243" s="1">
        <v>544824.0</v>
      </c>
      <c r="B1243" s="1" t="str">
        <f t="shared" si="1"/>
        <v>544824</v>
      </c>
      <c r="C1243" s="1" t="str">
        <f t="shared" si="2"/>
        <v>Sale</v>
      </c>
      <c r="D1243" s="1">
        <v>22271.0</v>
      </c>
      <c r="E1243" s="1" t="str">
        <f>IFERROR(__xludf.DUMMYFUNCTION("IF(LEN(D1243)&gt;4, IFERROR(REGEXEXTRACT(TO_TEXT(D1243),""\d+""),""""),"""")"),"22271")</f>
        <v>22271</v>
      </c>
      <c r="F1243" s="6" t="str">
        <f t="shared" si="3"/>
        <v>Product</v>
      </c>
      <c r="G1243" s="1" t="s">
        <v>449</v>
      </c>
      <c r="H1243" s="6" t="str">
        <f>IFERROR(__xludf.DUMMYFUNCTION("IF(REGEXMATCH(LOWER(G1243), ""^(\?)+\s*(missing)?\s*(\?)*$""), """", PROPER(SUBSTITUTE(SUBSTITUTE(G1243, ""?"", """"), ""*"", """")))"),"Feltcraft Doll Rosie")</f>
        <v>Feltcraft Doll Rosie</v>
      </c>
      <c r="I1243" s="3">
        <v>6.0</v>
      </c>
      <c r="J1243" s="7">
        <v>40598.39722222222</v>
      </c>
      <c r="K1243" s="8" t="str">
        <f t="shared" si="4"/>
        <v>2011-02</v>
      </c>
      <c r="L1243" s="5">
        <v>2.95</v>
      </c>
      <c r="M1243" s="3">
        <v>17139.0</v>
      </c>
      <c r="N1243" s="1" t="str">
        <f t="shared" si="5"/>
        <v>Registered</v>
      </c>
      <c r="O1243" s="1" t="s">
        <v>19</v>
      </c>
      <c r="P1243" s="9" t="str">
        <f t="shared" si="6"/>
        <v>UK</v>
      </c>
      <c r="Q1243" s="8">
        <f t="shared" si="7"/>
        <v>17.7</v>
      </c>
    </row>
    <row r="1244">
      <c r="A1244" s="1">
        <v>544824.0</v>
      </c>
      <c r="B1244" s="1" t="str">
        <f t="shared" si="1"/>
        <v>544824</v>
      </c>
      <c r="C1244" s="1" t="str">
        <f t="shared" si="2"/>
        <v>Sale</v>
      </c>
      <c r="D1244" s="1">
        <v>22273.0</v>
      </c>
      <c r="E1244" s="1" t="str">
        <f>IFERROR(__xludf.DUMMYFUNCTION("IF(LEN(D1244)&gt;4, IFERROR(REGEXEXTRACT(TO_TEXT(D1244),""\d+""),""""),"""")"),"22273")</f>
        <v>22273</v>
      </c>
      <c r="F1244" s="6" t="str">
        <f t="shared" si="3"/>
        <v>Product</v>
      </c>
      <c r="G1244" s="1" t="s">
        <v>438</v>
      </c>
      <c r="H1244" s="6" t="str">
        <f>IFERROR(__xludf.DUMMYFUNCTION("IF(REGEXMATCH(LOWER(G1244), ""^(\?)+\s*(missing)?\s*(\?)*$""), """", PROPER(SUBSTITUTE(SUBSTITUTE(G1244, ""?"", """"), ""*"", """")))"),"Feltcraft Doll Molly")</f>
        <v>Feltcraft Doll Molly</v>
      </c>
      <c r="I1244" s="3">
        <v>6.0</v>
      </c>
      <c r="J1244" s="7">
        <v>40598.39722222222</v>
      </c>
      <c r="K1244" s="8" t="str">
        <f t="shared" si="4"/>
        <v>2011-02</v>
      </c>
      <c r="L1244" s="5">
        <v>2.95</v>
      </c>
      <c r="M1244" s="3">
        <v>17139.0</v>
      </c>
      <c r="N1244" s="1" t="str">
        <f t="shared" si="5"/>
        <v>Registered</v>
      </c>
      <c r="O1244" s="1" t="s">
        <v>19</v>
      </c>
      <c r="P1244" s="9" t="str">
        <f t="shared" si="6"/>
        <v>UK</v>
      </c>
      <c r="Q1244" s="8">
        <f t="shared" si="7"/>
        <v>17.7</v>
      </c>
    </row>
    <row r="1245">
      <c r="A1245" s="1">
        <v>544824.0</v>
      </c>
      <c r="B1245" s="1" t="str">
        <f t="shared" si="1"/>
        <v>544824</v>
      </c>
      <c r="C1245" s="1" t="str">
        <f t="shared" si="2"/>
        <v>Sale</v>
      </c>
      <c r="D1245" s="1">
        <v>21428.0</v>
      </c>
      <c r="E1245" s="1" t="str">
        <f>IFERROR(__xludf.DUMMYFUNCTION("IF(LEN(D1245)&gt;4, IFERROR(REGEXEXTRACT(TO_TEXT(D1245),""\d+""),""""),"""")"),"21428")</f>
        <v>21428</v>
      </c>
      <c r="F1245" s="6" t="str">
        <f t="shared" si="3"/>
        <v>Product</v>
      </c>
      <c r="G1245" s="1" t="s">
        <v>804</v>
      </c>
      <c r="H1245" s="6" t="str">
        <f>IFERROR(__xludf.DUMMYFUNCTION("IF(REGEXMATCH(LOWER(G1245), ""^(\?)+\s*(missing)?\s*(\?)*$""), """", PROPER(SUBSTITUTE(SUBSTITUTE(G1245, ""?"", """"), ""*"", """")))"),"Set3 Book Box Green Gingham Flower")</f>
        <v>Set3 Book Box Green Gingham Flower</v>
      </c>
      <c r="I1245" s="3">
        <v>4.0</v>
      </c>
      <c r="J1245" s="7">
        <v>40598.39722222222</v>
      </c>
      <c r="K1245" s="8" t="str">
        <f t="shared" si="4"/>
        <v>2011-02</v>
      </c>
      <c r="L1245" s="5">
        <v>4.25</v>
      </c>
      <c r="M1245" s="3">
        <v>17139.0</v>
      </c>
      <c r="N1245" s="1" t="str">
        <f t="shared" si="5"/>
        <v>Registered</v>
      </c>
      <c r="O1245" s="1" t="s">
        <v>19</v>
      </c>
      <c r="P1245" s="9" t="str">
        <f t="shared" si="6"/>
        <v>UK</v>
      </c>
      <c r="Q1245" s="8">
        <f t="shared" si="7"/>
        <v>17</v>
      </c>
    </row>
    <row r="1246">
      <c r="A1246" s="1">
        <v>544824.0</v>
      </c>
      <c r="B1246" s="1" t="str">
        <f t="shared" si="1"/>
        <v>544824</v>
      </c>
      <c r="C1246" s="1" t="str">
        <f t="shared" si="2"/>
        <v>Sale</v>
      </c>
      <c r="D1246" s="1">
        <v>20749.0</v>
      </c>
      <c r="E1246" s="1" t="str">
        <f>IFERROR(__xludf.DUMMYFUNCTION("IF(LEN(D1246)&gt;4, IFERROR(REGEXEXTRACT(TO_TEXT(D1246),""\d+""),""""),"""")"),"20749")</f>
        <v>20749</v>
      </c>
      <c r="F1246" s="6" t="str">
        <f t="shared" si="3"/>
        <v>Product</v>
      </c>
      <c r="G1246" s="1" t="s">
        <v>319</v>
      </c>
      <c r="H1246" s="6" t="str">
        <f>IFERROR(__xludf.DUMMYFUNCTION("IF(REGEXMATCH(LOWER(G1246), ""^(\?)+\s*(missing)?\s*(\?)*$""), """", PROPER(SUBSTITUTE(SUBSTITUTE(G1246, ""?"", """"), ""*"", """")))"),"Assorted Colour Mini Cases")</f>
        <v>Assorted Colour Mini Cases</v>
      </c>
      <c r="I1246" s="3">
        <v>2.0</v>
      </c>
      <c r="J1246" s="7">
        <v>40598.39722222222</v>
      </c>
      <c r="K1246" s="8" t="str">
        <f t="shared" si="4"/>
        <v>2011-02</v>
      </c>
      <c r="L1246" s="5">
        <v>7.95</v>
      </c>
      <c r="M1246" s="3">
        <v>17139.0</v>
      </c>
      <c r="N1246" s="1" t="str">
        <f t="shared" si="5"/>
        <v>Registered</v>
      </c>
      <c r="O1246" s="1" t="s">
        <v>19</v>
      </c>
      <c r="P1246" s="9" t="str">
        <f t="shared" si="6"/>
        <v>UK</v>
      </c>
      <c r="Q1246" s="8">
        <f t="shared" si="7"/>
        <v>15.9</v>
      </c>
    </row>
    <row r="1247">
      <c r="A1247" s="1">
        <v>544824.0</v>
      </c>
      <c r="B1247" s="1" t="str">
        <f t="shared" si="1"/>
        <v>544824</v>
      </c>
      <c r="C1247" s="1" t="str">
        <f t="shared" si="2"/>
        <v>Sale</v>
      </c>
      <c r="D1247" s="1">
        <v>21930.0</v>
      </c>
      <c r="E1247" s="1" t="str">
        <f>IFERROR(__xludf.DUMMYFUNCTION("IF(LEN(D1247)&gt;4, IFERROR(REGEXEXTRACT(TO_TEXT(D1247),""\d+""),""""),"""")"),"21930")</f>
        <v>21930</v>
      </c>
      <c r="F1247" s="6" t="str">
        <f t="shared" si="3"/>
        <v>Product</v>
      </c>
      <c r="G1247" s="1" t="s">
        <v>805</v>
      </c>
      <c r="H1247" s="6" t="str">
        <f>IFERROR(__xludf.DUMMYFUNCTION("IF(REGEXMATCH(LOWER(G1247), ""^(\?)+\s*(missing)?\s*(\?)*$""), """", PROPER(SUBSTITUTE(SUBSTITUTE(G1247, ""?"", """"), ""*"", """")))"),"Jumbo Storage Bag Skulls")</f>
        <v>Jumbo Storage Bag Skulls</v>
      </c>
      <c r="I1247" s="3">
        <v>10.0</v>
      </c>
      <c r="J1247" s="7">
        <v>40598.39722222222</v>
      </c>
      <c r="K1247" s="8" t="str">
        <f t="shared" si="4"/>
        <v>2011-02</v>
      </c>
      <c r="L1247" s="5">
        <v>1.95</v>
      </c>
      <c r="M1247" s="3">
        <v>17139.0</v>
      </c>
      <c r="N1247" s="1" t="str">
        <f t="shared" si="5"/>
        <v>Registered</v>
      </c>
      <c r="O1247" s="1" t="s">
        <v>19</v>
      </c>
      <c r="P1247" s="9" t="str">
        <f t="shared" si="6"/>
        <v>UK</v>
      </c>
      <c r="Q1247" s="8">
        <f t="shared" si="7"/>
        <v>19.5</v>
      </c>
    </row>
    <row r="1248">
      <c r="A1248" s="1">
        <v>544824.0</v>
      </c>
      <c r="B1248" s="1" t="str">
        <f t="shared" si="1"/>
        <v>544824</v>
      </c>
      <c r="C1248" s="1" t="str">
        <f t="shared" si="2"/>
        <v>Sale</v>
      </c>
      <c r="D1248" s="1">
        <v>22663.0</v>
      </c>
      <c r="E1248" s="1" t="str">
        <f>IFERROR(__xludf.DUMMYFUNCTION("IF(LEN(D1248)&gt;4, IFERROR(REGEXEXTRACT(TO_TEXT(D1248),""\d+""),""""),"""")"),"22663")</f>
        <v>22663</v>
      </c>
      <c r="F1248" s="6" t="str">
        <f t="shared" si="3"/>
        <v>Product</v>
      </c>
      <c r="G1248" s="1" t="s">
        <v>175</v>
      </c>
      <c r="H1248" s="6" t="str">
        <f>IFERROR(__xludf.DUMMYFUNCTION("IF(REGEXMATCH(LOWER(G1248), ""^(\?)+\s*(missing)?\s*(\?)*$""), """", PROPER(SUBSTITUTE(SUBSTITUTE(G1248, ""?"", """"), ""*"", """")))"),"Jumbo Bag Dolly Girl Design")</f>
        <v>Jumbo Bag Dolly Girl Design</v>
      </c>
      <c r="I1248" s="3">
        <v>10.0</v>
      </c>
      <c r="J1248" s="7">
        <v>40598.39722222222</v>
      </c>
      <c r="K1248" s="8" t="str">
        <f t="shared" si="4"/>
        <v>2011-02</v>
      </c>
      <c r="L1248" s="5">
        <v>1.95</v>
      </c>
      <c r="M1248" s="3">
        <v>17139.0</v>
      </c>
      <c r="N1248" s="1" t="str">
        <f t="shared" si="5"/>
        <v>Registered</v>
      </c>
      <c r="O1248" s="1" t="s">
        <v>19</v>
      </c>
      <c r="P1248" s="9" t="str">
        <f t="shared" si="6"/>
        <v>UK</v>
      </c>
      <c r="Q1248" s="8">
        <f t="shared" si="7"/>
        <v>19.5</v>
      </c>
    </row>
    <row r="1249">
      <c r="A1249" s="1">
        <v>544824.0</v>
      </c>
      <c r="B1249" s="1" t="str">
        <f t="shared" si="1"/>
        <v>544824</v>
      </c>
      <c r="C1249" s="1" t="str">
        <f t="shared" si="2"/>
        <v>Sale</v>
      </c>
      <c r="D1249" s="1" t="s">
        <v>181</v>
      </c>
      <c r="E1249" s="1" t="str">
        <f>IFERROR(__xludf.DUMMYFUNCTION("IF(LEN(D1249)&gt;4, IFERROR(REGEXEXTRACT(TO_TEXT(D1249),""\d+""),""""),"""")"),"85099")</f>
        <v>85099</v>
      </c>
      <c r="F1249" s="6" t="str">
        <f t="shared" si="3"/>
        <v>Product</v>
      </c>
      <c r="G1249" s="1" t="s">
        <v>182</v>
      </c>
      <c r="H1249" s="6" t="str">
        <f>IFERROR(__xludf.DUMMYFUNCTION("IF(REGEXMATCH(LOWER(G1249), ""^(\?)+\s*(missing)?\s*(\?)*$""), """", PROPER(SUBSTITUTE(SUBSTITUTE(G1249, ""?"", """"), ""*"", """")))"),"Jumbo Bag Red Retrospot")</f>
        <v>Jumbo Bag Red Retrospot</v>
      </c>
      <c r="I1249" s="3">
        <v>10.0</v>
      </c>
      <c r="J1249" s="7">
        <v>40598.39722222222</v>
      </c>
      <c r="K1249" s="8" t="str">
        <f t="shared" si="4"/>
        <v>2011-02</v>
      </c>
      <c r="L1249" s="5">
        <v>1.95</v>
      </c>
      <c r="M1249" s="3">
        <v>17139.0</v>
      </c>
      <c r="N1249" s="1" t="str">
        <f t="shared" si="5"/>
        <v>Registered</v>
      </c>
      <c r="O1249" s="1" t="s">
        <v>19</v>
      </c>
      <c r="P1249" s="9" t="str">
        <f t="shared" si="6"/>
        <v>UK</v>
      </c>
      <c r="Q1249" s="8">
        <f t="shared" si="7"/>
        <v>19.5</v>
      </c>
    </row>
    <row r="1250">
      <c r="A1250" s="1">
        <v>544824.0</v>
      </c>
      <c r="B1250" s="1" t="str">
        <f t="shared" si="1"/>
        <v>544824</v>
      </c>
      <c r="C1250" s="1" t="str">
        <f t="shared" si="2"/>
        <v>Sale</v>
      </c>
      <c r="D1250" s="1">
        <v>21936.0</v>
      </c>
      <c r="E1250" s="1" t="str">
        <f>IFERROR(__xludf.DUMMYFUNCTION("IF(LEN(D1250)&gt;4, IFERROR(REGEXEXTRACT(TO_TEXT(D1250),""\d+""),""""),"""")"),"21936")</f>
        <v>21936</v>
      </c>
      <c r="F1250" s="6" t="str">
        <f t="shared" si="3"/>
        <v>Product</v>
      </c>
      <c r="G1250" s="1" t="s">
        <v>806</v>
      </c>
      <c r="H1250" s="6" t="str">
        <f>IFERROR(__xludf.DUMMYFUNCTION("IF(REGEXMATCH(LOWER(G1250), ""^(\?)+\s*(missing)?\s*(\?)*$""), """", PROPER(SUBSTITUTE(SUBSTITUTE(G1250, ""?"", """"), ""*"", """")))"),"Red Retrospot Picnic Bag")</f>
        <v>Red Retrospot Picnic Bag</v>
      </c>
      <c r="I1250" s="3">
        <v>5.0</v>
      </c>
      <c r="J1250" s="7">
        <v>40598.39722222222</v>
      </c>
      <c r="K1250" s="8" t="str">
        <f t="shared" si="4"/>
        <v>2011-02</v>
      </c>
      <c r="L1250" s="5">
        <v>2.95</v>
      </c>
      <c r="M1250" s="3">
        <v>17139.0</v>
      </c>
      <c r="N1250" s="1" t="str">
        <f t="shared" si="5"/>
        <v>Registered</v>
      </c>
      <c r="O1250" s="1" t="s">
        <v>19</v>
      </c>
      <c r="P1250" s="9" t="str">
        <f t="shared" si="6"/>
        <v>UK</v>
      </c>
      <c r="Q1250" s="8">
        <f t="shared" si="7"/>
        <v>14.75</v>
      </c>
    </row>
    <row r="1251">
      <c r="A1251" s="1">
        <v>544824.0</v>
      </c>
      <c r="B1251" s="1" t="str">
        <f t="shared" si="1"/>
        <v>544824</v>
      </c>
      <c r="C1251" s="1" t="str">
        <f t="shared" si="2"/>
        <v>Sale</v>
      </c>
      <c r="D1251" s="1">
        <v>22386.0</v>
      </c>
      <c r="E1251" s="1" t="str">
        <f>IFERROR(__xludf.DUMMYFUNCTION("IF(LEN(D1251)&gt;4, IFERROR(REGEXEXTRACT(TO_TEXT(D1251),""\d+""),""""),"""")"),"22386")</f>
        <v>22386</v>
      </c>
      <c r="F1251" s="6" t="str">
        <f t="shared" si="3"/>
        <v>Product</v>
      </c>
      <c r="G1251" s="1" t="s">
        <v>84</v>
      </c>
      <c r="H1251" s="6" t="str">
        <f>IFERROR(__xludf.DUMMYFUNCTION("IF(REGEXMATCH(LOWER(G1251), ""^(\?)+\s*(missing)?\s*(\?)*$""), """", PROPER(SUBSTITUTE(SUBSTITUTE(G1251, ""?"", """"), ""*"", """")))"),"Jumbo Bag Pink Polkadot")</f>
        <v>Jumbo Bag Pink Polkadot</v>
      </c>
      <c r="I1251" s="3">
        <v>10.0</v>
      </c>
      <c r="J1251" s="7">
        <v>40598.39722222222</v>
      </c>
      <c r="K1251" s="8" t="str">
        <f t="shared" si="4"/>
        <v>2011-02</v>
      </c>
      <c r="L1251" s="5">
        <v>1.95</v>
      </c>
      <c r="M1251" s="3">
        <v>17139.0</v>
      </c>
      <c r="N1251" s="1" t="str">
        <f t="shared" si="5"/>
        <v>Registered</v>
      </c>
      <c r="O1251" s="1" t="s">
        <v>19</v>
      </c>
      <c r="P1251" s="9" t="str">
        <f t="shared" si="6"/>
        <v>UK</v>
      </c>
      <c r="Q1251" s="8">
        <f t="shared" si="7"/>
        <v>19.5</v>
      </c>
    </row>
    <row r="1252">
      <c r="A1252" s="1">
        <v>544824.0</v>
      </c>
      <c r="B1252" s="1" t="str">
        <f t="shared" si="1"/>
        <v>544824</v>
      </c>
      <c r="C1252" s="1" t="str">
        <f t="shared" si="2"/>
        <v>Sale</v>
      </c>
      <c r="D1252" s="1">
        <v>22384.0</v>
      </c>
      <c r="E1252" s="1" t="str">
        <f>IFERROR(__xludf.DUMMYFUNCTION("IF(LEN(D1252)&gt;4, IFERROR(REGEXEXTRACT(TO_TEXT(D1252),""\d+""),""""),"""")"),"22384")</f>
        <v>22384</v>
      </c>
      <c r="F1252" s="6" t="str">
        <f t="shared" si="3"/>
        <v>Product</v>
      </c>
      <c r="G1252" s="1" t="s">
        <v>322</v>
      </c>
      <c r="H1252" s="6" t="str">
        <f>IFERROR(__xludf.DUMMYFUNCTION("IF(REGEXMATCH(LOWER(G1252), ""^(\?)+\s*(missing)?\s*(\?)*$""), """", PROPER(SUBSTITUTE(SUBSTITUTE(G1252, ""?"", """"), ""*"", """")))"),"Lunch Bag Pink Polkadot")</f>
        <v>Lunch Bag Pink Polkadot</v>
      </c>
      <c r="I1252" s="3">
        <v>10.0</v>
      </c>
      <c r="J1252" s="7">
        <v>40598.39722222222</v>
      </c>
      <c r="K1252" s="8" t="str">
        <f t="shared" si="4"/>
        <v>2011-02</v>
      </c>
      <c r="L1252" s="5">
        <v>1.65</v>
      </c>
      <c r="M1252" s="3">
        <v>17139.0</v>
      </c>
      <c r="N1252" s="1" t="str">
        <f t="shared" si="5"/>
        <v>Registered</v>
      </c>
      <c r="O1252" s="1" t="s">
        <v>19</v>
      </c>
      <c r="P1252" s="9" t="str">
        <f t="shared" si="6"/>
        <v>UK</v>
      </c>
      <c r="Q1252" s="8">
        <f t="shared" si="7"/>
        <v>16.5</v>
      </c>
    </row>
    <row r="1253">
      <c r="A1253" s="1">
        <v>544824.0</v>
      </c>
      <c r="B1253" s="1" t="str">
        <f t="shared" si="1"/>
        <v>544824</v>
      </c>
      <c r="C1253" s="1" t="str">
        <f t="shared" si="2"/>
        <v>Sale</v>
      </c>
      <c r="D1253" s="1">
        <v>20725.0</v>
      </c>
      <c r="E1253" s="1" t="str">
        <f>IFERROR(__xludf.DUMMYFUNCTION("IF(LEN(D1253)&gt;4, IFERROR(REGEXEXTRACT(TO_TEXT(D1253),""\d+""),""""),"""")"),"20725")</f>
        <v>20725</v>
      </c>
      <c r="F1253" s="6" t="str">
        <f t="shared" si="3"/>
        <v>Product</v>
      </c>
      <c r="G1253" s="1" t="s">
        <v>94</v>
      </c>
      <c r="H1253" s="6" t="str">
        <f>IFERROR(__xludf.DUMMYFUNCTION("IF(REGEXMATCH(LOWER(G1253), ""^(\?)+\s*(missing)?\s*(\?)*$""), """", PROPER(SUBSTITUTE(SUBSTITUTE(G1253, ""?"", """"), ""*"", """")))"),"Lunch Bag Red Retrospot")</f>
        <v>Lunch Bag Red Retrospot</v>
      </c>
      <c r="I1253" s="3">
        <v>10.0</v>
      </c>
      <c r="J1253" s="7">
        <v>40598.39722222222</v>
      </c>
      <c r="K1253" s="8" t="str">
        <f t="shared" si="4"/>
        <v>2011-02</v>
      </c>
      <c r="L1253" s="5">
        <v>1.65</v>
      </c>
      <c r="M1253" s="3">
        <v>17139.0</v>
      </c>
      <c r="N1253" s="1" t="str">
        <f t="shared" si="5"/>
        <v>Registered</v>
      </c>
      <c r="O1253" s="1" t="s">
        <v>19</v>
      </c>
      <c r="P1253" s="9" t="str">
        <f t="shared" si="6"/>
        <v>UK</v>
      </c>
      <c r="Q1253" s="8">
        <f t="shared" si="7"/>
        <v>16.5</v>
      </c>
    </row>
    <row r="1254">
      <c r="A1254" s="1">
        <v>544824.0</v>
      </c>
      <c r="B1254" s="1" t="str">
        <f t="shared" si="1"/>
        <v>544824</v>
      </c>
      <c r="C1254" s="1" t="str">
        <f t="shared" si="2"/>
        <v>Sale</v>
      </c>
      <c r="D1254" s="1">
        <v>22662.0</v>
      </c>
      <c r="E1254" s="1" t="str">
        <f>IFERROR(__xludf.DUMMYFUNCTION("IF(LEN(D1254)&gt;4, IFERROR(REGEXEXTRACT(TO_TEXT(D1254),""\d+""),""""),"""")"),"22662")</f>
        <v>22662</v>
      </c>
      <c r="F1254" s="6" t="str">
        <f t="shared" si="3"/>
        <v>Product</v>
      </c>
      <c r="G1254" s="1" t="s">
        <v>179</v>
      </c>
      <c r="H1254" s="6" t="str">
        <f>IFERROR(__xludf.DUMMYFUNCTION("IF(REGEXMATCH(LOWER(G1254), ""^(\?)+\s*(missing)?\s*(\?)*$""), """", PROPER(SUBSTITUTE(SUBSTITUTE(G1254, ""?"", """"), ""*"", """")))"),"Lunch Bag Dolly Girl Design")</f>
        <v>Lunch Bag Dolly Girl Design</v>
      </c>
      <c r="I1254" s="3">
        <v>10.0</v>
      </c>
      <c r="J1254" s="7">
        <v>40598.39722222222</v>
      </c>
      <c r="K1254" s="8" t="str">
        <f t="shared" si="4"/>
        <v>2011-02</v>
      </c>
      <c r="L1254" s="5">
        <v>1.65</v>
      </c>
      <c r="M1254" s="3">
        <v>17139.0</v>
      </c>
      <c r="N1254" s="1" t="str">
        <f t="shared" si="5"/>
        <v>Registered</v>
      </c>
      <c r="O1254" s="1" t="s">
        <v>19</v>
      </c>
      <c r="P1254" s="9" t="str">
        <f t="shared" si="6"/>
        <v>UK</v>
      </c>
      <c r="Q1254" s="8">
        <f t="shared" si="7"/>
        <v>16.5</v>
      </c>
    </row>
    <row r="1255">
      <c r="A1255" s="1">
        <v>544824.0</v>
      </c>
      <c r="B1255" s="1" t="str">
        <f t="shared" si="1"/>
        <v>544824</v>
      </c>
      <c r="C1255" s="1" t="str">
        <f t="shared" si="2"/>
        <v>Sale</v>
      </c>
      <c r="D1255" s="1">
        <v>20727.0</v>
      </c>
      <c r="E1255" s="1" t="str">
        <f>IFERROR(__xludf.DUMMYFUNCTION("IF(LEN(D1255)&gt;4, IFERROR(REGEXEXTRACT(TO_TEXT(D1255),""\d+""),""""),"""")"),"20727")</f>
        <v>20727</v>
      </c>
      <c r="F1255" s="6" t="str">
        <f t="shared" si="3"/>
        <v>Product</v>
      </c>
      <c r="G1255" s="1" t="s">
        <v>357</v>
      </c>
      <c r="H1255" s="6" t="str">
        <f>IFERROR(__xludf.DUMMYFUNCTION("IF(REGEXMATCH(LOWER(G1255), ""^(\?)+\s*(missing)?\s*(\?)*$""), """", PROPER(SUBSTITUTE(SUBSTITUTE(G1255, ""?"", """"), ""*"", """")))"),"Lunch Bag Black Skull.")</f>
        <v>Lunch Bag Black Skull.</v>
      </c>
      <c r="I1255" s="3">
        <v>10.0</v>
      </c>
      <c r="J1255" s="7">
        <v>40598.39722222222</v>
      </c>
      <c r="K1255" s="8" t="str">
        <f t="shared" si="4"/>
        <v>2011-02</v>
      </c>
      <c r="L1255" s="5">
        <v>1.65</v>
      </c>
      <c r="M1255" s="3">
        <v>17139.0</v>
      </c>
      <c r="N1255" s="1" t="str">
        <f t="shared" si="5"/>
        <v>Registered</v>
      </c>
      <c r="O1255" s="1" t="s">
        <v>19</v>
      </c>
      <c r="P1255" s="9" t="str">
        <f t="shared" si="6"/>
        <v>UK</v>
      </c>
      <c r="Q1255" s="8">
        <f t="shared" si="7"/>
        <v>16.5</v>
      </c>
    </row>
    <row r="1256">
      <c r="A1256" s="1">
        <v>544824.0</v>
      </c>
      <c r="B1256" s="1" t="str">
        <f t="shared" si="1"/>
        <v>544824</v>
      </c>
      <c r="C1256" s="1" t="str">
        <f t="shared" si="2"/>
        <v>Sale</v>
      </c>
      <c r="D1256" s="1">
        <v>21452.0</v>
      </c>
      <c r="E1256" s="1" t="str">
        <f>IFERROR(__xludf.DUMMYFUNCTION("IF(LEN(D1256)&gt;4, IFERROR(REGEXEXTRACT(TO_TEXT(D1256),""\d+""),""""),"""")"),"21452")</f>
        <v>21452</v>
      </c>
      <c r="F1256" s="6" t="str">
        <f t="shared" si="3"/>
        <v>Product</v>
      </c>
      <c r="G1256" s="1" t="s">
        <v>807</v>
      </c>
      <c r="H1256" s="6" t="str">
        <f>IFERROR(__xludf.DUMMYFUNCTION("IF(REGEXMATCH(LOWER(G1256), ""^(\?)+\s*(missing)?\s*(\?)*$""), """", PROPER(SUBSTITUTE(SUBSTITUTE(G1256, ""?"", """"), ""*"", """")))"),"Toadstool Money Box")</f>
        <v>Toadstool Money Box</v>
      </c>
      <c r="I1256" s="3">
        <v>6.0</v>
      </c>
      <c r="J1256" s="7">
        <v>40598.39722222222</v>
      </c>
      <c r="K1256" s="8" t="str">
        <f t="shared" si="4"/>
        <v>2011-02</v>
      </c>
      <c r="L1256" s="5">
        <v>2.95</v>
      </c>
      <c r="M1256" s="3">
        <v>17139.0</v>
      </c>
      <c r="N1256" s="1" t="str">
        <f t="shared" si="5"/>
        <v>Registered</v>
      </c>
      <c r="O1256" s="1" t="s">
        <v>19</v>
      </c>
      <c r="P1256" s="9" t="str">
        <f t="shared" si="6"/>
        <v>UK</v>
      </c>
      <c r="Q1256" s="8">
        <f t="shared" si="7"/>
        <v>17.7</v>
      </c>
    </row>
    <row r="1257">
      <c r="A1257" s="1">
        <v>544824.0</v>
      </c>
      <c r="B1257" s="1" t="str">
        <f t="shared" si="1"/>
        <v>544824</v>
      </c>
      <c r="C1257" s="1" t="str">
        <f t="shared" si="2"/>
        <v>Sale</v>
      </c>
      <c r="D1257" s="1">
        <v>22968.0</v>
      </c>
      <c r="E1257" s="1" t="str">
        <f>IFERROR(__xludf.DUMMYFUNCTION("IF(LEN(D1257)&gt;4, IFERROR(REGEXEXTRACT(TO_TEXT(D1257),""\d+""),""""),"""")"),"22968")</f>
        <v>22968</v>
      </c>
      <c r="F1257" s="6" t="str">
        <f t="shared" si="3"/>
        <v>Product</v>
      </c>
      <c r="G1257" s="1" t="s">
        <v>212</v>
      </c>
      <c r="H1257" s="6" t="str">
        <f>IFERROR(__xludf.DUMMYFUNCTION("IF(REGEXMATCH(LOWER(G1257), ""^(\?)+\s*(missing)?\s*(\?)*$""), """", PROPER(SUBSTITUTE(SUBSTITUTE(G1257, ""?"", """"), ""*"", """")))"),"Rose Cottage Keepsake Box")</f>
        <v>Rose Cottage Keepsake Box</v>
      </c>
      <c r="I1257" s="3">
        <v>2.0</v>
      </c>
      <c r="J1257" s="7">
        <v>40598.39722222222</v>
      </c>
      <c r="K1257" s="8" t="str">
        <f t="shared" si="4"/>
        <v>2011-02</v>
      </c>
      <c r="L1257" s="5">
        <v>9.95</v>
      </c>
      <c r="M1257" s="3">
        <v>17139.0</v>
      </c>
      <c r="N1257" s="1" t="str">
        <f t="shared" si="5"/>
        <v>Registered</v>
      </c>
      <c r="O1257" s="1" t="s">
        <v>19</v>
      </c>
      <c r="P1257" s="9" t="str">
        <f t="shared" si="6"/>
        <v>UK</v>
      </c>
      <c r="Q1257" s="8">
        <f t="shared" si="7"/>
        <v>19.9</v>
      </c>
    </row>
    <row r="1258">
      <c r="A1258" s="1">
        <v>544824.0</v>
      </c>
      <c r="B1258" s="1" t="str">
        <f t="shared" si="1"/>
        <v>544824</v>
      </c>
      <c r="C1258" s="1" t="str">
        <f t="shared" si="2"/>
        <v>Sale</v>
      </c>
      <c r="D1258" s="1">
        <v>20750.0</v>
      </c>
      <c r="E1258" s="1" t="str">
        <f>IFERROR(__xludf.DUMMYFUNCTION("IF(LEN(D1258)&gt;4, IFERROR(REGEXEXTRACT(TO_TEXT(D1258),""\d+""),""""),"""")"),"20750")</f>
        <v>20750</v>
      </c>
      <c r="F1258" s="6" t="str">
        <f t="shared" si="3"/>
        <v>Product</v>
      </c>
      <c r="G1258" s="1" t="s">
        <v>464</v>
      </c>
      <c r="H1258" s="6" t="str">
        <f>IFERROR(__xludf.DUMMYFUNCTION("IF(REGEXMATCH(LOWER(G1258), ""^(\?)+\s*(missing)?\s*(\?)*$""), """", PROPER(SUBSTITUTE(SUBSTITUTE(G1258, ""?"", """"), ""*"", """")))"),"Red Retrospot Mini Cases")</f>
        <v>Red Retrospot Mini Cases</v>
      </c>
      <c r="I1258" s="3">
        <v>2.0</v>
      </c>
      <c r="J1258" s="7">
        <v>40598.39722222222</v>
      </c>
      <c r="K1258" s="8" t="str">
        <f t="shared" si="4"/>
        <v>2011-02</v>
      </c>
      <c r="L1258" s="5">
        <v>7.95</v>
      </c>
      <c r="M1258" s="3">
        <v>17139.0</v>
      </c>
      <c r="N1258" s="1" t="str">
        <f t="shared" si="5"/>
        <v>Registered</v>
      </c>
      <c r="O1258" s="1" t="s">
        <v>19</v>
      </c>
      <c r="P1258" s="9" t="str">
        <f t="shared" si="6"/>
        <v>UK</v>
      </c>
      <c r="Q1258" s="8">
        <f t="shared" si="7"/>
        <v>15.9</v>
      </c>
    </row>
    <row r="1259">
      <c r="A1259" s="1">
        <v>544824.0</v>
      </c>
      <c r="B1259" s="1" t="str">
        <f t="shared" si="1"/>
        <v>544824</v>
      </c>
      <c r="C1259" s="1" t="str">
        <f t="shared" si="2"/>
        <v>Sale</v>
      </c>
      <c r="D1259" s="1">
        <v>22661.0</v>
      </c>
      <c r="E1259" s="1" t="str">
        <f>IFERROR(__xludf.DUMMYFUNCTION("IF(LEN(D1259)&gt;4, IFERROR(REGEXEXTRACT(TO_TEXT(D1259),""\d+""),""""),"""")"),"22661")</f>
        <v>22661</v>
      </c>
      <c r="F1259" s="6" t="str">
        <f t="shared" si="3"/>
        <v>Product</v>
      </c>
      <c r="G1259" s="1" t="s">
        <v>61</v>
      </c>
      <c r="H1259" s="6" t="str">
        <f>IFERROR(__xludf.DUMMYFUNCTION("IF(REGEXMATCH(LOWER(G1259), ""^(\?)+\s*(missing)?\s*(\?)*$""), """", PROPER(SUBSTITUTE(SUBSTITUTE(G1259, ""?"", """"), ""*"", """")))"),"Charlotte Bag Dolly Girl Design")</f>
        <v>Charlotte Bag Dolly Girl Design</v>
      </c>
      <c r="I1259" s="3">
        <v>10.0</v>
      </c>
      <c r="J1259" s="7">
        <v>40598.39722222222</v>
      </c>
      <c r="K1259" s="8" t="str">
        <f t="shared" si="4"/>
        <v>2011-02</v>
      </c>
      <c r="L1259" s="5">
        <v>0.85</v>
      </c>
      <c r="M1259" s="3">
        <v>17139.0</v>
      </c>
      <c r="N1259" s="1" t="str">
        <f t="shared" si="5"/>
        <v>Registered</v>
      </c>
      <c r="O1259" s="1" t="s">
        <v>19</v>
      </c>
      <c r="P1259" s="9" t="str">
        <f t="shared" si="6"/>
        <v>UK</v>
      </c>
      <c r="Q1259" s="8">
        <f t="shared" si="7"/>
        <v>8.5</v>
      </c>
    </row>
    <row r="1260">
      <c r="A1260" s="1">
        <v>544824.0</v>
      </c>
      <c r="B1260" s="1" t="str">
        <f t="shared" si="1"/>
        <v>544824</v>
      </c>
      <c r="C1260" s="1" t="str">
        <f t="shared" si="2"/>
        <v>Sale</v>
      </c>
      <c r="D1260" s="1">
        <v>22356.0</v>
      </c>
      <c r="E1260" s="1" t="str">
        <f>IFERROR(__xludf.DUMMYFUNCTION("IF(LEN(D1260)&gt;4, IFERROR(REGEXEXTRACT(TO_TEXT(D1260),""\d+""),""""),"""")"),"22356")</f>
        <v>22356</v>
      </c>
      <c r="F1260" s="6" t="str">
        <f t="shared" si="3"/>
        <v>Product</v>
      </c>
      <c r="G1260" s="1" t="s">
        <v>808</v>
      </c>
      <c r="H1260" s="6" t="str">
        <f>IFERROR(__xludf.DUMMYFUNCTION("IF(REGEXMATCH(LOWER(G1260), ""^(\?)+\s*(missing)?\s*(\?)*$""), """", PROPER(SUBSTITUTE(SUBSTITUTE(G1260, ""?"", """"), ""*"", """")))"),"Charlotte Bag Pink Polkadot")</f>
        <v>Charlotte Bag Pink Polkadot</v>
      </c>
      <c r="I1260" s="3">
        <v>10.0</v>
      </c>
      <c r="J1260" s="7">
        <v>40598.39722222222</v>
      </c>
      <c r="K1260" s="8" t="str">
        <f t="shared" si="4"/>
        <v>2011-02</v>
      </c>
      <c r="L1260" s="5">
        <v>0.85</v>
      </c>
      <c r="M1260" s="3">
        <v>17139.0</v>
      </c>
      <c r="N1260" s="1" t="str">
        <f t="shared" si="5"/>
        <v>Registered</v>
      </c>
      <c r="O1260" s="1" t="s">
        <v>19</v>
      </c>
      <c r="P1260" s="9" t="str">
        <f t="shared" si="6"/>
        <v>UK</v>
      </c>
      <c r="Q1260" s="8">
        <f t="shared" si="7"/>
        <v>8.5</v>
      </c>
    </row>
    <row r="1261">
      <c r="A1261" s="1">
        <v>544824.0</v>
      </c>
      <c r="B1261" s="1" t="str">
        <f t="shared" si="1"/>
        <v>544824</v>
      </c>
      <c r="C1261" s="1" t="str">
        <f t="shared" si="2"/>
        <v>Sale</v>
      </c>
      <c r="D1261" s="1">
        <v>20724.0</v>
      </c>
      <c r="E1261" s="1" t="str">
        <f>IFERROR(__xludf.DUMMYFUNCTION("IF(LEN(D1261)&gt;4, IFERROR(REGEXEXTRACT(TO_TEXT(D1261),""\d+""),""""),"""")"),"20724")</f>
        <v>20724</v>
      </c>
      <c r="F1261" s="6" t="str">
        <f t="shared" si="3"/>
        <v>Product</v>
      </c>
      <c r="G1261" s="1" t="s">
        <v>701</v>
      </c>
      <c r="H1261" s="6" t="str">
        <f>IFERROR(__xludf.DUMMYFUNCTION("IF(REGEXMATCH(LOWER(G1261), ""^(\?)+\s*(missing)?\s*(\?)*$""), """", PROPER(SUBSTITUTE(SUBSTITUTE(G1261, ""?"", """"), ""*"", """")))"),"Red Retrospot Charlotte Bag")</f>
        <v>Red Retrospot Charlotte Bag</v>
      </c>
      <c r="I1261" s="3">
        <v>10.0</v>
      </c>
      <c r="J1261" s="7">
        <v>40598.39722222222</v>
      </c>
      <c r="K1261" s="8" t="str">
        <f t="shared" si="4"/>
        <v>2011-02</v>
      </c>
      <c r="L1261" s="5">
        <v>0.85</v>
      </c>
      <c r="M1261" s="3">
        <v>17139.0</v>
      </c>
      <c r="N1261" s="1" t="str">
        <f t="shared" si="5"/>
        <v>Registered</v>
      </c>
      <c r="O1261" s="1" t="s">
        <v>19</v>
      </c>
      <c r="P1261" s="9" t="str">
        <f t="shared" si="6"/>
        <v>UK</v>
      </c>
      <c r="Q1261" s="8">
        <f t="shared" si="7"/>
        <v>8.5</v>
      </c>
    </row>
    <row r="1262">
      <c r="A1262" s="1">
        <v>544824.0</v>
      </c>
      <c r="B1262" s="1" t="str">
        <f t="shared" si="1"/>
        <v>544824</v>
      </c>
      <c r="C1262" s="1" t="str">
        <f t="shared" si="2"/>
        <v>Sale</v>
      </c>
      <c r="D1262" s="1">
        <v>22139.0</v>
      </c>
      <c r="E1262" s="1" t="str">
        <f>IFERROR(__xludf.DUMMYFUNCTION("IF(LEN(D1262)&gt;4, IFERROR(REGEXEXTRACT(TO_TEXT(D1262),""\d+""),""""),"""")"),"22139")</f>
        <v>22139</v>
      </c>
      <c r="F1262" s="6" t="str">
        <f t="shared" si="3"/>
        <v>Product</v>
      </c>
      <c r="G1262" s="1" t="s">
        <v>110</v>
      </c>
      <c r="H1262" s="6" t="str">
        <f>IFERROR(__xludf.DUMMYFUNCTION("IF(REGEXMATCH(LOWER(G1262), ""^(\?)+\s*(missing)?\s*(\?)*$""), """", PROPER(SUBSTITUTE(SUBSTITUTE(G1262, ""?"", """"), ""*"", """")))"),"Retrospot Tea Set Ceramic 11 Pc")</f>
        <v>Retrospot Tea Set Ceramic 11 Pc</v>
      </c>
      <c r="I1262" s="3">
        <v>3.0</v>
      </c>
      <c r="J1262" s="7">
        <v>40598.39722222222</v>
      </c>
      <c r="K1262" s="8" t="str">
        <f t="shared" si="4"/>
        <v>2011-02</v>
      </c>
      <c r="L1262" s="5">
        <v>4.95</v>
      </c>
      <c r="M1262" s="3">
        <v>17139.0</v>
      </c>
      <c r="N1262" s="1" t="str">
        <f t="shared" si="5"/>
        <v>Registered</v>
      </c>
      <c r="O1262" s="1" t="s">
        <v>19</v>
      </c>
      <c r="P1262" s="9" t="str">
        <f t="shared" si="6"/>
        <v>UK</v>
      </c>
      <c r="Q1262" s="8">
        <f t="shared" si="7"/>
        <v>14.85</v>
      </c>
    </row>
    <row r="1263">
      <c r="A1263" s="1">
        <v>544824.0</v>
      </c>
      <c r="B1263" s="1" t="str">
        <f t="shared" si="1"/>
        <v>544824</v>
      </c>
      <c r="C1263" s="1" t="str">
        <f t="shared" si="2"/>
        <v>Sale</v>
      </c>
      <c r="D1263" s="1">
        <v>21559.0</v>
      </c>
      <c r="E1263" s="1" t="str">
        <f>IFERROR(__xludf.DUMMYFUNCTION("IF(LEN(D1263)&gt;4, IFERROR(REGEXEXTRACT(TO_TEXT(D1263),""\d+""),""""),"""")"),"21559")</f>
        <v>21559</v>
      </c>
      <c r="F1263" s="6" t="str">
        <f t="shared" si="3"/>
        <v>Product</v>
      </c>
      <c r="G1263" s="1" t="s">
        <v>95</v>
      </c>
      <c r="H1263" s="6" t="str">
        <f>IFERROR(__xludf.DUMMYFUNCTION("IF(REGEXMATCH(LOWER(G1263), ""^(\?)+\s*(missing)?\s*(\?)*$""), """", PROPER(SUBSTITUTE(SUBSTITUTE(G1263, ""?"", """"), ""*"", """")))"),"Strawberry Lunch Box With Cutlery")</f>
        <v>Strawberry Lunch Box With Cutlery</v>
      </c>
      <c r="I1263" s="3">
        <v>6.0</v>
      </c>
      <c r="J1263" s="7">
        <v>40598.39722222222</v>
      </c>
      <c r="K1263" s="8" t="str">
        <f t="shared" si="4"/>
        <v>2011-02</v>
      </c>
      <c r="L1263" s="5">
        <v>2.55</v>
      </c>
      <c r="M1263" s="3">
        <v>17139.0</v>
      </c>
      <c r="N1263" s="1" t="str">
        <f t="shared" si="5"/>
        <v>Registered</v>
      </c>
      <c r="O1263" s="1" t="s">
        <v>19</v>
      </c>
      <c r="P1263" s="9" t="str">
        <f t="shared" si="6"/>
        <v>UK</v>
      </c>
      <c r="Q1263" s="8">
        <f t="shared" si="7"/>
        <v>15.3</v>
      </c>
    </row>
    <row r="1264">
      <c r="A1264" s="1">
        <v>544824.0</v>
      </c>
      <c r="B1264" s="1" t="str">
        <f t="shared" si="1"/>
        <v>544824</v>
      </c>
      <c r="C1264" s="1" t="str">
        <f t="shared" si="2"/>
        <v>Sale</v>
      </c>
      <c r="D1264" s="1">
        <v>21439.0</v>
      </c>
      <c r="E1264" s="1" t="str">
        <f>IFERROR(__xludf.DUMMYFUNCTION("IF(LEN(D1264)&gt;4, IFERROR(REGEXEXTRACT(TO_TEXT(D1264),""\d+""),""""),"""")"),"21439")</f>
        <v>21439</v>
      </c>
      <c r="F1264" s="6" t="str">
        <f t="shared" si="3"/>
        <v>Product</v>
      </c>
      <c r="G1264" s="1" t="s">
        <v>809</v>
      </c>
      <c r="H1264" s="6" t="str">
        <f>IFERROR(__xludf.DUMMYFUNCTION("IF(REGEXMATCH(LOWER(G1264), ""^(\?)+\s*(missing)?\s*(\?)*$""), """", PROPER(SUBSTITUTE(SUBSTITUTE(G1264, ""?"", """"), ""*"", """")))"),"Basket Of Toadstools")</f>
        <v>Basket Of Toadstools</v>
      </c>
      <c r="I1264" s="3">
        <v>12.0</v>
      </c>
      <c r="J1264" s="7">
        <v>40598.39722222222</v>
      </c>
      <c r="K1264" s="8" t="str">
        <f t="shared" si="4"/>
        <v>2011-02</v>
      </c>
      <c r="L1264" s="5">
        <v>1.25</v>
      </c>
      <c r="M1264" s="3">
        <v>17139.0</v>
      </c>
      <c r="N1264" s="1" t="str">
        <f t="shared" si="5"/>
        <v>Registered</v>
      </c>
      <c r="O1264" s="1" t="s">
        <v>19</v>
      </c>
      <c r="P1264" s="9" t="str">
        <f t="shared" si="6"/>
        <v>UK</v>
      </c>
      <c r="Q1264" s="8">
        <f t="shared" si="7"/>
        <v>15</v>
      </c>
    </row>
    <row r="1265">
      <c r="A1265" s="1">
        <v>544824.0</v>
      </c>
      <c r="B1265" s="1" t="str">
        <f t="shared" si="1"/>
        <v>544824</v>
      </c>
      <c r="C1265" s="1" t="str">
        <f t="shared" si="2"/>
        <v>Sale</v>
      </c>
      <c r="D1265" s="1">
        <v>21558.0</v>
      </c>
      <c r="E1265" s="1" t="str">
        <f>IFERROR(__xludf.DUMMYFUNCTION("IF(LEN(D1265)&gt;4, IFERROR(REGEXEXTRACT(TO_TEXT(D1265),""\d+""),""""),"""")"),"21558")</f>
        <v>21558</v>
      </c>
      <c r="F1265" s="6" t="str">
        <f t="shared" si="3"/>
        <v>Product</v>
      </c>
      <c r="G1265" s="1" t="s">
        <v>810</v>
      </c>
      <c r="H1265" s="6" t="str">
        <f>IFERROR(__xludf.DUMMYFUNCTION("IF(REGEXMATCH(LOWER(G1265), ""^(\?)+\s*(missing)?\s*(\?)*$""), """", PROPER(SUBSTITUTE(SUBSTITUTE(G1265, ""?"", """"), ""*"", """")))"),"Skull Lunch Box With Cutlery")</f>
        <v>Skull Lunch Box With Cutlery</v>
      </c>
      <c r="I1265" s="3">
        <v>6.0</v>
      </c>
      <c r="J1265" s="7">
        <v>40598.39722222222</v>
      </c>
      <c r="K1265" s="8" t="str">
        <f t="shared" si="4"/>
        <v>2011-02</v>
      </c>
      <c r="L1265" s="5">
        <v>2.55</v>
      </c>
      <c r="M1265" s="3">
        <v>17139.0</v>
      </c>
      <c r="N1265" s="1" t="str">
        <f t="shared" si="5"/>
        <v>Registered</v>
      </c>
      <c r="O1265" s="1" t="s">
        <v>19</v>
      </c>
      <c r="P1265" s="9" t="str">
        <f t="shared" si="6"/>
        <v>UK</v>
      </c>
      <c r="Q1265" s="8">
        <f t="shared" si="7"/>
        <v>15.3</v>
      </c>
    </row>
    <row r="1266">
      <c r="A1266" s="1">
        <v>544824.0</v>
      </c>
      <c r="B1266" s="1" t="str">
        <f t="shared" si="1"/>
        <v>544824</v>
      </c>
      <c r="C1266" s="1" t="str">
        <f t="shared" si="2"/>
        <v>Sale</v>
      </c>
      <c r="D1266" s="1">
        <v>22381.0</v>
      </c>
      <c r="E1266" s="1" t="str">
        <f>IFERROR(__xludf.DUMMYFUNCTION("IF(LEN(D1266)&gt;4, IFERROR(REGEXEXTRACT(TO_TEXT(D1266),""\d+""),""""),"""")"),"22381")</f>
        <v>22381</v>
      </c>
      <c r="F1266" s="6" t="str">
        <f t="shared" si="3"/>
        <v>Product</v>
      </c>
      <c r="G1266" s="1" t="s">
        <v>153</v>
      </c>
      <c r="H1266" s="6" t="str">
        <f>IFERROR(__xludf.DUMMYFUNCTION("IF(REGEXMATCH(LOWER(G1266), ""^(\?)+\s*(missing)?\s*(\?)*$""), """", PROPER(SUBSTITUTE(SUBSTITUTE(G1266, ""?"", """"), ""*"", """")))"),"Toy Tidy Pink Polkadot")</f>
        <v>Toy Tidy Pink Polkadot</v>
      </c>
      <c r="I1266" s="3">
        <v>5.0</v>
      </c>
      <c r="J1266" s="7">
        <v>40598.39722222222</v>
      </c>
      <c r="K1266" s="8" t="str">
        <f t="shared" si="4"/>
        <v>2011-02</v>
      </c>
      <c r="L1266" s="5">
        <v>2.1</v>
      </c>
      <c r="M1266" s="3">
        <v>17139.0</v>
      </c>
      <c r="N1266" s="1" t="str">
        <f t="shared" si="5"/>
        <v>Registered</v>
      </c>
      <c r="O1266" s="1" t="s">
        <v>19</v>
      </c>
      <c r="P1266" s="9" t="str">
        <f t="shared" si="6"/>
        <v>UK</v>
      </c>
      <c r="Q1266" s="8">
        <f t="shared" si="7"/>
        <v>10.5</v>
      </c>
    </row>
    <row r="1267">
      <c r="A1267" s="1">
        <v>544824.0</v>
      </c>
      <c r="B1267" s="1" t="str">
        <f t="shared" si="1"/>
        <v>544824</v>
      </c>
      <c r="C1267" s="1" t="str">
        <f t="shared" si="2"/>
        <v>Sale</v>
      </c>
      <c r="D1267" s="1">
        <v>22630.0</v>
      </c>
      <c r="E1267" s="1" t="str">
        <f>IFERROR(__xludf.DUMMYFUNCTION("IF(LEN(D1267)&gt;4, IFERROR(REGEXEXTRACT(TO_TEXT(D1267),""\d+""),""""),"""")"),"22630")</f>
        <v>22630</v>
      </c>
      <c r="F1267" s="6" t="str">
        <f t="shared" si="3"/>
        <v>Product</v>
      </c>
      <c r="G1267" s="1" t="s">
        <v>433</v>
      </c>
      <c r="H1267" s="6" t="str">
        <f>IFERROR(__xludf.DUMMYFUNCTION("IF(REGEXMATCH(LOWER(G1267), ""^(\?)+\s*(missing)?\s*(\?)*$""), """", PROPER(SUBSTITUTE(SUBSTITUTE(G1267, ""?"", """"), ""*"", """")))"),"Dolly Girl Lunch Box")</f>
        <v>Dolly Girl Lunch Box</v>
      </c>
      <c r="I1267" s="3">
        <v>12.0</v>
      </c>
      <c r="J1267" s="7">
        <v>40598.39722222222</v>
      </c>
      <c r="K1267" s="8" t="str">
        <f t="shared" si="4"/>
        <v>2011-02</v>
      </c>
      <c r="L1267" s="5">
        <v>1.95</v>
      </c>
      <c r="M1267" s="3">
        <v>17139.0</v>
      </c>
      <c r="N1267" s="1" t="str">
        <f t="shared" si="5"/>
        <v>Registered</v>
      </c>
      <c r="O1267" s="1" t="s">
        <v>19</v>
      </c>
      <c r="P1267" s="9" t="str">
        <f t="shared" si="6"/>
        <v>UK</v>
      </c>
      <c r="Q1267" s="8">
        <f t="shared" si="7"/>
        <v>23.4</v>
      </c>
    </row>
    <row r="1268">
      <c r="A1268" s="1">
        <v>544824.0</v>
      </c>
      <c r="B1268" s="1" t="str">
        <f t="shared" si="1"/>
        <v>544824</v>
      </c>
      <c r="C1268" s="1" t="str">
        <f t="shared" si="2"/>
        <v>Sale</v>
      </c>
      <c r="D1268" s="1">
        <v>22629.0</v>
      </c>
      <c r="E1268" s="1" t="str">
        <f>IFERROR(__xludf.DUMMYFUNCTION("IF(LEN(D1268)&gt;4, IFERROR(REGEXEXTRACT(TO_TEXT(D1268),""\d+""),""""),"""")"),"22629")</f>
        <v>22629</v>
      </c>
      <c r="F1268" s="6" t="str">
        <f t="shared" si="3"/>
        <v>Product</v>
      </c>
      <c r="G1268" s="1" t="s">
        <v>58</v>
      </c>
      <c r="H1268" s="6" t="str">
        <f>IFERROR(__xludf.DUMMYFUNCTION("IF(REGEXMATCH(LOWER(G1268), ""^(\?)+\s*(missing)?\s*(\?)*$""), """", PROPER(SUBSTITUTE(SUBSTITUTE(G1268, ""?"", """"), ""*"", """")))"),"Spaceboy Lunch Box")</f>
        <v>Spaceboy Lunch Box</v>
      </c>
      <c r="I1268" s="3">
        <v>12.0</v>
      </c>
      <c r="J1268" s="7">
        <v>40598.39722222222</v>
      </c>
      <c r="K1268" s="8" t="str">
        <f t="shared" si="4"/>
        <v>2011-02</v>
      </c>
      <c r="L1268" s="5">
        <v>1.95</v>
      </c>
      <c r="M1268" s="3">
        <v>17139.0</v>
      </c>
      <c r="N1268" s="1" t="str">
        <f t="shared" si="5"/>
        <v>Registered</v>
      </c>
      <c r="O1268" s="1" t="s">
        <v>19</v>
      </c>
      <c r="P1268" s="9" t="str">
        <f t="shared" si="6"/>
        <v>UK</v>
      </c>
      <c r="Q1268" s="8">
        <f t="shared" si="7"/>
        <v>23.4</v>
      </c>
    </row>
    <row r="1269">
      <c r="A1269" s="1">
        <v>544824.0</v>
      </c>
      <c r="B1269" s="1" t="str">
        <f t="shared" si="1"/>
        <v>544824</v>
      </c>
      <c r="C1269" s="1" t="str">
        <f t="shared" si="2"/>
        <v>Sale</v>
      </c>
      <c r="D1269" s="1">
        <v>22652.0</v>
      </c>
      <c r="E1269" s="1" t="str">
        <f>IFERROR(__xludf.DUMMYFUNCTION("IF(LEN(D1269)&gt;4, IFERROR(REGEXEXTRACT(TO_TEXT(D1269),""\d+""),""""),"""")"),"22652")</f>
        <v>22652</v>
      </c>
      <c r="F1269" s="6" t="str">
        <f t="shared" si="3"/>
        <v>Product</v>
      </c>
      <c r="G1269" s="1" t="s">
        <v>252</v>
      </c>
      <c r="H1269" s="6" t="str">
        <f>IFERROR(__xludf.DUMMYFUNCTION("IF(REGEXMATCH(LOWER(G1269), ""^(\?)+\s*(missing)?\s*(\?)*$""), """", PROPER(SUBSTITUTE(SUBSTITUTE(G1269, ""?"", """"), ""*"", """")))"),"Travel Sewing Kit")</f>
        <v>Travel Sewing Kit</v>
      </c>
      <c r="I1269" s="3">
        <v>10.0</v>
      </c>
      <c r="J1269" s="7">
        <v>40598.39722222222</v>
      </c>
      <c r="K1269" s="8" t="str">
        <f t="shared" si="4"/>
        <v>2011-02</v>
      </c>
      <c r="L1269" s="5">
        <v>1.65</v>
      </c>
      <c r="M1269" s="3">
        <v>17139.0</v>
      </c>
      <c r="N1269" s="1" t="str">
        <f t="shared" si="5"/>
        <v>Registered</v>
      </c>
      <c r="O1269" s="1" t="s">
        <v>19</v>
      </c>
      <c r="P1269" s="9" t="str">
        <f t="shared" si="6"/>
        <v>UK</v>
      </c>
      <c r="Q1269" s="8">
        <f t="shared" si="7"/>
        <v>16.5</v>
      </c>
    </row>
    <row r="1270">
      <c r="A1270" s="1">
        <v>544824.0</v>
      </c>
      <c r="B1270" s="1" t="str">
        <f t="shared" si="1"/>
        <v>544824</v>
      </c>
      <c r="C1270" s="1" t="str">
        <f t="shared" si="2"/>
        <v>Sale</v>
      </c>
      <c r="D1270" s="1">
        <v>22653.0</v>
      </c>
      <c r="E1270" s="1" t="str">
        <f>IFERROR(__xludf.DUMMYFUNCTION("IF(LEN(D1270)&gt;4, IFERROR(REGEXEXTRACT(TO_TEXT(D1270),""\d+""),""""),"""")"),"22653")</f>
        <v>22653</v>
      </c>
      <c r="F1270" s="6" t="str">
        <f t="shared" si="3"/>
        <v>Product</v>
      </c>
      <c r="G1270" s="1" t="s">
        <v>661</v>
      </c>
      <c r="H1270" s="6" t="str">
        <f>IFERROR(__xludf.DUMMYFUNCTION("IF(REGEXMATCH(LOWER(G1270), ""^(\?)+\s*(missing)?\s*(\?)*$""), """", PROPER(SUBSTITUTE(SUBSTITUTE(G1270, ""?"", """"), ""*"", """")))"),"Button Box")</f>
        <v>Button Box</v>
      </c>
      <c r="I1270" s="3">
        <v>10.0</v>
      </c>
      <c r="J1270" s="7">
        <v>40598.39722222222</v>
      </c>
      <c r="K1270" s="8" t="str">
        <f t="shared" si="4"/>
        <v>2011-02</v>
      </c>
      <c r="L1270" s="5">
        <v>1.95</v>
      </c>
      <c r="M1270" s="3">
        <v>17139.0</v>
      </c>
      <c r="N1270" s="1" t="str">
        <f t="shared" si="5"/>
        <v>Registered</v>
      </c>
      <c r="O1270" s="1" t="s">
        <v>19</v>
      </c>
      <c r="P1270" s="9" t="str">
        <f t="shared" si="6"/>
        <v>UK</v>
      </c>
      <c r="Q1270" s="8">
        <f t="shared" si="7"/>
        <v>19.5</v>
      </c>
    </row>
    <row r="1271">
      <c r="A1271" s="1">
        <v>544824.0</v>
      </c>
      <c r="B1271" s="1" t="str">
        <f t="shared" si="1"/>
        <v>544824</v>
      </c>
      <c r="C1271" s="1" t="str">
        <f t="shared" si="2"/>
        <v>Sale</v>
      </c>
      <c r="D1271" s="1">
        <v>22654.0</v>
      </c>
      <c r="E1271" s="1" t="str">
        <f>IFERROR(__xludf.DUMMYFUNCTION("IF(LEN(D1271)&gt;4, IFERROR(REGEXEXTRACT(TO_TEXT(D1271),""\d+""),""""),"""")"),"22654")</f>
        <v>22654</v>
      </c>
      <c r="F1271" s="6" t="str">
        <f t="shared" si="3"/>
        <v>Product</v>
      </c>
      <c r="G1271" s="1" t="s">
        <v>222</v>
      </c>
      <c r="H1271" s="6" t="str">
        <f>IFERROR(__xludf.DUMMYFUNCTION("IF(REGEXMATCH(LOWER(G1271), ""^(\?)+\s*(missing)?\s*(\?)*$""), """", PROPER(SUBSTITUTE(SUBSTITUTE(G1271, ""?"", """"), ""*"", """")))"),"Deluxe Sewing Kit")</f>
        <v>Deluxe Sewing Kit</v>
      </c>
      <c r="I1271" s="3">
        <v>3.0</v>
      </c>
      <c r="J1271" s="7">
        <v>40598.39722222222</v>
      </c>
      <c r="K1271" s="8" t="str">
        <f t="shared" si="4"/>
        <v>2011-02</v>
      </c>
      <c r="L1271" s="5">
        <v>5.95</v>
      </c>
      <c r="M1271" s="3">
        <v>17139.0</v>
      </c>
      <c r="N1271" s="1" t="str">
        <f t="shared" si="5"/>
        <v>Registered</v>
      </c>
      <c r="O1271" s="1" t="s">
        <v>19</v>
      </c>
      <c r="P1271" s="9" t="str">
        <f t="shared" si="6"/>
        <v>UK</v>
      </c>
      <c r="Q1271" s="8">
        <f t="shared" si="7"/>
        <v>17.85</v>
      </c>
    </row>
    <row r="1272">
      <c r="A1272" s="1">
        <v>544824.0</v>
      </c>
      <c r="B1272" s="1" t="str">
        <f t="shared" si="1"/>
        <v>544824</v>
      </c>
      <c r="C1272" s="1" t="str">
        <f t="shared" si="2"/>
        <v>Sale</v>
      </c>
      <c r="D1272" s="1">
        <v>22557.0</v>
      </c>
      <c r="E1272" s="1" t="str">
        <f>IFERROR(__xludf.DUMMYFUNCTION("IF(LEN(D1272)&gt;4, IFERROR(REGEXEXTRACT(TO_TEXT(D1272),""\d+""),""""),"""")"),"22557")</f>
        <v>22557</v>
      </c>
      <c r="F1272" s="6" t="str">
        <f t="shared" si="3"/>
        <v>Product</v>
      </c>
      <c r="G1272" s="1" t="s">
        <v>233</v>
      </c>
      <c r="H1272" s="6" t="str">
        <f>IFERROR(__xludf.DUMMYFUNCTION("IF(REGEXMATCH(LOWER(G1272), ""^(\?)+\s*(missing)?\s*(\?)*$""), """", PROPER(SUBSTITUTE(SUBSTITUTE(G1272, ""?"", """"), ""*"", """")))"),"Plasters In Tin Vintage Paisley")</f>
        <v>Plasters In Tin Vintage Paisley</v>
      </c>
      <c r="I1272" s="3">
        <v>12.0</v>
      </c>
      <c r="J1272" s="7">
        <v>40598.39722222222</v>
      </c>
      <c r="K1272" s="8" t="str">
        <f t="shared" si="4"/>
        <v>2011-02</v>
      </c>
      <c r="L1272" s="5">
        <v>1.65</v>
      </c>
      <c r="M1272" s="3">
        <v>17139.0</v>
      </c>
      <c r="N1272" s="1" t="str">
        <f t="shared" si="5"/>
        <v>Registered</v>
      </c>
      <c r="O1272" s="1" t="s">
        <v>19</v>
      </c>
      <c r="P1272" s="9" t="str">
        <f t="shared" si="6"/>
        <v>UK</v>
      </c>
      <c r="Q1272" s="8">
        <f t="shared" si="7"/>
        <v>19.8</v>
      </c>
    </row>
    <row r="1273">
      <c r="A1273" s="1">
        <v>544824.0</v>
      </c>
      <c r="B1273" s="1" t="str">
        <f t="shared" si="1"/>
        <v>544824</v>
      </c>
      <c r="C1273" s="1" t="str">
        <f t="shared" si="2"/>
        <v>Sale</v>
      </c>
      <c r="D1273" s="1">
        <v>22084.0</v>
      </c>
      <c r="E1273" s="1" t="str">
        <f>IFERROR(__xludf.DUMMYFUNCTION("IF(LEN(D1273)&gt;4, IFERROR(REGEXEXTRACT(TO_TEXT(D1273),""\d+""),""""),"""")"),"22084")</f>
        <v>22084</v>
      </c>
      <c r="F1273" s="6" t="str">
        <f t="shared" si="3"/>
        <v>Product</v>
      </c>
      <c r="G1273" s="1" t="s">
        <v>718</v>
      </c>
      <c r="H1273" s="6" t="str">
        <f>IFERROR(__xludf.DUMMYFUNCTION("IF(REGEXMATCH(LOWER(G1273), ""^(\?)+\s*(missing)?\s*(\?)*$""), """", PROPER(SUBSTITUTE(SUBSTITUTE(G1273, ""?"", """"), ""*"", """")))"),"Paper Chain Kit Empire")</f>
        <v>Paper Chain Kit Empire</v>
      </c>
      <c r="I1273" s="3">
        <v>6.0</v>
      </c>
      <c r="J1273" s="7">
        <v>40598.39722222222</v>
      </c>
      <c r="K1273" s="8" t="str">
        <f t="shared" si="4"/>
        <v>2011-02</v>
      </c>
      <c r="L1273" s="5">
        <v>2.95</v>
      </c>
      <c r="M1273" s="3">
        <v>17139.0</v>
      </c>
      <c r="N1273" s="1" t="str">
        <f t="shared" si="5"/>
        <v>Registered</v>
      </c>
      <c r="O1273" s="1" t="s">
        <v>19</v>
      </c>
      <c r="P1273" s="9" t="str">
        <f t="shared" si="6"/>
        <v>UK</v>
      </c>
      <c r="Q1273" s="8">
        <f t="shared" si="7"/>
        <v>17.7</v>
      </c>
    </row>
    <row r="1274">
      <c r="A1274" s="1">
        <v>544824.0</v>
      </c>
      <c r="B1274" s="1" t="str">
        <f t="shared" si="1"/>
        <v>544824</v>
      </c>
      <c r="C1274" s="1" t="str">
        <f t="shared" si="2"/>
        <v>Sale</v>
      </c>
      <c r="D1274" s="1">
        <v>22476.0</v>
      </c>
      <c r="E1274" s="1" t="str">
        <f>IFERROR(__xludf.DUMMYFUNCTION("IF(LEN(D1274)&gt;4, IFERROR(REGEXEXTRACT(TO_TEXT(D1274),""\d+""),""""),"""")"),"22476")</f>
        <v>22476</v>
      </c>
      <c r="F1274" s="6" t="str">
        <f t="shared" si="3"/>
        <v>Product</v>
      </c>
      <c r="G1274" s="1" t="s">
        <v>811</v>
      </c>
      <c r="H1274" s="6" t="str">
        <f>IFERROR(__xludf.DUMMYFUNCTION("IF(REGEXMATCH(LOWER(G1274), ""^(\?)+\s*(missing)?\s*(\?)*$""), """", PROPER(SUBSTITUTE(SUBSTITUTE(G1274, ""?"", """"), ""*"", """")))"),"Empire Union Jack Tv Dinner Tray")</f>
        <v>Empire Union Jack Tv Dinner Tray</v>
      </c>
      <c r="I1274" s="3">
        <v>3.0</v>
      </c>
      <c r="J1274" s="7">
        <v>40598.39722222222</v>
      </c>
      <c r="K1274" s="8" t="str">
        <f t="shared" si="4"/>
        <v>2011-02</v>
      </c>
      <c r="L1274" s="5">
        <v>4.95</v>
      </c>
      <c r="M1274" s="3">
        <v>17139.0</v>
      </c>
      <c r="N1274" s="1" t="str">
        <f t="shared" si="5"/>
        <v>Registered</v>
      </c>
      <c r="O1274" s="1" t="s">
        <v>19</v>
      </c>
      <c r="P1274" s="9" t="str">
        <f t="shared" si="6"/>
        <v>UK</v>
      </c>
      <c r="Q1274" s="8">
        <f t="shared" si="7"/>
        <v>14.85</v>
      </c>
    </row>
    <row r="1275">
      <c r="A1275" s="1">
        <v>544824.0</v>
      </c>
      <c r="B1275" s="1" t="str">
        <f t="shared" si="1"/>
        <v>544824</v>
      </c>
      <c r="C1275" s="1" t="str">
        <f t="shared" si="2"/>
        <v>Sale</v>
      </c>
      <c r="D1275" s="1">
        <v>21622.0</v>
      </c>
      <c r="E1275" s="1" t="str">
        <f>IFERROR(__xludf.DUMMYFUNCTION("IF(LEN(D1275)&gt;4, IFERROR(REGEXEXTRACT(TO_TEXT(D1275),""\d+""),""""),"""")"),"21622")</f>
        <v>21622</v>
      </c>
      <c r="F1275" s="6" t="str">
        <f t="shared" si="3"/>
        <v>Product</v>
      </c>
      <c r="G1275" s="1" t="s">
        <v>198</v>
      </c>
      <c r="H1275" s="6" t="str">
        <f>IFERROR(__xludf.DUMMYFUNCTION("IF(REGEXMATCH(LOWER(G1275), ""^(\?)+\s*(missing)?\s*(\?)*$""), """", PROPER(SUBSTITUTE(SUBSTITUTE(G1275, ""?"", """"), ""*"", """")))"),"Vintage Union Jack Cushion Cover")</f>
        <v>Vintage Union Jack Cushion Cover</v>
      </c>
      <c r="I1275" s="3">
        <v>4.0</v>
      </c>
      <c r="J1275" s="7">
        <v>40598.39722222222</v>
      </c>
      <c r="K1275" s="8" t="str">
        <f t="shared" si="4"/>
        <v>2011-02</v>
      </c>
      <c r="L1275" s="5">
        <v>4.95</v>
      </c>
      <c r="M1275" s="3">
        <v>17139.0</v>
      </c>
      <c r="N1275" s="1" t="str">
        <f t="shared" si="5"/>
        <v>Registered</v>
      </c>
      <c r="O1275" s="1" t="s">
        <v>19</v>
      </c>
      <c r="P1275" s="9" t="str">
        <f t="shared" si="6"/>
        <v>UK</v>
      </c>
      <c r="Q1275" s="8">
        <f t="shared" si="7"/>
        <v>19.8</v>
      </c>
    </row>
    <row r="1276">
      <c r="A1276" s="1">
        <v>544824.0</v>
      </c>
      <c r="B1276" s="1" t="str">
        <f t="shared" si="1"/>
        <v>544824</v>
      </c>
      <c r="C1276" s="1" t="str">
        <f t="shared" si="2"/>
        <v>Sale</v>
      </c>
      <c r="D1276" s="1">
        <v>22507.0</v>
      </c>
      <c r="E1276" s="1" t="str">
        <f>IFERROR(__xludf.DUMMYFUNCTION("IF(LEN(D1276)&gt;4, IFERROR(REGEXEXTRACT(TO_TEXT(D1276),""\d+""),""""),"""")"),"22507")</f>
        <v>22507</v>
      </c>
      <c r="F1276" s="6" t="str">
        <f t="shared" si="3"/>
        <v>Product</v>
      </c>
      <c r="G1276" s="1" t="s">
        <v>812</v>
      </c>
      <c r="H1276" s="6" t="str">
        <f>IFERROR(__xludf.DUMMYFUNCTION("IF(REGEXMATCH(LOWER(G1276), ""^(\?)+\s*(missing)?\s*(\?)*$""), """", PROPER(SUBSTITUTE(SUBSTITUTE(G1276, ""?"", """"), ""*"", """")))"),"Memo Board Retrospot Design")</f>
        <v>Memo Board Retrospot Design</v>
      </c>
      <c r="I1276" s="3">
        <v>4.0</v>
      </c>
      <c r="J1276" s="7">
        <v>40598.39722222222</v>
      </c>
      <c r="K1276" s="8" t="str">
        <f t="shared" si="4"/>
        <v>2011-02</v>
      </c>
      <c r="L1276" s="5">
        <v>4.95</v>
      </c>
      <c r="M1276" s="3">
        <v>17139.0</v>
      </c>
      <c r="N1276" s="1" t="str">
        <f t="shared" si="5"/>
        <v>Registered</v>
      </c>
      <c r="O1276" s="1" t="s">
        <v>19</v>
      </c>
      <c r="P1276" s="9" t="str">
        <f t="shared" si="6"/>
        <v>UK</v>
      </c>
      <c r="Q1276" s="8">
        <f t="shared" si="7"/>
        <v>19.8</v>
      </c>
    </row>
    <row r="1277">
      <c r="A1277" s="1">
        <v>544824.0</v>
      </c>
      <c r="B1277" s="1" t="str">
        <f t="shared" si="1"/>
        <v>544824</v>
      </c>
      <c r="C1277" s="1" t="str">
        <f t="shared" si="2"/>
        <v>Sale</v>
      </c>
      <c r="D1277" s="1">
        <v>21623.0</v>
      </c>
      <c r="E1277" s="1" t="str">
        <f>IFERROR(__xludf.DUMMYFUNCTION("IF(LEN(D1277)&gt;4, IFERROR(REGEXEXTRACT(TO_TEXT(D1277),""\d+""),""""),"""")"),"21623")</f>
        <v>21623</v>
      </c>
      <c r="F1277" s="6" t="str">
        <f t="shared" si="3"/>
        <v>Product</v>
      </c>
      <c r="G1277" s="1" t="s">
        <v>813</v>
      </c>
      <c r="H1277" s="6" t="str">
        <f>IFERROR(__xludf.DUMMYFUNCTION("IF(REGEXMATCH(LOWER(G1277), ""^(\?)+\s*(missing)?\s*(\?)*$""), """", PROPER(SUBSTITUTE(SUBSTITUTE(G1277, ""?"", """"), ""*"", """")))"),"Vintage Union Jack Memoboard")</f>
        <v>Vintage Union Jack Memoboard</v>
      </c>
      <c r="I1277" s="3">
        <v>2.0</v>
      </c>
      <c r="J1277" s="7">
        <v>40598.39722222222</v>
      </c>
      <c r="K1277" s="8" t="str">
        <f t="shared" si="4"/>
        <v>2011-02</v>
      </c>
      <c r="L1277" s="5">
        <v>9.95</v>
      </c>
      <c r="M1277" s="3">
        <v>17139.0</v>
      </c>
      <c r="N1277" s="1" t="str">
        <f t="shared" si="5"/>
        <v>Registered</v>
      </c>
      <c r="O1277" s="1" t="s">
        <v>19</v>
      </c>
      <c r="P1277" s="9" t="str">
        <f t="shared" si="6"/>
        <v>UK</v>
      </c>
      <c r="Q1277" s="8">
        <f t="shared" si="7"/>
        <v>19.9</v>
      </c>
    </row>
    <row r="1278">
      <c r="A1278" s="1">
        <v>544824.0</v>
      </c>
      <c r="B1278" s="1" t="str">
        <f t="shared" si="1"/>
        <v>544824</v>
      </c>
      <c r="C1278" s="1" t="str">
        <f t="shared" si="2"/>
        <v>Sale</v>
      </c>
      <c r="D1278" s="1">
        <v>21621.0</v>
      </c>
      <c r="E1278" s="1" t="str">
        <f>IFERROR(__xludf.DUMMYFUNCTION("IF(LEN(D1278)&gt;4, IFERROR(REGEXEXTRACT(TO_TEXT(D1278),""\d+""),""""),"""")"),"21621")</f>
        <v>21621</v>
      </c>
      <c r="F1278" s="6" t="str">
        <f t="shared" si="3"/>
        <v>Product</v>
      </c>
      <c r="G1278" s="1" t="s">
        <v>620</v>
      </c>
      <c r="H1278" s="6" t="str">
        <f>IFERROR(__xludf.DUMMYFUNCTION("IF(REGEXMATCH(LOWER(G1278), ""^(\?)+\s*(missing)?\s*(\?)*$""), """", PROPER(SUBSTITUTE(SUBSTITUTE(G1278, ""?"", """"), ""*"", """")))"),"Vintage Union Jack Bunting")</f>
        <v>Vintage Union Jack Bunting</v>
      </c>
      <c r="I1278" s="3">
        <v>2.0</v>
      </c>
      <c r="J1278" s="7">
        <v>40598.39722222222</v>
      </c>
      <c r="K1278" s="8" t="str">
        <f t="shared" si="4"/>
        <v>2011-02</v>
      </c>
      <c r="L1278" s="5">
        <v>8.5</v>
      </c>
      <c r="M1278" s="3">
        <v>17139.0</v>
      </c>
      <c r="N1278" s="1" t="str">
        <f t="shared" si="5"/>
        <v>Registered</v>
      </c>
      <c r="O1278" s="1" t="s">
        <v>19</v>
      </c>
      <c r="P1278" s="9" t="str">
        <f t="shared" si="6"/>
        <v>UK</v>
      </c>
      <c r="Q1278" s="8">
        <f t="shared" si="7"/>
        <v>17</v>
      </c>
    </row>
    <row r="1279">
      <c r="A1279" s="1">
        <v>544824.0</v>
      </c>
      <c r="B1279" s="1" t="str">
        <f t="shared" si="1"/>
        <v>544824</v>
      </c>
      <c r="C1279" s="1" t="str">
        <f t="shared" si="2"/>
        <v>Sale</v>
      </c>
      <c r="D1279" s="1">
        <v>22785.0</v>
      </c>
      <c r="E1279" s="1" t="str">
        <f>IFERROR(__xludf.DUMMYFUNCTION("IF(LEN(D1279)&gt;4, IFERROR(REGEXEXTRACT(TO_TEXT(D1279),""\d+""),""""),"""")"),"22785")</f>
        <v>22785</v>
      </c>
      <c r="F1279" s="6" t="str">
        <f t="shared" si="3"/>
        <v>Product</v>
      </c>
      <c r="G1279" s="1" t="s">
        <v>392</v>
      </c>
      <c r="H1279" s="6" t="str">
        <f>IFERROR(__xludf.DUMMYFUNCTION("IF(REGEXMATCH(LOWER(G1279), ""^(\?)+\s*(missing)?\s*(\?)*$""), """", PROPER(SUBSTITUTE(SUBSTITUTE(G1279, ""?"", """"), ""*"", """")))"),"Squarecushion Cover Pink Union Flag")</f>
        <v>Squarecushion Cover Pink Union Flag</v>
      </c>
      <c r="I1279" s="3">
        <v>2.0</v>
      </c>
      <c r="J1279" s="7">
        <v>40598.39722222222</v>
      </c>
      <c r="K1279" s="8" t="str">
        <f t="shared" si="4"/>
        <v>2011-02</v>
      </c>
      <c r="L1279" s="5">
        <v>6.75</v>
      </c>
      <c r="M1279" s="3">
        <v>17139.0</v>
      </c>
      <c r="N1279" s="1" t="str">
        <f t="shared" si="5"/>
        <v>Registered</v>
      </c>
      <c r="O1279" s="1" t="s">
        <v>19</v>
      </c>
      <c r="P1279" s="9" t="str">
        <f t="shared" si="6"/>
        <v>UK</v>
      </c>
      <c r="Q1279" s="8">
        <f t="shared" si="7"/>
        <v>13.5</v>
      </c>
    </row>
    <row r="1280">
      <c r="A1280" s="1">
        <v>544824.0</v>
      </c>
      <c r="B1280" s="1" t="str">
        <f t="shared" si="1"/>
        <v>544824</v>
      </c>
      <c r="C1280" s="1" t="str">
        <f t="shared" si="2"/>
        <v>Sale</v>
      </c>
      <c r="D1280" s="1">
        <v>22786.0</v>
      </c>
      <c r="E1280" s="1" t="str">
        <f>IFERROR(__xludf.DUMMYFUNCTION("IF(LEN(D1280)&gt;4, IFERROR(REGEXEXTRACT(TO_TEXT(D1280),""\d+""),""""),"""")"),"22786")</f>
        <v>22786</v>
      </c>
      <c r="F1280" s="6" t="str">
        <f t="shared" si="3"/>
        <v>Product</v>
      </c>
      <c r="G1280" s="1" t="s">
        <v>814</v>
      </c>
      <c r="H1280" s="6" t="str">
        <f>IFERROR(__xludf.DUMMYFUNCTION("IF(REGEXMATCH(LOWER(G1280), ""^(\?)+\s*(missing)?\s*(\?)*$""), """", PROPER(SUBSTITUTE(SUBSTITUTE(G1280, ""?"", """"), ""*"", """")))"),"Cushion Cover Pink Union Jack")</f>
        <v>Cushion Cover Pink Union Jack</v>
      </c>
      <c r="I1280" s="3">
        <v>2.0</v>
      </c>
      <c r="J1280" s="7">
        <v>40598.39722222222</v>
      </c>
      <c r="K1280" s="8" t="str">
        <f t="shared" si="4"/>
        <v>2011-02</v>
      </c>
      <c r="L1280" s="5">
        <v>5.95</v>
      </c>
      <c r="M1280" s="3">
        <v>17139.0</v>
      </c>
      <c r="N1280" s="1" t="str">
        <f t="shared" si="5"/>
        <v>Registered</v>
      </c>
      <c r="O1280" s="1" t="s">
        <v>19</v>
      </c>
      <c r="P1280" s="9" t="str">
        <f t="shared" si="6"/>
        <v>UK</v>
      </c>
      <c r="Q1280" s="8">
        <f t="shared" si="7"/>
        <v>11.9</v>
      </c>
    </row>
    <row r="1281">
      <c r="A1281" s="1">
        <v>544824.0</v>
      </c>
      <c r="B1281" s="1" t="str">
        <f t="shared" si="1"/>
        <v>544824</v>
      </c>
      <c r="C1281" s="1" t="str">
        <f t="shared" si="2"/>
        <v>Sale</v>
      </c>
      <c r="D1281" s="1">
        <v>22352.0</v>
      </c>
      <c r="E1281" s="1" t="str">
        <f>IFERROR(__xludf.DUMMYFUNCTION("IF(LEN(D1281)&gt;4, IFERROR(REGEXEXTRACT(TO_TEXT(D1281),""\d+""),""""),"""")"),"22352")</f>
        <v>22352</v>
      </c>
      <c r="F1281" s="6" t="str">
        <f t="shared" si="3"/>
        <v>Product</v>
      </c>
      <c r="G1281" s="1" t="s">
        <v>96</v>
      </c>
      <c r="H1281" s="6" t="str">
        <f>IFERROR(__xludf.DUMMYFUNCTION("IF(REGEXMATCH(LOWER(G1281), ""^(\?)+\s*(missing)?\s*(\?)*$""), """", PROPER(SUBSTITUTE(SUBSTITUTE(G1281, ""?"", """"), ""*"", """")))"),"Lunch Box With Cutlery Retrospot")</f>
        <v>Lunch Box With Cutlery Retrospot</v>
      </c>
      <c r="I1281" s="3">
        <v>6.0</v>
      </c>
      <c r="J1281" s="7">
        <v>40598.39722222222</v>
      </c>
      <c r="K1281" s="8" t="str">
        <f t="shared" si="4"/>
        <v>2011-02</v>
      </c>
      <c r="L1281" s="5">
        <v>2.55</v>
      </c>
      <c r="M1281" s="3">
        <v>17139.0</v>
      </c>
      <c r="N1281" s="1" t="str">
        <f t="shared" si="5"/>
        <v>Registered</v>
      </c>
      <c r="O1281" s="1" t="s">
        <v>19</v>
      </c>
      <c r="P1281" s="9" t="str">
        <f t="shared" si="6"/>
        <v>UK</v>
      </c>
      <c r="Q1281" s="8">
        <f t="shared" si="7"/>
        <v>15.3</v>
      </c>
    </row>
    <row r="1282">
      <c r="A1282" s="1">
        <v>544824.0</v>
      </c>
      <c r="B1282" s="1" t="str">
        <f t="shared" si="1"/>
        <v>544824</v>
      </c>
      <c r="C1282" s="1" t="str">
        <f t="shared" si="2"/>
        <v>Sale</v>
      </c>
      <c r="D1282" s="1">
        <v>21537.0</v>
      </c>
      <c r="E1282" s="1" t="str">
        <f>IFERROR(__xludf.DUMMYFUNCTION("IF(LEN(D1282)&gt;4, IFERROR(REGEXEXTRACT(TO_TEXT(D1282),""\d+""),""""),"""")"),"21537")</f>
        <v>21537</v>
      </c>
      <c r="F1282" s="6" t="str">
        <f t="shared" si="3"/>
        <v>Product</v>
      </c>
      <c r="G1282" s="1" t="s">
        <v>815</v>
      </c>
      <c r="H1282" s="6" t="str">
        <f>IFERROR(__xludf.DUMMYFUNCTION("IF(REGEXMATCH(LOWER(G1282), ""^(\?)+\s*(missing)?\s*(\?)*$""), """", PROPER(SUBSTITUTE(SUBSTITUTE(G1282, ""?"", """"), ""*"", """")))"),"Red Retrospot Pudding Bowl")</f>
        <v>Red Retrospot Pudding Bowl</v>
      </c>
      <c r="I1282" s="3">
        <v>4.0</v>
      </c>
      <c r="J1282" s="7">
        <v>40598.39722222222</v>
      </c>
      <c r="K1282" s="8" t="str">
        <f t="shared" si="4"/>
        <v>2011-02</v>
      </c>
      <c r="L1282" s="5">
        <v>4.25</v>
      </c>
      <c r="M1282" s="3">
        <v>17139.0</v>
      </c>
      <c r="N1282" s="1" t="str">
        <f t="shared" si="5"/>
        <v>Registered</v>
      </c>
      <c r="O1282" s="1" t="s">
        <v>19</v>
      </c>
      <c r="P1282" s="9" t="str">
        <f t="shared" si="6"/>
        <v>UK</v>
      </c>
      <c r="Q1282" s="8">
        <f t="shared" si="7"/>
        <v>17</v>
      </c>
    </row>
    <row r="1283">
      <c r="A1283" s="1">
        <v>544824.0</v>
      </c>
      <c r="B1283" s="1" t="str">
        <f t="shared" si="1"/>
        <v>544824</v>
      </c>
      <c r="C1283" s="1" t="str">
        <f t="shared" si="2"/>
        <v>Sale</v>
      </c>
      <c r="D1283" s="1">
        <v>21843.0</v>
      </c>
      <c r="E1283" s="1" t="str">
        <f>IFERROR(__xludf.DUMMYFUNCTION("IF(LEN(D1283)&gt;4, IFERROR(REGEXEXTRACT(TO_TEXT(D1283),""\d+""),""""),"""")"),"21843")</f>
        <v>21843</v>
      </c>
      <c r="F1283" s="6" t="str">
        <f t="shared" si="3"/>
        <v>Product</v>
      </c>
      <c r="G1283" s="1" t="s">
        <v>816</v>
      </c>
      <c r="H1283" s="6" t="str">
        <f>IFERROR(__xludf.DUMMYFUNCTION("IF(REGEXMATCH(LOWER(G1283), ""^(\?)+\s*(missing)?\s*(\?)*$""), """", PROPER(SUBSTITUTE(SUBSTITUTE(G1283, ""?"", """"), ""*"", """")))"),"Red Retrospot Cake Stand")</f>
        <v>Red Retrospot Cake Stand</v>
      </c>
      <c r="I1283" s="3">
        <v>3.0</v>
      </c>
      <c r="J1283" s="7">
        <v>40598.39722222222</v>
      </c>
      <c r="K1283" s="8" t="str">
        <f t="shared" si="4"/>
        <v>2011-02</v>
      </c>
      <c r="L1283" s="5">
        <v>10.95</v>
      </c>
      <c r="M1283" s="3">
        <v>17139.0</v>
      </c>
      <c r="N1283" s="1" t="str">
        <f t="shared" si="5"/>
        <v>Registered</v>
      </c>
      <c r="O1283" s="1" t="s">
        <v>19</v>
      </c>
      <c r="P1283" s="9" t="str">
        <f t="shared" si="6"/>
        <v>UK</v>
      </c>
      <c r="Q1283" s="8">
        <f t="shared" si="7"/>
        <v>32.85</v>
      </c>
    </row>
    <row r="1284">
      <c r="A1284" s="1">
        <v>544824.0</v>
      </c>
      <c r="B1284" s="1" t="str">
        <f t="shared" si="1"/>
        <v>544824</v>
      </c>
      <c r="C1284" s="1" t="str">
        <f t="shared" si="2"/>
        <v>Sale</v>
      </c>
      <c r="D1284" s="1">
        <v>21535.0</v>
      </c>
      <c r="E1284" s="1" t="str">
        <f>IFERROR(__xludf.DUMMYFUNCTION("IF(LEN(D1284)&gt;4, IFERROR(REGEXEXTRACT(TO_TEXT(D1284),""\d+""),""""),"""")"),"21535")</f>
        <v>21535</v>
      </c>
      <c r="F1284" s="6" t="str">
        <f t="shared" si="3"/>
        <v>Product</v>
      </c>
      <c r="G1284" s="1" t="s">
        <v>817</v>
      </c>
      <c r="H1284" s="6" t="str">
        <f>IFERROR(__xludf.DUMMYFUNCTION("IF(REGEXMATCH(LOWER(G1284), ""^(\?)+\s*(missing)?\s*(\?)*$""), """", PROPER(SUBSTITUTE(SUBSTITUTE(G1284, ""?"", """"), ""*"", """")))"),"Red Retrospot Small Milk Jug")</f>
        <v>Red Retrospot Small Milk Jug</v>
      </c>
      <c r="I1284" s="3">
        <v>6.0</v>
      </c>
      <c r="J1284" s="7">
        <v>40598.39722222222</v>
      </c>
      <c r="K1284" s="8" t="str">
        <f t="shared" si="4"/>
        <v>2011-02</v>
      </c>
      <c r="L1284" s="5">
        <v>2.55</v>
      </c>
      <c r="M1284" s="3">
        <v>17139.0</v>
      </c>
      <c r="N1284" s="1" t="str">
        <f t="shared" si="5"/>
        <v>Registered</v>
      </c>
      <c r="O1284" s="1" t="s">
        <v>19</v>
      </c>
      <c r="P1284" s="9" t="str">
        <f t="shared" si="6"/>
        <v>UK</v>
      </c>
      <c r="Q1284" s="8">
        <f t="shared" si="7"/>
        <v>15.3</v>
      </c>
    </row>
    <row r="1285">
      <c r="A1285" s="1">
        <v>544824.0</v>
      </c>
      <c r="B1285" s="1" t="str">
        <f t="shared" si="1"/>
        <v>544824</v>
      </c>
      <c r="C1285" s="1" t="str">
        <f t="shared" si="2"/>
        <v>Sale</v>
      </c>
      <c r="D1285" s="1">
        <v>21533.0</v>
      </c>
      <c r="E1285" s="1" t="str">
        <f>IFERROR(__xludf.DUMMYFUNCTION("IF(LEN(D1285)&gt;4, IFERROR(REGEXEXTRACT(TO_TEXT(D1285),""\d+""),""""),"""")"),"21533")</f>
        <v>21533</v>
      </c>
      <c r="F1285" s="6" t="str">
        <f t="shared" si="3"/>
        <v>Product</v>
      </c>
      <c r="G1285" s="1" t="s">
        <v>135</v>
      </c>
      <c r="H1285" s="6" t="str">
        <f>IFERROR(__xludf.DUMMYFUNCTION("IF(REGEXMATCH(LOWER(G1285), ""^(\?)+\s*(missing)?\s*(\?)*$""), """", PROPER(SUBSTITUTE(SUBSTITUTE(G1285, ""?"", """"), ""*"", """")))"),"Retrospot Large Milk Jug")</f>
        <v>Retrospot Large Milk Jug</v>
      </c>
      <c r="I1285" s="3">
        <v>3.0</v>
      </c>
      <c r="J1285" s="7">
        <v>40598.39722222222</v>
      </c>
      <c r="K1285" s="8" t="str">
        <f t="shared" si="4"/>
        <v>2011-02</v>
      </c>
      <c r="L1285" s="5">
        <v>4.95</v>
      </c>
      <c r="M1285" s="3">
        <v>17139.0</v>
      </c>
      <c r="N1285" s="1" t="str">
        <f t="shared" si="5"/>
        <v>Registered</v>
      </c>
      <c r="O1285" s="1" t="s">
        <v>19</v>
      </c>
      <c r="P1285" s="9" t="str">
        <f t="shared" si="6"/>
        <v>UK</v>
      </c>
      <c r="Q1285" s="8">
        <f t="shared" si="7"/>
        <v>14.85</v>
      </c>
    </row>
    <row r="1286">
      <c r="A1286" s="1">
        <v>544824.0</v>
      </c>
      <c r="B1286" s="1" t="str">
        <f t="shared" si="1"/>
        <v>544824</v>
      </c>
      <c r="C1286" s="1" t="str">
        <f t="shared" si="2"/>
        <v>Sale</v>
      </c>
      <c r="D1286" s="1">
        <v>21217.0</v>
      </c>
      <c r="E1286" s="1" t="str">
        <f>IFERROR(__xludf.DUMMYFUNCTION("IF(LEN(D1286)&gt;4, IFERROR(REGEXEXTRACT(TO_TEXT(D1286),""\d+""),""""),"""")"),"21217")</f>
        <v>21217</v>
      </c>
      <c r="F1286" s="6" t="str">
        <f t="shared" si="3"/>
        <v>Product</v>
      </c>
      <c r="G1286" s="1" t="s">
        <v>818</v>
      </c>
      <c r="H1286" s="6" t="str">
        <f>IFERROR(__xludf.DUMMYFUNCTION("IF(REGEXMATCH(LOWER(G1286), ""^(\?)+\s*(missing)?\s*(\?)*$""), """", PROPER(SUBSTITUTE(SUBSTITUTE(G1286, ""?"", """"), ""*"", """")))"),"Red Retrospot Round Cake Tins")</f>
        <v>Red Retrospot Round Cake Tins</v>
      </c>
      <c r="I1286" s="3">
        <v>1.0</v>
      </c>
      <c r="J1286" s="7">
        <v>40598.39722222222</v>
      </c>
      <c r="K1286" s="8" t="str">
        <f t="shared" si="4"/>
        <v>2011-02</v>
      </c>
      <c r="L1286" s="5">
        <v>9.95</v>
      </c>
      <c r="M1286" s="3">
        <v>17139.0</v>
      </c>
      <c r="N1286" s="1" t="str">
        <f t="shared" si="5"/>
        <v>Registered</v>
      </c>
      <c r="O1286" s="1" t="s">
        <v>19</v>
      </c>
      <c r="P1286" s="9" t="str">
        <f t="shared" si="6"/>
        <v>UK</v>
      </c>
      <c r="Q1286" s="8">
        <f t="shared" si="7"/>
        <v>9.95</v>
      </c>
    </row>
    <row r="1287">
      <c r="A1287" s="1">
        <v>544824.0</v>
      </c>
      <c r="B1287" s="1" t="str">
        <f t="shared" si="1"/>
        <v>544824</v>
      </c>
      <c r="C1287" s="1" t="str">
        <f t="shared" si="2"/>
        <v>Sale</v>
      </c>
      <c r="D1287" s="1">
        <v>21216.0</v>
      </c>
      <c r="E1287" s="1" t="str">
        <f>IFERROR(__xludf.DUMMYFUNCTION("IF(LEN(D1287)&gt;4, IFERROR(REGEXEXTRACT(TO_TEXT(D1287),""\d+""),""""),"""")"),"21216")</f>
        <v>21216</v>
      </c>
      <c r="F1287" s="6" t="str">
        <f t="shared" si="3"/>
        <v>Product</v>
      </c>
      <c r="G1287" s="1" t="s">
        <v>819</v>
      </c>
      <c r="H1287" s="6" t="str">
        <f>IFERROR(__xludf.DUMMYFUNCTION("IF(REGEXMATCH(LOWER(G1287), ""^(\?)+\s*(missing)?\s*(\?)*$""), """", PROPER(SUBSTITUTE(SUBSTITUTE(G1287, ""?"", """"), ""*"", """")))"),"Set 3 Retrospot Tea,Coffee,Sugar")</f>
        <v>Set 3 Retrospot Tea,Coffee,Sugar</v>
      </c>
      <c r="I1287" s="3">
        <v>4.0</v>
      </c>
      <c r="J1287" s="7">
        <v>40598.39722222222</v>
      </c>
      <c r="K1287" s="8" t="str">
        <f t="shared" si="4"/>
        <v>2011-02</v>
      </c>
      <c r="L1287" s="5">
        <v>4.95</v>
      </c>
      <c r="M1287" s="3">
        <v>17139.0</v>
      </c>
      <c r="N1287" s="1" t="str">
        <f t="shared" si="5"/>
        <v>Registered</v>
      </c>
      <c r="O1287" s="1" t="s">
        <v>19</v>
      </c>
      <c r="P1287" s="9" t="str">
        <f t="shared" si="6"/>
        <v>UK</v>
      </c>
      <c r="Q1287" s="8">
        <f t="shared" si="7"/>
        <v>19.8</v>
      </c>
    </row>
    <row r="1288">
      <c r="A1288" s="1">
        <v>544824.0</v>
      </c>
      <c r="B1288" s="1" t="str">
        <f t="shared" si="1"/>
        <v>544824</v>
      </c>
      <c r="C1288" s="1" t="str">
        <f t="shared" si="2"/>
        <v>Sale</v>
      </c>
      <c r="D1288" s="1">
        <v>20914.0</v>
      </c>
      <c r="E1288" s="1" t="str">
        <f>IFERROR(__xludf.DUMMYFUNCTION("IF(LEN(D1288)&gt;4, IFERROR(REGEXEXTRACT(TO_TEXT(D1288),""\d+""),""""),"""")"),"20914")</f>
        <v>20914</v>
      </c>
      <c r="F1288" s="6" t="str">
        <f t="shared" si="3"/>
        <v>Product</v>
      </c>
      <c r="G1288" s="1" t="s">
        <v>359</v>
      </c>
      <c r="H1288" s="6" t="str">
        <f>IFERROR(__xludf.DUMMYFUNCTION("IF(REGEXMATCH(LOWER(G1288), ""^(\?)+\s*(missing)?\s*(\?)*$""), """", PROPER(SUBSTITUTE(SUBSTITUTE(G1288, ""?"", """"), ""*"", """")))"),"Set/5 Red Retrospot Lid Glass Bowls")</f>
        <v>Set/5 Red Retrospot Lid Glass Bowls</v>
      </c>
      <c r="I1288" s="3">
        <v>6.0</v>
      </c>
      <c r="J1288" s="7">
        <v>40598.39722222222</v>
      </c>
      <c r="K1288" s="8" t="str">
        <f t="shared" si="4"/>
        <v>2011-02</v>
      </c>
      <c r="L1288" s="5">
        <v>2.95</v>
      </c>
      <c r="M1288" s="3">
        <v>17139.0</v>
      </c>
      <c r="N1288" s="1" t="str">
        <f t="shared" si="5"/>
        <v>Registered</v>
      </c>
      <c r="O1288" s="1" t="s">
        <v>19</v>
      </c>
      <c r="P1288" s="9" t="str">
        <f t="shared" si="6"/>
        <v>UK</v>
      </c>
      <c r="Q1288" s="8">
        <f t="shared" si="7"/>
        <v>17.7</v>
      </c>
    </row>
    <row r="1289">
      <c r="A1289" s="1">
        <v>544824.0</v>
      </c>
      <c r="B1289" s="1" t="str">
        <f t="shared" si="1"/>
        <v>544824</v>
      </c>
      <c r="C1289" s="1" t="str">
        <f t="shared" si="2"/>
        <v>Sale</v>
      </c>
      <c r="D1289" s="1">
        <v>22302.0</v>
      </c>
      <c r="E1289" s="1" t="str">
        <f>IFERROR(__xludf.DUMMYFUNCTION("IF(LEN(D1289)&gt;4, IFERROR(REGEXEXTRACT(TO_TEXT(D1289),""\d+""),""""),"""")"),"22302")</f>
        <v>22302</v>
      </c>
      <c r="F1289" s="6" t="str">
        <f t="shared" si="3"/>
        <v>Product</v>
      </c>
      <c r="G1289" s="1" t="s">
        <v>820</v>
      </c>
      <c r="H1289" s="6" t="str">
        <f>IFERROR(__xludf.DUMMYFUNCTION("IF(REGEXMATCH(LOWER(G1289), ""^(\?)+\s*(missing)?\s*(\?)*$""), """", PROPER(SUBSTITUTE(SUBSTITUTE(G1289, ""?"", """"), ""*"", """")))"),"Coffee Mug Pears Design")</f>
        <v>Coffee Mug Pears Design</v>
      </c>
      <c r="I1289" s="3">
        <v>6.0</v>
      </c>
      <c r="J1289" s="7">
        <v>40598.39722222222</v>
      </c>
      <c r="K1289" s="8" t="str">
        <f t="shared" si="4"/>
        <v>2011-02</v>
      </c>
      <c r="L1289" s="5">
        <v>2.55</v>
      </c>
      <c r="M1289" s="3">
        <v>17139.0</v>
      </c>
      <c r="N1289" s="1" t="str">
        <f t="shared" si="5"/>
        <v>Registered</v>
      </c>
      <c r="O1289" s="1" t="s">
        <v>19</v>
      </c>
      <c r="P1289" s="9" t="str">
        <f t="shared" si="6"/>
        <v>UK</v>
      </c>
      <c r="Q1289" s="8">
        <f t="shared" si="7"/>
        <v>15.3</v>
      </c>
    </row>
    <row r="1290">
      <c r="A1290" s="1">
        <v>544824.0</v>
      </c>
      <c r="B1290" s="1" t="str">
        <f t="shared" si="1"/>
        <v>544824</v>
      </c>
      <c r="C1290" s="1" t="str">
        <f t="shared" si="2"/>
        <v>Sale</v>
      </c>
      <c r="D1290" s="1">
        <v>22303.0</v>
      </c>
      <c r="E1290" s="1" t="str">
        <f>IFERROR(__xludf.DUMMYFUNCTION("IF(LEN(D1290)&gt;4, IFERROR(REGEXEXTRACT(TO_TEXT(D1290),""\d+""),""""),"""")"),"22303")</f>
        <v>22303</v>
      </c>
      <c r="F1290" s="6" t="str">
        <f t="shared" si="3"/>
        <v>Product</v>
      </c>
      <c r="G1290" s="1" t="s">
        <v>821</v>
      </c>
      <c r="H1290" s="6" t="str">
        <f>IFERROR(__xludf.DUMMYFUNCTION("IF(REGEXMATCH(LOWER(G1290), ""^(\?)+\s*(missing)?\s*(\?)*$""), """", PROPER(SUBSTITUTE(SUBSTITUTE(G1290, ""?"", """"), ""*"", """")))"),"Coffee Mug Apples Design")</f>
        <v>Coffee Mug Apples Design</v>
      </c>
      <c r="I1290" s="3">
        <v>6.0</v>
      </c>
      <c r="J1290" s="7">
        <v>40598.39722222222</v>
      </c>
      <c r="K1290" s="8" t="str">
        <f t="shared" si="4"/>
        <v>2011-02</v>
      </c>
      <c r="L1290" s="5">
        <v>2.55</v>
      </c>
      <c r="M1290" s="3">
        <v>17139.0</v>
      </c>
      <c r="N1290" s="1" t="str">
        <f t="shared" si="5"/>
        <v>Registered</v>
      </c>
      <c r="O1290" s="1" t="s">
        <v>19</v>
      </c>
      <c r="P1290" s="9" t="str">
        <f t="shared" si="6"/>
        <v>UK</v>
      </c>
      <c r="Q1290" s="8">
        <f t="shared" si="7"/>
        <v>15.3</v>
      </c>
    </row>
    <row r="1291">
      <c r="A1291" s="1">
        <v>544824.0</v>
      </c>
      <c r="B1291" s="1" t="str">
        <f t="shared" si="1"/>
        <v>544824</v>
      </c>
      <c r="C1291" s="1" t="str">
        <f t="shared" si="2"/>
        <v>Sale</v>
      </c>
      <c r="D1291" s="1">
        <v>22896.0</v>
      </c>
      <c r="E1291" s="1" t="str">
        <f>IFERROR(__xludf.DUMMYFUNCTION("IF(LEN(D1291)&gt;4, IFERROR(REGEXEXTRACT(TO_TEXT(D1291),""\d+""),""""),"""")"),"22896")</f>
        <v>22896</v>
      </c>
      <c r="F1291" s="6" t="str">
        <f t="shared" si="3"/>
        <v>Product</v>
      </c>
      <c r="G1291" s="1" t="s">
        <v>822</v>
      </c>
      <c r="H1291" s="6" t="str">
        <f>IFERROR(__xludf.DUMMYFUNCTION("IF(REGEXMATCH(LOWER(G1291), ""^(\?)+\s*(missing)?\s*(\?)*$""), """", PROPER(SUBSTITUTE(SUBSTITUTE(G1291, ""?"", """"), ""*"", """")))"),"Peg Bag Apples Design")</f>
        <v>Peg Bag Apples Design</v>
      </c>
      <c r="I1291" s="3">
        <v>6.0</v>
      </c>
      <c r="J1291" s="7">
        <v>40598.39722222222</v>
      </c>
      <c r="K1291" s="8" t="str">
        <f t="shared" si="4"/>
        <v>2011-02</v>
      </c>
      <c r="L1291" s="5">
        <v>2.55</v>
      </c>
      <c r="M1291" s="3">
        <v>17139.0</v>
      </c>
      <c r="N1291" s="1" t="str">
        <f t="shared" si="5"/>
        <v>Registered</v>
      </c>
      <c r="O1291" s="1" t="s">
        <v>19</v>
      </c>
      <c r="P1291" s="9" t="str">
        <f t="shared" si="6"/>
        <v>UK</v>
      </c>
      <c r="Q1291" s="8">
        <f t="shared" si="7"/>
        <v>15.3</v>
      </c>
    </row>
    <row r="1292">
      <c r="A1292" s="1">
        <v>544824.0</v>
      </c>
      <c r="B1292" s="1" t="str">
        <f t="shared" si="1"/>
        <v>544824</v>
      </c>
      <c r="C1292" s="1" t="str">
        <f t="shared" si="2"/>
        <v>Sale</v>
      </c>
      <c r="D1292" s="1">
        <v>22939.0</v>
      </c>
      <c r="E1292" s="1" t="str">
        <f>IFERROR(__xludf.DUMMYFUNCTION("IF(LEN(D1292)&gt;4, IFERROR(REGEXEXTRACT(TO_TEXT(D1292),""\d+""),""""),"""")"),"22939")</f>
        <v>22939</v>
      </c>
      <c r="F1292" s="6" t="str">
        <f t="shared" si="3"/>
        <v>Product</v>
      </c>
      <c r="G1292" s="1" t="s">
        <v>823</v>
      </c>
      <c r="H1292" s="6" t="str">
        <f>IFERROR(__xludf.DUMMYFUNCTION("IF(REGEXMATCH(LOWER(G1292), ""^(\?)+\s*(missing)?\s*(\?)*$""), """", PROPER(SUBSTITUTE(SUBSTITUTE(G1292, ""?"", """"), ""*"", """")))"),"Apron Apple Delight")</f>
        <v>Apron Apple Delight</v>
      </c>
      <c r="I1292" s="3">
        <v>4.0</v>
      </c>
      <c r="J1292" s="7">
        <v>40598.39722222222</v>
      </c>
      <c r="K1292" s="8" t="str">
        <f t="shared" si="4"/>
        <v>2011-02</v>
      </c>
      <c r="L1292" s="5">
        <v>4.95</v>
      </c>
      <c r="M1292" s="3">
        <v>17139.0</v>
      </c>
      <c r="N1292" s="1" t="str">
        <f t="shared" si="5"/>
        <v>Registered</v>
      </c>
      <c r="O1292" s="1" t="s">
        <v>19</v>
      </c>
      <c r="P1292" s="9" t="str">
        <f t="shared" si="6"/>
        <v>UK</v>
      </c>
      <c r="Q1292" s="8">
        <f t="shared" si="7"/>
        <v>19.8</v>
      </c>
    </row>
    <row r="1293">
      <c r="A1293" s="1">
        <v>544824.0</v>
      </c>
      <c r="B1293" s="1" t="str">
        <f t="shared" si="1"/>
        <v>544824</v>
      </c>
      <c r="C1293" s="1" t="str">
        <f t="shared" si="2"/>
        <v>Sale</v>
      </c>
      <c r="D1293" s="1">
        <v>22898.0</v>
      </c>
      <c r="E1293" s="1" t="str">
        <f>IFERROR(__xludf.DUMMYFUNCTION("IF(LEN(D1293)&gt;4, IFERROR(REGEXEXTRACT(TO_TEXT(D1293),""\d+""),""""),"""")"),"22898")</f>
        <v>22898</v>
      </c>
      <c r="F1293" s="6" t="str">
        <f t="shared" si="3"/>
        <v>Product</v>
      </c>
      <c r="G1293" s="1" t="s">
        <v>824</v>
      </c>
      <c r="H1293" s="6" t="str">
        <f>IFERROR(__xludf.DUMMYFUNCTION("IF(REGEXMATCH(LOWER(G1293), ""^(\?)+\s*(missing)?\s*(\?)*$""), """", PROPER(SUBSTITUTE(SUBSTITUTE(G1293, ""?"", """"), ""*"", """")))"),"Childrens Apron Apples Design")</f>
        <v>Childrens Apron Apples Design</v>
      </c>
      <c r="I1293" s="3">
        <v>8.0</v>
      </c>
      <c r="J1293" s="7">
        <v>40598.39722222222</v>
      </c>
      <c r="K1293" s="8" t="str">
        <f t="shared" si="4"/>
        <v>2011-02</v>
      </c>
      <c r="L1293" s="5">
        <v>1.95</v>
      </c>
      <c r="M1293" s="3">
        <v>17139.0</v>
      </c>
      <c r="N1293" s="1" t="str">
        <f t="shared" si="5"/>
        <v>Registered</v>
      </c>
      <c r="O1293" s="1" t="s">
        <v>19</v>
      </c>
      <c r="P1293" s="9" t="str">
        <f t="shared" si="6"/>
        <v>UK</v>
      </c>
      <c r="Q1293" s="8">
        <f t="shared" si="7"/>
        <v>15.6</v>
      </c>
    </row>
    <row r="1294">
      <c r="A1294" s="1">
        <v>544824.0</v>
      </c>
      <c r="B1294" s="1" t="str">
        <f t="shared" si="1"/>
        <v>544824</v>
      </c>
      <c r="C1294" s="1" t="str">
        <f t="shared" si="2"/>
        <v>Sale</v>
      </c>
      <c r="D1294" s="1">
        <v>22895.0</v>
      </c>
      <c r="E1294" s="1" t="str">
        <f>IFERROR(__xludf.DUMMYFUNCTION("IF(LEN(D1294)&gt;4, IFERROR(REGEXEXTRACT(TO_TEXT(D1294),""\d+""),""""),"""")"),"22895")</f>
        <v>22895</v>
      </c>
      <c r="F1294" s="6" t="str">
        <f t="shared" si="3"/>
        <v>Product</v>
      </c>
      <c r="G1294" s="1" t="s">
        <v>643</v>
      </c>
      <c r="H1294" s="6" t="str">
        <f>IFERROR(__xludf.DUMMYFUNCTION("IF(REGEXMATCH(LOWER(G1294), ""^(\?)+\s*(missing)?\s*(\?)*$""), """", PROPER(SUBSTITUTE(SUBSTITUTE(G1294, ""?"", """"), ""*"", """")))"),"Set Of 2 Tea Towels Apple And Pears")</f>
        <v>Set Of 2 Tea Towels Apple And Pears</v>
      </c>
      <c r="I1294" s="3">
        <v>6.0</v>
      </c>
      <c r="J1294" s="7">
        <v>40598.39722222222</v>
      </c>
      <c r="K1294" s="8" t="str">
        <f t="shared" si="4"/>
        <v>2011-02</v>
      </c>
      <c r="L1294" s="5">
        <v>2.95</v>
      </c>
      <c r="M1294" s="3">
        <v>17139.0</v>
      </c>
      <c r="N1294" s="1" t="str">
        <f t="shared" si="5"/>
        <v>Registered</v>
      </c>
      <c r="O1294" s="1" t="s">
        <v>19</v>
      </c>
      <c r="P1294" s="9" t="str">
        <f t="shared" si="6"/>
        <v>UK</v>
      </c>
      <c r="Q1294" s="8">
        <f t="shared" si="7"/>
        <v>17.7</v>
      </c>
    </row>
    <row r="1295">
      <c r="A1295" s="1">
        <v>544824.0</v>
      </c>
      <c r="B1295" s="1" t="str">
        <f t="shared" si="1"/>
        <v>544824</v>
      </c>
      <c r="C1295" s="1" t="str">
        <f t="shared" si="2"/>
        <v>Sale</v>
      </c>
      <c r="D1295" s="1">
        <v>22300.0</v>
      </c>
      <c r="E1295" s="1" t="str">
        <f>IFERROR(__xludf.DUMMYFUNCTION("IF(LEN(D1295)&gt;4, IFERROR(REGEXEXTRACT(TO_TEXT(D1295),""\d+""),""""),"""")"),"22300")</f>
        <v>22300</v>
      </c>
      <c r="F1295" s="6" t="str">
        <f t="shared" si="3"/>
        <v>Product</v>
      </c>
      <c r="G1295" s="1" t="s">
        <v>825</v>
      </c>
      <c r="H1295" s="6" t="str">
        <f>IFERROR(__xludf.DUMMYFUNCTION("IF(REGEXMATCH(LOWER(G1295), ""^(\?)+\s*(missing)?\s*(\?)*$""), """", PROPER(SUBSTITUTE(SUBSTITUTE(G1295, ""?"", """"), ""*"", """")))"),"Coffee Mug Dog + Ball Design")</f>
        <v>Coffee Mug Dog + Ball Design</v>
      </c>
      <c r="I1295" s="3">
        <v>6.0</v>
      </c>
      <c r="J1295" s="7">
        <v>40598.39722222222</v>
      </c>
      <c r="K1295" s="8" t="str">
        <f t="shared" si="4"/>
        <v>2011-02</v>
      </c>
      <c r="L1295" s="5">
        <v>2.55</v>
      </c>
      <c r="M1295" s="3">
        <v>17139.0</v>
      </c>
      <c r="N1295" s="1" t="str">
        <f t="shared" si="5"/>
        <v>Registered</v>
      </c>
      <c r="O1295" s="1" t="s">
        <v>19</v>
      </c>
      <c r="P1295" s="9" t="str">
        <f t="shared" si="6"/>
        <v>UK</v>
      </c>
      <c r="Q1295" s="8">
        <f t="shared" si="7"/>
        <v>15.3</v>
      </c>
    </row>
    <row r="1296">
      <c r="A1296" s="1">
        <v>544824.0</v>
      </c>
      <c r="B1296" s="1" t="str">
        <f t="shared" si="1"/>
        <v>544824</v>
      </c>
      <c r="C1296" s="1" t="str">
        <f t="shared" si="2"/>
        <v>Sale</v>
      </c>
      <c r="D1296" s="1">
        <v>22328.0</v>
      </c>
      <c r="E1296" s="1" t="str">
        <f>IFERROR(__xludf.DUMMYFUNCTION("IF(LEN(D1296)&gt;4, IFERROR(REGEXEXTRACT(TO_TEXT(D1296),""\d+""),""""),"""")"),"22328")</f>
        <v>22328</v>
      </c>
      <c r="F1296" s="6" t="str">
        <f t="shared" si="3"/>
        <v>Product</v>
      </c>
      <c r="G1296" s="1" t="s">
        <v>431</v>
      </c>
      <c r="H1296" s="6" t="str">
        <f>IFERROR(__xludf.DUMMYFUNCTION("IF(REGEXMATCH(LOWER(G1296), ""^(\?)+\s*(missing)?\s*(\?)*$""), """", PROPER(SUBSTITUTE(SUBSTITUTE(G1296, ""?"", """"), ""*"", """")))"),"Round Snack Boxes Set Of 4 Fruits")</f>
        <v>Round Snack Boxes Set Of 4 Fruits</v>
      </c>
      <c r="I1296" s="3">
        <v>6.0</v>
      </c>
      <c r="J1296" s="7">
        <v>40598.39722222222</v>
      </c>
      <c r="K1296" s="8" t="str">
        <f t="shared" si="4"/>
        <v>2011-02</v>
      </c>
      <c r="L1296" s="5">
        <v>2.95</v>
      </c>
      <c r="M1296" s="3">
        <v>17139.0</v>
      </c>
      <c r="N1296" s="1" t="str">
        <f t="shared" si="5"/>
        <v>Registered</v>
      </c>
      <c r="O1296" s="1" t="s">
        <v>19</v>
      </c>
      <c r="P1296" s="9" t="str">
        <f t="shared" si="6"/>
        <v>UK</v>
      </c>
      <c r="Q1296" s="8">
        <f t="shared" si="7"/>
        <v>17.7</v>
      </c>
    </row>
    <row r="1297">
      <c r="A1297" s="1">
        <v>544824.0</v>
      </c>
      <c r="B1297" s="1" t="str">
        <f t="shared" si="1"/>
        <v>544824</v>
      </c>
      <c r="C1297" s="1" t="str">
        <f t="shared" si="2"/>
        <v>Sale</v>
      </c>
      <c r="D1297" s="1">
        <v>22377.0</v>
      </c>
      <c r="E1297" s="1" t="str">
        <f>IFERROR(__xludf.DUMMYFUNCTION("IF(LEN(D1297)&gt;4, IFERROR(REGEXEXTRACT(TO_TEXT(D1297),""\d+""),""""),"""")"),"22377")</f>
        <v>22377</v>
      </c>
      <c r="F1297" s="6" t="str">
        <f t="shared" si="3"/>
        <v>Product</v>
      </c>
      <c r="G1297" s="1" t="s">
        <v>826</v>
      </c>
      <c r="H1297" s="6" t="str">
        <f>IFERROR(__xludf.DUMMYFUNCTION("IF(REGEXMATCH(LOWER(G1297), ""^(\?)+\s*(missing)?\s*(\?)*$""), """", PROPER(SUBSTITUTE(SUBSTITUTE(G1297, ""?"", """"), ""*"", """")))"),"Bottle Bag Retrospot")</f>
        <v>Bottle Bag Retrospot</v>
      </c>
      <c r="I1297" s="3">
        <v>5.0</v>
      </c>
      <c r="J1297" s="7">
        <v>40598.39722222222</v>
      </c>
      <c r="K1297" s="8" t="str">
        <f t="shared" si="4"/>
        <v>2011-02</v>
      </c>
      <c r="L1297" s="5">
        <v>2.1</v>
      </c>
      <c r="M1297" s="3">
        <v>17139.0</v>
      </c>
      <c r="N1297" s="1" t="str">
        <f t="shared" si="5"/>
        <v>Registered</v>
      </c>
      <c r="O1297" s="1" t="s">
        <v>19</v>
      </c>
      <c r="P1297" s="9" t="str">
        <f t="shared" si="6"/>
        <v>UK</v>
      </c>
      <c r="Q1297" s="8">
        <f t="shared" si="7"/>
        <v>10.5</v>
      </c>
    </row>
    <row r="1298">
      <c r="A1298" s="1">
        <v>544824.0</v>
      </c>
      <c r="B1298" s="1" t="str">
        <f t="shared" si="1"/>
        <v>544824</v>
      </c>
      <c r="C1298" s="1" t="str">
        <f t="shared" si="2"/>
        <v>Sale</v>
      </c>
      <c r="D1298" s="1">
        <v>20685.0</v>
      </c>
      <c r="E1298" s="1" t="str">
        <f>IFERROR(__xludf.DUMMYFUNCTION("IF(LEN(D1298)&gt;4, IFERROR(REGEXEXTRACT(TO_TEXT(D1298),""\d+""),""""),"""")"),"20685")</f>
        <v>20685</v>
      </c>
      <c r="F1298" s="6" t="str">
        <f t="shared" si="3"/>
        <v>Product</v>
      </c>
      <c r="G1298" s="1" t="s">
        <v>374</v>
      </c>
      <c r="H1298" s="6" t="str">
        <f>IFERROR(__xludf.DUMMYFUNCTION("IF(REGEXMATCH(LOWER(G1298), ""^(\?)+\s*(missing)?\s*(\?)*$""), """", PROPER(SUBSTITUTE(SUBSTITUTE(G1298, ""?"", """"), ""*"", """")))"),"Doormat Red Retrospot")</f>
        <v>Doormat Red Retrospot</v>
      </c>
      <c r="I1298" s="3">
        <v>10.0</v>
      </c>
      <c r="J1298" s="7">
        <v>40598.39722222222</v>
      </c>
      <c r="K1298" s="8" t="str">
        <f t="shared" si="4"/>
        <v>2011-02</v>
      </c>
      <c r="L1298" s="5">
        <v>6.75</v>
      </c>
      <c r="M1298" s="3">
        <v>17139.0</v>
      </c>
      <c r="N1298" s="1" t="str">
        <f t="shared" si="5"/>
        <v>Registered</v>
      </c>
      <c r="O1298" s="1" t="s">
        <v>19</v>
      </c>
      <c r="P1298" s="9" t="str">
        <f t="shared" si="6"/>
        <v>UK</v>
      </c>
      <c r="Q1298" s="8">
        <f t="shared" si="7"/>
        <v>67.5</v>
      </c>
    </row>
    <row r="1299">
      <c r="A1299" s="1">
        <v>544824.0</v>
      </c>
      <c r="B1299" s="1" t="str">
        <f t="shared" si="1"/>
        <v>544824</v>
      </c>
      <c r="C1299" s="1" t="str">
        <f t="shared" si="2"/>
        <v>Sale</v>
      </c>
      <c r="D1299" s="1">
        <v>22908.0</v>
      </c>
      <c r="E1299" s="1" t="str">
        <f>IFERROR(__xludf.DUMMYFUNCTION("IF(LEN(D1299)&gt;4, IFERROR(REGEXEXTRACT(TO_TEXT(D1299),""\d+""),""""),"""")"),"22908")</f>
        <v>22908</v>
      </c>
      <c r="F1299" s="6" t="str">
        <f t="shared" si="3"/>
        <v>Product</v>
      </c>
      <c r="G1299" s="1" t="s">
        <v>708</v>
      </c>
      <c r="H1299" s="6" t="str">
        <f>IFERROR(__xludf.DUMMYFUNCTION("IF(REGEXMATCH(LOWER(G1299), ""^(\?)+\s*(missing)?\s*(\?)*$""), """", PROPER(SUBSTITUTE(SUBSTITUTE(G1299, ""?"", """"), ""*"", """")))"),"Pack Of 20 Napkins Red Apples")</f>
        <v>Pack Of 20 Napkins Red Apples</v>
      </c>
      <c r="I1299" s="3">
        <v>12.0</v>
      </c>
      <c r="J1299" s="7">
        <v>40598.39722222222</v>
      </c>
      <c r="K1299" s="8" t="str">
        <f t="shared" si="4"/>
        <v>2011-02</v>
      </c>
      <c r="L1299" s="5">
        <v>0.85</v>
      </c>
      <c r="M1299" s="3">
        <v>17139.0</v>
      </c>
      <c r="N1299" s="1" t="str">
        <f t="shared" si="5"/>
        <v>Registered</v>
      </c>
      <c r="O1299" s="1" t="s">
        <v>19</v>
      </c>
      <c r="P1299" s="9" t="str">
        <f t="shared" si="6"/>
        <v>UK</v>
      </c>
      <c r="Q1299" s="8">
        <f t="shared" si="7"/>
        <v>10.2</v>
      </c>
    </row>
    <row r="1300">
      <c r="A1300" s="1">
        <v>544824.0</v>
      </c>
      <c r="B1300" s="1" t="str">
        <f t="shared" si="1"/>
        <v>544824</v>
      </c>
      <c r="C1300" s="1" t="str">
        <f t="shared" si="2"/>
        <v>Sale</v>
      </c>
      <c r="D1300" s="1">
        <v>22301.0</v>
      </c>
      <c r="E1300" s="1" t="str">
        <f>IFERROR(__xludf.DUMMYFUNCTION("IF(LEN(D1300)&gt;4, IFERROR(REGEXEXTRACT(TO_TEXT(D1300),""\d+""),""""),"""")"),"22301")</f>
        <v>22301</v>
      </c>
      <c r="F1300" s="6" t="str">
        <f t="shared" si="3"/>
        <v>Product</v>
      </c>
      <c r="G1300" s="1" t="s">
        <v>827</v>
      </c>
      <c r="H1300" s="6" t="str">
        <f>IFERROR(__xludf.DUMMYFUNCTION("IF(REGEXMATCH(LOWER(G1300), ""^(\?)+\s*(missing)?\s*(\?)*$""), """", PROPER(SUBSTITUTE(SUBSTITUTE(G1300, ""?"", """"), ""*"", """")))"),"Coffee Mug Cat + Bird Design")</f>
        <v>Coffee Mug Cat + Bird Design</v>
      </c>
      <c r="I1300" s="3">
        <v>6.0</v>
      </c>
      <c r="J1300" s="7">
        <v>40598.39722222222</v>
      </c>
      <c r="K1300" s="8" t="str">
        <f t="shared" si="4"/>
        <v>2011-02</v>
      </c>
      <c r="L1300" s="5">
        <v>2.55</v>
      </c>
      <c r="M1300" s="3">
        <v>17139.0</v>
      </c>
      <c r="N1300" s="1" t="str">
        <f t="shared" si="5"/>
        <v>Registered</v>
      </c>
      <c r="O1300" s="1" t="s">
        <v>19</v>
      </c>
      <c r="P1300" s="9" t="str">
        <f t="shared" si="6"/>
        <v>UK</v>
      </c>
      <c r="Q1300" s="8">
        <f t="shared" si="7"/>
        <v>15.3</v>
      </c>
    </row>
    <row r="1301">
      <c r="A1301" s="1">
        <v>544824.0</v>
      </c>
      <c r="B1301" s="1" t="str">
        <f t="shared" si="1"/>
        <v>544824</v>
      </c>
      <c r="C1301" s="1" t="str">
        <f t="shared" si="2"/>
        <v>Sale</v>
      </c>
      <c r="D1301" s="1">
        <v>22682.0</v>
      </c>
      <c r="E1301" s="1" t="str">
        <f>IFERROR(__xludf.DUMMYFUNCTION("IF(LEN(D1301)&gt;4, IFERROR(REGEXEXTRACT(TO_TEXT(D1301),""\d+""),""""),"""")"),"22682")</f>
        <v>22682</v>
      </c>
      <c r="F1301" s="6" t="str">
        <f t="shared" si="3"/>
        <v>Product</v>
      </c>
      <c r="G1301" s="1" t="s">
        <v>828</v>
      </c>
      <c r="H1301" s="6" t="str">
        <f>IFERROR(__xludf.DUMMYFUNCTION("IF(REGEXMATCH(LOWER(G1301), ""^(\?)+\s*(missing)?\s*(\?)*$""), """", PROPER(SUBSTITUTE(SUBSTITUTE(G1301, ""?"", """"), ""*"", """")))"),"French Blue Metal Door Sign 7")</f>
        <v>French Blue Metal Door Sign 7</v>
      </c>
      <c r="I1301" s="3">
        <v>10.0</v>
      </c>
      <c r="J1301" s="7">
        <v>40598.39722222222</v>
      </c>
      <c r="K1301" s="8" t="str">
        <f t="shared" si="4"/>
        <v>2011-02</v>
      </c>
      <c r="L1301" s="5">
        <v>1.25</v>
      </c>
      <c r="M1301" s="3">
        <v>17139.0</v>
      </c>
      <c r="N1301" s="1" t="str">
        <f t="shared" si="5"/>
        <v>Registered</v>
      </c>
      <c r="O1301" s="1" t="s">
        <v>19</v>
      </c>
      <c r="P1301" s="9" t="str">
        <f t="shared" si="6"/>
        <v>UK</v>
      </c>
      <c r="Q1301" s="8">
        <f t="shared" si="7"/>
        <v>12.5</v>
      </c>
    </row>
    <row r="1302">
      <c r="A1302" s="1">
        <v>544824.0</v>
      </c>
      <c r="B1302" s="1" t="str">
        <f t="shared" si="1"/>
        <v>544824</v>
      </c>
      <c r="C1302" s="1" t="str">
        <f t="shared" si="2"/>
        <v>Sale</v>
      </c>
      <c r="D1302" s="1">
        <v>22683.0</v>
      </c>
      <c r="E1302" s="1" t="str">
        <f>IFERROR(__xludf.DUMMYFUNCTION("IF(LEN(D1302)&gt;4, IFERROR(REGEXEXTRACT(TO_TEXT(D1302),""\d+""),""""),"""")"),"22683")</f>
        <v>22683</v>
      </c>
      <c r="F1302" s="6" t="str">
        <f t="shared" si="3"/>
        <v>Product</v>
      </c>
      <c r="G1302" s="1" t="s">
        <v>829</v>
      </c>
      <c r="H1302" s="6" t="str">
        <f>IFERROR(__xludf.DUMMYFUNCTION("IF(REGEXMATCH(LOWER(G1302), ""^(\?)+\s*(missing)?\s*(\?)*$""), """", PROPER(SUBSTITUTE(SUBSTITUTE(G1302, ""?"", """"), ""*"", """")))"),"French Blue Metal Door Sign 8")</f>
        <v>French Blue Metal Door Sign 8</v>
      </c>
      <c r="I1302" s="3">
        <v>10.0</v>
      </c>
      <c r="J1302" s="7">
        <v>40598.39722222222</v>
      </c>
      <c r="K1302" s="8" t="str">
        <f t="shared" si="4"/>
        <v>2011-02</v>
      </c>
      <c r="L1302" s="5">
        <v>1.25</v>
      </c>
      <c r="M1302" s="3">
        <v>17139.0</v>
      </c>
      <c r="N1302" s="1" t="str">
        <f t="shared" si="5"/>
        <v>Registered</v>
      </c>
      <c r="O1302" s="1" t="s">
        <v>19</v>
      </c>
      <c r="P1302" s="9" t="str">
        <f t="shared" si="6"/>
        <v>UK</v>
      </c>
      <c r="Q1302" s="8">
        <f t="shared" si="7"/>
        <v>12.5</v>
      </c>
    </row>
    <row r="1303">
      <c r="A1303" s="1">
        <v>544824.0</v>
      </c>
      <c r="B1303" s="1" t="str">
        <f t="shared" si="1"/>
        <v>544824</v>
      </c>
      <c r="C1303" s="1" t="str">
        <f t="shared" si="2"/>
        <v>Sale</v>
      </c>
      <c r="D1303" s="1">
        <v>22684.0</v>
      </c>
      <c r="E1303" s="1" t="str">
        <f>IFERROR(__xludf.DUMMYFUNCTION("IF(LEN(D1303)&gt;4, IFERROR(REGEXEXTRACT(TO_TEXT(D1303),""\d+""),""""),"""")"),"22684")</f>
        <v>22684</v>
      </c>
      <c r="F1303" s="6" t="str">
        <f t="shared" si="3"/>
        <v>Product</v>
      </c>
      <c r="G1303" s="1" t="s">
        <v>830</v>
      </c>
      <c r="H1303" s="6" t="str">
        <f>IFERROR(__xludf.DUMMYFUNCTION("IF(REGEXMATCH(LOWER(G1303), ""^(\?)+\s*(missing)?\s*(\?)*$""), """", PROPER(SUBSTITUTE(SUBSTITUTE(G1303, ""?"", """"), ""*"", """")))"),"French Blue Metal Door Sign 9")</f>
        <v>French Blue Metal Door Sign 9</v>
      </c>
      <c r="I1303" s="3">
        <v>10.0</v>
      </c>
      <c r="J1303" s="7">
        <v>40598.39722222222</v>
      </c>
      <c r="K1303" s="8" t="str">
        <f t="shared" si="4"/>
        <v>2011-02</v>
      </c>
      <c r="L1303" s="5">
        <v>1.25</v>
      </c>
      <c r="M1303" s="3">
        <v>17139.0</v>
      </c>
      <c r="N1303" s="1" t="str">
        <f t="shared" si="5"/>
        <v>Registered</v>
      </c>
      <c r="O1303" s="1" t="s">
        <v>19</v>
      </c>
      <c r="P1303" s="9" t="str">
        <f t="shared" si="6"/>
        <v>UK</v>
      </c>
      <c r="Q1303" s="8">
        <f t="shared" si="7"/>
        <v>12.5</v>
      </c>
    </row>
    <row r="1304">
      <c r="A1304" s="1">
        <v>544824.0</v>
      </c>
      <c r="B1304" s="1" t="str">
        <f t="shared" si="1"/>
        <v>544824</v>
      </c>
      <c r="C1304" s="1" t="str">
        <f t="shared" si="2"/>
        <v>Sale</v>
      </c>
      <c r="D1304" s="1">
        <v>22685.0</v>
      </c>
      <c r="E1304" s="1" t="str">
        <f>IFERROR(__xludf.DUMMYFUNCTION("IF(LEN(D1304)&gt;4, IFERROR(REGEXEXTRACT(TO_TEXT(D1304),""\d+""),""""),"""")"),"22685")</f>
        <v>22685</v>
      </c>
      <c r="F1304" s="6" t="str">
        <f t="shared" si="3"/>
        <v>Product</v>
      </c>
      <c r="G1304" s="1" t="s">
        <v>831</v>
      </c>
      <c r="H1304" s="6" t="str">
        <f>IFERROR(__xludf.DUMMYFUNCTION("IF(REGEXMATCH(LOWER(G1304), ""^(\?)+\s*(missing)?\s*(\?)*$""), """", PROPER(SUBSTITUTE(SUBSTITUTE(G1304, ""?"", """"), ""*"", """")))"),"French Blue Metal Door Sign 0")</f>
        <v>French Blue Metal Door Sign 0</v>
      </c>
      <c r="I1304" s="3">
        <v>10.0</v>
      </c>
      <c r="J1304" s="7">
        <v>40598.39722222222</v>
      </c>
      <c r="K1304" s="8" t="str">
        <f t="shared" si="4"/>
        <v>2011-02</v>
      </c>
      <c r="L1304" s="5">
        <v>1.25</v>
      </c>
      <c r="M1304" s="3">
        <v>17139.0</v>
      </c>
      <c r="N1304" s="1" t="str">
        <f t="shared" si="5"/>
        <v>Registered</v>
      </c>
      <c r="O1304" s="1" t="s">
        <v>19</v>
      </c>
      <c r="P1304" s="9" t="str">
        <f t="shared" si="6"/>
        <v>UK</v>
      </c>
      <c r="Q1304" s="8">
        <f t="shared" si="7"/>
        <v>12.5</v>
      </c>
    </row>
    <row r="1305">
      <c r="A1305" s="1">
        <v>544824.0</v>
      </c>
      <c r="B1305" s="1" t="str">
        <f t="shared" si="1"/>
        <v>544824</v>
      </c>
      <c r="C1305" s="1" t="str">
        <f t="shared" si="2"/>
        <v>Sale</v>
      </c>
      <c r="D1305" s="1">
        <v>22686.0</v>
      </c>
      <c r="E1305" s="1" t="str">
        <f>IFERROR(__xludf.DUMMYFUNCTION("IF(LEN(D1305)&gt;4, IFERROR(REGEXEXTRACT(TO_TEXT(D1305),""\d+""),""""),"""")"),"22686")</f>
        <v>22686</v>
      </c>
      <c r="F1305" s="6" t="str">
        <f t="shared" si="3"/>
        <v>Product</v>
      </c>
      <c r="G1305" s="1" t="s">
        <v>832</v>
      </c>
      <c r="H1305" s="6" t="str">
        <f>IFERROR(__xludf.DUMMYFUNCTION("IF(REGEXMATCH(LOWER(G1305), ""^(\?)+\s*(missing)?\s*(\?)*$""), """", PROPER(SUBSTITUTE(SUBSTITUTE(G1305, ""?"", """"), ""*"", """")))"),"French Blue Metal Door Sign No")</f>
        <v>French Blue Metal Door Sign No</v>
      </c>
      <c r="I1305" s="3">
        <v>10.0</v>
      </c>
      <c r="J1305" s="7">
        <v>40598.39722222222</v>
      </c>
      <c r="K1305" s="8" t="str">
        <f t="shared" si="4"/>
        <v>2011-02</v>
      </c>
      <c r="L1305" s="5">
        <v>1.25</v>
      </c>
      <c r="M1305" s="3">
        <v>17139.0</v>
      </c>
      <c r="N1305" s="1" t="str">
        <f t="shared" si="5"/>
        <v>Registered</v>
      </c>
      <c r="O1305" s="1" t="s">
        <v>19</v>
      </c>
      <c r="P1305" s="9" t="str">
        <f t="shared" si="6"/>
        <v>UK</v>
      </c>
      <c r="Q1305" s="8">
        <f t="shared" si="7"/>
        <v>12.5</v>
      </c>
    </row>
    <row r="1306">
      <c r="A1306" s="1">
        <v>544824.0</v>
      </c>
      <c r="B1306" s="1" t="str">
        <f t="shared" si="1"/>
        <v>544824</v>
      </c>
      <c r="C1306" s="1" t="str">
        <f t="shared" si="2"/>
        <v>Sale</v>
      </c>
      <c r="D1306" s="1">
        <v>22676.0</v>
      </c>
      <c r="E1306" s="1" t="str">
        <f>IFERROR(__xludf.DUMMYFUNCTION("IF(LEN(D1306)&gt;4, IFERROR(REGEXEXTRACT(TO_TEXT(D1306),""\d+""),""""),"""")"),"22676")</f>
        <v>22676</v>
      </c>
      <c r="F1306" s="6" t="str">
        <f t="shared" si="3"/>
        <v>Product</v>
      </c>
      <c r="G1306" s="1" t="s">
        <v>833</v>
      </c>
      <c r="H1306" s="6" t="str">
        <f>IFERROR(__xludf.DUMMYFUNCTION("IF(REGEXMATCH(LOWER(G1306), ""^(\?)+\s*(missing)?\s*(\?)*$""), """", PROPER(SUBSTITUTE(SUBSTITUTE(G1306, ""?"", """"), ""*"", """")))"),"French Blue Metal Door Sign 1")</f>
        <v>French Blue Metal Door Sign 1</v>
      </c>
      <c r="I1306" s="3">
        <v>10.0</v>
      </c>
      <c r="J1306" s="7">
        <v>40598.39722222222</v>
      </c>
      <c r="K1306" s="8" t="str">
        <f t="shared" si="4"/>
        <v>2011-02</v>
      </c>
      <c r="L1306" s="5">
        <v>1.25</v>
      </c>
      <c r="M1306" s="3">
        <v>17139.0</v>
      </c>
      <c r="N1306" s="1" t="str">
        <f t="shared" si="5"/>
        <v>Registered</v>
      </c>
      <c r="O1306" s="1" t="s">
        <v>19</v>
      </c>
      <c r="P1306" s="9" t="str">
        <f t="shared" si="6"/>
        <v>UK</v>
      </c>
      <c r="Q1306" s="8">
        <f t="shared" si="7"/>
        <v>12.5</v>
      </c>
    </row>
    <row r="1307">
      <c r="A1307" s="1">
        <v>544824.0</v>
      </c>
      <c r="B1307" s="1" t="str">
        <f t="shared" si="1"/>
        <v>544824</v>
      </c>
      <c r="C1307" s="1" t="str">
        <f t="shared" si="2"/>
        <v>Sale</v>
      </c>
      <c r="D1307" s="1">
        <v>22677.0</v>
      </c>
      <c r="E1307" s="1" t="str">
        <f>IFERROR(__xludf.DUMMYFUNCTION("IF(LEN(D1307)&gt;4, IFERROR(REGEXEXTRACT(TO_TEXT(D1307),""\d+""),""""),"""")"),"22677")</f>
        <v>22677</v>
      </c>
      <c r="F1307" s="6" t="str">
        <f t="shared" si="3"/>
        <v>Product</v>
      </c>
      <c r="G1307" s="1" t="s">
        <v>834</v>
      </c>
      <c r="H1307" s="6" t="str">
        <f>IFERROR(__xludf.DUMMYFUNCTION("IF(REGEXMATCH(LOWER(G1307), ""^(\?)+\s*(missing)?\s*(\?)*$""), """", PROPER(SUBSTITUTE(SUBSTITUTE(G1307, ""?"", """"), ""*"", """")))"),"French Blue Metal Door Sign 2")</f>
        <v>French Blue Metal Door Sign 2</v>
      </c>
      <c r="I1307" s="3">
        <v>10.0</v>
      </c>
      <c r="J1307" s="7">
        <v>40598.39722222222</v>
      </c>
      <c r="K1307" s="8" t="str">
        <f t="shared" si="4"/>
        <v>2011-02</v>
      </c>
      <c r="L1307" s="5">
        <v>1.25</v>
      </c>
      <c r="M1307" s="3">
        <v>17139.0</v>
      </c>
      <c r="N1307" s="1" t="str">
        <f t="shared" si="5"/>
        <v>Registered</v>
      </c>
      <c r="O1307" s="1" t="s">
        <v>19</v>
      </c>
      <c r="P1307" s="9" t="str">
        <f t="shared" si="6"/>
        <v>UK</v>
      </c>
      <c r="Q1307" s="8">
        <f t="shared" si="7"/>
        <v>12.5</v>
      </c>
    </row>
    <row r="1308">
      <c r="A1308" s="1">
        <v>544824.0</v>
      </c>
      <c r="B1308" s="1" t="str">
        <f t="shared" si="1"/>
        <v>544824</v>
      </c>
      <c r="C1308" s="1" t="str">
        <f t="shared" si="2"/>
        <v>Sale</v>
      </c>
      <c r="D1308" s="1">
        <v>22678.0</v>
      </c>
      <c r="E1308" s="1" t="str">
        <f>IFERROR(__xludf.DUMMYFUNCTION("IF(LEN(D1308)&gt;4, IFERROR(REGEXEXTRACT(TO_TEXT(D1308),""\d+""),""""),"""")"),"22678")</f>
        <v>22678</v>
      </c>
      <c r="F1308" s="6" t="str">
        <f t="shared" si="3"/>
        <v>Product</v>
      </c>
      <c r="G1308" s="1" t="s">
        <v>835</v>
      </c>
      <c r="H1308" s="6" t="str">
        <f>IFERROR(__xludf.DUMMYFUNCTION("IF(REGEXMATCH(LOWER(G1308), ""^(\?)+\s*(missing)?\s*(\?)*$""), """", PROPER(SUBSTITUTE(SUBSTITUTE(G1308, ""?"", """"), ""*"", """")))"),"French Blue Metal Door Sign 3")</f>
        <v>French Blue Metal Door Sign 3</v>
      </c>
      <c r="I1308" s="3">
        <v>10.0</v>
      </c>
      <c r="J1308" s="7">
        <v>40598.39722222222</v>
      </c>
      <c r="K1308" s="8" t="str">
        <f t="shared" si="4"/>
        <v>2011-02</v>
      </c>
      <c r="L1308" s="5">
        <v>1.25</v>
      </c>
      <c r="M1308" s="3">
        <v>17139.0</v>
      </c>
      <c r="N1308" s="1" t="str">
        <f t="shared" si="5"/>
        <v>Registered</v>
      </c>
      <c r="O1308" s="1" t="s">
        <v>19</v>
      </c>
      <c r="P1308" s="9" t="str">
        <f t="shared" si="6"/>
        <v>UK</v>
      </c>
      <c r="Q1308" s="8">
        <f t="shared" si="7"/>
        <v>12.5</v>
      </c>
    </row>
    <row r="1309">
      <c r="A1309" s="1">
        <v>544825.0</v>
      </c>
      <c r="B1309" s="1" t="str">
        <f t="shared" si="1"/>
        <v>544825</v>
      </c>
      <c r="C1309" s="1" t="str">
        <f t="shared" si="2"/>
        <v>Sale</v>
      </c>
      <c r="D1309" s="1">
        <v>22276.0</v>
      </c>
      <c r="E1309" s="1" t="str">
        <f>IFERROR(__xludf.DUMMYFUNCTION("IF(LEN(D1309)&gt;4, IFERROR(REGEXEXTRACT(TO_TEXT(D1309),""\d+""),""""),"""")"),"22276")</f>
        <v>22276</v>
      </c>
      <c r="F1309" s="6" t="str">
        <f t="shared" si="3"/>
        <v>Product</v>
      </c>
      <c r="G1309" s="1" t="s">
        <v>836</v>
      </c>
      <c r="H1309" s="6" t="str">
        <f>IFERROR(__xludf.DUMMYFUNCTION("IF(REGEXMATCH(LOWER(G1309), ""^(\?)+\s*(missing)?\s*(\?)*$""), """", PROPER(SUBSTITUTE(SUBSTITUTE(G1309, ""?"", """"), ""*"", """")))"),"Wash Bag Vintage Rose Paisley")</f>
        <v>Wash Bag Vintage Rose Paisley</v>
      </c>
      <c r="I1309" s="3">
        <v>6.0</v>
      </c>
      <c r="J1309" s="7">
        <v>40598.39722222222</v>
      </c>
      <c r="K1309" s="8" t="str">
        <f t="shared" si="4"/>
        <v>2011-02</v>
      </c>
      <c r="L1309" s="5">
        <v>2.55</v>
      </c>
      <c r="M1309" s="3">
        <v>15606.0</v>
      </c>
      <c r="N1309" s="1" t="str">
        <f t="shared" si="5"/>
        <v>Registered</v>
      </c>
      <c r="O1309" s="1" t="s">
        <v>19</v>
      </c>
      <c r="P1309" s="9" t="str">
        <f t="shared" si="6"/>
        <v>UK</v>
      </c>
      <c r="Q1309" s="8">
        <f t="shared" si="7"/>
        <v>15.3</v>
      </c>
    </row>
    <row r="1310">
      <c r="A1310" s="1">
        <v>544825.0</v>
      </c>
      <c r="B1310" s="1" t="str">
        <f t="shared" si="1"/>
        <v>544825</v>
      </c>
      <c r="C1310" s="1" t="str">
        <f t="shared" si="2"/>
        <v>Sale</v>
      </c>
      <c r="D1310" s="1" t="s">
        <v>837</v>
      </c>
      <c r="E1310" s="1" t="str">
        <f>IFERROR(__xludf.DUMMYFUNCTION("IF(LEN(D1310)&gt;4, IFERROR(REGEXEXTRACT(TO_TEXT(D1310),""\d+""),""""),"""")"),"47594")</f>
        <v>47594</v>
      </c>
      <c r="F1310" s="6" t="str">
        <f t="shared" si="3"/>
        <v>Product</v>
      </c>
      <c r="G1310" s="1" t="s">
        <v>838</v>
      </c>
      <c r="H1310" s="6" t="str">
        <f>IFERROR(__xludf.DUMMYFUNCTION("IF(REGEXMATCH(LOWER(G1310), ""^(\?)+\s*(missing)?\s*(\?)*$""), """", PROPER(SUBSTITUTE(SUBSTITUTE(G1310, ""?"", """"), ""*"", """")))"),"Scotties Design Washbag")</f>
        <v>Scotties Design Washbag</v>
      </c>
      <c r="I1310" s="3">
        <v>6.0</v>
      </c>
      <c r="J1310" s="7">
        <v>40598.39722222222</v>
      </c>
      <c r="K1310" s="8" t="str">
        <f t="shared" si="4"/>
        <v>2011-02</v>
      </c>
      <c r="L1310" s="5">
        <v>1.95</v>
      </c>
      <c r="M1310" s="3">
        <v>15606.0</v>
      </c>
      <c r="N1310" s="1" t="str">
        <f t="shared" si="5"/>
        <v>Registered</v>
      </c>
      <c r="O1310" s="1" t="s">
        <v>19</v>
      </c>
      <c r="P1310" s="9" t="str">
        <f t="shared" si="6"/>
        <v>UK</v>
      </c>
      <c r="Q1310" s="8">
        <f t="shared" si="7"/>
        <v>11.7</v>
      </c>
    </row>
    <row r="1311">
      <c r="A1311" s="1">
        <v>544825.0</v>
      </c>
      <c r="B1311" s="1" t="str">
        <f t="shared" si="1"/>
        <v>544825</v>
      </c>
      <c r="C1311" s="1" t="str">
        <f t="shared" si="2"/>
        <v>Sale</v>
      </c>
      <c r="D1311" s="1" t="s">
        <v>839</v>
      </c>
      <c r="E1311" s="1" t="str">
        <f>IFERROR(__xludf.DUMMYFUNCTION("IF(LEN(D1311)&gt;4, IFERROR(REGEXEXTRACT(TO_TEXT(D1311),""\d+""),""""),"""")"),"47594")</f>
        <v>47594</v>
      </c>
      <c r="F1311" s="6" t="str">
        <f t="shared" si="3"/>
        <v>Product</v>
      </c>
      <c r="G1311" s="1" t="s">
        <v>840</v>
      </c>
      <c r="H1311" s="6" t="str">
        <f>IFERROR(__xludf.DUMMYFUNCTION("IF(REGEXMATCH(LOWER(G1311), ""^(\?)+\s*(missing)?\s*(\?)*$""), """", PROPER(SUBSTITUTE(SUBSTITUTE(G1311, ""?"", """"), ""*"", """")))"),"Carousel Design Washbag")</f>
        <v>Carousel Design Washbag</v>
      </c>
      <c r="I1311" s="3">
        <v>6.0</v>
      </c>
      <c r="J1311" s="7">
        <v>40598.39722222222</v>
      </c>
      <c r="K1311" s="8" t="str">
        <f t="shared" si="4"/>
        <v>2011-02</v>
      </c>
      <c r="L1311" s="5">
        <v>1.95</v>
      </c>
      <c r="M1311" s="3">
        <v>15606.0</v>
      </c>
      <c r="N1311" s="1" t="str">
        <f t="shared" si="5"/>
        <v>Registered</v>
      </c>
      <c r="O1311" s="1" t="s">
        <v>19</v>
      </c>
      <c r="P1311" s="9" t="str">
        <f t="shared" si="6"/>
        <v>UK</v>
      </c>
      <c r="Q1311" s="8">
        <f t="shared" si="7"/>
        <v>11.7</v>
      </c>
    </row>
    <row r="1312">
      <c r="A1312" s="1">
        <v>544825.0</v>
      </c>
      <c r="B1312" s="1" t="str">
        <f t="shared" si="1"/>
        <v>544825</v>
      </c>
      <c r="C1312" s="1" t="str">
        <f t="shared" si="2"/>
        <v>Sale</v>
      </c>
      <c r="D1312" s="1">
        <v>22374.0</v>
      </c>
      <c r="E1312" s="1" t="str">
        <f>IFERROR(__xludf.DUMMYFUNCTION("IF(LEN(D1312)&gt;4, IFERROR(REGEXEXTRACT(TO_TEXT(D1312),""\d+""),""""),"""")"),"22374")</f>
        <v>22374</v>
      </c>
      <c r="F1312" s="6" t="str">
        <f t="shared" si="3"/>
        <v>Product</v>
      </c>
      <c r="G1312" s="1" t="s">
        <v>841</v>
      </c>
      <c r="H1312" s="6" t="str">
        <f>IFERROR(__xludf.DUMMYFUNCTION("IF(REGEXMATCH(LOWER(G1312), ""^(\?)+\s*(missing)?\s*(\?)*$""), """", PROPER(SUBSTITUTE(SUBSTITUTE(G1312, ""?"", """"), ""*"", """")))"),"Airline Bag Vintage Jet Set Red")</f>
        <v>Airline Bag Vintage Jet Set Red</v>
      </c>
      <c r="I1312" s="3">
        <v>12.0</v>
      </c>
      <c r="J1312" s="7">
        <v>40598.39722222222</v>
      </c>
      <c r="K1312" s="8" t="str">
        <f t="shared" si="4"/>
        <v>2011-02</v>
      </c>
      <c r="L1312" s="5">
        <v>3.95</v>
      </c>
      <c r="M1312" s="3">
        <v>15606.0</v>
      </c>
      <c r="N1312" s="1" t="str">
        <f t="shared" si="5"/>
        <v>Registered</v>
      </c>
      <c r="O1312" s="1" t="s">
        <v>19</v>
      </c>
      <c r="P1312" s="9" t="str">
        <f t="shared" si="6"/>
        <v>UK</v>
      </c>
      <c r="Q1312" s="8">
        <f t="shared" si="7"/>
        <v>47.4</v>
      </c>
    </row>
    <row r="1313">
      <c r="A1313" s="1">
        <v>544825.0</v>
      </c>
      <c r="B1313" s="1" t="str">
        <f t="shared" si="1"/>
        <v>544825</v>
      </c>
      <c r="C1313" s="1" t="str">
        <f t="shared" si="2"/>
        <v>Sale</v>
      </c>
      <c r="D1313" s="1">
        <v>22375.0</v>
      </c>
      <c r="E1313" s="1" t="str">
        <f>IFERROR(__xludf.DUMMYFUNCTION("IF(LEN(D1313)&gt;4, IFERROR(REGEXEXTRACT(TO_TEXT(D1313),""\d+""),""""),"""")"),"22375")</f>
        <v>22375</v>
      </c>
      <c r="F1313" s="6" t="str">
        <f t="shared" si="3"/>
        <v>Product</v>
      </c>
      <c r="G1313" s="1" t="s">
        <v>842</v>
      </c>
      <c r="H1313" s="6" t="str">
        <f>IFERROR(__xludf.DUMMYFUNCTION("IF(REGEXMATCH(LOWER(G1313), ""^(\?)+\s*(missing)?\s*(\?)*$""), """", PROPER(SUBSTITUTE(SUBSTITUTE(G1313, ""?"", """"), ""*"", """")))"),"Airline Bag Vintage Jet Set Brown")</f>
        <v>Airline Bag Vintage Jet Set Brown</v>
      </c>
      <c r="I1313" s="3">
        <v>12.0</v>
      </c>
      <c r="J1313" s="7">
        <v>40598.39722222222</v>
      </c>
      <c r="K1313" s="8" t="str">
        <f t="shared" si="4"/>
        <v>2011-02</v>
      </c>
      <c r="L1313" s="5">
        <v>3.95</v>
      </c>
      <c r="M1313" s="3">
        <v>15606.0</v>
      </c>
      <c r="N1313" s="1" t="str">
        <f t="shared" si="5"/>
        <v>Registered</v>
      </c>
      <c r="O1313" s="1" t="s">
        <v>19</v>
      </c>
      <c r="P1313" s="9" t="str">
        <f t="shared" si="6"/>
        <v>UK</v>
      </c>
      <c r="Q1313" s="8">
        <f t="shared" si="7"/>
        <v>47.4</v>
      </c>
    </row>
    <row r="1314">
      <c r="A1314" s="1">
        <v>544825.0</v>
      </c>
      <c r="B1314" s="1" t="str">
        <f t="shared" si="1"/>
        <v>544825</v>
      </c>
      <c r="C1314" s="1" t="str">
        <f t="shared" si="2"/>
        <v>Sale</v>
      </c>
      <c r="D1314" s="1">
        <v>20749.0</v>
      </c>
      <c r="E1314" s="1" t="str">
        <f>IFERROR(__xludf.DUMMYFUNCTION("IF(LEN(D1314)&gt;4, IFERROR(REGEXEXTRACT(TO_TEXT(D1314),""\d+""),""""),"""")"),"20749")</f>
        <v>20749</v>
      </c>
      <c r="F1314" s="6" t="str">
        <f t="shared" si="3"/>
        <v>Product</v>
      </c>
      <c r="G1314" s="1" t="s">
        <v>319</v>
      </c>
      <c r="H1314" s="6" t="str">
        <f>IFERROR(__xludf.DUMMYFUNCTION("IF(REGEXMATCH(LOWER(G1314), ""^(\?)+\s*(missing)?\s*(\?)*$""), """", PROPER(SUBSTITUTE(SUBSTITUTE(G1314, ""?"", """"), ""*"", """")))"),"Assorted Colour Mini Cases")</f>
        <v>Assorted Colour Mini Cases</v>
      </c>
      <c r="I1314" s="3">
        <v>12.0</v>
      </c>
      <c r="J1314" s="7">
        <v>40598.39722222222</v>
      </c>
      <c r="K1314" s="8" t="str">
        <f t="shared" si="4"/>
        <v>2011-02</v>
      </c>
      <c r="L1314" s="5">
        <v>6.35</v>
      </c>
      <c r="M1314" s="3">
        <v>15606.0</v>
      </c>
      <c r="N1314" s="1" t="str">
        <f t="shared" si="5"/>
        <v>Registered</v>
      </c>
      <c r="O1314" s="1" t="s">
        <v>19</v>
      </c>
      <c r="P1314" s="9" t="str">
        <f t="shared" si="6"/>
        <v>UK</v>
      </c>
      <c r="Q1314" s="8">
        <f t="shared" si="7"/>
        <v>76.2</v>
      </c>
    </row>
    <row r="1315">
      <c r="A1315" s="1">
        <v>544825.0</v>
      </c>
      <c r="B1315" s="1" t="str">
        <f t="shared" si="1"/>
        <v>544825</v>
      </c>
      <c r="C1315" s="1" t="str">
        <f t="shared" si="2"/>
        <v>Sale</v>
      </c>
      <c r="D1315" s="1">
        <v>22779.0</v>
      </c>
      <c r="E1315" s="1" t="str">
        <f>IFERROR(__xludf.DUMMYFUNCTION("IF(LEN(D1315)&gt;4, IFERROR(REGEXEXTRACT(TO_TEXT(D1315),""\d+""),""""),"""")"),"22779")</f>
        <v>22779</v>
      </c>
      <c r="F1315" s="6" t="str">
        <f t="shared" si="3"/>
        <v>Product</v>
      </c>
      <c r="G1315" s="1" t="s">
        <v>185</v>
      </c>
      <c r="H1315" s="6" t="str">
        <f>IFERROR(__xludf.DUMMYFUNCTION("IF(REGEXMATCH(LOWER(G1315), ""^(\?)+\s*(missing)?\s*(\?)*$""), """", PROPER(SUBSTITUTE(SUBSTITUTE(G1315, ""?"", """"), ""*"", """")))"),"Wooden Owls Light Garland")</f>
        <v>Wooden Owls Light Garland</v>
      </c>
      <c r="I1315" s="3">
        <v>4.0</v>
      </c>
      <c r="J1315" s="7">
        <v>40598.39722222222</v>
      </c>
      <c r="K1315" s="8" t="str">
        <f t="shared" si="4"/>
        <v>2011-02</v>
      </c>
      <c r="L1315" s="5">
        <v>4.25</v>
      </c>
      <c r="M1315" s="3">
        <v>15606.0</v>
      </c>
      <c r="N1315" s="1" t="str">
        <f t="shared" si="5"/>
        <v>Registered</v>
      </c>
      <c r="O1315" s="1" t="s">
        <v>19</v>
      </c>
      <c r="P1315" s="9" t="str">
        <f t="shared" si="6"/>
        <v>UK</v>
      </c>
      <c r="Q1315" s="8">
        <f t="shared" si="7"/>
        <v>17</v>
      </c>
    </row>
    <row r="1316">
      <c r="A1316" s="1">
        <v>544825.0</v>
      </c>
      <c r="B1316" s="1" t="str">
        <f t="shared" si="1"/>
        <v>544825</v>
      </c>
      <c r="C1316" s="1" t="str">
        <f t="shared" si="2"/>
        <v>Sale</v>
      </c>
      <c r="D1316" s="1">
        <v>22780.0</v>
      </c>
      <c r="E1316" s="1" t="str">
        <f>IFERROR(__xludf.DUMMYFUNCTION("IF(LEN(D1316)&gt;4, IFERROR(REGEXEXTRACT(TO_TEXT(D1316),""\d+""),""""),"""")"),"22780")</f>
        <v>22780</v>
      </c>
      <c r="F1316" s="6" t="str">
        <f t="shared" si="3"/>
        <v>Product</v>
      </c>
      <c r="G1316" s="1" t="s">
        <v>184</v>
      </c>
      <c r="H1316" s="6" t="str">
        <f>IFERROR(__xludf.DUMMYFUNCTION("IF(REGEXMATCH(LOWER(G1316), ""^(\?)+\s*(missing)?\s*(\?)*$""), """", PROPER(SUBSTITUTE(SUBSTITUTE(G1316, ""?"", """"), ""*"", """")))"),"Light Garland Butterfiles Pink")</f>
        <v>Light Garland Butterfiles Pink</v>
      </c>
      <c r="I1316" s="3">
        <v>8.0</v>
      </c>
      <c r="J1316" s="7">
        <v>40598.39722222222</v>
      </c>
      <c r="K1316" s="8" t="str">
        <f t="shared" si="4"/>
        <v>2011-02</v>
      </c>
      <c r="L1316" s="5">
        <v>4.25</v>
      </c>
      <c r="M1316" s="3">
        <v>15606.0</v>
      </c>
      <c r="N1316" s="1" t="str">
        <f t="shared" si="5"/>
        <v>Registered</v>
      </c>
      <c r="O1316" s="1" t="s">
        <v>19</v>
      </c>
      <c r="P1316" s="9" t="str">
        <f t="shared" si="6"/>
        <v>UK</v>
      </c>
      <c r="Q1316" s="8">
        <f t="shared" si="7"/>
        <v>34</v>
      </c>
    </row>
    <row r="1317">
      <c r="A1317" s="1">
        <v>544825.0</v>
      </c>
      <c r="B1317" s="1" t="str">
        <f t="shared" si="1"/>
        <v>544825</v>
      </c>
      <c r="C1317" s="1" t="str">
        <f t="shared" si="2"/>
        <v>Sale</v>
      </c>
      <c r="D1317" s="1">
        <v>22371.0</v>
      </c>
      <c r="E1317" s="1" t="str">
        <f>IFERROR(__xludf.DUMMYFUNCTION("IF(LEN(D1317)&gt;4, IFERROR(REGEXEXTRACT(TO_TEXT(D1317),""\d+""),""""),"""")"),"22371")</f>
        <v>22371</v>
      </c>
      <c r="F1317" s="6" t="str">
        <f t="shared" si="3"/>
        <v>Product</v>
      </c>
      <c r="G1317" s="1" t="s">
        <v>381</v>
      </c>
      <c r="H1317" s="6" t="str">
        <f>IFERROR(__xludf.DUMMYFUNCTION("IF(REGEXMATCH(LOWER(G1317), ""^(\?)+\s*(missing)?\s*(\?)*$""), """", PROPER(SUBSTITUTE(SUBSTITUTE(G1317, ""?"", """"), ""*"", """")))"),"Airline Bag Vintage Tokyo 78")</f>
        <v>Airline Bag Vintage Tokyo 78</v>
      </c>
      <c r="I1317" s="3">
        <v>12.0</v>
      </c>
      <c r="J1317" s="7">
        <v>40598.39722222222</v>
      </c>
      <c r="K1317" s="8" t="str">
        <f t="shared" si="4"/>
        <v>2011-02</v>
      </c>
      <c r="L1317" s="5">
        <v>3.75</v>
      </c>
      <c r="M1317" s="3">
        <v>15606.0</v>
      </c>
      <c r="N1317" s="1" t="str">
        <f t="shared" si="5"/>
        <v>Registered</v>
      </c>
      <c r="O1317" s="1" t="s">
        <v>19</v>
      </c>
      <c r="P1317" s="9" t="str">
        <f t="shared" si="6"/>
        <v>UK</v>
      </c>
      <c r="Q1317" s="8">
        <f t="shared" si="7"/>
        <v>45</v>
      </c>
    </row>
    <row r="1318">
      <c r="A1318" s="1">
        <v>544826.0</v>
      </c>
      <c r="B1318" s="1" t="str">
        <f t="shared" si="1"/>
        <v>544826</v>
      </c>
      <c r="C1318" s="1" t="str">
        <f t="shared" si="2"/>
        <v>Sale</v>
      </c>
      <c r="D1318" s="1">
        <v>22837.0</v>
      </c>
      <c r="E1318" s="1" t="str">
        <f>IFERROR(__xludf.DUMMYFUNCTION("IF(LEN(D1318)&gt;4, IFERROR(REGEXEXTRACT(TO_TEXT(D1318),""\d+""),""""),"""")"),"22837")</f>
        <v>22837</v>
      </c>
      <c r="F1318" s="6" t="str">
        <f t="shared" si="3"/>
        <v>Product</v>
      </c>
      <c r="G1318" s="1" t="s">
        <v>332</v>
      </c>
      <c r="H1318" s="6" t="str">
        <f>IFERROR(__xludf.DUMMYFUNCTION("IF(REGEXMATCH(LOWER(G1318), ""^(\?)+\s*(missing)?\s*(\?)*$""), """", PROPER(SUBSTITUTE(SUBSTITUTE(G1318, ""?"", """"), ""*"", """")))"),"Hot Water Bottle Babushka")</f>
        <v>Hot Water Bottle Babushka</v>
      </c>
      <c r="I1318" s="3">
        <v>1.0</v>
      </c>
      <c r="J1318" s="7">
        <v>40598.4</v>
      </c>
      <c r="K1318" s="8" t="str">
        <f t="shared" si="4"/>
        <v>2011-02</v>
      </c>
      <c r="L1318" s="5">
        <v>4.65</v>
      </c>
      <c r="M1318" s="3">
        <v>14513.0</v>
      </c>
      <c r="N1318" s="1" t="str">
        <f t="shared" si="5"/>
        <v>Registered</v>
      </c>
      <c r="O1318" s="1" t="s">
        <v>19</v>
      </c>
      <c r="P1318" s="9" t="str">
        <f t="shared" si="6"/>
        <v>UK</v>
      </c>
      <c r="Q1318" s="8">
        <f t="shared" si="7"/>
        <v>4.65</v>
      </c>
    </row>
    <row r="1319">
      <c r="A1319" s="1">
        <v>544826.0</v>
      </c>
      <c r="B1319" s="1" t="str">
        <f t="shared" si="1"/>
        <v>544826</v>
      </c>
      <c r="C1319" s="1" t="str">
        <f t="shared" si="2"/>
        <v>Sale</v>
      </c>
      <c r="D1319" s="1">
        <v>22195.0</v>
      </c>
      <c r="E1319" s="1" t="str">
        <f>IFERROR(__xludf.DUMMYFUNCTION("IF(LEN(D1319)&gt;4, IFERROR(REGEXEXTRACT(TO_TEXT(D1319),""\d+""),""""),"""")"),"22195")</f>
        <v>22195</v>
      </c>
      <c r="F1319" s="6" t="str">
        <f t="shared" si="3"/>
        <v>Product</v>
      </c>
      <c r="G1319" s="1" t="s">
        <v>208</v>
      </c>
      <c r="H1319" s="6" t="str">
        <f>IFERROR(__xludf.DUMMYFUNCTION("IF(REGEXMATCH(LOWER(G1319), ""^(\?)+\s*(missing)?\s*(\?)*$""), """", PROPER(SUBSTITUTE(SUBSTITUTE(G1319, ""?"", """"), ""*"", """")))"),"Large Heart Measuring Spoons")</f>
        <v>Large Heart Measuring Spoons</v>
      </c>
      <c r="I1319" s="3">
        <v>1.0</v>
      </c>
      <c r="J1319" s="7">
        <v>40598.4</v>
      </c>
      <c r="K1319" s="8" t="str">
        <f t="shared" si="4"/>
        <v>2011-02</v>
      </c>
      <c r="L1319" s="5">
        <v>1.65</v>
      </c>
      <c r="M1319" s="3">
        <v>14513.0</v>
      </c>
      <c r="N1319" s="1" t="str">
        <f t="shared" si="5"/>
        <v>Registered</v>
      </c>
      <c r="O1319" s="1" t="s">
        <v>19</v>
      </c>
      <c r="P1319" s="9" t="str">
        <f t="shared" si="6"/>
        <v>UK</v>
      </c>
      <c r="Q1319" s="8">
        <f t="shared" si="7"/>
        <v>1.65</v>
      </c>
    </row>
    <row r="1320">
      <c r="A1320" s="1">
        <v>544826.0</v>
      </c>
      <c r="B1320" s="1" t="str">
        <f t="shared" si="1"/>
        <v>544826</v>
      </c>
      <c r="C1320" s="1" t="str">
        <f t="shared" si="2"/>
        <v>Sale</v>
      </c>
      <c r="D1320" s="1">
        <v>84755.0</v>
      </c>
      <c r="E1320" s="1" t="str">
        <f>IFERROR(__xludf.DUMMYFUNCTION("IF(LEN(D1320)&gt;4, IFERROR(REGEXEXTRACT(TO_TEXT(D1320),""\d+""),""""),"""")"),"84755")</f>
        <v>84755</v>
      </c>
      <c r="F1320" s="6" t="str">
        <f t="shared" si="3"/>
        <v>Product</v>
      </c>
      <c r="G1320" s="1" t="s">
        <v>163</v>
      </c>
      <c r="H1320" s="6" t="str">
        <f>IFERROR(__xludf.DUMMYFUNCTION("IF(REGEXMATCH(LOWER(G1320), ""^(\?)+\s*(missing)?\s*(\?)*$""), """", PROPER(SUBSTITUTE(SUBSTITUTE(G1320, ""?"", """"), ""*"", """")))"),"Colour Glass T-Light Holder Hanging")</f>
        <v>Colour Glass T-Light Holder Hanging</v>
      </c>
      <c r="I1320" s="3">
        <v>1.0</v>
      </c>
      <c r="J1320" s="7">
        <v>40598.4</v>
      </c>
      <c r="K1320" s="8" t="str">
        <f t="shared" si="4"/>
        <v>2011-02</v>
      </c>
      <c r="L1320" s="5">
        <v>0.65</v>
      </c>
      <c r="M1320" s="3">
        <v>14513.0</v>
      </c>
      <c r="N1320" s="1" t="str">
        <f t="shared" si="5"/>
        <v>Registered</v>
      </c>
      <c r="O1320" s="1" t="s">
        <v>19</v>
      </c>
      <c r="P1320" s="9" t="str">
        <f t="shared" si="6"/>
        <v>UK</v>
      </c>
      <c r="Q1320" s="8">
        <f t="shared" si="7"/>
        <v>0.65</v>
      </c>
    </row>
    <row r="1321">
      <c r="A1321" s="1">
        <v>544826.0</v>
      </c>
      <c r="B1321" s="1" t="str">
        <f t="shared" si="1"/>
        <v>544826</v>
      </c>
      <c r="C1321" s="1" t="str">
        <f t="shared" si="2"/>
        <v>Sale</v>
      </c>
      <c r="D1321" s="1">
        <v>22189.0</v>
      </c>
      <c r="E1321" s="1" t="str">
        <f>IFERROR(__xludf.DUMMYFUNCTION("IF(LEN(D1321)&gt;4, IFERROR(REGEXEXTRACT(TO_TEXT(D1321),""\d+""),""""),"""")"),"22189")</f>
        <v>22189</v>
      </c>
      <c r="F1321" s="6" t="str">
        <f t="shared" si="3"/>
        <v>Product</v>
      </c>
      <c r="G1321" s="1" t="s">
        <v>171</v>
      </c>
      <c r="H1321" s="6" t="str">
        <f>IFERROR(__xludf.DUMMYFUNCTION("IF(REGEXMATCH(LOWER(G1321), ""^(\?)+\s*(missing)?\s*(\?)*$""), """", PROPER(SUBSTITUTE(SUBSTITUTE(G1321, ""?"", """"), ""*"", """")))"),"Cream Heart Card Holder")</f>
        <v>Cream Heart Card Holder</v>
      </c>
      <c r="I1321" s="3">
        <v>1.0</v>
      </c>
      <c r="J1321" s="7">
        <v>40598.4</v>
      </c>
      <c r="K1321" s="8" t="str">
        <f t="shared" si="4"/>
        <v>2011-02</v>
      </c>
      <c r="L1321" s="5">
        <v>3.95</v>
      </c>
      <c r="M1321" s="3">
        <v>14513.0</v>
      </c>
      <c r="N1321" s="1" t="str">
        <f t="shared" si="5"/>
        <v>Registered</v>
      </c>
      <c r="O1321" s="1" t="s">
        <v>19</v>
      </c>
      <c r="P1321" s="9" t="str">
        <f t="shared" si="6"/>
        <v>UK</v>
      </c>
      <c r="Q1321" s="8">
        <f t="shared" si="7"/>
        <v>3.95</v>
      </c>
    </row>
    <row r="1322">
      <c r="A1322" s="1">
        <v>544826.0</v>
      </c>
      <c r="B1322" s="1" t="str">
        <f t="shared" si="1"/>
        <v>544826</v>
      </c>
      <c r="C1322" s="1" t="str">
        <f t="shared" si="2"/>
        <v>Sale</v>
      </c>
      <c r="D1322" s="1">
        <v>22175.0</v>
      </c>
      <c r="E1322" s="1" t="str">
        <f>IFERROR(__xludf.DUMMYFUNCTION("IF(LEN(D1322)&gt;4, IFERROR(REGEXEXTRACT(TO_TEXT(D1322),""\d+""),""""),"""")"),"22175")</f>
        <v>22175</v>
      </c>
      <c r="F1322" s="6" t="str">
        <f t="shared" si="3"/>
        <v>Product</v>
      </c>
      <c r="G1322" s="1" t="s">
        <v>843</v>
      </c>
      <c r="H1322" s="6" t="str">
        <f>IFERROR(__xludf.DUMMYFUNCTION("IF(REGEXMATCH(LOWER(G1322), ""^(\?)+\s*(missing)?\s*(\?)*$""), """", PROPER(SUBSTITUTE(SUBSTITUTE(G1322, ""?"", """"), ""*"", """")))"),"Pink Owl Soft Toy")</f>
        <v>Pink Owl Soft Toy</v>
      </c>
      <c r="I1322" s="3">
        <v>1.0</v>
      </c>
      <c r="J1322" s="7">
        <v>40598.4</v>
      </c>
      <c r="K1322" s="8" t="str">
        <f t="shared" si="4"/>
        <v>2011-02</v>
      </c>
      <c r="L1322" s="5">
        <v>2.95</v>
      </c>
      <c r="M1322" s="3">
        <v>14513.0</v>
      </c>
      <c r="N1322" s="1" t="str">
        <f t="shared" si="5"/>
        <v>Registered</v>
      </c>
      <c r="O1322" s="1" t="s">
        <v>19</v>
      </c>
      <c r="P1322" s="9" t="str">
        <f t="shared" si="6"/>
        <v>UK</v>
      </c>
      <c r="Q1322" s="8">
        <f t="shared" si="7"/>
        <v>2.95</v>
      </c>
    </row>
    <row r="1323">
      <c r="A1323" s="1">
        <v>544826.0</v>
      </c>
      <c r="B1323" s="1" t="str">
        <f t="shared" si="1"/>
        <v>544826</v>
      </c>
      <c r="C1323" s="1" t="str">
        <f t="shared" si="2"/>
        <v>Sale</v>
      </c>
      <c r="D1323" s="1">
        <v>71477.0</v>
      </c>
      <c r="E1323" s="1" t="str">
        <f>IFERROR(__xludf.DUMMYFUNCTION("IF(LEN(D1323)&gt;4, IFERROR(REGEXEXTRACT(TO_TEXT(D1323),""\d+""),""""),"""")"),"71477")</f>
        <v>71477</v>
      </c>
      <c r="F1323" s="6" t="str">
        <f t="shared" si="3"/>
        <v>Product</v>
      </c>
      <c r="G1323" s="1" t="s">
        <v>844</v>
      </c>
      <c r="H1323" s="6" t="str">
        <f>IFERROR(__xludf.DUMMYFUNCTION("IF(REGEXMATCH(LOWER(G1323), ""^(\?)+\s*(missing)?\s*(\?)*$""), """", PROPER(SUBSTITUTE(SUBSTITUTE(G1323, ""?"", """"), ""*"", """")))"),"Colour Glass. Star T-Light Holder")</f>
        <v>Colour Glass. Star T-Light Holder</v>
      </c>
      <c r="I1323" s="3">
        <v>1.0</v>
      </c>
      <c r="J1323" s="7">
        <v>40598.4</v>
      </c>
      <c r="K1323" s="8" t="str">
        <f t="shared" si="4"/>
        <v>2011-02</v>
      </c>
      <c r="L1323" s="5">
        <v>3.25</v>
      </c>
      <c r="M1323" s="3">
        <v>14513.0</v>
      </c>
      <c r="N1323" s="1" t="str">
        <f t="shared" si="5"/>
        <v>Registered</v>
      </c>
      <c r="O1323" s="1" t="s">
        <v>19</v>
      </c>
      <c r="P1323" s="9" t="str">
        <f t="shared" si="6"/>
        <v>UK</v>
      </c>
      <c r="Q1323" s="8">
        <f t="shared" si="7"/>
        <v>3.25</v>
      </c>
    </row>
    <row r="1324">
      <c r="A1324" s="1">
        <v>544826.0</v>
      </c>
      <c r="B1324" s="1" t="str">
        <f t="shared" si="1"/>
        <v>544826</v>
      </c>
      <c r="C1324" s="1" t="str">
        <f t="shared" si="2"/>
        <v>Sale</v>
      </c>
      <c r="D1324" s="1">
        <v>22077.0</v>
      </c>
      <c r="E1324" s="1" t="str">
        <f>IFERROR(__xludf.DUMMYFUNCTION("IF(LEN(D1324)&gt;4, IFERROR(REGEXEXTRACT(TO_TEXT(D1324),""\d+""),""""),"""")"),"22077")</f>
        <v>22077</v>
      </c>
      <c r="F1324" s="6" t="str">
        <f t="shared" si="3"/>
        <v>Product</v>
      </c>
      <c r="G1324" s="1" t="s">
        <v>443</v>
      </c>
      <c r="H1324" s="6" t="str">
        <f>IFERROR(__xludf.DUMMYFUNCTION("IF(REGEXMATCH(LOWER(G1324), ""^(\?)+\s*(missing)?\s*(\?)*$""), """", PROPER(SUBSTITUTE(SUBSTITUTE(G1324, ""?"", """"), ""*"", """")))"),"6 Ribbons Rustic Charm")</f>
        <v>6 Ribbons Rustic Charm</v>
      </c>
      <c r="I1324" s="3">
        <v>1.0</v>
      </c>
      <c r="J1324" s="7">
        <v>40598.4</v>
      </c>
      <c r="K1324" s="8" t="str">
        <f t="shared" si="4"/>
        <v>2011-02</v>
      </c>
      <c r="L1324" s="5">
        <v>1.65</v>
      </c>
      <c r="M1324" s="3">
        <v>14513.0</v>
      </c>
      <c r="N1324" s="1" t="str">
        <f t="shared" si="5"/>
        <v>Registered</v>
      </c>
      <c r="O1324" s="1" t="s">
        <v>19</v>
      </c>
      <c r="P1324" s="9" t="str">
        <f t="shared" si="6"/>
        <v>UK</v>
      </c>
      <c r="Q1324" s="8">
        <f t="shared" si="7"/>
        <v>1.65</v>
      </c>
    </row>
    <row r="1325">
      <c r="A1325" s="1" t="s">
        <v>845</v>
      </c>
      <c r="B1325" s="1" t="str">
        <f t="shared" si="1"/>
        <v>544827</v>
      </c>
      <c r="C1325" s="1" t="str">
        <f t="shared" si="2"/>
        <v>Return</v>
      </c>
      <c r="D1325" s="1">
        <v>22221.0</v>
      </c>
      <c r="E1325" s="1" t="str">
        <f>IFERROR(__xludf.DUMMYFUNCTION("IF(LEN(D1325)&gt;4, IFERROR(REGEXEXTRACT(TO_TEXT(D1325),""\d+""),""""),"""")"),"22221")</f>
        <v>22221</v>
      </c>
      <c r="F1325" s="6" t="str">
        <f t="shared" si="3"/>
        <v>Product</v>
      </c>
      <c r="G1325" s="1" t="s">
        <v>846</v>
      </c>
      <c r="H1325" s="6" t="str">
        <f>IFERROR(__xludf.DUMMYFUNCTION("IF(REGEXMATCH(LOWER(G1325), ""^(\?)+\s*(missing)?\s*(\?)*$""), """", PROPER(SUBSTITUTE(SUBSTITUTE(G1325, ""?"", """"), ""*"", """")))"),"Cake Stand Lovebird 2 Tier Pink")</f>
        <v>Cake Stand Lovebird 2 Tier Pink</v>
      </c>
      <c r="I1325" s="3">
        <v>-1.0</v>
      </c>
      <c r="J1325" s="7">
        <v>40598.40625</v>
      </c>
      <c r="K1325" s="8" t="str">
        <f t="shared" si="4"/>
        <v>2011-02</v>
      </c>
      <c r="L1325" s="5">
        <v>9.95</v>
      </c>
      <c r="M1325" s="3">
        <v>17147.0</v>
      </c>
      <c r="N1325" s="1" t="str">
        <f t="shared" si="5"/>
        <v>Registered</v>
      </c>
      <c r="O1325" s="1" t="s">
        <v>19</v>
      </c>
      <c r="P1325" s="9" t="str">
        <f t="shared" si="6"/>
        <v>UK</v>
      </c>
      <c r="Q1325" s="8">
        <f t="shared" si="7"/>
        <v>-9.95</v>
      </c>
    </row>
    <row r="1326">
      <c r="A1326" s="1" t="s">
        <v>845</v>
      </c>
      <c r="B1326" s="1" t="str">
        <f t="shared" si="1"/>
        <v>544827</v>
      </c>
      <c r="C1326" s="1" t="str">
        <f t="shared" si="2"/>
        <v>Return</v>
      </c>
      <c r="D1326" s="1">
        <v>22215.0</v>
      </c>
      <c r="E1326" s="1" t="str">
        <f>IFERROR(__xludf.DUMMYFUNCTION("IF(LEN(D1326)&gt;4, IFERROR(REGEXEXTRACT(TO_TEXT(D1326),""\d+""),""""),"""")"),"22215")</f>
        <v>22215</v>
      </c>
      <c r="F1326" s="6" t="str">
        <f t="shared" si="3"/>
        <v>Product</v>
      </c>
      <c r="G1326" s="1" t="s">
        <v>737</v>
      </c>
      <c r="H1326" s="6" t="str">
        <f>IFERROR(__xludf.DUMMYFUNCTION("IF(REGEXMATCH(LOWER(G1326), ""^(\?)+\s*(missing)?\s*(\?)*$""), """", PROPER(SUBSTITUTE(SUBSTITUTE(G1326, ""?"", """"), ""*"", """")))"),"Cake Stand White Two Tier Lace")</f>
        <v>Cake Stand White Two Tier Lace</v>
      </c>
      <c r="I1326" s="3">
        <v>-1.0</v>
      </c>
      <c r="J1326" s="7">
        <v>40598.40625</v>
      </c>
      <c r="K1326" s="8" t="str">
        <f t="shared" si="4"/>
        <v>2011-02</v>
      </c>
      <c r="L1326" s="5">
        <v>8.5</v>
      </c>
      <c r="M1326" s="3">
        <v>17147.0</v>
      </c>
      <c r="N1326" s="1" t="str">
        <f t="shared" si="5"/>
        <v>Registered</v>
      </c>
      <c r="O1326" s="1" t="s">
        <v>19</v>
      </c>
      <c r="P1326" s="9" t="str">
        <f t="shared" si="6"/>
        <v>UK</v>
      </c>
      <c r="Q1326" s="8">
        <f t="shared" si="7"/>
        <v>-8.5</v>
      </c>
    </row>
    <row r="1327">
      <c r="A1327" s="1" t="s">
        <v>847</v>
      </c>
      <c r="B1327" s="1" t="str">
        <f t="shared" si="1"/>
        <v>544828</v>
      </c>
      <c r="C1327" s="1" t="str">
        <f t="shared" si="2"/>
        <v>Return</v>
      </c>
      <c r="D1327" s="1" t="s">
        <v>848</v>
      </c>
      <c r="E1327" s="1" t="str">
        <f>IFERROR(__xludf.DUMMYFUNCTION("IF(LEN(D1327)&gt;4, IFERROR(REGEXEXTRACT(TO_TEXT(D1327),""\d+""),""""),"""")"),"84279")</f>
        <v>84279</v>
      </c>
      <c r="F1327" s="6" t="str">
        <f t="shared" si="3"/>
        <v>Product</v>
      </c>
      <c r="G1327" s="1" t="s">
        <v>849</v>
      </c>
      <c r="H1327" s="6" t="str">
        <f>IFERROR(__xludf.DUMMYFUNCTION("IF(REGEXMATCH(LOWER(G1327), ""^(\?)+\s*(missing)?\s*(\?)*$""), """", PROPER(SUBSTITUTE(SUBSTITUTE(G1327, ""?"", """"), ""*"", """")))"),"Cherry Blossom Decorative Flask")</f>
        <v>Cherry Blossom Decorative Flask</v>
      </c>
      <c r="I1327" s="3">
        <v>-1.0</v>
      </c>
      <c r="J1327" s="7">
        <v>40598.40902777778</v>
      </c>
      <c r="K1327" s="8" t="str">
        <f t="shared" si="4"/>
        <v>2011-02</v>
      </c>
      <c r="L1327" s="5">
        <v>3.75</v>
      </c>
      <c r="M1327" s="3">
        <v>17147.0</v>
      </c>
      <c r="N1327" s="1" t="str">
        <f t="shared" si="5"/>
        <v>Registered</v>
      </c>
      <c r="O1327" s="1" t="s">
        <v>19</v>
      </c>
      <c r="P1327" s="9" t="str">
        <f t="shared" si="6"/>
        <v>UK</v>
      </c>
      <c r="Q1327" s="8">
        <f t="shared" si="7"/>
        <v>-3.75</v>
      </c>
    </row>
    <row r="1328">
      <c r="A1328" s="1" t="s">
        <v>847</v>
      </c>
      <c r="B1328" s="1" t="str">
        <f t="shared" si="1"/>
        <v>544828</v>
      </c>
      <c r="C1328" s="1" t="str">
        <f t="shared" si="2"/>
        <v>Return</v>
      </c>
      <c r="D1328" s="1">
        <v>22423.0</v>
      </c>
      <c r="E1328" s="1" t="str">
        <f>IFERROR(__xludf.DUMMYFUNCTION("IF(LEN(D1328)&gt;4, IFERROR(REGEXEXTRACT(TO_TEXT(D1328),""\d+""),""""),"""")"),"22423")</f>
        <v>22423</v>
      </c>
      <c r="F1328" s="6" t="str">
        <f t="shared" si="3"/>
        <v>Product</v>
      </c>
      <c r="G1328" s="1" t="s">
        <v>619</v>
      </c>
      <c r="H1328" s="6" t="str">
        <f>IFERROR(__xludf.DUMMYFUNCTION("IF(REGEXMATCH(LOWER(G1328), ""^(\?)+\s*(missing)?\s*(\?)*$""), """", PROPER(SUBSTITUTE(SUBSTITUTE(G1328, ""?"", """"), ""*"", """")))"),"Regency Cakestand 3 Tier")</f>
        <v>Regency Cakestand 3 Tier</v>
      </c>
      <c r="I1328" s="3">
        <v>-1.0</v>
      </c>
      <c r="J1328" s="7">
        <v>40598.40902777778</v>
      </c>
      <c r="K1328" s="8" t="str">
        <f t="shared" si="4"/>
        <v>2011-02</v>
      </c>
      <c r="L1328" s="5">
        <v>12.75</v>
      </c>
      <c r="M1328" s="3">
        <v>17147.0</v>
      </c>
      <c r="N1328" s="1" t="str">
        <f t="shared" si="5"/>
        <v>Registered</v>
      </c>
      <c r="O1328" s="1" t="s">
        <v>19</v>
      </c>
      <c r="P1328" s="9" t="str">
        <f t="shared" si="6"/>
        <v>UK</v>
      </c>
      <c r="Q1328" s="8">
        <f t="shared" si="7"/>
        <v>-12.75</v>
      </c>
    </row>
    <row r="1329">
      <c r="A1329" s="1" t="s">
        <v>850</v>
      </c>
      <c r="B1329" s="1" t="str">
        <f t="shared" si="1"/>
        <v>544829</v>
      </c>
      <c r="C1329" s="1" t="str">
        <f t="shared" si="2"/>
        <v>Return</v>
      </c>
      <c r="D1329" s="1">
        <v>21314.0</v>
      </c>
      <c r="E1329" s="1" t="str">
        <f>IFERROR(__xludf.DUMMYFUNCTION("IF(LEN(D1329)&gt;4, IFERROR(REGEXEXTRACT(TO_TEXT(D1329),""\d+""),""""),"""")"),"21314")</f>
        <v>21314</v>
      </c>
      <c r="F1329" s="6" t="str">
        <f t="shared" si="3"/>
        <v>Product</v>
      </c>
      <c r="G1329" s="1" t="s">
        <v>254</v>
      </c>
      <c r="H1329" s="6" t="str">
        <f>IFERROR(__xludf.DUMMYFUNCTION("IF(REGEXMATCH(LOWER(G1329), ""^(\?)+\s*(missing)?\s*(\?)*$""), """", PROPER(SUBSTITUTE(SUBSTITUTE(G1329, ""?"", """"), ""*"", """")))"),"Small Glass Heart Trinket Pot")</f>
        <v>Small Glass Heart Trinket Pot</v>
      </c>
      <c r="I1329" s="3">
        <v>-1.0</v>
      </c>
      <c r="J1329" s="7">
        <v>40598.41180555556</v>
      </c>
      <c r="K1329" s="8" t="str">
        <f t="shared" si="4"/>
        <v>2011-02</v>
      </c>
      <c r="L1329" s="5">
        <v>2.1</v>
      </c>
      <c r="M1329" s="3">
        <v>17314.0</v>
      </c>
      <c r="N1329" s="1" t="str">
        <f t="shared" si="5"/>
        <v>Registered</v>
      </c>
      <c r="O1329" s="1" t="s">
        <v>19</v>
      </c>
      <c r="P1329" s="9" t="str">
        <f t="shared" si="6"/>
        <v>UK</v>
      </c>
      <c r="Q1329" s="8">
        <f t="shared" si="7"/>
        <v>-2.1</v>
      </c>
    </row>
    <row r="1330">
      <c r="A1330" s="1" t="s">
        <v>850</v>
      </c>
      <c r="B1330" s="1" t="str">
        <f t="shared" si="1"/>
        <v>544829</v>
      </c>
      <c r="C1330" s="1" t="str">
        <f t="shared" si="2"/>
        <v>Return</v>
      </c>
      <c r="D1330" s="1">
        <v>20832.0</v>
      </c>
      <c r="E1330" s="1" t="str">
        <f>IFERROR(__xludf.DUMMYFUNCTION("IF(LEN(D1330)&gt;4, IFERROR(REGEXEXTRACT(TO_TEXT(D1330),""\d+""),""""),"""")"),"20832")</f>
        <v>20832</v>
      </c>
      <c r="F1330" s="6" t="str">
        <f t="shared" si="3"/>
        <v>Product</v>
      </c>
      <c r="G1330" s="1" t="s">
        <v>851</v>
      </c>
      <c r="H1330" s="6" t="str">
        <f>IFERROR(__xludf.DUMMYFUNCTION("IF(REGEXMATCH(LOWER(G1330), ""^(\?)+\s*(missing)?\s*(\?)*$""), """", PROPER(SUBSTITUTE(SUBSTITUTE(G1330, ""?"", """"), ""*"", """")))"),"Red Flock Love Heart Photo Frame")</f>
        <v>Red Flock Love Heart Photo Frame</v>
      </c>
      <c r="I1330" s="3">
        <v>-1.0</v>
      </c>
      <c r="J1330" s="7">
        <v>40598.41180555556</v>
      </c>
      <c r="K1330" s="8" t="str">
        <f t="shared" si="4"/>
        <v>2011-02</v>
      </c>
      <c r="L1330" s="5">
        <v>0.85</v>
      </c>
      <c r="M1330" s="3">
        <v>17314.0</v>
      </c>
      <c r="N1330" s="1" t="str">
        <f t="shared" si="5"/>
        <v>Registered</v>
      </c>
      <c r="O1330" s="1" t="s">
        <v>19</v>
      </c>
      <c r="P1330" s="9" t="str">
        <f t="shared" si="6"/>
        <v>UK</v>
      </c>
      <c r="Q1330" s="8">
        <f t="shared" si="7"/>
        <v>-0.85</v>
      </c>
    </row>
    <row r="1331">
      <c r="A1331" s="1" t="s">
        <v>852</v>
      </c>
      <c r="B1331" s="1" t="str">
        <f t="shared" si="1"/>
        <v>544830</v>
      </c>
      <c r="C1331" s="1" t="str">
        <f t="shared" si="2"/>
        <v>Return</v>
      </c>
      <c r="D1331" s="1">
        <v>22057.0</v>
      </c>
      <c r="E1331" s="1" t="str">
        <f>IFERROR(__xludf.DUMMYFUNCTION("IF(LEN(D1331)&gt;4, IFERROR(REGEXEXTRACT(TO_TEXT(D1331),""\d+""),""""),"""")"),"22057")</f>
        <v>22057</v>
      </c>
      <c r="F1331" s="6" t="str">
        <f t="shared" si="3"/>
        <v>Product</v>
      </c>
      <c r="G1331" s="1" t="s">
        <v>853</v>
      </c>
      <c r="H1331" s="6" t="str">
        <f>IFERROR(__xludf.DUMMYFUNCTION("IF(REGEXMATCH(LOWER(G1331), ""^(\?)+\s*(missing)?\s*(\?)*$""), """", PROPER(SUBSTITUTE(SUBSTITUTE(G1331, ""?"", """"), ""*"", """")))"),"Ceramic Plate Strawberry Design")</f>
        <v>Ceramic Plate Strawberry Design</v>
      </c>
      <c r="I1331" s="3">
        <v>-3.0</v>
      </c>
      <c r="J1331" s="7">
        <v>40598.415972222225</v>
      </c>
      <c r="K1331" s="8" t="str">
        <f t="shared" si="4"/>
        <v>2011-02</v>
      </c>
      <c r="L1331" s="5">
        <v>1.49</v>
      </c>
      <c r="M1331" s="3">
        <v>13118.0</v>
      </c>
      <c r="N1331" s="1" t="str">
        <f t="shared" si="5"/>
        <v>Registered</v>
      </c>
      <c r="O1331" s="1" t="s">
        <v>19</v>
      </c>
      <c r="P1331" s="9" t="str">
        <f t="shared" si="6"/>
        <v>UK</v>
      </c>
      <c r="Q1331" s="8">
        <f t="shared" si="7"/>
        <v>-4.47</v>
      </c>
    </row>
    <row r="1332">
      <c r="A1332" s="1" t="s">
        <v>852</v>
      </c>
      <c r="B1332" s="1" t="str">
        <f t="shared" si="1"/>
        <v>544830</v>
      </c>
      <c r="C1332" s="1" t="str">
        <f t="shared" si="2"/>
        <v>Return</v>
      </c>
      <c r="D1332" s="1">
        <v>22059.0</v>
      </c>
      <c r="E1332" s="1" t="str">
        <f>IFERROR(__xludf.DUMMYFUNCTION("IF(LEN(D1332)&gt;4, IFERROR(REGEXEXTRACT(TO_TEXT(D1332),""\d+""),""""),"""")"),"22059")</f>
        <v>22059</v>
      </c>
      <c r="F1332" s="6" t="str">
        <f t="shared" si="3"/>
        <v>Product</v>
      </c>
      <c r="G1332" s="1" t="s">
        <v>529</v>
      </c>
      <c r="H1332" s="6" t="str">
        <f>IFERROR(__xludf.DUMMYFUNCTION("IF(REGEXMATCH(LOWER(G1332), ""^(\?)+\s*(missing)?\s*(\?)*$""), """", PROPER(SUBSTITUTE(SUBSTITUTE(G1332, ""?"", """"), ""*"", """")))"),"Ceramic Strawberry Design Mug")</f>
        <v>Ceramic Strawberry Design Mug</v>
      </c>
      <c r="I1332" s="3">
        <v>-6.0</v>
      </c>
      <c r="J1332" s="7">
        <v>40598.415972222225</v>
      </c>
      <c r="K1332" s="8" t="str">
        <f t="shared" si="4"/>
        <v>2011-02</v>
      </c>
      <c r="L1332" s="5">
        <v>1.49</v>
      </c>
      <c r="M1332" s="3">
        <v>13118.0</v>
      </c>
      <c r="N1332" s="1" t="str">
        <f t="shared" si="5"/>
        <v>Registered</v>
      </c>
      <c r="O1332" s="1" t="s">
        <v>19</v>
      </c>
      <c r="P1332" s="9" t="str">
        <f t="shared" si="6"/>
        <v>UK</v>
      </c>
      <c r="Q1332" s="8">
        <f t="shared" si="7"/>
        <v>-8.94</v>
      </c>
    </row>
    <row r="1333">
      <c r="A1333" s="1" t="s">
        <v>854</v>
      </c>
      <c r="B1333" s="1" t="str">
        <f t="shared" si="1"/>
        <v>544831</v>
      </c>
      <c r="C1333" s="1" t="str">
        <f t="shared" si="2"/>
        <v>Return</v>
      </c>
      <c r="D1333" s="1">
        <v>22974.0</v>
      </c>
      <c r="E1333" s="1" t="str">
        <f>IFERROR(__xludf.DUMMYFUNCTION("IF(LEN(D1333)&gt;4, IFERROR(REGEXEXTRACT(TO_TEXT(D1333),""\d+""),""""),"""")"),"22974")</f>
        <v>22974</v>
      </c>
      <c r="F1333" s="6" t="str">
        <f t="shared" si="3"/>
        <v>Product</v>
      </c>
      <c r="G1333" s="1" t="s">
        <v>855</v>
      </c>
      <c r="H1333" s="6" t="str">
        <f>IFERROR(__xludf.DUMMYFUNCTION("IF(REGEXMATCH(LOWER(G1333), ""^(\?)+\s*(missing)?\s*(\?)*$""), """", PROPER(SUBSTITUTE(SUBSTITUTE(G1333, ""?"", """"), ""*"", """")))"),"Childrens Dolly Girl Mug")</f>
        <v>Childrens Dolly Girl Mug</v>
      </c>
      <c r="I1333" s="3">
        <v>-2.0</v>
      </c>
      <c r="J1333" s="7">
        <v>40598.41736111111</v>
      </c>
      <c r="K1333" s="8" t="str">
        <f t="shared" si="4"/>
        <v>2011-02</v>
      </c>
      <c r="L1333" s="5">
        <v>1.65</v>
      </c>
      <c r="M1333" s="3">
        <v>15146.0</v>
      </c>
      <c r="N1333" s="1" t="str">
        <f t="shared" si="5"/>
        <v>Registered</v>
      </c>
      <c r="O1333" s="1" t="s">
        <v>19</v>
      </c>
      <c r="P1333" s="9" t="str">
        <f t="shared" si="6"/>
        <v>UK</v>
      </c>
      <c r="Q1333" s="8">
        <f t="shared" si="7"/>
        <v>-3.3</v>
      </c>
    </row>
    <row r="1334">
      <c r="A1334" s="1" t="s">
        <v>854</v>
      </c>
      <c r="B1334" s="1" t="str">
        <f t="shared" si="1"/>
        <v>544831</v>
      </c>
      <c r="C1334" s="1" t="str">
        <f t="shared" si="2"/>
        <v>Return</v>
      </c>
      <c r="D1334" s="1">
        <v>22250.0</v>
      </c>
      <c r="E1334" s="1" t="str">
        <f>IFERROR(__xludf.DUMMYFUNCTION("IF(LEN(D1334)&gt;4, IFERROR(REGEXEXTRACT(TO_TEXT(D1334),""\d+""),""""),"""")"),"22250")</f>
        <v>22250</v>
      </c>
      <c r="F1334" s="6" t="str">
        <f t="shared" si="3"/>
        <v>Product</v>
      </c>
      <c r="G1334" s="1" t="s">
        <v>856</v>
      </c>
      <c r="H1334" s="6" t="str">
        <f>IFERROR(__xludf.DUMMYFUNCTION("IF(REGEXMATCH(LOWER(G1334), ""^(\?)+\s*(missing)?\s*(\?)*$""), """", PROPER(SUBSTITUTE(SUBSTITUTE(G1334, ""?"", """"), ""*"", """")))"),"Decoration Butterfly Magic Garden")</f>
        <v>Decoration Butterfly Magic Garden</v>
      </c>
      <c r="I1334" s="3">
        <v>-4.0</v>
      </c>
      <c r="J1334" s="7">
        <v>40598.41736111111</v>
      </c>
      <c r="K1334" s="8" t="str">
        <f t="shared" si="4"/>
        <v>2011-02</v>
      </c>
      <c r="L1334" s="5">
        <v>0.85</v>
      </c>
      <c r="M1334" s="3">
        <v>15146.0</v>
      </c>
      <c r="N1334" s="1" t="str">
        <f t="shared" si="5"/>
        <v>Registered</v>
      </c>
      <c r="O1334" s="1" t="s">
        <v>19</v>
      </c>
      <c r="P1334" s="9" t="str">
        <f t="shared" si="6"/>
        <v>UK</v>
      </c>
      <c r="Q1334" s="8">
        <f t="shared" si="7"/>
        <v>-3.4</v>
      </c>
    </row>
    <row r="1335">
      <c r="A1335" s="1" t="s">
        <v>854</v>
      </c>
      <c r="B1335" s="1" t="str">
        <f t="shared" si="1"/>
        <v>544831</v>
      </c>
      <c r="C1335" s="1" t="str">
        <f t="shared" si="2"/>
        <v>Return</v>
      </c>
      <c r="D1335" s="1">
        <v>22249.0</v>
      </c>
      <c r="E1335" s="1" t="str">
        <f>IFERROR(__xludf.DUMMYFUNCTION("IF(LEN(D1335)&gt;4, IFERROR(REGEXEXTRACT(TO_TEXT(D1335),""\d+""),""""),"""")"),"22249")</f>
        <v>22249</v>
      </c>
      <c r="F1335" s="6" t="str">
        <f t="shared" si="3"/>
        <v>Product</v>
      </c>
      <c r="G1335" s="1" t="s">
        <v>857</v>
      </c>
      <c r="H1335" s="6" t="str">
        <f>IFERROR(__xludf.DUMMYFUNCTION("IF(REGEXMATCH(LOWER(G1335), ""^(\?)+\s*(missing)?\s*(\?)*$""), """", PROPER(SUBSTITUTE(SUBSTITUTE(G1335, ""?"", """"), ""*"", """")))"),"Decoration White Chick Magic Garden")</f>
        <v>Decoration White Chick Magic Garden</v>
      </c>
      <c r="I1335" s="3">
        <v>-4.0</v>
      </c>
      <c r="J1335" s="7">
        <v>40598.41736111111</v>
      </c>
      <c r="K1335" s="8" t="str">
        <f t="shared" si="4"/>
        <v>2011-02</v>
      </c>
      <c r="L1335" s="5">
        <v>0.85</v>
      </c>
      <c r="M1335" s="3">
        <v>15146.0</v>
      </c>
      <c r="N1335" s="1" t="str">
        <f t="shared" si="5"/>
        <v>Registered</v>
      </c>
      <c r="O1335" s="1" t="s">
        <v>19</v>
      </c>
      <c r="P1335" s="9" t="str">
        <f t="shared" si="6"/>
        <v>UK</v>
      </c>
      <c r="Q1335" s="8">
        <f t="shared" si="7"/>
        <v>-3.4</v>
      </c>
    </row>
    <row r="1336">
      <c r="A1336" s="1" t="s">
        <v>854</v>
      </c>
      <c r="B1336" s="1" t="str">
        <f t="shared" si="1"/>
        <v>544831</v>
      </c>
      <c r="C1336" s="1" t="str">
        <f t="shared" si="2"/>
        <v>Return</v>
      </c>
      <c r="D1336" s="1">
        <v>22248.0</v>
      </c>
      <c r="E1336" s="1" t="str">
        <f>IFERROR(__xludf.DUMMYFUNCTION("IF(LEN(D1336)&gt;4, IFERROR(REGEXEXTRACT(TO_TEXT(D1336),""\d+""),""""),"""")"),"22248")</f>
        <v>22248</v>
      </c>
      <c r="F1336" s="6" t="str">
        <f t="shared" si="3"/>
        <v>Product</v>
      </c>
      <c r="G1336" s="1" t="s">
        <v>858</v>
      </c>
      <c r="H1336" s="6" t="str">
        <f>IFERROR(__xludf.DUMMYFUNCTION("IF(REGEXMATCH(LOWER(G1336), ""^(\?)+\s*(missing)?\s*(\?)*$""), """", PROPER(SUBSTITUTE(SUBSTITUTE(G1336, ""?"", """"), ""*"", """")))"),"Decoration Pink Chick Magic Garden")</f>
        <v>Decoration Pink Chick Magic Garden</v>
      </c>
      <c r="I1336" s="3">
        <v>-4.0</v>
      </c>
      <c r="J1336" s="7">
        <v>40598.41736111111</v>
      </c>
      <c r="K1336" s="8" t="str">
        <f t="shared" si="4"/>
        <v>2011-02</v>
      </c>
      <c r="L1336" s="5">
        <v>0.85</v>
      </c>
      <c r="M1336" s="3">
        <v>15146.0</v>
      </c>
      <c r="N1336" s="1" t="str">
        <f t="shared" si="5"/>
        <v>Registered</v>
      </c>
      <c r="O1336" s="1" t="s">
        <v>19</v>
      </c>
      <c r="P1336" s="9" t="str">
        <f t="shared" si="6"/>
        <v>UK</v>
      </c>
      <c r="Q1336" s="8">
        <f t="shared" si="7"/>
        <v>-3.4</v>
      </c>
    </row>
    <row r="1337">
      <c r="A1337" s="1">
        <v>544833.0</v>
      </c>
      <c r="B1337" s="1" t="str">
        <f t="shared" si="1"/>
        <v>544833</v>
      </c>
      <c r="C1337" s="1" t="str">
        <f t="shared" si="2"/>
        <v>Sale</v>
      </c>
      <c r="D1337" s="1">
        <v>22139.0</v>
      </c>
      <c r="E1337" s="1" t="str">
        <f>IFERROR(__xludf.DUMMYFUNCTION("IF(LEN(D1337)&gt;4, IFERROR(REGEXEXTRACT(TO_TEXT(D1337),""\d+""),""""),"""")"),"22139")</f>
        <v>22139</v>
      </c>
      <c r="F1337" s="6" t="str">
        <f t="shared" si="3"/>
        <v>Product</v>
      </c>
      <c r="G1337" s="1" t="s">
        <v>110</v>
      </c>
      <c r="H1337" s="6" t="str">
        <f>IFERROR(__xludf.DUMMYFUNCTION("IF(REGEXMATCH(LOWER(G1337), ""^(\?)+\s*(missing)?\s*(\?)*$""), """", PROPER(SUBSTITUTE(SUBSTITUTE(G1337, ""?"", """"), ""*"", """")))"),"Retrospot Tea Set Ceramic 11 Pc")</f>
        <v>Retrospot Tea Set Ceramic 11 Pc</v>
      </c>
      <c r="I1337" s="3">
        <v>3.0</v>
      </c>
      <c r="J1337" s="7">
        <v>40598.42361111111</v>
      </c>
      <c r="K1337" s="8" t="str">
        <f t="shared" si="4"/>
        <v>2011-02</v>
      </c>
      <c r="L1337" s="5">
        <v>4.95</v>
      </c>
      <c r="M1337" s="3">
        <v>15974.0</v>
      </c>
      <c r="N1337" s="1" t="str">
        <f t="shared" si="5"/>
        <v>Registered</v>
      </c>
      <c r="O1337" s="1" t="s">
        <v>19</v>
      </c>
      <c r="P1337" s="9" t="str">
        <f t="shared" si="6"/>
        <v>UK</v>
      </c>
      <c r="Q1337" s="8">
        <f t="shared" si="7"/>
        <v>14.85</v>
      </c>
    </row>
    <row r="1338">
      <c r="A1338" s="1">
        <v>544833.0</v>
      </c>
      <c r="B1338" s="1" t="str">
        <f t="shared" si="1"/>
        <v>544833</v>
      </c>
      <c r="C1338" s="1" t="str">
        <f t="shared" si="2"/>
        <v>Sale</v>
      </c>
      <c r="D1338" s="1">
        <v>21982.0</v>
      </c>
      <c r="E1338" s="1" t="str">
        <f>IFERROR(__xludf.DUMMYFUNCTION("IF(LEN(D1338)&gt;4, IFERROR(REGEXEXTRACT(TO_TEXT(D1338),""\d+""),""""),"""")"),"21982")</f>
        <v>21982</v>
      </c>
      <c r="F1338" s="6" t="str">
        <f t="shared" si="3"/>
        <v>Product</v>
      </c>
      <c r="G1338" s="1" t="s">
        <v>859</v>
      </c>
      <c r="H1338" s="6" t="str">
        <f>IFERROR(__xludf.DUMMYFUNCTION("IF(REGEXMATCH(LOWER(G1338), ""^(\?)+\s*(missing)?\s*(\?)*$""), """", PROPER(SUBSTITUTE(SUBSTITUTE(G1338, ""?"", """"), ""*"", """")))"),"Pack Of 12 Suki Tissues")</f>
        <v>Pack Of 12 Suki Tissues</v>
      </c>
      <c r="I1338" s="3">
        <v>24.0</v>
      </c>
      <c r="J1338" s="7">
        <v>40598.42361111111</v>
      </c>
      <c r="K1338" s="8" t="str">
        <f t="shared" si="4"/>
        <v>2011-02</v>
      </c>
      <c r="L1338" s="5">
        <v>0.29</v>
      </c>
      <c r="M1338" s="3">
        <v>15974.0</v>
      </c>
      <c r="N1338" s="1" t="str">
        <f t="shared" si="5"/>
        <v>Registered</v>
      </c>
      <c r="O1338" s="1" t="s">
        <v>19</v>
      </c>
      <c r="P1338" s="9" t="str">
        <f t="shared" si="6"/>
        <v>UK</v>
      </c>
      <c r="Q1338" s="8">
        <f t="shared" si="7"/>
        <v>6.96</v>
      </c>
    </row>
    <row r="1339">
      <c r="A1339" s="1">
        <v>544833.0</v>
      </c>
      <c r="B1339" s="1" t="str">
        <f t="shared" si="1"/>
        <v>544833</v>
      </c>
      <c r="C1339" s="1" t="str">
        <f t="shared" si="2"/>
        <v>Sale</v>
      </c>
      <c r="D1339" s="1">
        <v>21984.0</v>
      </c>
      <c r="E1339" s="1" t="str">
        <f>IFERROR(__xludf.DUMMYFUNCTION("IF(LEN(D1339)&gt;4, IFERROR(REGEXEXTRACT(TO_TEXT(D1339),""\d+""),""""),"""")"),"21984")</f>
        <v>21984</v>
      </c>
      <c r="F1339" s="6" t="str">
        <f t="shared" si="3"/>
        <v>Product</v>
      </c>
      <c r="G1339" s="1" t="s">
        <v>229</v>
      </c>
      <c r="H1339" s="6" t="str">
        <f>IFERROR(__xludf.DUMMYFUNCTION("IF(REGEXMATCH(LOWER(G1339), ""^(\?)+\s*(missing)?\s*(\?)*$""), """", PROPER(SUBSTITUTE(SUBSTITUTE(G1339, ""?"", """"), ""*"", """")))"),"Pack Of 12 Pink Paisley Tissues")</f>
        <v>Pack Of 12 Pink Paisley Tissues</v>
      </c>
      <c r="I1339" s="3">
        <v>24.0</v>
      </c>
      <c r="J1339" s="7">
        <v>40598.42361111111</v>
      </c>
      <c r="K1339" s="8" t="str">
        <f t="shared" si="4"/>
        <v>2011-02</v>
      </c>
      <c r="L1339" s="5">
        <v>0.29</v>
      </c>
      <c r="M1339" s="3">
        <v>15974.0</v>
      </c>
      <c r="N1339" s="1" t="str">
        <f t="shared" si="5"/>
        <v>Registered</v>
      </c>
      <c r="O1339" s="1" t="s">
        <v>19</v>
      </c>
      <c r="P1339" s="9" t="str">
        <f t="shared" si="6"/>
        <v>UK</v>
      </c>
      <c r="Q1339" s="8">
        <f t="shared" si="7"/>
        <v>6.96</v>
      </c>
    </row>
    <row r="1340">
      <c r="A1340" s="1">
        <v>544833.0</v>
      </c>
      <c r="B1340" s="1" t="str">
        <f t="shared" si="1"/>
        <v>544833</v>
      </c>
      <c r="C1340" s="1" t="str">
        <f t="shared" si="2"/>
        <v>Sale</v>
      </c>
      <c r="D1340" s="1">
        <v>21983.0</v>
      </c>
      <c r="E1340" s="1" t="str">
        <f>IFERROR(__xludf.DUMMYFUNCTION("IF(LEN(D1340)&gt;4, IFERROR(REGEXEXTRACT(TO_TEXT(D1340),""\d+""),""""),"""")"),"21983")</f>
        <v>21983</v>
      </c>
      <c r="F1340" s="6" t="str">
        <f t="shared" si="3"/>
        <v>Product</v>
      </c>
      <c r="G1340" s="1" t="s">
        <v>230</v>
      </c>
      <c r="H1340" s="6" t="str">
        <f>IFERROR(__xludf.DUMMYFUNCTION("IF(REGEXMATCH(LOWER(G1340), ""^(\?)+\s*(missing)?\s*(\?)*$""), """", PROPER(SUBSTITUTE(SUBSTITUTE(G1340, ""?"", """"), ""*"", """")))"),"Pack Of 12 Blue Paisley Tissues")</f>
        <v>Pack Of 12 Blue Paisley Tissues</v>
      </c>
      <c r="I1340" s="3">
        <v>24.0</v>
      </c>
      <c r="J1340" s="7">
        <v>40598.42361111111</v>
      </c>
      <c r="K1340" s="8" t="str">
        <f t="shared" si="4"/>
        <v>2011-02</v>
      </c>
      <c r="L1340" s="5">
        <v>0.29</v>
      </c>
      <c r="M1340" s="3">
        <v>15974.0</v>
      </c>
      <c r="N1340" s="1" t="str">
        <f t="shared" si="5"/>
        <v>Registered</v>
      </c>
      <c r="O1340" s="1" t="s">
        <v>19</v>
      </c>
      <c r="P1340" s="9" t="str">
        <f t="shared" si="6"/>
        <v>UK</v>
      </c>
      <c r="Q1340" s="8">
        <f t="shared" si="7"/>
        <v>6.96</v>
      </c>
    </row>
    <row r="1341">
      <c r="A1341" s="1">
        <v>544833.0</v>
      </c>
      <c r="B1341" s="1" t="str">
        <f t="shared" si="1"/>
        <v>544833</v>
      </c>
      <c r="C1341" s="1" t="str">
        <f t="shared" si="2"/>
        <v>Sale</v>
      </c>
      <c r="D1341" s="1" t="s">
        <v>201</v>
      </c>
      <c r="E1341" s="1" t="str">
        <f>IFERROR(__xludf.DUMMYFUNCTION("IF(LEN(D1341)&gt;4, IFERROR(REGEXEXTRACT(TO_TEXT(D1341),""\d+""),""""),"""")"),"85014")</f>
        <v>85014</v>
      </c>
      <c r="F1341" s="6" t="str">
        <f t="shared" si="3"/>
        <v>Product</v>
      </c>
      <c r="G1341" s="1" t="s">
        <v>202</v>
      </c>
      <c r="H1341" s="6" t="str">
        <f>IFERROR(__xludf.DUMMYFUNCTION("IF(REGEXMATCH(LOWER(G1341), ""^(\?)+\s*(missing)?\s*(\?)*$""), """", PROPER(SUBSTITUTE(SUBSTITUTE(G1341, ""?"", """"), ""*"", """")))"),"Red Retrospot Umbrella")</f>
        <v>Red Retrospot Umbrella</v>
      </c>
      <c r="I1341" s="3">
        <v>3.0</v>
      </c>
      <c r="J1341" s="7">
        <v>40598.42361111111</v>
      </c>
      <c r="K1341" s="8" t="str">
        <f t="shared" si="4"/>
        <v>2011-02</v>
      </c>
      <c r="L1341" s="5">
        <v>5.95</v>
      </c>
      <c r="M1341" s="3">
        <v>15974.0</v>
      </c>
      <c r="N1341" s="1" t="str">
        <f t="shared" si="5"/>
        <v>Registered</v>
      </c>
      <c r="O1341" s="1" t="s">
        <v>19</v>
      </c>
      <c r="P1341" s="9" t="str">
        <f t="shared" si="6"/>
        <v>UK</v>
      </c>
      <c r="Q1341" s="8">
        <f t="shared" si="7"/>
        <v>17.85</v>
      </c>
    </row>
    <row r="1342">
      <c r="A1342" s="1">
        <v>544833.0</v>
      </c>
      <c r="B1342" s="1" t="str">
        <f t="shared" si="1"/>
        <v>544833</v>
      </c>
      <c r="C1342" s="1" t="str">
        <f t="shared" si="2"/>
        <v>Sale</v>
      </c>
      <c r="D1342" s="1" t="s">
        <v>860</v>
      </c>
      <c r="E1342" s="1" t="str">
        <f>IFERROR(__xludf.DUMMYFUNCTION("IF(LEN(D1342)&gt;4, IFERROR(REGEXEXTRACT(TO_TEXT(D1342),""\d+""),""""),"""")"),"15056")</f>
        <v>15056</v>
      </c>
      <c r="F1342" s="6" t="str">
        <f t="shared" si="3"/>
        <v>Product</v>
      </c>
      <c r="G1342" s="1" t="s">
        <v>861</v>
      </c>
      <c r="H1342" s="6" t="str">
        <f>IFERROR(__xludf.DUMMYFUNCTION("IF(REGEXMATCH(LOWER(G1342), ""^(\?)+\s*(missing)?\s*(\?)*$""), """", PROPER(SUBSTITUTE(SUBSTITUTE(G1342, ""?"", """"), ""*"", """")))"),"Edwardian Parasol Pink")</f>
        <v>Edwardian Parasol Pink</v>
      </c>
      <c r="I1342" s="3">
        <v>3.0</v>
      </c>
      <c r="J1342" s="7">
        <v>40598.42361111111</v>
      </c>
      <c r="K1342" s="8" t="str">
        <f t="shared" si="4"/>
        <v>2011-02</v>
      </c>
      <c r="L1342" s="5">
        <v>5.95</v>
      </c>
      <c r="M1342" s="3">
        <v>15974.0</v>
      </c>
      <c r="N1342" s="1" t="str">
        <f t="shared" si="5"/>
        <v>Registered</v>
      </c>
      <c r="O1342" s="1" t="s">
        <v>19</v>
      </c>
      <c r="P1342" s="9" t="str">
        <f t="shared" si="6"/>
        <v>UK</v>
      </c>
      <c r="Q1342" s="8">
        <f t="shared" si="7"/>
        <v>17.85</v>
      </c>
    </row>
    <row r="1343">
      <c r="A1343" s="1">
        <v>544833.0</v>
      </c>
      <c r="B1343" s="1" t="str">
        <f t="shared" si="1"/>
        <v>544833</v>
      </c>
      <c r="C1343" s="1" t="str">
        <f t="shared" si="2"/>
        <v>Sale</v>
      </c>
      <c r="D1343" s="1" t="s">
        <v>139</v>
      </c>
      <c r="E1343" s="1" t="str">
        <f>IFERROR(__xludf.DUMMYFUNCTION("IF(LEN(D1343)&gt;4, IFERROR(REGEXEXTRACT(TO_TEXT(D1343),""\d+""),""""),"""")"),"15056")</f>
        <v>15056</v>
      </c>
      <c r="F1343" s="6" t="str">
        <f t="shared" si="3"/>
        <v>Product</v>
      </c>
      <c r="G1343" s="1" t="s">
        <v>140</v>
      </c>
      <c r="H1343" s="6" t="str">
        <f>IFERROR(__xludf.DUMMYFUNCTION("IF(REGEXMATCH(LOWER(G1343), ""^(\?)+\s*(missing)?\s*(\?)*$""), """", PROPER(SUBSTITUTE(SUBSTITUTE(G1343, ""?"", """"), ""*"", """")))"),"Edwardian Parasol Natural")</f>
        <v>Edwardian Parasol Natural</v>
      </c>
      <c r="I1343" s="3">
        <v>3.0</v>
      </c>
      <c r="J1343" s="7">
        <v>40598.42361111111</v>
      </c>
      <c r="K1343" s="8" t="str">
        <f t="shared" si="4"/>
        <v>2011-02</v>
      </c>
      <c r="L1343" s="5">
        <v>5.95</v>
      </c>
      <c r="M1343" s="3">
        <v>15974.0</v>
      </c>
      <c r="N1343" s="1" t="str">
        <f t="shared" si="5"/>
        <v>Registered</v>
      </c>
      <c r="O1343" s="1" t="s">
        <v>19</v>
      </c>
      <c r="P1343" s="9" t="str">
        <f t="shared" si="6"/>
        <v>UK</v>
      </c>
      <c r="Q1343" s="8">
        <f t="shared" si="7"/>
        <v>17.85</v>
      </c>
    </row>
    <row r="1344">
      <c r="A1344" s="1">
        <v>544833.0</v>
      </c>
      <c r="B1344" s="1" t="str">
        <f t="shared" si="1"/>
        <v>544833</v>
      </c>
      <c r="C1344" s="1" t="str">
        <f t="shared" si="2"/>
        <v>Sale</v>
      </c>
      <c r="D1344" s="1">
        <v>22699.0</v>
      </c>
      <c r="E1344" s="1" t="str">
        <f>IFERROR(__xludf.DUMMYFUNCTION("IF(LEN(D1344)&gt;4, IFERROR(REGEXEXTRACT(TO_TEXT(D1344),""\d+""),""""),"""")"),"22699")</f>
        <v>22699</v>
      </c>
      <c r="F1344" s="6" t="str">
        <f t="shared" si="3"/>
        <v>Product</v>
      </c>
      <c r="G1344" s="1" t="s">
        <v>684</v>
      </c>
      <c r="H1344" s="6" t="str">
        <f>IFERROR(__xludf.DUMMYFUNCTION("IF(REGEXMATCH(LOWER(G1344), ""^(\?)+\s*(missing)?\s*(\?)*$""), """", PROPER(SUBSTITUTE(SUBSTITUTE(G1344, ""?"", """"), ""*"", """")))"),"Roses Regency Teacup And Saucer")</f>
        <v>Roses Regency Teacup And Saucer</v>
      </c>
      <c r="I1344" s="3">
        <v>6.0</v>
      </c>
      <c r="J1344" s="7">
        <v>40598.42361111111</v>
      </c>
      <c r="K1344" s="8" t="str">
        <f t="shared" si="4"/>
        <v>2011-02</v>
      </c>
      <c r="L1344" s="5">
        <v>2.95</v>
      </c>
      <c r="M1344" s="3">
        <v>15974.0</v>
      </c>
      <c r="N1344" s="1" t="str">
        <f t="shared" si="5"/>
        <v>Registered</v>
      </c>
      <c r="O1344" s="1" t="s">
        <v>19</v>
      </c>
      <c r="P1344" s="9" t="str">
        <f t="shared" si="6"/>
        <v>UK</v>
      </c>
      <c r="Q1344" s="8">
        <f t="shared" si="7"/>
        <v>17.7</v>
      </c>
    </row>
    <row r="1345">
      <c r="A1345" s="1">
        <v>544833.0</v>
      </c>
      <c r="B1345" s="1" t="str">
        <f t="shared" si="1"/>
        <v>544833</v>
      </c>
      <c r="C1345" s="1" t="str">
        <f t="shared" si="2"/>
        <v>Sale</v>
      </c>
      <c r="D1345" s="1">
        <v>22698.0</v>
      </c>
      <c r="E1345" s="1" t="str">
        <f>IFERROR(__xludf.DUMMYFUNCTION("IF(LEN(D1345)&gt;4, IFERROR(REGEXEXTRACT(TO_TEXT(D1345),""\d+""),""""),"""")"),"22698")</f>
        <v>22698</v>
      </c>
      <c r="F1345" s="6" t="str">
        <f t="shared" si="3"/>
        <v>Product</v>
      </c>
      <c r="G1345" s="1" t="s">
        <v>683</v>
      </c>
      <c r="H1345" s="6" t="str">
        <f>IFERROR(__xludf.DUMMYFUNCTION("IF(REGEXMATCH(LOWER(G1345), ""^(\?)+\s*(missing)?\s*(\?)*$""), """", PROPER(SUBSTITUTE(SUBSTITUTE(G1345, ""?"", """"), ""*"", """")))"),"Pink Regency Teacup And Saucer")</f>
        <v>Pink Regency Teacup And Saucer</v>
      </c>
      <c r="I1345" s="3">
        <v>6.0</v>
      </c>
      <c r="J1345" s="7">
        <v>40598.42361111111</v>
      </c>
      <c r="K1345" s="8" t="str">
        <f t="shared" si="4"/>
        <v>2011-02</v>
      </c>
      <c r="L1345" s="5">
        <v>2.95</v>
      </c>
      <c r="M1345" s="3">
        <v>15974.0</v>
      </c>
      <c r="N1345" s="1" t="str">
        <f t="shared" si="5"/>
        <v>Registered</v>
      </c>
      <c r="O1345" s="1" t="s">
        <v>19</v>
      </c>
      <c r="P1345" s="9" t="str">
        <f t="shared" si="6"/>
        <v>UK</v>
      </c>
      <c r="Q1345" s="8">
        <f t="shared" si="7"/>
        <v>17.7</v>
      </c>
    </row>
    <row r="1346">
      <c r="A1346" s="1">
        <v>544833.0</v>
      </c>
      <c r="B1346" s="1" t="str">
        <f t="shared" si="1"/>
        <v>544833</v>
      </c>
      <c r="C1346" s="1" t="str">
        <f t="shared" si="2"/>
        <v>Sale</v>
      </c>
      <c r="D1346" s="1">
        <v>22697.0</v>
      </c>
      <c r="E1346" s="1" t="str">
        <f>IFERROR(__xludf.DUMMYFUNCTION("IF(LEN(D1346)&gt;4, IFERROR(REGEXEXTRACT(TO_TEXT(D1346),""\d+""),""""),"""")"),"22697")</f>
        <v>22697</v>
      </c>
      <c r="F1346" s="6" t="str">
        <f t="shared" si="3"/>
        <v>Product</v>
      </c>
      <c r="G1346" s="1" t="s">
        <v>682</v>
      </c>
      <c r="H1346" s="6" t="str">
        <f>IFERROR(__xludf.DUMMYFUNCTION("IF(REGEXMATCH(LOWER(G1346), ""^(\?)+\s*(missing)?\s*(\?)*$""), """", PROPER(SUBSTITUTE(SUBSTITUTE(G1346, ""?"", """"), ""*"", """")))"),"Green Regency Teacup And Saucer")</f>
        <v>Green Regency Teacup And Saucer</v>
      </c>
      <c r="I1346" s="3">
        <v>6.0</v>
      </c>
      <c r="J1346" s="7">
        <v>40598.42361111111</v>
      </c>
      <c r="K1346" s="8" t="str">
        <f t="shared" si="4"/>
        <v>2011-02</v>
      </c>
      <c r="L1346" s="5">
        <v>2.95</v>
      </c>
      <c r="M1346" s="3">
        <v>15974.0</v>
      </c>
      <c r="N1346" s="1" t="str">
        <f t="shared" si="5"/>
        <v>Registered</v>
      </c>
      <c r="O1346" s="1" t="s">
        <v>19</v>
      </c>
      <c r="P1346" s="9" t="str">
        <f t="shared" si="6"/>
        <v>UK</v>
      </c>
      <c r="Q1346" s="8">
        <f t="shared" si="7"/>
        <v>17.7</v>
      </c>
    </row>
    <row r="1347">
      <c r="A1347" s="1">
        <v>544833.0</v>
      </c>
      <c r="B1347" s="1" t="str">
        <f t="shared" si="1"/>
        <v>544833</v>
      </c>
      <c r="C1347" s="1" t="str">
        <f t="shared" si="2"/>
        <v>Sale</v>
      </c>
      <c r="D1347" s="1">
        <v>22423.0</v>
      </c>
      <c r="E1347" s="1" t="str">
        <f>IFERROR(__xludf.DUMMYFUNCTION("IF(LEN(D1347)&gt;4, IFERROR(REGEXEXTRACT(TO_TEXT(D1347),""\d+""),""""),"""")"),"22423")</f>
        <v>22423</v>
      </c>
      <c r="F1347" s="6" t="str">
        <f t="shared" si="3"/>
        <v>Product</v>
      </c>
      <c r="G1347" s="1" t="s">
        <v>619</v>
      </c>
      <c r="H1347" s="6" t="str">
        <f>IFERROR(__xludf.DUMMYFUNCTION("IF(REGEXMATCH(LOWER(G1347), ""^(\?)+\s*(missing)?\s*(\?)*$""), """", PROPER(SUBSTITUTE(SUBSTITUTE(G1347, ""?"", """"), ""*"", """")))"),"Regency Cakestand 3 Tier")</f>
        <v>Regency Cakestand 3 Tier</v>
      </c>
      <c r="I1347" s="3">
        <v>16.0</v>
      </c>
      <c r="J1347" s="7">
        <v>40598.42361111111</v>
      </c>
      <c r="K1347" s="8" t="str">
        <f t="shared" si="4"/>
        <v>2011-02</v>
      </c>
      <c r="L1347" s="5">
        <v>10.95</v>
      </c>
      <c r="M1347" s="3">
        <v>15974.0</v>
      </c>
      <c r="N1347" s="1" t="str">
        <f t="shared" si="5"/>
        <v>Registered</v>
      </c>
      <c r="O1347" s="1" t="s">
        <v>19</v>
      </c>
      <c r="P1347" s="9" t="str">
        <f t="shared" si="6"/>
        <v>UK</v>
      </c>
      <c r="Q1347" s="8">
        <f t="shared" si="7"/>
        <v>175.2</v>
      </c>
    </row>
    <row r="1348">
      <c r="A1348" s="1">
        <v>544833.0</v>
      </c>
      <c r="B1348" s="1" t="str">
        <f t="shared" si="1"/>
        <v>544833</v>
      </c>
      <c r="C1348" s="1" t="str">
        <f t="shared" si="2"/>
        <v>Sale</v>
      </c>
      <c r="D1348" s="1">
        <v>84988.0</v>
      </c>
      <c r="E1348" s="1" t="str">
        <f>IFERROR(__xludf.DUMMYFUNCTION("IF(LEN(D1348)&gt;4, IFERROR(REGEXEXTRACT(TO_TEXT(D1348),""\d+""),""""),"""")"),"84988")</f>
        <v>84988</v>
      </c>
      <c r="F1348" s="6" t="str">
        <f t="shared" si="3"/>
        <v>Product</v>
      </c>
      <c r="G1348" s="1" t="s">
        <v>747</v>
      </c>
      <c r="H1348" s="6" t="str">
        <f>IFERROR(__xludf.DUMMYFUNCTION("IF(REGEXMATCH(LOWER(G1348), ""^(\?)+\s*(missing)?\s*(\?)*$""), """", PROPER(SUBSTITUTE(SUBSTITUTE(G1348, ""?"", """"), ""*"", """")))"),"Set Of 72 Pink Heart Paper Doilies")</f>
        <v>Set Of 72 Pink Heart Paper Doilies</v>
      </c>
      <c r="I1348" s="3">
        <v>12.0</v>
      </c>
      <c r="J1348" s="7">
        <v>40598.42361111111</v>
      </c>
      <c r="K1348" s="8" t="str">
        <f t="shared" si="4"/>
        <v>2011-02</v>
      </c>
      <c r="L1348" s="5">
        <v>1.45</v>
      </c>
      <c r="M1348" s="3">
        <v>15974.0</v>
      </c>
      <c r="N1348" s="1" t="str">
        <f t="shared" si="5"/>
        <v>Registered</v>
      </c>
      <c r="O1348" s="1" t="s">
        <v>19</v>
      </c>
      <c r="P1348" s="9" t="str">
        <f t="shared" si="6"/>
        <v>UK</v>
      </c>
      <c r="Q1348" s="8">
        <f t="shared" si="7"/>
        <v>17.4</v>
      </c>
    </row>
    <row r="1349">
      <c r="A1349" s="1">
        <v>544833.0</v>
      </c>
      <c r="B1349" s="1" t="str">
        <f t="shared" si="1"/>
        <v>544833</v>
      </c>
      <c r="C1349" s="1" t="str">
        <f t="shared" si="2"/>
        <v>Sale</v>
      </c>
      <c r="D1349" s="1">
        <v>21974.0</v>
      </c>
      <c r="E1349" s="1" t="str">
        <f>IFERROR(__xludf.DUMMYFUNCTION("IF(LEN(D1349)&gt;4, IFERROR(REGEXEXTRACT(TO_TEXT(D1349),""\d+""),""""),"""")"),"21974")</f>
        <v>21974</v>
      </c>
      <c r="F1349" s="6" t="str">
        <f t="shared" si="3"/>
        <v>Product</v>
      </c>
      <c r="G1349" s="1" t="s">
        <v>862</v>
      </c>
      <c r="H1349" s="6" t="str">
        <f>IFERROR(__xludf.DUMMYFUNCTION("IF(REGEXMATCH(LOWER(G1349), ""^(\?)+\s*(missing)?\s*(\?)*$""), """", PROPER(SUBSTITUTE(SUBSTITUTE(G1349, ""?"", """"), ""*"", """")))"),"Set Of 36 Paisley Flower Doilies")</f>
        <v>Set Of 36 Paisley Flower Doilies</v>
      </c>
      <c r="I1349" s="3">
        <v>12.0</v>
      </c>
      <c r="J1349" s="7">
        <v>40598.42361111111</v>
      </c>
      <c r="K1349" s="8" t="str">
        <f t="shared" si="4"/>
        <v>2011-02</v>
      </c>
      <c r="L1349" s="5">
        <v>1.45</v>
      </c>
      <c r="M1349" s="3">
        <v>15974.0</v>
      </c>
      <c r="N1349" s="1" t="str">
        <f t="shared" si="5"/>
        <v>Registered</v>
      </c>
      <c r="O1349" s="1" t="s">
        <v>19</v>
      </c>
      <c r="P1349" s="9" t="str">
        <f t="shared" si="6"/>
        <v>UK</v>
      </c>
      <c r="Q1349" s="8">
        <f t="shared" si="7"/>
        <v>17.4</v>
      </c>
    </row>
    <row r="1350">
      <c r="A1350" s="1">
        <v>544833.0</v>
      </c>
      <c r="B1350" s="1" t="str">
        <f t="shared" si="1"/>
        <v>544833</v>
      </c>
      <c r="C1350" s="1" t="str">
        <f t="shared" si="2"/>
        <v>Sale</v>
      </c>
      <c r="D1350" s="1">
        <v>79000.0</v>
      </c>
      <c r="E1350" s="1" t="str">
        <f>IFERROR(__xludf.DUMMYFUNCTION("IF(LEN(D1350)&gt;4, IFERROR(REGEXEXTRACT(TO_TEXT(D1350),""\d+""),""""),"""")"),"79000")</f>
        <v>79000</v>
      </c>
      <c r="F1350" s="6" t="str">
        <f t="shared" si="3"/>
        <v>Product</v>
      </c>
      <c r="G1350" s="1" t="s">
        <v>863</v>
      </c>
      <c r="H1350" s="6" t="str">
        <f>IFERROR(__xludf.DUMMYFUNCTION("IF(REGEXMATCH(LOWER(G1350), ""^(\?)+\s*(missing)?\s*(\?)*$""), """", PROPER(SUBSTITUTE(SUBSTITUTE(G1350, ""?"", """"), ""*"", """")))"),"Moroccan Tea Glass")</f>
        <v>Moroccan Tea Glass</v>
      </c>
      <c r="I1350" s="3">
        <v>12.0</v>
      </c>
      <c r="J1350" s="7">
        <v>40598.42361111111</v>
      </c>
      <c r="K1350" s="8" t="str">
        <f t="shared" si="4"/>
        <v>2011-02</v>
      </c>
      <c r="L1350" s="5">
        <v>0.85</v>
      </c>
      <c r="M1350" s="3">
        <v>15974.0</v>
      </c>
      <c r="N1350" s="1" t="str">
        <f t="shared" si="5"/>
        <v>Registered</v>
      </c>
      <c r="O1350" s="1" t="s">
        <v>19</v>
      </c>
      <c r="P1350" s="9" t="str">
        <f t="shared" si="6"/>
        <v>UK</v>
      </c>
      <c r="Q1350" s="8">
        <f t="shared" si="7"/>
        <v>10.2</v>
      </c>
    </row>
    <row r="1351">
      <c r="A1351" s="1">
        <v>544833.0</v>
      </c>
      <c r="B1351" s="1" t="str">
        <f t="shared" si="1"/>
        <v>544833</v>
      </c>
      <c r="C1351" s="1" t="str">
        <f t="shared" si="2"/>
        <v>Sale</v>
      </c>
      <c r="D1351" s="1">
        <v>22402.0</v>
      </c>
      <c r="E1351" s="1" t="str">
        <f>IFERROR(__xludf.DUMMYFUNCTION("IF(LEN(D1351)&gt;4, IFERROR(REGEXEXTRACT(TO_TEXT(D1351),""\d+""),""""),"""")"),"22402")</f>
        <v>22402</v>
      </c>
      <c r="F1351" s="6" t="str">
        <f t="shared" si="3"/>
        <v>Product</v>
      </c>
      <c r="G1351" s="1" t="s">
        <v>864</v>
      </c>
      <c r="H1351" s="6" t="str">
        <f>IFERROR(__xludf.DUMMYFUNCTION("IF(REGEXMATCH(LOWER(G1351), ""^(\?)+\s*(missing)?\s*(\?)*$""), """", PROPER(SUBSTITUTE(SUBSTITUTE(G1351, ""?"", """"), ""*"", """")))"),"Magnets Pack Of 4 Vintage Collage")</f>
        <v>Magnets Pack Of 4 Vintage Collage</v>
      </c>
      <c r="I1351" s="3">
        <v>12.0</v>
      </c>
      <c r="J1351" s="7">
        <v>40598.42361111111</v>
      </c>
      <c r="K1351" s="8" t="str">
        <f t="shared" si="4"/>
        <v>2011-02</v>
      </c>
      <c r="L1351" s="5">
        <v>1.25</v>
      </c>
      <c r="M1351" s="3">
        <v>15974.0</v>
      </c>
      <c r="N1351" s="1" t="str">
        <f t="shared" si="5"/>
        <v>Registered</v>
      </c>
      <c r="O1351" s="1" t="s">
        <v>19</v>
      </c>
      <c r="P1351" s="9" t="str">
        <f t="shared" si="6"/>
        <v>UK</v>
      </c>
      <c r="Q1351" s="8">
        <f t="shared" si="7"/>
        <v>15</v>
      </c>
    </row>
    <row r="1352">
      <c r="A1352" s="1">
        <v>544833.0</v>
      </c>
      <c r="B1352" s="1" t="str">
        <f t="shared" si="1"/>
        <v>544833</v>
      </c>
      <c r="C1352" s="1" t="str">
        <f t="shared" si="2"/>
        <v>Sale</v>
      </c>
      <c r="D1352" s="1">
        <v>21135.0</v>
      </c>
      <c r="E1352" s="1" t="str">
        <f>IFERROR(__xludf.DUMMYFUNCTION("IF(LEN(D1352)&gt;4, IFERROR(REGEXEXTRACT(TO_TEXT(D1352),""\d+""),""""),"""")"),"21135")</f>
        <v>21135</v>
      </c>
      <c r="F1352" s="6" t="str">
        <f t="shared" si="3"/>
        <v>Product</v>
      </c>
      <c r="G1352" s="1" t="s">
        <v>865</v>
      </c>
      <c r="H1352" s="6" t="str">
        <f>IFERROR(__xludf.DUMMYFUNCTION("IF(REGEXMATCH(LOWER(G1352), ""^(\?)+\s*(missing)?\s*(\?)*$""), """", PROPER(SUBSTITUTE(SUBSTITUTE(G1352, ""?"", """"), ""*"", """")))"),"Victorian Metal Postcard Spring")</f>
        <v>Victorian Metal Postcard Spring</v>
      </c>
      <c r="I1352" s="3">
        <v>8.0</v>
      </c>
      <c r="J1352" s="7">
        <v>40598.42361111111</v>
      </c>
      <c r="K1352" s="8" t="str">
        <f t="shared" si="4"/>
        <v>2011-02</v>
      </c>
      <c r="L1352" s="5">
        <v>1.69</v>
      </c>
      <c r="M1352" s="3">
        <v>15974.0</v>
      </c>
      <c r="N1352" s="1" t="str">
        <f t="shared" si="5"/>
        <v>Registered</v>
      </c>
      <c r="O1352" s="1" t="s">
        <v>19</v>
      </c>
      <c r="P1352" s="9" t="str">
        <f t="shared" si="6"/>
        <v>UK</v>
      </c>
      <c r="Q1352" s="8">
        <f t="shared" si="7"/>
        <v>13.52</v>
      </c>
    </row>
    <row r="1353">
      <c r="A1353" s="1">
        <v>544833.0</v>
      </c>
      <c r="B1353" s="1" t="str">
        <f t="shared" si="1"/>
        <v>544833</v>
      </c>
      <c r="C1353" s="1" t="str">
        <f t="shared" si="2"/>
        <v>Sale</v>
      </c>
      <c r="D1353" s="1">
        <v>21166.0</v>
      </c>
      <c r="E1353" s="1" t="str">
        <f>IFERROR(__xludf.DUMMYFUNCTION("IF(LEN(D1353)&gt;4, IFERROR(REGEXEXTRACT(TO_TEXT(D1353),""\d+""),""""),"""")"),"21166")</f>
        <v>21166</v>
      </c>
      <c r="F1353" s="6" t="str">
        <f t="shared" si="3"/>
        <v>Product</v>
      </c>
      <c r="G1353" s="1" t="s">
        <v>122</v>
      </c>
      <c r="H1353" s="6" t="str">
        <f>IFERROR(__xludf.DUMMYFUNCTION("IF(REGEXMATCH(LOWER(G1353), ""^(\?)+\s*(missing)?\s*(\?)*$""), """", PROPER(SUBSTITUTE(SUBSTITUTE(G1353, ""?"", """"), ""*"", """")))"),"Cook With Wine Metal Sign")</f>
        <v>Cook With Wine Metal Sign</v>
      </c>
      <c r="I1353" s="3">
        <v>12.0</v>
      </c>
      <c r="J1353" s="7">
        <v>40598.42361111111</v>
      </c>
      <c r="K1353" s="8" t="str">
        <f t="shared" si="4"/>
        <v>2011-02</v>
      </c>
      <c r="L1353" s="5">
        <v>2.08</v>
      </c>
      <c r="M1353" s="3">
        <v>15974.0</v>
      </c>
      <c r="N1353" s="1" t="str">
        <f t="shared" si="5"/>
        <v>Registered</v>
      </c>
      <c r="O1353" s="1" t="s">
        <v>19</v>
      </c>
      <c r="P1353" s="9" t="str">
        <f t="shared" si="6"/>
        <v>UK</v>
      </c>
      <c r="Q1353" s="8">
        <f t="shared" si="7"/>
        <v>24.96</v>
      </c>
    </row>
    <row r="1354">
      <c r="A1354" s="1">
        <v>544833.0</v>
      </c>
      <c r="B1354" s="1" t="str">
        <f t="shared" si="1"/>
        <v>544833</v>
      </c>
      <c r="C1354" s="1" t="str">
        <f t="shared" si="2"/>
        <v>Sale</v>
      </c>
      <c r="D1354" s="1">
        <v>22412.0</v>
      </c>
      <c r="E1354" s="1" t="str">
        <f>IFERROR(__xludf.DUMMYFUNCTION("IF(LEN(D1354)&gt;4, IFERROR(REGEXEXTRACT(TO_TEXT(D1354),""\d+""),""""),"""")"),"22412")</f>
        <v>22412</v>
      </c>
      <c r="F1354" s="6" t="str">
        <f t="shared" si="3"/>
        <v>Product</v>
      </c>
      <c r="G1354" s="1" t="s">
        <v>866</v>
      </c>
      <c r="H1354" s="6" t="str">
        <f>IFERROR(__xludf.DUMMYFUNCTION("IF(REGEXMATCH(LOWER(G1354), ""^(\?)+\s*(missing)?\s*(\?)*$""), """", PROPER(SUBSTITUTE(SUBSTITUTE(G1354, ""?"", """"), ""*"", """")))"),"Metal Sign Neighbourhood Witch")</f>
        <v>Metal Sign Neighbourhood Witch</v>
      </c>
      <c r="I1354" s="3">
        <v>12.0</v>
      </c>
      <c r="J1354" s="7">
        <v>40598.42361111111</v>
      </c>
      <c r="K1354" s="8" t="str">
        <f t="shared" si="4"/>
        <v>2011-02</v>
      </c>
      <c r="L1354" s="5">
        <v>2.1</v>
      </c>
      <c r="M1354" s="3">
        <v>15974.0</v>
      </c>
      <c r="N1354" s="1" t="str">
        <f t="shared" si="5"/>
        <v>Registered</v>
      </c>
      <c r="O1354" s="1" t="s">
        <v>19</v>
      </c>
      <c r="P1354" s="9" t="str">
        <f t="shared" si="6"/>
        <v>UK</v>
      </c>
      <c r="Q1354" s="8">
        <f t="shared" si="7"/>
        <v>25.2</v>
      </c>
    </row>
    <row r="1355">
      <c r="A1355" s="1">
        <v>544833.0</v>
      </c>
      <c r="B1355" s="1" t="str">
        <f t="shared" si="1"/>
        <v>544833</v>
      </c>
      <c r="C1355" s="1" t="str">
        <f t="shared" si="2"/>
        <v>Sale</v>
      </c>
      <c r="D1355" s="1">
        <v>82600.0</v>
      </c>
      <c r="E1355" s="1" t="str">
        <f>IFERROR(__xludf.DUMMYFUNCTION("IF(LEN(D1355)&gt;4, IFERROR(REGEXEXTRACT(TO_TEXT(D1355),""\d+""),""""),"""")"),"82600")</f>
        <v>82600</v>
      </c>
      <c r="F1355" s="6" t="str">
        <f t="shared" si="3"/>
        <v>Product</v>
      </c>
      <c r="G1355" s="1" t="s">
        <v>867</v>
      </c>
      <c r="H1355" s="6" t="str">
        <f>IFERROR(__xludf.DUMMYFUNCTION("IF(REGEXMATCH(LOWER(G1355), ""^(\?)+\s*(missing)?\s*(\?)*$""), """", PROPER(SUBSTITUTE(SUBSTITUTE(G1355, ""?"", """"), ""*"", """")))"),"No Singing Metal Sign")</f>
        <v>No Singing Metal Sign</v>
      </c>
      <c r="I1355" s="3">
        <v>12.0</v>
      </c>
      <c r="J1355" s="7">
        <v>40598.42361111111</v>
      </c>
      <c r="K1355" s="8" t="str">
        <f t="shared" si="4"/>
        <v>2011-02</v>
      </c>
      <c r="L1355" s="5">
        <v>2.1</v>
      </c>
      <c r="M1355" s="3">
        <v>15974.0</v>
      </c>
      <c r="N1355" s="1" t="str">
        <f t="shared" si="5"/>
        <v>Registered</v>
      </c>
      <c r="O1355" s="1" t="s">
        <v>19</v>
      </c>
      <c r="P1355" s="9" t="str">
        <f t="shared" si="6"/>
        <v>UK</v>
      </c>
      <c r="Q1355" s="8">
        <f t="shared" si="7"/>
        <v>25.2</v>
      </c>
    </row>
    <row r="1356">
      <c r="A1356" s="1">
        <v>544833.0</v>
      </c>
      <c r="B1356" s="1" t="str">
        <f t="shared" si="1"/>
        <v>544833</v>
      </c>
      <c r="C1356" s="1" t="str">
        <f t="shared" si="2"/>
        <v>Sale</v>
      </c>
      <c r="D1356" s="1" t="s">
        <v>213</v>
      </c>
      <c r="E1356" s="1" t="str">
        <f>IFERROR(__xludf.DUMMYFUNCTION("IF(LEN(D1356)&gt;4, IFERROR(REGEXEXTRACT(TO_TEXT(D1356),""\d+""),""""),"""")"),"84970")</f>
        <v>84970</v>
      </c>
      <c r="F1356" s="6" t="str">
        <f t="shared" si="3"/>
        <v>Product</v>
      </c>
      <c r="G1356" s="1" t="s">
        <v>214</v>
      </c>
      <c r="H1356" s="6" t="str">
        <f>IFERROR(__xludf.DUMMYFUNCTION("IF(REGEXMATCH(LOWER(G1356), ""^(\?)+\s*(missing)?\s*(\?)*$""), """", PROPER(SUBSTITUTE(SUBSTITUTE(G1356, ""?"", """"), ""*"", """")))"),"Hanging Heart Zinc T-Light Holder")</f>
        <v>Hanging Heart Zinc T-Light Holder</v>
      </c>
      <c r="I1356" s="3">
        <v>12.0</v>
      </c>
      <c r="J1356" s="7">
        <v>40598.42361111111</v>
      </c>
      <c r="K1356" s="8" t="str">
        <f t="shared" si="4"/>
        <v>2011-02</v>
      </c>
      <c r="L1356" s="5">
        <v>0.85</v>
      </c>
      <c r="M1356" s="3">
        <v>15974.0</v>
      </c>
      <c r="N1356" s="1" t="str">
        <f t="shared" si="5"/>
        <v>Registered</v>
      </c>
      <c r="O1356" s="1" t="s">
        <v>19</v>
      </c>
      <c r="P1356" s="9" t="str">
        <f t="shared" si="6"/>
        <v>UK</v>
      </c>
      <c r="Q1356" s="8">
        <f t="shared" si="7"/>
        <v>10.2</v>
      </c>
    </row>
    <row r="1357">
      <c r="A1357" s="1">
        <v>544833.0</v>
      </c>
      <c r="B1357" s="1" t="str">
        <f t="shared" si="1"/>
        <v>544833</v>
      </c>
      <c r="C1357" s="1" t="str">
        <f t="shared" si="2"/>
        <v>Sale</v>
      </c>
      <c r="D1357" s="1" t="s">
        <v>370</v>
      </c>
      <c r="E1357" s="1" t="str">
        <f>IFERROR(__xludf.DUMMYFUNCTION("IF(LEN(D1357)&gt;4, IFERROR(REGEXEXTRACT(TO_TEXT(D1357),""\d+""),""""),"""")"),"84970")</f>
        <v>84970</v>
      </c>
      <c r="F1357" s="6" t="str">
        <f t="shared" si="3"/>
        <v>Product</v>
      </c>
      <c r="G1357" s="1" t="s">
        <v>371</v>
      </c>
      <c r="H1357" s="6" t="str">
        <f>IFERROR(__xludf.DUMMYFUNCTION("IF(REGEXMATCH(LOWER(G1357), ""^(\?)+\s*(missing)?\s*(\?)*$""), """", PROPER(SUBSTITUTE(SUBSTITUTE(G1357, ""?"", """"), ""*"", """")))"),"Single Heart Zinc T-Light Holder")</f>
        <v>Single Heart Zinc T-Light Holder</v>
      </c>
      <c r="I1357" s="3">
        <v>12.0</v>
      </c>
      <c r="J1357" s="7">
        <v>40598.42361111111</v>
      </c>
      <c r="K1357" s="8" t="str">
        <f t="shared" si="4"/>
        <v>2011-02</v>
      </c>
      <c r="L1357" s="5">
        <v>0.95</v>
      </c>
      <c r="M1357" s="3">
        <v>15974.0</v>
      </c>
      <c r="N1357" s="1" t="str">
        <f t="shared" si="5"/>
        <v>Registered</v>
      </c>
      <c r="O1357" s="1" t="s">
        <v>19</v>
      </c>
      <c r="P1357" s="9" t="str">
        <f t="shared" si="6"/>
        <v>UK</v>
      </c>
      <c r="Q1357" s="8">
        <f t="shared" si="7"/>
        <v>11.4</v>
      </c>
    </row>
    <row r="1358">
      <c r="A1358" s="1">
        <v>544833.0</v>
      </c>
      <c r="B1358" s="1" t="str">
        <f t="shared" si="1"/>
        <v>544833</v>
      </c>
      <c r="C1358" s="1" t="str">
        <f t="shared" si="2"/>
        <v>Sale</v>
      </c>
      <c r="D1358" s="1">
        <v>22893.0</v>
      </c>
      <c r="E1358" s="1" t="str">
        <f>IFERROR(__xludf.DUMMYFUNCTION("IF(LEN(D1358)&gt;4, IFERROR(REGEXEXTRACT(TO_TEXT(D1358),""\d+""),""""),"""")"),"22893")</f>
        <v>22893</v>
      </c>
      <c r="F1358" s="6" t="str">
        <f t="shared" si="3"/>
        <v>Product</v>
      </c>
      <c r="G1358" s="1" t="s">
        <v>744</v>
      </c>
      <c r="H1358" s="6" t="str">
        <f>IFERROR(__xludf.DUMMYFUNCTION("IF(REGEXMATCH(LOWER(G1358), ""^(\?)+\s*(missing)?\s*(\?)*$""), """", PROPER(SUBSTITUTE(SUBSTITUTE(G1358, ""?"", """"), ""*"", """")))"),"Mini Cake Stand T-Light Holder")</f>
        <v>Mini Cake Stand T-Light Holder</v>
      </c>
      <c r="I1358" s="3">
        <v>24.0</v>
      </c>
      <c r="J1358" s="7">
        <v>40598.42361111111</v>
      </c>
      <c r="K1358" s="8" t="str">
        <f t="shared" si="4"/>
        <v>2011-02</v>
      </c>
      <c r="L1358" s="5">
        <v>0.42</v>
      </c>
      <c r="M1358" s="3">
        <v>15974.0</v>
      </c>
      <c r="N1358" s="1" t="str">
        <f t="shared" si="5"/>
        <v>Registered</v>
      </c>
      <c r="O1358" s="1" t="s">
        <v>19</v>
      </c>
      <c r="P1358" s="9" t="str">
        <f t="shared" si="6"/>
        <v>UK</v>
      </c>
      <c r="Q1358" s="8">
        <f t="shared" si="7"/>
        <v>10.08</v>
      </c>
    </row>
    <row r="1359">
      <c r="A1359" s="1">
        <v>544833.0</v>
      </c>
      <c r="B1359" s="1" t="str">
        <f t="shared" si="1"/>
        <v>544833</v>
      </c>
      <c r="C1359" s="1" t="str">
        <f t="shared" si="2"/>
        <v>Sale</v>
      </c>
      <c r="D1359" s="1">
        <v>71053.0</v>
      </c>
      <c r="E1359" s="1" t="str">
        <f>IFERROR(__xludf.DUMMYFUNCTION("IF(LEN(D1359)&gt;4, IFERROR(REGEXEXTRACT(TO_TEXT(D1359),""\d+""),""""),"""")"),"71053")</f>
        <v>71053</v>
      </c>
      <c r="F1359" s="6" t="str">
        <f t="shared" si="3"/>
        <v>Product</v>
      </c>
      <c r="G1359" s="1" t="s">
        <v>20</v>
      </c>
      <c r="H1359" s="6" t="str">
        <f>IFERROR(__xludf.DUMMYFUNCTION("IF(REGEXMATCH(LOWER(G1359), ""^(\?)+\s*(missing)?\s*(\?)*$""), """", PROPER(SUBSTITUTE(SUBSTITUTE(G1359, ""?"", """"), ""*"", """")))"),"White Metal Lantern")</f>
        <v>White Metal Lantern</v>
      </c>
      <c r="I1359" s="3">
        <v>4.0</v>
      </c>
      <c r="J1359" s="7">
        <v>40598.42361111111</v>
      </c>
      <c r="K1359" s="8" t="str">
        <f t="shared" si="4"/>
        <v>2011-02</v>
      </c>
      <c r="L1359" s="5">
        <v>3.75</v>
      </c>
      <c r="M1359" s="3">
        <v>15974.0</v>
      </c>
      <c r="N1359" s="1" t="str">
        <f t="shared" si="5"/>
        <v>Registered</v>
      </c>
      <c r="O1359" s="1" t="s">
        <v>19</v>
      </c>
      <c r="P1359" s="9" t="str">
        <f t="shared" si="6"/>
        <v>UK</v>
      </c>
      <c r="Q1359" s="8">
        <f t="shared" si="7"/>
        <v>15</v>
      </c>
    </row>
    <row r="1360">
      <c r="A1360" s="1">
        <v>544833.0</v>
      </c>
      <c r="B1360" s="1" t="str">
        <f t="shared" si="1"/>
        <v>544833</v>
      </c>
      <c r="C1360" s="1" t="str">
        <f t="shared" si="2"/>
        <v>Sale</v>
      </c>
      <c r="D1360" s="1">
        <v>22969.0</v>
      </c>
      <c r="E1360" s="1" t="str">
        <f>IFERROR(__xludf.DUMMYFUNCTION("IF(LEN(D1360)&gt;4, IFERROR(REGEXEXTRACT(TO_TEXT(D1360),""\d+""),""""),"""")"),"22969")</f>
        <v>22969</v>
      </c>
      <c r="F1360" s="6" t="str">
        <f t="shared" si="3"/>
        <v>Product</v>
      </c>
      <c r="G1360" s="1" t="s">
        <v>192</v>
      </c>
      <c r="H1360" s="6" t="str">
        <f>IFERROR(__xludf.DUMMYFUNCTION("IF(REGEXMATCH(LOWER(G1360), ""^(\?)+\s*(missing)?\s*(\?)*$""), """", PROPER(SUBSTITUTE(SUBSTITUTE(G1360, ""?"", """"), ""*"", """")))"),"Homemade Jam Scented Candles")</f>
        <v>Homemade Jam Scented Candles</v>
      </c>
      <c r="I1360" s="3">
        <v>60.0</v>
      </c>
      <c r="J1360" s="7">
        <v>40598.42361111111</v>
      </c>
      <c r="K1360" s="8" t="str">
        <f t="shared" si="4"/>
        <v>2011-02</v>
      </c>
      <c r="L1360" s="5">
        <v>1.45</v>
      </c>
      <c r="M1360" s="3">
        <v>15974.0</v>
      </c>
      <c r="N1360" s="1" t="str">
        <f t="shared" si="5"/>
        <v>Registered</v>
      </c>
      <c r="O1360" s="1" t="s">
        <v>19</v>
      </c>
      <c r="P1360" s="9" t="str">
        <f t="shared" si="6"/>
        <v>UK</v>
      </c>
      <c r="Q1360" s="8">
        <f t="shared" si="7"/>
        <v>87</v>
      </c>
    </row>
    <row r="1361">
      <c r="A1361" s="1">
        <v>544833.0</v>
      </c>
      <c r="B1361" s="1" t="str">
        <f t="shared" si="1"/>
        <v>544833</v>
      </c>
      <c r="C1361" s="1" t="str">
        <f t="shared" si="2"/>
        <v>Sale</v>
      </c>
      <c r="D1361" s="1">
        <v>22470.0</v>
      </c>
      <c r="E1361" s="1" t="str">
        <f>IFERROR(__xludf.DUMMYFUNCTION("IF(LEN(D1361)&gt;4, IFERROR(REGEXEXTRACT(TO_TEXT(D1361),""\d+""),""""),"""")"),"22470")</f>
        <v>22470</v>
      </c>
      <c r="F1361" s="6" t="str">
        <f t="shared" si="3"/>
        <v>Product</v>
      </c>
      <c r="G1361" s="1" t="s">
        <v>168</v>
      </c>
      <c r="H1361" s="6" t="str">
        <f>IFERROR(__xludf.DUMMYFUNCTION("IF(REGEXMATCH(LOWER(G1361), ""^(\?)+\s*(missing)?\s*(\?)*$""), """", PROPER(SUBSTITUTE(SUBSTITUTE(G1361, ""?"", """"), ""*"", """")))"),"Heart Of Wicker Large")</f>
        <v>Heart Of Wicker Large</v>
      </c>
      <c r="I1361" s="3">
        <v>6.0</v>
      </c>
      <c r="J1361" s="7">
        <v>40598.42361111111</v>
      </c>
      <c r="K1361" s="8" t="str">
        <f t="shared" si="4"/>
        <v>2011-02</v>
      </c>
      <c r="L1361" s="5">
        <v>2.95</v>
      </c>
      <c r="M1361" s="3">
        <v>15974.0</v>
      </c>
      <c r="N1361" s="1" t="str">
        <f t="shared" si="5"/>
        <v>Registered</v>
      </c>
      <c r="O1361" s="1" t="s">
        <v>19</v>
      </c>
      <c r="P1361" s="9" t="str">
        <f t="shared" si="6"/>
        <v>UK</v>
      </c>
      <c r="Q1361" s="8">
        <f t="shared" si="7"/>
        <v>17.7</v>
      </c>
    </row>
    <row r="1362">
      <c r="A1362" s="1">
        <v>544833.0</v>
      </c>
      <c r="B1362" s="1" t="str">
        <f t="shared" si="1"/>
        <v>544833</v>
      </c>
      <c r="C1362" s="1" t="str">
        <f t="shared" si="2"/>
        <v>Sale</v>
      </c>
      <c r="D1362" s="1">
        <v>22469.0</v>
      </c>
      <c r="E1362" s="1" t="str">
        <f>IFERROR(__xludf.DUMMYFUNCTION("IF(LEN(D1362)&gt;4, IFERROR(REGEXEXTRACT(TO_TEXT(D1362),""\d+""),""""),"""")"),"22469")</f>
        <v>22469</v>
      </c>
      <c r="F1362" s="6" t="str">
        <f t="shared" si="3"/>
        <v>Product</v>
      </c>
      <c r="G1362" s="1" t="s">
        <v>167</v>
      </c>
      <c r="H1362" s="6" t="str">
        <f>IFERROR(__xludf.DUMMYFUNCTION("IF(REGEXMATCH(LOWER(G1362), ""^(\?)+\s*(missing)?\s*(\?)*$""), """", PROPER(SUBSTITUTE(SUBSTITUTE(G1362, ""?"", """"), ""*"", """")))"),"Heart Of Wicker Small")</f>
        <v>Heart Of Wicker Small</v>
      </c>
      <c r="I1362" s="3">
        <v>12.0</v>
      </c>
      <c r="J1362" s="7">
        <v>40598.42361111111</v>
      </c>
      <c r="K1362" s="8" t="str">
        <f t="shared" si="4"/>
        <v>2011-02</v>
      </c>
      <c r="L1362" s="5">
        <v>1.65</v>
      </c>
      <c r="M1362" s="3">
        <v>15974.0</v>
      </c>
      <c r="N1362" s="1" t="str">
        <f t="shared" si="5"/>
        <v>Registered</v>
      </c>
      <c r="O1362" s="1" t="s">
        <v>19</v>
      </c>
      <c r="P1362" s="9" t="str">
        <f t="shared" si="6"/>
        <v>UK</v>
      </c>
      <c r="Q1362" s="8">
        <f t="shared" si="7"/>
        <v>19.8</v>
      </c>
    </row>
    <row r="1363">
      <c r="A1363" s="1">
        <v>544833.0</v>
      </c>
      <c r="B1363" s="1" t="str">
        <f t="shared" si="1"/>
        <v>544833</v>
      </c>
      <c r="C1363" s="1" t="str">
        <f t="shared" si="2"/>
        <v>Sale</v>
      </c>
      <c r="D1363" s="1">
        <v>22863.0</v>
      </c>
      <c r="E1363" s="1" t="str">
        <f>IFERROR(__xludf.DUMMYFUNCTION("IF(LEN(D1363)&gt;4, IFERROR(REGEXEXTRACT(TO_TEXT(D1363),""\d+""),""""),"""")"),"22863")</f>
        <v>22863</v>
      </c>
      <c r="F1363" s="6" t="str">
        <f t="shared" si="3"/>
        <v>Product</v>
      </c>
      <c r="G1363" s="1" t="s">
        <v>868</v>
      </c>
      <c r="H1363" s="6" t="str">
        <f>IFERROR(__xludf.DUMMYFUNCTION("IF(REGEXMATCH(LOWER(G1363), ""^(\?)+\s*(missing)?\s*(\?)*$""), """", PROPER(SUBSTITUTE(SUBSTITUTE(G1363, ""?"", """"), ""*"", """")))"),"Soap Dish Brocante")</f>
        <v>Soap Dish Brocante</v>
      </c>
      <c r="I1363" s="3">
        <v>8.0</v>
      </c>
      <c r="J1363" s="7">
        <v>40598.42361111111</v>
      </c>
      <c r="K1363" s="8" t="str">
        <f t="shared" si="4"/>
        <v>2011-02</v>
      </c>
      <c r="L1363" s="5">
        <v>2.95</v>
      </c>
      <c r="M1363" s="3">
        <v>15974.0</v>
      </c>
      <c r="N1363" s="1" t="str">
        <f t="shared" si="5"/>
        <v>Registered</v>
      </c>
      <c r="O1363" s="1" t="s">
        <v>19</v>
      </c>
      <c r="P1363" s="9" t="str">
        <f t="shared" si="6"/>
        <v>UK</v>
      </c>
      <c r="Q1363" s="8">
        <f t="shared" si="7"/>
        <v>23.6</v>
      </c>
    </row>
    <row r="1364">
      <c r="A1364" s="1">
        <v>544833.0</v>
      </c>
      <c r="B1364" s="1" t="str">
        <f t="shared" si="1"/>
        <v>544833</v>
      </c>
      <c r="C1364" s="1" t="str">
        <f t="shared" si="2"/>
        <v>Sale</v>
      </c>
      <c r="D1364" s="1">
        <v>22495.0</v>
      </c>
      <c r="E1364" s="1" t="str">
        <f>IFERROR(__xludf.DUMMYFUNCTION("IF(LEN(D1364)&gt;4, IFERROR(REGEXEXTRACT(TO_TEXT(D1364),""\d+""),""""),"""")"),"22495")</f>
        <v>22495</v>
      </c>
      <c r="F1364" s="6" t="str">
        <f t="shared" si="3"/>
        <v>Product</v>
      </c>
      <c r="G1364" s="1" t="s">
        <v>869</v>
      </c>
      <c r="H1364" s="6" t="str">
        <f>IFERROR(__xludf.DUMMYFUNCTION("IF(REGEXMATCH(LOWER(G1364), ""^(\?)+\s*(missing)?\s*(\?)*$""), """", PROPER(SUBSTITUTE(SUBSTITUTE(G1364, ""?"", """"), ""*"", """")))"),"Set Of 2 Round Tins Camembert")</f>
        <v>Set Of 2 Round Tins Camembert</v>
      </c>
      <c r="I1364" s="3">
        <v>6.0</v>
      </c>
      <c r="J1364" s="7">
        <v>40598.42361111111</v>
      </c>
      <c r="K1364" s="8" t="str">
        <f t="shared" si="4"/>
        <v>2011-02</v>
      </c>
      <c r="L1364" s="5">
        <v>2.95</v>
      </c>
      <c r="M1364" s="3">
        <v>15974.0</v>
      </c>
      <c r="N1364" s="1" t="str">
        <f t="shared" si="5"/>
        <v>Registered</v>
      </c>
      <c r="O1364" s="1" t="s">
        <v>19</v>
      </c>
      <c r="P1364" s="9" t="str">
        <f t="shared" si="6"/>
        <v>UK</v>
      </c>
      <c r="Q1364" s="8">
        <f t="shared" si="7"/>
        <v>17.7</v>
      </c>
    </row>
    <row r="1365">
      <c r="A1365" s="1">
        <v>544833.0</v>
      </c>
      <c r="B1365" s="1" t="str">
        <f t="shared" si="1"/>
        <v>544833</v>
      </c>
      <c r="C1365" s="1" t="str">
        <f t="shared" si="2"/>
        <v>Sale</v>
      </c>
      <c r="D1365" s="1">
        <v>22854.0</v>
      </c>
      <c r="E1365" s="1" t="str">
        <f>IFERROR(__xludf.DUMMYFUNCTION("IF(LEN(D1365)&gt;4, IFERROR(REGEXEXTRACT(TO_TEXT(D1365),""\d+""),""""),"""")"),"22854")</f>
        <v>22854</v>
      </c>
      <c r="F1365" s="6" t="str">
        <f t="shared" si="3"/>
        <v>Product</v>
      </c>
      <c r="G1365" s="1" t="s">
        <v>870</v>
      </c>
      <c r="H1365" s="6" t="str">
        <f>IFERROR(__xludf.DUMMYFUNCTION("IF(REGEXMATCH(LOWER(G1365), ""^(\?)+\s*(missing)?\s*(\?)*$""), """", PROPER(SUBSTITUTE(SUBSTITUTE(G1365, ""?"", """"), ""*"", """")))"),"Cream Sweetheart Egg Holder")</f>
        <v>Cream Sweetheart Egg Holder</v>
      </c>
      <c r="I1365" s="3">
        <v>4.0</v>
      </c>
      <c r="J1365" s="7">
        <v>40598.42361111111</v>
      </c>
      <c r="K1365" s="8" t="str">
        <f t="shared" si="4"/>
        <v>2011-02</v>
      </c>
      <c r="L1365" s="5">
        <v>4.95</v>
      </c>
      <c r="M1365" s="3">
        <v>15974.0</v>
      </c>
      <c r="N1365" s="1" t="str">
        <f t="shared" si="5"/>
        <v>Registered</v>
      </c>
      <c r="O1365" s="1" t="s">
        <v>19</v>
      </c>
      <c r="P1365" s="9" t="str">
        <f t="shared" si="6"/>
        <v>UK</v>
      </c>
      <c r="Q1365" s="8">
        <f t="shared" si="7"/>
        <v>19.8</v>
      </c>
    </row>
    <row r="1366">
      <c r="A1366" s="1">
        <v>544833.0</v>
      </c>
      <c r="B1366" s="1" t="str">
        <f t="shared" si="1"/>
        <v>544833</v>
      </c>
      <c r="C1366" s="1" t="str">
        <f t="shared" si="2"/>
        <v>Sale</v>
      </c>
      <c r="D1366" s="1">
        <v>21745.0</v>
      </c>
      <c r="E1366" s="1" t="str">
        <f>IFERROR(__xludf.DUMMYFUNCTION("IF(LEN(D1366)&gt;4, IFERROR(REGEXEXTRACT(TO_TEXT(D1366),""\d+""),""""),"""")"),"21745")</f>
        <v>21745</v>
      </c>
      <c r="F1366" s="6" t="str">
        <f t="shared" si="3"/>
        <v>Product</v>
      </c>
      <c r="G1366" s="1" t="s">
        <v>794</v>
      </c>
      <c r="H1366" s="6" t="str">
        <f>IFERROR(__xludf.DUMMYFUNCTION("IF(REGEXMATCH(LOWER(G1366), ""^(\?)+\s*(missing)?\s*(\?)*$""), """", PROPER(SUBSTITUTE(SUBSTITUTE(G1366, ""?"", """"), ""*"", """")))"),"Gaolers Keys Decorative Garden")</f>
        <v>Gaolers Keys Decorative Garden</v>
      </c>
      <c r="I1366" s="3">
        <v>4.0</v>
      </c>
      <c r="J1366" s="7">
        <v>40598.42361111111</v>
      </c>
      <c r="K1366" s="8" t="str">
        <f t="shared" si="4"/>
        <v>2011-02</v>
      </c>
      <c r="L1366" s="5">
        <v>3.75</v>
      </c>
      <c r="M1366" s="3">
        <v>15974.0</v>
      </c>
      <c r="N1366" s="1" t="str">
        <f t="shared" si="5"/>
        <v>Registered</v>
      </c>
      <c r="O1366" s="1" t="s">
        <v>19</v>
      </c>
      <c r="P1366" s="9" t="str">
        <f t="shared" si="6"/>
        <v>UK</v>
      </c>
      <c r="Q1366" s="8">
        <f t="shared" si="7"/>
        <v>15</v>
      </c>
    </row>
    <row r="1367">
      <c r="A1367" s="1">
        <v>544833.0</v>
      </c>
      <c r="B1367" s="1" t="str">
        <f t="shared" si="1"/>
        <v>544833</v>
      </c>
      <c r="C1367" s="1" t="str">
        <f t="shared" si="2"/>
        <v>Sale</v>
      </c>
      <c r="D1367" s="1">
        <v>21735.0</v>
      </c>
      <c r="E1367" s="1" t="str">
        <f>IFERROR(__xludf.DUMMYFUNCTION("IF(LEN(D1367)&gt;4, IFERROR(REGEXEXTRACT(TO_TEXT(D1367),""\d+""),""""),"""")"),"21735")</f>
        <v>21735</v>
      </c>
      <c r="F1367" s="6" t="str">
        <f t="shared" si="3"/>
        <v>Product</v>
      </c>
      <c r="G1367" s="1" t="s">
        <v>871</v>
      </c>
      <c r="H1367" s="6" t="str">
        <f>IFERROR(__xludf.DUMMYFUNCTION("IF(REGEXMATCH(LOWER(G1367), ""^(\?)+\s*(missing)?\s*(\?)*$""), """", PROPER(SUBSTITUTE(SUBSTITUTE(G1367, ""?"", """"), ""*"", """")))"),"Two Door Curio Cabinet")</f>
        <v>Two Door Curio Cabinet</v>
      </c>
      <c r="I1367" s="3">
        <v>2.0</v>
      </c>
      <c r="J1367" s="7">
        <v>40598.42361111111</v>
      </c>
      <c r="K1367" s="8" t="str">
        <f t="shared" si="4"/>
        <v>2011-02</v>
      </c>
      <c r="L1367" s="5">
        <v>12.75</v>
      </c>
      <c r="M1367" s="3">
        <v>15974.0</v>
      </c>
      <c r="N1367" s="1" t="str">
        <f t="shared" si="5"/>
        <v>Registered</v>
      </c>
      <c r="O1367" s="1" t="s">
        <v>19</v>
      </c>
      <c r="P1367" s="9" t="str">
        <f t="shared" si="6"/>
        <v>UK</v>
      </c>
      <c r="Q1367" s="8">
        <f t="shared" si="7"/>
        <v>25.5</v>
      </c>
    </row>
    <row r="1368">
      <c r="A1368" s="1">
        <v>544833.0</v>
      </c>
      <c r="B1368" s="1" t="str">
        <f t="shared" si="1"/>
        <v>544833</v>
      </c>
      <c r="C1368" s="1" t="str">
        <f t="shared" si="2"/>
        <v>Sale</v>
      </c>
      <c r="D1368" s="1">
        <v>22693.0</v>
      </c>
      <c r="E1368" s="1" t="str">
        <f>IFERROR(__xludf.DUMMYFUNCTION("IF(LEN(D1368)&gt;4, IFERROR(REGEXEXTRACT(TO_TEXT(D1368),""\d+""),""""),"""")"),"22693")</f>
        <v>22693</v>
      </c>
      <c r="F1368" s="6" t="str">
        <f t="shared" si="3"/>
        <v>Product</v>
      </c>
      <c r="G1368" s="1" t="s">
        <v>741</v>
      </c>
      <c r="H1368" s="6" t="str">
        <f>IFERROR(__xludf.DUMMYFUNCTION("IF(REGEXMATCH(LOWER(G1368), ""^(\?)+\s*(missing)?\s*(\?)*$""), """", PROPER(SUBSTITUTE(SUBSTITUTE(G1368, ""?"", """"), ""*"", """")))"),"Grow A Flytrap Or Sunflower In Tin")</f>
        <v>Grow A Flytrap Or Sunflower In Tin</v>
      </c>
      <c r="I1368" s="3">
        <v>24.0</v>
      </c>
      <c r="J1368" s="7">
        <v>40598.42361111111</v>
      </c>
      <c r="K1368" s="8" t="str">
        <f t="shared" si="4"/>
        <v>2011-02</v>
      </c>
      <c r="L1368" s="5">
        <v>1.25</v>
      </c>
      <c r="M1368" s="3">
        <v>15974.0</v>
      </c>
      <c r="N1368" s="1" t="str">
        <f t="shared" si="5"/>
        <v>Registered</v>
      </c>
      <c r="O1368" s="1" t="s">
        <v>19</v>
      </c>
      <c r="P1368" s="9" t="str">
        <f t="shared" si="6"/>
        <v>UK</v>
      </c>
      <c r="Q1368" s="8">
        <f t="shared" si="7"/>
        <v>30</v>
      </c>
    </row>
    <row r="1369">
      <c r="A1369" s="1">
        <v>544835.0</v>
      </c>
      <c r="B1369" s="1" t="str">
        <f t="shared" si="1"/>
        <v>544835</v>
      </c>
      <c r="C1369" s="1" t="str">
        <f t="shared" si="2"/>
        <v>Sale</v>
      </c>
      <c r="D1369" s="1">
        <v>22457.0</v>
      </c>
      <c r="E1369" s="1" t="str">
        <f>IFERROR(__xludf.DUMMYFUNCTION("IF(LEN(D1369)&gt;4, IFERROR(REGEXEXTRACT(TO_TEXT(D1369),""\d+""),""""),"""")"),"22457")</f>
        <v>22457</v>
      </c>
      <c r="F1369" s="6" t="str">
        <f t="shared" si="3"/>
        <v>Product</v>
      </c>
      <c r="G1369" s="1" t="s">
        <v>166</v>
      </c>
      <c r="H1369" s="6" t="str">
        <f>IFERROR(__xludf.DUMMYFUNCTION("IF(REGEXMATCH(LOWER(G1369), ""^(\?)+\s*(missing)?\s*(\?)*$""), """", PROPER(SUBSTITUTE(SUBSTITUTE(G1369, ""?"", """"), ""*"", """")))"),"Natural Slate Heart Chalkboard")</f>
        <v>Natural Slate Heart Chalkboard</v>
      </c>
      <c r="I1369" s="3">
        <v>6.0</v>
      </c>
      <c r="J1369" s="7">
        <v>40598.427083333336</v>
      </c>
      <c r="K1369" s="8" t="str">
        <f t="shared" si="4"/>
        <v>2011-02</v>
      </c>
      <c r="L1369" s="5">
        <v>2.95</v>
      </c>
      <c r="M1369" s="3">
        <v>17830.0</v>
      </c>
      <c r="N1369" s="1" t="str">
        <f t="shared" si="5"/>
        <v>Registered</v>
      </c>
      <c r="O1369" s="1" t="s">
        <v>19</v>
      </c>
      <c r="P1369" s="9" t="str">
        <f t="shared" si="6"/>
        <v>UK</v>
      </c>
      <c r="Q1369" s="8">
        <f t="shared" si="7"/>
        <v>17.7</v>
      </c>
    </row>
    <row r="1370">
      <c r="A1370" s="1">
        <v>544835.0</v>
      </c>
      <c r="B1370" s="1" t="str">
        <f t="shared" si="1"/>
        <v>544835</v>
      </c>
      <c r="C1370" s="1" t="str">
        <f t="shared" si="2"/>
        <v>Sale</v>
      </c>
      <c r="D1370" s="1">
        <v>21164.0</v>
      </c>
      <c r="E1370" s="1" t="str">
        <f>IFERROR(__xludf.DUMMYFUNCTION("IF(LEN(D1370)&gt;4, IFERROR(REGEXEXTRACT(TO_TEXT(D1370),""\d+""),""""),"""")"),"21164")</f>
        <v>21164</v>
      </c>
      <c r="F1370" s="6" t="str">
        <f t="shared" si="3"/>
        <v>Product</v>
      </c>
      <c r="G1370" s="1" t="s">
        <v>872</v>
      </c>
      <c r="H1370" s="6" t="str">
        <f>IFERROR(__xludf.DUMMYFUNCTION("IF(REGEXMATCH(LOWER(G1370), ""^(\?)+\s*(missing)?\s*(\?)*$""), """", PROPER(SUBSTITUTE(SUBSTITUTE(G1370, ""?"", """"), ""*"", """")))"),"Home Sweet Home Metal Sign")</f>
        <v>Home Sweet Home Metal Sign</v>
      </c>
      <c r="I1370" s="3">
        <v>6.0</v>
      </c>
      <c r="J1370" s="7">
        <v>40598.427083333336</v>
      </c>
      <c r="K1370" s="8" t="str">
        <f t="shared" si="4"/>
        <v>2011-02</v>
      </c>
      <c r="L1370" s="5">
        <v>2.95</v>
      </c>
      <c r="M1370" s="3">
        <v>17830.0</v>
      </c>
      <c r="N1370" s="1" t="str">
        <f t="shared" si="5"/>
        <v>Registered</v>
      </c>
      <c r="O1370" s="1" t="s">
        <v>19</v>
      </c>
      <c r="P1370" s="9" t="str">
        <f t="shared" si="6"/>
        <v>UK</v>
      </c>
      <c r="Q1370" s="8">
        <f t="shared" si="7"/>
        <v>17.7</v>
      </c>
    </row>
    <row r="1371">
      <c r="A1371" s="1">
        <v>544835.0</v>
      </c>
      <c r="B1371" s="1" t="str">
        <f t="shared" si="1"/>
        <v>544835</v>
      </c>
      <c r="C1371" s="1" t="str">
        <f t="shared" si="2"/>
        <v>Sale</v>
      </c>
      <c r="D1371" s="1" t="s">
        <v>873</v>
      </c>
      <c r="E1371" s="1" t="str">
        <f>IFERROR(__xludf.DUMMYFUNCTION("IF(LEN(D1371)&gt;4, IFERROR(REGEXEXTRACT(TO_TEXT(D1371),""\d+""),""""),"""")"),"72807")</f>
        <v>72807</v>
      </c>
      <c r="F1371" s="6" t="str">
        <f t="shared" si="3"/>
        <v>Product</v>
      </c>
      <c r="G1371" s="1" t="s">
        <v>874</v>
      </c>
      <c r="H1371" s="6" t="str">
        <f>IFERROR(__xludf.DUMMYFUNCTION("IF(REGEXMATCH(LOWER(G1371), ""^(\?)+\s*(missing)?\s*(\?)*$""), """", PROPER(SUBSTITUTE(SUBSTITUTE(G1371, ""?"", """"), ""*"", """")))"),"Set/3 Rose Candle In Jewelled Box")</f>
        <v>Set/3 Rose Candle In Jewelled Box</v>
      </c>
      <c r="I1371" s="3">
        <v>4.0</v>
      </c>
      <c r="J1371" s="7">
        <v>40598.427083333336</v>
      </c>
      <c r="K1371" s="8" t="str">
        <f t="shared" si="4"/>
        <v>2011-02</v>
      </c>
      <c r="L1371" s="5">
        <v>4.25</v>
      </c>
      <c r="M1371" s="3">
        <v>17830.0</v>
      </c>
      <c r="N1371" s="1" t="str">
        <f t="shared" si="5"/>
        <v>Registered</v>
      </c>
      <c r="O1371" s="1" t="s">
        <v>19</v>
      </c>
      <c r="P1371" s="9" t="str">
        <f t="shared" si="6"/>
        <v>UK</v>
      </c>
      <c r="Q1371" s="8">
        <f t="shared" si="7"/>
        <v>17</v>
      </c>
    </row>
    <row r="1372">
      <c r="A1372" s="1">
        <v>544835.0</v>
      </c>
      <c r="B1372" s="1" t="str">
        <f t="shared" si="1"/>
        <v>544835</v>
      </c>
      <c r="C1372" s="1" t="str">
        <f t="shared" si="2"/>
        <v>Sale</v>
      </c>
      <c r="D1372" s="1" t="s">
        <v>875</v>
      </c>
      <c r="E1372" s="1" t="str">
        <f>IFERROR(__xludf.DUMMYFUNCTION("IF(LEN(D1372)&gt;4, IFERROR(REGEXEXTRACT(TO_TEXT(D1372),""\d+""),""""),"""")"),"72807")</f>
        <v>72807</v>
      </c>
      <c r="F1372" s="6" t="str">
        <f t="shared" si="3"/>
        <v>Product</v>
      </c>
      <c r="G1372" s="1" t="s">
        <v>876</v>
      </c>
      <c r="H1372" s="6" t="str">
        <f>IFERROR(__xludf.DUMMYFUNCTION("IF(REGEXMATCH(LOWER(G1372), ""^(\?)+\s*(missing)?\s*(\?)*$""), """", PROPER(SUBSTITUTE(SUBSTITUTE(G1372, ""?"", """"), ""*"", """")))"),"Set/3 Vanilla Scented Candle In Box")</f>
        <v>Set/3 Vanilla Scented Candle In Box</v>
      </c>
      <c r="I1372" s="3">
        <v>4.0</v>
      </c>
      <c r="J1372" s="7">
        <v>40598.427083333336</v>
      </c>
      <c r="K1372" s="8" t="str">
        <f t="shared" si="4"/>
        <v>2011-02</v>
      </c>
      <c r="L1372" s="5">
        <v>4.25</v>
      </c>
      <c r="M1372" s="3">
        <v>17830.0</v>
      </c>
      <c r="N1372" s="1" t="str">
        <f t="shared" si="5"/>
        <v>Registered</v>
      </c>
      <c r="O1372" s="1" t="s">
        <v>19</v>
      </c>
      <c r="P1372" s="9" t="str">
        <f t="shared" si="6"/>
        <v>UK</v>
      </c>
      <c r="Q1372" s="8">
        <f t="shared" si="7"/>
        <v>17</v>
      </c>
    </row>
    <row r="1373">
      <c r="A1373" s="1">
        <v>544835.0</v>
      </c>
      <c r="B1373" s="1" t="str">
        <f t="shared" si="1"/>
        <v>544835</v>
      </c>
      <c r="C1373" s="1" t="str">
        <f t="shared" si="2"/>
        <v>Sale</v>
      </c>
      <c r="D1373" s="1">
        <v>20934.0</v>
      </c>
      <c r="E1373" s="1" t="str">
        <f>IFERROR(__xludf.DUMMYFUNCTION("IF(LEN(D1373)&gt;4, IFERROR(REGEXEXTRACT(TO_TEXT(D1373),""\d+""),""""),"""")"),"20934")</f>
        <v>20934</v>
      </c>
      <c r="F1373" s="6" t="str">
        <f t="shared" si="3"/>
        <v>Product</v>
      </c>
      <c r="G1373" s="1" t="s">
        <v>877</v>
      </c>
      <c r="H1373" s="6" t="str">
        <f>IFERROR(__xludf.DUMMYFUNCTION("IF(REGEXMATCH(LOWER(G1373), ""^(\?)+\s*(missing)?\s*(\?)*$""), """", PROPER(SUBSTITUTE(SUBSTITUTE(G1373, ""?"", """"), ""*"", """")))"),"Set/3 Pot Plant Candles")</f>
        <v>Set/3 Pot Plant Candles</v>
      </c>
      <c r="I1373" s="3">
        <v>2.0</v>
      </c>
      <c r="J1373" s="7">
        <v>40598.427083333336</v>
      </c>
      <c r="K1373" s="8" t="str">
        <f t="shared" si="4"/>
        <v>2011-02</v>
      </c>
      <c r="L1373" s="5">
        <v>5.45</v>
      </c>
      <c r="M1373" s="3">
        <v>17830.0</v>
      </c>
      <c r="N1373" s="1" t="str">
        <f t="shared" si="5"/>
        <v>Registered</v>
      </c>
      <c r="O1373" s="1" t="s">
        <v>19</v>
      </c>
      <c r="P1373" s="9" t="str">
        <f t="shared" si="6"/>
        <v>UK</v>
      </c>
      <c r="Q1373" s="8">
        <f t="shared" si="7"/>
        <v>10.9</v>
      </c>
    </row>
    <row r="1374">
      <c r="A1374" s="1">
        <v>544835.0</v>
      </c>
      <c r="B1374" s="1" t="str">
        <f t="shared" si="1"/>
        <v>544835</v>
      </c>
      <c r="C1374" s="1" t="str">
        <f t="shared" si="2"/>
        <v>Sale</v>
      </c>
      <c r="D1374" s="1">
        <v>20932.0</v>
      </c>
      <c r="E1374" s="1" t="str">
        <f>IFERROR(__xludf.DUMMYFUNCTION("IF(LEN(D1374)&gt;4, IFERROR(REGEXEXTRACT(TO_TEXT(D1374),""\d+""),""""),"""")"),"20932")</f>
        <v>20932</v>
      </c>
      <c r="F1374" s="6" t="str">
        <f t="shared" si="3"/>
        <v>Product</v>
      </c>
      <c r="G1374" s="1" t="s">
        <v>878</v>
      </c>
      <c r="H1374" s="6" t="str">
        <f>IFERROR(__xludf.DUMMYFUNCTION("IF(REGEXMATCH(LOWER(G1374), ""^(\?)+\s*(missing)?\s*(\?)*$""), """", PROPER(SUBSTITUTE(SUBSTITUTE(G1374, ""?"", """"), ""*"", """")))"),"Pink Pot Plant Candle")</f>
        <v>Pink Pot Plant Candle</v>
      </c>
      <c r="I1374" s="3">
        <v>4.0</v>
      </c>
      <c r="J1374" s="7">
        <v>40598.427083333336</v>
      </c>
      <c r="K1374" s="8" t="str">
        <f t="shared" si="4"/>
        <v>2011-02</v>
      </c>
      <c r="L1374" s="5">
        <v>3.75</v>
      </c>
      <c r="M1374" s="3">
        <v>17830.0</v>
      </c>
      <c r="N1374" s="1" t="str">
        <f t="shared" si="5"/>
        <v>Registered</v>
      </c>
      <c r="O1374" s="1" t="s">
        <v>19</v>
      </c>
      <c r="P1374" s="9" t="str">
        <f t="shared" si="6"/>
        <v>UK</v>
      </c>
      <c r="Q1374" s="8">
        <f t="shared" si="7"/>
        <v>15</v>
      </c>
    </row>
    <row r="1375">
      <c r="A1375" s="1">
        <v>544835.0</v>
      </c>
      <c r="B1375" s="1" t="str">
        <f t="shared" si="1"/>
        <v>544835</v>
      </c>
      <c r="C1375" s="1" t="str">
        <f t="shared" si="2"/>
        <v>Sale</v>
      </c>
      <c r="D1375" s="1">
        <v>21523.0</v>
      </c>
      <c r="E1375" s="1" t="str">
        <f>IFERROR(__xludf.DUMMYFUNCTION("IF(LEN(D1375)&gt;4, IFERROR(REGEXEXTRACT(TO_TEXT(D1375),""\d+""),""""),"""")"),"21523")</f>
        <v>21523</v>
      </c>
      <c r="F1375" s="6" t="str">
        <f t="shared" si="3"/>
        <v>Product</v>
      </c>
      <c r="G1375" s="1" t="s">
        <v>146</v>
      </c>
      <c r="H1375" s="6" t="str">
        <f>IFERROR(__xludf.DUMMYFUNCTION("IF(REGEXMATCH(LOWER(G1375), ""^(\?)+\s*(missing)?\s*(\?)*$""), """", PROPER(SUBSTITUTE(SUBSTITUTE(G1375, ""?"", """"), ""*"", """")))"),"Doormat Fancy Font Home Sweet Home")</f>
        <v>Doormat Fancy Font Home Sweet Home</v>
      </c>
      <c r="I1375" s="3">
        <v>2.0</v>
      </c>
      <c r="J1375" s="7">
        <v>40598.427083333336</v>
      </c>
      <c r="K1375" s="8" t="str">
        <f t="shared" si="4"/>
        <v>2011-02</v>
      </c>
      <c r="L1375" s="5">
        <v>7.95</v>
      </c>
      <c r="M1375" s="3">
        <v>17830.0</v>
      </c>
      <c r="N1375" s="1" t="str">
        <f t="shared" si="5"/>
        <v>Registered</v>
      </c>
      <c r="O1375" s="1" t="s">
        <v>19</v>
      </c>
      <c r="P1375" s="9" t="str">
        <f t="shared" si="6"/>
        <v>UK</v>
      </c>
      <c r="Q1375" s="8">
        <f t="shared" si="7"/>
        <v>15.9</v>
      </c>
    </row>
    <row r="1376">
      <c r="A1376" s="1">
        <v>544835.0</v>
      </c>
      <c r="B1376" s="1" t="str">
        <f t="shared" si="1"/>
        <v>544835</v>
      </c>
      <c r="C1376" s="1" t="str">
        <f t="shared" si="2"/>
        <v>Sale</v>
      </c>
      <c r="D1376" s="1">
        <v>21621.0</v>
      </c>
      <c r="E1376" s="1" t="str">
        <f>IFERROR(__xludf.DUMMYFUNCTION("IF(LEN(D1376)&gt;4, IFERROR(REGEXEXTRACT(TO_TEXT(D1376),""\d+""),""""),"""")"),"21621")</f>
        <v>21621</v>
      </c>
      <c r="F1376" s="6" t="str">
        <f t="shared" si="3"/>
        <v>Product</v>
      </c>
      <c r="G1376" s="1" t="s">
        <v>620</v>
      </c>
      <c r="H1376" s="6" t="str">
        <f>IFERROR(__xludf.DUMMYFUNCTION("IF(REGEXMATCH(LOWER(G1376), ""^(\?)+\s*(missing)?\s*(\?)*$""), """", PROPER(SUBSTITUTE(SUBSTITUTE(G1376, ""?"", """"), ""*"", """")))"),"Vintage Union Jack Bunting")</f>
        <v>Vintage Union Jack Bunting</v>
      </c>
      <c r="I1376" s="3">
        <v>2.0</v>
      </c>
      <c r="J1376" s="7">
        <v>40598.427083333336</v>
      </c>
      <c r="K1376" s="8" t="str">
        <f t="shared" si="4"/>
        <v>2011-02</v>
      </c>
      <c r="L1376" s="5">
        <v>8.5</v>
      </c>
      <c r="M1376" s="3">
        <v>17830.0</v>
      </c>
      <c r="N1376" s="1" t="str">
        <f t="shared" si="5"/>
        <v>Registered</v>
      </c>
      <c r="O1376" s="1" t="s">
        <v>19</v>
      </c>
      <c r="P1376" s="9" t="str">
        <f t="shared" si="6"/>
        <v>UK</v>
      </c>
      <c r="Q1376" s="8">
        <f t="shared" si="7"/>
        <v>17</v>
      </c>
    </row>
    <row r="1377">
      <c r="A1377" s="1">
        <v>544835.0</v>
      </c>
      <c r="B1377" s="1" t="str">
        <f t="shared" si="1"/>
        <v>544835</v>
      </c>
      <c r="C1377" s="1" t="str">
        <f t="shared" si="2"/>
        <v>Sale</v>
      </c>
      <c r="D1377" s="1">
        <v>85066.0</v>
      </c>
      <c r="E1377" s="1" t="str">
        <f>IFERROR(__xludf.DUMMYFUNCTION("IF(LEN(D1377)&gt;4, IFERROR(REGEXEXTRACT(TO_TEXT(D1377),""\d+""),""""),"""")"),"85066")</f>
        <v>85066</v>
      </c>
      <c r="F1377" s="6" t="str">
        <f t="shared" si="3"/>
        <v>Product</v>
      </c>
      <c r="G1377" s="1" t="s">
        <v>879</v>
      </c>
      <c r="H1377" s="6" t="str">
        <f>IFERROR(__xludf.DUMMYFUNCTION("IF(REGEXMATCH(LOWER(G1377), ""^(\?)+\s*(missing)?\s*(\?)*$""), """", PROPER(SUBSTITUTE(SUBSTITUTE(G1377, ""?"", """"), ""*"", """")))"),"Cream Sweetheart Mini Chest")</f>
        <v>Cream Sweetheart Mini Chest</v>
      </c>
      <c r="I1377" s="3">
        <v>2.0</v>
      </c>
      <c r="J1377" s="7">
        <v>40598.427083333336</v>
      </c>
      <c r="K1377" s="8" t="str">
        <f t="shared" si="4"/>
        <v>2011-02</v>
      </c>
      <c r="L1377" s="5">
        <v>12.75</v>
      </c>
      <c r="M1377" s="3">
        <v>17830.0</v>
      </c>
      <c r="N1377" s="1" t="str">
        <f t="shared" si="5"/>
        <v>Registered</v>
      </c>
      <c r="O1377" s="1" t="s">
        <v>19</v>
      </c>
      <c r="P1377" s="9" t="str">
        <f t="shared" si="6"/>
        <v>UK</v>
      </c>
      <c r="Q1377" s="8">
        <f t="shared" si="7"/>
        <v>25.5</v>
      </c>
    </row>
    <row r="1378">
      <c r="A1378" s="1">
        <v>544835.0</v>
      </c>
      <c r="B1378" s="1" t="str">
        <f t="shared" si="1"/>
        <v>544835</v>
      </c>
      <c r="C1378" s="1" t="str">
        <f t="shared" si="2"/>
        <v>Sale</v>
      </c>
      <c r="D1378" s="1">
        <v>20931.0</v>
      </c>
      <c r="E1378" s="1" t="str">
        <f>IFERROR(__xludf.DUMMYFUNCTION("IF(LEN(D1378)&gt;4, IFERROR(REGEXEXTRACT(TO_TEXT(D1378),""\d+""),""""),"""")"),"20931")</f>
        <v>20931</v>
      </c>
      <c r="F1378" s="6" t="str">
        <f t="shared" si="3"/>
        <v>Product</v>
      </c>
      <c r="G1378" s="1" t="s">
        <v>880</v>
      </c>
      <c r="H1378" s="6" t="str">
        <f>IFERROR(__xludf.DUMMYFUNCTION("IF(REGEXMATCH(LOWER(G1378), ""^(\?)+\s*(missing)?\s*(\?)*$""), """", PROPER(SUBSTITUTE(SUBSTITUTE(G1378, ""?"", """"), ""*"", """")))"),"Blue Pot Plant Candle")</f>
        <v>Blue Pot Plant Candle</v>
      </c>
      <c r="I1378" s="3">
        <v>4.0</v>
      </c>
      <c r="J1378" s="7">
        <v>40598.427083333336</v>
      </c>
      <c r="K1378" s="8" t="str">
        <f t="shared" si="4"/>
        <v>2011-02</v>
      </c>
      <c r="L1378" s="5">
        <v>3.75</v>
      </c>
      <c r="M1378" s="3">
        <v>17830.0</v>
      </c>
      <c r="N1378" s="1" t="str">
        <f t="shared" si="5"/>
        <v>Registered</v>
      </c>
      <c r="O1378" s="1" t="s">
        <v>19</v>
      </c>
      <c r="P1378" s="9" t="str">
        <f t="shared" si="6"/>
        <v>UK</v>
      </c>
      <c r="Q1378" s="8">
        <f t="shared" si="7"/>
        <v>15</v>
      </c>
    </row>
    <row r="1379">
      <c r="A1379" s="1">
        <v>544835.0</v>
      </c>
      <c r="B1379" s="1" t="str">
        <f t="shared" si="1"/>
        <v>544835</v>
      </c>
      <c r="C1379" s="1" t="str">
        <f t="shared" si="2"/>
        <v>Sale</v>
      </c>
      <c r="D1379" s="1">
        <v>22464.0</v>
      </c>
      <c r="E1379" s="1" t="str">
        <f>IFERROR(__xludf.DUMMYFUNCTION("IF(LEN(D1379)&gt;4, IFERROR(REGEXEXTRACT(TO_TEXT(D1379),""\d+""),""""),"""")"),"22464")</f>
        <v>22464</v>
      </c>
      <c r="F1379" s="6" t="str">
        <f t="shared" si="3"/>
        <v>Product</v>
      </c>
      <c r="G1379" s="1" t="s">
        <v>164</v>
      </c>
      <c r="H1379" s="6" t="str">
        <f>IFERROR(__xludf.DUMMYFUNCTION("IF(REGEXMATCH(LOWER(G1379), ""^(\?)+\s*(missing)?\s*(\?)*$""), """", PROPER(SUBSTITUTE(SUBSTITUTE(G1379, ""?"", """"), ""*"", """")))"),"Hanging Metal Heart Lantern")</f>
        <v>Hanging Metal Heart Lantern</v>
      </c>
      <c r="I1379" s="3">
        <v>12.0</v>
      </c>
      <c r="J1379" s="7">
        <v>40598.427083333336</v>
      </c>
      <c r="K1379" s="8" t="str">
        <f t="shared" si="4"/>
        <v>2011-02</v>
      </c>
      <c r="L1379" s="5">
        <v>1.65</v>
      </c>
      <c r="M1379" s="3">
        <v>17830.0</v>
      </c>
      <c r="N1379" s="1" t="str">
        <f t="shared" si="5"/>
        <v>Registered</v>
      </c>
      <c r="O1379" s="1" t="s">
        <v>19</v>
      </c>
      <c r="P1379" s="9" t="str">
        <f t="shared" si="6"/>
        <v>UK</v>
      </c>
      <c r="Q1379" s="8">
        <f t="shared" si="7"/>
        <v>19.8</v>
      </c>
    </row>
    <row r="1380">
      <c r="A1380" s="1">
        <v>544836.0</v>
      </c>
      <c r="B1380" s="1" t="str">
        <f t="shared" si="1"/>
        <v>544836</v>
      </c>
      <c r="C1380" s="1" t="str">
        <f t="shared" si="2"/>
        <v>Sale</v>
      </c>
      <c r="D1380" s="1" t="s">
        <v>17</v>
      </c>
      <c r="E1380" s="1" t="str">
        <f>IFERROR(__xludf.DUMMYFUNCTION("IF(LEN(D1380)&gt;4, IFERROR(REGEXEXTRACT(TO_TEXT(D1380),""\d+""),""""),"""")"),"85123")</f>
        <v>85123</v>
      </c>
      <c r="F1380" s="6" t="str">
        <f t="shared" si="3"/>
        <v>Product</v>
      </c>
      <c r="G1380" s="1" t="s">
        <v>18</v>
      </c>
      <c r="H1380" s="6" t="str">
        <f>IFERROR(__xludf.DUMMYFUNCTION("IF(REGEXMATCH(LOWER(G1380), ""^(\?)+\s*(missing)?\s*(\?)*$""), """", PROPER(SUBSTITUTE(SUBSTITUTE(G1380, ""?"", """"), ""*"", """")))"),"White Hanging Heart T-Light Holder")</f>
        <v>White Hanging Heart T-Light Holder</v>
      </c>
      <c r="I1380" s="3">
        <v>24.0</v>
      </c>
      <c r="J1380" s="7">
        <v>40598.43402777778</v>
      </c>
      <c r="K1380" s="8" t="str">
        <f t="shared" si="4"/>
        <v>2011-02</v>
      </c>
      <c r="L1380" s="5">
        <v>2.95</v>
      </c>
      <c r="M1380" s="3">
        <v>17613.0</v>
      </c>
      <c r="N1380" s="1" t="str">
        <f t="shared" si="5"/>
        <v>Registered</v>
      </c>
      <c r="O1380" s="1" t="s">
        <v>19</v>
      </c>
      <c r="P1380" s="9" t="str">
        <f t="shared" si="6"/>
        <v>UK</v>
      </c>
      <c r="Q1380" s="8">
        <f t="shared" si="7"/>
        <v>70.8</v>
      </c>
    </row>
    <row r="1381">
      <c r="A1381" s="1">
        <v>544836.0</v>
      </c>
      <c r="B1381" s="1" t="str">
        <f t="shared" si="1"/>
        <v>544836</v>
      </c>
      <c r="C1381" s="1" t="str">
        <f t="shared" si="2"/>
        <v>Sale</v>
      </c>
      <c r="D1381" s="1">
        <v>21733.0</v>
      </c>
      <c r="E1381" s="1" t="str">
        <f>IFERROR(__xludf.DUMMYFUNCTION("IF(LEN(D1381)&gt;4, IFERROR(REGEXEXTRACT(TO_TEXT(D1381),""\d+""),""""),"""")"),"21733")</f>
        <v>21733</v>
      </c>
      <c r="F1381" s="6" t="str">
        <f t="shared" si="3"/>
        <v>Product</v>
      </c>
      <c r="G1381" s="1" t="s">
        <v>83</v>
      </c>
      <c r="H1381" s="6" t="str">
        <f>IFERROR(__xludf.DUMMYFUNCTION("IF(REGEXMATCH(LOWER(G1381), ""^(\?)+\s*(missing)?\s*(\?)*$""), """", PROPER(SUBSTITUTE(SUBSTITUTE(G1381, ""?"", """"), ""*"", """")))"),"Red Hanging Heart T-Light Holder")</f>
        <v>Red Hanging Heart T-Light Holder</v>
      </c>
      <c r="I1381" s="3">
        <v>12.0</v>
      </c>
      <c r="J1381" s="7">
        <v>40598.43402777778</v>
      </c>
      <c r="K1381" s="8" t="str">
        <f t="shared" si="4"/>
        <v>2011-02</v>
      </c>
      <c r="L1381" s="5">
        <v>2.95</v>
      </c>
      <c r="M1381" s="3">
        <v>17613.0</v>
      </c>
      <c r="N1381" s="1" t="str">
        <f t="shared" si="5"/>
        <v>Registered</v>
      </c>
      <c r="O1381" s="1" t="s">
        <v>19</v>
      </c>
      <c r="P1381" s="9" t="str">
        <f t="shared" si="6"/>
        <v>UK</v>
      </c>
      <c r="Q1381" s="8">
        <f t="shared" si="7"/>
        <v>35.4</v>
      </c>
    </row>
    <row r="1382">
      <c r="A1382" s="1">
        <v>544836.0</v>
      </c>
      <c r="B1382" s="1" t="str">
        <f t="shared" si="1"/>
        <v>544836</v>
      </c>
      <c r="C1382" s="1" t="str">
        <f t="shared" si="2"/>
        <v>Sale</v>
      </c>
      <c r="D1382" s="1">
        <v>71459.0</v>
      </c>
      <c r="E1382" s="1" t="str">
        <f>IFERROR(__xludf.DUMMYFUNCTION("IF(LEN(D1382)&gt;4, IFERROR(REGEXEXTRACT(TO_TEXT(D1382),""\d+""),""""),"""")"),"71459")</f>
        <v>71459</v>
      </c>
      <c r="F1382" s="6" t="str">
        <f t="shared" si="3"/>
        <v>Product</v>
      </c>
      <c r="G1382" s="1" t="s">
        <v>881</v>
      </c>
      <c r="H1382" s="6" t="str">
        <f>IFERROR(__xludf.DUMMYFUNCTION("IF(REGEXMATCH(LOWER(G1382), ""^(\?)+\s*(missing)?\s*(\?)*$""), """", PROPER(SUBSTITUTE(SUBSTITUTE(G1382, ""?"", """"), ""*"", """")))"),"Hanging Jam Jar T-Light Holder")</f>
        <v>Hanging Jam Jar T-Light Holder</v>
      </c>
      <c r="I1382" s="3">
        <v>24.0</v>
      </c>
      <c r="J1382" s="7">
        <v>40598.43402777778</v>
      </c>
      <c r="K1382" s="8" t="str">
        <f t="shared" si="4"/>
        <v>2011-02</v>
      </c>
      <c r="L1382" s="5">
        <v>0.85</v>
      </c>
      <c r="M1382" s="3">
        <v>17613.0</v>
      </c>
      <c r="N1382" s="1" t="str">
        <f t="shared" si="5"/>
        <v>Registered</v>
      </c>
      <c r="O1382" s="1" t="s">
        <v>19</v>
      </c>
      <c r="P1382" s="9" t="str">
        <f t="shared" si="6"/>
        <v>UK</v>
      </c>
      <c r="Q1382" s="8">
        <f t="shared" si="7"/>
        <v>20.4</v>
      </c>
    </row>
    <row r="1383">
      <c r="A1383" s="1">
        <v>544836.0</v>
      </c>
      <c r="B1383" s="1" t="str">
        <f t="shared" si="1"/>
        <v>544836</v>
      </c>
      <c r="C1383" s="1" t="str">
        <f t="shared" si="2"/>
        <v>Sale</v>
      </c>
      <c r="D1383" s="1">
        <v>21626.0</v>
      </c>
      <c r="E1383" s="1" t="str">
        <f>IFERROR(__xludf.DUMMYFUNCTION("IF(LEN(D1383)&gt;4, IFERROR(REGEXEXTRACT(TO_TEXT(D1383),""\d+""),""""),"""")"),"21626")</f>
        <v>21626</v>
      </c>
      <c r="F1383" s="6" t="str">
        <f t="shared" si="3"/>
        <v>Product</v>
      </c>
      <c r="G1383" s="1" t="s">
        <v>882</v>
      </c>
      <c r="H1383" s="6" t="str">
        <f>IFERROR(__xludf.DUMMYFUNCTION("IF(REGEXMATCH(LOWER(G1383), ""^(\?)+\s*(missing)?\s*(\?)*$""), """", PROPER(SUBSTITUTE(SUBSTITUTE(G1383, ""?"", """"), ""*"", """")))"),"Vintage Union Jack Pennant")</f>
        <v>Vintage Union Jack Pennant</v>
      </c>
      <c r="I1383" s="3">
        <v>12.0</v>
      </c>
      <c r="J1383" s="7">
        <v>40598.43402777778</v>
      </c>
      <c r="K1383" s="8" t="str">
        <f t="shared" si="4"/>
        <v>2011-02</v>
      </c>
      <c r="L1383" s="5">
        <v>1.95</v>
      </c>
      <c r="M1383" s="3">
        <v>17613.0</v>
      </c>
      <c r="N1383" s="1" t="str">
        <f t="shared" si="5"/>
        <v>Registered</v>
      </c>
      <c r="O1383" s="1" t="s">
        <v>19</v>
      </c>
      <c r="P1383" s="9" t="str">
        <f t="shared" si="6"/>
        <v>UK</v>
      </c>
      <c r="Q1383" s="8">
        <f t="shared" si="7"/>
        <v>23.4</v>
      </c>
    </row>
    <row r="1384">
      <c r="A1384" s="1">
        <v>544836.0</v>
      </c>
      <c r="B1384" s="1" t="str">
        <f t="shared" si="1"/>
        <v>544836</v>
      </c>
      <c r="C1384" s="1" t="str">
        <f t="shared" si="2"/>
        <v>Sale</v>
      </c>
      <c r="D1384" s="1">
        <v>21136.0</v>
      </c>
      <c r="E1384" s="1" t="str">
        <f>IFERROR(__xludf.DUMMYFUNCTION("IF(LEN(D1384)&gt;4, IFERROR(REGEXEXTRACT(TO_TEXT(D1384),""\d+""),""""),"""")"),"21136")</f>
        <v>21136</v>
      </c>
      <c r="F1384" s="6" t="str">
        <f t="shared" si="3"/>
        <v>Product</v>
      </c>
      <c r="G1384" s="1" t="s">
        <v>883</v>
      </c>
      <c r="H1384" s="6" t="str">
        <f>IFERROR(__xludf.DUMMYFUNCTION("IF(REGEXMATCH(LOWER(G1384), ""^(\?)+\s*(missing)?\s*(\?)*$""), """", PROPER(SUBSTITUTE(SUBSTITUTE(G1384, ""?"", """"), ""*"", """")))"),"Painted Metal Pears Assorted")</f>
        <v>Painted Metal Pears Assorted</v>
      </c>
      <c r="I1384" s="3">
        <v>16.0</v>
      </c>
      <c r="J1384" s="7">
        <v>40598.43402777778</v>
      </c>
      <c r="K1384" s="8" t="str">
        <f t="shared" si="4"/>
        <v>2011-02</v>
      </c>
      <c r="L1384" s="5">
        <v>1.69</v>
      </c>
      <c r="M1384" s="3">
        <v>17613.0</v>
      </c>
      <c r="N1384" s="1" t="str">
        <f t="shared" si="5"/>
        <v>Registered</v>
      </c>
      <c r="O1384" s="1" t="s">
        <v>19</v>
      </c>
      <c r="P1384" s="9" t="str">
        <f t="shared" si="6"/>
        <v>UK</v>
      </c>
      <c r="Q1384" s="8">
        <f t="shared" si="7"/>
        <v>27.04</v>
      </c>
    </row>
    <row r="1385">
      <c r="A1385" s="1">
        <v>544836.0</v>
      </c>
      <c r="B1385" s="1" t="str">
        <f t="shared" si="1"/>
        <v>544836</v>
      </c>
      <c r="C1385" s="1" t="str">
        <f t="shared" si="2"/>
        <v>Sale</v>
      </c>
      <c r="D1385" s="1">
        <v>84879.0</v>
      </c>
      <c r="E1385" s="1" t="str">
        <f>IFERROR(__xludf.DUMMYFUNCTION("IF(LEN(D1385)&gt;4, IFERROR(REGEXEXTRACT(TO_TEXT(D1385),""\d+""),""""),"""")"),"84879")</f>
        <v>84879</v>
      </c>
      <c r="F1385" s="6" t="str">
        <f t="shared" si="3"/>
        <v>Product</v>
      </c>
      <c r="G1385" s="1" t="s">
        <v>31</v>
      </c>
      <c r="H1385" s="6" t="str">
        <f>IFERROR(__xludf.DUMMYFUNCTION("IF(REGEXMATCH(LOWER(G1385), ""^(\?)+\s*(missing)?\s*(\?)*$""), """", PROPER(SUBSTITUTE(SUBSTITUTE(G1385, ""?"", """"), ""*"", """")))"),"Assorted Colour Bird Ornament")</f>
        <v>Assorted Colour Bird Ornament</v>
      </c>
      <c r="I1385" s="3">
        <v>16.0</v>
      </c>
      <c r="J1385" s="7">
        <v>40598.43402777778</v>
      </c>
      <c r="K1385" s="8" t="str">
        <f t="shared" si="4"/>
        <v>2011-02</v>
      </c>
      <c r="L1385" s="5">
        <v>1.69</v>
      </c>
      <c r="M1385" s="3">
        <v>17613.0</v>
      </c>
      <c r="N1385" s="1" t="str">
        <f t="shared" si="5"/>
        <v>Registered</v>
      </c>
      <c r="O1385" s="1" t="s">
        <v>19</v>
      </c>
      <c r="P1385" s="9" t="str">
        <f t="shared" si="6"/>
        <v>UK</v>
      </c>
      <c r="Q1385" s="8">
        <f t="shared" si="7"/>
        <v>27.04</v>
      </c>
    </row>
    <row r="1386">
      <c r="A1386" s="1">
        <v>544836.0</v>
      </c>
      <c r="B1386" s="1" t="str">
        <f t="shared" si="1"/>
        <v>544836</v>
      </c>
      <c r="C1386" s="1" t="str">
        <f t="shared" si="2"/>
        <v>Sale</v>
      </c>
      <c r="D1386" s="1">
        <v>22168.0</v>
      </c>
      <c r="E1386" s="1" t="str">
        <f>IFERROR(__xludf.DUMMYFUNCTION("IF(LEN(D1386)&gt;4, IFERROR(REGEXEXTRACT(TO_TEXT(D1386),""\d+""),""""),"""")"),"22168")</f>
        <v>22168</v>
      </c>
      <c r="F1386" s="6" t="str">
        <f t="shared" si="3"/>
        <v>Product</v>
      </c>
      <c r="G1386" s="1" t="s">
        <v>178</v>
      </c>
      <c r="H1386" s="6" t="str">
        <f>IFERROR(__xludf.DUMMYFUNCTION("IF(REGEXMATCH(LOWER(G1386), ""^(\?)+\s*(missing)?\s*(\?)*$""), """", PROPER(SUBSTITUTE(SUBSTITUTE(G1386, ""?"", """"), ""*"", """")))"),"Organiser Wood Antique White")</f>
        <v>Organiser Wood Antique White</v>
      </c>
      <c r="I1386" s="3">
        <v>2.0</v>
      </c>
      <c r="J1386" s="7">
        <v>40598.43402777778</v>
      </c>
      <c r="K1386" s="8" t="str">
        <f t="shared" si="4"/>
        <v>2011-02</v>
      </c>
      <c r="L1386" s="5">
        <v>8.5</v>
      </c>
      <c r="M1386" s="3">
        <v>17613.0</v>
      </c>
      <c r="N1386" s="1" t="str">
        <f t="shared" si="5"/>
        <v>Registered</v>
      </c>
      <c r="O1386" s="1" t="s">
        <v>19</v>
      </c>
      <c r="P1386" s="9" t="str">
        <f t="shared" si="6"/>
        <v>UK</v>
      </c>
      <c r="Q1386" s="8">
        <f t="shared" si="7"/>
        <v>17</v>
      </c>
    </row>
    <row r="1387">
      <c r="A1387" s="1">
        <v>544836.0</v>
      </c>
      <c r="B1387" s="1" t="str">
        <f t="shared" si="1"/>
        <v>544836</v>
      </c>
      <c r="C1387" s="1" t="str">
        <f t="shared" si="2"/>
        <v>Sale</v>
      </c>
      <c r="D1387" s="1">
        <v>20782.0</v>
      </c>
      <c r="E1387" s="1" t="str">
        <f>IFERROR(__xludf.DUMMYFUNCTION("IF(LEN(D1387)&gt;4, IFERROR(REGEXEXTRACT(TO_TEXT(D1387),""\d+""),""""),"""")"),"20782")</f>
        <v>20782</v>
      </c>
      <c r="F1387" s="6" t="str">
        <f t="shared" si="3"/>
        <v>Product</v>
      </c>
      <c r="G1387" s="1" t="s">
        <v>884</v>
      </c>
      <c r="H1387" s="6" t="str">
        <f>IFERROR(__xludf.DUMMYFUNCTION("IF(REGEXMATCH(LOWER(G1387), ""^(\?)+\s*(missing)?\s*(\?)*$""), """", PROPER(SUBSTITUTE(SUBSTITUTE(G1387, ""?"", """"), ""*"", """")))"),"Camouflage Ear Muff Headphones")</f>
        <v>Camouflage Ear Muff Headphones</v>
      </c>
      <c r="I1387" s="3">
        <v>2.0</v>
      </c>
      <c r="J1387" s="7">
        <v>40598.43402777778</v>
      </c>
      <c r="K1387" s="8" t="str">
        <f t="shared" si="4"/>
        <v>2011-02</v>
      </c>
      <c r="L1387" s="5">
        <v>5.49</v>
      </c>
      <c r="M1387" s="3">
        <v>17613.0</v>
      </c>
      <c r="N1387" s="1" t="str">
        <f t="shared" si="5"/>
        <v>Registered</v>
      </c>
      <c r="O1387" s="1" t="s">
        <v>19</v>
      </c>
      <c r="P1387" s="9" t="str">
        <f t="shared" si="6"/>
        <v>UK</v>
      </c>
      <c r="Q1387" s="8">
        <f t="shared" si="7"/>
        <v>10.98</v>
      </c>
    </row>
    <row r="1388">
      <c r="A1388" s="1">
        <v>544836.0</v>
      </c>
      <c r="B1388" s="1" t="str">
        <f t="shared" si="1"/>
        <v>544836</v>
      </c>
      <c r="C1388" s="1" t="str">
        <f t="shared" si="2"/>
        <v>Sale</v>
      </c>
      <c r="D1388" s="1">
        <v>22245.0</v>
      </c>
      <c r="E1388" s="1" t="str">
        <f>IFERROR(__xludf.DUMMYFUNCTION("IF(LEN(D1388)&gt;4, IFERROR(REGEXEXTRACT(TO_TEXT(D1388),""\d+""),""""),"""")"),"22245")</f>
        <v>22245</v>
      </c>
      <c r="F1388" s="6" t="str">
        <f t="shared" si="3"/>
        <v>Product</v>
      </c>
      <c r="G1388" s="1" t="s">
        <v>885</v>
      </c>
      <c r="H1388" s="6" t="str">
        <f>IFERROR(__xludf.DUMMYFUNCTION("IF(REGEXMATCH(LOWER(G1388), ""^(\?)+\s*(missing)?\s*(\?)*$""), """", PROPER(SUBSTITUTE(SUBSTITUTE(G1388, ""?"", """"), ""*"", """")))"),"Hook, 1 Hanger ,Magic Garden")</f>
        <v>Hook, 1 Hanger ,Magic Garden</v>
      </c>
      <c r="I1388" s="3">
        <v>12.0</v>
      </c>
      <c r="J1388" s="7">
        <v>40598.43402777778</v>
      </c>
      <c r="K1388" s="8" t="str">
        <f t="shared" si="4"/>
        <v>2011-02</v>
      </c>
      <c r="L1388" s="5">
        <v>0.85</v>
      </c>
      <c r="M1388" s="3">
        <v>17613.0</v>
      </c>
      <c r="N1388" s="1" t="str">
        <f t="shared" si="5"/>
        <v>Registered</v>
      </c>
      <c r="O1388" s="1" t="s">
        <v>19</v>
      </c>
      <c r="P1388" s="9" t="str">
        <f t="shared" si="6"/>
        <v>UK</v>
      </c>
      <c r="Q1388" s="8">
        <f t="shared" si="7"/>
        <v>10.2</v>
      </c>
    </row>
    <row r="1389">
      <c r="A1389" s="1">
        <v>544836.0</v>
      </c>
      <c r="B1389" s="1" t="str">
        <f t="shared" si="1"/>
        <v>544836</v>
      </c>
      <c r="C1389" s="1" t="str">
        <f t="shared" si="2"/>
        <v>Sale</v>
      </c>
      <c r="D1389" s="1" t="s">
        <v>886</v>
      </c>
      <c r="E1389" s="1" t="str">
        <f>IFERROR(__xludf.DUMMYFUNCTION("IF(LEN(D1389)&gt;4, IFERROR(REGEXEXTRACT(TO_TEXT(D1389),""\d+""),""""),"""")"),"82613")</f>
        <v>82613</v>
      </c>
      <c r="F1389" s="6" t="str">
        <f t="shared" si="3"/>
        <v>Product</v>
      </c>
      <c r="G1389" s="1" t="s">
        <v>887</v>
      </c>
      <c r="H1389" s="6" t="str">
        <f>IFERROR(__xludf.DUMMYFUNCTION("IF(REGEXMATCH(LOWER(G1389), ""^(\?)+\s*(missing)?\s*(\?)*$""), """", PROPER(SUBSTITUTE(SUBSTITUTE(G1389, ""?"", """"), ""*"", """")))"),"Metal Sign,Cupcake Single Hook")</f>
        <v>Metal Sign,Cupcake Single Hook</v>
      </c>
      <c r="I1389" s="3">
        <v>8.0</v>
      </c>
      <c r="J1389" s="7">
        <v>40598.43402777778</v>
      </c>
      <c r="K1389" s="8" t="str">
        <f t="shared" si="4"/>
        <v>2011-02</v>
      </c>
      <c r="L1389" s="5">
        <v>1.25</v>
      </c>
      <c r="M1389" s="3">
        <v>17613.0</v>
      </c>
      <c r="N1389" s="1" t="str">
        <f t="shared" si="5"/>
        <v>Registered</v>
      </c>
      <c r="O1389" s="1" t="s">
        <v>19</v>
      </c>
      <c r="P1389" s="9" t="str">
        <f t="shared" si="6"/>
        <v>UK</v>
      </c>
      <c r="Q1389" s="8">
        <f t="shared" si="7"/>
        <v>10</v>
      </c>
    </row>
    <row r="1390">
      <c r="A1390" s="1">
        <v>544836.0</v>
      </c>
      <c r="B1390" s="1" t="str">
        <f t="shared" si="1"/>
        <v>544836</v>
      </c>
      <c r="C1390" s="1" t="str">
        <f t="shared" si="2"/>
        <v>Sale</v>
      </c>
      <c r="D1390" s="1" t="s">
        <v>888</v>
      </c>
      <c r="E1390" s="1" t="str">
        <f>IFERROR(__xludf.DUMMYFUNCTION("IF(LEN(D1390)&gt;4, IFERROR(REGEXEXTRACT(TO_TEXT(D1390),""\d+""),""""),"""")"),"17107")</f>
        <v>17107</v>
      </c>
      <c r="F1390" s="6" t="str">
        <f t="shared" si="3"/>
        <v>Product</v>
      </c>
      <c r="G1390" s="1" t="s">
        <v>889</v>
      </c>
      <c r="H1390" s="6" t="str">
        <f>IFERROR(__xludf.DUMMYFUNCTION("IF(REGEXMATCH(LOWER(G1390), ""^(\?)+\s*(missing)?\s*(\?)*$""), """", PROPER(SUBSTITUTE(SUBSTITUTE(G1390, ""?"", """"), ""*"", """")))"),"Flower Fairy,5 Summer B'Draw Liners")</f>
        <v>Flower Fairy,5 Summer B'Draw Liners</v>
      </c>
      <c r="I1390" s="3">
        <v>6.0</v>
      </c>
      <c r="J1390" s="7">
        <v>40598.43402777778</v>
      </c>
      <c r="K1390" s="8" t="str">
        <f t="shared" si="4"/>
        <v>2011-02</v>
      </c>
      <c r="L1390" s="5">
        <v>2.55</v>
      </c>
      <c r="M1390" s="3">
        <v>17613.0</v>
      </c>
      <c r="N1390" s="1" t="str">
        <f t="shared" si="5"/>
        <v>Registered</v>
      </c>
      <c r="O1390" s="1" t="s">
        <v>19</v>
      </c>
      <c r="P1390" s="9" t="str">
        <f t="shared" si="6"/>
        <v>UK</v>
      </c>
      <c r="Q1390" s="8">
        <f t="shared" si="7"/>
        <v>15.3</v>
      </c>
    </row>
    <row r="1391">
      <c r="A1391" s="1">
        <v>544836.0</v>
      </c>
      <c r="B1391" s="1" t="str">
        <f t="shared" si="1"/>
        <v>544836</v>
      </c>
      <c r="C1391" s="1" t="str">
        <f t="shared" si="2"/>
        <v>Sale</v>
      </c>
      <c r="D1391" s="1">
        <v>22919.0</v>
      </c>
      <c r="E1391" s="1" t="str">
        <f>IFERROR(__xludf.DUMMYFUNCTION("IF(LEN(D1391)&gt;4, IFERROR(REGEXEXTRACT(TO_TEXT(D1391),""\d+""),""""),"""")"),"22919")</f>
        <v>22919</v>
      </c>
      <c r="F1391" s="6" t="str">
        <f t="shared" si="3"/>
        <v>Product</v>
      </c>
      <c r="G1391" s="1" t="s">
        <v>664</v>
      </c>
      <c r="H1391" s="6" t="str">
        <f>IFERROR(__xludf.DUMMYFUNCTION("IF(REGEXMATCH(LOWER(G1391), ""^(\?)+\s*(missing)?\s*(\?)*$""), """", PROPER(SUBSTITUTE(SUBSTITUTE(G1391, ""?"", """"), ""*"", """")))"),"Herb Marker Mint")</f>
        <v>Herb Marker Mint</v>
      </c>
      <c r="I1391" s="3">
        <v>12.0</v>
      </c>
      <c r="J1391" s="7">
        <v>40598.43402777778</v>
      </c>
      <c r="K1391" s="8" t="str">
        <f t="shared" si="4"/>
        <v>2011-02</v>
      </c>
      <c r="L1391" s="5">
        <v>0.65</v>
      </c>
      <c r="M1391" s="3">
        <v>17613.0</v>
      </c>
      <c r="N1391" s="1" t="str">
        <f t="shared" si="5"/>
        <v>Registered</v>
      </c>
      <c r="O1391" s="1" t="s">
        <v>19</v>
      </c>
      <c r="P1391" s="9" t="str">
        <f t="shared" si="6"/>
        <v>UK</v>
      </c>
      <c r="Q1391" s="8">
        <f t="shared" si="7"/>
        <v>7.8</v>
      </c>
    </row>
    <row r="1392">
      <c r="A1392" s="1">
        <v>544836.0</v>
      </c>
      <c r="B1392" s="1" t="str">
        <f t="shared" si="1"/>
        <v>544836</v>
      </c>
      <c r="C1392" s="1" t="str">
        <f t="shared" si="2"/>
        <v>Sale</v>
      </c>
      <c r="D1392" s="1">
        <v>22918.0</v>
      </c>
      <c r="E1392" s="1" t="str">
        <f>IFERROR(__xludf.DUMMYFUNCTION("IF(LEN(D1392)&gt;4, IFERROR(REGEXEXTRACT(TO_TEXT(D1392),""\d+""),""""),"""")"),"22918")</f>
        <v>22918</v>
      </c>
      <c r="F1392" s="6" t="str">
        <f t="shared" si="3"/>
        <v>Product</v>
      </c>
      <c r="G1392" s="1" t="s">
        <v>668</v>
      </c>
      <c r="H1392" s="6" t="str">
        <f>IFERROR(__xludf.DUMMYFUNCTION("IF(REGEXMATCH(LOWER(G1392), ""^(\?)+\s*(missing)?\s*(\?)*$""), """", PROPER(SUBSTITUTE(SUBSTITUTE(G1392, ""?"", """"), ""*"", """")))"),"Herb Marker Parsley")</f>
        <v>Herb Marker Parsley</v>
      </c>
      <c r="I1392" s="3">
        <v>12.0</v>
      </c>
      <c r="J1392" s="7">
        <v>40598.43402777778</v>
      </c>
      <c r="K1392" s="8" t="str">
        <f t="shared" si="4"/>
        <v>2011-02</v>
      </c>
      <c r="L1392" s="5">
        <v>0.65</v>
      </c>
      <c r="M1392" s="3">
        <v>17613.0</v>
      </c>
      <c r="N1392" s="1" t="str">
        <f t="shared" si="5"/>
        <v>Registered</v>
      </c>
      <c r="O1392" s="1" t="s">
        <v>19</v>
      </c>
      <c r="P1392" s="9" t="str">
        <f t="shared" si="6"/>
        <v>UK</v>
      </c>
      <c r="Q1392" s="8">
        <f t="shared" si="7"/>
        <v>7.8</v>
      </c>
    </row>
    <row r="1393">
      <c r="A1393" s="1">
        <v>544836.0</v>
      </c>
      <c r="B1393" s="1" t="str">
        <f t="shared" si="1"/>
        <v>544836</v>
      </c>
      <c r="C1393" s="1" t="str">
        <f t="shared" si="2"/>
        <v>Sale</v>
      </c>
      <c r="D1393" s="1">
        <v>22921.0</v>
      </c>
      <c r="E1393" s="1" t="str">
        <f>IFERROR(__xludf.DUMMYFUNCTION("IF(LEN(D1393)&gt;4, IFERROR(REGEXEXTRACT(TO_TEXT(D1393),""\d+""),""""),"""")"),"22921")</f>
        <v>22921</v>
      </c>
      <c r="F1393" s="6" t="str">
        <f t="shared" si="3"/>
        <v>Product</v>
      </c>
      <c r="G1393" s="1" t="s">
        <v>667</v>
      </c>
      <c r="H1393" s="6" t="str">
        <f>IFERROR(__xludf.DUMMYFUNCTION("IF(REGEXMATCH(LOWER(G1393), ""^(\?)+\s*(missing)?\s*(\?)*$""), """", PROPER(SUBSTITUTE(SUBSTITUTE(G1393, ""?"", """"), ""*"", """")))"),"Herb Marker Chives")</f>
        <v>Herb Marker Chives</v>
      </c>
      <c r="I1393" s="3">
        <v>12.0</v>
      </c>
      <c r="J1393" s="7">
        <v>40598.43402777778</v>
      </c>
      <c r="K1393" s="8" t="str">
        <f t="shared" si="4"/>
        <v>2011-02</v>
      </c>
      <c r="L1393" s="5">
        <v>0.65</v>
      </c>
      <c r="M1393" s="3">
        <v>17613.0</v>
      </c>
      <c r="N1393" s="1" t="str">
        <f t="shared" si="5"/>
        <v>Registered</v>
      </c>
      <c r="O1393" s="1" t="s">
        <v>19</v>
      </c>
      <c r="P1393" s="9" t="str">
        <f t="shared" si="6"/>
        <v>UK</v>
      </c>
      <c r="Q1393" s="8">
        <f t="shared" si="7"/>
        <v>7.8</v>
      </c>
    </row>
    <row r="1394">
      <c r="A1394" s="1">
        <v>544836.0</v>
      </c>
      <c r="B1394" s="1" t="str">
        <f t="shared" si="1"/>
        <v>544836</v>
      </c>
      <c r="C1394" s="1" t="str">
        <f t="shared" si="2"/>
        <v>Sale</v>
      </c>
      <c r="D1394" s="1" t="s">
        <v>890</v>
      </c>
      <c r="E1394" s="1" t="str">
        <f>IFERROR(__xludf.DUMMYFUNCTION("IF(LEN(D1394)&gt;4, IFERROR(REGEXEXTRACT(TO_TEXT(D1394),""\d+""),""""),"""")"),"84884")</f>
        <v>84884</v>
      </c>
      <c r="F1394" s="6" t="str">
        <f t="shared" si="3"/>
        <v>Product</v>
      </c>
      <c r="G1394" s="1" t="s">
        <v>891</v>
      </c>
      <c r="H1394" s="6" t="str">
        <f>IFERROR(__xludf.DUMMYFUNCTION("IF(REGEXMATCH(LOWER(G1394), ""^(\?)+\s*(missing)?\s*(\?)*$""), """", PROPER(SUBSTITUTE(SUBSTITUTE(G1394, ""?"", """"), ""*"", """")))"),"Ant White Wire Heart Spiral")</f>
        <v>Ant White Wire Heart Spiral</v>
      </c>
      <c r="I1394" s="3">
        <v>5.0</v>
      </c>
      <c r="J1394" s="7">
        <v>40598.43402777778</v>
      </c>
      <c r="K1394" s="8" t="str">
        <f t="shared" si="4"/>
        <v>2011-02</v>
      </c>
      <c r="L1394" s="5">
        <v>3.95</v>
      </c>
      <c r="M1394" s="3">
        <v>17613.0</v>
      </c>
      <c r="N1394" s="1" t="str">
        <f t="shared" si="5"/>
        <v>Registered</v>
      </c>
      <c r="O1394" s="1" t="s">
        <v>19</v>
      </c>
      <c r="P1394" s="9" t="str">
        <f t="shared" si="6"/>
        <v>UK</v>
      </c>
      <c r="Q1394" s="8">
        <f t="shared" si="7"/>
        <v>19.75</v>
      </c>
    </row>
    <row r="1395">
      <c r="A1395" s="1">
        <v>544837.0</v>
      </c>
      <c r="B1395" s="1" t="str">
        <f t="shared" si="1"/>
        <v>544837</v>
      </c>
      <c r="C1395" s="1" t="str">
        <f t="shared" si="2"/>
        <v>Sale</v>
      </c>
      <c r="D1395" s="1">
        <v>21735.0</v>
      </c>
      <c r="E1395" s="1" t="str">
        <f>IFERROR(__xludf.DUMMYFUNCTION("IF(LEN(D1395)&gt;4, IFERROR(REGEXEXTRACT(TO_TEXT(D1395),""\d+""),""""),"""")"),"21735")</f>
        <v>21735</v>
      </c>
      <c r="F1395" s="6" t="str">
        <f t="shared" si="3"/>
        <v>Product</v>
      </c>
      <c r="G1395" s="1" t="s">
        <v>871</v>
      </c>
      <c r="H1395" s="6" t="str">
        <f>IFERROR(__xludf.DUMMYFUNCTION("IF(REGEXMATCH(LOWER(G1395), ""^(\?)+\s*(missing)?\s*(\?)*$""), """", PROPER(SUBSTITUTE(SUBSTITUTE(G1395, ""?"", """"), ""*"", """")))"),"Two Door Curio Cabinet")</f>
        <v>Two Door Curio Cabinet</v>
      </c>
      <c r="I1395" s="3">
        <v>1.0</v>
      </c>
      <c r="J1395" s="7">
        <v>40598.43680555555</v>
      </c>
      <c r="K1395" s="8" t="str">
        <f t="shared" si="4"/>
        <v>2011-02</v>
      </c>
      <c r="L1395" s="5">
        <v>12.75</v>
      </c>
      <c r="M1395" s="3">
        <v>15910.0</v>
      </c>
      <c r="N1395" s="1" t="str">
        <f t="shared" si="5"/>
        <v>Registered</v>
      </c>
      <c r="O1395" s="1" t="s">
        <v>19</v>
      </c>
      <c r="P1395" s="9" t="str">
        <f t="shared" si="6"/>
        <v>UK</v>
      </c>
      <c r="Q1395" s="8">
        <f t="shared" si="7"/>
        <v>12.75</v>
      </c>
    </row>
    <row r="1396">
      <c r="A1396" s="1">
        <v>544837.0</v>
      </c>
      <c r="B1396" s="1" t="str">
        <f t="shared" si="1"/>
        <v>544837</v>
      </c>
      <c r="C1396" s="1" t="str">
        <f t="shared" si="2"/>
        <v>Sale</v>
      </c>
      <c r="D1396" s="1">
        <v>22168.0</v>
      </c>
      <c r="E1396" s="1" t="str">
        <f>IFERROR(__xludf.DUMMYFUNCTION("IF(LEN(D1396)&gt;4, IFERROR(REGEXEXTRACT(TO_TEXT(D1396),""\d+""),""""),"""")"),"22168")</f>
        <v>22168</v>
      </c>
      <c r="F1396" s="6" t="str">
        <f t="shared" si="3"/>
        <v>Product</v>
      </c>
      <c r="G1396" s="1" t="s">
        <v>178</v>
      </c>
      <c r="H1396" s="6" t="str">
        <f>IFERROR(__xludf.DUMMYFUNCTION("IF(REGEXMATCH(LOWER(G1396), ""^(\?)+\s*(missing)?\s*(\?)*$""), """", PROPER(SUBSTITUTE(SUBSTITUTE(G1396, ""?"", """"), ""*"", """")))"),"Organiser Wood Antique White")</f>
        <v>Organiser Wood Antique White</v>
      </c>
      <c r="I1396" s="3">
        <v>1.0</v>
      </c>
      <c r="J1396" s="7">
        <v>40598.43680555555</v>
      </c>
      <c r="K1396" s="8" t="str">
        <f t="shared" si="4"/>
        <v>2011-02</v>
      </c>
      <c r="L1396" s="5">
        <v>8.5</v>
      </c>
      <c r="M1396" s="3">
        <v>15910.0</v>
      </c>
      <c r="N1396" s="1" t="str">
        <f t="shared" si="5"/>
        <v>Registered</v>
      </c>
      <c r="O1396" s="1" t="s">
        <v>19</v>
      </c>
      <c r="P1396" s="9" t="str">
        <f t="shared" si="6"/>
        <v>UK</v>
      </c>
      <c r="Q1396" s="8">
        <f t="shared" si="7"/>
        <v>8.5</v>
      </c>
    </row>
    <row r="1397">
      <c r="A1397" s="1">
        <v>544837.0</v>
      </c>
      <c r="B1397" s="1" t="str">
        <f t="shared" si="1"/>
        <v>544837</v>
      </c>
      <c r="C1397" s="1" t="str">
        <f t="shared" si="2"/>
        <v>Sale</v>
      </c>
      <c r="D1397" s="1">
        <v>82567.0</v>
      </c>
      <c r="E1397" s="1" t="str">
        <f>IFERROR(__xludf.DUMMYFUNCTION("IF(LEN(D1397)&gt;4, IFERROR(REGEXEXTRACT(TO_TEXT(D1397),""\d+""),""""),"""")"),"82567")</f>
        <v>82567</v>
      </c>
      <c r="F1397" s="6" t="str">
        <f t="shared" si="3"/>
        <v>Product</v>
      </c>
      <c r="G1397" s="1" t="s">
        <v>113</v>
      </c>
      <c r="H1397" s="6" t="str">
        <f>IFERROR(__xludf.DUMMYFUNCTION("IF(REGEXMATCH(LOWER(G1397), ""^(\?)+\s*(missing)?\s*(\?)*$""), """", PROPER(SUBSTITUTE(SUBSTITUTE(G1397, ""?"", """"), ""*"", """")))"),"Airline Lounge,Metal Sign")</f>
        <v>Airline Lounge,Metal Sign</v>
      </c>
      <c r="I1397" s="3">
        <v>1.0</v>
      </c>
      <c r="J1397" s="7">
        <v>40598.43680555555</v>
      </c>
      <c r="K1397" s="8" t="str">
        <f t="shared" si="4"/>
        <v>2011-02</v>
      </c>
      <c r="L1397" s="5">
        <v>2.1</v>
      </c>
      <c r="M1397" s="3">
        <v>15910.0</v>
      </c>
      <c r="N1397" s="1" t="str">
        <f t="shared" si="5"/>
        <v>Registered</v>
      </c>
      <c r="O1397" s="1" t="s">
        <v>19</v>
      </c>
      <c r="P1397" s="9" t="str">
        <f t="shared" si="6"/>
        <v>UK</v>
      </c>
      <c r="Q1397" s="8">
        <f t="shared" si="7"/>
        <v>2.1</v>
      </c>
    </row>
    <row r="1398">
      <c r="A1398" s="1">
        <v>544837.0</v>
      </c>
      <c r="B1398" s="1" t="str">
        <f t="shared" si="1"/>
        <v>544837</v>
      </c>
      <c r="C1398" s="1" t="str">
        <f t="shared" si="2"/>
        <v>Sale</v>
      </c>
      <c r="D1398" s="1">
        <v>21181.0</v>
      </c>
      <c r="E1398" s="1" t="str">
        <f>IFERROR(__xludf.DUMMYFUNCTION("IF(LEN(D1398)&gt;4, IFERROR(REGEXEXTRACT(TO_TEXT(D1398),""\d+""),""""),"""")"),"21181")</f>
        <v>21181</v>
      </c>
      <c r="F1398" s="6" t="str">
        <f t="shared" si="3"/>
        <v>Product</v>
      </c>
      <c r="G1398" s="1" t="s">
        <v>776</v>
      </c>
      <c r="H1398" s="6" t="str">
        <f>IFERROR(__xludf.DUMMYFUNCTION("IF(REGEXMATCH(LOWER(G1398), ""^(\?)+\s*(missing)?\s*(\?)*$""), """", PROPER(SUBSTITUTE(SUBSTITUTE(G1398, ""?"", """"), ""*"", """")))"),"Please One Person Metal Sign")</f>
        <v>Please One Person Metal Sign</v>
      </c>
      <c r="I1398" s="3">
        <v>1.0</v>
      </c>
      <c r="J1398" s="7">
        <v>40598.43680555555</v>
      </c>
      <c r="K1398" s="8" t="str">
        <f t="shared" si="4"/>
        <v>2011-02</v>
      </c>
      <c r="L1398" s="5">
        <v>2.1</v>
      </c>
      <c r="M1398" s="3">
        <v>15910.0</v>
      </c>
      <c r="N1398" s="1" t="str">
        <f t="shared" si="5"/>
        <v>Registered</v>
      </c>
      <c r="O1398" s="1" t="s">
        <v>19</v>
      </c>
      <c r="P1398" s="9" t="str">
        <f t="shared" si="6"/>
        <v>UK</v>
      </c>
      <c r="Q1398" s="8">
        <f t="shared" si="7"/>
        <v>2.1</v>
      </c>
    </row>
    <row r="1399">
      <c r="A1399" s="1">
        <v>544837.0</v>
      </c>
      <c r="B1399" s="1" t="str">
        <f t="shared" si="1"/>
        <v>544837</v>
      </c>
      <c r="C1399" s="1" t="str">
        <f t="shared" si="2"/>
        <v>Sale</v>
      </c>
      <c r="D1399" s="1">
        <v>22413.0</v>
      </c>
      <c r="E1399" s="1" t="str">
        <f>IFERROR(__xludf.DUMMYFUNCTION("IF(LEN(D1399)&gt;4, IFERROR(REGEXEXTRACT(TO_TEXT(D1399),""\d+""),""""),"""")"),"22413")</f>
        <v>22413</v>
      </c>
      <c r="F1399" s="6" t="str">
        <f t="shared" si="3"/>
        <v>Product</v>
      </c>
      <c r="G1399" s="1" t="s">
        <v>299</v>
      </c>
      <c r="H1399" s="6" t="str">
        <f>IFERROR(__xludf.DUMMYFUNCTION("IF(REGEXMATCH(LOWER(G1399), ""^(\?)+\s*(missing)?\s*(\?)*$""), """", PROPER(SUBSTITUTE(SUBSTITUTE(G1399, ""?"", """"), ""*"", """")))"),"Metal Sign Take It Or Leave It")</f>
        <v>Metal Sign Take It Or Leave It</v>
      </c>
      <c r="I1399" s="3">
        <v>1.0</v>
      </c>
      <c r="J1399" s="7">
        <v>40598.43680555555</v>
      </c>
      <c r="K1399" s="8" t="str">
        <f t="shared" si="4"/>
        <v>2011-02</v>
      </c>
      <c r="L1399" s="5">
        <v>2.95</v>
      </c>
      <c r="M1399" s="3">
        <v>15910.0</v>
      </c>
      <c r="N1399" s="1" t="str">
        <f t="shared" si="5"/>
        <v>Registered</v>
      </c>
      <c r="O1399" s="1" t="s">
        <v>19</v>
      </c>
      <c r="P1399" s="9" t="str">
        <f t="shared" si="6"/>
        <v>UK</v>
      </c>
      <c r="Q1399" s="8">
        <f t="shared" si="7"/>
        <v>2.95</v>
      </c>
    </row>
    <row r="1400">
      <c r="A1400" s="1">
        <v>544837.0</v>
      </c>
      <c r="B1400" s="1" t="str">
        <f t="shared" si="1"/>
        <v>544837</v>
      </c>
      <c r="C1400" s="1" t="str">
        <f t="shared" si="2"/>
        <v>Sale</v>
      </c>
      <c r="D1400" s="1">
        <v>22115.0</v>
      </c>
      <c r="E1400" s="1" t="str">
        <f>IFERROR(__xludf.DUMMYFUNCTION("IF(LEN(D1400)&gt;4, IFERROR(REGEXEXTRACT(TO_TEXT(D1400),""\d+""),""""),"""")"),"22115")</f>
        <v>22115</v>
      </c>
      <c r="F1400" s="6" t="str">
        <f t="shared" si="3"/>
        <v>Product</v>
      </c>
      <c r="G1400" s="1" t="s">
        <v>518</v>
      </c>
      <c r="H1400" s="6" t="str">
        <f>IFERROR(__xludf.DUMMYFUNCTION("IF(REGEXMATCH(LOWER(G1400), ""^(\?)+\s*(missing)?\s*(\?)*$""), """", PROPER(SUBSTITUTE(SUBSTITUTE(G1400, ""?"", """"), ""*"", """")))"),"Metal Sign Empire Tea")</f>
        <v>Metal Sign Empire Tea</v>
      </c>
      <c r="I1400" s="3">
        <v>1.0</v>
      </c>
      <c r="J1400" s="7">
        <v>40598.43680555555</v>
      </c>
      <c r="K1400" s="8" t="str">
        <f t="shared" si="4"/>
        <v>2011-02</v>
      </c>
      <c r="L1400" s="5">
        <v>2.95</v>
      </c>
      <c r="M1400" s="3">
        <v>15910.0</v>
      </c>
      <c r="N1400" s="1" t="str">
        <f t="shared" si="5"/>
        <v>Registered</v>
      </c>
      <c r="O1400" s="1" t="s">
        <v>19</v>
      </c>
      <c r="P1400" s="9" t="str">
        <f t="shared" si="6"/>
        <v>UK</v>
      </c>
      <c r="Q1400" s="8">
        <f t="shared" si="7"/>
        <v>2.95</v>
      </c>
    </row>
    <row r="1401">
      <c r="A1401" s="1">
        <v>544837.0</v>
      </c>
      <c r="B1401" s="1" t="str">
        <f t="shared" si="1"/>
        <v>544837</v>
      </c>
      <c r="C1401" s="1" t="str">
        <f t="shared" si="2"/>
        <v>Sale</v>
      </c>
      <c r="D1401" s="1">
        <v>21992.0</v>
      </c>
      <c r="E1401" s="1" t="str">
        <f>IFERROR(__xludf.DUMMYFUNCTION("IF(LEN(D1401)&gt;4, IFERROR(REGEXEXTRACT(TO_TEXT(D1401),""\d+""),""""),"""")"),"21992")</f>
        <v>21992</v>
      </c>
      <c r="F1401" s="6" t="str">
        <f t="shared" si="3"/>
        <v>Product</v>
      </c>
      <c r="G1401" s="1" t="s">
        <v>583</v>
      </c>
      <c r="H1401" s="6" t="str">
        <f>IFERROR(__xludf.DUMMYFUNCTION("IF(REGEXMATCH(LOWER(G1401), ""^(\?)+\s*(missing)?\s*(\?)*$""), """", PROPER(SUBSTITUTE(SUBSTITUTE(G1401, ""?"", """"), ""*"", """")))"),"Vintage Paisley Stationery Set")</f>
        <v>Vintage Paisley Stationery Set</v>
      </c>
      <c r="I1401" s="3">
        <v>1.0</v>
      </c>
      <c r="J1401" s="7">
        <v>40598.43680555555</v>
      </c>
      <c r="K1401" s="8" t="str">
        <f t="shared" si="4"/>
        <v>2011-02</v>
      </c>
      <c r="L1401" s="5">
        <v>2.95</v>
      </c>
      <c r="M1401" s="3">
        <v>15910.0</v>
      </c>
      <c r="N1401" s="1" t="str">
        <f t="shared" si="5"/>
        <v>Registered</v>
      </c>
      <c r="O1401" s="1" t="s">
        <v>19</v>
      </c>
      <c r="P1401" s="9" t="str">
        <f t="shared" si="6"/>
        <v>UK</v>
      </c>
      <c r="Q1401" s="8">
        <f t="shared" si="7"/>
        <v>2.95</v>
      </c>
    </row>
    <row r="1402">
      <c r="A1402" s="1">
        <v>544837.0</v>
      </c>
      <c r="B1402" s="1" t="str">
        <f t="shared" si="1"/>
        <v>544837</v>
      </c>
      <c r="C1402" s="1" t="str">
        <f t="shared" si="2"/>
        <v>Sale</v>
      </c>
      <c r="D1402" s="1">
        <v>22699.0</v>
      </c>
      <c r="E1402" s="1" t="str">
        <f>IFERROR(__xludf.DUMMYFUNCTION("IF(LEN(D1402)&gt;4, IFERROR(REGEXEXTRACT(TO_TEXT(D1402),""\d+""),""""),"""")"),"22699")</f>
        <v>22699</v>
      </c>
      <c r="F1402" s="6" t="str">
        <f t="shared" si="3"/>
        <v>Product</v>
      </c>
      <c r="G1402" s="1" t="s">
        <v>684</v>
      </c>
      <c r="H1402" s="6" t="str">
        <f>IFERROR(__xludf.DUMMYFUNCTION("IF(REGEXMATCH(LOWER(G1402), ""^(\?)+\s*(missing)?\s*(\?)*$""), """", PROPER(SUBSTITUTE(SUBSTITUTE(G1402, ""?"", """"), ""*"", """")))"),"Roses Regency Teacup And Saucer")</f>
        <v>Roses Regency Teacup And Saucer</v>
      </c>
      <c r="I1402" s="3">
        <v>1.0</v>
      </c>
      <c r="J1402" s="7">
        <v>40598.43680555555</v>
      </c>
      <c r="K1402" s="8" t="str">
        <f t="shared" si="4"/>
        <v>2011-02</v>
      </c>
      <c r="L1402" s="5">
        <v>2.95</v>
      </c>
      <c r="M1402" s="3">
        <v>15910.0</v>
      </c>
      <c r="N1402" s="1" t="str">
        <f t="shared" si="5"/>
        <v>Registered</v>
      </c>
      <c r="O1402" s="1" t="s">
        <v>19</v>
      </c>
      <c r="P1402" s="9" t="str">
        <f t="shared" si="6"/>
        <v>UK</v>
      </c>
      <c r="Q1402" s="8">
        <f t="shared" si="7"/>
        <v>2.95</v>
      </c>
    </row>
    <row r="1403">
      <c r="A1403" s="1">
        <v>544837.0</v>
      </c>
      <c r="B1403" s="1" t="str">
        <f t="shared" si="1"/>
        <v>544837</v>
      </c>
      <c r="C1403" s="1" t="str">
        <f t="shared" si="2"/>
        <v>Sale</v>
      </c>
      <c r="D1403" s="1">
        <v>22697.0</v>
      </c>
      <c r="E1403" s="1" t="str">
        <f>IFERROR(__xludf.DUMMYFUNCTION("IF(LEN(D1403)&gt;4, IFERROR(REGEXEXTRACT(TO_TEXT(D1403),""\d+""),""""),"""")"),"22697")</f>
        <v>22697</v>
      </c>
      <c r="F1403" s="6" t="str">
        <f t="shared" si="3"/>
        <v>Product</v>
      </c>
      <c r="G1403" s="1" t="s">
        <v>682</v>
      </c>
      <c r="H1403" s="6" t="str">
        <f>IFERROR(__xludf.DUMMYFUNCTION("IF(REGEXMATCH(LOWER(G1403), ""^(\?)+\s*(missing)?\s*(\?)*$""), """", PROPER(SUBSTITUTE(SUBSTITUTE(G1403, ""?"", """"), ""*"", """")))"),"Green Regency Teacup And Saucer")</f>
        <v>Green Regency Teacup And Saucer</v>
      </c>
      <c r="I1403" s="3">
        <v>1.0</v>
      </c>
      <c r="J1403" s="7">
        <v>40598.43680555555</v>
      </c>
      <c r="K1403" s="8" t="str">
        <f t="shared" si="4"/>
        <v>2011-02</v>
      </c>
      <c r="L1403" s="5">
        <v>2.95</v>
      </c>
      <c r="M1403" s="3">
        <v>15910.0</v>
      </c>
      <c r="N1403" s="1" t="str">
        <f t="shared" si="5"/>
        <v>Registered</v>
      </c>
      <c r="O1403" s="1" t="s">
        <v>19</v>
      </c>
      <c r="P1403" s="9" t="str">
        <f t="shared" si="6"/>
        <v>UK</v>
      </c>
      <c r="Q1403" s="8">
        <f t="shared" si="7"/>
        <v>2.95</v>
      </c>
    </row>
    <row r="1404">
      <c r="A1404" s="1">
        <v>544837.0</v>
      </c>
      <c r="B1404" s="1" t="str">
        <f t="shared" si="1"/>
        <v>544837</v>
      </c>
      <c r="C1404" s="1" t="str">
        <f t="shared" si="2"/>
        <v>Sale</v>
      </c>
      <c r="D1404" s="1">
        <v>22088.0</v>
      </c>
      <c r="E1404" s="1" t="str">
        <f>IFERROR(__xludf.DUMMYFUNCTION("IF(LEN(D1404)&gt;4, IFERROR(REGEXEXTRACT(TO_TEXT(D1404),""\d+""),""""),"""")"),"22088")</f>
        <v>22088</v>
      </c>
      <c r="F1404" s="6" t="str">
        <f t="shared" si="3"/>
        <v>Product</v>
      </c>
      <c r="G1404" s="1" t="s">
        <v>892</v>
      </c>
      <c r="H1404" s="6" t="str">
        <f>IFERROR(__xludf.DUMMYFUNCTION("IF(REGEXMATCH(LOWER(G1404), ""^(\?)+\s*(missing)?\s*(\?)*$""), """", PROPER(SUBSTITUTE(SUBSTITUTE(G1404, ""?"", """"), ""*"", """")))"),"Paper Bunting Coloured Lace")</f>
        <v>Paper Bunting Coloured Lace</v>
      </c>
      <c r="I1404" s="3">
        <v>1.0</v>
      </c>
      <c r="J1404" s="7">
        <v>40598.43680555555</v>
      </c>
      <c r="K1404" s="8" t="str">
        <f t="shared" si="4"/>
        <v>2011-02</v>
      </c>
      <c r="L1404" s="5">
        <v>2.95</v>
      </c>
      <c r="M1404" s="3">
        <v>15910.0</v>
      </c>
      <c r="N1404" s="1" t="str">
        <f t="shared" si="5"/>
        <v>Registered</v>
      </c>
      <c r="O1404" s="1" t="s">
        <v>19</v>
      </c>
      <c r="P1404" s="9" t="str">
        <f t="shared" si="6"/>
        <v>UK</v>
      </c>
      <c r="Q1404" s="8">
        <f t="shared" si="7"/>
        <v>2.95</v>
      </c>
    </row>
    <row r="1405">
      <c r="A1405" s="1">
        <v>544837.0</v>
      </c>
      <c r="B1405" s="1" t="str">
        <f t="shared" si="1"/>
        <v>544837</v>
      </c>
      <c r="C1405" s="1" t="str">
        <f t="shared" si="2"/>
        <v>Sale</v>
      </c>
      <c r="D1405" s="1">
        <v>22087.0</v>
      </c>
      <c r="E1405" s="1" t="str">
        <f>IFERROR(__xludf.DUMMYFUNCTION("IF(LEN(D1405)&gt;4, IFERROR(REGEXEXTRACT(TO_TEXT(D1405),""\d+""),""""),"""")"),"22087")</f>
        <v>22087</v>
      </c>
      <c r="F1405" s="6" t="str">
        <f t="shared" si="3"/>
        <v>Product</v>
      </c>
      <c r="G1405" s="1" t="s">
        <v>626</v>
      </c>
      <c r="H1405" s="6" t="str">
        <f>IFERROR(__xludf.DUMMYFUNCTION("IF(REGEXMATCH(LOWER(G1405), ""^(\?)+\s*(missing)?\s*(\?)*$""), """", PROPER(SUBSTITUTE(SUBSTITUTE(G1405, ""?"", """"), ""*"", """")))"),"Paper Bunting White Lace")</f>
        <v>Paper Bunting White Lace</v>
      </c>
      <c r="I1405" s="3">
        <v>1.0</v>
      </c>
      <c r="J1405" s="7">
        <v>40598.43680555555</v>
      </c>
      <c r="K1405" s="8" t="str">
        <f t="shared" si="4"/>
        <v>2011-02</v>
      </c>
      <c r="L1405" s="5">
        <v>2.95</v>
      </c>
      <c r="M1405" s="3">
        <v>15910.0</v>
      </c>
      <c r="N1405" s="1" t="str">
        <f t="shared" si="5"/>
        <v>Registered</v>
      </c>
      <c r="O1405" s="1" t="s">
        <v>19</v>
      </c>
      <c r="P1405" s="9" t="str">
        <f t="shared" si="6"/>
        <v>UK</v>
      </c>
      <c r="Q1405" s="8">
        <f t="shared" si="7"/>
        <v>2.95</v>
      </c>
    </row>
    <row r="1406">
      <c r="A1406" s="1">
        <v>544837.0</v>
      </c>
      <c r="B1406" s="1" t="str">
        <f t="shared" si="1"/>
        <v>544837</v>
      </c>
      <c r="C1406" s="1" t="str">
        <f t="shared" si="2"/>
        <v>Sale</v>
      </c>
      <c r="D1406" s="1">
        <v>20897.0</v>
      </c>
      <c r="E1406" s="1" t="str">
        <f>IFERROR(__xludf.DUMMYFUNCTION("IF(LEN(D1406)&gt;4, IFERROR(REGEXEXTRACT(TO_TEXT(D1406),""\d+""),""""),"""")"),"20897")</f>
        <v>20897</v>
      </c>
      <c r="F1406" s="6" t="str">
        <f t="shared" si="3"/>
        <v>Product</v>
      </c>
      <c r="G1406" s="1" t="s">
        <v>893</v>
      </c>
      <c r="H1406" s="6" t="str">
        <f>IFERROR(__xludf.DUMMYFUNCTION("IF(REGEXMATCH(LOWER(G1406), ""^(\?)+\s*(missing)?\s*(\?)*$""), """", PROPER(SUBSTITUTE(SUBSTITUTE(G1406, ""?"", """"), ""*"", """")))"),"Vintage Notebook Paris Days")</f>
        <v>Vintage Notebook Paris Days</v>
      </c>
      <c r="I1406" s="3">
        <v>2.0</v>
      </c>
      <c r="J1406" s="7">
        <v>40598.43680555555</v>
      </c>
      <c r="K1406" s="8" t="str">
        <f t="shared" si="4"/>
        <v>2011-02</v>
      </c>
      <c r="L1406" s="5">
        <v>2.95</v>
      </c>
      <c r="M1406" s="3">
        <v>15910.0</v>
      </c>
      <c r="N1406" s="1" t="str">
        <f t="shared" si="5"/>
        <v>Registered</v>
      </c>
      <c r="O1406" s="1" t="s">
        <v>19</v>
      </c>
      <c r="P1406" s="9" t="str">
        <f t="shared" si="6"/>
        <v>UK</v>
      </c>
      <c r="Q1406" s="8">
        <f t="shared" si="7"/>
        <v>5.9</v>
      </c>
    </row>
    <row r="1407">
      <c r="A1407" s="1">
        <v>544837.0</v>
      </c>
      <c r="B1407" s="1" t="str">
        <f t="shared" si="1"/>
        <v>544837</v>
      </c>
      <c r="C1407" s="1" t="str">
        <f t="shared" si="2"/>
        <v>Sale</v>
      </c>
      <c r="D1407" s="1">
        <v>22265.0</v>
      </c>
      <c r="E1407" s="1" t="str">
        <f>IFERROR(__xludf.DUMMYFUNCTION("IF(LEN(D1407)&gt;4, IFERROR(REGEXEXTRACT(TO_TEXT(D1407),""\d+""),""""),"""")"),"22265")</f>
        <v>22265</v>
      </c>
      <c r="F1407" s="6" t="str">
        <f t="shared" si="3"/>
        <v>Product</v>
      </c>
      <c r="G1407" s="1" t="s">
        <v>894</v>
      </c>
      <c r="H1407" s="6" t="str">
        <f>IFERROR(__xludf.DUMMYFUNCTION("IF(REGEXMATCH(LOWER(G1407), ""^(\?)+\s*(missing)?\s*(\?)*$""), """", PROPER(SUBSTITUTE(SUBSTITUTE(G1407, ""?"", """"), ""*"", """")))"),"Easter Decoration Natural Chick")</f>
        <v>Easter Decoration Natural Chick</v>
      </c>
      <c r="I1407" s="3">
        <v>4.0</v>
      </c>
      <c r="J1407" s="7">
        <v>40598.43680555555</v>
      </c>
      <c r="K1407" s="8" t="str">
        <f t="shared" si="4"/>
        <v>2011-02</v>
      </c>
      <c r="L1407" s="5">
        <v>0.65</v>
      </c>
      <c r="M1407" s="3">
        <v>15910.0</v>
      </c>
      <c r="N1407" s="1" t="str">
        <f t="shared" si="5"/>
        <v>Registered</v>
      </c>
      <c r="O1407" s="1" t="s">
        <v>19</v>
      </c>
      <c r="P1407" s="9" t="str">
        <f t="shared" si="6"/>
        <v>UK</v>
      </c>
      <c r="Q1407" s="8">
        <f t="shared" si="7"/>
        <v>2.6</v>
      </c>
    </row>
    <row r="1408">
      <c r="A1408" s="1">
        <v>544837.0</v>
      </c>
      <c r="B1408" s="1" t="str">
        <f t="shared" si="1"/>
        <v>544837</v>
      </c>
      <c r="C1408" s="1" t="str">
        <f t="shared" si="2"/>
        <v>Sale</v>
      </c>
      <c r="D1408" s="1">
        <v>22341.0</v>
      </c>
      <c r="E1408" s="1" t="str">
        <f>IFERROR(__xludf.DUMMYFUNCTION("IF(LEN(D1408)&gt;4, IFERROR(REGEXEXTRACT(TO_TEXT(D1408),""\d+""),""""),"""")"),"22341")</f>
        <v>22341</v>
      </c>
      <c r="F1408" s="6" t="str">
        <f t="shared" si="3"/>
        <v>Product</v>
      </c>
      <c r="G1408" s="1" t="s">
        <v>895</v>
      </c>
      <c r="H1408" s="6" t="str">
        <f>IFERROR(__xludf.DUMMYFUNCTION("IF(REGEXMATCH(LOWER(G1408), ""^(\?)+\s*(missing)?\s*(\?)*$""), """", PROPER(SUBSTITUTE(SUBSTITUTE(G1408, ""?"", """"), ""*"", """")))"),"Love Garland Painted Zinc")</f>
        <v>Love Garland Painted Zinc</v>
      </c>
      <c r="I1408" s="3">
        <v>4.0</v>
      </c>
      <c r="J1408" s="7">
        <v>40598.43680555555</v>
      </c>
      <c r="K1408" s="8" t="str">
        <f t="shared" si="4"/>
        <v>2011-02</v>
      </c>
      <c r="L1408" s="5">
        <v>1.65</v>
      </c>
      <c r="M1408" s="3">
        <v>15910.0</v>
      </c>
      <c r="N1408" s="1" t="str">
        <f t="shared" si="5"/>
        <v>Registered</v>
      </c>
      <c r="O1408" s="1" t="s">
        <v>19</v>
      </c>
      <c r="P1408" s="9" t="str">
        <f t="shared" si="6"/>
        <v>UK</v>
      </c>
      <c r="Q1408" s="8">
        <f t="shared" si="7"/>
        <v>6.6</v>
      </c>
    </row>
    <row r="1409">
      <c r="A1409" s="1">
        <v>544837.0</v>
      </c>
      <c r="B1409" s="1" t="str">
        <f t="shared" si="1"/>
        <v>544837</v>
      </c>
      <c r="C1409" s="1" t="str">
        <f t="shared" si="2"/>
        <v>Sale</v>
      </c>
      <c r="D1409" s="1">
        <v>22961.0</v>
      </c>
      <c r="E1409" s="1" t="str">
        <f>IFERROR(__xludf.DUMMYFUNCTION("IF(LEN(D1409)&gt;4, IFERROR(REGEXEXTRACT(TO_TEXT(D1409),""\d+""),""""),"""")"),"22961")</f>
        <v>22961</v>
      </c>
      <c r="F1409" s="6" t="str">
        <f t="shared" si="3"/>
        <v>Product</v>
      </c>
      <c r="G1409" s="1" t="s">
        <v>109</v>
      </c>
      <c r="H1409" s="6" t="str">
        <f>IFERROR(__xludf.DUMMYFUNCTION("IF(REGEXMATCH(LOWER(G1409), ""^(\?)+\s*(missing)?\s*(\?)*$""), """", PROPER(SUBSTITUTE(SUBSTITUTE(G1409, ""?"", """"), ""*"", """")))"),"Jam Making Set Printed")</f>
        <v>Jam Making Set Printed</v>
      </c>
      <c r="I1409" s="3">
        <v>4.0</v>
      </c>
      <c r="J1409" s="7">
        <v>40598.43680555555</v>
      </c>
      <c r="K1409" s="8" t="str">
        <f t="shared" si="4"/>
        <v>2011-02</v>
      </c>
      <c r="L1409" s="5">
        <v>1.45</v>
      </c>
      <c r="M1409" s="3">
        <v>15910.0</v>
      </c>
      <c r="N1409" s="1" t="str">
        <f t="shared" si="5"/>
        <v>Registered</v>
      </c>
      <c r="O1409" s="1" t="s">
        <v>19</v>
      </c>
      <c r="P1409" s="9" t="str">
        <f t="shared" si="6"/>
        <v>UK</v>
      </c>
      <c r="Q1409" s="8">
        <f t="shared" si="7"/>
        <v>5.8</v>
      </c>
    </row>
    <row r="1410">
      <c r="A1410" s="1">
        <v>544837.0</v>
      </c>
      <c r="B1410" s="1" t="str">
        <f t="shared" si="1"/>
        <v>544837</v>
      </c>
      <c r="C1410" s="1" t="str">
        <f t="shared" si="2"/>
        <v>Sale</v>
      </c>
      <c r="D1410" s="1">
        <v>22960.0</v>
      </c>
      <c r="E1410" s="1" t="str">
        <f>IFERROR(__xludf.DUMMYFUNCTION("IF(LEN(D1410)&gt;4, IFERROR(REGEXEXTRACT(TO_TEXT(D1410),""\d+""),""""),"""")"),"22960")</f>
        <v>22960</v>
      </c>
      <c r="F1410" s="6" t="str">
        <f t="shared" si="3"/>
        <v>Product</v>
      </c>
      <c r="G1410" s="1" t="s">
        <v>43</v>
      </c>
      <c r="H1410" s="6" t="str">
        <f>IFERROR(__xludf.DUMMYFUNCTION("IF(REGEXMATCH(LOWER(G1410), ""^(\?)+\s*(missing)?\s*(\?)*$""), """", PROPER(SUBSTITUTE(SUBSTITUTE(G1410, ""?"", """"), ""*"", """")))"),"Jam Making Set With Jars")</f>
        <v>Jam Making Set With Jars</v>
      </c>
      <c r="I1410" s="3">
        <v>1.0</v>
      </c>
      <c r="J1410" s="7">
        <v>40598.43680555555</v>
      </c>
      <c r="K1410" s="8" t="str">
        <f t="shared" si="4"/>
        <v>2011-02</v>
      </c>
      <c r="L1410" s="5">
        <v>4.25</v>
      </c>
      <c r="M1410" s="3">
        <v>15910.0</v>
      </c>
      <c r="N1410" s="1" t="str">
        <f t="shared" si="5"/>
        <v>Registered</v>
      </c>
      <c r="O1410" s="1" t="s">
        <v>19</v>
      </c>
      <c r="P1410" s="9" t="str">
        <f t="shared" si="6"/>
        <v>UK</v>
      </c>
      <c r="Q1410" s="8">
        <f t="shared" si="7"/>
        <v>4.25</v>
      </c>
    </row>
    <row r="1411">
      <c r="A1411" s="1">
        <v>544837.0</v>
      </c>
      <c r="B1411" s="1" t="str">
        <f t="shared" si="1"/>
        <v>544837</v>
      </c>
      <c r="C1411" s="1" t="str">
        <f t="shared" si="2"/>
        <v>Sale</v>
      </c>
      <c r="D1411" s="1">
        <v>22027.0</v>
      </c>
      <c r="E1411" s="1" t="str">
        <f>IFERROR(__xludf.DUMMYFUNCTION("IF(LEN(D1411)&gt;4, IFERROR(REGEXEXTRACT(TO_TEXT(D1411),""\d+""),""""),"""")"),"22027")</f>
        <v>22027</v>
      </c>
      <c r="F1411" s="6" t="str">
        <f t="shared" si="3"/>
        <v>Product</v>
      </c>
      <c r="G1411" s="1" t="s">
        <v>896</v>
      </c>
      <c r="H1411" s="6" t="str">
        <f>IFERROR(__xludf.DUMMYFUNCTION("IF(REGEXMATCH(LOWER(G1411), ""^(\?)+\s*(missing)?\s*(\?)*$""), """", PROPER(SUBSTITUTE(SUBSTITUTE(G1411, ""?"", """"), ""*"", """")))"),"Tea Party Birthday Card")</f>
        <v>Tea Party Birthday Card</v>
      </c>
      <c r="I1411" s="3">
        <v>12.0</v>
      </c>
      <c r="J1411" s="7">
        <v>40598.43680555555</v>
      </c>
      <c r="K1411" s="8" t="str">
        <f t="shared" si="4"/>
        <v>2011-02</v>
      </c>
      <c r="L1411" s="5">
        <v>0.42</v>
      </c>
      <c r="M1411" s="3">
        <v>15910.0</v>
      </c>
      <c r="N1411" s="1" t="str">
        <f t="shared" si="5"/>
        <v>Registered</v>
      </c>
      <c r="O1411" s="1" t="s">
        <v>19</v>
      </c>
      <c r="P1411" s="9" t="str">
        <f t="shared" si="6"/>
        <v>UK</v>
      </c>
      <c r="Q1411" s="8">
        <f t="shared" si="7"/>
        <v>5.04</v>
      </c>
    </row>
    <row r="1412">
      <c r="A1412" s="1">
        <v>544837.0</v>
      </c>
      <c r="B1412" s="1" t="str">
        <f t="shared" si="1"/>
        <v>544837</v>
      </c>
      <c r="C1412" s="1" t="str">
        <f t="shared" si="2"/>
        <v>Sale</v>
      </c>
      <c r="D1412" s="1">
        <v>21519.0</v>
      </c>
      <c r="E1412" s="1" t="str">
        <f>IFERROR(__xludf.DUMMYFUNCTION("IF(LEN(D1412)&gt;4, IFERROR(REGEXEXTRACT(TO_TEXT(D1412),""\d+""),""""),"""")"),"21519")</f>
        <v>21519</v>
      </c>
      <c r="F1412" s="6" t="str">
        <f t="shared" si="3"/>
        <v>Product</v>
      </c>
      <c r="G1412" s="1" t="s">
        <v>897</v>
      </c>
      <c r="H1412" s="6" t="str">
        <f>IFERROR(__xludf.DUMMYFUNCTION("IF(REGEXMATCH(LOWER(G1412), ""^(\?)+\s*(missing)?\s*(\?)*$""), """", PROPER(SUBSTITUTE(SUBSTITUTE(G1412, ""?"", """"), ""*"", """")))"),"Gin &amp; Tonic Diet Greeting Card")</f>
        <v>Gin &amp; Tonic Diet Greeting Card</v>
      </c>
      <c r="I1412" s="3">
        <v>12.0</v>
      </c>
      <c r="J1412" s="7">
        <v>40598.43680555555</v>
      </c>
      <c r="K1412" s="8" t="str">
        <f t="shared" si="4"/>
        <v>2011-02</v>
      </c>
      <c r="L1412" s="5">
        <v>0.42</v>
      </c>
      <c r="M1412" s="3">
        <v>15910.0</v>
      </c>
      <c r="N1412" s="1" t="str">
        <f t="shared" si="5"/>
        <v>Registered</v>
      </c>
      <c r="O1412" s="1" t="s">
        <v>19</v>
      </c>
      <c r="P1412" s="9" t="str">
        <f t="shared" si="6"/>
        <v>UK</v>
      </c>
      <c r="Q1412" s="8">
        <f t="shared" si="7"/>
        <v>5.04</v>
      </c>
    </row>
    <row r="1413">
      <c r="A1413" s="1">
        <v>544837.0</v>
      </c>
      <c r="B1413" s="1" t="str">
        <f t="shared" si="1"/>
        <v>544837</v>
      </c>
      <c r="C1413" s="1" t="str">
        <f t="shared" si="2"/>
        <v>Sale</v>
      </c>
      <c r="D1413" s="1">
        <v>22030.0</v>
      </c>
      <c r="E1413" s="1" t="str">
        <f>IFERROR(__xludf.DUMMYFUNCTION("IF(LEN(D1413)&gt;4, IFERROR(REGEXEXTRACT(TO_TEXT(D1413),""\d+""),""""),"""")"),"22030")</f>
        <v>22030</v>
      </c>
      <c r="F1413" s="6" t="str">
        <f t="shared" si="3"/>
        <v>Product</v>
      </c>
      <c r="G1413" s="1" t="s">
        <v>898</v>
      </c>
      <c r="H1413" s="6" t="str">
        <f>IFERROR(__xludf.DUMMYFUNCTION("IF(REGEXMATCH(LOWER(G1413), ""^(\?)+\s*(missing)?\s*(\?)*$""), """", PROPER(SUBSTITUTE(SUBSTITUTE(G1413, ""?"", """"), ""*"", """")))"),"Swallows Greeting Card")</f>
        <v>Swallows Greeting Card</v>
      </c>
      <c r="I1413" s="3">
        <v>12.0</v>
      </c>
      <c r="J1413" s="7">
        <v>40598.43680555555</v>
      </c>
      <c r="K1413" s="8" t="str">
        <f t="shared" si="4"/>
        <v>2011-02</v>
      </c>
      <c r="L1413" s="5">
        <v>0.42</v>
      </c>
      <c r="M1413" s="3">
        <v>15910.0</v>
      </c>
      <c r="N1413" s="1" t="str">
        <f t="shared" si="5"/>
        <v>Registered</v>
      </c>
      <c r="O1413" s="1" t="s">
        <v>19</v>
      </c>
      <c r="P1413" s="9" t="str">
        <f t="shared" si="6"/>
        <v>UK</v>
      </c>
      <c r="Q1413" s="8">
        <f t="shared" si="7"/>
        <v>5.04</v>
      </c>
    </row>
    <row r="1414">
      <c r="A1414" s="1">
        <v>544837.0</v>
      </c>
      <c r="B1414" s="1" t="str">
        <f t="shared" si="1"/>
        <v>544837</v>
      </c>
      <c r="C1414" s="1" t="str">
        <f t="shared" si="2"/>
        <v>Sale</v>
      </c>
      <c r="D1414" s="1">
        <v>22983.0</v>
      </c>
      <c r="E1414" s="1" t="str">
        <f>IFERROR(__xludf.DUMMYFUNCTION("IF(LEN(D1414)&gt;4, IFERROR(REGEXEXTRACT(TO_TEXT(D1414),""\d+""),""""),"""")"),"22983")</f>
        <v>22983</v>
      </c>
      <c r="F1414" s="6" t="str">
        <f t="shared" si="3"/>
        <v>Product</v>
      </c>
      <c r="G1414" s="1" t="s">
        <v>640</v>
      </c>
      <c r="H1414" s="6" t="str">
        <f>IFERROR(__xludf.DUMMYFUNCTION("IF(REGEXMATCH(LOWER(G1414), ""^(\?)+\s*(missing)?\s*(\?)*$""), """", PROPER(SUBSTITUTE(SUBSTITUTE(G1414, ""?"", """"), ""*"", """")))"),"Card Billboard Font")</f>
        <v>Card Billboard Font</v>
      </c>
      <c r="I1414" s="3">
        <v>12.0</v>
      </c>
      <c r="J1414" s="7">
        <v>40598.43680555555</v>
      </c>
      <c r="K1414" s="8" t="str">
        <f t="shared" si="4"/>
        <v>2011-02</v>
      </c>
      <c r="L1414" s="5">
        <v>0.42</v>
      </c>
      <c r="M1414" s="3">
        <v>15910.0</v>
      </c>
      <c r="N1414" s="1" t="str">
        <f t="shared" si="5"/>
        <v>Registered</v>
      </c>
      <c r="O1414" s="1" t="s">
        <v>19</v>
      </c>
      <c r="P1414" s="9" t="str">
        <f t="shared" si="6"/>
        <v>UK</v>
      </c>
      <c r="Q1414" s="8">
        <f t="shared" si="7"/>
        <v>5.04</v>
      </c>
    </row>
    <row r="1415">
      <c r="A1415" s="1">
        <v>544837.0</v>
      </c>
      <c r="B1415" s="1" t="str">
        <f t="shared" si="1"/>
        <v>544837</v>
      </c>
      <c r="C1415" s="1" t="str">
        <f t="shared" si="2"/>
        <v>Sale</v>
      </c>
      <c r="D1415" s="1">
        <v>22033.0</v>
      </c>
      <c r="E1415" s="1" t="str">
        <f>IFERROR(__xludf.DUMMYFUNCTION("IF(LEN(D1415)&gt;4, IFERROR(REGEXEXTRACT(TO_TEXT(D1415),""\d+""),""""),"""")"),"22033")</f>
        <v>22033</v>
      </c>
      <c r="F1415" s="6" t="str">
        <f t="shared" si="3"/>
        <v>Product</v>
      </c>
      <c r="G1415" s="1" t="s">
        <v>899</v>
      </c>
      <c r="H1415" s="6" t="str">
        <f>IFERROR(__xludf.DUMMYFUNCTION("IF(REGEXMATCH(LOWER(G1415), ""^(\?)+\s*(missing)?\s*(\?)*$""), """", PROPER(SUBSTITUTE(SUBSTITUTE(G1415, ""?"", """"), ""*"", """")))"),"Botanical Rose Greeting Card")</f>
        <v>Botanical Rose Greeting Card</v>
      </c>
      <c r="I1415" s="3">
        <v>12.0</v>
      </c>
      <c r="J1415" s="7">
        <v>40598.43680555555</v>
      </c>
      <c r="K1415" s="8" t="str">
        <f t="shared" si="4"/>
        <v>2011-02</v>
      </c>
      <c r="L1415" s="5">
        <v>0.42</v>
      </c>
      <c r="M1415" s="3">
        <v>15910.0</v>
      </c>
      <c r="N1415" s="1" t="str">
        <f t="shared" si="5"/>
        <v>Registered</v>
      </c>
      <c r="O1415" s="1" t="s">
        <v>19</v>
      </c>
      <c r="P1415" s="9" t="str">
        <f t="shared" si="6"/>
        <v>UK</v>
      </c>
      <c r="Q1415" s="8">
        <f t="shared" si="7"/>
        <v>5.04</v>
      </c>
    </row>
    <row r="1416">
      <c r="A1416" s="1">
        <v>544837.0</v>
      </c>
      <c r="B1416" s="1" t="str">
        <f t="shared" si="1"/>
        <v>544837</v>
      </c>
      <c r="C1416" s="1" t="str">
        <f t="shared" si="2"/>
        <v>Sale</v>
      </c>
      <c r="D1416" s="1">
        <v>22029.0</v>
      </c>
      <c r="E1416" s="1" t="str">
        <f>IFERROR(__xludf.DUMMYFUNCTION("IF(LEN(D1416)&gt;4, IFERROR(REGEXEXTRACT(TO_TEXT(D1416),""\d+""),""""),"""")"),"22029")</f>
        <v>22029</v>
      </c>
      <c r="F1416" s="6" t="str">
        <f t="shared" si="3"/>
        <v>Product</v>
      </c>
      <c r="G1416" s="1" t="s">
        <v>900</v>
      </c>
      <c r="H1416" s="6" t="str">
        <f>IFERROR(__xludf.DUMMYFUNCTION("IF(REGEXMATCH(LOWER(G1416), ""^(\?)+\s*(missing)?\s*(\?)*$""), """", PROPER(SUBSTITUTE(SUBSTITUTE(G1416, ""?"", """"), ""*"", """")))"),"Spaceboy Birthday Card")</f>
        <v>Spaceboy Birthday Card</v>
      </c>
      <c r="I1416" s="3">
        <v>12.0</v>
      </c>
      <c r="J1416" s="7">
        <v>40598.43680555555</v>
      </c>
      <c r="K1416" s="8" t="str">
        <f t="shared" si="4"/>
        <v>2011-02</v>
      </c>
      <c r="L1416" s="5">
        <v>0.42</v>
      </c>
      <c r="M1416" s="3">
        <v>15910.0</v>
      </c>
      <c r="N1416" s="1" t="str">
        <f t="shared" si="5"/>
        <v>Registered</v>
      </c>
      <c r="O1416" s="1" t="s">
        <v>19</v>
      </c>
      <c r="P1416" s="9" t="str">
        <f t="shared" si="6"/>
        <v>UK</v>
      </c>
      <c r="Q1416" s="8">
        <f t="shared" si="7"/>
        <v>5.04</v>
      </c>
    </row>
    <row r="1417">
      <c r="A1417" s="1">
        <v>544837.0</v>
      </c>
      <c r="B1417" s="1" t="str">
        <f t="shared" si="1"/>
        <v>544837</v>
      </c>
      <c r="C1417" s="1" t="str">
        <f t="shared" si="2"/>
        <v>Sale</v>
      </c>
      <c r="D1417" s="1">
        <v>22713.0</v>
      </c>
      <c r="E1417" s="1" t="str">
        <f>IFERROR(__xludf.DUMMYFUNCTION("IF(LEN(D1417)&gt;4, IFERROR(REGEXEXTRACT(TO_TEXT(D1417),""\d+""),""""),"""")"),"22713")</f>
        <v>22713</v>
      </c>
      <c r="F1417" s="6" t="str">
        <f t="shared" si="3"/>
        <v>Product</v>
      </c>
      <c r="G1417" s="1" t="s">
        <v>628</v>
      </c>
      <c r="H1417" s="6" t="str">
        <f>IFERROR(__xludf.DUMMYFUNCTION("IF(REGEXMATCH(LOWER(G1417), ""^(\?)+\s*(missing)?\s*(\?)*$""), """", PROPER(SUBSTITUTE(SUBSTITUTE(G1417, ""?"", """"), ""*"", """")))"),"Card I Love London")</f>
        <v>Card I Love London</v>
      </c>
      <c r="I1417" s="3">
        <v>12.0</v>
      </c>
      <c r="J1417" s="7">
        <v>40598.43680555555</v>
      </c>
      <c r="K1417" s="8" t="str">
        <f t="shared" si="4"/>
        <v>2011-02</v>
      </c>
      <c r="L1417" s="5">
        <v>0.42</v>
      </c>
      <c r="M1417" s="3">
        <v>15910.0</v>
      </c>
      <c r="N1417" s="1" t="str">
        <f t="shared" si="5"/>
        <v>Registered</v>
      </c>
      <c r="O1417" s="1" t="s">
        <v>19</v>
      </c>
      <c r="P1417" s="9" t="str">
        <f t="shared" si="6"/>
        <v>UK</v>
      </c>
      <c r="Q1417" s="8">
        <f t="shared" si="7"/>
        <v>5.04</v>
      </c>
    </row>
    <row r="1418">
      <c r="A1418" s="1">
        <v>544837.0</v>
      </c>
      <c r="B1418" s="1" t="str">
        <f t="shared" si="1"/>
        <v>544837</v>
      </c>
      <c r="C1418" s="1" t="str">
        <f t="shared" si="2"/>
        <v>Sale</v>
      </c>
      <c r="D1418" s="1">
        <v>20914.0</v>
      </c>
      <c r="E1418" s="1" t="str">
        <f>IFERROR(__xludf.DUMMYFUNCTION("IF(LEN(D1418)&gt;4, IFERROR(REGEXEXTRACT(TO_TEXT(D1418),""\d+""),""""),"""")"),"20914")</f>
        <v>20914</v>
      </c>
      <c r="F1418" s="6" t="str">
        <f t="shared" si="3"/>
        <v>Product</v>
      </c>
      <c r="G1418" s="1" t="s">
        <v>359</v>
      </c>
      <c r="H1418" s="6" t="str">
        <f>IFERROR(__xludf.DUMMYFUNCTION("IF(REGEXMATCH(LOWER(G1418), ""^(\?)+\s*(missing)?\s*(\?)*$""), """", PROPER(SUBSTITUTE(SUBSTITUTE(G1418, ""?"", """"), ""*"", """")))"),"Set/5 Red Retrospot Lid Glass Bowls")</f>
        <v>Set/5 Red Retrospot Lid Glass Bowls</v>
      </c>
      <c r="I1418" s="3">
        <v>3.0</v>
      </c>
      <c r="J1418" s="7">
        <v>40598.43680555555</v>
      </c>
      <c r="K1418" s="8" t="str">
        <f t="shared" si="4"/>
        <v>2011-02</v>
      </c>
      <c r="L1418" s="5">
        <v>2.95</v>
      </c>
      <c r="M1418" s="3">
        <v>15910.0</v>
      </c>
      <c r="N1418" s="1" t="str">
        <f t="shared" si="5"/>
        <v>Registered</v>
      </c>
      <c r="O1418" s="1" t="s">
        <v>19</v>
      </c>
      <c r="P1418" s="9" t="str">
        <f t="shared" si="6"/>
        <v>UK</v>
      </c>
      <c r="Q1418" s="8">
        <f t="shared" si="7"/>
        <v>8.85</v>
      </c>
    </row>
    <row r="1419">
      <c r="A1419" s="1">
        <v>544837.0</v>
      </c>
      <c r="B1419" s="1" t="str">
        <f t="shared" si="1"/>
        <v>544837</v>
      </c>
      <c r="C1419" s="1" t="str">
        <f t="shared" si="2"/>
        <v>Sale</v>
      </c>
      <c r="D1419" s="1">
        <v>22998.0</v>
      </c>
      <c r="E1419" s="1" t="str">
        <f>IFERROR(__xludf.DUMMYFUNCTION("IF(LEN(D1419)&gt;4, IFERROR(REGEXEXTRACT(TO_TEXT(D1419),""\d+""),""""),"""")"),"22998")</f>
        <v>22998</v>
      </c>
      <c r="F1419" s="6" t="str">
        <f t="shared" si="3"/>
        <v>Product</v>
      </c>
      <c r="G1419" s="1" t="s">
        <v>712</v>
      </c>
      <c r="H1419" s="6" t="str">
        <f>IFERROR(__xludf.DUMMYFUNCTION("IF(REGEXMATCH(LOWER(G1419), ""^(\?)+\s*(missing)?\s*(\?)*$""), """", PROPER(SUBSTITUTE(SUBSTITUTE(G1419, ""?"", """"), ""*"", """")))"),"Travel Card Wallet Keep Calm")</f>
        <v>Travel Card Wallet Keep Calm</v>
      </c>
      <c r="I1419" s="3">
        <v>4.0</v>
      </c>
      <c r="J1419" s="7">
        <v>40598.43680555555</v>
      </c>
      <c r="K1419" s="8" t="str">
        <f t="shared" si="4"/>
        <v>2011-02</v>
      </c>
      <c r="L1419" s="5">
        <v>0.42</v>
      </c>
      <c r="M1419" s="3">
        <v>15910.0</v>
      </c>
      <c r="N1419" s="1" t="str">
        <f t="shared" si="5"/>
        <v>Registered</v>
      </c>
      <c r="O1419" s="1" t="s">
        <v>19</v>
      </c>
      <c r="P1419" s="9" t="str">
        <f t="shared" si="6"/>
        <v>UK</v>
      </c>
      <c r="Q1419" s="8">
        <f t="shared" si="7"/>
        <v>1.68</v>
      </c>
    </row>
    <row r="1420">
      <c r="A1420" s="1">
        <v>544837.0</v>
      </c>
      <c r="B1420" s="1" t="str">
        <f t="shared" si="1"/>
        <v>544837</v>
      </c>
      <c r="C1420" s="1" t="str">
        <f t="shared" si="2"/>
        <v>Sale</v>
      </c>
      <c r="D1420" s="1">
        <v>22859.0</v>
      </c>
      <c r="E1420" s="1" t="str">
        <f>IFERROR(__xludf.DUMMYFUNCTION("IF(LEN(D1420)&gt;4, IFERROR(REGEXEXTRACT(TO_TEXT(D1420),""\d+""),""""),"""")"),"22859")</f>
        <v>22859</v>
      </c>
      <c r="F1420" s="6" t="str">
        <f t="shared" si="3"/>
        <v>Product</v>
      </c>
      <c r="G1420" s="1" t="s">
        <v>901</v>
      </c>
      <c r="H1420" s="6" t="str">
        <f>IFERROR(__xludf.DUMMYFUNCTION("IF(REGEXMATCH(LOWER(G1420), ""^(\?)+\s*(missing)?\s*(\?)*$""), """", PROPER(SUBSTITUTE(SUBSTITUTE(G1420, ""?"", """"), ""*"", """")))"),"Easter Tin Bunny Bouquet")</f>
        <v>Easter Tin Bunny Bouquet</v>
      </c>
      <c r="I1420" s="3">
        <v>3.0</v>
      </c>
      <c r="J1420" s="7">
        <v>40598.43680555555</v>
      </c>
      <c r="K1420" s="8" t="str">
        <f t="shared" si="4"/>
        <v>2011-02</v>
      </c>
      <c r="L1420" s="5">
        <v>1.65</v>
      </c>
      <c r="M1420" s="3">
        <v>15910.0</v>
      </c>
      <c r="N1420" s="1" t="str">
        <f t="shared" si="5"/>
        <v>Registered</v>
      </c>
      <c r="O1420" s="1" t="s">
        <v>19</v>
      </c>
      <c r="P1420" s="9" t="str">
        <f t="shared" si="6"/>
        <v>UK</v>
      </c>
      <c r="Q1420" s="8">
        <f t="shared" si="7"/>
        <v>4.95</v>
      </c>
    </row>
    <row r="1421">
      <c r="A1421" s="1">
        <v>544837.0</v>
      </c>
      <c r="B1421" s="1" t="str">
        <f t="shared" si="1"/>
        <v>544837</v>
      </c>
      <c r="C1421" s="1" t="str">
        <f t="shared" si="2"/>
        <v>Sale</v>
      </c>
      <c r="D1421" s="1">
        <v>22860.0</v>
      </c>
      <c r="E1421" s="1" t="str">
        <f>IFERROR(__xludf.DUMMYFUNCTION("IF(LEN(D1421)&gt;4, IFERROR(REGEXEXTRACT(TO_TEXT(D1421),""\d+""),""""),"""")"),"22860")</f>
        <v>22860</v>
      </c>
      <c r="F1421" s="6" t="str">
        <f t="shared" si="3"/>
        <v>Product</v>
      </c>
      <c r="G1421" s="1" t="s">
        <v>902</v>
      </c>
      <c r="H1421" s="6" t="str">
        <f>IFERROR(__xludf.DUMMYFUNCTION("IF(REGEXMATCH(LOWER(G1421), ""^(\?)+\s*(missing)?\s*(\?)*$""), """", PROPER(SUBSTITUTE(SUBSTITUTE(G1421, ""?"", """"), ""*"", """")))"),"Easter Tin Chicks Pink Daisy")</f>
        <v>Easter Tin Chicks Pink Daisy</v>
      </c>
      <c r="I1421" s="3">
        <v>1.0</v>
      </c>
      <c r="J1421" s="7">
        <v>40598.43680555555</v>
      </c>
      <c r="K1421" s="8" t="str">
        <f t="shared" si="4"/>
        <v>2011-02</v>
      </c>
      <c r="L1421" s="5">
        <v>1.65</v>
      </c>
      <c r="M1421" s="3">
        <v>15910.0</v>
      </c>
      <c r="N1421" s="1" t="str">
        <f t="shared" si="5"/>
        <v>Registered</v>
      </c>
      <c r="O1421" s="1" t="s">
        <v>19</v>
      </c>
      <c r="P1421" s="9" t="str">
        <f t="shared" si="6"/>
        <v>UK</v>
      </c>
      <c r="Q1421" s="8">
        <f t="shared" si="7"/>
        <v>1.65</v>
      </c>
    </row>
    <row r="1422">
      <c r="A1422" s="1">
        <v>544837.0</v>
      </c>
      <c r="B1422" s="1" t="str">
        <f t="shared" si="1"/>
        <v>544837</v>
      </c>
      <c r="C1422" s="1" t="str">
        <f t="shared" si="2"/>
        <v>Sale</v>
      </c>
      <c r="D1422" s="1">
        <v>22261.0</v>
      </c>
      <c r="E1422" s="1" t="str">
        <f>IFERROR(__xludf.DUMMYFUNCTION("IF(LEN(D1422)&gt;4, IFERROR(REGEXEXTRACT(TO_TEXT(D1422),""\d+""),""""),"""")"),"22261")</f>
        <v>22261</v>
      </c>
      <c r="F1422" s="6" t="str">
        <f t="shared" si="3"/>
        <v>Product</v>
      </c>
      <c r="G1422" s="1" t="s">
        <v>132</v>
      </c>
      <c r="H1422" s="6" t="str">
        <f>IFERROR(__xludf.DUMMYFUNCTION("IF(REGEXMATCH(LOWER(G1422), ""^(\?)+\s*(missing)?\s*(\?)*$""), """", PROPER(SUBSTITUTE(SUBSTITUTE(G1422, ""?"", """"), ""*"", """")))"),"Felt Egg Cosy White Rabbit")</f>
        <v>Felt Egg Cosy White Rabbit</v>
      </c>
      <c r="I1422" s="3">
        <v>3.0</v>
      </c>
      <c r="J1422" s="7">
        <v>40598.43680555555</v>
      </c>
      <c r="K1422" s="8" t="str">
        <f t="shared" si="4"/>
        <v>2011-02</v>
      </c>
      <c r="L1422" s="5">
        <v>0.85</v>
      </c>
      <c r="M1422" s="3">
        <v>15910.0</v>
      </c>
      <c r="N1422" s="1" t="str">
        <f t="shared" si="5"/>
        <v>Registered</v>
      </c>
      <c r="O1422" s="1" t="s">
        <v>19</v>
      </c>
      <c r="P1422" s="9" t="str">
        <f t="shared" si="6"/>
        <v>UK</v>
      </c>
      <c r="Q1422" s="8">
        <f t="shared" si="7"/>
        <v>2.55</v>
      </c>
    </row>
    <row r="1423">
      <c r="A1423" s="1">
        <v>544837.0</v>
      </c>
      <c r="B1423" s="1" t="str">
        <f t="shared" si="1"/>
        <v>544837</v>
      </c>
      <c r="C1423" s="1" t="str">
        <f t="shared" si="2"/>
        <v>Sale</v>
      </c>
      <c r="D1423" s="1">
        <v>20751.0</v>
      </c>
      <c r="E1423" s="1" t="str">
        <f>IFERROR(__xludf.DUMMYFUNCTION("IF(LEN(D1423)&gt;4, IFERROR(REGEXEXTRACT(TO_TEXT(D1423),""\d+""),""""),"""")"),"20751")</f>
        <v>20751</v>
      </c>
      <c r="F1423" s="6" t="str">
        <f t="shared" si="3"/>
        <v>Product</v>
      </c>
      <c r="G1423" s="1" t="s">
        <v>903</v>
      </c>
      <c r="H1423" s="6" t="str">
        <f>IFERROR(__xludf.DUMMYFUNCTION("IF(REGEXMATCH(LOWER(G1423), ""^(\?)+\s*(missing)?\s*(\?)*$""), """", PROPER(SUBSTITUTE(SUBSTITUTE(G1423, ""?"", """"), ""*"", """")))"),"Funky Washing Up Gloves Assorted")</f>
        <v>Funky Washing Up Gloves Assorted</v>
      </c>
      <c r="I1423" s="3">
        <v>1.0</v>
      </c>
      <c r="J1423" s="7">
        <v>40598.43680555555</v>
      </c>
      <c r="K1423" s="8" t="str">
        <f t="shared" si="4"/>
        <v>2011-02</v>
      </c>
      <c r="L1423" s="5">
        <v>2.1</v>
      </c>
      <c r="M1423" s="3">
        <v>15910.0</v>
      </c>
      <c r="N1423" s="1" t="str">
        <f t="shared" si="5"/>
        <v>Registered</v>
      </c>
      <c r="O1423" s="1" t="s">
        <v>19</v>
      </c>
      <c r="P1423" s="9" t="str">
        <f t="shared" si="6"/>
        <v>UK</v>
      </c>
      <c r="Q1423" s="8">
        <f t="shared" si="7"/>
        <v>2.1</v>
      </c>
    </row>
    <row r="1424">
      <c r="A1424" s="1">
        <v>544837.0</v>
      </c>
      <c r="B1424" s="1" t="str">
        <f t="shared" si="1"/>
        <v>544837</v>
      </c>
      <c r="C1424" s="1" t="str">
        <f t="shared" si="2"/>
        <v>Sale</v>
      </c>
      <c r="D1424" s="1">
        <v>21354.0</v>
      </c>
      <c r="E1424" s="1" t="str">
        <f>IFERROR(__xludf.DUMMYFUNCTION("IF(LEN(D1424)&gt;4, IFERROR(REGEXEXTRACT(TO_TEXT(D1424),""\d+""),""""),"""")"),"21354")</f>
        <v>21354</v>
      </c>
      <c r="F1424" s="6" t="str">
        <f t="shared" si="3"/>
        <v>Product</v>
      </c>
      <c r="G1424" s="1" t="s">
        <v>904</v>
      </c>
      <c r="H1424" s="6" t="str">
        <f>IFERROR(__xludf.DUMMYFUNCTION("IF(REGEXMATCH(LOWER(G1424), ""^(\?)+\s*(missing)?\s*(\?)*$""), """", PROPER(SUBSTITUTE(SUBSTITUTE(G1424, ""?"", """"), ""*"", """")))"),"Toast Its - Best Mum")</f>
        <v>Toast Its - Best Mum</v>
      </c>
      <c r="I1424" s="3">
        <v>2.0</v>
      </c>
      <c r="J1424" s="7">
        <v>40598.43680555555</v>
      </c>
      <c r="K1424" s="8" t="str">
        <f t="shared" si="4"/>
        <v>2011-02</v>
      </c>
      <c r="L1424" s="5">
        <v>1.25</v>
      </c>
      <c r="M1424" s="3">
        <v>15910.0</v>
      </c>
      <c r="N1424" s="1" t="str">
        <f t="shared" si="5"/>
        <v>Registered</v>
      </c>
      <c r="O1424" s="1" t="s">
        <v>19</v>
      </c>
      <c r="P1424" s="9" t="str">
        <f t="shared" si="6"/>
        <v>UK</v>
      </c>
      <c r="Q1424" s="8">
        <f t="shared" si="7"/>
        <v>2.5</v>
      </c>
    </row>
    <row r="1425">
      <c r="A1425" s="1">
        <v>544837.0</v>
      </c>
      <c r="B1425" s="1" t="str">
        <f t="shared" si="1"/>
        <v>544837</v>
      </c>
      <c r="C1425" s="1" t="str">
        <f t="shared" si="2"/>
        <v>Sale</v>
      </c>
      <c r="D1425" s="1">
        <v>22964.0</v>
      </c>
      <c r="E1425" s="1" t="str">
        <f>IFERROR(__xludf.DUMMYFUNCTION("IF(LEN(D1425)&gt;4, IFERROR(REGEXEXTRACT(TO_TEXT(D1425),""\d+""),""""),"""")"),"22964")</f>
        <v>22964</v>
      </c>
      <c r="F1425" s="6" t="str">
        <f t="shared" si="3"/>
        <v>Product</v>
      </c>
      <c r="G1425" s="1" t="s">
        <v>351</v>
      </c>
      <c r="H1425" s="6" t="str">
        <f>IFERROR(__xludf.DUMMYFUNCTION("IF(REGEXMATCH(LOWER(G1425), ""^(\?)+\s*(missing)?\s*(\?)*$""), """", PROPER(SUBSTITUTE(SUBSTITUTE(G1425, ""?"", """"), ""*"", """")))"),"3 Piece Spaceboy Cookie Cutter Set")</f>
        <v>3 Piece Spaceboy Cookie Cutter Set</v>
      </c>
      <c r="I1425" s="3">
        <v>2.0</v>
      </c>
      <c r="J1425" s="7">
        <v>40598.43680555555</v>
      </c>
      <c r="K1425" s="8" t="str">
        <f t="shared" si="4"/>
        <v>2011-02</v>
      </c>
      <c r="L1425" s="5">
        <v>2.1</v>
      </c>
      <c r="M1425" s="3">
        <v>15910.0</v>
      </c>
      <c r="N1425" s="1" t="str">
        <f t="shared" si="5"/>
        <v>Registered</v>
      </c>
      <c r="O1425" s="1" t="s">
        <v>19</v>
      </c>
      <c r="P1425" s="9" t="str">
        <f t="shared" si="6"/>
        <v>UK</v>
      </c>
      <c r="Q1425" s="8">
        <f t="shared" si="7"/>
        <v>4.2</v>
      </c>
    </row>
    <row r="1426">
      <c r="A1426" s="1">
        <v>544837.0</v>
      </c>
      <c r="B1426" s="1" t="str">
        <f t="shared" si="1"/>
        <v>544837</v>
      </c>
      <c r="C1426" s="1" t="str">
        <f t="shared" si="2"/>
        <v>Sale</v>
      </c>
      <c r="D1426" s="1">
        <v>22148.0</v>
      </c>
      <c r="E1426" s="1" t="str">
        <f>IFERROR(__xludf.DUMMYFUNCTION("IF(LEN(D1426)&gt;4, IFERROR(REGEXEXTRACT(TO_TEXT(D1426),""\d+""),""""),"""")"),"22148")</f>
        <v>22148</v>
      </c>
      <c r="F1426" s="6" t="str">
        <f t="shared" si="3"/>
        <v>Product</v>
      </c>
      <c r="G1426" s="1" t="s">
        <v>754</v>
      </c>
      <c r="H1426" s="6" t="str">
        <f>IFERROR(__xludf.DUMMYFUNCTION("IF(REGEXMATCH(LOWER(G1426), ""^(\?)+\s*(missing)?\s*(\?)*$""), """", PROPER(SUBSTITUTE(SUBSTITUTE(G1426, ""?"", """"), ""*"", """")))"),"Easter Craft 4 Chicks")</f>
        <v>Easter Craft 4 Chicks</v>
      </c>
      <c r="I1426" s="3">
        <v>3.0</v>
      </c>
      <c r="J1426" s="7">
        <v>40598.43680555555</v>
      </c>
      <c r="K1426" s="8" t="str">
        <f t="shared" si="4"/>
        <v>2011-02</v>
      </c>
      <c r="L1426" s="5">
        <v>1.95</v>
      </c>
      <c r="M1426" s="3">
        <v>15910.0</v>
      </c>
      <c r="N1426" s="1" t="str">
        <f t="shared" si="5"/>
        <v>Registered</v>
      </c>
      <c r="O1426" s="1" t="s">
        <v>19</v>
      </c>
      <c r="P1426" s="9" t="str">
        <f t="shared" si="6"/>
        <v>UK</v>
      </c>
      <c r="Q1426" s="8">
        <f t="shared" si="7"/>
        <v>5.85</v>
      </c>
    </row>
    <row r="1427">
      <c r="A1427" s="1">
        <v>544837.0</v>
      </c>
      <c r="B1427" s="1" t="str">
        <f t="shared" si="1"/>
        <v>544837</v>
      </c>
      <c r="C1427" s="1" t="str">
        <f t="shared" si="2"/>
        <v>Sale</v>
      </c>
      <c r="D1427" s="1">
        <v>22309.0</v>
      </c>
      <c r="E1427" s="1" t="str">
        <f>IFERROR(__xludf.DUMMYFUNCTION("IF(LEN(D1427)&gt;4, IFERROR(REGEXEXTRACT(TO_TEXT(D1427),""\d+""),""""),"""")"),"22309")</f>
        <v>22309</v>
      </c>
      <c r="F1427" s="6" t="str">
        <f t="shared" si="3"/>
        <v>Product</v>
      </c>
      <c r="G1427" s="1" t="s">
        <v>905</v>
      </c>
      <c r="H1427" s="6" t="str">
        <f>IFERROR(__xludf.DUMMYFUNCTION("IF(REGEXMATCH(LOWER(G1427), ""^(\?)+\s*(missing)?\s*(\?)*$""), """", PROPER(SUBSTITUTE(SUBSTITUTE(G1427, ""?"", """"), ""*"", """")))"),"Tea Cosy Red Stripe")</f>
        <v>Tea Cosy Red Stripe</v>
      </c>
      <c r="I1427" s="3">
        <v>1.0</v>
      </c>
      <c r="J1427" s="7">
        <v>40598.43680555555</v>
      </c>
      <c r="K1427" s="8" t="str">
        <f t="shared" si="4"/>
        <v>2011-02</v>
      </c>
      <c r="L1427" s="5">
        <v>2.55</v>
      </c>
      <c r="M1427" s="3">
        <v>15910.0</v>
      </c>
      <c r="N1427" s="1" t="str">
        <f t="shared" si="5"/>
        <v>Registered</v>
      </c>
      <c r="O1427" s="1" t="s">
        <v>19</v>
      </c>
      <c r="P1427" s="9" t="str">
        <f t="shared" si="6"/>
        <v>UK</v>
      </c>
      <c r="Q1427" s="8">
        <f t="shared" si="7"/>
        <v>2.55</v>
      </c>
    </row>
    <row r="1428">
      <c r="A1428" s="1">
        <v>544837.0</v>
      </c>
      <c r="B1428" s="1" t="str">
        <f t="shared" si="1"/>
        <v>544837</v>
      </c>
      <c r="C1428" s="1" t="str">
        <f t="shared" si="2"/>
        <v>Sale</v>
      </c>
      <c r="D1428" s="1">
        <v>22308.0</v>
      </c>
      <c r="E1428" s="1" t="str">
        <f>IFERROR(__xludf.DUMMYFUNCTION("IF(LEN(D1428)&gt;4, IFERROR(REGEXEXTRACT(TO_TEXT(D1428),""\d+""),""""),"""")"),"22308")</f>
        <v>22308</v>
      </c>
      <c r="F1428" s="6" t="str">
        <f t="shared" si="3"/>
        <v>Product</v>
      </c>
      <c r="G1428" s="1" t="s">
        <v>906</v>
      </c>
      <c r="H1428" s="6" t="str">
        <f>IFERROR(__xludf.DUMMYFUNCTION("IF(REGEXMATCH(LOWER(G1428), ""^(\?)+\s*(missing)?\s*(\?)*$""), """", PROPER(SUBSTITUTE(SUBSTITUTE(G1428, ""?"", """"), ""*"", """")))"),"Tea Cosy Blue Stripe")</f>
        <v>Tea Cosy Blue Stripe</v>
      </c>
      <c r="I1428" s="3">
        <v>1.0</v>
      </c>
      <c r="J1428" s="7">
        <v>40598.43680555555</v>
      </c>
      <c r="K1428" s="8" t="str">
        <f t="shared" si="4"/>
        <v>2011-02</v>
      </c>
      <c r="L1428" s="5">
        <v>2.55</v>
      </c>
      <c r="M1428" s="3">
        <v>15910.0</v>
      </c>
      <c r="N1428" s="1" t="str">
        <f t="shared" si="5"/>
        <v>Registered</v>
      </c>
      <c r="O1428" s="1" t="s">
        <v>19</v>
      </c>
      <c r="P1428" s="9" t="str">
        <f t="shared" si="6"/>
        <v>UK</v>
      </c>
      <c r="Q1428" s="8">
        <f t="shared" si="7"/>
        <v>2.55</v>
      </c>
    </row>
    <row r="1429">
      <c r="A1429" s="1">
        <v>544837.0</v>
      </c>
      <c r="B1429" s="1" t="str">
        <f t="shared" si="1"/>
        <v>544837</v>
      </c>
      <c r="C1429" s="1" t="str">
        <f t="shared" si="2"/>
        <v>Sale</v>
      </c>
      <c r="D1429" s="1" t="s">
        <v>907</v>
      </c>
      <c r="E1429" s="1" t="str">
        <f>IFERROR(__xludf.DUMMYFUNCTION("IF(LEN(D1429)&gt;4, IFERROR(REGEXEXTRACT(TO_TEXT(D1429),""\d+""),""""),"""")"),"85206")</f>
        <v>85206</v>
      </c>
      <c r="F1429" s="6" t="str">
        <f t="shared" si="3"/>
        <v>Product</v>
      </c>
      <c r="G1429" s="1" t="s">
        <v>908</v>
      </c>
      <c r="H1429" s="6" t="str">
        <f>IFERROR(__xludf.DUMMYFUNCTION("IF(REGEXMATCH(LOWER(G1429), ""^(\?)+\s*(missing)?\s*(\?)*$""), """", PROPER(SUBSTITUTE(SUBSTITUTE(G1429, ""?"", """"), ""*"", """")))"),"Cream Felt Easter Egg Basket")</f>
        <v>Cream Felt Easter Egg Basket</v>
      </c>
      <c r="I1429" s="3">
        <v>4.0</v>
      </c>
      <c r="J1429" s="7">
        <v>40598.43680555555</v>
      </c>
      <c r="K1429" s="8" t="str">
        <f t="shared" si="4"/>
        <v>2011-02</v>
      </c>
      <c r="L1429" s="5">
        <v>1.65</v>
      </c>
      <c r="M1429" s="3">
        <v>15910.0</v>
      </c>
      <c r="N1429" s="1" t="str">
        <f t="shared" si="5"/>
        <v>Registered</v>
      </c>
      <c r="O1429" s="1" t="s">
        <v>19</v>
      </c>
      <c r="P1429" s="9" t="str">
        <f t="shared" si="6"/>
        <v>UK</v>
      </c>
      <c r="Q1429" s="8">
        <f t="shared" si="7"/>
        <v>6.6</v>
      </c>
    </row>
    <row r="1430">
      <c r="A1430" s="1">
        <v>544837.0</v>
      </c>
      <c r="B1430" s="1" t="str">
        <f t="shared" si="1"/>
        <v>544837</v>
      </c>
      <c r="C1430" s="1" t="str">
        <f t="shared" si="2"/>
        <v>Sale</v>
      </c>
      <c r="D1430" s="1">
        <v>22957.0</v>
      </c>
      <c r="E1430" s="1" t="str">
        <f>IFERROR(__xludf.DUMMYFUNCTION("IF(LEN(D1430)&gt;4, IFERROR(REGEXEXTRACT(TO_TEXT(D1430),""\d+""),""""),"""")"),"22957")</f>
        <v>22957</v>
      </c>
      <c r="F1430" s="6" t="str">
        <f t="shared" si="3"/>
        <v>Product</v>
      </c>
      <c r="G1430" s="1" t="s">
        <v>909</v>
      </c>
      <c r="H1430" s="6" t="str">
        <f>IFERROR(__xludf.DUMMYFUNCTION("IF(REGEXMATCH(LOWER(G1430), ""^(\?)+\s*(missing)?\s*(\?)*$""), """", PROPER(SUBSTITUTE(SUBSTITUTE(G1430, ""?"", """"), ""*"", """")))"),"Set 3 Paper Vintage Chick Paper Egg")</f>
        <v>Set 3 Paper Vintage Chick Paper Egg</v>
      </c>
      <c r="I1430" s="3">
        <v>3.0</v>
      </c>
      <c r="J1430" s="7">
        <v>40598.43680555555</v>
      </c>
      <c r="K1430" s="8" t="str">
        <f t="shared" si="4"/>
        <v>2011-02</v>
      </c>
      <c r="L1430" s="5">
        <v>2.95</v>
      </c>
      <c r="M1430" s="3">
        <v>15910.0</v>
      </c>
      <c r="N1430" s="1" t="str">
        <f t="shared" si="5"/>
        <v>Registered</v>
      </c>
      <c r="O1430" s="1" t="s">
        <v>19</v>
      </c>
      <c r="P1430" s="9" t="str">
        <f t="shared" si="6"/>
        <v>UK</v>
      </c>
      <c r="Q1430" s="8">
        <f t="shared" si="7"/>
        <v>8.85</v>
      </c>
    </row>
    <row r="1431">
      <c r="A1431" s="1">
        <v>544838.0</v>
      </c>
      <c r="B1431" s="1" t="str">
        <f t="shared" si="1"/>
        <v>544838</v>
      </c>
      <c r="C1431" s="1" t="str">
        <f t="shared" si="2"/>
        <v>Sale</v>
      </c>
      <c r="D1431" s="1">
        <v>22915.0</v>
      </c>
      <c r="E1431" s="1" t="str">
        <f>IFERROR(__xludf.DUMMYFUNCTION("IF(LEN(D1431)&gt;4, IFERROR(REGEXEXTRACT(TO_TEXT(D1431),""\d+""),""""),"""")"),"22915")</f>
        <v>22915</v>
      </c>
      <c r="F1431" s="6" t="str">
        <f t="shared" si="3"/>
        <v>Product</v>
      </c>
      <c r="G1431" s="1" t="s">
        <v>190</v>
      </c>
      <c r="H1431" s="6" t="str">
        <f>IFERROR(__xludf.DUMMYFUNCTION("IF(REGEXMATCH(LOWER(G1431), ""^(\?)+\s*(missing)?\s*(\?)*$""), """", PROPER(SUBSTITUTE(SUBSTITUTE(G1431, ""?"", """"), ""*"", """")))"),"Assorted Bottle Top Magnets")</f>
        <v>Assorted Bottle Top Magnets</v>
      </c>
      <c r="I1431" s="3">
        <v>12.0</v>
      </c>
      <c r="J1431" s="7">
        <v>40598.44027777778</v>
      </c>
      <c r="K1431" s="8" t="str">
        <f t="shared" si="4"/>
        <v>2011-02</v>
      </c>
      <c r="L1431" s="5">
        <v>0.42</v>
      </c>
      <c r="M1431" s="3">
        <v>12565.0</v>
      </c>
      <c r="N1431" s="1" t="str">
        <f t="shared" si="5"/>
        <v>Registered</v>
      </c>
      <c r="O1431" s="1" t="s">
        <v>910</v>
      </c>
      <c r="P1431" s="9" t="str">
        <f t="shared" si="6"/>
        <v>International</v>
      </c>
      <c r="Q1431" s="8">
        <f t="shared" si="7"/>
        <v>5.04</v>
      </c>
    </row>
    <row r="1432">
      <c r="A1432" s="1">
        <v>544838.0</v>
      </c>
      <c r="B1432" s="1" t="str">
        <f t="shared" si="1"/>
        <v>544838</v>
      </c>
      <c r="C1432" s="1" t="str">
        <f t="shared" si="2"/>
        <v>Sale</v>
      </c>
      <c r="D1432" s="1">
        <v>22363.0</v>
      </c>
      <c r="E1432" s="1" t="str">
        <f>IFERROR(__xludf.DUMMYFUNCTION("IF(LEN(D1432)&gt;4, IFERROR(REGEXEXTRACT(TO_TEXT(D1432),""\d+""),""""),"""")"),"22363")</f>
        <v>22363</v>
      </c>
      <c r="F1432" s="6" t="str">
        <f t="shared" si="3"/>
        <v>Product</v>
      </c>
      <c r="G1432" s="1" t="s">
        <v>911</v>
      </c>
      <c r="H1432" s="6" t="str">
        <f>IFERROR(__xludf.DUMMYFUNCTION("IF(REGEXMATCH(LOWER(G1432), ""^(\?)+\s*(missing)?\s*(\?)*$""), """", PROPER(SUBSTITUTE(SUBSTITUTE(G1432, ""?"", """"), ""*"", """")))"),"Glass Jar Marmalade")</f>
        <v>Glass Jar Marmalade</v>
      </c>
      <c r="I1432" s="3">
        <v>6.0</v>
      </c>
      <c r="J1432" s="7">
        <v>40598.44027777778</v>
      </c>
      <c r="K1432" s="8" t="str">
        <f t="shared" si="4"/>
        <v>2011-02</v>
      </c>
      <c r="L1432" s="5">
        <v>2.95</v>
      </c>
      <c r="M1432" s="3">
        <v>12565.0</v>
      </c>
      <c r="N1432" s="1" t="str">
        <f t="shared" si="5"/>
        <v>Registered</v>
      </c>
      <c r="O1432" s="1" t="s">
        <v>910</v>
      </c>
      <c r="P1432" s="9" t="str">
        <f t="shared" si="6"/>
        <v>International</v>
      </c>
      <c r="Q1432" s="8">
        <f t="shared" si="7"/>
        <v>17.7</v>
      </c>
    </row>
    <row r="1433">
      <c r="A1433" s="1">
        <v>544838.0</v>
      </c>
      <c r="B1433" s="1" t="str">
        <f t="shared" si="1"/>
        <v>544838</v>
      </c>
      <c r="C1433" s="1" t="str">
        <f t="shared" si="2"/>
        <v>Sale</v>
      </c>
      <c r="D1433" s="1">
        <v>22362.0</v>
      </c>
      <c r="E1433" s="1" t="str">
        <f>IFERROR(__xludf.DUMMYFUNCTION("IF(LEN(D1433)&gt;4, IFERROR(REGEXEXTRACT(TO_TEXT(D1433),""\d+""),""""),"""")"),"22362")</f>
        <v>22362</v>
      </c>
      <c r="F1433" s="6" t="str">
        <f t="shared" si="3"/>
        <v>Product</v>
      </c>
      <c r="G1433" s="1" t="s">
        <v>912</v>
      </c>
      <c r="H1433" s="6" t="str">
        <f>IFERROR(__xludf.DUMMYFUNCTION("IF(REGEXMATCH(LOWER(G1433), ""^(\?)+\s*(missing)?\s*(\?)*$""), """", PROPER(SUBSTITUTE(SUBSTITUTE(G1433, ""?"", """"), ""*"", """")))"),"Glass Jar Peacock Bath Salts")</f>
        <v>Glass Jar Peacock Bath Salts</v>
      </c>
      <c r="I1433" s="3">
        <v>6.0</v>
      </c>
      <c r="J1433" s="7">
        <v>40598.44027777778</v>
      </c>
      <c r="K1433" s="8" t="str">
        <f t="shared" si="4"/>
        <v>2011-02</v>
      </c>
      <c r="L1433" s="5">
        <v>2.95</v>
      </c>
      <c r="M1433" s="3">
        <v>12565.0</v>
      </c>
      <c r="N1433" s="1" t="str">
        <f t="shared" si="5"/>
        <v>Registered</v>
      </c>
      <c r="O1433" s="1" t="s">
        <v>910</v>
      </c>
      <c r="P1433" s="9" t="str">
        <f t="shared" si="6"/>
        <v>International</v>
      </c>
      <c r="Q1433" s="8">
        <f t="shared" si="7"/>
        <v>17.7</v>
      </c>
    </row>
    <row r="1434">
      <c r="A1434" s="1">
        <v>544838.0</v>
      </c>
      <c r="B1434" s="1" t="str">
        <f t="shared" si="1"/>
        <v>544838</v>
      </c>
      <c r="C1434" s="1" t="str">
        <f t="shared" si="2"/>
        <v>Sale</v>
      </c>
      <c r="D1434" s="1">
        <v>22361.0</v>
      </c>
      <c r="E1434" s="1" t="str">
        <f>IFERROR(__xludf.DUMMYFUNCTION("IF(LEN(D1434)&gt;4, IFERROR(REGEXEXTRACT(TO_TEXT(D1434),""\d+""),""""),"""")"),"22361")</f>
        <v>22361</v>
      </c>
      <c r="F1434" s="6" t="str">
        <f t="shared" si="3"/>
        <v>Product</v>
      </c>
      <c r="G1434" s="1" t="s">
        <v>913</v>
      </c>
      <c r="H1434" s="6" t="str">
        <f>IFERROR(__xludf.DUMMYFUNCTION("IF(REGEXMATCH(LOWER(G1434), ""^(\?)+\s*(missing)?\s*(\?)*$""), """", PROPER(SUBSTITUTE(SUBSTITUTE(G1434, ""?"", """"), ""*"", """")))"),"Glass Jar Daisy Fresh Cotton Wool")</f>
        <v>Glass Jar Daisy Fresh Cotton Wool</v>
      </c>
      <c r="I1434" s="3">
        <v>6.0</v>
      </c>
      <c r="J1434" s="7">
        <v>40598.44027777778</v>
      </c>
      <c r="K1434" s="8" t="str">
        <f t="shared" si="4"/>
        <v>2011-02</v>
      </c>
      <c r="L1434" s="5">
        <v>2.95</v>
      </c>
      <c r="M1434" s="3">
        <v>12565.0</v>
      </c>
      <c r="N1434" s="1" t="str">
        <f t="shared" si="5"/>
        <v>Registered</v>
      </c>
      <c r="O1434" s="1" t="s">
        <v>910</v>
      </c>
      <c r="P1434" s="9" t="str">
        <f t="shared" si="6"/>
        <v>International</v>
      </c>
      <c r="Q1434" s="8">
        <f t="shared" si="7"/>
        <v>17.7</v>
      </c>
    </row>
    <row r="1435">
      <c r="A1435" s="1">
        <v>544838.0</v>
      </c>
      <c r="B1435" s="1" t="str">
        <f t="shared" si="1"/>
        <v>544838</v>
      </c>
      <c r="C1435" s="1" t="str">
        <f t="shared" si="2"/>
        <v>Sale</v>
      </c>
      <c r="D1435" s="1">
        <v>22553.0</v>
      </c>
      <c r="E1435" s="1" t="str">
        <f>IFERROR(__xludf.DUMMYFUNCTION("IF(LEN(D1435)&gt;4, IFERROR(REGEXEXTRACT(TO_TEXT(D1435),""\d+""),""""),"""")"),"22553")</f>
        <v>22553</v>
      </c>
      <c r="F1435" s="6" t="str">
        <f t="shared" si="3"/>
        <v>Product</v>
      </c>
      <c r="G1435" s="1" t="s">
        <v>234</v>
      </c>
      <c r="H1435" s="6" t="str">
        <f>IFERROR(__xludf.DUMMYFUNCTION("IF(REGEXMATCH(LOWER(G1435), ""^(\?)+\s*(missing)?\s*(\?)*$""), """", PROPER(SUBSTITUTE(SUBSTITUTE(G1435, ""?"", """"), ""*"", """")))"),"Plasters In Tin Skulls")</f>
        <v>Plasters In Tin Skulls</v>
      </c>
      <c r="I1435" s="3">
        <v>12.0</v>
      </c>
      <c r="J1435" s="7">
        <v>40598.44027777778</v>
      </c>
      <c r="K1435" s="8" t="str">
        <f t="shared" si="4"/>
        <v>2011-02</v>
      </c>
      <c r="L1435" s="5">
        <v>1.65</v>
      </c>
      <c r="M1435" s="3">
        <v>12565.0</v>
      </c>
      <c r="N1435" s="1" t="str">
        <f t="shared" si="5"/>
        <v>Registered</v>
      </c>
      <c r="O1435" s="1" t="s">
        <v>910</v>
      </c>
      <c r="P1435" s="9" t="str">
        <f t="shared" si="6"/>
        <v>International</v>
      </c>
      <c r="Q1435" s="8">
        <f t="shared" si="7"/>
        <v>19.8</v>
      </c>
    </row>
    <row r="1436">
      <c r="A1436" s="1">
        <v>544838.0</v>
      </c>
      <c r="B1436" s="1" t="str">
        <f t="shared" si="1"/>
        <v>544838</v>
      </c>
      <c r="C1436" s="1" t="str">
        <f t="shared" si="2"/>
        <v>Sale</v>
      </c>
      <c r="D1436" s="1">
        <v>22555.0</v>
      </c>
      <c r="E1436" s="1" t="str">
        <f>IFERROR(__xludf.DUMMYFUNCTION("IF(LEN(D1436)&gt;4, IFERROR(REGEXEXTRACT(TO_TEXT(D1436),""\d+""),""""),"""")"),"22555")</f>
        <v>22555</v>
      </c>
      <c r="F1436" s="6" t="str">
        <f t="shared" si="3"/>
        <v>Product</v>
      </c>
      <c r="G1436" s="1" t="s">
        <v>914</v>
      </c>
      <c r="H1436" s="6" t="str">
        <f>IFERROR(__xludf.DUMMYFUNCTION("IF(REGEXMATCH(LOWER(G1436), ""^(\?)+\s*(missing)?\s*(\?)*$""), """", PROPER(SUBSTITUTE(SUBSTITUTE(G1436, ""?"", """"), ""*"", """")))"),"Plasters In Tin Strongman")</f>
        <v>Plasters In Tin Strongman</v>
      </c>
      <c r="I1436" s="3">
        <v>12.0</v>
      </c>
      <c r="J1436" s="7">
        <v>40598.44027777778</v>
      </c>
      <c r="K1436" s="8" t="str">
        <f t="shared" si="4"/>
        <v>2011-02</v>
      </c>
      <c r="L1436" s="5">
        <v>1.65</v>
      </c>
      <c r="M1436" s="3">
        <v>12565.0</v>
      </c>
      <c r="N1436" s="1" t="str">
        <f t="shared" si="5"/>
        <v>Registered</v>
      </c>
      <c r="O1436" s="1" t="s">
        <v>910</v>
      </c>
      <c r="P1436" s="9" t="str">
        <f t="shared" si="6"/>
        <v>International</v>
      </c>
      <c r="Q1436" s="8">
        <f t="shared" si="7"/>
        <v>19.8</v>
      </c>
    </row>
    <row r="1437">
      <c r="A1437" s="1">
        <v>544838.0</v>
      </c>
      <c r="B1437" s="1" t="str">
        <f t="shared" si="1"/>
        <v>544838</v>
      </c>
      <c r="C1437" s="1" t="str">
        <f t="shared" si="2"/>
        <v>Sale</v>
      </c>
      <c r="D1437" s="1">
        <v>22556.0</v>
      </c>
      <c r="E1437" s="1" t="str">
        <f>IFERROR(__xludf.DUMMYFUNCTION("IF(LEN(D1437)&gt;4, IFERROR(REGEXEXTRACT(TO_TEXT(D1437),""\d+""),""""),"""")"),"22556")</f>
        <v>22556</v>
      </c>
      <c r="F1437" s="6" t="str">
        <f t="shared" si="3"/>
        <v>Product</v>
      </c>
      <c r="G1437" s="1" t="s">
        <v>228</v>
      </c>
      <c r="H1437" s="6" t="str">
        <f>IFERROR(__xludf.DUMMYFUNCTION("IF(REGEXMATCH(LOWER(G1437), ""^(\?)+\s*(missing)?\s*(\?)*$""), """", PROPER(SUBSTITUTE(SUBSTITUTE(G1437, ""?"", """"), ""*"", """")))"),"Plasters In Tin Circus Parade")</f>
        <v>Plasters In Tin Circus Parade</v>
      </c>
      <c r="I1437" s="3">
        <v>12.0</v>
      </c>
      <c r="J1437" s="7">
        <v>40598.44027777778</v>
      </c>
      <c r="K1437" s="8" t="str">
        <f t="shared" si="4"/>
        <v>2011-02</v>
      </c>
      <c r="L1437" s="5">
        <v>1.65</v>
      </c>
      <c r="M1437" s="3">
        <v>12565.0</v>
      </c>
      <c r="N1437" s="1" t="str">
        <f t="shared" si="5"/>
        <v>Registered</v>
      </c>
      <c r="O1437" s="1" t="s">
        <v>910</v>
      </c>
      <c r="P1437" s="9" t="str">
        <f t="shared" si="6"/>
        <v>International</v>
      </c>
      <c r="Q1437" s="8">
        <f t="shared" si="7"/>
        <v>19.8</v>
      </c>
    </row>
    <row r="1438">
      <c r="A1438" s="1">
        <v>544838.0</v>
      </c>
      <c r="B1438" s="1" t="str">
        <f t="shared" si="1"/>
        <v>544838</v>
      </c>
      <c r="C1438" s="1" t="str">
        <f t="shared" si="2"/>
        <v>Sale</v>
      </c>
      <c r="D1438" s="1">
        <v>20781.0</v>
      </c>
      <c r="E1438" s="1" t="str">
        <f>IFERROR(__xludf.DUMMYFUNCTION("IF(LEN(D1438)&gt;4, IFERROR(REGEXEXTRACT(TO_TEXT(D1438),""\d+""),""""),"""")"),"20781")</f>
        <v>20781</v>
      </c>
      <c r="F1438" s="6" t="str">
        <f t="shared" si="3"/>
        <v>Product</v>
      </c>
      <c r="G1438" s="1" t="s">
        <v>915</v>
      </c>
      <c r="H1438" s="6" t="str">
        <f>IFERROR(__xludf.DUMMYFUNCTION("IF(REGEXMATCH(LOWER(G1438), ""^(\?)+\s*(missing)?\s*(\?)*$""), """", PROPER(SUBSTITUTE(SUBSTITUTE(G1438, ""?"", """"), ""*"", """")))"),"Gold Ear Muff Headphones")</f>
        <v>Gold Ear Muff Headphones</v>
      </c>
      <c r="I1438" s="3">
        <v>2.0</v>
      </c>
      <c r="J1438" s="7">
        <v>40598.44027777778</v>
      </c>
      <c r="K1438" s="8" t="str">
        <f t="shared" si="4"/>
        <v>2011-02</v>
      </c>
      <c r="L1438" s="5">
        <v>5.49</v>
      </c>
      <c r="M1438" s="3">
        <v>12565.0</v>
      </c>
      <c r="N1438" s="1" t="str">
        <f t="shared" si="5"/>
        <v>Registered</v>
      </c>
      <c r="O1438" s="1" t="s">
        <v>910</v>
      </c>
      <c r="P1438" s="9" t="str">
        <f t="shared" si="6"/>
        <v>International</v>
      </c>
      <c r="Q1438" s="8">
        <f t="shared" si="7"/>
        <v>10.98</v>
      </c>
    </row>
    <row r="1439">
      <c r="A1439" s="1">
        <v>544838.0</v>
      </c>
      <c r="B1439" s="1" t="str">
        <f t="shared" si="1"/>
        <v>544838</v>
      </c>
      <c r="C1439" s="1" t="str">
        <f t="shared" si="2"/>
        <v>Sale</v>
      </c>
      <c r="D1439" s="1">
        <v>22969.0</v>
      </c>
      <c r="E1439" s="1" t="str">
        <f>IFERROR(__xludf.DUMMYFUNCTION("IF(LEN(D1439)&gt;4, IFERROR(REGEXEXTRACT(TO_TEXT(D1439),""\d+""),""""),"""")"),"22969")</f>
        <v>22969</v>
      </c>
      <c r="F1439" s="6" t="str">
        <f t="shared" si="3"/>
        <v>Product</v>
      </c>
      <c r="G1439" s="1" t="s">
        <v>192</v>
      </c>
      <c r="H1439" s="6" t="str">
        <f>IFERROR(__xludf.DUMMYFUNCTION("IF(REGEXMATCH(LOWER(G1439), ""^(\?)+\s*(missing)?\s*(\?)*$""), """", PROPER(SUBSTITUTE(SUBSTITUTE(G1439, ""?"", """"), ""*"", """")))"),"Homemade Jam Scented Candles")</f>
        <v>Homemade Jam Scented Candles</v>
      </c>
      <c r="I1439" s="3">
        <v>12.0</v>
      </c>
      <c r="J1439" s="7">
        <v>40598.44027777778</v>
      </c>
      <c r="K1439" s="8" t="str">
        <f t="shared" si="4"/>
        <v>2011-02</v>
      </c>
      <c r="L1439" s="5">
        <v>1.45</v>
      </c>
      <c r="M1439" s="3">
        <v>12565.0</v>
      </c>
      <c r="N1439" s="1" t="str">
        <f t="shared" si="5"/>
        <v>Registered</v>
      </c>
      <c r="O1439" s="1" t="s">
        <v>910</v>
      </c>
      <c r="P1439" s="9" t="str">
        <f t="shared" si="6"/>
        <v>International</v>
      </c>
      <c r="Q1439" s="8">
        <f t="shared" si="7"/>
        <v>17.4</v>
      </c>
    </row>
    <row r="1440">
      <c r="A1440" s="1">
        <v>544839.0</v>
      </c>
      <c r="B1440" s="1" t="str">
        <f t="shared" si="1"/>
        <v>544839</v>
      </c>
      <c r="C1440" s="1" t="str">
        <f t="shared" si="2"/>
        <v>Sale</v>
      </c>
      <c r="D1440" s="1">
        <v>22720.0</v>
      </c>
      <c r="E1440" s="1" t="str">
        <f>IFERROR(__xludf.DUMMYFUNCTION("IF(LEN(D1440)&gt;4, IFERROR(REGEXEXTRACT(TO_TEXT(D1440),""\d+""),""""),"""")"),"22720")</f>
        <v>22720</v>
      </c>
      <c r="F1440" s="6" t="str">
        <f t="shared" si="3"/>
        <v>Product</v>
      </c>
      <c r="G1440" s="1" t="s">
        <v>685</v>
      </c>
      <c r="H1440" s="6" t="str">
        <f>IFERROR(__xludf.DUMMYFUNCTION("IF(REGEXMATCH(LOWER(G1440), ""^(\?)+\s*(missing)?\s*(\?)*$""), """", PROPER(SUBSTITUTE(SUBSTITUTE(G1440, ""?"", """"), ""*"", """")))"),"Set Of 3 Cake Tins Pantry Design")</f>
        <v>Set Of 3 Cake Tins Pantry Design</v>
      </c>
      <c r="I1440" s="3">
        <v>3.0</v>
      </c>
      <c r="J1440" s="7">
        <v>40598.45138888889</v>
      </c>
      <c r="K1440" s="8" t="str">
        <f t="shared" si="4"/>
        <v>2011-02</v>
      </c>
      <c r="L1440" s="5">
        <v>4.95</v>
      </c>
      <c r="M1440" s="3">
        <v>14841.0</v>
      </c>
      <c r="N1440" s="1" t="str">
        <f t="shared" si="5"/>
        <v>Registered</v>
      </c>
      <c r="O1440" s="1" t="s">
        <v>19</v>
      </c>
      <c r="P1440" s="9" t="str">
        <f t="shared" si="6"/>
        <v>UK</v>
      </c>
      <c r="Q1440" s="8">
        <f t="shared" si="7"/>
        <v>14.85</v>
      </c>
    </row>
    <row r="1441">
      <c r="A1441" s="1">
        <v>544839.0</v>
      </c>
      <c r="B1441" s="1" t="str">
        <f t="shared" si="1"/>
        <v>544839</v>
      </c>
      <c r="C1441" s="1" t="str">
        <f t="shared" si="2"/>
        <v>Sale</v>
      </c>
      <c r="D1441" s="1">
        <v>22595.0</v>
      </c>
      <c r="E1441" s="1" t="str">
        <f>IFERROR(__xludf.DUMMYFUNCTION("IF(LEN(D1441)&gt;4, IFERROR(REGEXEXTRACT(TO_TEXT(D1441),""\d+""),""""),"""")"),"22595")</f>
        <v>22595</v>
      </c>
      <c r="F1441" s="6" t="str">
        <f t="shared" si="3"/>
        <v>Product</v>
      </c>
      <c r="G1441" s="1" t="s">
        <v>916</v>
      </c>
      <c r="H1441" s="6" t="str">
        <f>IFERROR(__xludf.DUMMYFUNCTION("IF(REGEXMATCH(LOWER(G1441), ""^(\?)+\s*(missing)?\s*(\?)*$""), """", PROPER(SUBSTITUTE(SUBSTITUTE(G1441, ""?"", """"), ""*"", """")))"),"Gingham Heart Decoration")</f>
        <v>Gingham Heart Decoration</v>
      </c>
      <c r="I1441" s="3">
        <v>12.0</v>
      </c>
      <c r="J1441" s="7">
        <v>40598.45138888889</v>
      </c>
      <c r="K1441" s="8" t="str">
        <f t="shared" si="4"/>
        <v>2011-02</v>
      </c>
      <c r="L1441" s="5">
        <v>0.85</v>
      </c>
      <c r="M1441" s="3">
        <v>14841.0</v>
      </c>
      <c r="N1441" s="1" t="str">
        <f t="shared" si="5"/>
        <v>Registered</v>
      </c>
      <c r="O1441" s="1" t="s">
        <v>19</v>
      </c>
      <c r="P1441" s="9" t="str">
        <f t="shared" si="6"/>
        <v>UK</v>
      </c>
      <c r="Q1441" s="8">
        <f t="shared" si="7"/>
        <v>10.2</v>
      </c>
    </row>
    <row r="1442">
      <c r="A1442" s="1">
        <v>544839.0</v>
      </c>
      <c r="B1442" s="1" t="str">
        <f t="shared" si="1"/>
        <v>544839</v>
      </c>
      <c r="C1442" s="1" t="str">
        <f t="shared" si="2"/>
        <v>Sale</v>
      </c>
      <c r="D1442" s="1">
        <v>22469.0</v>
      </c>
      <c r="E1442" s="1" t="str">
        <f>IFERROR(__xludf.DUMMYFUNCTION("IF(LEN(D1442)&gt;4, IFERROR(REGEXEXTRACT(TO_TEXT(D1442),""\d+""),""""),"""")"),"22469")</f>
        <v>22469</v>
      </c>
      <c r="F1442" s="6" t="str">
        <f t="shared" si="3"/>
        <v>Product</v>
      </c>
      <c r="G1442" s="1" t="s">
        <v>167</v>
      </c>
      <c r="H1442" s="6" t="str">
        <f>IFERROR(__xludf.DUMMYFUNCTION("IF(REGEXMATCH(LOWER(G1442), ""^(\?)+\s*(missing)?\s*(\?)*$""), """", PROPER(SUBSTITUTE(SUBSTITUTE(G1442, ""?"", """"), ""*"", """")))"),"Heart Of Wicker Small")</f>
        <v>Heart Of Wicker Small</v>
      </c>
      <c r="I1442" s="3">
        <v>24.0</v>
      </c>
      <c r="J1442" s="7">
        <v>40598.45138888889</v>
      </c>
      <c r="K1442" s="8" t="str">
        <f t="shared" si="4"/>
        <v>2011-02</v>
      </c>
      <c r="L1442" s="5">
        <v>1.65</v>
      </c>
      <c r="M1442" s="3">
        <v>14841.0</v>
      </c>
      <c r="N1442" s="1" t="str">
        <f t="shared" si="5"/>
        <v>Registered</v>
      </c>
      <c r="O1442" s="1" t="s">
        <v>19</v>
      </c>
      <c r="P1442" s="9" t="str">
        <f t="shared" si="6"/>
        <v>UK</v>
      </c>
      <c r="Q1442" s="8">
        <f t="shared" si="7"/>
        <v>39.6</v>
      </c>
    </row>
    <row r="1443">
      <c r="A1443" s="1">
        <v>544839.0</v>
      </c>
      <c r="B1443" s="1" t="str">
        <f t="shared" si="1"/>
        <v>544839</v>
      </c>
      <c r="C1443" s="1" t="str">
        <f t="shared" si="2"/>
        <v>Sale</v>
      </c>
      <c r="D1443" s="1">
        <v>21314.0</v>
      </c>
      <c r="E1443" s="1" t="str">
        <f>IFERROR(__xludf.DUMMYFUNCTION("IF(LEN(D1443)&gt;4, IFERROR(REGEXEXTRACT(TO_TEXT(D1443),""\d+""),""""),"""")"),"21314")</f>
        <v>21314</v>
      </c>
      <c r="F1443" s="6" t="str">
        <f t="shared" si="3"/>
        <v>Product</v>
      </c>
      <c r="G1443" s="1" t="s">
        <v>254</v>
      </c>
      <c r="H1443" s="6" t="str">
        <f>IFERROR(__xludf.DUMMYFUNCTION("IF(REGEXMATCH(LOWER(G1443), ""^(\?)+\s*(missing)?\s*(\?)*$""), """", PROPER(SUBSTITUTE(SUBSTITUTE(G1443, ""?"", """"), ""*"", """")))"),"Small Glass Heart Trinket Pot")</f>
        <v>Small Glass Heart Trinket Pot</v>
      </c>
      <c r="I1443" s="3">
        <v>8.0</v>
      </c>
      <c r="J1443" s="7">
        <v>40598.45138888889</v>
      </c>
      <c r="K1443" s="8" t="str">
        <f t="shared" si="4"/>
        <v>2011-02</v>
      </c>
      <c r="L1443" s="5">
        <v>2.1</v>
      </c>
      <c r="M1443" s="3">
        <v>14841.0</v>
      </c>
      <c r="N1443" s="1" t="str">
        <f t="shared" si="5"/>
        <v>Registered</v>
      </c>
      <c r="O1443" s="1" t="s">
        <v>19</v>
      </c>
      <c r="P1443" s="9" t="str">
        <f t="shared" si="6"/>
        <v>UK</v>
      </c>
      <c r="Q1443" s="8">
        <f t="shared" si="7"/>
        <v>16.8</v>
      </c>
    </row>
    <row r="1444">
      <c r="A1444" s="1">
        <v>544839.0</v>
      </c>
      <c r="B1444" s="1" t="str">
        <f t="shared" si="1"/>
        <v>544839</v>
      </c>
      <c r="C1444" s="1" t="str">
        <f t="shared" si="2"/>
        <v>Sale</v>
      </c>
      <c r="D1444" s="1">
        <v>22423.0</v>
      </c>
      <c r="E1444" s="1" t="str">
        <f>IFERROR(__xludf.DUMMYFUNCTION("IF(LEN(D1444)&gt;4, IFERROR(REGEXEXTRACT(TO_TEXT(D1444),""\d+""),""""),"""")"),"22423")</f>
        <v>22423</v>
      </c>
      <c r="F1444" s="6" t="str">
        <f t="shared" si="3"/>
        <v>Product</v>
      </c>
      <c r="G1444" s="1" t="s">
        <v>619</v>
      </c>
      <c r="H1444" s="6" t="str">
        <f>IFERROR(__xludf.DUMMYFUNCTION("IF(REGEXMATCH(LOWER(G1444), ""^(\?)+\s*(missing)?\s*(\?)*$""), """", PROPER(SUBSTITUTE(SUBSTITUTE(G1444, ""?"", """"), ""*"", """")))"),"Regency Cakestand 3 Tier")</f>
        <v>Regency Cakestand 3 Tier</v>
      </c>
      <c r="I1444" s="3">
        <v>2.0</v>
      </c>
      <c r="J1444" s="7">
        <v>40598.45138888889</v>
      </c>
      <c r="K1444" s="8" t="str">
        <f t="shared" si="4"/>
        <v>2011-02</v>
      </c>
      <c r="L1444" s="5">
        <v>12.75</v>
      </c>
      <c r="M1444" s="3">
        <v>14841.0</v>
      </c>
      <c r="N1444" s="1" t="str">
        <f t="shared" si="5"/>
        <v>Registered</v>
      </c>
      <c r="O1444" s="1" t="s">
        <v>19</v>
      </c>
      <c r="P1444" s="9" t="str">
        <f t="shared" si="6"/>
        <v>UK</v>
      </c>
      <c r="Q1444" s="8">
        <f t="shared" si="7"/>
        <v>25.5</v>
      </c>
    </row>
    <row r="1445">
      <c r="A1445" s="1">
        <v>544839.0</v>
      </c>
      <c r="B1445" s="1" t="str">
        <f t="shared" si="1"/>
        <v>544839</v>
      </c>
      <c r="C1445" s="1" t="str">
        <f t="shared" si="2"/>
        <v>Sale</v>
      </c>
      <c r="D1445" s="1">
        <v>22241.0</v>
      </c>
      <c r="E1445" s="1" t="str">
        <f>IFERROR(__xludf.DUMMYFUNCTION("IF(LEN(D1445)&gt;4, IFERROR(REGEXEXTRACT(TO_TEXT(D1445),""\d+""),""""),"""")"),"22241")</f>
        <v>22241</v>
      </c>
      <c r="F1445" s="6" t="str">
        <f t="shared" si="3"/>
        <v>Product</v>
      </c>
      <c r="G1445" s="1" t="s">
        <v>675</v>
      </c>
      <c r="H1445" s="6" t="str">
        <f>IFERROR(__xludf.DUMMYFUNCTION("IF(REGEXMATCH(LOWER(G1445), ""^(\?)+\s*(missing)?\s*(\?)*$""), """", PROPER(SUBSTITUTE(SUBSTITUTE(G1445, ""?"", """"), ""*"", """")))"),"Garland Wooden Happy Easter")</f>
        <v>Garland Wooden Happy Easter</v>
      </c>
      <c r="I1445" s="3">
        <v>12.0</v>
      </c>
      <c r="J1445" s="7">
        <v>40598.45138888889</v>
      </c>
      <c r="K1445" s="8" t="str">
        <f t="shared" si="4"/>
        <v>2011-02</v>
      </c>
      <c r="L1445" s="5">
        <v>1.25</v>
      </c>
      <c r="M1445" s="3">
        <v>14841.0</v>
      </c>
      <c r="N1445" s="1" t="str">
        <f t="shared" si="5"/>
        <v>Registered</v>
      </c>
      <c r="O1445" s="1" t="s">
        <v>19</v>
      </c>
      <c r="P1445" s="9" t="str">
        <f t="shared" si="6"/>
        <v>UK</v>
      </c>
      <c r="Q1445" s="8">
        <f t="shared" si="7"/>
        <v>15</v>
      </c>
    </row>
    <row r="1446">
      <c r="A1446" s="1">
        <v>544839.0</v>
      </c>
      <c r="B1446" s="1" t="str">
        <f t="shared" si="1"/>
        <v>544839</v>
      </c>
      <c r="C1446" s="1" t="str">
        <f t="shared" si="2"/>
        <v>Sale</v>
      </c>
      <c r="D1446" s="1">
        <v>22269.0</v>
      </c>
      <c r="E1446" s="1" t="str">
        <f>IFERROR(__xludf.DUMMYFUNCTION("IF(LEN(D1446)&gt;4, IFERROR(REGEXEXTRACT(TO_TEXT(D1446),""\d+""),""""),"""")"),"22269")</f>
        <v>22269</v>
      </c>
      <c r="F1446" s="6" t="str">
        <f t="shared" si="3"/>
        <v>Product</v>
      </c>
      <c r="G1446" s="1" t="s">
        <v>917</v>
      </c>
      <c r="H1446" s="6" t="str">
        <f>IFERROR(__xludf.DUMMYFUNCTION("IF(REGEXMATCH(LOWER(G1446), ""^(\?)+\s*(missing)?\s*(\?)*$""), """", PROPER(SUBSTITUTE(SUBSTITUTE(G1446, ""?"", """"), ""*"", """")))"),"Egg Cup Natural Chicken")</f>
        <v>Egg Cup Natural Chicken</v>
      </c>
      <c r="I1446" s="3">
        <v>8.0</v>
      </c>
      <c r="J1446" s="7">
        <v>40598.45138888889</v>
      </c>
      <c r="K1446" s="8" t="str">
        <f t="shared" si="4"/>
        <v>2011-02</v>
      </c>
      <c r="L1446" s="5">
        <v>1.25</v>
      </c>
      <c r="M1446" s="3">
        <v>14841.0</v>
      </c>
      <c r="N1446" s="1" t="str">
        <f t="shared" si="5"/>
        <v>Registered</v>
      </c>
      <c r="O1446" s="1" t="s">
        <v>19</v>
      </c>
      <c r="P1446" s="9" t="str">
        <f t="shared" si="6"/>
        <v>UK</v>
      </c>
      <c r="Q1446" s="8">
        <f t="shared" si="7"/>
        <v>10</v>
      </c>
    </row>
    <row r="1447">
      <c r="A1447" s="1">
        <v>544839.0</v>
      </c>
      <c r="B1447" s="1" t="str">
        <f t="shared" si="1"/>
        <v>544839</v>
      </c>
      <c r="C1447" s="1" t="str">
        <f t="shared" si="2"/>
        <v>Sale</v>
      </c>
      <c r="D1447" s="1">
        <v>22061.0</v>
      </c>
      <c r="E1447" s="1" t="str">
        <f>IFERROR(__xludf.DUMMYFUNCTION("IF(LEN(D1447)&gt;4, IFERROR(REGEXEXTRACT(TO_TEXT(D1447),""\d+""),""""),"""")"),"22061")</f>
        <v>22061</v>
      </c>
      <c r="F1447" s="6" t="str">
        <f t="shared" si="3"/>
        <v>Product</v>
      </c>
      <c r="G1447" s="1" t="s">
        <v>918</v>
      </c>
      <c r="H1447" s="6" t="str">
        <f>IFERROR(__xludf.DUMMYFUNCTION("IF(REGEXMATCH(LOWER(G1447), ""^(\?)+\s*(missing)?\s*(\?)*$""), """", PROPER(SUBSTITUTE(SUBSTITUTE(G1447, ""?"", """"), ""*"", """")))"),"Large Cake Stand Hanging Strawbery")</f>
        <v>Large Cake Stand Hanging Strawbery</v>
      </c>
      <c r="I1447" s="3">
        <v>2.0</v>
      </c>
      <c r="J1447" s="7">
        <v>40598.45138888889</v>
      </c>
      <c r="K1447" s="8" t="str">
        <f t="shared" si="4"/>
        <v>2011-02</v>
      </c>
      <c r="L1447" s="5">
        <v>9.95</v>
      </c>
      <c r="M1447" s="3">
        <v>14841.0</v>
      </c>
      <c r="N1447" s="1" t="str">
        <f t="shared" si="5"/>
        <v>Registered</v>
      </c>
      <c r="O1447" s="1" t="s">
        <v>19</v>
      </c>
      <c r="P1447" s="9" t="str">
        <f t="shared" si="6"/>
        <v>UK</v>
      </c>
      <c r="Q1447" s="8">
        <f t="shared" si="7"/>
        <v>19.9</v>
      </c>
    </row>
    <row r="1448">
      <c r="A1448" s="1">
        <v>544839.0</v>
      </c>
      <c r="B1448" s="1" t="str">
        <f t="shared" si="1"/>
        <v>544839</v>
      </c>
      <c r="C1448" s="1" t="str">
        <f t="shared" si="2"/>
        <v>Sale</v>
      </c>
      <c r="D1448" s="1">
        <v>48185.0</v>
      </c>
      <c r="E1448" s="1" t="str">
        <f>IFERROR(__xludf.DUMMYFUNCTION("IF(LEN(D1448)&gt;4, IFERROR(REGEXEXTRACT(TO_TEXT(D1448),""\d+""),""""),"""")"),"48185")</f>
        <v>48185</v>
      </c>
      <c r="F1448" s="6" t="str">
        <f t="shared" si="3"/>
        <v>Product</v>
      </c>
      <c r="G1448" s="1" t="s">
        <v>263</v>
      </c>
      <c r="H1448" s="6" t="str">
        <f>IFERROR(__xludf.DUMMYFUNCTION("IF(REGEXMATCH(LOWER(G1448), ""^(\?)+\s*(missing)?\s*(\?)*$""), """", PROPER(SUBSTITUTE(SUBSTITUTE(G1448, ""?"", """"), ""*"", """")))"),"Doormat Fairy Cake")</f>
        <v>Doormat Fairy Cake</v>
      </c>
      <c r="I1448" s="3">
        <v>2.0</v>
      </c>
      <c r="J1448" s="7">
        <v>40598.45138888889</v>
      </c>
      <c r="K1448" s="8" t="str">
        <f t="shared" si="4"/>
        <v>2011-02</v>
      </c>
      <c r="L1448" s="5">
        <v>7.95</v>
      </c>
      <c r="M1448" s="3">
        <v>14841.0</v>
      </c>
      <c r="N1448" s="1" t="str">
        <f t="shared" si="5"/>
        <v>Registered</v>
      </c>
      <c r="O1448" s="1" t="s">
        <v>19</v>
      </c>
      <c r="P1448" s="9" t="str">
        <f t="shared" si="6"/>
        <v>UK</v>
      </c>
      <c r="Q1448" s="8">
        <f t="shared" si="7"/>
        <v>15.9</v>
      </c>
    </row>
    <row r="1449">
      <c r="A1449" s="1">
        <v>544839.0</v>
      </c>
      <c r="B1449" s="1" t="str">
        <f t="shared" si="1"/>
        <v>544839</v>
      </c>
      <c r="C1449" s="1" t="str">
        <f t="shared" si="2"/>
        <v>Sale</v>
      </c>
      <c r="D1449" s="1">
        <v>22079.0</v>
      </c>
      <c r="E1449" s="1" t="str">
        <f>IFERROR(__xludf.DUMMYFUNCTION("IF(LEN(D1449)&gt;4, IFERROR(REGEXEXTRACT(TO_TEXT(D1449),""\d+""),""""),"""")"),"22079")</f>
        <v>22079</v>
      </c>
      <c r="F1449" s="6" t="str">
        <f t="shared" si="3"/>
        <v>Product</v>
      </c>
      <c r="G1449" s="1" t="s">
        <v>919</v>
      </c>
      <c r="H1449" s="6" t="str">
        <f>IFERROR(__xludf.DUMMYFUNCTION("IF(REGEXMATCH(LOWER(G1449), ""^(\?)+\s*(missing)?\s*(\?)*$""), """", PROPER(SUBSTITUTE(SUBSTITUTE(G1449, ""?"", """"), ""*"", """")))"),"Ribbon Reel Hearts Design")</f>
        <v>Ribbon Reel Hearts Design</v>
      </c>
      <c r="I1449" s="3">
        <v>10.0</v>
      </c>
      <c r="J1449" s="7">
        <v>40598.45138888889</v>
      </c>
      <c r="K1449" s="8" t="str">
        <f t="shared" si="4"/>
        <v>2011-02</v>
      </c>
      <c r="L1449" s="5">
        <v>1.65</v>
      </c>
      <c r="M1449" s="3">
        <v>14841.0</v>
      </c>
      <c r="N1449" s="1" t="str">
        <f t="shared" si="5"/>
        <v>Registered</v>
      </c>
      <c r="O1449" s="1" t="s">
        <v>19</v>
      </c>
      <c r="P1449" s="9" t="str">
        <f t="shared" si="6"/>
        <v>UK</v>
      </c>
      <c r="Q1449" s="8">
        <f t="shared" si="7"/>
        <v>16.5</v>
      </c>
    </row>
    <row r="1450">
      <c r="A1450" s="1">
        <v>544839.0</v>
      </c>
      <c r="B1450" s="1" t="str">
        <f t="shared" si="1"/>
        <v>544839</v>
      </c>
      <c r="C1450" s="1" t="str">
        <f t="shared" si="2"/>
        <v>Sale</v>
      </c>
      <c r="D1450" s="1">
        <v>22078.0</v>
      </c>
      <c r="E1450" s="1" t="str">
        <f>IFERROR(__xludf.DUMMYFUNCTION("IF(LEN(D1450)&gt;4, IFERROR(REGEXEXTRACT(TO_TEXT(D1450),""\d+""),""""),"""")"),"22078")</f>
        <v>22078</v>
      </c>
      <c r="F1450" s="6" t="str">
        <f t="shared" si="3"/>
        <v>Product</v>
      </c>
      <c r="G1450" s="1" t="s">
        <v>920</v>
      </c>
      <c r="H1450" s="6" t="str">
        <f>IFERROR(__xludf.DUMMYFUNCTION("IF(REGEXMATCH(LOWER(G1450), ""^(\?)+\s*(missing)?\s*(\?)*$""), """", PROPER(SUBSTITUTE(SUBSTITUTE(G1450, ""?"", """"), ""*"", """")))"),"Ribbon Reel Lace Design")</f>
        <v>Ribbon Reel Lace Design</v>
      </c>
      <c r="I1450" s="3">
        <v>10.0</v>
      </c>
      <c r="J1450" s="7">
        <v>40598.45138888889</v>
      </c>
      <c r="K1450" s="8" t="str">
        <f t="shared" si="4"/>
        <v>2011-02</v>
      </c>
      <c r="L1450" s="5">
        <v>2.1</v>
      </c>
      <c r="M1450" s="3">
        <v>14841.0</v>
      </c>
      <c r="N1450" s="1" t="str">
        <f t="shared" si="5"/>
        <v>Registered</v>
      </c>
      <c r="O1450" s="1" t="s">
        <v>19</v>
      </c>
      <c r="P1450" s="9" t="str">
        <f t="shared" si="6"/>
        <v>UK</v>
      </c>
      <c r="Q1450" s="8">
        <f t="shared" si="7"/>
        <v>21</v>
      </c>
    </row>
    <row r="1451">
      <c r="A1451" s="1">
        <v>544839.0</v>
      </c>
      <c r="B1451" s="1" t="str">
        <f t="shared" si="1"/>
        <v>544839</v>
      </c>
      <c r="C1451" s="1" t="str">
        <f t="shared" si="2"/>
        <v>Sale</v>
      </c>
      <c r="D1451" s="1">
        <v>21928.0</v>
      </c>
      <c r="E1451" s="1" t="str">
        <f>IFERROR(__xludf.DUMMYFUNCTION("IF(LEN(D1451)&gt;4, IFERROR(REGEXEXTRACT(TO_TEXT(D1451),""\d+""),""""),"""")"),"21928")</f>
        <v>21928</v>
      </c>
      <c r="F1451" s="6" t="str">
        <f t="shared" si="3"/>
        <v>Product</v>
      </c>
      <c r="G1451" s="1" t="s">
        <v>921</v>
      </c>
      <c r="H1451" s="6" t="str">
        <f>IFERROR(__xludf.DUMMYFUNCTION("IF(REGEXMATCH(LOWER(G1451), ""^(\?)+\s*(missing)?\s*(\?)*$""), """", PROPER(SUBSTITUTE(SUBSTITUTE(G1451, ""?"", """"), ""*"", """")))"),"Jumbo Bag Scandinavian Paisley")</f>
        <v>Jumbo Bag Scandinavian Paisley</v>
      </c>
      <c r="I1451" s="3">
        <v>10.0</v>
      </c>
      <c r="J1451" s="7">
        <v>40598.45138888889</v>
      </c>
      <c r="K1451" s="8" t="str">
        <f t="shared" si="4"/>
        <v>2011-02</v>
      </c>
      <c r="L1451" s="5">
        <v>1.95</v>
      </c>
      <c r="M1451" s="3">
        <v>14841.0</v>
      </c>
      <c r="N1451" s="1" t="str">
        <f t="shared" si="5"/>
        <v>Registered</v>
      </c>
      <c r="O1451" s="1" t="s">
        <v>19</v>
      </c>
      <c r="P1451" s="9" t="str">
        <f t="shared" si="6"/>
        <v>UK</v>
      </c>
      <c r="Q1451" s="8">
        <f t="shared" si="7"/>
        <v>19.5</v>
      </c>
    </row>
    <row r="1452">
      <c r="A1452" s="1">
        <v>544839.0</v>
      </c>
      <c r="B1452" s="1" t="str">
        <f t="shared" si="1"/>
        <v>544839</v>
      </c>
      <c r="C1452" s="1" t="str">
        <f t="shared" si="2"/>
        <v>Sale</v>
      </c>
      <c r="D1452" s="1">
        <v>21929.0</v>
      </c>
      <c r="E1452" s="1" t="str">
        <f>IFERROR(__xludf.DUMMYFUNCTION("IF(LEN(D1452)&gt;4, IFERROR(REGEXEXTRACT(TO_TEXT(D1452),""\d+""),""""),"""")"),"21929")</f>
        <v>21929</v>
      </c>
      <c r="F1452" s="6" t="str">
        <f t="shared" si="3"/>
        <v>Product</v>
      </c>
      <c r="G1452" s="1" t="s">
        <v>108</v>
      </c>
      <c r="H1452" s="6" t="str">
        <f>IFERROR(__xludf.DUMMYFUNCTION("IF(REGEXMATCH(LOWER(G1452), ""^(\?)+\s*(missing)?\s*(\?)*$""), """", PROPER(SUBSTITUTE(SUBSTITUTE(G1452, ""?"", """"), ""*"", """")))"),"Jumbo Bag Pink Vintage Paisley")</f>
        <v>Jumbo Bag Pink Vintage Paisley</v>
      </c>
      <c r="I1452" s="3">
        <v>10.0</v>
      </c>
      <c r="J1452" s="7">
        <v>40598.45138888889</v>
      </c>
      <c r="K1452" s="8" t="str">
        <f t="shared" si="4"/>
        <v>2011-02</v>
      </c>
      <c r="L1452" s="5">
        <v>1.95</v>
      </c>
      <c r="M1452" s="3">
        <v>14841.0</v>
      </c>
      <c r="N1452" s="1" t="str">
        <f t="shared" si="5"/>
        <v>Registered</v>
      </c>
      <c r="O1452" s="1" t="s">
        <v>19</v>
      </c>
      <c r="P1452" s="9" t="str">
        <f t="shared" si="6"/>
        <v>UK</v>
      </c>
      <c r="Q1452" s="8">
        <f t="shared" si="7"/>
        <v>19.5</v>
      </c>
    </row>
    <row r="1453">
      <c r="A1453" s="1">
        <v>544839.0</v>
      </c>
      <c r="B1453" s="1" t="str">
        <f t="shared" si="1"/>
        <v>544839</v>
      </c>
      <c r="C1453" s="1" t="str">
        <f t="shared" si="2"/>
        <v>Sale</v>
      </c>
      <c r="D1453" s="1">
        <v>22411.0</v>
      </c>
      <c r="E1453" s="1" t="str">
        <f>IFERROR(__xludf.DUMMYFUNCTION("IF(LEN(D1453)&gt;4, IFERROR(REGEXEXTRACT(TO_TEXT(D1453),""\d+""),""""),"""")"),"22411")</f>
        <v>22411</v>
      </c>
      <c r="F1453" s="6" t="str">
        <f t="shared" si="3"/>
        <v>Product</v>
      </c>
      <c r="G1453" s="1" t="s">
        <v>112</v>
      </c>
      <c r="H1453" s="6" t="str">
        <f>IFERROR(__xludf.DUMMYFUNCTION("IF(REGEXMATCH(LOWER(G1453), ""^(\?)+\s*(missing)?\s*(\?)*$""), """", PROPER(SUBSTITUTE(SUBSTITUTE(G1453, ""?"", """"), ""*"", """")))"),"Jumbo Shopper Vintage Red Paisley")</f>
        <v>Jumbo Shopper Vintage Red Paisley</v>
      </c>
      <c r="I1453" s="3">
        <v>10.0</v>
      </c>
      <c r="J1453" s="7">
        <v>40598.45138888889</v>
      </c>
      <c r="K1453" s="8" t="str">
        <f t="shared" si="4"/>
        <v>2011-02</v>
      </c>
      <c r="L1453" s="5">
        <v>1.95</v>
      </c>
      <c r="M1453" s="3">
        <v>14841.0</v>
      </c>
      <c r="N1453" s="1" t="str">
        <f t="shared" si="5"/>
        <v>Registered</v>
      </c>
      <c r="O1453" s="1" t="s">
        <v>19</v>
      </c>
      <c r="P1453" s="9" t="str">
        <f t="shared" si="6"/>
        <v>UK</v>
      </c>
      <c r="Q1453" s="8">
        <f t="shared" si="7"/>
        <v>19.5</v>
      </c>
    </row>
    <row r="1454">
      <c r="A1454" s="1">
        <v>544839.0</v>
      </c>
      <c r="B1454" s="1" t="str">
        <f t="shared" si="1"/>
        <v>544839</v>
      </c>
      <c r="C1454" s="1" t="str">
        <f t="shared" si="2"/>
        <v>Sale</v>
      </c>
      <c r="D1454" s="1">
        <v>85053.0</v>
      </c>
      <c r="E1454" s="1" t="str">
        <f>IFERROR(__xludf.DUMMYFUNCTION("IF(LEN(D1454)&gt;4, IFERROR(REGEXEXTRACT(TO_TEXT(D1454),""\d+""),""""),"""")"),"85053")</f>
        <v>85053</v>
      </c>
      <c r="F1454" s="6" t="str">
        <f t="shared" si="3"/>
        <v>Product</v>
      </c>
      <c r="G1454" s="1" t="s">
        <v>922</v>
      </c>
      <c r="H1454" s="6" t="str">
        <f>IFERROR(__xludf.DUMMYFUNCTION("IF(REGEXMATCH(LOWER(G1454), ""^(\?)+\s*(missing)?\s*(\?)*$""), """", PROPER(SUBSTITUTE(SUBSTITUTE(G1454, ""?"", """"), ""*"", """")))"),"French Enamel Candleholder")</f>
        <v>French Enamel Candleholder</v>
      </c>
      <c r="I1454" s="3">
        <v>12.0</v>
      </c>
      <c r="J1454" s="7">
        <v>40598.45138888889</v>
      </c>
      <c r="K1454" s="8" t="str">
        <f t="shared" si="4"/>
        <v>2011-02</v>
      </c>
      <c r="L1454" s="5">
        <v>2.1</v>
      </c>
      <c r="M1454" s="3">
        <v>14841.0</v>
      </c>
      <c r="N1454" s="1" t="str">
        <f t="shared" si="5"/>
        <v>Registered</v>
      </c>
      <c r="O1454" s="1" t="s">
        <v>19</v>
      </c>
      <c r="P1454" s="9" t="str">
        <f t="shared" si="6"/>
        <v>UK</v>
      </c>
      <c r="Q1454" s="8">
        <f t="shared" si="7"/>
        <v>25.2</v>
      </c>
    </row>
    <row r="1455">
      <c r="A1455" s="1">
        <v>544839.0</v>
      </c>
      <c r="B1455" s="1" t="str">
        <f t="shared" si="1"/>
        <v>544839</v>
      </c>
      <c r="C1455" s="1" t="str">
        <f t="shared" si="2"/>
        <v>Sale</v>
      </c>
      <c r="D1455" s="1">
        <v>22960.0</v>
      </c>
      <c r="E1455" s="1" t="str">
        <f>IFERROR(__xludf.DUMMYFUNCTION("IF(LEN(D1455)&gt;4, IFERROR(REGEXEXTRACT(TO_TEXT(D1455),""\d+""),""""),"""")"),"22960")</f>
        <v>22960</v>
      </c>
      <c r="F1455" s="6" t="str">
        <f t="shared" si="3"/>
        <v>Product</v>
      </c>
      <c r="G1455" s="1" t="s">
        <v>43</v>
      </c>
      <c r="H1455" s="6" t="str">
        <f>IFERROR(__xludf.DUMMYFUNCTION("IF(REGEXMATCH(LOWER(G1455), ""^(\?)+\s*(missing)?\s*(\?)*$""), """", PROPER(SUBSTITUTE(SUBSTITUTE(G1455, ""?"", """"), ""*"", """")))"),"Jam Making Set With Jars")</f>
        <v>Jam Making Set With Jars</v>
      </c>
      <c r="I1455" s="3">
        <v>6.0</v>
      </c>
      <c r="J1455" s="7">
        <v>40598.45138888889</v>
      </c>
      <c r="K1455" s="8" t="str">
        <f t="shared" si="4"/>
        <v>2011-02</v>
      </c>
      <c r="L1455" s="5">
        <v>4.25</v>
      </c>
      <c r="M1455" s="3">
        <v>14841.0</v>
      </c>
      <c r="N1455" s="1" t="str">
        <f t="shared" si="5"/>
        <v>Registered</v>
      </c>
      <c r="O1455" s="1" t="s">
        <v>19</v>
      </c>
      <c r="P1455" s="9" t="str">
        <f t="shared" si="6"/>
        <v>UK</v>
      </c>
      <c r="Q1455" s="8">
        <f t="shared" si="7"/>
        <v>25.5</v>
      </c>
    </row>
    <row r="1456">
      <c r="A1456" s="1">
        <v>544839.0</v>
      </c>
      <c r="B1456" s="1" t="str">
        <f t="shared" si="1"/>
        <v>544839</v>
      </c>
      <c r="C1456" s="1" t="str">
        <f t="shared" si="2"/>
        <v>Sale</v>
      </c>
      <c r="D1456" s="1">
        <v>22915.0</v>
      </c>
      <c r="E1456" s="1" t="str">
        <f>IFERROR(__xludf.DUMMYFUNCTION("IF(LEN(D1456)&gt;4, IFERROR(REGEXEXTRACT(TO_TEXT(D1456),""\d+""),""""),"""")"),"22915")</f>
        <v>22915</v>
      </c>
      <c r="F1456" s="6" t="str">
        <f t="shared" si="3"/>
        <v>Product</v>
      </c>
      <c r="G1456" s="1" t="s">
        <v>190</v>
      </c>
      <c r="H1456" s="6" t="str">
        <f>IFERROR(__xludf.DUMMYFUNCTION("IF(REGEXMATCH(LOWER(G1456), ""^(\?)+\s*(missing)?\s*(\?)*$""), """", PROPER(SUBSTITUTE(SUBSTITUTE(G1456, ""?"", """"), ""*"", """")))"),"Assorted Bottle Top Magnets")</f>
        <v>Assorted Bottle Top Magnets</v>
      </c>
      <c r="I1456" s="3">
        <v>12.0</v>
      </c>
      <c r="J1456" s="7">
        <v>40598.45138888889</v>
      </c>
      <c r="K1456" s="8" t="str">
        <f t="shared" si="4"/>
        <v>2011-02</v>
      </c>
      <c r="L1456" s="5">
        <v>0.42</v>
      </c>
      <c r="M1456" s="3">
        <v>14841.0</v>
      </c>
      <c r="N1456" s="1" t="str">
        <f t="shared" si="5"/>
        <v>Registered</v>
      </c>
      <c r="O1456" s="1" t="s">
        <v>19</v>
      </c>
      <c r="P1456" s="9" t="str">
        <f t="shared" si="6"/>
        <v>UK</v>
      </c>
      <c r="Q1456" s="8">
        <f t="shared" si="7"/>
        <v>5.04</v>
      </c>
    </row>
    <row r="1457">
      <c r="A1457" s="1">
        <v>544839.0</v>
      </c>
      <c r="B1457" s="1" t="str">
        <f t="shared" si="1"/>
        <v>544839</v>
      </c>
      <c r="C1457" s="1" t="str">
        <f t="shared" si="2"/>
        <v>Sale</v>
      </c>
      <c r="D1457" s="1">
        <v>22611.0</v>
      </c>
      <c r="E1457" s="1" t="str">
        <f>IFERROR(__xludf.DUMMYFUNCTION("IF(LEN(D1457)&gt;4, IFERROR(REGEXEXTRACT(TO_TEXT(D1457),""\d+""),""""),"""")"),"22611")</f>
        <v>22611</v>
      </c>
      <c r="F1457" s="6" t="str">
        <f t="shared" si="3"/>
        <v>Product</v>
      </c>
      <c r="G1457" s="1" t="s">
        <v>923</v>
      </c>
      <c r="H1457" s="6" t="str">
        <f>IFERROR(__xludf.DUMMYFUNCTION("IF(REGEXMATCH(LOWER(G1457), ""^(\?)+\s*(missing)?\s*(\?)*$""), """", PROPER(SUBSTITUTE(SUBSTITUTE(G1457, ""?"", """"), ""*"", """")))"),"Vintage Union Jack Shopping Bag")</f>
        <v>Vintage Union Jack Shopping Bag</v>
      </c>
      <c r="I1457" s="3">
        <v>3.0</v>
      </c>
      <c r="J1457" s="7">
        <v>40598.45138888889</v>
      </c>
      <c r="K1457" s="8" t="str">
        <f t="shared" si="4"/>
        <v>2011-02</v>
      </c>
      <c r="L1457" s="5">
        <v>4.95</v>
      </c>
      <c r="M1457" s="3">
        <v>14841.0</v>
      </c>
      <c r="N1457" s="1" t="str">
        <f t="shared" si="5"/>
        <v>Registered</v>
      </c>
      <c r="O1457" s="1" t="s">
        <v>19</v>
      </c>
      <c r="P1457" s="9" t="str">
        <f t="shared" si="6"/>
        <v>UK</v>
      </c>
      <c r="Q1457" s="8">
        <f t="shared" si="7"/>
        <v>14.85</v>
      </c>
    </row>
    <row r="1458">
      <c r="A1458" s="1">
        <v>544839.0</v>
      </c>
      <c r="B1458" s="1" t="str">
        <f t="shared" si="1"/>
        <v>544839</v>
      </c>
      <c r="C1458" s="1" t="str">
        <f t="shared" si="2"/>
        <v>Sale</v>
      </c>
      <c r="D1458" s="1">
        <v>21624.0</v>
      </c>
      <c r="E1458" s="1" t="str">
        <f>IFERROR(__xludf.DUMMYFUNCTION("IF(LEN(D1458)&gt;4, IFERROR(REGEXEXTRACT(TO_TEXT(D1458),""\d+""),""""),"""")"),"21624")</f>
        <v>21624</v>
      </c>
      <c r="F1458" s="6" t="str">
        <f t="shared" si="3"/>
        <v>Product</v>
      </c>
      <c r="G1458" s="1" t="s">
        <v>924</v>
      </c>
      <c r="H1458" s="6" t="str">
        <f>IFERROR(__xludf.DUMMYFUNCTION("IF(REGEXMATCH(LOWER(G1458), ""^(\?)+\s*(missing)?\s*(\?)*$""), """", PROPER(SUBSTITUTE(SUBSTITUTE(G1458, ""?"", """"), ""*"", """")))"),"Vintage Union Jack Doorstop")</f>
        <v>Vintage Union Jack Doorstop</v>
      </c>
      <c r="I1458" s="3">
        <v>3.0</v>
      </c>
      <c r="J1458" s="7">
        <v>40598.45138888889</v>
      </c>
      <c r="K1458" s="8" t="str">
        <f t="shared" si="4"/>
        <v>2011-02</v>
      </c>
      <c r="L1458" s="5">
        <v>5.95</v>
      </c>
      <c r="M1458" s="3">
        <v>14841.0</v>
      </c>
      <c r="N1458" s="1" t="str">
        <f t="shared" si="5"/>
        <v>Registered</v>
      </c>
      <c r="O1458" s="1" t="s">
        <v>19</v>
      </c>
      <c r="P1458" s="9" t="str">
        <f t="shared" si="6"/>
        <v>UK</v>
      </c>
      <c r="Q1458" s="8">
        <f t="shared" si="7"/>
        <v>17.85</v>
      </c>
    </row>
    <row r="1459">
      <c r="A1459" s="1">
        <v>544839.0</v>
      </c>
      <c r="B1459" s="1" t="str">
        <f t="shared" si="1"/>
        <v>544839</v>
      </c>
      <c r="C1459" s="1" t="str">
        <f t="shared" si="2"/>
        <v>Sale</v>
      </c>
      <c r="D1459" s="1">
        <v>84978.0</v>
      </c>
      <c r="E1459" s="1" t="str">
        <f>IFERROR(__xludf.DUMMYFUNCTION("IF(LEN(D1459)&gt;4, IFERROR(REGEXEXTRACT(TO_TEXT(D1459),""\d+""),""""),"""")"),"84978")</f>
        <v>84978</v>
      </c>
      <c r="F1459" s="6" t="str">
        <f t="shared" si="3"/>
        <v>Product</v>
      </c>
      <c r="G1459" s="1" t="s">
        <v>925</v>
      </c>
      <c r="H1459" s="6" t="str">
        <f>IFERROR(__xludf.DUMMYFUNCTION("IF(REGEXMATCH(LOWER(G1459), ""^(\?)+\s*(missing)?\s*(\?)*$""), """", PROPER(SUBSTITUTE(SUBSTITUTE(G1459, ""?"", """"), ""*"", """")))"),"Hanging Heart Jar T-Light Holder")</f>
        <v>Hanging Heart Jar T-Light Holder</v>
      </c>
      <c r="I1459" s="3">
        <v>12.0</v>
      </c>
      <c r="J1459" s="7">
        <v>40598.45138888889</v>
      </c>
      <c r="K1459" s="8" t="str">
        <f t="shared" si="4"/>
        <v>2011-02</v>
      </c>
      <c r="L1459" s="5">
        <v>1.25</v>
      </c>
      <c r="M1459" s="3">
        <v>14841.0</v>
      </c>
      <c r="N1459" s="1" t="str">
        <f t="shared" si="5"/>
        <v>Registered</v>
      </c>
      <c r="O1459" s="1" t="s">
        <v>19</v>
      </c>
      <c r="P1459" s="9" t="str">
        <f t="shared" si="6"/>
        <v>UK</v>
      </c>
      <c r="Q1459" s="8">
        <f t="shared" si="7"/>
        <v>15</v>
      </c>
    </row>
    <row r="1460">
      <c r="A1460" s="1">
        <v>544839.0</v>
      </c>
      <c r="B1460" s="1" t="str">
        <f t="shared" si="1"/>
        <v>544839</v>
      </c>
      <c r="C1460" s="1" t="str">
        <f t="shared" si="2"/>
        <v>Sale</v>
      </c>
      <c r="D1460" s="1">
        <v>21670.0</v>
      </c>
      <c r="E1460" s="1" t="str">
        <f>IFERROR(__xludf.DUMMYFUNCTION("IF(LEN(D1460)&gt;4, IFERROR(REGEXEXTRACT(TO_TEXT(D1460),""\d+""),""""),"""")"),"21670")</f>
        <v>21670</v>
      </c>
      <c r="F1460" s="6" t="str">
        <f t="shared" si="3"/>
        <v>Product</v>
      </c>
      <c r="G1460" s="1" t="s">
        <v>768</v>
      </c>
      <c r="H1460" s="6" t="str">
        <f>IFERROR(__xludf.DUMMYFUNCTION("IF(REGEXMATCH(LOWER(G1460), ""^(\?)+\s*(missing)?\s*(\?)*$""), """", PROPER(SUBSTITUTE(SUBSTITUTE(G1460, ""?"", """"), ""*"", """")))"),"Blue Spot Ceramic Drawer Knob")</f>
        <v>Blue Spot Ceramic Drawer Knob</v>
      </c>
      <c r="I1460" s="3">
        <v>12.0</v>
      </c>
      <c r="J1460" s="7">
        <v>40598.45138888889</v>
      </c>
      <c r="K1460" s="8" t="str">
        <f t="shared" si="4"/>
        <v>2011-02</v>
      </c>
      <c r="L1460" s="5">
        <v>1.25</v>
      </c>
      <c r="M1460" s="3">
        <v>14841.0</v>
      </c>
      <c r="N1460" s="1" t="str">
        <f t="shared" si="5"/>
        <v>Registered</v>
      </c>
      <c r="O1460" s="1" t="s">
        <v>19</v>
      </c>
      <c r="P1460" s="9" t="str">
        <f t="shared" si="6"/>
        <v>UK</v>
      </c>
      <c r="Q1460" s="8">
        <f t="shared" si="7"/>
        <v>15</v>
      </c>
    </row>
    <row r="1461">
      <c r="A1461" s="1">
        <v>544839.0</v>
      </c>
      <c r="B1461" s="1" t="str">
        <f t="shared" si="1"/>
        <v>544839</v>
      </c>
      <c r="C1461" s="1" t="str">
        <f t="shared" si="2"/>
        <v>Sale</v>
      </c>
      <c r="D1461" s="1">
        <v>21673.0</v>
      </c>
      <c r="E1461" s="1" t="str">
        <f>IFERROR(__xludf.DUMMYFUNCTION("IF(LEN(D1461)&gt;4, IFERROR(REGEXEXTRACT(TO_TEXT(D1461),""\d+""),""""),"""")"),"21673")</f>
        <v>21673</v>
      </c>
      <c r="F1461" s="6" t="str">
        <f t="shared" si="3"/>
        <v>Product</v>
      </c>
      <c r="G1461" s="1" t="s">
        <v>767</v>
      </c>
      <c r="H1461" s="6" t="str">
        <f>IFERROR(__xludf.DUMMYFUNCTION("IF(REGEXMATCH(LOWER(G1461), ""^(\?)+\s*(missing)?\s*(\?)*$""), """", PROPER(SUBSTITUTE(SUBSTITUTE(G1461, ""?"", """"), ""*"", """")))"),"White Spot Blue Ceramic Drawer Knob")</f>
        <v>White Spot Blue Ceramic Drawer Knob</v>
      </c>
      <c r="I1461" s="3">
        <v>12.0</v>
      </c>
      <c r="J1461" s="7">
        <v>40598.45138888889</v>
      </c>
      <c r="K1461" s="8" t="str">
        <f t="shared" si="4"/>
        <v>2011-02</v>
      </c>
      <c r="L1461" s="5">
        <v>1.25</v>
      </c>
      <c r="M1461" s="3">
        <v>14841.0</v>
      </c>
      <c r="N1461" s="1" t="str">
        <f t="shared" si="5"/>
        <v>Registered</v>
      </c>
      <c r="O1461" s="1" t="s">
        <v>19</v>
      </c>
      <c r="P1461" s="9" t="str">
        <f t="shared" si="6"/>
        <v>UK</v>
      </c>
      <c r="Q1461" s="8">
        <f t="shared" si="7"/>
        <v>15</v>
      </c>
    </row>
    <row r="1462">
      <c r="A1462" s="1">
        <v>544839.0</v>
      </c>
      <c r="B1462" s="1" t="str">
        <f t="shared" si="1"/>
        <v>544839</v>
      </c>
      <c r="C1462" s="1" t="str">
        <f t="shared" si="2"/>
        <v>Sale</v>
      </c>
      <c r="D1462" s="1">
        <v>22386.0</v>
      </c>
      <c r="E1462" s="1" t="str">
        <f>IFERROR(__xludf.DUMMYFUNCTION("IF(LEN(D1462)&gt;4, IFERROR(REGEXEXTRACT(TO_TEXT(D1462),""\d+""),""""),"""")"),"22386")</f>
        <v>22386</v>
      </c>
      <c r="F1462" s="6" t="str">
        <f t="shared" si="3"/>
        <v>Product</v>
      </c>
      <c r="G1462" s="1" t="s">
        <v>84</v>
      </c>
      <c r="H1462" s="6" t="str">
        <f>IFERROR(__xludf.DUMMYFUNCTION("IF(REGEXMATCH(LOWER(G1462), ""^(\?)+\s*(missing)?\s*(\?)*$""), """", PROPER(SUBSTITUTE(SUBSTITUTE(G1462, ""?"", """"), ""*"", """")))"),"Jumbo Bag Pink Polkadot")</f>
        <v>Jumbo Bag Pink Polkadot</v>
      </c>
      <c r="I1462" s="3">
        <v>20.0</v>
      </c>
      <c r="J1462" s="7">
        <v>40598.45138888889</v>
      </c>
      <c r="K1462" s="8" t="str">
        <f t="shared" si="4"/>
        <v>2011-02</v>
      </c>
      <c r="L1462" s="5">
        <v>1.95</v>
      </c>
      <c r="M1462" s="3">
        <v>14841.0</v>
      </c>
      <c r="N1462" s="1" t="str">
        <f t="shared" si="5"/>
        <v>Registered</v>
      </c>
      <c r="O1462" s="1" t="s">
        <v>19</v>
      </c>
      <c r="P1462" s="9" t="str">
        <f t="shared" si="6"/>
        <v>UK</v>
      </c>
      <c r="Q1462" s="8">
        <f t="shared" si="7"/>
        <v>39</v>
      </c>
    </row>
    <row r="1463">
      <c r="A1463" s="1">
        <v>544839.0</v>
      </c>
      <c r="B1463" s="1" t="str">
        <f t="shared" si="1"/>
        <v>544839</v>
      </c>
      <c r="C1463" s="1" t="str">
        <f t="shared" si="2"/>
        <v>Sale</v>
      </c>
      <c r="D1463" s="1">
        <v>20975.0</v>
      </c>
      <c r="E1463" s="1" t="str">
        <f>IFERROR(__xludf.DUMMYFUNCTION("IF(LEN(D1463)&gt;4, IFERROR(REGEXEXTRACT(TO_TEXT(D1463),""\d+""),""""),"""")"),"20975")</f>
        <v>20975</v>
      </c>
      <c r="F1463" s="6" t="str">
        <f t="shared" si="3"/>
        <v>Product</v>
      </c>
      <c r="G1463" s="1" t="s">
        <v>926</v>
      </c>
      <c r="H1463" s="6" t="str">
        <f>IFERROR(__xludf.DUMMYFUNCTION("IF(REGEXMATCH(LOWER(G1463), ""^(\?)+\s*(missing)?\s*(\?)*$""), """", PROPER(SUBSTITUTE(SUBSTITUTE(G1463, ""?"", """"), ""*"", """")))"),"12 Pencils Small Tube Red Retrospot")</f>
        <v>12 Pencils Small Tube Red Retrospot</v>
      </c>
      <c r="I1463" s="3">
        <v>24.0</v>
      </c>
      <c r="J1463" s="7">
        <v>40598.45138888889</v>
      </c>
      <c r="K1463" s="8" t="str">
        <f t="shared" si="4"/>
        <v>2011-02</v>
      </c>
      <c r="L1463" s="5">
        <v>0.65</v>
      </c>
      <c r="M1463" s="3">
        <v>14841.0</v>
      </c>
      <c r="N1463" s="1" t="str">
        <f t="shared" si="5"/>
        <v>Registered</v>
      </c>
      <c r="O1463" s="1" t="s">
        <v>19</v>
      </c>
      <c r="P1463" s="9" t="str">
        <f t="shared" si="6"/>
        <v>UK</v>
      </c>
      <c r="Q1463" s="8">
        <f t="shared" si="7"/>
        <v>15.6</v>
      </c>
    </row>
    <row r="1464">
      <c r="A1464" s="1">
        <v>544839.0</v>
      </c>
      <c r="B1464" s="1" t="str">
        <f t="shared" si="1"/>
        <v>544839</v>
      </c>
      <c r="C1464" s="1" t="str">
        <f t="shared" si="2"/>
        <v>Sale</v>
      </c>
      <c r="D1464" s="1">
        <v>21668.0</v>
      </c>
      <c r="E1464" s="1" t="str">
        <f>IFERROR(__xludf.DUMMYFUNCTION("IF(LEN(D1464)&gt;4, IFERROR(REGEXEXTRACT(TO_TEXT(D1464),""\d+""),""""),"""")"),"21668")</f>
        <v>21668</v>
      </c>
      <c r="F1464" s="6" t="str">
        <f t="shared" si="3"/>
        <v>Product</v>
      </c>
      <c r="G1464" s="1" t="s">
        <v>769</v>
      </c>
      <c r="H1464" s="6" t="str">
        <f>IFERROR(__xludf.DUMMYFUNCTION("IF(REGEXMATCH(LOWER(G1464), ""^(\?)+\s*(missing)?\s*(\?)*$""), """", PROPER(SUBSTITUTE(SUBSTITUTE(G1464, ""?"", """"), ""*"", """")))"),"Red Stripe Ceramic Drawer Knob")</f>
        <v>Red Stripe Ceramic Drawer Knob</v>
      </c>
      <c r="I1464" s="3">
        <v>12.0</v>
      </c>
      <c r="J1464" s="7">
        <v>40598.45138888889</v>
      </c>
      <c r="K1464" s="8" t="str">
        <f t="shared" si="4"/>
        <v>2011-02</v>
      </c>
      <c r="L1464" s="5">
        <v>1.25</v>
      </c>
      <c r="M1464" s="3">
        <v>14841.0</v>
      </c>
      <c r="N1464" s="1" t="str">
        <f t="shared" si="5"/>
        <v>Registered</v>
      </c>
      <c r="O1464" s="1" t="s">
        <v>19</v>
      </c>
      <c r="P1464" s="9" t="str">
        <f t="shared" si="6"/>
        <v>UK</v>
      </c>
      <c r="Q1464" s="8">
        <f t="shared" si="7"/>
        <v>15</v>
      </c>
    </row>
    <row r="1465">
      <c r="A1465" s="1">
        <v>544839.0</v>
      </c>
      <c r="B1465" s="1" t="str">
        <f t="shared" si="1"/>
        <v>544839</v>
      </c>
      <c r="C1465" s="1" t="str">
        <f t="shared" si="2"/>
        <v>Sale</v>
      </c>
      <c r="D1465" s="1">
        <v>21671.0</v>
      </c>
      <c r="E1465" s="1" t="str">
        <f>IFERROR(__xludf.DUMMYFUNCTION("IF(LEN(D1465)&gt;4, IFERROR(REGEXEXTRACT(TO_TEXT(D1465),""\d+""),""""),"""")"),"21671")</f>
        <v>21671</v>
      </c>
      <c r="F1465" s="6" t="str">
        <f t="shared" si="3"/>
        <v>Product</v>
      </c>
      <c r="G1465" s="1" t="s">
        <v>770</v>
      </c>
      <c r="H1465" s="6" t="str">
        <f>IFERROR(__xludf.DUMMYFUNCTION("IF(REGEXMATCH(LOWER(G1465), ""^(\?)+\s*(missing)?\s*(\?)*$""), """", PROPER(SUBSTITUTE(SUBSTITUTE(G1465, ""?"", """"), ""*"", """")))"),"Red Spot Ceramic Drawer Knob")</f>
        <v>Red Spot Ceramic Drawer Knob</v>
      </c>
      <c r="I1465" s="3">
        <v>12.0</v>
      </c>
      <c r="J1465" s="7">
        <v>40598.45138888889</v>
      </c>
      <c r="K1465" s="8" t="str">
        <f t="shared" si="4"/>
        <v>2011-02</v>
      </c>
      <c r="L1465" s="5">
        <v>1.25</v>
      </c>
      <c r="M1465" s="3">
        <v>14841.0</v>
      </c>
      <c r="N1465" s="1" t="str">
        <f t="shared" si="5"/>
        <v>Registered</v>
      </c>
      <c r="O1465" s="1" t="s">
        <v>19</v>
      </c>
      <c r="P1465" s="9" t="str">
        <f t="shared" si="6"/>
        <v>UK</v>
      </c>
      <c r="Q1465" s="8">
        <f t="shared" si="7"/>
        <v>15</v>
      </c>
    </row>
    <row r="1466">
      <c r="A1466" s="1">
        <v>544839.0</v>
      </c>
      <c r="B1466" s="1" t="str">
        <f t="shared" si="1"/>
        <v>544839</v>
      </c>
      <c r="C1466" s="1" t="str">
        <f t="shared" si="2"/>
        <v>Sale</v>
      </c>
      <c r="D1466" s="1">
        <v>21672.0</v>
      </c>
      <c r="E1466" s="1" t="str">
        <f>IFERROR(__xludf.DUMMYFUNCTION("IF(LEN(D1466)&gt;4, IFERROR(REGEXEXTRACT(TO_TEXT(D1466),""\d+""),""""),"""")"),"21672")</f>
        <v>21672</v>
      </c>
      <c r="F1466" s="6" t="str">
        <f t="shared" si="3"/>
        <v>Product</v>
      </c>
      <c r="G1466" s="1" t="s">
        <v>114</v>
      </c>
      <c r="H1466" s="6" t="str">
        <f>IFERROR(__xludf.DUMMYFUNCTION("IF(REGEXMATCH(LOWER(G1466), ""^(\?)+\s*(missing)?\s*(\?)*$""), """", PROPER(SUBSTITUTE(SUBSTITUTE(G1466, ""?"", """"), ""*"", """")))"),"White Spot Red Ceramic Drawer Knob")</f>
        <v>White Spot Red Ceramic Drawer Knob</v>
      </c>
      <c r="I1466" s="3">
        <v>12.0</v>
      </c>
      <c r="J1466" s="7">
        <v>40598.45138888889</v>
      </c>
      <c r="K1466" s="8" t="str">
        <f t="shared" si="4"/>
        <v>2011-02</v>
      </c>
      <c r="L1466" s="5">
        <v>1.25</v>
      </c>
      <c r="M1466" s="3">
        <v>14841.0</v>
      </c>
      <c r="N1466" s="1" t="str">
        <f t="shared" si="5"/>
        <v>Registered</v>
      </c>
      <c r="O1466" s="1" t="s">
        <v>19</v>
      </c>
      <c r="P1466" s="9" t="str">
        <f t="shared" si="6"/>
        <v>UK</v>
      </c>
      <c r="Q1466" s="8">
        <f t="shared" si="7"/>
        <v>15</v>
      </c>
    </row>
    <row r="1467">
      <c r="A1467" s="1">
        <v>544839.0</v>
      </c>
      <c r="B1467" s="1" t="str">
        <f t="shared" si="1"/>
        <v>544839</v>
      </c>
      <c r="C1467" s="1" t="str">
        <f t="shared" si="2"/>
        <v>Sale</v>
      </c>
      <c r="D1467" s="1">
        <v>22505.0</v>
      </c>
      <c r="E1467" s="1" t="str">
        <f>IFERROR(__xludf.DUMMYFUNCTION("IF(LEN(D1467)&gt;4, IFERROR(REGEXEXTRACT(TO_TEXT(D1467),""\d+""),""""),"""")"),"22505")</f>
        <v>22505</v>
      </c>
      <c r="F1467" s="6" t="str">
        <f t="shared" si="3"/>
        <v>Product</v>
      </c>
      <c r="G1467" s="1" t="s">
        <v>927</v>
      </c>
      <c r="H1467" s="6" t="str">
        <f>IFERROR(__xludf.DUMMYFUNCTION("IF(REGEXMATCH(LOWER(G1467), ""^(\?)+\s*(missing)?\s*(\?)*$""), """", PROPER(SUBSTITUTE(SUBSTITUTE(G1467, ""?"", """"), ""*"", """")))"),"Memo Board Cottage Design")</f>
        <v>Memo Board Cottage Design</v>
      </c>
      <c r="I1467" s="3">
        <v>4.0</v>
      </c>
      <c r="J1467" s="7">
        <v>40598.45138888889</v>
      </c>
      <c r="K1467" s="8" t="str">
        <f t="shared" si="4"/>
        <v>2011-02</v>
      </c>
      <c r="L1467" s="5">
        <v>4.95</v>
      </c>
      <c r="M1467" s="3">
        <v>14841.0</v>
      </c>
      <c r="N1467" s="1" t="str">
        <f t="shared" si="5"/>
        <v>Registered</v>
      </c>
      <c r="O1467" s="1" t="s">
        <v>19</v>
      </c>
      <c r="P1467" s="9" t="str">
        <f t="shared" si="6"/>
        <v>UK</v>
      </c>
      <c r="Q1467" s="8">
        <f t="shared" si="7"/>
        <v>19.8</v>
      </c>
    </row>
    <row r="1468">
      <c r="A1468" s="1">
        <v>544839.0</v>
      </c>
      <c r="B1468" s="1" t="str">
        <f t="shared" si="1"/>
        <v>544839</v>
      </c>
      <c r="C1468" s="1" t="str">
        <f t="shared" si="2"/>
        <v>Sale</v>
      </c>
      <c r="D1468" s="1" t="s">
        <v>85</v>
      </c>
      <c r="E1468" s="1" t="str">
        <f>IFERROR(__xludf.DUMMYFUNCTION("IF(LEN(D1468)&gt;4, IFERROR(REGEXEXTRACT(TO_TEXT(D1468),""\d+""),""""),"""")"),"85099")</f>
        <v>85099</v>
      </c>
      <c r="F1468" s="6" t="str">
        <f t="shared" si="3"/>
        <v>Product</v>
      </c>
      <c r="G1468" s="1" t="s">
        <v>86</v>
      </c>
      <c r="H1468" s="6" t="str">
        <f>IFERROR(__xludf.DUMMYFUNCTION("IF(REGEXMATCH(LOWER(G1468), ""^(\?)+\s*(missing)?\s*(\?)*$""), """", PROPER(SUBSTITUTE(SUBSTITUTE(G1468, ""?"", """"), ""*"", """")))"),"Jumbo Bag Baroque Black White")</f>
        <v>Jumbo Bag Baroque Black White</v>
      </c>
      <c r="I1468" s="3">
        <v>10.0</v>
      </c>
      <c r="J1468" s="7">
        <v>40598.45138888889</v>
      </c>
      <c r="K1468" s="8" t="str">
        <f t="shared" si="4"/>
        <v>2011-02</v>
      </c>
      <c r="L1468" s="5">
        <v>1.95</v>
      </c>
      <c r="M1468" s="3">
        <v>14841.0</v>
      </c>
      <c r="N1468" s="1" t="str">
        <f t="shared" si="5"/>
        <v>Registered</v>
      </c>
      <c r="O1468" s="1" t="s">
        <v>19</v>
      </c>
      <c r="P1468" s="9" t="str">
        <f t="shared" si="6"/>
        <v>UK</v>
      </c>
      <c r="Q1468" s="8">
        <f t="shared" si="7"/>
        <v>19.5</v>
      </c>
    </row>
    <row r="1469">
      <c r="A1469" s="1">
        <v>544839.0</v>
      </c>
      <c r="B1469" s="1" t="str">
        <f t="shared" si="1"/>
        <v>544839</v>
      </c>
      <c r="C1469" s="1" t="str">
        <f t="shared" si="2"/>
        <v>Sale</v>
      </c>
      <c r="D1469" s="1" t="s">
        <v>181</v>
      </c>
      <c r="E1469" s="1" t="str">
        <f>IFERROR(__xludf.DUMMYFUNCTION("IF(LEN(D1469)&gt;4, IFERROR(REGEXEXTRACT(TO_TEXT(D1469),""\d+""),""""),"""")"),"85099")</f>
        <v>85099</v>
      </c>
      <c r="F1469" s="6" t="str">
        <f t="shared" si="3"/>
        <v>Product</v>
      </c>
      <c r="G1469" s="1" t="s">
        <v>182</v>
      </c>
      <c r="H1469" s="6" t="str">
        <f>IFERROR(__xludf.DUMMYFUNCTION("IF(REGEXMATCH(LOWER(G1469), ""^(\?)+\s*(missing)?\s*(\?)*$""), """", PROPER(SUBSTITUTE(SUBSTITUTE(G1469, ""?"", """"), ""*"", """")))"),"Jumbo Bag Red Retrospot")</f>
        <v>Jumbo Bag Red Retrospot</v>
      </c>
      <c r="I1469" s="3">
        <v>10.0</v>
      </c>
      <c r="J1469" s="7">
        <v>40598.45138888889</v>
      </c>
      <c r="K1469" s="8" t="str">
        <f t="shared" si="4"/>
        <v>2011-02</v>
      </c>
      <c r="L1469" s="5">
        <v>1.95</v>
      </c>
      <c r="M1469" s="3">
        <v>14841.0</v>
      </c>
      <c r="N1469" s="1" t="str">
        <f t="shared" si="5"/>
        <v>Registered</v>
      </c>
      <c r="O1469" s="1" t="s">
        <v>19</v>
      </c>
      <c r="P1469" s="9" t="str">
        <f t="shared" si="6"/>
        <v>UK</v>
      </c>
      <c r="Q1469" s="8">
        <f t="shared" si="7"/>
        <v>19.5</v>
      </c>
    </row>
    <row r="1470">
      <c r="A1470" s="1">
        <v>544839.0</v>
      </c>
      <c r="B1470" s="1" t="str">
        <f t="shared" si="1"/>
        <v>544839</v>
      </c>
      <c r="C1470" s="1" t="str">
        <f t="shared" si="2"/>
        <v>Sale</v>
      </c>
      <c r="D1470" s="1">
        <v>71459.0</v>
      </c>
      <c r="E1470" s="1" t="str">
        <f>IFERROR(__xludf.DUMMYFUNCTION("IF(LEN(D1470)&gt;4, IFERROR(REGEXEXTRACT(TO_TEXT(D1470),""\d+""),""""),"""")"),"71459")</f>
        <v>71459</v>
      </c>
      <c r="F1470" s="6" t="str">
        <f t="shared" si="3"/>
        <v>Product</v>
      </c>
      <c r="G1470" s="1" t="s">
        <v>881</v>
      </c>
      <c r="H1470" s="6" t="str">
        <f>IFERROR(__xludf.DUMMYFUNCTION("IF(REGEXMATCH(LOWER(G1470), ""^(\?)+\s*(missing)?\s*(\?)*$""), """", PROPER(SUBSTITUTE(SUBSTITUTE(G1470, ""?"", """"), ""*"", """")))"),"Hanging Jam Jar T-Light Holder")</f>
        <v>Hanging Jam Jar T-Light Holder</v>
      </c>
      <c r="I1470" s="3">
        <v>24.0</v>
      </c>
      <c r="J1470" s="7">
        <v>40598.45138888889</v>
      </c>
      <c r="K1470" s="8" t="str">
        <f t="shared" si="4"/>
        <v>2011-02</v>
      </c>
      <c r="L1470" s="5">
        <v>0.85</v>
      </c>
      <c r="M1470" s="3">
        <v>14841.0</v>
      </c>
      <c r="N1470" s="1" t="str">
        <f t="shared" si="5"/>
        <v>Registered</v>
      </c>
      <c r="O1470" s="1" t="s">
        <v>19</v>
      </c>
      <c r="P1470" s="9" t="str">
        <f t="shared" si="6"/>
        <v>UK</v>
      </c>
      <c r="Q1470" s="8">
        <f t="shared" si="7"/>
        <v>20.4</v>
      </c>
    </row>
    <row r="1471">
      <c r="A1471" s="1">
        <v>544839.0</v>
      </c>
      <c r="B1471" s="1" t="str">
        <f t="shared" si="1"/>
        <v>544839</v>
      </c>
      <c r="C1471" s="1" t="str">
        <f t="shared" si="2"/>
        <v>Sale</v>
      </c>
      <c r="D1471" s="1">
        <v>84755.0</v>
      </c>
      <c r="E1471" s="1" t="str">
        <f>IFERROR(__xludf.DUMMYFUNCTION("IF(LEN(D1471)&gt;4, IFERROR(REGEXEXTRACT(TO_TEXT(D1471),""\d+""),""""),"""")"),"84755")</f>
        <v>84755</v>
      </c>
      <c r="F1471" s="6" t="str">
        <f t="shared" si="3"/>
        <v>Product</v>
      </c>
      <c r="G1471" s="1" t="s">
        <v>163</v>
      </c>
      <c r="H1471" s="6" t="str">
        <f>IFERROR(__xludf.DUMMYFUNCTION("IF(REGEXMATCH(LOWER(G1471), ""^(\?)+\s*(missing)?\s*(\?)*$""), """", PROPER(SUBSTITUTE(SUBSTITUTE(G1471, ""?"", """"), ""*"", """")))"),"Colour Glass T-Light Holder Hanging")</f>
        <v>Colour Glass T-Light Holder Hanging</v>
      </c>
      <c r="I1471" s="3">
        <v>32.0</v>
      </c>
      <c r="J1471" s="7">
        <v>40598.45138888889</v>
      </c>
      <c r="K1471" s="8" t="str">
        <f t="shared" si="4"/>
        <v>2011-02</v>
      </c>
      <c r="L1471" s="5">
        <v>0.65</v>
      </c>
      <c r="M1471" s="3">
        <v>14841.0</v>
      </c>
      <c r="N1471" s="1" t="str">
        <f t="shared" si="5"/>
        <v>Registered</v>
      </c>
      <c r="O1471" s="1" t="s">
        <v>19</v>
      </c>
      <c r="P1471" s="9" t="str">
        <f t="shared" si="6"/>
        <v>UK</v>
      </c>
      <c r="Q1471" s="8">
        <f t="shared" si="7"/>
        <v>20.8</v>
      </c>
    </row>
    <row r="1472">
      <c r="A1472" s="1" t="s">
        <v>928</v>
      </c>
      <c r="B1472" s="1" t="str">
        <f t="shared" si="1"/>
        <v>544840</v>
      </c>
      <c r="C1472" s="1" t="str">
        <f t="shared" si="2"/>
        <v>Return</v>
      </c>
      <c r="D1472" s="1">
        <v>22461.0</v>
      </c>
      <c r="E1472" s="1" t="str">
        <f>IFERROR(__xludf.DUMMYFUNCTION("IF(LEN(D1472)&gt;4, IFERROR(REGEXEXTRACT(TO_TEXT(D1472),""\d+""),""""),"""")"),"22461")</f>
        <v>22461</v>
      </c>
      <c r="F1472" s="6" t="str">
        <f t="shared" si="3"/>
        <v>Product</v>
      </c>
      <c r="G1472" s="1" t="s">
        <v>929</v>
      </c>
      <c r="H1472" s="6" t="str">
        <f>IFERROR(__xludf.DUMMYFUNCTION("IF(REGEXMATCH(LOWER(G1472), ""^(\?)+\s*(missing)?\s*(\?)*$""), """", PROPER(SUBSTITUTE(SUBSTITUTE(G1472, ""?"", """"), ""*"", """")))"),"Savoy Art Deco Clock")</f>
        <v>Savoy Art Deco Clock</v>
      </c>
      <c r="I1472" s="3">
        <v>-1.0</v>
      </c>
      <c r="J1472" s="7">
        <v>40598.4625</v>
      </c>
      <c r="K1472" s="8" t="str">
        <f t="shared" si="4"/>
        <v>2011-02</v>
      </c>
      <c r="L1472" s="5">
        <v>12.75</v>
      </c>
      <c r="M1472" s="3">
        <v>16719.0</v>
      </c>
      <c r="N1472" s="1" t="str">
        <f t="shared" si="5"/>
        <v>Registered</v>
      </c>
      <c r="O1472" s="1" t="s">
        <v>19</v>
      </c>
      <c r="P1472" s="9" t="str">
        <f t="shared" si="6"/>
        <v>UK</v>
      </c>
      <c r="Q1472" s="8">
        <f t="shared" si="7"/>
        <v>-12.75</v>
      </c>
    </row>
    <row r="1473">
      <c r="A1473" s="1" t="s">
        <v>928</v>
      </c>
      <c r="B1473" s="1" t="str">
        <f t="shared" si="1"/>
        <v>544840</v>
      </c>
      <c r="C1473" s="1" t="str">
        <f t="shared" si="2"/>
        <v>Return</v>
      </c>
      <c r="D1473" s="1">
        <v>22728.0</v>
      </c>
      <c r="E1473" s="1" t="str">
        <f>IFERROR(__xludf.DUMMYFUNCTION("IF(LEN(D1473)&gt;4, IFERROR(REGEXEXTRACT(TO_TEXT(D1473),""\d+""),""""),"""")"),"22728")</f>
        <v>22728</v>
      </c>
      <c r="F1473" s="6" t="str">
        <f t="shared" si="3"/>
        <v>Product</v>
      </c>
      <c r="G1473" s="1" t="s">
        <v>48</v>
      </c>
      <c r="H1473" s="6" t="str">
        <f>IFERROR(__xludf.DUMMYFUNCTION("IF(REGEXMATCH(LOWER(G1473), ""^(\?)+\s*(missing)?\s*(\?)*$""), """", PROPER(SUBSTITUTE(SUBSTITUTE(G1473, ""?"", """"), ""*"", """")))"),"Alarm Clock Bakelike Pink")</f>
        <v>Alarm Clock Bakelike Pink</v>
      </c>
      <c r="I1473" s="3">
        <v>-1.0</v>
      </c>
      <c r="J1473" s="7">
        <v>40598.4625</v>
      </c>
      <c r="K1473" s="8" t="str">
        <f t="shared" si="4"/>
        <v>2011-02</v>
      </c>
      <c r="L1473" s="5">
        <v>3.75</v>
      </c>
      <c r="M1473" s="3">
        <v>16719.0</v>
      </c>
      <c r="N1473" s="1" t="str">
        <f t="shared" si="5"/>
        <v>Registered</v>
      </c>
      <c r="O1473" s="1" t="s">
        <v>19</v>
      </c>
      <c r="P1473" s="9" t="str">
        <f t="shared" si="6"/>
        <v>UK</v>
      </c>
      <c r="Q1473" s="8">
        <f t="shared" si="7"/>
        <v>-3.75</v>
      </c>
    </row>
    <row r="1474">
      <c r="A1474" s="1">
        <v>544846.0</v>
      </c>
      <c r="B1474" s="1" t="str">
        <f t="shared" si="1"/>
        <v>544846</v>
      </c>
      <c r="C1474" s="1" t="str">
        <f t="shared" si="2"/>
        <v>Sale</v>
      </c>
      <c r="D1474" s="1">
        <v>21034.0</v>
      </c>
      <c r="E1474" s="1" t="str">
        <f>IFERROR(__xludf.DUMMYFUNCTION("IF(LEN(D1474)&gt;4, IFERROR(REGEXEXTRACT(TO_TEXT(D1474),""\d+""),""""),"""")"),"21034")</f>
        <v>21034</v>
      </c>
      <c r="F1474" s="6" t="str">
        <f t="shared" si="3"/>
        <v>Product</v>
      </c>
      <c r="G1474" s="1" t="s">
        <v>452</v>
      </c>
      <c r="H1474" s="6" t="str">
        <f>IFERROR(__xludf.DUMMYFUNCTION("IF(REGEXMATCH(LOWER(G1474), ""^(\?)+\s*(missing)?\s*(\?)*$""), """", PROPER(SUBSTITUTE(SUBSTITUTE(G1474, ""?"", """"), ""*"", """")))"),"Rex Cash+Carry Jumbo Shopper")</f>
        <v>Rex Cash+Carry Jumbo Shopper</v>
      </c>
      <c r="I1474" s="3">
        <v>1.0</v>
      </c>
      <c r="J1474" s="7">
        <v>40598.46597222222</v>
      </c>
      <c r="K1474" s="8" t="str">
        <f t="shared" si="4"/>
        <v>2011-02</v>
      </c>
      <c r="L1474" s="5">
        <v>0.95</v>
      </c>
      <c r="M1474" s="3">
        <v>16719.0</v>
      </c>
      <c r="N1474" s="1" t="str">
        <f t="shared" si="5"/>
        <v>Registered</v>
      </c>
      <c r="O1474" s="1" t="s">
        <v>19</v>
      </c>
      <c r="P1474" s="9" t="str">
        <f t="shared" si="6"/>
        <v>UK</v>
      </c>
      <c r="Q1474" s="8">
        <f t="shared" si="7"/>
        <v>0.95</v>
      </c>
    </row>
    <row r="1475">
      <c r="A1475" s="1">
        <v>544846.0</v>
      </c>
      <c r="B1475" s="1" t="str">
        <f t="shared" si="1"/>
        <v>544846</v>
      </c>
      <c r="C1475" s="1" t="str">
        <f t="shared" si="2"/>
        <v>Sale</v>
      </c>
      <c r="D1475" s="1">
        <v>23233.0</v>
      </c>
      <c r="E1475" s="1" t="str">
        <f>IFERROR(__xludf.DUMMYFUNCTION("IF(LEN(D1475)&gt;4, IFERROR(REGEXEXTRACT(TO_TEXT(D1475),""\d+""),""""),"""")"),"23233")</f>
        <v>23233</v>
      </c>
      <c r="F1475" s="6" t="str">
        <f t="shared" si="3"/>
        <v>Product</v>
      </c>
      <c r="G1475" s="1" t="s">
        <v>930</v>
      </c>
      <c r="H1475" s="6" t="str">
        <f>IFERROR(__xludf.DUMMYFUNCTION("IF(REGEXMATCH(LOWER(G1475), ""^(\?)+\s*(missing)?\s*(\?)*$""), """", PROPER(SUBSTITUTE(SUBSTITUTE(G1475, ""?"", """"), ""*"", """")))"),"Wrap Poppies Design")</f>
        <v>Wrap Poppies Design</v>
      </c>
      <c r="I1475" s="3">
        <v>25.0</v>
      </c>
      <c r="J1475" s="7">
        <v>40598.46597222222</v>
      </c>
      <c r="K1475" s="8" t="str">
        <f t="shared" si="4"/>
        <v>2011-02</v>
      </c>
      <c r="L1475" s="5">
        <v>0.42</v>
      </c>
      <c r="M1475" s="3">
        <v>16719.0</v>
      </c>
      <c r="N1475" s="1" t="str">
        <f t="shared" si="5"/>
        <v>Registered</v>
      </c>
      <c r="O1475" s="1" t="s">
        <v>19</v>
      </c>
      <c r="P1475" s="9" t="str">
        <f t="shared" si="6"/>
        <v>UK</v>
      </c>
      <c r="Q1475" s="8">
        <f t="shared" si="7"/>
        <v>10.5</v>
      </c>
    </row>
    <row r="1476">
      <c r="A1476" s="1">
        <v>544846.0</v>
      </c>
      <c r="B1476" s="1" t="str">
        <f t="shared" si="1"/>
        <v>544846</v>
      </c>
      <c r="C1476" s="1" t="str">
        <f t="shared" si="2"/>
        <v>Sale</v>
      </c>
      <c r="D1476" s="1">
        <v>21498.0</v>
      </c>
      <c r="E1476" s="1" t="str">
        <f>IFERROR(__xludf.DUMMYFUNCTION("IF(LEN(D1476)&gt;4, IFERROR(REGEXEXTRACT(TO_TEXT(D1476),""\d+""),""""),"""")"),"21498")</f>
        <v>21498</v>
      </c>
      <c r="F1476" s="6" t="str">
        <f t="shared" si="3"/>
        <v>Product</v>
      </c>
      <c r="G1476" s="1" t="s">
        <v>931</v>
      </c>
      <c r="H1476" s="6" t="str">
        <f>IFERROR(__xludf.DUMMYFUNCTION("IF(REGEXMATCH(LOWER(G1476), ""^(\?)+\s*(missing)?\s*(\?)*$""), """", PROPER(SUBSTITUTE(SUBSTITUTE(G1476, ""?"", """"), ""*"", """")))"),"Red Retrospot Wrap")</f>
        <v>Red Retrospot Wrap</v>
      </c>
      <c r="I1476" s="3">
        <v>25.0</v>
      </c>
      <c r="J1476" s="7">
        <v>40598.46597222222</v>
      </c>
      <c r="K1476" s="8" t="str">
        <f t="shared" si="4"/>
        <v>2011-02</v>
      </c>
      <c r="L1476" s="5">
        <v>0.42</v>
      </c>
      <c r="M1476" s="3">
        <v>16719.0</v>
      </c>
      <c r="N1476" s="1" t="str">
        <f t="shared" si="5"/>
        <v>Registered</v>
      </c>
      <c r="O1476" s="1" t="s">
        <v>19</v>
      </c>
      <c r="P1476" s="9" t="str">
        <f t="shared" si="6"/>
        <v>UK</v>
      </c>
      <c r="Q1476" s="8">
        <f t="shared" si="7"/>
        <v>10.5</v>
      </c>
    </row>
    <row r="1477">
      <c r="A1477" s="1">
        <v>544846.0</v>
      </c>
      <c r="B1477" s="1" t="str">
        <f t="shared" si="1"/>
        <v>544846</v>
      </c>
      <c r="C1477" s="1" t="str">
        <f t="shared" si="2"/>
        <v>Sale</v>
      </c>
      <c r="D1477" s="1">
        <v>22704.0</v>
      </c>
      <c r="E1477" s="1" t="str">
        <f>IFERROR(__xludf.DUMMYFUNCTION("IF(LEN(D1477)&gt;4, IFERROR(REGEXEXTRACT(TO_TEXT(D1477),""\d+""),""""),"""")"),"22704")</f>
        <v>22704</v>
      </c>
      <c r="F1477" s="6" t="str">
        <f t="shared" si="3"/>
        <v>Product</v>
      </c>
      <c r="G1477" s="1" t="s">
        <v>932</v>
      </c>
      <c r="H1477" s="6" t="str">
        <f>IFERROR(__xludf.DUMMYFUNCTION("IF(REGEXMATCH(LOWER(G1477), ""^(\?)+\s*(missing)?\s*(\?)*$""), """", PROPER(SUBSTITUTE(SUBSTITUTE(G1477, ""?"", """"), ""*"", """")))"),"Wrap Red Apples")</f>
        <v>Wrap Red Apples</v>
      </c>
      <c r="I1477" s="3">
        <v>25.0</v>
      </c>
      <c r="J1477" s="7">
        <v>40598.46597222222</v>
      </c>
      <c r="K1477" s="8" t="str">
        <f t="shared" si="4"/>
        <v>2011-02</v>
      </c>
      <c r="L1477" s="5">
        <v>0.42</v>
      </c>
      <c r="M1477" s="3">
        <v>16719.0</v>
      </c>
      <c r="N1477" s="1" t="str">
        <f t="shared" si="5"/>
        <v>Registered</v>
      </c>
      <c r="O1477" s="1" t="s">
        <v>19</v>
      </c>
      <c r="P1477" s="9" t="str">
        <f t="shared" si="6"/>
        <v>UK</v>
      </c>
      <c r="Q1477" s="8">
        <f t="shared" si="7"/>
        <v>10.5</v>
      </c>
    </row>
    <row r="1478">
      <c r="A1478" s="1">
        <v>544846.0</v>
      </c>
      <c r="B1478" s="1" t="str">
        <f t="shared" si="1"/>
        <v>544846</v>
      </c>
      <c r="C1478" s="1" t="str">
        <f t="shared" si="2"/>
        <v>Sale</v>
      </c>
      <c r="D1478" s="1">
        <v>22193.0</v>
      </c>
      <c r="E1478" s="1" t="str">
        <f>IFERROR(__xludf.DUMMYFUNCTION("IF(LEN(D1478)&gt;4, IFERROR(REGEXEXTRACT(TO_TEXT(D1478),""\d+""),""""),"""")"),"22193")</f>
        <v>22193</v>
      </c>
      <c r="F1478" s="6" t="str">
        <f t="shared" si="3"/>
        <v>Product</v>
      </c>
      <c r="G1478" s="1" t="s">
        <v>205</v>
      </c>
      <c r="H1478" s="6" t="str">
        <f>IFERROR(__xludf.DUMMYFUNCTION("IF(REGEXMATCH(LOWER(G1478), ""^(\?)+\s*(missing)?\s*(\?)*$""), """", PROPER(SUBSTITUTE(SUBSTITUTE(G1478, ""?"", """"), ""*"", """")))"),"Red Diner Wall Clock")</f>
        <v>Red Diner Wall Clock</v>
      </c>
      <c r="I1478" s="3">
        <v>2.0</v>
      </c>
      <c r="J1478" s="7">
        <v>40598.46597222222</v>
      </c>
      <c r="K1478" s="8" t="str">
        <f t="shared" si="4"/>
        <v>2011-02</v>
      </c>
      <c r="L1478" s="5">
        <v>8.5</v>
      </c>
      <c r="M1478" s="3">
        <v>16719.0</v>
      </c>
      <c r="N1478" s="1" t="str">
        <f t="shared" si="5"/>
        <v>Registered</v>
      </c>
      <c r="O1478" s="1" t="s">
        <v>19</v>
      </c>
      <c r="P1478" s="9" t="str">
        <f t="shared" si="6"/>
        <v>UK</v>
      </c>
      <c r="Q1478" s="8">
        <f t="shared" si="7"/>
        <v>17</v>
      </c>
    </row>
    <row r="1479">
      <c r="A1479" s="1">
        <v>544846.0</v>
      </c>
      <c r="B1479" s="1" t="str">
        <f t="shared" si="1"/>
        <v>544846</v>
      </c>
      <c r="C1479" s="1" t="str">
        <f t="shared" si="2"/>
        <v>Sale</v>
      </c>
      <c r="D1479" s="1">
        <v>22173.0</v>
      </c>
      <c r="E1479" s="1" t="str">
        <f>IFERROR(__xludf.DUMMYFUNCTION("IF(LEN(D1479)&gt;4, IFERROR(REGEXEXTRACT(TO_TEXT(D1479),""\d+""),""""),"""")"),"22173")</f>
        <v>22173</v>
      </c>
      <c r="F1479" s="6" t="str">
        <f t="shared" si="3"/>
        <v>Product</v>
      </c>
      <c r="G1479" s="1" t="s">
        <v>717</v>
      </c>
      <c r="H1479" s="6" t="str">
        <f>IFERROR(__xludf.DUMMYFUNCTION("IF(REGEXMATCH(LOWER(G1479), ""^(\?)+\s*(missing)?\s*(\?)*$""), """", PROPER(SUBSTITUTE(SUBSTITUTE(G1479, ""?"", """"), ""*"", """")))"),"Metal 4 Hook Hanger French Chateau")</f>
        <v>Metal 4 Hook Hanger French Chateau</v>
      </c>
      <c r="I1479" s="3">
        <v>1.0</v>
      </c>
      <c r="J1479" s="7">
        <v>40598.46597222222</v>
      </c>
      <c r="K1479" s="8" t="str">
        <f t="shared" si="4"/>
        <v>2011-02</v>
      </c>
      <c r="L1479" s="5">
        <v>2.95</v>
      </c>
      <c r="M1479" s="3">
        <v>16719.0</v>
      </c>
      <c r="N1479" s="1" t="str">
        <f t="shared" si="5"/>
        <v>Registered</v>
      </c>
      <c r="O1479" s="1" t="s">
        <v>19</v>
      </c>
      <c r="P1479" s="9" t="str">
        <f t="shared" si="6"/>
        <v>UK</v>
      </c>
      <c r="Q1479" s="8">
        <f t="shared" si="7"/>
        <v>2.95</v>
      </c>
    </row>
    <row r="1480">
      <c r="A1480" s="1">
        <v>544846.0</v>
      </c>
      <c r="B1480" s="1" t="str">
        <f t="shared" si="1"/>
        <v>544846</v>
      </c>
      <c r="C1480" s="1" t="str">
        <f t="shared" si="2"/>
        <v>Sale</v>
      </c>
      <c r="D1480" s="1">
        <v>22212.0</v>
      </c>
      <c r="E1480" s="1" t="str">
        <f>IFERROR(__xludf.DUMMYFUNCTION("IF(LEN(D1480)&gt;4, IFERROR(REGEXEXTRACT(TO_TEXT(D1480),""\d+""),""""),"""")"),"22212")</f>
        <v>22212</v>
      </c>
      <c r="F1480" s="6" t="str">
        <f t="shared" si="3"/>
        <v>Product</v>
      </c>
      <c r="G1480" s="1" t="s">
        <v>933</v>
      </c>
      <c r="H1480" s="6" t="str">
        <f>IFERROR(__xludf.DUMMYFUNCTION("IF(REGEXMATCH(LOWER(G1480), ""^(\?)+\s*(missing)?\s*(\?)*$""), """", PROPER(SUBSTITUTE(SUBSTITUTE(G1480, ""?"", """"), ""*"", """")))"),"Four Hook White Lovebirds")</f>
        <v>Four Hook White Lovebirds</v>
      </c>
      <c r="I1480" s="3">
        <v>1.0</v>
      </c>
      <c r="J1480" s="7">
        <v>40598.46597222222</v>
      </c>
      <c r="K1480" s="8" t="str">
        <f t="shared" si="4"/>
        <v>2011-02</v>
      </c>
      <c r="L1480" s="5">
        <v>2.1</v>
      </c>
      <c r="M1480" s="3">
        <v>16719.0</v>
      </c>
      <c r="N1480" s="1" t="str">
        <f t="shared" si="5"/>
        <v>Registered</v>
      </c>
      <c r="O1480" s="1" t="s">
        <v>19</v>
      </c>
      <c r="P1480" s="9" t="str">
        <f t="shared" si="6"/>
        <v>UK</v>
      </c>
      <c r="Q1480" s="8">
        <f t="shared" si="7"/>
        <v>2.1</v>
      </c>
    </row>
    <row r="1481">
      <c r="A1481" s="1">
        <v>544846.0</v>
      </c>
      <c r="B1481" s="1" t="str">
        <f t="shared" si="1"/>
        <v>544846</v>
      </c>
      <c r="C1481" s="1" t="str">
        <f t="shared" si="2"/>
        <v>Sale</v>
      </c>
      <c r="D1481" s="1">
        <v>22467.0</v>
      </c>
      <c r="E1481" s="1" t="str">
        <f>IFERROR(__xludf.DUMMYFUNCTION("IF(LEN(D1481)&gt;4, IFERROR(REGEXEXTRACT(TO_TEXT(D1481),""\d+""),""""),"""")"),"22467")</f>
        <v>22467</v>
      </c>
      <c r="F1481" s="6" t="str">
        <f t="shared" si="3"/>
        <v>Product</v>
      </c>
      <c r="G1481" s="1" t="s">
        <v>323</v>
      </c>
      <c r="H1481" s="6" t="str">
        <f>IFERROR(__xludf.DUMMYFUNCTION("IF(REGEXMATCH(LOWER(G1481), ""^(\?)+\s*(missing)?\s*(\?)*$""), """", PROPER(SUBSTITUTE(SUBSTITUTE(G1481, ""?"", """"), ""*"", """")))"),"Gumball Coat Rack")</f>
        <v>Gumball Coat Rack</v>
      </c>
      <c r="I1481" s="3">
        <v>2.0</v>
      </c>
      <c r="J1481" s="7">
        <v>40598.46597222222</v>
      </c>
      <c r="K1481" s="8" t="str">
        <f t="shared" si="4"/>
        <v>2011-02</v>
      </c>
      <c r="L1481" s="5">
        <v>2.55</v>
      </c>
      <c r="M1481" s="3">
        <v>16719.0</v>
      </c>
      <c r="N1481" s="1" t="str">
        <f t="shared" si="5"/>
        <v>Registered</v>
      </c>
      <c r="O1481" s="1" t="s">
        <v>19</v>
      </c>
      <c r="P1481" s="9" t="str">
        <f t="shared" si="6"/>
        <v>UK</v>
      </c>
      <c r="Q1481" s="8">
        <f t="shared" si="7"/>
        <v>5.1</v>
      </c>
    </row>
    <row r="1482">
      <c r="A1482" s="1">
        <v>544846.0</v>
      </c>
      <c r="B1482" s="1" t="str">
        <f t="shared" si="1"/>
        <v>544846</v>
      </c>
      <c r="C1482" s="1" t="str">
        <f t="shared" si="2"/>
        <v>Sale</v>
      </c>
      <c r="D1482" s="1">
        <v>22900.0</v>
      </c>
      <c r="E1482" s="1" t="str">
        <f>IFERROR(__xludf.DUMMYFUNCTION("IF(LEN(D1482)&gt;4, IFERROR(REGEXEXTRACT(TO_TEXT(D1482),""\d+""),""""),"""")"),"22900")</f>
        <v>22900</v>
      </c>
      <c r="F1482" s="6" t="str">
        <f t="shared" si="3"/>
        <v>Product</v>
      </c>
      <c r="G1482" s="1" t="s">
        <v>63</v>
      </c>
      <c r="H1482" s="6" t="str">
        <f>IFERROR(__xludf.DUMMYFUNCTION("IF(REGEXMATCH(LOWER(G1482), ""^(\?)+\s*(missing)?\s*(\?)*$""), """", PROPER(SUBSTITUTE(SUBSTITUTE(G1482, ""?"", """"), ""*"", """")))"),"Set 2 Tea Towels I Love London")</f>
        <v>Set 2 Tea Towels I Love London</v>
      </c>
      <c r="I1482" s="3">
        <v>2.0</v>
      </c>
      <c r="J1482" s="7">
        <v>40598.46597222222</v>
      </c>
      <c r="K1482" s="8" t="str">
        <f t="shared" si="4"/>
        <v>2011-02</v>
      </c>
      <c r="L1482" s="5">
        <v>2.95</v>
      </c>
      <c r="M1482" s="3">
        <v>16719.0</v>
      </c>
      <c r="N1482" s="1" t="str">
        <f t="shared" si="5"/>
        <v>Registered</v>
      </c>
      <c r="O1482" s="1" t="s">
        <v>19</v>
      </c>
      <c r="P1482" s="9" t="str">
        <f t="shared" si="6"/>
        <v>UK</v>
      </c>
      <c r="Q1482" s="8">
        <f t="shared" si="7"/>
        <v>5.9</v>
      </c>
    </row>
    <row r="1483">
      <c r="A1483" s="1">
        <v>544846.0</v>
      </c>
      <c r="B1483" s="1" t="str">
        <f t="shared" si="1"/>
        <v>544846</v>
      </c>
      <c r="C1483" s="1" t="str">
        <f t="shared" si="2"/>
        <v>Sale</v>
      </c>
      <c r="D1483" s="1">
        <v>21889.0</v>
      </c>
      <c r="E1483" s="1" t="str">
        <f>IFERROR(__xludf.DUMMYFUNCTION("IF(LEN(D1483)&gt;4, IFERROR(REGEXEXTRACT(TO_TEXT(D1483),""\d+""),""""),"""")"),"21889")</f>
        <v>21889</v>
      </c>
      <c r="F1483" s="6" t="str">
        <f t="shared" si="3"/>
        <v>Product</v>
      </c>
      <c r="G1483" s="1" t="s">
        <v>238</v>
      </c>
      <c r="H1483" s="6" t="str">
        <f>IFERROR(__xludf.DUMMYFUNCTION("IF(REGEXMATCH(LOWER(G1483), ""^(\?)+\s*(missing)?\s*(\?)*$""), """", PROPER(SUBSTITUTE(SUBSTITUTE(G1483, ""?"", """"), ""*"", """")))"),"Wooden Box Of Dominoes")</f>
        <v>Wooden Box Of Dominoes</v>
      </c>
      <c r="I1483" s="3">
        <v>2.0</v>
      </c>
      <c r="J1483" s="7">
        <v>40598.46597222222</v>
      </c>
      <c r="K1483" s="8" t="str">
        <f t="shared" si="4"/>
        <v>2011-02</v>
      </c>
      <c r="L1483" s="5">
        <v>1.25</v>
      </c>
      <c r="M1483" s="3">
        <v>16719.0</v>
      </c>
      <c r="N1483" s="1" t="str">
        <f t="shared" si="5"/>
        <v>Registered</v>
      </c>
      <c r="O1483" s="1" t="s">
        <v>19</v>
      </c>
      <c r="P1483" s="9" t="str">
        <f t="shared" si="6"/>
        <v>UK</v>
      </c>
      <c r="Q1483" s="8">
        <f t="shared" si="7"/>
        <v>2.5</v>
      </c>
    </row>
    <row r="1484">
      <c r="A1484" s="1">
        <v>544846.0</v>
      </c>
      <c r="B1484" s="1" t="str">
        <f t="shared" si="1"/>
        <v>544846</v>
      </c>
      <c r="C1484" s="1" t="str">
        <f t="shared" si="2"/>
        <v>Sale</v>
      </c>
      <c r="D1484" s="1">
        <v>22759.0</v>
      </c>
      <c r="E1484" s="1" t="str">
        <f>IFERROR(__xludf.DUMMYFUNCTION("IF(LEN(D1484)&gt;4, IFERROR(REGEXEXTRACT(TO_TEXT(D1484),""\d+""),""""),"""")"),"22759")</f>
        <v>22759</v>
      </c>
      <c r="F1484" s="6" t="str">
        <f t="shared" si="3"/>
        <v>Product</v>
      </c>
      <c r="G1484" s="1" t="s">
        <v>440</v>
      </c>
      <c r="H1484" s="6" t="str">
        <f>IFERROR(__xludf.DUMMYFUNCTION("IF(REGEXMATCH(LOWER(G1484), ""^(\?)+\s*(missing)?\s*(\?)*$""), """", PROPER(SUBSTITUTE(SUBSTITUTE(G1484, ""?"", """"), ""*"", """")))"),"Set Of 3 Notebooks In Parcel")</f>
        <v>Set Of 3 Notebooks In Parcel</v>
      </c>
      <c r="I1484" s="3">
        <v>2.0</v>
      </c>
      <c r="J1484" s="7">
        <v>40598.46597222222</v>
      </c>
      <c r="K1484" s="8" t="str">
        <f t="shared" si="4"/>
        <v>2011-02</v>
      </c>
      <c r="L1484" s="5">
        <v>1.65</v>
      </c>
      <c r="M1484" s="3">
        <v>16719.0</v>
      </c>
      <c r="N1484" s="1" t="str">
        <f t="shared" si="5"/>
        <v>Registered</v>
      </c>
      <c r="O1484" s="1" t="s">
        <v>19</v>
      </c>
      <c r="P1484" s="9" t="str">
        <f t="shared" si="6"/>
        <v>UK</v>
      </c>
      <c r="Q1484" s="8">
        <f t="shared" si="7"/>
        <v>3.3</v>
      </c>
    </row>
    <row r="1485">
      <c r="A1485" s="1">
        <v>544846.0</v>
      </c>
      <c r="B1485" s="1" t="str">
        <f t="shared" si="1"/>
        <v>544846</v>
      </c>
      <c r="C1485" s="1" t="str">
        <f t="shared" si="2"/>
        <v>Sale</v>
      </c>
      <c r="D1485" s="1">
        <v>21830.0</v>
      </c>
      <c r="E1485" s="1" t="str">
        <f>IFERROR(__xludf.DUMMYFUNCTION("IF(LEN(D1485)&gt;4, IFERROR(REGEXEXTRACT(TO_TEXT(D1485),""\d+""),""""),"""")"),"21830")</f>
        <v>21830</v>
      </c>
      <c r="F1485" s="6" t="str">
        <f t="shared" si="3"/>
        <v>Product</v>
      </c>
      <c r="G1485" s="1" t="s">
        <v>934</v>
      </c>
      <c r="H1485" s="6" t="str">
        <f>IFERROR(__xludf.DUMMYFUNCTION("IF(REGEXMATCH(LOWER(G1485), ""^(\?)+\s*(missing)?\s*(\?)*$""), """", PROPER(SUBSTITUTE(SUBSTITUTE(G1485, ""?"", """"), ""*"", """")))"),"Assorted Creepy Crawlies")</f>
        <v>Assorted Creepy Crawlies</v>
      </c>
      <c r="I1485" s="3">
        <v>24.0</v>
      </c>
      <c r="J1485" s="7">
        <v>40598.46597222222</v>
      </c>
      <c r="K1485" s="8" t="str">
        <f t="shared" si="4"/>
        <v>2011-02</v>
      </c>
      <c r="L1485" s="5">
        <v>0.42</v>
      </c>
      <c r="M1485" s="3">
        <v>16719.0</v>
      </c>
      <c r="N1485" s="1" t="str">
        <f t="shared" si="5"/>
        <v>Registered</v>
      </c>
      <c r="O1485" s="1" t="s">
        <v>19</v>
      </c>
      <c r="P1485" s="9" t="str">
        <f t="shared" si="6"/>
        <v>UK</v>
      </c>
      <c r="Q1485" s="8">
        <f t="shared" si="7"/>
        <v>10.08</v>
      </c>
    </row>
    <row r="1486">
      <c r="A1486" s="1">
        <v>544846.0</v>
      </c>
      <c r="B1486" s="1" t="str">
        <f t="shared" si="1"/>
        <v>544846</v>
      </c>
      <c r="C1486" s="1" t="str">
        <f t="shared" si="2"/>
        <v>Sale</v>
      </c>
      <c r="D1486" s="1">
        <v>22501.0</v>
      </c>
      <c r="E1486" s="1" t="str">
        <f>IFERROR(__xludf.DUMMYFUNCTION("IF(LEN(D1486)&gt;4, IFERROR(REGEXEXTRACT(TO_TEXT(D1486),""\d+""),""""),"""")"),"22501")</f>
        <v>22501</v>
      </c>
      <c r="F1486" s="6" t="str">
        <f t="shared" si="3"/>
        <v>Product</v>
      </c>
      <c r="G1486" s="1" t="s">
        <v>795</v>
      </c>
      <c r="H1486" s="6" t="str">
        <f>IFERROR(__xludf.DUMMYFUNCTION("IF(REGEXMATCH(LOWER(G1486), ""^(\?)+\s*(missing)?\s*(\?)*$""), """", PROPER(SUBSTITUTE(SUBSTITUTE(G1486, ""?"", """"), ""*"", """")))"),"Picnic Basket Wicker Large")</f>
        <v>Picnic Basket Wicker Large</v>
      </c>
      <c r="I1486" s="3">
        <v>1.0</v>
      </c>
      <c r="J1486" s="7">
        <v>40598.46597222222</v>
      </c>
      <c r="K1486" s="8" t="str">
        <f t="shared" si="4"/>
        <v>2011-02</v>
      </c>
      <c r="L1486" s="5">
        <v>9.95</v>
      </c>
      <c r="M1486" s="3">
        <v>16719.0</v>
      </c>
      <c r="N1486" s="1" t="str">
        <f t="shared" si="5"/>
        <v>Registered</v>
      </c>
      <c r="O1486" s="1" t="s">
        <v>19</v>
      </c>
      <c r="P1486" s="9" t="str">
        <f t="shared" si="6"/>
        <v>UK</v>
      </c>
      <c r="Q1486" s="8">
        <f t="shared" si="7"/>
        <v>9.95</v>
      </c>
    </row>
    <row r="1487">
      <c r="A1487" s="1">
        <v>544846.0</v>
      </c>
      <c r="B1487" s="1" t="str">
        <f t="shared" si="1"/>
        <v>544846</v>
      </c>
      <c r="C1487" s="1" t="str">
        <f t="shared" si="2"/>
        <v>Sale</v>
      </c>
      <c r="D1487" s="1">
        <v>22970.0</v>
      </c>
      <c r="E1487" s="1" t="str">
        <f>IFERROR(__xludf.DUMMYFUNCTION("IF(LEN(D1487)&gt;4, IFERROR(REGEXEXTRACT(TO_TEXT(D1487),""\d+""),""""),"""")"),"22970")</f>
        <v>22970</v>
      </c>
      <c r="F1487" s="6" t="str">
        <f t="shared" si="3"/>
        <v>Product</v>
      </c>
      <c r="G1487" s="1" t="s">
        <v>935</v>
      </c>
      <c r="H1487" s="6" t="str">
        <f>IFERROR(__xludf.DUMMYFUNCTION("IF(REGEXMATCH(LOWER(G1487), ""^(\?)+\s*(missing)?\s*(\?)*$""), """", PROPER(SUBSTITUTE(SUBSTITUTE(G1487, ""?"", """"), ""*"", """")))"),"London Bus Coffee Mug")</f>
        <v>London Bus Coffee Mug</v>
      </c>
      <c r="I1487" s="3">
        <v>6.0</v>
      </c>
      <c r="J1487" s="7">
        <v>40598.46597222222</v>
      </c>
      <c r="K1487" s="8" t="str">
        <f t="shared" si="4"/>
        <v>2011-02</v>
      </c>
      <c r="L1487" s="5">
        <v>2.55</v>
      </c>
      <c r="M1487" s="3">
        <v>16719.0</v>
      </c>
      <c r="N1487" s="1" t="str">
        <f t="shared" si="5"/>
        <v>Registered</v>
      </c>
      <c r="O1487" s="1" t="s">
        <v>19</v>
      </c>
      <c r="P1487" s="9" t="str">
        <f t="shared" si="6"/>
        <v>UK</v>
      </c>
      <c r="Q1487" s="8">
        <f t="shared" si="7"/>
        <v>15.3</v>
      </c>
    </row>
    <row r="1488">
      <c r="A1488" s="1">
        <v>544846.0</v>
      </c>
      <c r="B1488" s="1" t="str">
        <f t="shared" si="1"/>
        <v>544846</v>
      </c>
      <c r="C1488" s="1" t="str">
        <f t="shared" si="2"/>
        <v>Sale</v>
      </c>
      <c r="D1488" s="1">
        <v>84360.0</v>
      </c>
      <c r="E1488" s="1" t="str">
        <f>IFERROR(__xludf.DUMMYFUNCTION("IF(LEN(D1488)&gt;4, IFERROR(REGEXEXTRACT(TO_TEXT(D1488),""\d+""),""""),"""")"),"84360")</f>
        <v>84360</v>
      </c>
      <c r="F1488" s="6" t="str">
        <f t="shared" si="3"/>
        <v>Product</v>
      </c>
      <c r="G1488" s="1" t="s">
        <v>936</v>
      </c>
      <c r="H1488" s="6" t="str">
        <f>IFERROR(__xludf.DUMMYFUNCTION("IF(REGEXMATCH(LOWER(G1488), ""^(\?)+\s*(missing)?\s*(\?)*$""), """", PROPER(SUBSTITUTE(SUBSTITUTE(G1488, ""?"", """"), ""*"", """")))"),"Table Lamp White Shade Wood Base")</f>
        <v>Table Lamp White Shade Wood Base</v>
      </c>
      <c r="I1488" s="3">
        <v>1.0</v>
      </c>
      <c r="J1488" s="7">
        <v>40598.46597222222</v>
      </c>
      <c r="K1488" s="8" t="str">
        <f t="shared" si="4"/>
        <v>2011-02</v>
      </c>
      <c r="L1488" s="5">
        <v>5.95</v>
      </c>
      <c r="M1488" s="3">
        <v>16719.0</v>
      </c>
      <c r="N1488" s="1" t="str">
        <f t="shared" si="5"/>
        <v>Registered</v>
      </c>
      <c r="O1488" s="1" t="s">
        <v>19</v>
      </c>
      <c r="P1488" s="9" t="str">
        <f t="shared" si="6"/>
        <v>UK</v>
      </c>
      <c r="Q1488" s="8">
        <f t="shared" si="7"/>
        <v>5.95</v>
      </c>
    </row>
    <row r="1489">
      <c r="A1489" s="1">
        <v>544846.0</v>
      </c>
      <c r="B1489" s="1" t="str">
        <f t="shared" si="1"/>
        <v>544846</v>
      </c>
      <c r="C1489" s="1" t="str">
        <f t="shared" si="2"/>
        <v>Sale</v>
      </c>
      <c r="D1489" s="1">
        <v>79321.0</v>
      </c>
      <c r="E1489" s="1" t="str">
        <f>IFERROR(__xludf.DUMMYFUNCTION("IF(LEN(D1489)&gt;4, IFERROR(REGEXEXTRACT(TO_TEXT(D1489),""\d+""),""""),"""")"),"79321")</f>
        <v>79321</v>
      </c>
      <c r="F1489" s="6" t="str">
        <f t="shared" si="3"/>
        <v>Product</v>
      </c>
      <c r="G1489" s="1" t="s">
        <v>183</v>
      </c>
      <c r="H1489" s="6" t="str">
        <f>IFERROR(__xludf.DUMMYFUNCTION("IF(REGEXMATCH(LOWER(G1489), ""^(\?)+\s*(missing)?\s*(\?)*$""), """", PROPER(SUBSTITUTE(SUBSTITUTE(G1489, ""?"", """"), ""*"", """")))"),"Chilli Lights")</f>
        <v>Chilli Lights</v>
      </c>
      <c r="I1489" s="3">
        <v>4.0</v>
      </c>
      <c r="J1489" s="7">
        <v>40598.46597222222</v>
      </c>
      <c r="K1489" s="8" t="str">
        <f t="shared" si="4"/>
        <v>2011-02</v>
      </c>
      <c r="L1489" s="5">
        <v>5.75</v>
      </c>
      <c r="M1489" s="3">
        <v>16719.0</v>
      </c>
      <c r="N1489" s="1" t="str">
        <f t="shared" si="5"/>
        <v>Registered</v>
      </c>
      <c r="O1489" s="1" t="s">
        <v>19</v>
      </c>
      <c r="P1489" s="9" t="str">
        <f t="shared" si="6"/>
        <v>UK</v>
      </c>
      <c r="Q1489" s="8">
        <f t="shared" si="7"/>
        <v>23</v>
      </c>
    </row>
    <row r="1490">
      <c r="A1490" s="1">
        <v>544846.0</v>
      </c>
      <c r="B1490" s="1" t="str">
        <f t="shared" si="1"/>
        <v>544846</v>
      </c>
      <c r="C1490" s="1" t="str">
        <f t="shared" si="2"/>
        <v>Sale</v>
      </c>
      <c r="D1490" s="1">
        <v>22179.0</v>
      </c>
      <c r="E1490" s="1" t="str">
        <f>IFERROR(__xludf.DUMMYFUNCTION("IF(LEN(D1490)&gt;4, IFERROR(REGEXEXTRACT(TO_TEXT(D1490),""\d+""),""""),"""")"),"22179")</f>
        <v>22179</v>
      </c>
      <c r="F1490" s="6" t="str">
        <f t="shared" si="3"/>
        <v>Product</v>
      </c>
      <c r="G1490" s="1" t="s">
        <v>459</v>
      </c>
      <c r="H1490" s="6" t="str">
        <f>IFERROR(__xludf.DUMMYFUNCTION("IF(REGEXMATCH(LOWER(G1490), ""^(\?)+\s*(missing)?\s*(\?)*$""), """", PROPER(SUBSTITUTE(SUBSTITUTE(G1490, ""?"", """"), ""*"", """")))"),"Set 10 Lights Night Owl")</f>
        <v>Set 10 Lights Night Owl</v>
      </c>
      <c r="I1490" s="3">
        <v>2.0</v>
      </c>
      <c r="J1490" s="7">
        <v>40598.46597222222</v>
      </c>
      <c r="K1490" s="8" t="str">
        <f t="shared" si="4"/>
        <v>2011-02</v>
      </c>
      <c r="L1490" s="5">
        <v>6.75</v>
      </c>
      <c r="M1490" s="3">
        <v>16719.0</v>
      </c>
      <c r="N1490" s="1" t="str">
        <f t="shared" si="5"/>
        <v>Registered</v>
      </c>
      <c r="O1490" s="1" t="s">
        <v>19</v>
      </c>
      <c r="P1490" s="9" t="str">
        <f t="shared" si="6"/>
        <v>UK</v>
      </c>
      <c r="Q1490" s="8">
        <f t="shared" si="7"/>
        <v>13.5</v>
      </c>
    </row>
    <row r="1491">
      <c r="A1491" s="1">
        <v>544846.0</v>
      </c>
      <c r="B1491" s="1" t="str">
        <f t="shared" si="1"/>
        <v>544846</v>
      </c>
      <c r="C1491" s="1" t="str">
        <f t="shared" si="2"/>
        <v>Sale</v>
      </c>
      <c r="D1491" s="1">
        <v>22461.0</v>
      </c>
      <c r="E1491" s="1" t="str">
        <f>IFERROR(__xludf.DUMMYFUNCTION("IF(LEN(D1491)&gt;4, IFERROR(REGEXEXTRACT(TO_TEXT(D1491),""\d+""),""""),"""")"),"22461")</f>
        <v>22461</v>
      </c>
      <c r="F1491" s="6" t="str">
        <f t="shared" si="3"/>
        <v>Product</v>
      </c>
      <c r="G1491" s="1" t="s">
        <v>929</v>
      </c>
      <c r="H1491" s="6" t="str">
        <f>IFERROR(__xludf.DUMMYFUNCTION("IF(REGEXMATCH(LOWER(G1491), ""^(\?)+\s*(missing)?\s*(\?)*$""), """", PROPER(SUBSTITUTE(SUBSTITUTE(G1491, ""?"", """"), ""*"", """")))"),"Savoy Art Deco Clock")</f>
        <v>Savoy Art Deco Clock</v>
      </c>
      <c r="I1491" s="3">
        <v>1.0</v>
      </c>
      <c r="J1491" s="7">
        <v>40598.46597222222</v>
      </c>
      <c r="K1491" s="8" t="str">
        <f t="shared" si="4"/>
        <v>2011-02</v>
      </c>
      <c r="L1491" s="5">
        <v>12.75</v>
      </c>
      <c r="M1491" s="3">
        <v>16719.0</v>
      </c>
      <c r="N1491" s="1" t="str">
        <f t="shared" si="5"/>
        <v>Registered</v>
      </c>
      <c r="O1491" s="1" t="s">
        <v>19</v>
      </c>
      <c r="P1491" s="9" t="str">
        <f t="shared" si="6"/>
        <v>UK</v>
      </c>
      <c r="Q1491" s="8">
        <f t="shared" si="7"/>
        <v>12.75</v>
      </c>
    </row>
    <row r="1492">
      <c r="A1492" s="1">
        <v>544846.0</v>
      </c>
      <c r="B1492" s="1" t="str">
        <f t="shared" si="1"/>
        <v>544846</v>
      </c>
      <c r="C1492" s="1" t="str">
        <f t="shared" si="2"/>
        <v>Sale</v>
      </c>
      <c r="D1492" s="1" t="s">
        <v>937</v>
      </c>
      <c r="E1492" s="1" t="str">
        <f>IFERROR(__xludf.DUMMYFUNCTION("IF(LEN(D1492)&gt;4, IFERROR(REGEXEXTRACT(TO_TEXT(D1492),""\d+""),""""),"""")"),"75049")</f>
        <v>75049</v>
      </c>
      <c r="F1492" s="6" t="str">
        <f t="shared" si="3"/>
        <v>Product</v>
      </c>
      <c r="G1492" s="1" t="s">
        <v>938</v>
      </c>
      <c r="H1492" s="6" t="str">
        <f>IFERROR(__xludf.DUMMYFUNCTION("IF(REGEXMATCH(LOWER(G1492), ""^(\?)+\s*(missing)?\s*(\?)*$""), """", PROPER(SUBSTITUTE(SUBSTITUTE(G1492, ""?"", """"), ""*"", """")))"),"Large Circular Mirror Mobile")</f>
        <v>Large Circular Mirror Mobile</v>
      </c>
      <c r="I1492" s="3">
        <v>6.0</v>
      </c>
      <c r="J1492" s="7">
        <v>40598.46597222222</v>
      </c>
      <c r="K1492" s="8" t="str">
        <f t="shared" si="4"/>
        <v>2011-02</v>
      </c>
      <c r="L1492" s="5">
        <v>1.25</v>
      </c>
      <c r="M1492" s="3">
        <v>16719.0</v>
      </c>
      <c r="N1492" s="1" t="str">
        <f t="shared" si="5"/>
        <v>Registered</v>
      </c>
      <c r="O1492" s="1" t="s">
        <v>19</v>
      </c>
      <c r="P1492" s="9" t="str">
        <f t="shared" si="6"/>
        <v>UK</v>
      </c>
      <c r="Q1492" s="8">
        <f t="shared" si="7"/>
        <v>7.5</v>
      </c>
    </row>
    <row r="1493">
      <c r="A1493" s="1">
        <v>544847.0</v>
      </c>
      <c r="B1493" s="1" t="str">
        <f t="shared" si="1"/>
        <v>544847</v>
      </c>
      <c r="C1493" s="1" t="str">
        <f t="shared" si="2"/>
        <v>Sale</v>
      </c>
      <c r="D1493" s="1">
        <v>22713.0</v>
      </c>
      <c r="E1493" s="1" t="str">
        <f>IFERROR(__xludf.DUMMYFUNCTION("IF(LEN(D1493)&gt;4, IFERROR(REGEXEXTRACT(TO_TEXT(D1493),""\d+""),""""),"""")"),"22713")</f>
        <v>22713</v>
      </c>
      <c r="F1493" s="6" t="str">
        <f t="shared" si="3"/>
        <v>Product</v>
      </c>
      <c r="G1493" s="1" t="s">
        <v>628</v>
      </c>
      <c r="H1493" s="6" t="str">
        <f>IFERROR(__xludf.DUMMYFUNCTION("IF(REGEXMATCH(LOWER(G1493), ""^(\?)+\s*(missing)?\s*(\?)*$""), """", PROPER(SUBSTITUTE(SUBSTITUTE(G1493, ""?"", """"), ""*"", """")))"),"Card I Love London")</f>
        <v>Card I Love London</v>
      </c>
      <c r="I1493" s="3">
        <v>12.0</v>
      </c>
      <c r="J1493" s="7">
        <v>40598.46875</v>
      </c>
      <c r="K1493" s="8" t="str">
        <f t="shared" si="4"/>
        <v>2011-02</v>
      </c>
      <c r="L1493" s="5">
        <v>0.42</v>
      </c>
      <c r="M1493" s="3">
        <v>16086.0</v>
      </c>
      <c r="N1493" s="1" t="str">
        <f t="shared" si="5"/>
        <v>Registered</v>
      </c>
      <c r="O1493" s="1" t="s">
        <v>19</v>
      </c>
      <c r="P1493" s="9" t="str">
        <f t="shared" si="6"/>
        <v>UK</v>
      </c>
      <c r="Q1493" s="8">
        <f t="shared" si="7"/>
        <v>5.04</v>
      </c>
    </row>
    <row r="1494">
      <c r="A1494" s="1">
        <v>544847.0</v>
      </c>
      <c r="B1494" s="1" t="str">
        <f t="shared" si="1"/>
        <v>544847</v>
      </c>
      <c r="C1494" s="1" t="str">
        <f t="shared" si="2"/>
        <v>Sale</v>
      </c>
      <c r="D1494" s="1">
        <v>22607.0</v>
      </c>
      <c r="E1494" s="1" t="str">
        <f>IFERROR(__xludf.DUMMYFUNCTION("IF(LEN(D1494)&gt;4, IFERROR(REGEXEXTRACT(TO_TEXT(D1494),""\d+""),""""),"""")"),"22607")</f>
        <v>22607</v>
      </c>
      <c r="F1494" s="6" t="str">
        <f t="shared" si="3"/>
        <v>Product</v>
      </c>
      <c r="G1494" s="1" t="s">
        <v>796</v>
      </c>
      <c r="H1494" s="6" t="str">
        <f>IFERROR(__xludf.DUMMYFUNCTION("IF(REGEXMATCH(LOWER(G1494), ""^(\?)+\s*(missing)?\s*(\?)*$""), """", PROPER(SUBSTITUTE(SUBSTITUTE(G1494, ""?"", """"), ""*"", """")))"),"Wooden Rounders Garden Set")</f>
        <v>Wooden Rounders Garden Set</v>
      </c>
      <c r="I1494" s="3">
        <v>3.0</v>
      </c>
      <c r="J1494" s="7">
        <v>40598.46875</v>
      </c>
      <c r="K1494" s="8" t="str">
        <f t="shared" si="4"/>
        <v>2011-02</v>
      </c>
      <c r="L1494" s="5">
        <v>9.95</v>
      </c>
      <c r="M1494" s="3">
        <v>16086.0</v>
      </c>
      <c r="N1494" s="1" t="str">
        <f t="shared" si="5"/>
        <v>Registered</v>
      </c>
      <c r="O1494" s="1" t="s">
        <v>19</v>
      </c>
      <c r="P1494" s="9" t="str">
        <f t="shared" si="6"/>
        <v>UK</v>
      </c>
      <c r="Q1494" s="8">
        <f t="shared" si="7"/>
        <v>29.85</v>
      </c>
    </row>
    <row r="1495">
      <c r="A1495" s="1">
        <v>544847.0</v>
      </c>
      <c r="B1495" s="1" t="str">
        <f t="shared" si="1"/>
        <v>544847</v>
      </c>
      <c r="C1495" s="1" t="str">
        <f t="shared" si="2"/>
        <v>Sale</v>
      </c>
      <c r="D1495" s="1">
        <v>21922.0</v>
      </c>
      <c r="E1495" s="1" t="str">
        <f>IFERROR(__xludf.DUMMYFUNCTION("IF(LEN(D1495)&gt;4, IFERROR(REGEXEXTRACT(TO_TEXT(D1495),""\d+""),""""),"""")"),"21922")</f>
        <v>21922</v>
      </c>
      <c r="F1495" s="6" t="str">
        <f t="shared" si="3"/>
        <v>Product</v>
      </c>
      <c r="G1495" s="1" t="s">
        <v>939</v>
      </c>
      <c r="H1495" s="6" t="str">
        <f>IFERROR(__xludf.DUMMYFUNCTION("IF(REGEXMATCH(LOWER(G1495), ""^(\?)+\s*(missing)?\s*(\?)*$""), """", PROPER(SUBSTITUTE(SUBSTITUTE(G1495, ""?"", """"), ""*"", """")))"),"Union Stripe With Fringe Hammock")</f>
        <v>Union Stripe With Fringe Hammock</v>
      </c>
      <c r="I1495" s="3">
        <v>4.0</v>
      </c>
      <c r="J1495" s="7">
        <v>40598.46875</v>
      </c>
      <c r="K1495" s="8" t="str">
        <f t="shared" si="4"/>
        <v>2011-02</v>
      </c>
      <c r="L1495" s="5">
        <v>7.95</v>
      </c>
      <c r="M1495" s="3">
        <v>16086.0</v>
      </c>
      <c r="N1495" s="1" t="str">
        <f t="shared" si="5"/>
        <v>Registered</v>
      </c>
      <c r="O1495" s="1" t="s">
        <v>19</v>
      </c>
      <c r="P1495" s="9" t="str">
        <f t="shared" si="6"/>
        <v>UK</v>
      </c>
      <c r="Q1495" s="8">
        <f t="shared" si="7"/>
        <v>31.8</v>
      </c>
    </row>
    <row r="1496">
      <c r="A1496" s="1">
        <v>544847.0</v>
      </c>
      <c r="B1496" s="1" t="str">
        <f t="shared" si="1"/>
        <v>544847</v>
      </c>
      <c r="C1496" s="1" t="str">
        <f t="shared" si="2"/>
        <v>Sale</v>
      </c>
      <c r="D1496" s="1" t="s">
        <v>181</v>
      </c>
      <c r="E1496" s="1" t="str">
        <f>IFERROR(__xludf.DUMMYFUNCTION("IF(LEN(D1496)&gt;4, IFERROR(REGEXEXTRACT(TO_TEXT(D1496),""\d+""),""""),"""")"),"85099")</f>
        <v>85099</v>
      </c>
      <c r="F1496" s="6" t="str">
        <f t="shared" si="3"/>
        <v>Product</v>
      </c>
      <c r="G1496" s="1" t="s">
        <v>182</v>
      </c>
      <c r="H1496" s="6" t="str">
        <f>IFERROR(__xludf.DUMMYFUNCTION("IF(REGEXMATCH(LOWER(G1496), ""^(\?)+\s*(missing)?\s*(\?)*$""), """", PROPER(SUBSTITUTE(SUBSTITUTE(G1496, ""?"", """"), ""*"", """")))"),"Jumbo Bag Red Retrospot")</f>
        <v>Jumbo Bag Red Retrospot</v>
      </c>
      <c r="I1496" s="3">
        <v>10.0</v>
      </c>
      <c r="J1496" s="7">
        <v>40598.46875</v>
      </c>
      <c r="K1496" s="8" t="str">
        <f t="shared" si="4"/>
        <v>2011-02</v>
      </c>
      <c r="L1496" s="5">
        <v>1.95</v>
      </c>
      <c r="M1496" s="3">
        <v>16086.0</v>
      </c>
      <c r="N1496" s="1" t="str">
        <f t="shared" si="5"/>
        <v>Registered</v>
      </c>
      <c r="O1496" s="1" t="s">
        <v>19</v>
      </c>
      <c r="P1496" s="9" t="str">
        <f t="shared" si="6"/>
        <v>UK</v>
      </c>
      <c r="Q1496" s="8">
        <f t="shared" si="7"/>
        <v>19.5</v>
      </c>
    </row>
    <row r="1497">
      <c r="A1497" s="1">
        <v>544847.0</v>
      </c>
      <c r="B1497" s="1" t="str">
        <f t="shared" si="1"/>
        <v>544847</v>
      </c>
      <c r="C1497" s="1" t="str">
        <f t="shared" si="2"/>
        <v>Sale</v>
      </c>
      <c r="D1497" s="1" t="s">
        <v>23</v>
      </c>
      <c r="E1497" s="1" t="str">
        <f>IFERROR(__xludf.DUMMYFUNCTION("IF(LEN(D1497)&gt;4, IFERROR(REGEXEXTRACT(TO_TEXT(D1497),""\d+""),""""),"""")"),"84029")</f>
        <v>84029</v>
      </c>
      <c r="F1497" s="6" t="str">
        <f t="shared" si="3"/>
        <v>Product</v>
      </c>
      <c r="G1497" s="1" t="s">
        <v>24</v>
      </c>
      <c r="H1497" s="6" t="str">
        <f>IFERROR(__xludf.DUMMYFUNCTION("IF(REGEXMATCH(LOWER(G1497), ""^(\?)+\s*(missing)?\s*(\?)*$""), """", PROPER(SUBSTITUTE(SUBSTITUTE(G1497, ""?"", """"), ""*"", """")))"),"Knitted Union Flag Hot Water Bottle")</f>
        <v>Knitted Union Flag Hot Water Bottle</v>
      </c>
      <c r="I1497" s="3">
        <v>4.0</v>
      </c>
      <c r="J1497" s="7">
        <v>40598.46875</v>
      </c>
      <c r="K1497" s="8" t="str">
        <f t="shared" si="4"/>
        <v>2011-02</v>
      </c>
      <c r="L1497" s="5">
        <v>3.75</v>
      </c>
      <c r="M1497" s="3">
        <v>16086.0</v>
      </c>
      <c r="N1497" s="1" t="str">
        <f t="shared" si="5"/>
        <v>Registered</v>
      </c>
      <c r="O1497" s="1" t="s">
        <v>19</v>
      </c>
      <c r="P1497" s="9" t="str">
        <f t="shared" si="6"/>
        <v>UK</v>
      </c>
      <c r="Q1497" s="8">
        <f t="shared" si="7"/>
        <v>15</v>
      </c>
    </row>
    <row r="1498">
      <c r="A1498" s="1">
        <v>544885.0</v>
      </c>
      <c r="B1498" s="1" t="str">
        <f t="shared" si="1"/>
        <v>544885</v>
      </c>
      <c r="C1498" s="1" t="str">
        <f t="shared" si="2"/>
        <v>Sale</v>
      </c>
      <c r="D1498" s="1">
        <v>21361.0</v>
      </c>
      <c r="E1498" s="1" t="str">
        <f>IFERROR(__xludf.DUMMYFUNCTION("IF(LEN(D1498)&gt;4, IFERROR(REGEXEXTRACT(TO_TEXT(D1498),""\d+""),""""),"""")"),"21361")</f>
        <v>21361</v>
      </c>
      <c r="F1498" s="6" t="str">
        <f t="shared" si="3"/>
        <v>Product</v>
      </c>
      <c r="G1498" s="1" t="s">
        <v>940</v>
      </c>
      <c r="H1498" s="6" t="str">
        <f>IFERROR(__xludf.DUMMYFUNCTION("IF(REGEXMATCH(LOWER(G1498), ""^(\?)+\s*(missing)?\s*(\?)*$""), """", PROPER(SUBSTITUTE(SUBSTITUTE(G1498, ""?"", """"), ""*"", """")))"),"Love Large Wood Letters")</f>
        <v>Love Large Wood Letters</v>
      </c>
      <c r="I1498" s="3">
        <v>1.0</v>
      </c>
      <c r="J1498" s="7">
        <v>40598.48472222222</v>
      </c>
      <c r="K1498" s="8" t="str">
        <f t="shared" si="4"/>
        <v>2011-02</v>
      </c>
      <c r="L1498" s="5">
        <v>12.75</v>
      </c>
      <c r="M1498" s="3">
        <v>14243.0</v>
      </c>
      <c r="N1498" s="1" t="str">
        <f t="shared" si="5"/>
        <v>Registered</v>
      </c>
      <c r="O1498" s="1" t="s">
        <v>19</v>
      </c>
      <c r="P1498" s="9" t="str">
        <f t="shared" si="6"/>
        <v>UK</v>
      </c>
      <c r="Q1498" s="8">
        <f t="shared" si="7"/>
        <v>12.75</v>
      </c>
    </row>
    <row r="1499">
      <c r="A1499" s="1">
        <v>544885.0</v>
      </c>
      <c r="B1499" s="1" t="str">
        <f t="shared" si="1"/>
        <v>544885</v>
      </c>
      <c r="C1499" s="1" t="str">
        <f t="shared" si="2"/>
        <v>Sale</v>
      </c>
      <c r="D1499" s="1">
        <v>22722.0</v>
      </c>
      <c r="E1499" s="1" t="str">
        <f>IFERROR(__xludf.DUMMYFUNCTION("IF(LEN(D1499)&gt;4, IFERROR(REGEXEXTRACT(TO_TEXT(D1499),""\d+""),""""),"""")"),"22722")</f>
        <v>22722</v>
      </c>
      <c r="F1499" s="6" t="str">
        <f t="shared" si="3"/>
        <v>Product</v>
      </c>
      <c r="G1499" s="1" t="s">
        <v>686</v>
      </c>
      <c r="H1499" s="6" t="str">
        <f>IFERROR(__xludf.DUMMYFUNCTION("IF(REGEXMATCH(LOWER(G1499), ""^(\?)+\s*(missing)?\s*(\?)*$""), """", PROPER(SUBSTITUTE(SUBSTITUTE(G1499, ""?"", """"), ""*"", """")))"),"Set Of 6 Spice Tins Pantry Design")</f>
        <v>Set Of 6 Spice Tins Pantry Design</v>
      </c>
      <c r="I1499" s="3">
        <v>8.0</v>
      </c>
      <c r="J1499" s="7">
        <v>40598.48472222222</v>
      </c>
      <c r="K1499" s="8" t="str">
        <f t="shared" si="4"/>
        <v>2011-02</v>
      </c>
      <c r="L1499" s="5">
        <v>3.95</v>
      </c>
      <c r="M1499" s="3">
        <v>14243.0</v>
      </c>
      <c r="N1499" s="1" t="str">
        <f t="shared" si="5"/>
        <v>Registered</v>
      </c>
      <c r="O1499" s="1" t="s">
        <v>19</v>
      </c>
      <c r="P1499" s="9" t="str">
        <f t="shared" si="6"/>
        <v>UK</v>
      </c>
      <c r="Q1499" s="8">
        <f t="shared" si="7"/>
        <v>31.6</v>
      </c>
    </row>
    <row r="1500">
      <c r="A1500" s="1">
        <v>544885.0</v>
      </c>
      <c r="B1500" s="1" t="str">
        <f t="shared" si="1"/>
        <v>544885</v>
      </c>
      <c r="C1500" s="1" t="str">
        <f t="shared" si="2"/>
        <v>Sale</v>
      </c>
      <c r="D1500" s="1">
        <v>22788.0</v>
      </c>
      <c r="E1500" s="1" t="str">
        <f>IFERROR(__xludf.DUMMYFUNCTION("IF(LEN(D1500)&gt;4, IFERROR(REGEXEXTRACT(TO_TEXT(D1500),""\d+""),""""),"""")"),"22788")</f>
        <v>22788</v>
      </c>
      <c r="F1500" s="6" t="str">
        <f t="shared" si="3"/>
        <v>Product</v>
      </c>
      <c r="G1500" s="1" t="s">
        <v>941</v>
      </c>
      <c r="H1500" s="6" t="str">
        <f>IFERROR(__xludf.DUMMYFUNCTION("IF(REGEXMATCH(LOWER(G1500), ""^(\?)+\s*(missing)?\s*(\?)*$""), """", PROPER(SUBSTITUTE(SUBSTITUTE(G1500, ""?"", """"), ""*"", """")))"),"Brocante Coat Rack")</f>
        <v>Brocante Coat Rack</v>
      </c>
      <c r="I1500" s="3">
        <v>1.0</v>
      </c>
      <c r="J1500" s="7">
        <v>40598.48472222222</v>
      </c>
      <c r="K1500" s="8" t="str">
        <f t="shared" si="4"/>
        <v>2011-02</v>
      </c>
      <c r="L1500" s="5">
        <v>9.95</v>
      </c>
      <c r="M1500" s="3">
        <v>14243.0</v>
      </c>
      <c r="N1500" s="1" t="str">
        <f t="shared" si="5"/>
        <v>Registered</v>
      </c>
      <c r="O1500" s="1" t="s">
        <v>19</v>
      </c>
      <c r="P1500" s="9" t="str">
        <f t="shared" si="6"/>
        <v>UK</v>
      </c>
      <c r="Q1500" s="8">
        <f t="shared" si="7"/>
        <v>9.95</v>
      </c>
    </row>
    <row r="1501">
      <c r="A1501" s="1">
        <v>544885.0</v>
      </c>
      <c r="B1501" s="1" t="str">
        <f t="shared" si="1"/>
        <v>544885</v>
      </c>
      <c r="C1501" s="1" t="str">
        <f t="shared" si="2"/>
        <v>Sale</v>
      </c>
      <c r="D1501" s="1">
        <v>22829.0</v>
      </c>
      <c r="E1501" s="1" t="str">
        <f>IFERROR(__xludf.DUMMYFUNCTION("IF(LEN(D1501)&gt;4, IFERROR(REGEXEXTRACT(TO_TEXT(D1501),""\d+""),""""),"""")"),"22829")</f>
        <v>22829</v>
      </c>
      <c r="F1501" s="6" t="str">
        <f t="shared" si="3"/>
        <v>Product</v>
      </c>
      <c r="G1501" s="1" t="s">
        <v>526</v>
      </c>
      <c r="H1501" s="6" t="str">
        <f>IFERROR(__xludf.DUMMYFUNCTION("IF(REGEXMATCH(LOWER(G1501), ""^(\?)+\s*(missing)?\s*(\?)*$""), """", PROPER(SUBSTITUTE(SUBSTITUTE(G1501, ""?"", """"), ""*"", """")))"),"Sweetheart Wire Wall Tidy")</f>
        <v>Sweetheart Wire Wall Tidy</v>
      </c>
      <c r="I1501" s="3">
        <v>2.0</v>
      </c>
      <c r="J1501" s="7">
        <v>40598.48472222222</v>
      </c>
      <c r="K1501" s="8" t="str">
        <f t="shared" si="4"/>
        <v>2011-02</v>
      </c>
      <c r="L1501" s="5">
        <v>9.95</v>
      </c>
      <c r="M1501" s="3">
        <v>14243.0</v>
      </c>
      <c r="N1501" s="1" t="str">
        <f t="shared" si="5"/>
        <v>Registered</v>
      </c>
      <c r="O1501" s="1" t="s">
        <v>19</v>
      </c>
      <c r="P1501" s="9" t="str">
        <f t="shared" si="6"/>
        <v>UK</v>
      </c>
      <c r="Q1501" s="8">
        <f t="shared" si="7"/>
        <v>19.9</v>
      </c>
    </row>
    <row r="1502">
      <c r="A1502" s="1">
        <v>544885.0</v>
      </c>
      <c r="B1502" s="1" t="str">
        <f t="shared" si="1"/>
        <v>544885</v>
      </c>
      <c r="C1502" s="1" t="str">
        <f t="shared" si="2"/>
        <v>Sale</v>
      </c>
      <c r="D1502" s="1" t="s">
        <v>79</v>
      </c>
      <c r="E1502" s="1" t="str">
        <f>IFERROR(__xludf.DUMMYFUNCTION("IF(LEN(D1502)&gt;4, IFERROR(REGEXEXTRACT(TO_TEXT(D1502),""\d+""),""""),"""")"),"82494")</f>
        <v>82494</v>
      </c>
      <c r="F1502" s="6" t="str">
        <f t="shared" si="3"/>
        <v>Product</v>
      </c>
      <c r="G1502" s="1" t="s">
        <v>80</v>
      </c>
      <c r="H1502" s="6" t="str">
        <f>IFERROR(__xludf.DUMMYFUNCTION("IF(REGEXMATCH(LOWER(G1502), ""^(\?)+\s*(missing)?\s*(\?)*$""), """", PROPER(SUBSTITUTE(SUBSTITUTE(G1502, ""?"", """"), ""*"", """")))"),"Wooden Frame Antique White")</f>
        <v>Wooden Frame Antique White</v>
      </c>
      <c r="I1502" s="3">
        <v>6.0</v>
      </c>
      <c r="J1502" s="7">
        <v>40598.48472222222</v>
      </c>
      <c r="K1502" s="8" t="str">
        <f t="shared" si="4"/>
        <v>2011-02</v>
      </c>
      <c r="L1502" s="5">
        <v>2.95</v>
      </c>
      <c r="M1502" s="3">
        <v>14243.0</v>
      </c>
      <c r="N1502" s="1" t="str">
        <f t="shared" si="5"/>
        <v>Registered</v>
      </c>
      <c r="O1502" s="1" t="s">
        <v>19</v>
      </c>
      <c r="P1502" s="9" t="str">
        <f t="shared" si="6"/>
        <v>UK</v>
      </c>
      <c r="Q1502" s="8">
        <f t="shared" si="7"/>
        <v>17.7</v>
      </c>
    </row>
    <row r="1503">
      <c r="A1503" s="1">
        <v>544885.0</v>
      </c>
      <c r="B1503" s="1" t="str">
        <f t="shared" si="1"/>
        <v>544885</v>
      </c>
      <c r="C1503" s="1" t="str">
        <f t="shared" si="2"/>
        <v>Sale</v>
      </c>
      <c r="D1503" s="1" t="s">
        <v>942</v>
      </c>
      <c r="E1503" s="1" t="str">
        <f>IFERROR(__xludf.DUMMYFUNCTION("IF(LEN(D1503)&gt;4, IFERROR(REGEXEXTRACT(TO_TEXT(D1503),""\d+""),""""),"""")"),"85232")</f>
        <v>85232</v>
      </c>
      <c r="F1503" s="6" t="str">
        <f t="shared" si="3"/>
        <v>Product</v>
      </c>
      <c r="G1503" s="1" t="s">
        <v>943</v>
      </c>
      <c r="H1503" s="6" t="str">
        <f>IFERROR(__xludf.DUMMYFUNCTION("IF(REGEXMATCH(LOWER(G1503), ""^(\?)+\s*(missing)?\s*(\?)*$""), """", PROPER(SUBSTITUTE(SUBSTITUTE(G1503, ""?"", """"), ""*"", """")))"),"Set/3 Polkadot Stacking Tins")</f>
        <v>Set/3 Polkadot Stacking Tins</v>
      </c>
      <c r="I1503" s="3">
        <v>3.0</v>
      </c>
      <c r="J1503" s="7">
        <v>40598.48472222222</v>
      </c>
      <c r="K1503" s="8" t="str">
        <f t="shared" si="4"/>
        <v>2011-02</v>
      </c>
      <c r="L1503" s="5">
        <v>4.95</v>
      </c>
      <c r="M1503" s="3">
        <v>14243.0</v>
      </c>
      <c r="N1503" s="1" t="str">
        <f t="shared" si="5"/>
        <v>Registered</v>
      </c>
      <c r="O1503" s="1" t="s">
        <v>19</v>
      </c>
      <c r="P1503" s="9" t="str">
        <f t="shared" si="6"/>
        <v>UK</v>
      </c>
      <c r="Q1503" s="8">
        <f t="shared" si="7"/>
        <v>14.85</v>
      </c>
    </row>
    <row r="1504">
      <c r="A1504" s="1">
        <v>544885.0</v>
      </c>
      <c r="B1504" s="1" t="str">
        <f t="shared" si="1"/>
        <v>544885</v>
      </c>
      <c r="C1504" s="1" t="str">
        <f t="shared" si="2"/>
        <v>Sale</v>
      </c>
      <c r="D1504" s="1">
        <v>22469.0</v>
      </c>
      <c r="E1504" s="1" t="str">
        <f>IFERROR(__xludf.DUMMYFUNCTION("IF(LEN(D1504)&gt;4, IFERROR(REGEXEXTRACT(TO_TEXT(D1504),""\d+""),""""),"""")"),"22469")</f>
        <v>22469</v>
      </c>
      <c r="F1504" s="6" t="str">
        <f t="shared" si="3"/>
        <v>Product</v>
      </c>
      <c r="G1504" s="1" t="s">
        <v>167</v>
      </c>
      <c r="H1504" s="6" t="str">
        <f>IFERROR(__xludf.DUMMYFUNCTION("IF(REGEXMATCH(LOWER(G1504), ""^(\?)+\s*(missing)?\s*(\?)*$""), """", PROPER(SUBSTITUTE(SUBSTITUTE(G1504, ""?"", """"), ""*"", """")))"),"Heart Of Wicker Small")</f>
        <v>Heart Of Wicker Small</v>
      </c>
      <c r="I1504" s="3">
        <v>12.0</v>
      </c>
      <c r="J1504" s="7">
        <v>40598.48472222222</v>
      </c>
      <c r="K1504" s="8" t="str">
        <f t="shared" si="4"/>
        <v>2011-02</v>
      </c>
      <c r="L1504" s="5">
        <v>1.65</v>
      </c>
      <c r="M1504" s="3">
        <v>14243.0</v>
      </c>
      <c r="N1504" s="1" t="str">
        <f t="shared" si="5"/>
        <v>Registered</v>
      </c>
      <c r="O1504" s="1" t="s">
        <v>19</v>
      </c>
      <c r="P1504" s="9" t="str">
        <f t="shared" si="6"/>
        <v>UK</v>
      </c>
      <c r="Q1504" s="8">
        <f t="shared" si="7"/>
        <v>19.8</v>
      </c>
    </row>
    <row r="1505">
      <c r="A1505" s="1">
        <v>544885.0</v>
      </c>
      <c r="B1505" s="1" t="str">
        <f t="shared" si="1"/>
        <v>544885</v>
      </c>
      <c r="C1505" s="1" t="str">
        <f t="shared" si="2"/>
        <v>Sale</v>
      </c>
      <c r="D1505" s="1">
        <v>21870.0</v>
      </c>
      <c r="E1505" s="1" t="str">
        <f>IFERROR(__xludf.DUMMYFUNCTION("IF(LEN(D1505)&gt;4, IFERROR(REGEXEXTRACT(TO_TEXT(D1505),""\d+""),""""),"""")"),"21870")</f>
        <v>21870</v>
      </c>
      <c r="F1505" s="6" t="str">
        <f t="shared" si="3"/>
        <v>Product</v>
      </c>
      <c r="G1505" s="1" t="s">
        <v>944</v>
      </c>
      <c r="H1505" s="6" t="str">
        <f>IFERROR(__xludf.DUMMYFUNCTION("IF(REGEXMATCH(LOWER(G1505), ""^(\?)+\s*(missing)?\s*(\?)*$""), """", PROPER(SUBSTITUTE(SUBSTITUTE(G1505, ""?"", """"), ""*"", """")))"),"I Can Only Please One Person Mug")</f>
        <v>I Can Only Please One Person Mug</v>
      </c>
      <c r="I1505" s="3">
        <v>12.0</v>
      </c>
      <c r="J1505" s="7">
        <v>40598.48472222222</v>
      </c>
      <c r="K1505" s="8" t="str">
        <f t="shared" si="4"/>
        <v>2011-02</v>
      </c>
      <c r="L1505" s="5">
        <v>1.25</v>
      </c>
      <c r="M1505" s="3">
        <v>14243.0</v>
      </c>
      <c r="N1505" s="1" t="str">
        <f t="shared" si="5"/>
        <v>Registered</v>
      </c>
      <c r="O1505" s="1" t="s">
        <v>19</v>
      </c>
      <c r="P1505" s="9" t="str">
        <f t="shared" si="6"/>
        <v>UK</v>
      </c>
      <c r="Q1505" s="8">
        <f t="shared" si="7"/>
        <v>15</v>
      </c>
    </row>
    <row r="1506">
      <c r="A1506" s="1">
        <v>544885.0</v>
      </c>
      <c r="B1506" s="1" t="str">
        <f t="shared" si="1"/>
        <v>544885</v>
      </c>
      <c r="C1506" s="1" t="str">
        <f t="shared" si="2"/>
        <v>Sale</v>
      </c>
      <c r="D1506" s="1" t="s">
        <v>945</v>
      </c>
      <c r="E1506" s="1" t="str">
        <f>IFERROR(__xludf.DUMMYFUNCTION("IF(LEN(D1506)&gt;4, IFERROR(REGEXEXTRACT(TO_TEXT(D1506),""\d+""),""""),"""")"),"18097")</f>
        <v>18097</v>
      </c>
      <c r="F1506" s="6" t="str">
        <f t="shared" si="3"/>
        <v>Product</v>
      </c>
      <c r="G1506" s="1" t="s">
        <v>946</v>
      </c>
      <c r="H1506" s="6" t="str">
        <f>IFERROR(__xludf.DUMMYFUNCTION("IF(REGEXMATCH(LOWER(G1506), ""^(\?)+\s*(missing)?\s*(\?)*$""), """", PROPER(SUBSTITUTE(SUBSTITUTE(G1506, ""?"", """"), ""*"", """")))"),"White Tall Porcelain T-Light Holder")</f>
        <v>White Tall Porcelain T-Light Holder</v>
      </c>
      <c r="I1506" s="3">
        <v>6.0</v>
      </c>
      <c r="J1506" s="7">
        <v>40598.48472222222</v>
      </c>
      <c r="K1506" s="8" t="str">
        <f t="shared" si="4"/>
        <v>2011-02</v>
      </c>
      <c r="L1506" s="5">
        <v>2.55</v>
      </c>
      <c r="M1506" s="3">
        <v>14243.0</v>
      </c>
      <c r="N1506" s="1" t="str">
        <f t="shared" si="5"/>
        <v>Registered</v>
      </c>
      <c r="O1506" s="1" t="s">
        <v>19</v>
      </c>
      <c r="P1506" s="9" t="str">
        <f t="shared" si="6"/>
        <v>UK</v>
      </c>
      <c r="Q1506" s="8">
        <f t="shared" si="7"/>
        <v>15.3</v>
      </c>
    </row>
    <row r="1507">
      <c r="A1507" s="1">
        <v>544885.0</v>
      </c>
      <c r="B1507" s="1" t="str">
        <f t="shared" si="1"/>
        <v>544885</v>
      </c>
      <c r="C1507" s="1" t="str">
        <f t="shared" si="2"/>
        <v>Sale</v>
      </c>
      <c r="D1507" s="1">
        <v>22139.0</v>
      </c>
      <c r="E1507" s="1" t="str">
        <f>IFERROR(__xludf.DUMMYFUNCTION("IF(LEN(D1507)&gt;4, IFERROR(REGEXEXTRACT(TO_TEXT(D1507),""\d+""),""""),"""")"),"22139")</f>
        <v>22139</v>
      </c>
      <c r="F1507" s="6" t="str">
        <f t="shared" si="3"/>
        <v>Product</v>
      </c>
      <c r="G1507" s="1" t="s">
        <v>110</v>
      </c>
      <c r="H1507" s="6" t="str">
        <f>IFERROR(__xludf.DUMMYFUNCTION("IF(REGEXMATCH(LOWER(G1507), ""^(\?)+\s*(missing)?\s*(\?)*$""), """", PROPER(SUBSTITUTE(SUBSTITUTE(G1507, ""?"", """"), ""*"", """")))"),"Retrospot Tea Set Ceramic 11 Pc")</f>
        <v>Retrospot Tea Set Ceramic 11 Pc</v>
      </c>
      <c r="I1507" s="3">
        <v>3.0</v>
      </c>
      <c r="J1507" s="7">
        <v>40598.48472222222</v>
      </c>
      <c r="K1507" s="8" t="str">
        <f t="shared" si="4"/>
        <v>2011-02</v>
      </c>
      <c r="L1507" s="5">
        <v>4.95</v>
      </c>
      <c r="M1507" s="3">
        <v>14243.0</v>
      </c>
      <c r="N1507" s="1" t="str">
        <f t="shared" si="5"/>
        <v>Registered</v>
      </c>
      <c r="O1507" s="1" t="s">
        <v>19</v>
      </c>
      <c r="P1507" s="9" t="str">
        <f t="shared" si="6"/>
        <v>UK</v>
      </c>
      <c r="Q1507" s="8">
        <f t="shared" si="7"/>
        <v>14.85</v>
      </c>
    </row>
    <row r="1508">
      <c r="A1508" s="1">
        <v>544885.0</v>
      </c>
      <c r="B1508" s="1" t="str">
        <f t="shared" si="1"/>
        <v>544885</v>
      </c>
      <c r="C1508" s="1" t="str">
        <f t="shared" si="2"/>
        <v>Sale</v>
      </c>
      <c r="D1508" s="1">
        <v>22832.0</v>
      </c>
      <c r="E1508" s="1" t="str">
        <f>IFERROR(__xludf.DUMMYFUNCTION("IF(LEN(D1508)&gt;4, IFERROR(REGEXEXTRACT(TO_TEXT(D1508),""\d+""),""""),"""")"),"22832")</f>
        <v>22832</v>
      </c>
      <c r="F1508" s="6" t="str">
        <f t="shared" si="3"/>
        <v>Product</v>
      </c>
      <c r="G1508" s="1" t="s">
        <v>947</v>
      </c>
      <c r="H1508" s="6" t="str">
        <f>IFERROR(__xludf.DUMMYFUNCTION("IF(REGEXMATCH(LOWER(G1508), ""^(\?)+\s*(missing)?\s*(\?)*$""), """", PROPER(SUBSTITUTE(SUBSTITUTE(G1508, ""?"", """"), ""*"", """")))"),"Brocante Shelf With Hooks")</f>
        <v>Brocante Shelf With Hooks</v>
      </c>
      <c r="I1508" s="3">
        <v>2.0</v>
      </c>
      <c r="J1508" s="7">
        <v>40598.48472222222</v>
      </c>
      <c r="K1508" s="8" t="str">
        <f t="shared" si="4"/>
        <v>2011-02</v>
      </c>
      <c r="L1508" s="5">
        <v>10.75</v>
      </c>
      <c r="M1508" s="3">
        <v>14243.0</v>
      </c>
      <c r="N1508" s="1" t="str">
        <f t="shared" si="5"/>
        <v>Registered</v>
      </c>
      <c r="O1508" s="1" t="s">
        <v>19</v>
      </c>
      <c r="P1508" s="9" t="str">
        <f t="shared" si="6"/>
        <v>UK</v>
      </c>
      <c r="Q1508" s="8">
        <f t="shared" si="7"/>
        <v>21.5</v>
      </c>
    </row>
    <row r="1509">
      <c r="A1509" s="1">
        <v>544885.0</v>
      </c>
      <c r="B1509" s="1" t="str">
        <f t="shared" si="1"/>
        <v>544885</v>
      </c>
      <c r="C1509" s="1" t="str">
        <f t="shared" si="2"/>
        <v>Sale</v>
      </c>
      <c r="D1509" s="1">
        <v>37495.0</v>
      </c>
      <c r="E1509" s="1" t="str">
        <f>IFERROR(__xludf.DUMMYFUNCTION("IF(LEN(D1509)&gt;4, IFERROR(REGEXEXTRACT(TO_TEXT(D1509),""\d+""),""""),"""")"),"37495")</f>
        <v>37495</v>
      </c>
      <c r="F1509" s="6" t="str">
        <f t="shared" si="3"/>
        <v>Product</v>
      </c>
      <c r="G1509" s="1" t="s">
        <v>948</v>
      </c>
      <c r="H1509" s="6" t="str">
        <f>IFERROR(__xludf.DUMMYFUNCTION("IF(REGEXMATCH(LOWER(G1509), ""^(\?)+\s*(missing)?\s*(\?)*$""), """", PROPER(SUBSTITUTE(SUBSTITUTE(G1509, ""?"", """"), ""*"", """")))"),"Fairy Cake Birthday Candle Set")</f>
        <v>Fairy Cake Birthday Candle Set</v>
      </c>
      <c r="I1509" s="3">
        <v>4.0</v>
      </c>
      <c r="J1509" s="7">
        <v>40598.48472222222</v>
      </c>
      <c r="K1509" s="8" t="str">
        <f t="shared" si="4"/>
        <v>2011-02</v>
      </c>
      <c r="L1509" s="5">
        <v>3.75</v>
      </c>
      <c r="M1509" s="3">
        <v>14243.0</v>
      </c>
      <c r="N1509" s="1" t="str">
        <f t="shared" si="5"/>
        <v>Registered</v>
      </c>
      <c r="O1509" s="1" t="s">
        <v>19</v>
      </c>
      <c r="P1509" s="9" t="str">
        <f t="shared" si="6"/>
        <v>UK</v>
      </c>
      <c r="Q1509" s="8">
        <f t="shared" si="7"/>
        <v>15</v>
      </c>
    </row>
    <row r="1510">
      <c r="A1510" s="1">
        <v>544885.0</v>
      </c>
      <c r="B1510" s="1" t="str">
        <f t="shared" si="1"/>
        <v>544885</v>
      </c>
      <c r="C1510" s="1" t="str">
        <f t="shared" si="2"/>
        <v>Sale</v>
      </c>
      <c r="D1510" s="1">
        <v>22938.0</v>
      </c>
      <c r="E1510" s="1" t="str">
        <f>IFERROR(__xludf.DUMMYFUNCTION("IF(LEN(D1510)&gt;4, IFERROR(REGEXEXTRACT(TO_TEXT(D1510),""\d+""),""""),"""")"),"22938")</f>
        <v>22938</v>
      </c>
      <c r="F1510" s="6" t="str">
        <f t="shared" si="3"/>
        <v>Product</v>
      </c>
      <c r="G1510" s="1" t="s">
        <v>509</v>
      </c>
      <c r="H1510" s="6" t="str">
        <f>IFERROR(__xludf.DUMMYFUNCTION("IF(REGEXMATCH(LOWER(G1510), ""^(\?)+\s*(missing)?\s*(\?)*$""), """", PROPER(SUBSTITUTE(SUBSTITUTE(G1510, ""?"", """"), ""*"", """")))"),"Cupcake Lace Paper Set 6")</f>
        <v>Cupcake Lace Paper Set 6</v>
      </c>
      <c r="I1510" s="3">
        <v>12.0</v>
      </c>
      <c r="J1510" s="7">
        <v>40598.48472222222</v>
      </c>
      <c r="K1510" s="8" t="str">
        <f t="shared" si="4"/>
        <v>2011-02</v>
      </c>
      <c r="L1510" s="5">
        <v>1.95</v>
      </c>
      <c r="M1510" s="3">
        <v>14243.0</v>
      </c>
      <c r="N1510" s="1" t="str">
        <f t="shared" si="5"/>
        <v>Registered</v>
      </c>
      <c r="O1510" s="1" t="s">
        <v>19</v>
      </c>
      <c r="P1510" s="9" t="str">
        <f t="shared" si="6"/>
        <v>UK</v>
      </c>
      <c r="Q1510" s="8">
        <f t="shared" si="7"/>
        <v>23.4</v>
      </c>
    </row>
    <row r="1511">
      <c r="A1511" s="1">
        <v>544885.0</v>
      </c>
      <c r="B1511" s="1" t="str">
        <f t="shared" si="1"/>
        <v>544885</v>
      </c>
      <c r="C1511" s="1" t="str">
        <f t="shared" si="2"/>
        <v>Sale</v>
      </c>
      <c r="D1511" s="1">
        <v>21217.0</v>
      </c>
      <c r="E1511" s="1" t="str">
        <f>IFERROR(__xludf.DUMMYFUNCTION("IF(LEN(D1511)&gt;4, IFERROR(REGEXEXTRACT(TO_TEXT(D1511),""\d+""),""""),"""")"),"21217")</f>
        <v>21217</v>
      </c>
      <c r="F1511" s="6" t="str">
        <f t="shared" si="3"/>
        <v>Product</v>
      </c>
      <c r="G1511" s="1" t="s">
        <v>818</v>
      </c>
      <c r="H1511" s="6" t="str">
        <f>IFERROR(__xludf.DUMMYFUNCTION("IF(REGEXMATCH(LOWER(G1511), ""^(\?)+\s*(missing)?\s*(\?)*$""), """", PROPER(SUBSTITUTE(SUBSTITUTE(G1511, ""?"", """"), ""*"", """")))"),"Red Retrospot Round Cake Tins")</f>
        <v>Red Retrospot Round Cake Tins</v>
      </c>
      <c r="I1511" s="3">
        <v>1.0</v>
      </c>
      <c r="J1511" s="7">
        <v>40598.48472222222</v>
      </c>
      <c r="K1511" s="8" t="str">
        <f t="shared" si="4"/>
        <v>2011-02</v>
      </c>
      <c r="L1511" s="5">
        <v>9.95</v>
      </c>
      <c r="M1511" s="3">
        <v>14243.0</v>
      </c>
      <c r="N1511" s="1" t="str">
        <f t="shared" si="5"/>
        <v>Registered</v>
      </c>
      <c r="O1511" s="1" t="s">
        <v>19</v>
      </c>
      <c r="P1511" s="9" t="str">
        <f t="shared" si="6"/>
        <v>UK</v>
      </c>
      <c r="Q1511" s="8">
        <f t="shared" si="7"/>
        <v>9.95</v>
      </c>
    </row>
    <row r="1512">
      <c r="A1512" s="1">
        <v>544885.0</v>
      </c>
      <c r="B1512" s="1" t="str">
        <f t="shared" si="1"/>
        <v>544885</v>
      </c>
      <c r="C1512" s="1" t="str">
        <f t="shared" si="2"/>
        <v>Sale</v>
      </c>
      <c r="D1512" s="1">
        <v>22424.0</v>
      </c>
      <c r="E1512" s="1" t="str">
        <f>IFERROR(__xludf.DUMMYFUNCTION("IF(LEN(D1512)&gt;4, IFERROR(REGEXEXTRACT(TO_TEXT(D1512),""\d+""),""""),"""")"),"22424")</f>
        <v>22424</v>
      </c>
      <c r="F1512" s="6" t="str">
        <f t="shared" si="3"/>
        <v>Product</v>
      </c>
      <c r="G1512" s="1" t="s">
        <v>174</v>
      </c>
      <c r="H1512" s="6" t="str">
        <f>IFERROR(__xludf.DUMMYFUNCTION("IF(REGEXMATCH(LOWER(G1512), ""^(\?)+\s*(missing)?\s*(\?)*$""), """", PROPER(SUBSTITUTE(SUBSTITUTE(G1512, ""?"", """"), ""*"", """")))"),"Enamel Bread Bin Cream")</f>
        <v>Enamel Bread Bin Cream</v>
      </c>
      <c r="I1512" s="3">
        <v>1.0</v>
      </c>
      <c r="J1512" s="7">
        <v>40598.48472222222</v>
      </c>
      <c r="K1512" s="8" t="str">
        <f t="shared" si="4"/>
        <v>2011-02</v>
      </c>
      <c r="L1512" s="5">
        <v>12.75</v>
      </c>
      <c r="M1512" s="3">
        <v>14243.0</v>
      </c>
      <c r="N1512" s="1" t="str">
        <f t="shared" si="5"/>
        <v>Registered</v>
      </c>
      <c r="O1512" s="1" t="s">
        <v>19</v>
      </c>
      <c r="P1512" s="9" t="str">
        <f t="shared" si="6"/>
        <v>UK</v>
      </c>
      <c r="Q1512" s="8">
        <f t="shared" si="7"/>
        <v>12.75</v>
      </c>
    </row>
    <row r="1513">
      <c r="A1513" s="1">
        <v>544885.0</v>
      </c>
      <c r="B1513" s="1" t="str">
        <f t="shared" si="1"/>
        <v>544885</v>
      </c>
      <c r="C1513" s="1" t="str">
        <f t="shared" si="2"/>
        <v>Sale</v>
      </c>
      <c r="D1513" s="1">
        <v>22508.0</v>
      </c>
      <c r="E1513" s="1" t="str">
        <f>IFERROR(__xludf.DUMMYFUNCTION("IF(LEN(D1513)&gt;4, IFERROR(REGEXEXTRACT(TO_TEXT(D1513),""\d+""),""""),"""")"),"22508")</f>
        <v>22508</v>
      </c>
      <c r="F1513" s="6" t="str">
        <f t="shared" si="3"/>
        <v>Product</v>
      </c>
      <c r="G1513" s="1" t="s">
        <v>524</v>
      </c>
      <c r="H1513" s="6" t="str">
        <f>IFERROR(__xludf.DUMMYFUNCTION("IF(REGEXMATCH(LOWER(G1513), ""^(\?)+\s*(missing)?\s*(\?)*$""), """", PROPER(SUBSTITUTE(SUBSTITUTE(G1513, ""?"", """"), ""*"", """")))"),"Doorstop Retrospot Heart")</f>
        <v>Doorstop Retrospot Heart</v>
      </c>
      <c r="I1513" s="3">
        <v>4.0</v>
      </c>
      <c r="J1513" s="7">
        <v>40598.48472222222</v>
      </c>
      <c r="K1513" s="8" t="str">
        <f t="shared" si="4"/>
        <v>2011-02</v>
      </c>
      <c r="L1513" s="5">
        <v>3.75</v>
      </c>
      <c r="M1513" s="3">
        <v>14243.0</v>
      </c>
      <c r="N1513" s="1" t="str">
        <f t="shared" si="5"/>
        <v>Registered</v>
      </c>
      <c r="O1513" s="1" t="s">
        <v>19</v>
      </c>
      <c r="P1513" s="9" t="str">
        <f t="shared" si="6"/>
        <v>UK</v>
      </c>
      <c r="Q1513" s="8">
        <f t="shared" si="7"/>
        <v>15</v>
      </c>
    </row>
    <row r="1514">
      <c r="A1514" s="1">
        <v>544885.0</v>
      </c>
      <c r="B1514" s="1" t="str">
        <f t="shared" si="1"/>
        <v>544885</v>
      </c>
      <c r="C1514" s="1" t="str">
        <f t="shared" si="2"/>
        <v>Sale</v>
      </c>
      <c r="D1514" s="1">
        <v>21527.0</v>
      </c>
      <c r="E1514" s="1" t="str">
        <f>IFERROR(__xludf.DUMMYFUNCTION("IF(LEN(D1514)&gt;4, IFERROR(REGEXEXTRACT(TO_TEXT(D1514),""\d+""),""""),"""")"),"21527")</f>
        <v>21527</v>
      </c>
      <c r="F1514" s="6" t="str">
        <f t="shared" si="3"/>
        <v>Product</v>
      </c>
      <c r="G1514" s="1" t="s">
        <v>949</v>
      </c>
      <c r="H1514" s="6" t="str">
        <f>IFERROR(__xludf.DUMMYFUNCTION("IF(REGEXMATCH(LOWER(G1514), ""^(\?)+\s*(missing)?\s*(\?)*$""), """", PROPER(SUBSTITUTE(SUBSTITUTE(G1514, ""?"", """"), ""*"", """")))"),"Red Retrospot Traditional Teapot")</f>
        <v>Red Retrospot Traditional Teapot</v>
      </c>
      <c r="I1514" s="3">
        <v>2.0</v>
      </c>
      <c r="J1514" s="7">
        <v>40598.48472222222</v>
      </c>
      <c r="K1514" s="8" t="str">
        <f t="shared" si="4"/>
        <v>2011-02</v>
      </c>
      <c r="L1514" s="5">
        <v>7.95</v>
      </c>
      <c r="M1514" s="3">
        <v>14243.0</v>
      </c>
      <c r="N1514" s="1" t="str">
        <f t="shared" si="5"/>
        <v>Registered</v>
      </c>
      <c r="O1514" s="1" t="s">
        <v>19</v>
      </c>
      <c r="P1514" s="9" t="str">
        <f t="shared" si="6"/>
        <v>UK</v>
      </c>
      <c r="Q1514" s="8">
        <f t="shared" si="7"/>
        <v>15.9</v>
      </c>
    </row>
    <row r="1515">
      <c r="A1515" s="1">
        <v>544885.0</v>
      </c>
      <c r="B1515" s="1" t="str">
        <f t="shared" si="1"/>
        <v>544885</v>
      </c>
      <c r="C1515" s="1" t="str">
        <f t="shared" si="2"/>
        <v>Sale</v>
      </c>
      <c r="D1515" s="1">
        <v>21531.0</v>
      </c>
      <c r="E1515" s="1" t="str">
        <f>IFERROR(__xludf.DUMMYFUNCTION("IF(LEN(D1515)&gt;4, IFERROR(REGEXEXTRACT(TO_TEXT(D1515),""\d+""),""""),"""")"),"21531")</f>
        <v>21531</v>
      </c>
      <c r="F1515" s="6" t="str">
        <f t="shared" si="3"/>
        <v>Product</v>
      </c>
      <c r="G1515" s="1" t="s">
        <v>950</v>
      </c>
      <c r="H1515" s="6" t="str">
        <f>IFERROR(__xludf.DUMMYFUNCTION("IF(REGEXMATCH(LOWER(G1515), ""^(\?)+\s*(missing)?\s*(\?)*$""), """", PROPER(SUBSTITUTE(SUBSTITUTE(G1515, ""?"", """"), ""*"", """")))"),"Red Retrospot Sugar Jam Bowl")</f>
        <v>Red Retrospot Sugar Jam Bowl</v>
      </c>
      <c r="I1515" s="3">
        <v>6.0</v>
      </c>
      <c r="J1515" s="7">
        <v>40598.48472222222</v>
      </c>
      <c r="K1515" s="8" t="str">
        <f t="shared" si="4"/>
        <v>2011-02</v>
      </c>
      <c r="L1515" s="5">
        <v>2.55</v>
      </c>
      <c r="M1515" s="3">
        <v>14243.0</v>
      </c>
      <c r="N1515" s="1" t="str">
        <f t="shared" si="5"/>
        <v>Registered</v>
      </c>
      <c r="O1515" s="1" t="s">
        <v>19</v>
      </c>
      <c r="P1515" s="9" t="str">
        <f t="shared" si="6"/>
        <v>UK</v>
      </c>
      <c r="Q1515" s="8">
        <f t="shared" si="7"/>
        <v>15.3</v>
      </c>
    </row>
    <row r="1516">
      <c r="A1516" s="1">
        <v>544885.0</v>
      </c>
      <c r="B1516" s="1" t="str">
        <f t="shared" si="1"/>
        <v>544885</v>
      </c>
      <c r="C1516" s="1" t="str">
        <f t="shared" si="2"/>
        <v>Sale</v>
      </c>
      <c r="D1516" s="1" t="s">
        <v>888</v>
      </c>
      <c r="E1516" s="1" t="str">
        <f>IFERROR(__xludf.DUMMYFUNCTION("IF(LEN(D1516)&gt;4, IFERROR(REGEXEXTRACT(TO_TEXT(D1516),""\d+""),""""),"""")"),"17107")</f>
        <v>17107</v>
      </c>
      <c r="F1516" s="6" t="str">
        <f t="shared" si="3"/>
        <v>Product</v>
      </c>
      <c r="G1516" s="1" t="s">
        <v>889</v>
      </c>
      <c r="H1516" s="6" t="str">
        <f>IFERROR(__xludf.DUMMYFUNCTION("IF(REGEXMATCH(LOWER(G1516), ""^(\?)+\s*(missing)?\s*(\?)*$""), """", PROPER(SUBSTITUTE(SUBSTITUTE(G1516, ""?"", """"), ""*"", """")))"),"Flower Fairy,5 Summer B'Draw Liners")</f>
        <v>Flower Fairy,5 Summer B'Draw Liners</v>
      </c>
      <c r="I1516" s="3">
        <v>6.0</v>
      </c>
      <c r="J1516" s="7">
        <v>40598.48472222222</v>
      </c>
      <c r="K1516" s="8" t="str">
        <f t="shared" si="4"/>
        <v>2011-02</v>
      </c>
      <c r="L1516" s="5">
        <v>2.55</v>
      </c>
      <c r="M1516" s="3">
        <v>14243.0</v>
      </c>
      <c r="N1516" s="1" t="str">
        <f t="shared" si="5"/>
        <v>Registered</v>
      </c>
      <c r="O1516" s="1" t="s">
        <v>19</v>
      </c>
      <c r="P1516" s="9" t="str">
        <f t="shared" si="6"/>
        <v>UK</v>
      </c>
      <c r="Q1516" s="8">
        <f t="shared" si="7"/>
        <v>15.3</v>
      </c>
    </row>
    <row r="1517">
      <c r="A1517" s="1">
        <v>544885.0</v>
      </c>
      <c r="B1517" s="1" t="str">
        <f t="shared" si="1"/>
        <v>544885</v>
      </c>
      <c r="C1517" s="1" t="str">
        <f t="shared" si="2"/>
        <v>Sale</v>
      </c>
      <c r="D1517" s="1">
        <v>22766.0</v>
      </c>
      <c r="E1517" s="1" t="str">
        <f>IFERROR(__xludf.DUMMYFUNCTION("IF(LEN(D1517)&gt;4, IFERROR(REGEXEXTRACT(TO_TEXT(D1517),""\d+""),""""),"""")"),"22766")</f>
        <v>22766</v>
      </c>
      <c r="F1517" s="6" t="str">
        <f t="shared" si="3"/>
        <v>Product</v>
      </c>
      <c r="G1517" s="1" t="s">
        <v>274</v>
      </c>
      <c r="H1517" s="6" t="str">
        <f>IFERROR(__xludf.DUMMYFUNCTION("IF(REGEXMATCH(LOWER(G1517), ""^(\?)+\s*(missing)?\s*(\?)*$""), """", PROPER(SUBSTITUTE(SUBSTITUTE(G1517, ""?"", """"), ""*"", """")))"),"Photo Frame Cornice")</f>
        <v>Photo Frame Cornice</v>
      </c>
      <c r="I1517" s="3">
        <v>8.0</v>
      </c>
      <c r="J1517" s="7">
        <v>40598.48472222222</v>
      </c>
      <c r="K1517" s="8" t="str">
        <f t="shared" si="4"/>
        <v>2011-02</v>
      </c>
      <c r="L1517" s="5">
        <v>2.95</v>
      </c>
      <c r="M1517" s="3">
        <v>14243.0</v>
      </c>
      <c r="N1517" s="1" t="str">
        <f t="shared" si="5"/>
        <v>Registered</v>
      </c>
      <c r="O1517" s="1" t="s">
        <v>19</v>
      </c>
      <c r="P1517" s="9" t="str">
        <f t="shared" si="6"/>
        <v>UK</v>
      </c>
      <c r="Q1517" s="8">
        <f t="shared" si="7"/>
        <v>23.6</v>
      </c>
    </row>
    <row r="1518">
      <c r="A1518" s="1">
        <v>544886.0</v>
      </c>
      <c r="B1518" s="1" t="str">
        <f t="shared" si="1"/>
        <v>544886</v>
      </c>
      <c r="C1518" s="1" t="str">
        <f t="shared" si="2"/>
        <v>Sale</v>
      </c>
      <c r="D1518" s="1">
        <v>21238.0</v>
      </c>
      <c r="E1518" s="1" t="str">
        <f>IFERROR(__xludf.DUMMYFUNCTION("IF(LEN(D1518)&gt;4, IFERROR(REGEXEXTRACT(TO_TEXT(D1518),""\d+""),""""),"""")"),"21238")</f>
        <v>21238</v>
      </c>
      <c r="F1518" s="6" t="str">
        <f t="shared" si="3"/>
        <v>Product</v>
      </c>
      <c r="G1518" s="1" t="s">
        <v>951</v>
      </c>
      <c r="H1518" s="6" t="str">
        <f>IFERROR(__xludf.DUMMYFUNCTION("IF(REGEXMATCH(LOWER(G1518), ""^(\?)+\s*(missing)?\s*(\?)*$""), """", PROPER(SUBSTITUTE(SUBSTITUTE(G1518, ""?"", """"), ""*"", """")))"),"Red Retrospot Cup")</f>
        <v>Red Retrospot Cup</v>
      </c>
      <c r="I1518" s="3">
        <v>16.0</v>
      </c>
      <c r="J1518" s="7">
        <v>40598.4875</v>
      </c>
      <c r="K1518" s="8" t="str">
        <f t="shared" si="4"/>
        <v>2011-02</v>
      </c>
      <c r="L1518" s="5">
        <v>0.85</v>
      </c>
      <c r="M1518" s="3">
        <v>12582.0</v>
      </c>
      <c r="N1518" s="1" t="str">
        <f t="shared" si="5"/>
        <v>Registered</v>
      </c>
      <c r="O1518" s="1" t="s">
        <v>952</v>
      </c>
      <c r="P1518" s="9" t="str">
        <f t="shared" si="6"/>
        <v>International</v>
      </c>
      <c r="Q1518" s="8">
        <f t="shared" si="7"/>
        <v>13.6</v>
      </c>
    </row>
    <row r="1519">
      <c r="A1519" s="1">
        <v>544886.0</v>
      </c>
      <c r="B1519" s="1" t="str">
        <f t="shared" si="1"/>
        <v>544886</v>
      </c>
      <c r="C1519" s="1" t="str">
        <f t="shared" si="2"/>
        <v>Sale</v>
      </c>
      <c r="D1519" s="1">
        <v>21239.0</v>
      </c>
      <c r="E1519" s="1" t="str">
        <f>IFERROR(__xludf.DUMMYFUNCTION("IF(LEN(D1519)&gt;4, IFERROR(REGEXEXTRACT(TO_TEXT(D1519),""\d+""),""""),"""")"),"21239")</f>
        <v>21239</v>
      </c>
      <c r="F1519" s="6" t="str">
        <f t="shared" si="3"/>
        <v>Product</v>
      </c>
      <c r="G1519" s="1" t="s">
        <v>953</v>
      </c>
      <c r="H1519" s="6" t="str">
        <f>IFERROR(__xludf.DUMMYFUNCTION("IF(REGEXMATCH(LOWER(G1519), ""^(\?)+\s*(missing)?\s*(\?)*$""), """", PROPER(SUBSTITUTE(SUBSTITUTE(G1519, ""?"", """"), ""*"", """")))"),"Pink Polkadot Cup")</f>
        <v>Pink Polkadot Cup</v>
      </c>
      <c r="I1519" s="3">
        <v>16.0</v>
      </c>
      <c r="J1519" s="7">
        <v>40598.4875</v>
      </c>
      <c r="K1519" s="8" t="str">
        <f t="shared" si="4"/>
        <v>2011-02</v>
      </c>
      <c r="L1519" s="5">
        <v>0.85</v>
      </c>
      <c r="M1519" s="3">
        <v>12582.0</v>
      </c>
      <c r="N1519" s="1" t="str">
        <f t="shared" si="5"/>
        <v>Registered</v>
      </c>
      <c r="O1519" s="1" t="s">
        <v>952</v>
      </c>
      <c r="P1519" s="9" t="str">
        <f t="shared" si="6"/>
        <v>International</v>
      </c>
      <c r="Q1519" s="8">
        <f t="shared" si="7"/>
        <v>13.6</v>
      </c>
    </row>
    <row r="1520">
      <c r="A1520" s="1">
        <v>544886.0</v>
      </c>
      <c r="B1520" s="1" t="str">
        <f t="shared" si="1"/>
        <v>544886</v>
      </c>
      <c r="C1520" s="1" t="str">
        <f t="shared" si="2"/>
        <v>Sale</v>
      </c>
      <c r="D1520" s="1">
        <v>21240.0</v>
      </c>
      <c r="E1520" s="1" t="str">
        <f>IFERROR(__xludf.DUMMYFUNCTION("IF(LEN(D1520)&gt;4, IFERROR(REGEXEXTRACT(TO_TEXT(D1520),""\d+""),""""),"""")"),"21240")</f>
        <v>21240</v>
      </c>
      <c r="F1520" s="6" t="str">
        <f t="shared" si="3"/>
        <v>Product</v>
      </c>
      <c r="G1520" s="1" t="s">
        <v>954</v>
      </c>
      <c r="H1520" s="6" t="str">
        <f>IFERROR(__xludf.DUMMYFUNCTION("IF(REGEXMATCH(LOWER(G1520), ""^(\?)+\s*(missing)?\s*(\?)*$""), """", PROPER(SUBSTITUTE(SUBSTITUTE(G1520, ""?"", """"), ""*"", """")))"),"Blue Polkadot Cup")</f>
        <v>Blue Polkadot Cup</v>
      </c>
      <c r="I1520" s="3">
        <v>16.0</v>
      </c>
      <c r="J1520" s="7">
        <v>40598.4875</v>
      </c>
      <c r="K1520" s="8" t="str">
        <f t="shared" si="4"/>
        <v>2011-02</v>
      </c>
      <c r="L1520" s="5">
        <v>0.85</v>
      </c>
      <c r="M1520" s="3">
        <v>12582.0</v>
      </c>
      <c r="N1520" s="1" t="str">
        <f t="shared" si="5"/>
        <v>Registered</v>
      </c>
      <c r="O1520" s="1" t="s">
        <v>952</v>
      </c>
      <c r="P1520" s="9" t="str">
        <f t="shared" si="6"/>
        <v>International</v>
      </c>
      <c r="Q1520" s="8">
        <f t="shared" si="7"/>
        <v>13.6</v>
      </c>
    </row>
    <row r="1521">
      <c r="A1521" s="1">
        <v>544886.0</v>
      </c>
      <c r="B1521" s="1" t="str">
        <f t="shared" si="1"/>
        <v>544886</v>
      </c>
      <c r="C1521" s="1" t="str">
        <f t="shared" si="2"/>
        <v>Sale</v>
      </c>
      <c r="D1521" s="1">
        <v>21242.0</v>
      </c>
      <c r="E1521" s="1" t="str">
        <f>IFERROR(__xludf.DUMMYFUNCTION("IF(LEN(D1521)&gt;4, IFERROR(REGEXEXTRACT(TO_TEXT(D1521),""\d+""),""""),"""")"),"21242")</f>
        <v>21242</v>
      </c>
      <c r="F1521" s="6" t="str">
        <f t="shared" si="3"/>
        <v>Product</v>
      </c>
      <c r="G1521" s="1" t="s">
        <v>436</v>
      </c>
      <c r="H1521" s="6" t="str">
        <f>IFERROR(__xludf.DUMMYFUNCTION("IF(REGEXMATCH(LOWER(G1521), ""^(\?)+\s*(missing)?\s*(\?)*$""), """", PROPER(SUBSTITUTE(SUBSTITUTE(G1521, ""?"", """"), ""*"", """")))"),"Red Retrospot Plate")</f>
        <v>Red Retrospot Plate</v>
      </c>
      <c r="I1521" s="3">
        <v>8.0</v>
      </c>
      <c r="J1521" s="7">
        <v>40598.4875</v>
      </c>
      <c r="K1521" s="8" t="str">
        <f t="shared" si="4"/>
        <v>2011-02</v>
      </c>
      <c r="L1521" s="5">
        <v>1.69</v>
      </c>
      <c r="M1521" s="3">
        <v>12582.0</v>
      </c>
      <c r="N1521" s="1" t="str">
        <f t="shared" si="5"/>
        <v>Registered</v>
      </c>
      <c r="O1521" s="1" t="s">
        <v>952</v>
      </c>
      <c r="P1521" s="9" t="str">
        <f t="shared" si="6"/>
        <v>International</v>
      </c>
      <c r="Q1521" s="8">
        <f t="shared" si="7"/>
        <v>13.52</v>
      </c>
    </row>
    <row r="1522">
      <c r="A1522" s="1">
        <v>544886.0</v>
      </c>
      <c r="B1522" s="1" t="str">
        <f t="shared" si="1"/>
        <v>544886</v>
      </c>
      <c r="C1522" s="1" t="str">
        <f t="shared" si="2"/>
        <v>Sale</v>
      </c>
      <c r="D1522" s="1">
        <v>21243.0</v>
      </c>
      <c r="E1522" s="1" t="str">
        <f>IFERROR(__xludf.DUMMYFUNCTION("IF(LEN(D1522)&gt;4, IFERROR(REGEXEXTRACT(TO_TEXT(D1522),""\d+""),""""),"""")"),"21243")</f>
        <v>21243</v>
      </c>
      <c r="F1522" s="6" t="str">
        <f t="shared" si="3"/>
        <v>Product</v>
      </c>
      <c r="G1522" s="1" t="s">
        <v>437</v>
      </c>
      <c r="H1522" s="6" t="str">
        <f>IFERROR(__xludf.DUMMYFUNCTION("IF(REGEXMATCH(LOWER(G1522), ""^(\?)+\s*(missing)?\s*(\?)*$""), """", PROPER(SUBSTITUTE(SUBSTITUTE(G1522, ""?"", """"), ""*"", """")))"),"Pink Polkadot Plate")</f>
        <v>Pink Polkadot Plate</v>
      </c>
      <c r="I1522" s="3">
        <v>8.0</v>
      </c>
      <c r="J1522" s="7">
        <v>40598.4875</v>
      </c>
      <c r="K1522" s="8" t="str">
        <f t="shared" si="4"/>
        <v>2011-02</v>
      </c>
      <c r="L1522" s="5">
        <v>1.69</v>
      </c>
      <c r="M1522" s="3">
        <v>12582.0</v>
      </c>
      <c r="N1522" s="1" t="str">
        <f t="shared" si="5"/>
        <v>Registered</v>
      </c>
      <c r="O1522" s="1" t="s">
        <v>952</v>
      </c>
      <c r="P1522" s="9" t="str">
        <f t="shared" si="6"/>
        <v>International</v>
      </c>
      <c r="Q1522" s="8">
        <f t="shared" si="7"/>
        <v>13.52</v>
      </c>
    </row>
    <row r="1523">
      <c r="A1523" s="1">
        <v>544886.0</v>
      </c>
      <c r="B1523" s="1" t="str">
        <f t="shared" si="1"/>
        <v>544886</v>
      </c>
      <c r="C1523" s="1" t="str">
        <f t="shared" si="2"/>
        <v>Sale</v>
      </c>
      <c r="D1523" s="1">
        <v>21244.0</v>
      </c>
      <c r="E1523" s="1" t="str">
        <f>IFERROR(__xludf.DUMMYFUNCTION("IF(LEN(D1523)&gt;4, IFERROR(REGEXEXTRACT(TO_TEXT(D1523),""\d+""),""""),"""")"),"21244")</f>
        <v>21244</v>
      </c>
      <c r="F1523" s="6" t="str">
        <f t="shared" si="3"/>
        <v>Product</v>
      </c>
      <c r="G1523" s="1" t="s">
        <v>435</v>
      </c>
      <c r="H1523" s="6" t="str">
        <f>IFERROR(__xludf.DUMMYFUNCTION("IF(REGEXMATCH(LOWER(G1523), ""^(\?)+\s*(missing)?\s*(\?)*$""), """", PROPER(SUBSTITUTE(SUBSTITUTE(G1523, ""?"", """"), ""*"", """")))"),"Blue Polkadot Plate")</f>
        <v>Blue Polkadot Plate</v>
      </c>
      <c r="I1523" s="3">
        <v>8.0</v>
      </c>
      <c r="J1523" s="7">
        <v>40598.4875</v>
      </c>
      <c r="K1523" s="8" t="str">
        <f t="shared" si="4"/>
        <v>2011-02</v>
      </c>
      <c r="L1523" s="5">
        <v>1.69</v>
      </c>
      <c r="M1523" s="3">
        <v>12582.0</v>
      </c>
      <c r="N1523" s="1" t="str">
        <f t="shared" si="5"/>
        <v>Registered</v>
      </c>
      <c r="O1523" s="1" t="s">
        <v>952</v>
      </c>
      <c r="P1523" s="9" t="str">
        <f t="shared" si="6"/>
        <v>International</v>
      </c>
      <c r="Q1523" s="8">
        <f t="shared" si="7"/>
        <v>13.52</v>
      </c>
    </row>
    <row r="1524">
      <c r="A1524" s="1">
        <v>544886.0</v>
      </c>
      <c r="B1524" s="1" t="str">
        <f t="shared" si="1"/>
        <v>544886</v>
      </c>
      <c r="C1524" s="1" t="str">
        <f t="shared" si="2"/>
        <v>Sale</v>
      </c>
      <c r="D1524" s="1">
        <v>20675.0</v>
      </c>
      <c r="E1524" s="1" t="str">
        <f>IFERROR(__xludf.DUMMYFUNCTION("IF(LEN(D1524)&gt;4, IFERROR(REGEXEXTRACT(TO_TEXT(D1524),""\d+""),""""),"""")"),"20675")</f>
        <v>20675</v>
      </c>
      <c r="F1524" s="6" t="str">
        <f t="shared" si="3"/>
        <v>Product</v>
      </c>
      <c r="G1524" s="1" t="s">
        <v>955</v>
      </c>
      <c r="H1524" s="6" t="str">
        <f>IFERROR(__xludf.DUMMYFUNCTION("IF(REGEXMATCH(LOWER(G1524), ""^(\?)+\s*(missing)?\s*(\?)*$""), """", PROPER(SUBSTITUTE(SUBSTITUTE(G1524, ""?"", """"), ""*"", """")))"),"Blue Polkadot Bowl")</f>
        <v>Blue Polkadot Bowl</v>
      </c>
      <c r="I1524" s="3">
        <v>8.0</v>
      </c>
      <c r="J1524" s="7">
        <v>40598.4875</v>
      </c>
      <c r="K1524" s="8" t="str">
        <f t="shared" si="4"/>
        <v>2011-02</v>
      </c>
      <c r="L1524" s="5">
        <v>1.25</v>
      </c>
      <c r="M1524" s="3">
        <v>12582.0</v>
      </c>
      <c r="N1524" s="1" t="str">
        <f t="shared" si="5"/>
        <v>Registered</v>
      </c>
      <c r="O1524" s="1" t="s">
        <v>952</v>
      </c>
      <c r="P1524" s="9" t="str">
        <f t="shared" si="6"/>
        <v>International</v>
      </c>
      <c r="Q1524" s="8">
        <f t="shared" si="7"/>
        <v>10</v>
      </c>
    </row>
    <row r="1525">
      <c r="A1525" s="1">
        <v>544886.0</v>
      </c>
      <c r="B1525" s="1" t="str">
        <f t="shared" si="1"/>
        <v>544886</v>
      </c>
      <c r="C1525" s="1" t="str">
        <f t="shared" si="2"/>
        <v>Sale</v>
      </c>
      <c r="D1525" s="1">
        <v>20676.0</v>
      </c>
      <c r="E1525" s="1" t="str">
        <f>IFERROR(__xludf.DUMMYFUNCTION("IF(LEN(D1525)&gt;4, IFERROR(REGEXEXTRACT(TO_TEXT(D1525),""\d+""),""""),"""")"),"20676")</f>
        <v>20676</v>
      </c>
      <c r="F1525" s="6" t="str">
        <f t="shared" si="3"/>
        <v>Product</v>
      </c>
      <c r="G1525" s="1" t="s">
        <v>736</v>
      </c>
      <c r="H1525" s="6" t="str">
        <f>IFERROR(__xludf.DUMMYFUNCTION("IF(REGEXMATCH(LOWER(G1525), ""^(\?)+\s*(missing)?\s*(\?)*$""), """", PROPER(SUBSTITUTE(SUBSTITUTE(G1525, ""?"", """"), ""*"", """")))"),"Red Retrospot Bowl")</f>
        <v>Red Retrospot Bowl</v>
      </c>
      <c r="I1525" s="3">
        <v>8.0</v>
      </c>
      <c r="J1525" s="7">
        <v>40598.4875</v>
      </c>
      <c r="K1525" s="8" t="str">
        <f t="shared" si="4"/>
        <v>2011-02</v>
      </c>
      <c r="L1525" s="5">
        <v>1.25</v>
      </c>
      <c r="M1525" s="3">
        <v>12582.0</v>
      </c>
      <c r="N1525" s="1" t="str">
        <f t="shared" si="5"/>
        <v>Registered</v>
      </c>
      <c r="O1525" s="1" t="s">
        <v>952</v>
      </c>
      <c r="P1525" s="9" t="str">
        <f t="shared" si="6"/>
        <v>International</v>
      </c>
      <c r="Q1525" s="8">
        <f t="shared" si="7"/>
        <v>10</v>
      </c>
    </row>
    <row r="1526">
      <c r="A1526" s="1">
        <v>544886.0</v>
      </c>
      <c r="B1526" s="1" t="str">
        <f t="shared" si="1"/>
        <v>544886</v>
      </c>
      <c r="C1526" s="1" t="str">
        <f t="shared" si="2"/>
        <v>Sale</v>
      </c>
      <c r="D1526" s="1">
        <v>20677.0</v>
      </c>
      <c r="E1526" s="1" t="str">
        <f>IFERROR(__xludf.DUMMYFUNCTION("IF(LEN(D1526)&gt;4, IFERROR(REGEXEXTRACT(TO_TEXT(D1526),""\d+""),""""),"""")"),"20677")</f>
        <v>20677</v>
      </c>
      <c r="F1526" s="6" t="str">
        <f t="shared" si="3"/>
        <v>Product</v>
      </c>
      <c r="G1526" s="1" t="s">
        <v>956</v>
      </c>
      <c r="H1526" s="6" t="str">
        <f>IFERROR(__xludf.DUMMYFUNCTION("IF(REGEXMATCH(LOWER(G1526), ""^(\?)+\s*(missing)?\s*(\?)*$""), """", PROPER(SUBSTITUTE(SUBSTITUTE(G1526, ""?"", """"), ""*"", """")))"),"Pink Polkadot Bowl")</f>
        <v>Pink Polkadot Bowl</v>
      </c>
      <c r="I1526" s="3">
        <v>16.0</v>
      </c>
      <c r="J1526" s="7">
        <v>40598.4875</v>
      </c>
      <c r="K1526" s="8" t="str">
        <f t="shared" si="4"/>
        <v>2011-02</v>
      </c>
      <c r="L1526" s="5">
        <v>1.25</v>
      </c>
      <c r="M1526" s="3">
        <v>12582.0</v>
      </c>
      <c r="N1526" s="1" t="str">
        <f t="shared" si="5"/>
        <v>Registered</v>
      </c>
      <c r="O1526" s="1" t="s">
        <v>952</v>
      </c>
      <c r="P1526" s="9" t="str">
        <f t="shared" si="6"/>
        <v>International</v>
      </c>
      <c r="Q1526" s="8">
        <f t="shared" si="7"/>
        <v>20</v>
      </c>
    </row>
    <row r="1527">
      <c r="A1527" s="1">
        <v>544886.0</v>
      </c>
      <c r="B1527" s="1" t="str">
        <f t="shared" si="1"/>
        <v>544886</v>
      </c>
      <c r="C1527" s="1" t="str">
        <f t="shared" si="2"/>
        <v>Sale</v>
      </c>
      <c r="D1527" s="1">
        <v>21212.0</v>
      </c>
      <c r="E1527" s="1" t="str">
        <f>IFERROR(__xludf.DUMMYFUNCTION("IF(LEN(D1527)&gt;4, IFERROR(REGEXEXTRACT(TO_TEXT(D1527),""\d+""),""""),"""")"),"21212")</f>
        <v>21212</v>
      </c>
      <c r="F1527" s="6" t="str">
        <f t="shared" si="3"/>
        <v>Product</v>
      </c>
      <c r="G1527" s="1" t="s">
        <v>97</v>
      </c>
      <c r="H1527" s="6" t="str">
        <f>IFERROR(__xludf.DUMMYFUNCTION("IF(REGEXMATCH(LOWER(G1527), ""^(\?)+\s*(missing)?\s*(\?)*$""), """", PROPER(SUBSTITUTE(SUBSTITUTE(G1527, ""?"", """"), ""*"", """")))"),"Pack Of 72 Retrospot Cake Cases")</f>
        <v>Pack Of 72 Retrospot Cake Cases</v>
      </c>
      <c r="I1527" s="3">
        <v>24.0</v>
      </c>
      <c r="J1527" s="7">
        <v>40598.4875</v>
      </c>
      <c r="K1527" s="8" t="str">
        <f t="shared" si="4"/>
        <v>2011-02</v>
      </c>
      <c r="L1527" s="5">
        <v>0.55</v>
      </c>
      <c r="M1527" s="3">
        <v>12582.0</v>
      </c>
      <c r="N1527" s="1" t="str">
        <f t="shared" si="5"/>
        <v>Registered</v>
      </c>
      <c r="O1527" s="1" t="s">
        <v>952</v>
      </c>
      <c r="P1527" s="9" t="str">
        <f t="shared" si="6"/>
        <v>International</v>
      </c>
      <c r="Q1527" s="8">
        <f t="shared" si="7"/>
        <v>13.2</v>
      </c>
    </row>
    <row r="1528">
      <c r="A1528" s="1">
        <v>544886.0</v>
      </c>
      <c r="B1528" s="1" t="str">
        <f t="shared" si="1"/>
        <v>544886</v>
      </c>
      <c r="C1528" s="1" t="str">
        <f t="shared" si="2"/>
        <v>Sale</v>
      </c>
      <c r="D1528" s="1">
        <v>22467.0</v>
      </c>
      <c r="E1528" s="1" t="str">
        <f>IFERROR(__xludf.DUMMYFUNCTION("IF(LEN(D1528)&gt;4, IFERROR(REGEXEXTRACT(TO_TEXT(D1528),""\d+""),""""),"""")"),"22467")</f>
        <v>22467</v>
      </c>
      <c r="F1528" s="6" t="str">
        <f t="shared" si="3"/>
        <v>Product</v>
      </c>
      <c r="G1528" s="1" t="s">
        <v>323</v>
      </c>
      <c r="H1528" s="6" t="str">
        <f>IFERROR(__xludf.DUMMYFUNCTION("IF(REGEXMATCH(LOWER(G1528), ""^(\?)+\s*(missing)?\s*(\?)*$""), """", PROPER(SUBSTITUTE(SUBSTITUTE(G1528, ""?"", """"), ""*"", """")))"),"Gumball Coat Rack")</f>
        <v>Gumball Coat Rack</v>
      </c>
      <c r="I1528" s="3">
        <v>12.0</v>
      </c>
      <c r="J1528" s="7">
        <v>40598.4875</v>
      </c>
      <c r="K1528" s="8" t="str">
        <f t="shared" si="4"/>
        <v>2011-02</v>
      </c>
      <c r="L1528" s="5">
        <v>2.55</v>
      </c>
      <c r="M1528" s="3">
        <v>12582.0</v>
      </c>
      <c r="N1528" s="1" t="str">
        <f t="shared" si="5"/>
        <v>Registered</v>
      </c>
      <c r="O1528" s="1" t="s">
        <v>952</v>
      </c>
      <c r="P1528" s="9" t="str">
        <f t="shared" si="6"/>
        <v>International</v>
      </c>
      <c r="Q1528" s="8">
        <f t="shared" si="7"/>
        <v>30.6</v>
      </c>
    </row>
    <row r="1529">
      <c r="A1529" s="1">
        <v>544886.0</v>
      </c>
      <c r="B1529" s="1" t="str">
        <f t="shared" si="1"/>
        <v>544886</v>
      </c>
      <c r="C1529" s="1" t="str">
        <f t="shared" si="2"/>
        <v>Sale</v>
      </c>
      <c r="D1529" s="1" t="s">
        <v>68</v>
      </c>
      <c r="E1529" s="1" t="str">
        <f>IFERROR(__xludf.DUMMYFUNCTION("IF(LEN(D1529)&gt;4, IFERROR(REGEXEXTRACT(TO_TEXT(D1529),""\d+""),""""),"""")"),"")</f>
        <v/>
      </c>
      <c r="F1529" s="6" t="str">
        <f t="shared" si="3"/>
        <v>Shipping</v>
      </c>
      <c r="G1529" s="1" t="s">
        <v>69</v>
      </c>
      <c r="H1529" s="6" t="str">
        <f>IFERROR(__xludf.DUMMYFUNCTION("IF(REGEXMATCH(LOWER(G1529), ""^(\?)+\s*(missing)?\s*(\?)*$""), """", PROPER(SUBSTITUTE(SUBSTITUTE(G1529, ""?"", """"), ""*"", """")))"),"Postage")</f>
        <v>Postage</v>
      </c>
      <c r="I1529" s="3">
        <v>1.0</v>
      </c>
      <c r="J1529" s="7">
        <v>40598.4875</v>
      </c>
      <c r="K1529" s="8" t="str">
        <f t="shared" si="4"/>
        <v>2011-02</v>
      </c>
      <c r="L1529" s="5">
        <v>40.0</v>
      </c>
      <c r="M1529" s="3">
        <v>12582.0</v>
      </c>
      <c r="N1529" s="1" t="str">
        <f t="shared" si="5"/>
        <v>Registered</v>
      </c>
      <c r="O1529" s="1" t="s">
        <v>952</v>
      </c>
      <c r="P1529" s="9" t="str">
        <f t="shared" si="6"/>
        <v>International</v>
      </c>
      <c r="Q1529" s="8">
        <f t="shared" si="7"/>
        <v>40</v>
      </c>
    </row>
    <row r="1530">
      <c r="A1530" s="1">
        <v>544887.0</v>
      </c>
      <c r="B1530" s="1" t="str">
        <f t="shared" si="1"/>
        <v>544887</v>
      </c>
      <c r="C1530" s="1" t="str">
        <f t="shared" si="2"/>
        <v>Sale</v>
      </c>
      <c r="D1530" s="1">
        <v>20970.0</v>
      </c>
      <c r="E1530" s="1" t="str">
        <f>IFERROR(__xludf.DUMMYFUNCTION("IF(LEN(D1530)&gt;4, IFERROR(REGEXEXTRACT(TO_TEXT(D1530),""\d+""),""""),"""")"),"20970")</f>
        <v>20970</v>
      </c>
      <c r="F1530" s="6" t="str">
        <f t="shared" si="3"/>
        <v>Product</v>
      </c>
      <c r="G1530" s="1" t="s">
        <v>957</v>
      </c>
      <c r="H1530" s="6" t="str">
        <f>IFERROR(__xludf.DUMMYFUNCTION("IF(REGEXMATCH(LOWER(G1530), ""^(\?)+\s*(missing)?\s*(\?)*$""), """", PROPER(SUBSTITUTE(SUBSTITUTE(G1530, ""?"", """"), ""*"", """")))"),"Pink Floral Feltcraft Shoulder Bag")</f>
        <v>Pink Floral Feltcraft Shoulder Bag</v>
      </c>
      <c r="I1530" s="3">
        <v>3.0</v>
      </c>
      <c r="J1530" s="7">
        <v>40598.495833333334</v>
      </c>
      <c r="K1530" s="8" t="str">
        <f t="shared" si="4"/>
        <v>2011-02</v>
      </c>
      <c r="L1530" s="5">
        <v>3.75</v>
      </c>
      <c r="M1530" s="3">
        <v>17364.0</v>
      </c>
      <c r="N1530" s="1" t="str">
        <f t="shared" si="5"/>
        <v>Registered</v>
      </c>
      <c r="O1530" s="1" t="s">
        <v>19</v>
      </c>
      <c r="P1530" s="9" t="str">
        <f t="shared" si="6"/>
        <v>UK</v>
      </c>
      <c r="Q1530" s="8">
        <f t="shared" si="7"/>
        <v>11.25</v>
      </c>
    </row>
    <row r="1531">
      <c r="A1531" s="1">
        <v>544887.0</v>
      </c>
      <c r="B1531" s="1" t="str">
        <f t="shared" si="1"/>
        <v>544887</v>
      </c>
      <c r="C1531" s="1" t="str">
        <f t="shared" si="2"/>
        <v>Sale</v>
      </c>
      <c r="D1531" s="1">
        <v>22570.0</v>
      </c>
      <c r="E1531" s="1" t="str">
        <f>IFERROR(__xludf.DUMMYFUNCTION("IF(LEN(D1531)&gt;4, IFERROR(REGEXEXTRACT(TO_TEXT(D1531),""\d+""),""""),"""")"),"22570")</f>
        <v>22570</v>
      </c>
      <c r="F1531" s="6" t="str">
        <f t="shared" si="3"/>
        <v>Product</v>
      </c>
      <c r="G1531" s="1" t="s">
        <v>453</v>
      </c>
      <c r="H1531" s="6" t="str">
        <f>IFERROR(__xludf.DUMMYFUNCTION("IF(REGEXMATCH(LOWER(G1531), ""^(\?)+\s*(missing)?\s*(\?)*$""), """", PROPER(SUBSTITUTE(SUBSTITUTE(G1531, ""?"", """"), ""*"", """")))"),"Feltcraft Cushion Rabbit")</f>
        <v>Feltcraft Cushion Rabbit</v>
      </c>
      <c r="I1531" s="3">
        <v>4.0</v>
      </c>
      <c r="J1531" s="7">
        <v>40598.495833333334</v>
      </c>
      <c r="K1531" s="8" t="str">
        <f t="shared" si="4"/>
        <v>2011-02</v>
      </c>
      <c r="L1531" s="5">
        <v>3.75</v>
      </c>
      <c r="M1531" s="3">
        <v>17364.0</v>
      </c>
      <c r="N1531" s="1" t="str">
        <f t="shared" si="5"/>
        <v>Registered</v>
      </c>
      <c r="O1531" s="1" t="s">
        <v>19</v>
      </c>
      <c r="P1531" s="9" t="str">
        <f t="shared" si="6"/>
        <v>UK</v>
      </c>
      <c r="Q1531" s="8">
        <f t="shared" si="7"/>
        <v>15</v>
      </c>
    </row>
    <row r="1532">
      <c r="A1532" s="1">
        <v>544887.0</v>
      </c>
      <c r="B1532" s="1" t="str">
        <f t="shared" si="1"/>
        <v>544887</v>
      </c>
      <c r="C1532" s="1" t="str">
        <f t="shared" si="2"/>
        <v>Sale</v>
      </c>
      <c r="D1532" s="1">
        <v>22750.0</v>
      </c>
      <c r="E1532" s="1" t="str">
        <f>IFERROR(__xludf.DUMMYFUNCTION("IF(LEN(D1532)&gt;4, IFERROR(REGEXEXTRACT(TO_TEXT(D1532),""\d+""),""""),"""")"),"22750")</f>
        <v>22750</v>
      </c>
      <c r="F1532" s="6" t="str">
        <f t="shared" si="3"/>
        <v>Product</v>
      </c>
      <c r="G1532" s="1" t="s">
        <v>484</v>
      </c>
      <c r="H1532" s="6" t="str">
        <f>IFERROR(__xludf.DUMMYFUNCTION("IF(REGEXMATCH(LOWER(G1532), ""^(\?)+\s*(missing)?\s*(\?)*$""), """", PROPER(SUBSTITUTE(SUBSTITUTE(G1532, ""?"", """"), ""*"", """")))"),"Feltcraft Princess Lola Doll")</f>
        <v>Feltcraft Princess Lola Doll</v>
      </c>
      <c r="I1532" s="3">
        <v>4.0</v>
      </c>
      <c r="J1532" s="7">
        <v>40598.495833333334</v>
      </c>
      <c r="K1532" s="8" t="str">
        <f t="shared" si="4"/>
        <v>2011-02</v>
      </c>
      <c r="L1532" s="5">
        <v>3.75</v>
      </c>
      <c r="M1532" s="3">
        <v>17364.0</v>
      </c>
      <c r="N1532" s="1" t="str">
        <f t="shared" si="5"/>
        <v>Registered</v>
      </c>
      <c r="O1532" s="1" t="s">
        <v>19</v>
      </c>
      <c r="P1532" s="9" t="str">
        <f t="shared" si="6"/>
        <v>UK</v>
      </c>
      <c r="Q1532" s="8">
        <f t="shared" si="7"/>
        <v>15</v>
      </c>
    </row>
    <row r="1533">
      <c r="A1533" s="1">
        <v>544887.0</v>
      </c>
      <c r="B1533" s="1" t="str">
        <f t="shared" si="1"/>
        <v>544887</v>
      </c>
      <c r="C1533" s="1" t="str">
        <f t="shared" si="2"/>
        <v>Sale</v>
      </c>
      <c r="D1533" s="1">
        <v>22274.0</v>
      </c>
      <c r="E1533" s="1" t="str">
        <f>IFERROR(__xludf.DUMMYFUNCTION("IF(LEN(D1533)&gt;4, IFERROR(REGEXEXTRACT(TO_TEXT(D1533),""\d+""),""""),"""")"),"22274")</f>
        <v>22274</v>
      </c>
      <c r="F1533" s="6" t="str">
        <f t="shared" si="3"/>
        <v>Product</v>
      </c>
      <c r="G1533" s="1" t="s">
        <v>450</v>
      </c>
      <c r="H1533" s="6" t="str">
        <f>IFERROR(__xludf.DUMMYFUNCTION("IF(REGEXMATCH(LOWER(G1533), ""^(\?)+\s*(missing)?\s*(\?)*$""), """", PROPER(SUBSTITUTE(SUBSTITUTE(G1533, ""?"", """"), ""*"", """")))"),"Feltcraft Doll Emily")</f>
        <v>Feltcraft Doll Emily</v>
      </c>
      <c r="I1533" s="3">
        <v>4.0</v>
      </c>
      <c r="J1533" s="7">
        <v>40598.495833333334</v>
      </c>
      <c r="K1533" s="8" t="str">
        <f t="shared" si="4"/>
        <v>2011-02</v>
      </c>
      <c r="L1533" s="5">
        <v>2.95</v>
      </c>
      <c r="M1533" s="3">
        <v>17364.0</v>
      </c>
      <c r="N1533" s="1" t="str">
        <f t="shared" si="5"/>
        <v>Registered</v>
      </c>
      <c r="O1533" s="1" t="s">
        <v>19</v>
      </c>
      <c r="P1533" s="9" t="str">
        <f t="shared" si="6"/>
        <v>UK</v>
      </c>
      <c r="Q1533" s="8">
        <f t="shared" si="7"/>
        <v>11.8</v>
      </c>
    </row>
    <row r="1534">
      <c r="A1534" s="1">
        <v>544887.0</v>
      </c>
      <c r="B1534" s="1" t="str">
        <f t="shared" si="1"/>
        <v>544887</v>
      </c>
      <c r="C1534" s="1" t="str">
        <f t="shared" si="2"/>
        <v>Sale</v>
      </c>
      <c r="D1534" s="1">
        <v>22751.0</v>
      </c>
      <c r="E1534" s="1" t="str">
        <f>IFERROR(__xludf.DUMMYFUNCTION("IF(LEN(D1534)&gt;4, IFERROR(REGEXEXTRACT(TO_TEXT(D1534),""\d+""),""""),"""")"),"22751")</f>
        <v>22751</v>
      </c>
      <c r="F1534" s="6" t="str">
        <f t="shared" si="3"/>
        <v>Product</v>
      </c>
      <c r="G1534" s="1" t="s">
        <v>451</v>
      </c>
      <c r="H1534" s="6" t="str">
        <f>IFERROR(__xludf.DUMMYFUNCTION("IF(REGEXMATCH(LOWER(G1534), ""^(\?)+\s*(missing)?\s*(\?)*$""), """", PROPER(SUBSTITUTE(SUBSTITUTE(G1534, ""?"", """"), ""*"", """")))"),"Feltcraft Princess Olivia Doll")</f>
        <v>Feltcraft Princess Olivia Doll</v>
      </c>
      <c r="I1534" s="3">
        <v>3.0</v>
      </c>
      <c r="J1534" s="7">
        <v>40598.495833333334</v>
      </c>
      <c r="K1534" s="8" t="str">
        <f t="shared" si="4"/>
        <v>2011-02</v>
      </c>
      <c r="L1534" s="5">
        <v>3.75</v>
      </c>
      <c r="M1534" s="3">
        <v>17364.0</v>
      </c>
      <c r="N1534" s="1" t="str">
        <f t="shared" si="5"/>
        <v>Registered</v>
      </c>
      <c r="O1534" s="1" t="s">
        <v>19</v>
      </c>
      <c r="P1534" s="9" t="str">
        <f t="shared" si="6"/>
        <v>UK</v>
      </c>
      <c r="Q1534" s="8">
        <f t="shared" si="7"/>
        <v>11.25</v>
      </c>
    </row>
    <row r="1535">
      <c r="A1535" s="1">
        <v>544887.0</v>
      </c>
      <c r="B1535" s="1" t="str">
        <f t="shared" si="1"/>
        <v>544887</v>
      </c>
      <c r="C1535" s="1" t="str">
        <f t="shared" si="2"/>
        <v>Sale</v>
      </c>
      <c r="D1535" s="1">
        <v>22983.0</v>
      </c>
      <c r="E1535" s="1" t="str">
        <f>IFERROR(__xludf.DUMMYFUNCTION("IF(LEN(D1535)&gt;4, IFERROR(REGEXEXTRACT(TO_TEXT(D1535),""\d+""),""""),"""")"),"22983")</f>
        <v>22983</v>
      </c>
      <c r="F1535" s="6" t="str">
        <f t="shared" si="3"/>
        <v>Product</v>
      </c>
      <c r="G1535" s="1" t="s">
        <v>640</v>
      </c>
      <c r="H1535" s="6" t="str">
        <f>IFERROR(__xludf.DUMMYFUNCTION("IF(REGEXMATCH(LOWER(G1535), ""^(\?)+\s*(missing)?\s*(\?)*$""), """", PROPER(SUBSTITUTE(SUBSTITUTE(G1535, ""?"", """"), ""*"", """")))"),"Card Billboard Font")</f>
        <v>Card Billboard Font</v>
      </c>
      <c r="I1535" s="3">
        <v>12.0</v>
      </c>
      <c r="J1535" s="7">
        <v>40598.495833333334</v>
      </c>
      <c r="K1535" s="8" t="str">
        <f t="shared" si="4"/>
        <v>2011-02</v>
      </c>
      <c r="L1535" s="5">
        <v>0.42</v>
      </c>
      <c r="M1535" s="3">
        <v>17364.0</v>
      </c>
      <c r="N1535" s="1" t="str">
        <f t="shared" si="5"/>
        <v>Registered</v>
      </c>
      <c r="O1535" s="1" t="s">
        <v>19</v>
      </c>
      <c r="P1535" s="9" t="str">
        <f t="shared" si="6"/>
        <v>UK</v>
      </c>
      <c r="Q1535" s="8">
        <f t="shared" si="7"/>
        <v>5.04</v>
      </c>
    </row>
    <row r="1536">
      <c r="A1536" s="1">
        <v>544887.0</v>
      </c>
      <c r="B1536" s="1" t="str">
        <f t="shared" si="1"/>
        <v>544887</v>
      </c>
      <c r="C1536" s="1" t="str">
        <f t="shared" si="2"/>
        <v>Sale</v>
      </c>
      <c r="D1536" s="1">
        <v>21508.0</v>
      </c>
      <c r="E1536" s="1" t="str">
        <f>IFERROR(__xludf.DUMMYFUNCTION("IF(LEN(D1536)&gt;4, IFERROR(REGEXEXTRACT(TO_TEXT(D1536),""\d+""),""""),"""")"),"21508")</f>
        <v>21508</v>
      </c>
      <c r="F1536" s="6" t="str">
        <f t="shared" si="3"/>
        <v>Product</v>
      </c>
      <c r="G1536" s="1" t="s">
        <v>958</v>
      </c>
      <c r="H1536" s="6" t="str">
        <f>IFERROR(__xludf.DUMMYFUNCTION("IF(REGEXMATCH(LOWER(G1536), ""^(\?)+\s*(missing)?\s*(\?)*$""), """", PROPER(SUBSTITUTE(SUBSTITUTE(G1536, ""?"", """"), ""*"", """")))"),"Vintage Kid Dolly Card")</f>
        <v>Vintage Kid Dolly Card</v>
      </c>
      <c r="I1536" s="3">
        <v>12.0</v>
      </c>
      <c r="J1536" s="7">
        <v>40598.495833333334</v>
      </c>
      <c r="K1536" s="8" t="str">
        <f t="shared" si="4"/>
        <v>2011-02</v>
      </c>
      <c r="L1536" s="5">
        <v>0.42</v>
      </c>
      <c r="M1536" s="3">
        <v>17364.0</v>
      </c>
      <c r="N1536" s="1" t="str">
        <f t="shared" si="5"/>
        <v>Registered</v>
      </c>
      <c r="O1536" s="1" t="s">
        <v>19</v>
      </c>
      <c r="P1536" s="9" t="str">
        <f t="shared" si="6"/>
        <v>UK</v>
      </c>
      <c r="Q1536" s="8">
        <f t="shared" si="7"/>
        <v>5.04</v>
      </c>
    </row>
    <row r="1537">
      <c r="A1537" s="1">
        <v>544887.0</v>
      </c>
      <c r="B1537" s="1" t="str">
        <f t="shared" si="1"/>
        <v>544887</v>
      </c>
      <c r="C1537" s="1" t="str">
        <f t="shared" si="2"/>
        <v>Sale</v>
      </c>
      <c r="D1537" s="1">
        <v>21509.0</v>
      </c>
      <c r="E1537" s="1" t="str">
        <f>IFERROR(__xludf.DUMMYFUNCTION("IF(LEN(D1537)&gt;4, IFERROR(REGEXEXTRACT(TO_TEXT(D1537),""\d+""),""""),"""")"),"21509")</f>
        <v>21509</v>
      </c>
      <c r="F1537" s="6" t="str">
        <f t="shared" si="3"/>
        <v>Product</v>
      </c>
      <c r="G1537" s="1" t="s">
        <v>740</v>
      </c>
      <c r="H1537" s="6" t="str">
        <f>IFERROR(__xludf.DUMMYFUNCTION("IF(REGEXMATCH(LOWER(G1537), ""^(\?)+\s*(missing)?\s*(\?)*$""), """", PROPER(SUBSTITUTE(SUBSTITUTE(G1537, ""?"", """"), ""*"", """")))"),"Cowboys And Indians Birthday Card")</f>
        <v>Cowboys And Indians Birthday Card</v>
      </c>
      <c r="I1537" s="3">
        <v>12.0</v>
      </c>
      <c r="J1537" s="7">
        <v>40598.495833333334</v>
      </c>
      <c r="K1537" s="8" t="str">
        <f t="shared" si="4"/>
        <v>2011-02</v>
      </c>
      <c r="L1537" s="5">
        <v>0.42</v>
      </c>
      <c r="M1537" s="3">
        <v>17364.0</v>
      </c>
      <c r="N1537" s="1" t="str">
        <f t="shared" si="5"/>
        <v>Registered</v>
      </c>
      <c r="O1537" s="1" t="s">
        <v>19</v>
      </c>
      <c r="P1537" s="9" t="str">
        <f t="shared" si="6"/>
        <v>UK</v>
      </c>
      <c r="Q1537" s="8">
        <f t="shared" si="7"/>
        <v>5.04</v>
      </c>
    </row>
    <row r="1538">
      <c r="A1538" s="1">
        <v>544887.0</v>
      </c>
      <c r="B1538" s="1" t="str">
        <f t="shared" si="1"/>
        <v>544887</v>
      </c>
      <c r="C1538" s="1" t="str">
        <f t="shared" si="2"/>
        <v>Sale</v>
      </c>
      <c r="D1538" s="1">
        <v>90094.0</v>
      </c>
      <c r="E1538" s="1" t="str">
        <f>IFERROR(__xludf.DUMMYFUNCTION("IF(LEN(D1538)&gt;4, IFERROR(REGEXEXTRACT(TO_TEXT(D1538),""\d+""),""""),"""")"),"90094")</f>
        <v>90094</v>
      </c>
      <c r="F1538" s="6" t="str">
        <f t="shared" si="3"/>
        <v>Product</v>
      </c>
      <c r="G1538" s="1" t="s">
        <v>959</v>
      </c>
      <c r="H1538" s="6" t="str">
        <f>IFERROR(__xludf.DUMMYFUNCTION("IF(REGEXMATCH(LOWER(G1538), ""^(\?)+\s*(missing)?\s*(\?)*$""), """", PROPER(SUBSTITUTE(SUBSTITUTE(G1538, ""?"", """"), ""*"", """")))"),"Necklace+Bracelet Set Fruit Salad")</f>
        <v>Necklace+Bracelet Set Fruit Salad</v>
      </c>
      <c r="I1538" s="3">
        <v>1.0</v>
      </c>
      <c r="J1538" s="7">
        <v>40598.495833333334</v>
      </c>
      <c r="K1538" s="8" t="str">
        <f t="shared" si="4"/>
        <v>2011-02</v>
      </c>
      <c r="L1538" s="5">
        <v>2.55</v>
      </c>
      <c r="M1538" s="3">
        <v>17364.0</v>
      </c>
      <c r="N1538" s="1" t="str">
        <f t="shared" si="5"/>
        <v>Registered</v>
      </c>
      <c r="O1538" s="1" t="s">
        <v>19</v>
      </c>
      <c r="P1538" s="9" t="str">
        <f t="shared" si="6"/>
        <v>UK</v>
      </c>
      <c r="Q1538" s="8">
        <f t="shared" si="7"/>
        <v>2.55</v>
      </c>
    </row>
    <row r="1539">
      <c r="A1539" s="1">
        <v>544887.0</v>
      </c>
      <c r="B1539" s="1" t="str">
        <f t="shared" si="1"/>
        <v>544887</v>
      </c>
      <c r="C1539" s="1" t="str">
        <f t="shared" si="2"/>
        <v>Sale</v>
      </c>
      <c r="D1539" s="1">
        <v>90100.0</v>
      </c>
      <c r="E1539" s="1" t="str">
        <f>IFERROR(__xludf.DUMMYFUNCTION("IF(LEN(D1539)&gt;4, IFERROR(REGEXEXTRACT(TO_TEXT(D1539),""\d+""),""""),"""")"),"90100")</f>
        <v>90100</v>
      </c>
      <c r="F1539" s="6" t="str">
        <f t="shared" si="3"/>
        <v>Product</v>
      </c>
      <c r="G1539" s="1" t="s">
        <v>960</v>
      </c>
      <c r="H1539" s="6" t="str">
        <f>IFERROR(__xludf.DUMMYFUNCTION("IF(REGEXMATCH(LOWER(G1539), ""^(\?)+\s*(missing)?\s*(\?)*$""), """", PROPER(SUBSTITUTE(SUBSTITUTE(G1539, ""?"", """"), ""*"", """")))"),"Necklace+Bracelet Set Pink Daisy")</f>
        <v>Necklace+Bracelet Set Pink Daisy</v>
      </c>
      <c r="I1539" s="3">
        <v>1.0</v>
      </c>
      <c r="J1539" s="7">
        <v>40598.495833333334</v>
      </c>
      <c r="K1539" s="8" t="str">
        <f t="shared" si="4"/>
        <v>2011-02</v>
      </c>
      <c r="L1539" s="5">
        <v>2.55</v>
      </c>
      <c r="M1539" s="3">
        <v>17364.0</v>
      </c>
      <c r="N1539" s="1" t="str">
        <f t="shared" si="5"/>
        <v>Registered</v>
      </c>
      <c r="O1539" s="1" t="s">
        <v>19</v>
      </c>
      <c r="P1539" s="9" t="str">
        <f t="shared" si="6"/>
        <v>UK</v>
      </c>
      <c r="Q1539" s="8">
        <f t="shared" si="7"/>
        <v>2.55</v>
      </c>
    </row>
    <row r="1540">
      <c r="A1540" s="1">
        <v>544887.0</v>
      </c>
      <c r="B1540" s="1" t="str">
        <f t="shared" si="1"/>
        <v>544887</v>
      </c>
      <c r="C1540" s="1" t="str">
        <f t="shared" si="2"/>
        <v>Sale</v>
      </c>
      <c r="D1540" s="1">
        <v>90096.0</v>
      </c>
      <c r="E1540" s="1" t="str">
        <f>IFERROR(__xludf.DUMMYFUNCTION("IF(LEN(D1540)&gt;4, IFERROR(REGEXEXTRACT(TO_TEXT(D1540),""\d+""),""""),"""")"),"90096")</f>
        <v>90096</v>
      </c>
      <c r="F1540" s="6" t="str">
        <f t="shared" si="3"/>
        <v>Product</v>
      </c>
      <c r="G1540" s="1" t="s">
        <v>961</v>
      </c>
      <c r="H1540" s="6" t="str">
        <f>IFERROR(__xludf.DUMMYFUNCTION("IF(REGEXMATCH(LOWER(G1540), ""^(\?)+\s*(missing)?\s*(\?)*$""), """", PROPER(SUBSTITUTE(SUBSTITUTE(G1540, ""?"", """"), ""*"", """")))"),"Necklace+Bracelet Set Blue Blossom")</f>
        <v>Necklace+Bracelet Set Blue Blossom</v>
      </c>
      <c r="I1540" s="3">
        <v>2.0</v>
      </c>
      <c r="J1540" s="7">
        <v>40598.495833333334</v>
      </c>
      <c r="K1540" s="8" t="str">
        <f t="shared" si="4"/>
        <v>2011-02</v>
      </c>
      <c r="L1540" s="5">
        <v>2.55</v>
      </c>
      <c r="M1540" s="3">
        <v>17364.0</v>
      </c>
      <c r="N1540" s="1" t="str">
        <f t="shared" si="5"/>
        <v>Registered</v>
      </c>
      <c r="O1540" s="1" t="s">
        <v>19</v>
      </c>
      <c r="P1540" s="9" t="str">
        <f t="shared" si="6"/>
        <v>UK</v>
      </c>
      <c r="Q1540" s="8">
        <f t="shared" si="7"/>
        <v>5.1</v>
      </c>
    </row>
    <row r="1541">
      <c r="A1541" s="1">
        <v>544887.0</v>
      </c>
      <c r="B1541" s="1" t="str">
        <f t="shared" si="1"/>
        <v>544887</v>
      </c>
      <c r="C1541" s="1" t="str">
        <f t="shared" si="2"/>
        <v>Sale</v>
      </c>
      <c r="D1541" s="1">
        <v>22693.0</v>
      </c>
      <c r="E1541" s="1" t="str">
        <f>IFERROR(__xludf.DUMMYFUNCTION("IF(LEN(D1541)&gt;4, IFERROR(REGEXEXTRACT(TO_TEXT(D1541),""\d+""),""""),"""")"),"22693")</f>
        <v>22693</v>
      </c>
      <c r="F1541" s="6" t="str">
        <f t="shared" si="3"/>
        <v>Product</v>
      </c>
      <c r="G1541" s="1" t="s">
        <v>741</v>
      </c>
      <c r="H1541" s="6" t="str">
        <f>IFERROR(__xludf.DUMMYFUNCTION("IF(REGEXMATCH(LOWER(G1541), ""^(\?)+\s*(missing)?\s*(\?)*$""), """", PROPER(SUBSTITUTE(SUBSTITUTE(G1541, ""?"", """"), ""*"", """")))"),"Grow A Flytrap Or Sunflower In Tin")</f>
        <v>Grow A Flytrap Or Sunflower In Tin</v>
      </c>
      <c r="I1541" s="3">
        <v>24.0</v>
      </c>
      <c r="J1541" s="7">
        <v>40598.495833333334</v>
      </c>
      <c r="K1541" s="8" t="str">
        <f t="shared" si="4"/>
        <v>2011-02</v>
      </c>
      <c r="L1541" s="5">
        <v>1.25</v>
      </c>
      <c r="M1541" s="3">
        <v>17364.0</v>
      </c>
      <c r="N1541" s="1" t="str">
        <f t="shared" si="5"/>
        <v>Registered</v>
      </c>
      <c r="O1541" s="1" t="s">
        <v>19</v>
      </c>
      <c r="P1541" s="9" t="str">
        <f t="shared" si="6"/>
        <v>UK</v>
      </c>
      <c r="Q1541" s="8">
        <f t="shared" si="7"/>
        <v>30</v>
      </c>
    </row>
    <row r="1542">
      <c r="A1542" s="1">
        <v>544887.0</v>
      </c>
      <c r="B1542" s="1" t="str">
        <f t="shared" si="1"/>
        <v>544887</v>
      </c>
      <c r="C1542" s="1" t="str">
        <f t="shared" si="2"/>
        <v>Sale</v>
      </c>
      <c r="D1542" s="1" t="s">
        <v>406</v>
      </c>
      <c r="E1542" s="1" t="str">
        <f>IFERROR(__xludf.DUMMYFUNCTION("IF(LEN(D1542)&gt;4, IFERROR(REGEXEXTRACT(TO_TEXT(D1542),""\d+""),""""),"""")"),"72802")</f>
        <v>72802</v>
      </c>
      <c r="F1542" s="6" t="str">
        <f t="shared" si="3"/>
        <v>Product</v>
      </c>
      <c r="G1542" s="1" t="s">
        <v>407</v>
      </c>
      <c r="H1542" s="6" t="str">
        <f>IFERROR(__xludf.DUMMYFUNCTION("IF(REGEXMATCH(LOWER(G1542), ""^(\?)+\s*(missing)?\s*(\?)*$""), """", PROPER(SUBSTITUTE(SUBSTITUTE(G1542, ""?"", """"), ""*"", """")))"),"Vanilla Scent Candle Jewelled Box")</f>
        <v>Vanilla Scent Candle Jewelled Box</v>
      </c>
      <c r="I1542" s="3">
        <v>6.0</v>
      </c>
      <c r="J1542" s="7">
        <v>40598.495833333334</v>
      </c>
      <c r="K1542" s="8" t="str">
        <f t="shared" si="4"/>
        <v>2011-02</v>
      </c>
      <c r="L1542" s="5">
        <v>4.25</v>
      </c>
      <c r="M1542" s="3">
        <v>17364.0</v>
      </c>
      <c r="N1542" s="1" t="str">
        <f t="shared" si="5"/>
        <v>Registered</v>
      </c>
      <c r="O1542" s="1" t="s">
        <v>19</v>
      </c>
      <c r="P1542" s="9" t="str">
        <f t="shared" si="6"/>
        <v>UK</v>
      </c>
      <c r="Q1542" s="8">
        <f t="shared" si="7"/>
        <v>25.5</v>
      </c>
    </row>
    <row r="1543">
      <c r="A1543" s="1">
        <v>544887.0</v>
      </c>
      <c r="B1543" s="1" t="str">
        <f t="shared" si="1"/>
        <v>544887</v>
      </c>
      <c r="C1543" s="1" t="str">
        <f t="shared" si="2"/>
        <v>Sale</v>
      </c>
      <c r="D1543" s="1">
        <v>15036.0</v>
      </c>
      <c r="E1543" s="1" t="str">
        <f>IFERROR(__xludf.DUMMYFUNCTION("IF(LEN(D1543)&gt;4, IFERROR(REGEXEXTRACT(TO_TEXT(D1543),""\d+""),""""),"""")"),"15036")</f>
        <v>15036</v>
      </c>
      <c r="F1543" s="6" t="str">
        <f t="shared" si="3"/>
        <v>Product</v>
      </c>
      <c r="G1543" s="1" t="s">
        <v>692</v>
      </c>
      <c r="H1543" s="6" t="str">
        <f>IFERROR(__xludf.DUMMYFUNCTION("IF(REGEXMATCH(LOWER(G1543), ""^(\?)+\s*(missing)?\s*(\?)*$""), """", PROPER(SUBSTITUTE(SUBSTITUTE(G1543, ""?"", """"), ""*"", """")))"),"Assorted Colours Silk Fan")</f>
        <v>Assorted Colours Silk Fan</v>
      </c>
      <c r="I1543" s="3">
        <v>24.0</v>
      </c>
      <c r="J1543" s="7">
        <v>40598.495833333334</v>
      </c>
      <c r="K1543" s="8" t="str">
        <f t="shared" si="4"/>
        <v>2011-02</v>
      </c>
      <c r="L1543" s="5">
        <v>0.75</v>
      </c>
      <c r="M1543" s="3">
        <v>17364.0</v>
      </c>
      <c r="N1543" s="1" t="str">
        <f t="shared" si="5"/>
        <v>Registered</v>
      </c>
      <c r="O1543" s="1" t="s">
        <v>19</v>
      </c>
      <c r="P1543" s="9" t="str">
        <f t="shared" si="6"/>
        <v>UK</v>
      </c>
      <c r="Q1543" s="8">
        <f t="shared" si="7"/>
        <v>18</v>
      </c>
    </row>
    <row r="1544">
      <c r="A1544" s="1">
        <v>544887.0</v>
      </c>
      <c r="B1544" s="1" t="str">
        <f t="shared" si="1"/>
        <v>544887</v>
      </c>
      <c r="C1544" s="1" t="str">
        <f t="shared" si="2"/>
        <v>Sale</v>
      </c>
      <c r="D1544" s="1">
        <v>21217.0</v>
      </c>
      <c r="E1544" s="1" t="str">
        <f>IFERROR(__xludf.DUMMYFUNCTION("IF(LEN(D1544)&gt;4, IFERROR(REGEXEXTRACT(TO_TEXT(D1544),""\d+""),""""),"""")"),"21217")</f>
        <v>21217</v>
      </c>
      <c r="F1544" s="6" t="str">
        <f t="shared" si="3"/>
        <v>Product</v>
      </c>
      <c r="G1544" s="1" t="s">
        <v>818</v>
      </c>
      <c r="H1544" s="6" t="str">
        <f>IFERROR(__xludf.DUMMYFUNCTION("IF(REGEXMATCH(LOWER(G1544), ""^(\?)+\s*(missing)?\s*(\?)*$""), """", PROPER(SUBSTITUTE(SUBSTITUTE(G1544, ""?"", """"), ""*"", """")))"),"Red Retrospot Round Cake Tins")</f>
        <v>Red Retrospot Round Cake Tins</v>
      </c>
      <c r="I1544" s="3">
        <v>1.0</v>
      </c>
      <c r="J1544" s="7">
        <v>40598.495833333334</v>
      </c>
      <c r="K1544" s="8" t="str">
        <f t="shared" si="4"/>
        <v>2011-02</v>
      </c>
      <c r="L1544" s="5">
        <v>9.95</v>
      </c>
      <c r="M1544" s="3">
        <v>17364.0</v>
      </c>
      <c r="N1544" s="1" t="str">
        <f t="shared" si="5"/>
        <v>Registered</v>
      </c>
      <c r="O1544" s="1" t="s">
        <v>19</v>
      </c>
      <c r="P1544" s="9" t="str">
        <f t="shared" si="6"/>
        <v>UK</v>
      </c>
      <c r="Q1544" s="8">
        <f t="shared" si="7"/>
        <v>9.95</v>
      </c>
    </row>
    <row r="1545">
      <c r="A1545" s="1">
        <v>544887.0</v>
      </c>
      <c r="B1545" s="1" t="str">
        <f t="shared" si="1"/>
        <v>544887</v>
      </c>
      <c r="C1545" s="1" t="str">
        <f t="shared" si="2"/>
        <v>Sale</v>
      </c>
      <c r="D1545" s="1">
        <v>21705.0</v>
      </c>
      <c r="E1545" s="1" t="str">
        <f>IFERROR(__xludf.DUMMYFUNCTION("IF(LEN(D1545)&gt;4, IFERROR(REGEXEXTRACT(TO_TEXT(D1545),""\d+""),""""),"""")"),"21705")</f>
        <v>21705</v>
      </c>
      <c r="F1545" s="6" t="str">
        <f t="shared" si="3"/>
        <v>Product</v>
      </c>
      <c r="G1545" s="1" t="s">
        <v>389</v>
      </c>
      <c r="H1545" s="6" t="str">
        <f>IFERROR(__xludf.DUMMYFUNCTION("IF(REGEXMATCH(LOWER(G1545), ""^(\?)+\s*(missing)?\s*(\?)*$""), """", PROPER(SUBSTITUTE(SUBSTITUTE(G1545, ""?"", """"), ""*"", """")))"),"Bag 500G Swirly Marbles")</f>
        <v>Bag 500G Swirly Marbles</v>
      </c>
      <c r="I1545" s="3">
        <v>2.0</v>
      </c>
      <c r="J1545" s="7">
        <v>40598.495833333334</v>
      </c>
      <c r="K1545" s="8" t="str">
        <f t="shared" si="4"/>
        <v>2011-02</v>
      </c>
      <c r="L1545" s="5">
        <v>1.65</v>
      </c>
      <c r="M1545" s="3">
        <v>17364.0</v>
      </c>
      <c r="N1545" s="1" t="str">
        <f t="shared" si="5"/>
        <v>Registered</v>
      </c>
      <c r="O1545" s="1" t="s">
        <v>19</v>
      </c>
      <c r="P1545" s="9" t="str">
        <f t="shared" si="6"/>
        <v>UK</v>
      </c>
      <c r="Q1545" s="8">
        <f t="shared" si="7"/>
        <v>3.3</v>
      </c>
    </row>
    <row r="1546">
      <c r="A1546" s="1">
        <v>544887.0</v>
      </c>
      <c r="B1546" s="1" t="str">
        <f t="shared" si="1"/>
        <v>544887</v>
      </c>
      <c r="C1546" s="1" t="str">
        <f t="shared" si="2"/>
        <v>Sale</v>
      </c>
      <c r="D1546" s="1">
        <v>21703.0</v>
      </c>
      <c r="E1546" s="1" t="str">
        <f>IFERROR(__xludf.DUMMYFUNCTION("IF(LEN(D1546)&gt;4, IFERROR(REGEXEXTRACT(TO_TEXT(D1546),""\d+""),""""),"""")"),"21703")</f>
        <v>21703</v>
      </c>
      <c r="F1546" s="6" t="str">
        <f t="shared" si="3"/>
        <v>Product</v>
      </c>
      <c r="G1546" s="1" t="s">
        <v>962</v>
      </c>
      <c r="H1546" s="6" t="str">
        <f>IFERROR(__xludf.DUMMYFUNCTION("IF(REGEXMATCH(LOWER(G1546), ""^(\?)+\s*(missing)?\s*(\?)*$""), """", PROPER(SUBSTITUTE(SUBSTITUTE(G1546, ""?"", """"), ""*"", """")))"),"Bag 125G Swirly Marbles")</f>
        <v>Bag 125G Swirly Marbles</v>
      </c>
      <c r="I1546" s="3">
        <v>4.0</v>
      </c>
      <c r="J1546" s="7">
        <v>40598.495833333334</v>
      </c>
      <c r="K1546" s="8" t="str">
        <f t="shared" si="4"/>
        <v>2011-02</v>
      </c>
      <c r="L1546" s="5">
        <v>0.42</v>
      </c>
      <c r="M1546" s="3">
        <v>17364.0</v>
      </c>
      <c r="N1546" s="1" t="str">
        <f t="shared" si="5"/>
        <v>Registered</v>
      </c>
      <c r="O1546" s="1" t="s">
        <v>19</v>
      </c>
      <c r="P1546" s="9" t="str">
        <f t="shared" si="6"/>
        <v>UK</v>
      </c>
      <c r="Q1546" s="8">
        <f t="shared" si="7"/>
        <v>1.68</v>
      </c>
    </row>
    <row r="1547">
      <c r="A1547" s="1">
        <v>544887.0</v>
      </c>
      <c r="B1547" s="1" t="str">
        <f t="shared" si="1"/>
        <v>544887</v>
      </c>
      <c r="C1547" s="1" t="str">
        <f t="shared" si="2"/>
        <v>Sale</v>
      </c>
      <c r="D1547" s="1">
        <v>22435.0</v>
      </c>
      <c r="E1547" s="1" t="str">
        <f>IFERROR(__xludf.DUMMYFUNCTION("IF(LEN(D1547)&gt;4, IFERROR(REGEXEXTRACT(TO_TEXT(D1547),""\d+""),""""),"""")"),"22435")</f>
        <v>22435</v>
      </c>
      <c r="F1547" s="6" t="str">
        <f t="shared" si="3"/>
        <v>Product</v>
      </c>
      <c r="G1547" s="1" t="s">
        <v>306</v>
      </c>
      <c r="H1547" s="6" t="str">
        <f>IFERROR(__xludf.DUMMYFUNCTION("IF(REGEXMATCH(LOWER(G1547), ""^(\?)+\s*(missing)?\s*(\?)*$""), """", PROPER(SUBSTITUTE(SUBSTITUTE(G1547, ""?"", """"), ""*"", """")))"),"Set Of 9 Heart Shaped Balloons")</f>
        <v>Set Of 9 Heart Shaped Balloons</v>
      </c>
      <c r="I1547" s="3">
        <v>3.0</v>
      </c>
      <c r="J1547" s="7">
        <v>40598.495833333334</v>
      </c>
      <c r="K1547" s="8" t="str">
        <f t="shared" si="4"/>
        <v>2011-02</v>
      </c>
      <c r="L1547" s="5">
        <v>1.25</v>
      </c>
      <c r="M1547" s="3">
        <v>17364.0</v>
      </c>
      <c r="N1547" s="1" t="str">
        <f t="shared" si="5"/>
        <v>Registered</v>
      </c>
      <c r="O1547" s="1" t="s">
        <v>19</v>
      </c>
      <c r="P1547" s="9" t="str">
        <f t="shared" si="6"/>
        <v>UK</v>
      </c>
      <c r="Q1547" s="8">
        <f t="shared" si="7"/>
        <v>3.75</v>
      </c>
    </row>
    <row r="1548">
      <c r="A1548" s="1">
        <v>544887.0</v>
      </c>
      <c r="B1548" s="1" t="str">
        <f t="shared" si="1"/>
        <v>544887</v>
      </c>
      <c r="C1548" s="1" t="str">
        <f t="shared" si="2"/>
        <v>Sale</v>
      </c>
      <c r="D1548" s="1">
        <v>22434.0</v>
      </c>
      <c r="E1548" s="1" t="str">
        <f>IFERROR(__xludf.DUMMYFUNCTION("IF(LEN(D1548)&gt;4, IFERROR(REGEXEXTRACT(TO_TEXT(D1548),""\d+""),""""),"""")"),"22434")</f>
        <v>22434</v>
      </c>
      <c r="F1548" s="6" t="str">
        <f t="shared" si="3"/>
        <v>Product</v>
      </c>
      <c r="G1548" s="1" t="s">
        <v>963</v>
      </c>
      <c r="H1548" s="6" t="str">
        <f>IFERROR(__xludf.DUMMYFUNCTION("IF(REGEXMATCH(LOWER(G1548), ""^(\?)+\s*(missing)?\s*(\?)*$""), """", PROPER(SUBSTITUTE(SUBSTITUTE(G1548, ""?"", """"), ""*"", """")))"),"Balloon Pump With 10 Balloons")</f>
        <v>Balloon Pump With 10 Balloons</v>
      </c>
      <c r="I1548" s="3">
        <v>2.0</v>
      </c>
      <c r="J1548" s="7">
        <v>40598.495833333334</v>
      </c>
      <c r="K1548" s="8" t="str">
        <f t="shared" si="4"/>
        <v>2011-02</v>
      </c>
      <c r="L1548" s="5">
        <v>1.95</v>
      </c>
      <c r="M1548" s="3">
        <v>17364.0</v>
      </c>
      <c r="N1548" s="1" t="str">
        <f t="shared" si="5"/>
        <v>Registered</v>
      </c>
      <c r="O1548" s="1" t="s">
        <v>19</v>
      </c>
      <c r="P1548" s="9" t="str">
        <f t="shared" si="6"/>
        <v>UK</v>
      </c>
      <c r="Q1548" s="8">
        <f t="shared" si="7"/>
        <v>3.9</v>
      </c>
    </row>
    <row r="1549">
      <c r="A1549" s="1">
        <v>544887.0</v>
      </c>
      <c r="B1549" s="1" t="str">
        <f t="shared" si="1"/>
        <v>544887</v>
      </c>
      <c r="C1549" s="1" t="str">
        <f t="shared" si="2"/>
        <v>Sale</v>
      </c>
      <c r="D1549" s="1">
        <v>22439.0</v>
      </c>
      <c r="E1549" s="1" t="str">
        <f>IFERROR(__xludf.DUMMYFUNCTION("IF(LEN(D1549)&gt;4, IFERROR(REGEXEXTRACT(TO_TEXT(D1549),""\d+""),""""),"""")"),"22439")</f>
        <v>22439</v>
      </c>
      <c r="F1549" s="6" t="str">
        <f t="shared" si="3"/>
        <v>Product</v>
      </c>
      <c r="G1549" s="1" t="s">
        <v>964</v>
      </c>
      <c r="H1549" s="6" t="str">
        <f>IFERROR(__xludf.DUMMYFUNCTION("IF(REGEXMATCH(LOWER(G1549), ""^(\?)+\s*(missing)?\s*(\?)*$""), """", PROPER(SUBSTITUTE(SUBSTITUTE(G1549, ""?"", """"), ""*"", """")))"),"6 Rocket Balloons")</f>
        <v>6 Rocket Balloons</v>
      </c>
      <c r="I1549" s="3">
        <v>3.0</v>
      </c>
      <c r="J1549" s="7">
        <v>40598.495833333334</v>
      </c>
      <c r="K1549" s="8" t="str">
        <f t="shared" si="4"/>
        <v>2011-02</v>
      </c>
      <c r="L1549" s="5">
        <v>0.65</v>
      </c>
      <c r="M1549" s="3">
        <v>17364.0</v>
      </c>
      <c r="N1549" s="1" t="str">
        <f t="shared" si="5"/>
        <v>Registered</v>
      </c>
      <c r="O1549" s="1" t="s">
        <v>19</v>
      </c>
      <c r="P1549" s="9" t="str">
        <f t="shared" si="6"/>
        <v>UK</v>
      </c>
      <c r="Q1549" s="8">
        <f t="shared" si="7"/>
        <v>1.95</v>
      </c>
    </row>
    <row r="1550">
      <c r="A1550" s="1">
        <v>544887.0</v>
      </c>
      <c r="B1550" s="1" t="str">
        <f t="shared" si="1"/>
        <v>544887</v>
      </c>
      <c r="C1550" s="1" t="str">
        <f t="shared" si="2"/>
        <v>Sale</v>
      </c>
      <c r="D1550" s="1">
        <v>21721.0</v>
      </c>
      <c r="E1550" s="1" t="str">
        <f>IFERROR(__xludf.DUMMYFUNCTION("IF(LEN(D1550)&gt;4, IFERROR(REGEXEXTRACT(TO_TEXT(D1550),""\d+""),""""),"""")"),"21721")</f>
        <v>21721</v>
      </c>
      <c r="F1550" s="6" t="str">
        <f t="shared" si="3"/>
        <v>Product</v>
      </c>
      <c r="G1550" s="1" t="s">
        <v>965</v>
      </c>
      <c r="H1550" s="6" t="str">
        <f>IFERROR(__xludf.DUMMYFUNCTION("IF(REGEXMATCH(LOWER(G1550), ""^(\?)+\s*(missing)?\s*(\?)*$""), """", PROPER(SUBSTITUTE(SUBSTITUTE(G1550, ""?"", """"), ""*"", """")))"),"Candy Shop Sticker Sheet")</f>
        <v>Candy Shop Sticker Sheet</v>
      </c>
      <c r="I1550" s="3">
        <v>4.0</v>
      </c>
      <c r="J1550" s="7">
        <v>40598.495833333334</v>
      </c>
      <c r="K1550" s="8" t="str">
        <f t="shared" si="4"/>
        <v>2011-02</v>
      </c>
      <c r="L1550" s="5">
        <v>0.85</v>
      </c>
      <c r="M1550" s="3">
        <v>17364.0</v>
      </c>
      <c r="N1550" s="1" t="str">
        <f t="shared" si="5"/>
        <v>Registered</v>
      </c>
      <c r="O1550" s="1" t="s">
        <v>19</v>
      </c>
      <c r="P1550" s="9" t="str">
        <f t="shared" si="6"/>
        <v>UK</v>
      </c>
      <c r="Q1550" s="8">
        <f t="shared" si="7"/>
        <v>3.4</v>
      </c>
    </row>
    <row r="1551">
      <c r="A1551" s="1">
        <v>544887.0</v>
      </c>
      <c r="B1551" s="1" t="str">
        <f t="shared" si="1"/>
        <v>544887</v>
      </c>
      <c r="C1551" s="1" t="str">
        <f t="shared" si="2"/>
        <v>Sale</v>
      </c>
      <c r="D1551" s="1">
        <v>21719.0</v>
      </c>
      <c r="E1551" s="1" t="str">
        <f>IFERROR(__xludf.DUMMYFUNCTION("IF(LEN(D1551)&gt;4, IFERROR(REGEXEXTRACT(TO_TEXT(D1551),""\d+""),""""),"""")"),"21719")</f>
        <v>21719</v>
      </c>
      <c r="F1551" s="6" t="str">
        <f t="shared" si="3"/>
        <v>Product</v>
      </c>
      <c r="G1551" s="1" t="s">
        <v>966</v>
      </c>
      <c r="H1551" s="6" t="str">
        <f>IFERROR(__xludf.DUMMYFUNCTION("IF(REGEXMATCH(LOWER(G1551), ""^(\?)+\s*(missing)?\s*(\?)*$""), """", PROPER(SUBSTITUTE(SUBSTITUTE(G1551, ""?"", """"), ""*"", """")))"),"Lovely Bonbon Sticker Sheet")</f>
        <v>Lovely Bonbon Sticker Sheet</v>
      </c>
      <c r="I1551" s="3">
        <v>1.0</v>
      </c>
      <c r="J1551" s="7">
        <v>40598.495833333334</v>
      </c>
      <c r="K1551" s="8" t="str">
        <f t="shared" si="4"/>
        <v>2011-02</v>
      </c>
      <c r="L1551" s="5">
        <v>0.85</v>
      </c>
      <c r="M1551" s="3">
        <v>17364.0</v>
      </c>
      <c r="N1551" s="1" t="str">
        <f t="shared" si="5"/>
        <v>Registered</v>
      </c>
      <c r="O1551" s="1" t="s">
        <v>19</v>
      </c>
      <c r="P1551" s="9" t="str">
        <f t="shared" si="6"/>
        <v>UK</v>
      </c>
      <c r="Q1551" s="8">
        <f t="shared" si="7"/>
        <v>0.85</v>
      </c>
    </row>
    <row r="1552">
      <c r="A1552" s="1">
        <v>544887.0</v>
      </c>
      <c r="B1552" s="1" t="str">
        <f t="shared" si="1"/>
        <v>544887</v>
      </c>
      <c r="C1552" s="1" t="str">
        <f t="shared" si="2"/>
        <v>Sale</v>
      </c>
      <c r="D1552" s="1">
        <v>21724.0</v>
      </c>
      <c r="E1552" s="1" t="str">
        <f>IFERROR(__xludf.DUMMYFUNCTION("IF(LEN(D1552)&gt;4, IFERROR(REGEXEXTRACT(TO_TEXT(D1552),""\d+""),""""),"""")"),"21724")</f>
        <v>21724</v>
      </c>
      <c r="F1552" s="6" t="str">
        <f t="shared" si="3"/>
        <v>Product</v>
      </c>
      <c r="G1552" s="1" t="s">
        <v>52</v>
      </c>
      <c r="H1552" s="6" t="str">
        <f>IFERROR(__xludf.DUMMYFUNCTION("IF(REGEXMATCH(LOWER(G1552), ""^(\?)+\s*(missing)?\s*(\?)*$""), """", PROPER(SUBSTITUTE(SUBSTITUTE(G1552, ""?"", """"), ""*"", """")))"),"Panda And Bunnies Sticker Sheet")</f>
        <v>Panda And Bunnies Sticker Sheet</v>
      </c>
      <c r="I1552" s="3">
        <v>6.0</v>
      </c>
      <c r="J1552" s="7">
        <v>40598.495833333334</v>
      </c>
      <c r="K1552" s="8" t="str">
        <f t="shared" si="4"/>
        <v>2011-02</v>
      </c>
      <c r="L1552" s="5">
        <v>0.85</v>
      </c>
      <c r="M1552" s="3">
        <v>17364.0</v>
      </c>
      <c r="N1552" s="1" t="str">
        <f t="shared" si="5"/>
        <v>Registered</v>
      </c>
      <c r="O1552" s="1" t="s">
        <v>19</v>
      </c>
      <c r="P1552" s="9" t="str">
        <f t="shared" si="6"/>
        <v>UK</v>
      </c>
      <c r="Q1552" s="8">
        <f t="shared" si="7"/>
        <v>5.1</v>
      </c>
    </row>
    <row r="1553">
      <c r="A1553" s="1">
        <v>544887.0</v>
      </c>
      <c r="B1553" s="1" t="str">
        <f t="shared" si="1"/>
        <v>544887</v>
      </c>
      <c r="C1553" s="1" t="str">
        <f t="shared" si="2"/>
        <v>Sale</v>
      </c>
      <c r="D1553" s="1">
        <v>21723.0</v>
      </c>
      <c r="E1553" s="1" t="str">
        <f>IFERROR(__xludf.DUMMYFUNCTION("IF(LEN(D1553)&gt;4, IFERROR(REGEXEXTRACT(TO_TEXT(D1553),""\d+""),""""),"""")"),"21723")</f>
        <v>21723</v>
      </c>
      <c r="F1553" s="6" t="str">
        <f t="shared" si="3"/>
        <v>Product</v>
      </c>
      <c r="G1553" s="1" t="s">
        <v>967</v>
      </c>
      <c r="H1553" s="6" t="str">
        <f>IFERROR(__xludf.DUMMYFUNCTION("IF(REGEXMATCH(LOWER(G1553), ""^(\?)+\s*(missing)?\s*(\?)*$""), """", PROPER(SUBSTITUTE(SUBSTITUTE(G1553, ""?"", """"), ""*"", """")))"),"Alphabet Hearts Sticker Sheet")</f>
        <v>Alphabet Hearts Sticker Sheet</v>
      </c>
      <c r="I1553" s="3">
        <v>6.0</v>
      </c>
      <c r="J1553" s="7">
        <v>40598.495833333334</v>
      </c>
      <c r="K1553" s="8" t="str">
        <f t="shared" si="4"/>
        <v>2011-02</v>
      </c>
      <c r="L1553" s="5">
        <v>0.85</v>
      </c>
      <c r="M1553" s="3">
        <v>17364.0</v>
      </c>
      <c r="N1553" s="1" t="str">
        <f t="shared" si="5"/>
        <v>Registered</v>
      </c>
      <c r="O1553" s="1" t="s">
        <v>19</v>
      </c>
      <c r="P1553" s="9" t="str">
        <f t="shared" si="6"/>
        <v>UK</v>
      </c>
      <c r="Q1553" s="8">
        <f t="shared" si="7"/>
        <v>5.1</v>
      </c>
    </row>
    <row r="1554">
      <c r="A1554" s="1">
        <v>544887.0</v>
      </c>
      <c r="B1554" s="1" t="str">
        <f t="shared" si="1"/>
        <v>544887</v>
      </c>
      <c r="C1554" s="1" t="str">
        <f t="shared" si="2"/>
        <v>Sale</v>
      </c>
      <c r="D1554" s="1">
        <v>21722.0</v>
      </c>
      <c r="E1554" s="1" t="str">
        <f>IFERROR(__xludf.DUMMYFUNCTION("IF(LEN(D1554)&gt;4, IFERROR(REGEXEXTRACT(TO_TEXT(D1554),""\d+""),""""),"""")"),"21722")</f>
        <v>21722</v>
      </c>
      <c r="F1554" s="6" t="str">
        <f t="shared" si="3"/>
        <v>Product</v>
      </c>
      <c r="G1554" s="1" t="s">
        <v>968</v>
      </c>
      <c r="H1554" s="6" t="str">
        <f>IFERROR(__xludf.DUMMYFUNCTION("IF(REGEXMATCH(LOWER(G1554), ""^(\?)+\s*(missing)?\s*(\?)*$""), """", PROPER(SUBSTITUTE(SUBSTITUTE(G1554, ""?"", """"), ""*"", """")))"),"Sweet Pudding Sticker Sheet")</f>
        <v>Sweet Pudding Sticker Sheet</v>
      </c>
      <c r="I1554" s="3">
        <v>8.0</v>
      </c>
      <c r="J1554" s="7">
        <v>40598.495833333334</v>
      </c>
      <c r="K1554" s="8" t="str">
        <f t="shared" si="4"/>
        <v>2011-02</v>
      </c>
      <c r="L1554" s="5">
        <v>0.85</v>
      </c>
      <c r="M1554" s="3">
        <v>17364.0</v>
      </c>
      <c r="N1554" s="1" t="str">
        <f t="shared" si="5"/>
        <v>Registered</v>
      </c>
      <c r="O1554" s="1" t="s">
        <v>19</v>
      </c>
      <c r="P1554" s="9" t="str">
        <f t="shared" si="6"/>
        <v>UK</v>
      </c>
      <c r="Q1554" s="8">
        <f t="shared" si="7"/>
        <v>6.8</v>
      </c>
    </row>
    <row r="1555">
      <c r="A1555" s="1">
        <v>544887.0</v>
      </c>
      <c r="B1555" s="1" t="str">
        <f t="shared" si="1"/>
        <v>544887</v>
      </c>
      <c r="C1555" s="1" t="str">
        <f t="shared" si="2"/>
        <v>Sale</v>
      </c>
      <c r="D1555" s="1">
        <v>22169.0</v>
      </c>
      <c r="E1555" s="1" t="str">
        <f>IFERROR(__xludf.DUMMYFUNCTION("IF(LEN(D1555)&gt;4, IFERROR(REGEXEXTRACT(TO_TEXT(D1555),""\d+""),""""),"""")"),"22169")</f>
        <v>22169</v>
      </c>
      <c r="F1555" s="6" t="str">
        <f t="shared" si="3"/>
        <v>Product</v>
      </c>
      <c r="G1555" s="1" t="s">
        <v>969</v>
      </c>
      <c r="H1555" s="6" t="str">
        <f>IFERROR(__xludf.DUMMYFUNCTION("IF(REGEXMATCH(LOWER(G1555), ""^(\?)+\s*(missing)?\s*(\?)*$""), """", PROPER(SUBSTITUTE(SUBSTITUTE(G1555, ""?"", """"), ""*"", """")))"),"Family Album White Picture Frame")</f>
        <v>Family Album White Picture Frame</v>
      </c>
      <c r="I1555" s="3">
        <v>2.0</v>
      </c>
      <c r="J1555" s="7">
        <v>40598.495833333334</v>
      </c>
      <c r="K1555" s="8" t="str">
        <f t="shared" si="4"/>
        <v>2011-02</v>
      </c>
      <c r="L1555" s="5">
        <v>8.5</v>
      </c>
      <c r="M1555" s="3">
        <v>17364.0</v>
      </c>
      <c r="N1555" s="1" t="str">
        <f t="shared" si="5"/>
        <v>Registered</v>
      </c>
      <c r="O1555" s="1" t="s">
        <v>19</v>
      </c>
      <c r="P1555" s="9" t="str">
        <f t="shared" si="6"/>
        <v>UK</v>
      </c>
      <c r="Q1555" s="8">
        <f t="shared" si="7"/>
        <v>17</v>
      </c>
    </row>
    <row r="1556">
      <c r="A1556" s="1">
        <v>544887.0</v>
      </c>
      <c r="B1556" s="1" t="str">
        <f t="shared" si="1"/>
        <v>544887</v>
      </c>
      <c r="C1556" s="1" t="str">
        <f t="shared" si="2"/>
        <v>Sale</v>
      </c>
      <c r="D1556" s="1" t="s">
        <v>623</v>
      </c>
      <c r="E1556" s="1" t="str">
        <f>IFERROR(__xludf.DUMMYFUNCTION("IF(LEN(D1556)&gt;4, IFERROR(REGEXEXTRACT(TO_TEXT(D1556),""\d+""),""""),"""")"),"84558")</f>
        <v>84558</v>
      </c>
      <c r="F1556" s="6" t="str">
        <f t="shared" si="3"/>
        <v>Product</v>
      </c>
      <c r="G1556" s="1" t="s">
        <v>624</v>
      </c>
      <c r="H1556" s="6" t="str">
        <f>IFERROR(__xludf.DUMMYFUNCTION("IF(REGEXMATCH(LOWER(G1556), ""^(\?)+\s*(missing)?\s*(\?)*$""), """", PROPER(SUBSTITUTE(SUBSTITUTE(G1556, ""?"", """"), ""*"", """")))"),"3D Dog Picture Playing Cards")</f>
        <v>3D Dog Picture Playing Cards</v>
      </c>
      <c r="I1556" s="3">
        <v>4.0</v>
      </c>
      <c r="J1556" s="7">
        <v>40598.495833333334</v>
      </c>
      <c r="K1556" s="8" t="str">
        <f t="shared" si="4"/>
        <v>2011-02</v>
      </c>
      <c r="L1556" s="5">
        <v>2.95</v>
      </c>
      <c r="M1556" s="3">
        <v>17364.0</v>
      </c>
      <c r="N1556" s="1" t="str">
        <f t="shared" si="5"/>
        <v>Registered</v>
      </c>
      <c r="O1556" s="1" t="s">
        <v>19</v>
      </c>
      <c r="P1556" s="9" t="str">
        <f t="shared" si="6"/>
        <v>UK</v>
      </c>
      <c r="Q1556" s="8">
        <f t="shared" si="7"/>
        <v>11.8</v>
      </c>
    </row>
    <row r="1557">
      <c r="A1557" s="1">
        <v>544887.0</v>
      </c>
      <c r="B1557" s="1" t="str">
        <f t="shared" si="1"/>
        <v>544887</v>
      </c>
      <c r="C1557" s="1" t="str">
        <f t="shared" si="2"/>
        <v>Sale</v>
      </c>
      <c r="D1557" s="1">
        <v>22501.0</v>
      </c>
      <c r="E1557" s="1" t="str">
        <f>IFERROR(__xludf.DUMMYFUNCTION("IF(LEN(D1557)&gt;4, IFERROR(REGEXEXTRACT(TO_TEXT(D1557),""\d+""),""""),"""")"),"22501")</f>
        <v>22501</v>
      </c>
      <c r="F1557" s="6" t="str">
        <f t="shared" si="3"/>
        <v>Product</v>
      </c>
      <c r="G1557" s="1" t="s">
        <v>795</v>
      </c>
      <c r="H1557" s="6" t="str">
        <f>IFERROR(__xludf.DUMMYFUNCTION("IF(REGEXMATCH(LOWER(G1557), ""^(\?)+\s*(missing)?\s*(\?)*$""), """", PROPER(SUBSTITUTE(SUBSTITUTE(G1557, ""?"", """"), ""*"", """")))"),"Picnic Basket Wicker Large")</f>
        <v>Picnic Basket Wicker Large</v>
      </c>
      <c r="I1557" s="3">
        <v>2.0</v>
      </c>
      <c r="J1557" s="7">
        <v>40598.495833333334</v>
      </c>
      <c r="K1557" s="8" t="str">
        <f t="shared" si="4"/>
        <v>2011-02</v>
      </c>
      <c r="L1557" s="5">
        <v>9.95</v>
      </c>
      <c r="M1557" s="3">
        <v>17364.0</v>
      </c>
      <c r="N1557" s="1" t="str">
        <f t="shared" si="5"/>
        <v>Registered</v>
      </c>
      <c r="O1557" s="1" t="s">
        <v>19</v>
      </c>
      <c r="P1557" s="9" t="str">
        <f t="shared" si="6"/>
        <v>UK</v>
      </c>
      <c r="Q1557" s="8">
        <f t="shared" si="7"/>
        <v>19.9</v>
      </c>
    </row>
    <row r="1558">
      <c r="A1558" s="1">
        <v>544887.0</v>
      </c>
      <c r="B1558" s="1" t="str">
        <f t="shared" si="1"/>
        <v>544887</v>
      </c>
      <c r="C1558" s="1" t="str">
        <f t="shared" si="2"/>
        <v>Sale</v>
      </c>
      <c r="D1558" s="1">
        <v>21326.0</v>
      </c>
      <c r="E1558" s="1" t="str">
        <f>IFERROR(__xludf.DUMMYFUNCTION("IF(LEN(D1558)&gt;4, IFERROR(REGEXEXTRACT(TO_TEXT(D1558),""\d+""),""""),"""")"),"21326")</f>
        <v>21326</v>
      </c>
      <c r="F1558" s="6" t="str">
        <f t="shared" si="3"/>
        <v>Product</v>
      </c>
      <c r="G1558" s="1" t="s">
        <v>420</v>
      </c>
      <c r="H1558" s="6" t="str">
        <f>IFERROR(__xludf.DUMMYFUNCTION("IF(REGEXMATCH(LOWER(G1558), ""^(\?)+\s*(missing)?\s*(\?)*$""), """", PROPER(SUBSTITUTE(SUBSTITUTE(G1558, ""?"", """"), ""*"", """")))"),"Aged Glass Silver T-Light Holder")</f>
        <v>Aged Glass Silver T-Light Holder</v>
      </c>
      <c r="I1558" s="3">
        <v>12.0</v>
      </c>
      <c r="J1558" s="7">
        <v>40598.495833333334</v>
      </c>
      <c r="K1558" s="8" t="str">
        <f t="shared" si="4"/>
        <v>2011-02</v>
      </c>
      <c r="L1558" s="5">
        <v>0.65</v>
      </c>
      <c r="M1558" s="3">
        <v>17364.0</v>
      </c>
      <c r="N1558" s="1" t="str">
        <f t="shared" si="5"/>
        <v>Registered</v>
      </c>
      <c r="O1558" s="1" t="s">
        <v>19</v>
      </c>
      <c r="P1558" s="9" t="str">
        <f t="shared" si="6"/>
        <v>UK</v>
      </c>
      <c r="Q1558" s="8">
        <f t="shared" si="7"/>
        <v>7.8</v>
      </c>
    </row>
    <row r="1559">
      <c r="A1559" s="1">
        <v>544887.0</v>
      </c>
      <c r="B1559" s="1" t="str">
        <f t="shared" si="1"/>
        <v>544887</v>
      </c>
      <c r="C1559" s="1" t="str">
        <f t="shared" si="2"/>
        <v>Sale</v>
      </c>
      <c r="D1559" s="1">
        <v>22956.0</v>
      </c>
      <c r="E1559" s="1" t="str">
        <f>IFERROR(__xludf.DUMMYFUNCTION("IF(LEN(D1559)&gt;4, IFERROR(REGEXEXTRACT(TO_TEXT(D1559),""\d+""),""""),"""")"),"22956")</f>
        <v>22956</v>
      </c>
      <c r="F1559" s="6" t="str">
        <f t="shared" si="3"/>
        <v>Product</v>
      </c>
      <c r="G1559" s="1" t="s">
        <v>600</v>
      </c>
      <c r="H1559" s="6" t="str">
        <f>IFERROR(__xludf.DUMMYFUNCTION("IF(REGEXMATCH(LOWER(G1559), ""^(\?)+\s*(missing)?\s*(\?)*$""), """", PROPER(SUBSTITUTE(SUBSTITUTE(G1559, ""?"", """"), ""*"", """")))"),"36 Foil Heart Cake Cases")</f>
        <v>36 Foil Heart Cake Cases</v>
      </c>
      <c r="I1559" s="3">
        <v>2.0</v>
      </c>
      <c r="J1559" s="7">
        <v>40598.495833333334</v>
      </c>
      <c r="K1559" s="8" t="str">
        <f t="shared" si="4"/>
        <v>2011-02</v>
      </c>
      <c r="L1559" s="5">
        <v>2.1</v>
      </c>
      <c r="M1559" s="3">
        <v>17364.0</v>
      </c>
      <c r="N1559" s="1" t="str">
        <f t="shared" si="5"/>
        <v>Registered</v>
      </c>
      <c r="O1559" s="1" t="s">
        <v>19</v>
      </c>
      <c r="P1559" s="9" t="str">
        <f t="shared" si="6"/>
        <v>UK</v>
      </c>
      <c r="Q1559" s="8">
        <f t="shared" si="7"/>
        <v>4.2</v>
      </c>
    </row>
    <row r="1560">
      <c r="A1560" s="1">
        <v>544887.0</v>
      </c>
      <c r="B1560" s="1" t="str">
        <f t="shared" si="1"/>
        <v>544887</v>
      </c>
      <c r="C1560" s="1" t="str">
        <f t="shared" si="2"/>
        <v>Sale</v>
      </c>
      <c r="D1560" s="1">
        <v>22955.0</v>
      </c>
      <c r="E1560" s="1" t="str">
        <f>IFERROR(__xludf.DUMMYFUNCTION("IF(LEN(D1560)&gt;4, IFERROR(REGEXEXTRACT(TO_TEXT(D1560),""\d+""),""""),"""")"),"22955")</f>
        <v>22955</v>
      </c>
      <c r="F1560" s="6" t="str">
        <f t="shared" si="3"/>
        <v>Product</v>
      </c>
      <c r="G1560" s="1" t="s">
        <v>673</v>
      </c>
      <c r="H1560" s="6" t="str">
        <f>IFERROR(__xludf.DUMMYFUNCTION("IF(REGEXMATCH(LOWER(G1560), ""^(\?)+\s*(missing)?\s*(\?)*$""), """", PROPER(SUBSTITUTE(SUBSTITUTE(G1560, ""?"", """"), ""*"", """")))"),"36 Foil Star Cake Cases")</f>
        <v>36 Foil Star Cake Cases</v>
      </c>
      <c r="I1560" s="3">
        <v>1.0</v>
      </c>
      <c r="J1560" s="7">
        <v>40598.495833333334</v>
      </c>
      <c r="K1560" s="8" t="str">
        <f t="shared" si="4"/>
        <v>2011-02</v>
      </c>
      <c r="L1560" s="5">
        <v>2.1</v>
      </c>
      <c r="M1560" s="3">
        <v>17364.0</v>
      </c>
      <c r="N1560" s="1" t="str">
        <f t="shared" si="5"/>
        <v>Registered</v>
      </c>
      <c r="O1560" s="1" t="s">
        <v>19</v>
      </c>
      <c r="P1560" s="9" t="str">
        <f t="shared" si="6"/>
        <v>UK</v>
      </c>
      <c r="Q1560" s="8">
        <f t="shared" si="7"/>
        <v>2.1</v>
      </c>
    </row>
    <row r="1561">
      <c r="A1561" s="1">
        <v>544887.0</v>
      </c>
      <c r="B1561" s="1" t="str">
        <f t="shared" si="1"/>
        <v>544887</v>
      </c>
      <c r="C1561" s="1" t="str">
        <f t="shared" si="2"/>
        <v>Sale</v>
      </c>
      <c r="D1561" s="1">
        <v>22934.0</v>
      </c>
      <c r="E1561" s="1" t="str">
        <f>IFERROR(__xludf.DUMMYFUNCTION("IF(LEN(D1561)&gt;4, IFERROR(REGEXEXTRACT(TO_TEXT(D1561),""\d+""),""""),"""")"),"22934")</f>
        <v>22934</v>
      </c>
      <c r="F1561" s="6" t="str">
        <f t="shared" si="3"/>
        <v>Product</v>
      </c>
      <c r="G1561" s="1" t="s">
        <v>970</v>
      </c>
      <c r="H1561" s="6" t="str">
        <f>IFERROR(__xludf.DUMMYFUNCTION("IF(REGEXMATCH(LOWER(G1561), ""^(\?)+\s*(missing)?\s*(\?)*$""), """", PROPER(SUBSTITUTE(SUBSTITUTE(G1561, ""?"", """"), ""*"", """")))"),"Baking Mould Easter Egg White Choc")</f>
        <v>Baking Mould Easter Egg White Choc</v>
      </c>
      <c r="I1561" s="3">
        <v>3.0</v>
      </c>
      <c r="J1561" s="7">
        <v>40598.495833333334</v>
      </c>
      <c r="K1561" s="8" t="str">
        <f t="shared" si="4"/>
        <v>2011-02</v>
      </c>
      <c r="L1561" s="5">
        <v>2.95</v>
      </c>
      <c r="M1561" s="3">
        <v>17364.0</v>
      </c>
      <c r="N1561" s="1" t="str">
        <f t="shared" si="5"/>
        <v>Registered</v>
      </c>
      <c r="O1561" s="1" t="s">
        <v>19</v>
      </c>
      <c r="P1561" s="9" t="str">
        <f t="shared" si="6"/>
        <v>UK</v>
      </c>
      <c r="Q1561" s="8">
        <f t="shared" si="7"/>
        <v>8.85</v>
      </c>
    </row>
    <row r="1562">
      <c r="A1562" s="1">
        <v>544887.0</v>
      </c>
      <c r="B1562" s="1" t="str">
        <f t="shared" si="1"/>
        <v>544887</v>
      </c>
      <c r="C1562" s="1" t="str">
        <f t="shared" si="2"/>
        <v>Sale</v>
      </c>
      <c r="D1562" s="1">
        <v>21095.0</v>
      </c>
      <c r="E1562" s="1" t="str">
        <f>IFERROR(__xludf.DUMMYFUNCTION("IF(LEN(D1562)&gt;4, IFERROR(REGEXEXTRACT(TO_TEXT(D1562),""\d+""),""""),"""")"),"21095")</f>
        <v>21095</v>
      </c>
      <c r="F1562" s="6" t="str">
        <f t="shared" si="3"/>
        <v>Product</v>
      </c>
      <c r="G1562" s="1" t="s">
        <v>971</v>
      </c>
      <c r="H1562" s="6" t="str">
        <f>IFERROR(__xludf.DUMMYFUNCTION("IF(REGEXMATCH(LOWER(G1562), ""^(\?)+\s*(missing)?\s*(\?)*$""), """", PROPER(SUBSTITUTE(SUBSTITUTE(G1562, ""?"", """"), ""*"", """")))"),"Set/6 Posies Paper Plates")</f>
        <v>Set/6 Posies Paper Plates</v>
      </c>
      <c r="I1562" s="3">
        <v>4.0</v>
      </c>
      <c r="J1562" s="7">
        <v>40598.495833333334</v>
      </c>
      <c r="K1562" s="8" t="str">
        <f t="shared" si="4"/>
        <v>2011-02</v>
      </c>
      <c r="L1562" s="5">
        <v>0.85</v>
      </c>
      <c r="M1562" s="3">
        <v>17364.0</v>
      </c>
      <c r="N1562" s="1" t="str">
        <f t="shared" si="5"/>
        <v>Registered</v>
      </c>
      <c r="O1562" s="1" t="s">
        <v>19</v>
      </c>
      <c r="P1562" s="9" t="str">
        <f t="shared" si="6"/>
        <v>UK</v>
      </c>
      <c r="Q1562" s="8">
        <f t="shared" si="7"/>
        <v>3.4</v>
      </c>
    </row>
    <row r="1563">
      <c r="A1563" s="1">
        <v>544887.0</v>
      </c>
      <c r="B1563" s="1" t="str">
        <f t="shared" si="1"/>
        <v>544887</v>
      </c>
      <c r="C1563" s="1" t="str">
        <f t="shared" si="2"/>
        <v>Sale</v>
      </c>
      <c r="D1563" s="1">
        <v>21988.0</v>
      </c>
      <c r="E1563" s="1" t="str">
        <f>IFERROR(__xludf.DUMMYFUNCTION("IF(LEN(D1563)&gt;4, IFERROR(REGEXEXTRACT(TO_TEXT(D1563),""\d+""),""""),"""")"),"21988")</f>
        <v>21988</v>
      </c>
      <c r="F1563" s="6" t="str">
        <f t="shared" si="3"/>
        <v>Product</v>
      </c>
      <c r="G1563" s="1" t="s">
        <v>972</v>
      </c>
      <c r="H1563" s="6" t="str">
        <f>IFERROR(__xludf.DUMMYFUNCTION("IF(REGEXMATCH(LOWER(G1563), ""^(\?)+\s*(missing)?\s*(\?)*$""), """", PROPER(SUBSTITUTE(SUBSTITUTE(G1563, ""?"", """"), ""*"", """")))"),"Pack Of 6 Skull Paper Plates")</f>
        <v>Pack Of 6 Skull Paper Plates</v>
      </c>
      <c r="I1563" s="3">
        <v>2.0</v>
      </c>
      <c r="J1563" s="7">
        <v>40598.495833333334</v>
      </c>
      <c r="K1563" s="8" t="str">
        <f t="shared" si="4"/>
        <v>2011-02</v>
      </c>
      <c r="L1563" s="5">
        <v>0.85</v>
      </c>
      <c r="M1563" s="3">
        <v>17364.0</v>
      </c>
      <c r="N1563" s="1" t="str">
        <f t="shared" si="5"/>
        <v>Registered</v>
      </c>
      <c r="O1563" s="1" t="s">
        <v>19</v>
      </c>
      <c r="P1563" s="9" t="str">
        <f t="shared" si="6"/>
        <v>UK</v>
      </c>
      <c r="Q1563" s="8">
        <f t="shared" si="7"/>
        <v>1.7</v>
      </c>
    </row>
    <row r="1564">
      <c r="A1564" s="1">
        <v>544887.0</v>
      </c>
      <c r="B1564" s="1" t="str">
        <f t="shared" si="1"/>
        <v>544887</v>
      </c>
      <c r="C1564" s="1" t="str">
        <f t="shared" si="2"/>
        <v>Sale</v>
      </c>
      <c r="D1564" s="1">
        <v>16216.0</v>
      </c>
      <c r="E1564" s="1" t="str">
        <f>IFERROR(__xludf.DUMMYFUNCTION("IF(LEN(D1564)&gt;4, IFERROR(REGEXEXTRACT(TO_TEXT(D1564),""\d+""),""""),"""")"),"16216")</f>
        <v>16216</v>
      </c>
      <c r="F1564" s="6" t="str">
        <f t="shared" si="3"/>
        <v>Product</v>
      </c>
      <c r="G1564" s="1" t="s">
        <v>973</v>
      </c>
      <c r="H1564" s="6" t="str">
        <f>IFERROR(__xludf.DUMMYFUNCTION("IF(REGEXMATCH(LOWER(G1564), ""^(\?)+\s*(missing)?\s*(\?)*$""), """", PROPER(SUBSTITUTE(SUBSTITUTE(G1564, ""?"", """"), ""*"", """")))"),"Letter Shape Pencil Sharpener")</f>
        <v>Letter Shape Pencil Sharpener</v>
      </c>
      <c r="I1564" s="3">
        <v>5.0</v>
      </c>
      <c r="J1564" s="7">
        <v>40598.495833333334</v>
      </c>
      <c r="K1564" s="8" t="str">
        <f t="shared" si="4"/>
        <v>2011-02</v>
      </c>
      <c r="L1564" s="5">
        <v>0.16</v>
      </c>
      <c r="M1564" s="3">
        <v>17364.0</v>
      </c>
      <c r="N1564" s="1" t="str">
        <f t="shared" si="5"/>
        <v>Registered</v>
      </c>
      <c r="O1564" s="1" t="s">
        <v>19</v>
      </c>
      <c r="P1564" s="9" t="str">
        <f t="shared" si="6"/>
        <v>UK</v>
      </c>
      <c r="Q1564" s="8">
        <f t="shared" si="7"/>
        <v>0.8</v>
      </c>
    </row>
    <row r="1565">
      <c r="A1565" s="1">
        <v>544887.0</v>
      </c>
      <c r="B1565" s="1" t="str">
        <f t="shared" si="1"/>
        <v>544887</v>
      </c>
      <c r="C1565" s="1" t="str">
        <f t="shared" si="2"/>
        <v>Sale</v>
      </c>
      <c r="D1565" s="1">
        <v>16235.0</v>
      </c>
      <c r="E1565" s="1" t="str">
        <f>IFERROR(__xludf.DUMMYFUNCTION("IF(LEN(D1565)&gt;4, IFERROR(REGEXEXTRACT(TO_TEXT(D1565),""\d+""),""""),"""")"),"16235")</f>
        <v>16235</v>
      </c>
      <c r="F1565" s="6" t="str">
        <f t="shared" si="3"/>
        <v>Product</v>
      </c>
      <c r="G1565" s="1" t="s">
        <v>693</v>
      </c>
      <c r="H1565" s="6" t="str">
        <f>IFERROR(__xludf.DUMMYFUNCTION("IF(REGEXMATCH(LOWER(G1565), ""^(\?)+\s*(missing)?\s*(\?)*$""), """", PROPER(SUBSTITUTE(SUBSTITUTE(G1565, ""?"", """"), ""*"", """")))"),"Recycled Pencil With Rabbit Eraser")</f>
        <v>Recycled Pencil With Rabbit Eraser</v>
      </c>
      <c r="I1565" s="3">
        <v>6.0</v>
      </c>
      <c r="J1565" s="7">
        <v>40598.495833333334</v>
      </c>
      <c r="K1565" s="8" t="str">
        <f t="shared" si="4"/>
        <v>2011-02</v>
      </c>
      <c r="L1565" s="5">
        <v>0.21</v>
      </c>
      <c r="M1565" s="3">
        <v>17364.0</v>
      </c>
      <c r="N1565" s="1" t="str">
        <f t="shared" si="5"/>
        <v>Registered</v>
      </c>
      <c r="O1565" s="1" t="s">
        <v>19</v>
      </c>
      <c r="P1565" s="9" t="str">
        <f t="shared" si="6"/>
        <v>UK</v>
      </c>
      <c r="Q1565" s="8">
        <f t="shared" si="7"/>
        <v>1.26</v>
      </c>
    </row>
    <row r="1566">
      <c r="A1566" s="1">
        <v>544887.0</v>
      </c>
      <c r="B1566" s="1" t="str">
        <f t="shared" si="1"/>
        <v>544887</v>
      </c>
      <c r="C1566" s="1" t="str">
        <f t="shared" si="2"/>
        <v>Sale</v>
      </c>
      <c r="D1566" s="1">
        <v>84988.0</v>
      </c>
      <c r="E1566" s="1" t="str">
        <f>IFERROR(__xludf.DUMMYFUNCTION("IF(LEN(D1566)&gt;4, IFERROR(REGEXEXTRACT(TO_TEXT(D1566),""\d+""),""""),"""")"),"84988")</f>
        <v>84988</v>
      </c>
      <c r="F1566" s="6" t="str">
        <f t="shared" si="3"/>
        <v>Product</v>
      </c>
      <c r="G1566" s="1" t="s">
        <v>747</v>
      </c>
      <c r="H1566" s="6" t="str">
        <f>IFERROR(__xludf.DUMMYFUNCTION("IF(REGEXMATCH(LOWER(G1566), ""^(\?)+\s*(missing)?\s*(\?)*$""), """", PROPER(SUBSTITUTE(SUBSTITUTE(G1566, ""?"", """"), ""*"", """")))"),"Set Of 72 Pink Heart Paper Doilies")</f>
        <v>Set Of 72 Pink Heart Paper Doilies</v>
      </c>
      <c r="I1566" s="3">
        <v>3.0</v>
      </c>
      <c r="J1566" s="7">
        <v>40598.495833333334</v>
      </c>
      <c r="K1566" s="8" t="str">
        <f t="shared" si="4"/>
        <v>2011-02</v>
      </c>
      <c r="L1566" s="5">
        <v>1.45</v>
      </c>
      <c r="M1566" s="3">
        <v>17364.0</v>
      </c>
      <c r="N1566" s="1" t="str">
        <f t="shared" si="5"/>
        <v>Registered</v>
      </c>
      <c r="O1566" s="1" t="s">
        <v>19</v>
      </c>
      <c r="P1566" s="9" t="str">
        <f t="shared" si="6"/>
        <v>UK</v>
      </c>
      <c r="Q1566" s="8">
        <f t="shared" si="7"/>
        <v>4.35</v>
      </c>
    </row>
    <row r="1567">
      <c r="A1567" s="1">
        <v>544887.0</v>
      </c>
      <c r="B1567" s="1" t="str">
        <f t="shared" si="1"/>
        <v>544887</v>
      </c>
      <c r="C1567" s="1" t="str">
        <f t="shared" si="2"/>
        <v>Sale</v>
      </c>
      <c r="D1567" s="1">
        <v>22993.0</v>
      </c>
      <c r="E1567" s="1" t="str">
        <f>IFERROR(__xludf.DUMMYFUNCTION("IF(LEN(D1567)&gt;4, IFERROR(REGEXEXTRACT(TO_TEXT(D1567),""\d+""),""""),"""")"),"22993")</f>
        <v>22993</v>
      </c>
      <c r="F1567" s="6" t="str">
        <f t="shared" si="3"/>
        <v>Product</v>
      </c>
      <c r="G1567" s="1" t="s">
        <v>709</v>
      </c>
      <c r="H1567" s="6" t="str">
        <f>IFERROR(__xludf.DUMMYFUNCTION("IF(REGEXMATCH(LOWER(G1567), ""^(\?)+\s*(missing)?\s*(\?)*$""), """", PROPER(SUBSTITUTE(SUBSTITUTE(G1567, ""?"", """"), ""*"", """")))"),"Set Of 4 Pantry Jelly Moulds")</f>
        <v>Set Of 4 Pantry Jelly Moulds</v>
      </c>
      <c r="I1567" s="3">
        <v>4.0</v>
      </c>
      <c r="J1567" s="7">
        <v>40598.495833333334</v>
      </c>
      <c r="K1567" s="8" t="str">
        <f t="shared" si="4"/>
        <v>2011-02</v>
      </c>
      <c r="L1567" s="5">
        <v>1.25</v>
      </c>
      <c r="M1567" s="3">
        <v>17364.0</v>
      </c>
      <c r="N1567" s="1" t="str">
        <f t="shared" si="5"/>
        <v>Registered</v>
      </c>
      <c r="O1567" s="1" t="s">
        <v>19</v>
      </c>
      <c r="P1567" s="9" t="str">
        <f t="shared" si="6"/>
        <v>UK</v>
      </c>
      <c r="Q1567" s="8">
        <f t="shared" si="7"/>
        <v>5</v>
      </c>
    </row>
    <row r="1568">
      <c r="A1568" s="1">
        <v>544887.0</v>
      </c>
      <c r="B1568" s="1" t="str">
        <f t="shared" si="1"/>
        <v>544887</v>
      </c>
      <c r="C1568" s="1" t="str">
        <f t="shared" si="2"/>
        <v>Sale</v>
      </c>
      <c r="D1568" s="1" t="s">
        <v>907</v>
      </c>
      <c r="E1568" s="1" t="str">
        <f>IFERROR(__xludf.DUMMYFUNCTION("IF(LEN(D1568)&gt;4, IFERROR(REGEXEXTRACT(TO_TEXT(D1568),""\d+""),""""),"""")"),"85206")</f>
        <v>85206</v>
      </c>
      <c r="F1568" s="6" t="str">
        <f t="shared" si="3"/>
        <v>Product</v>
      </c>
      <c r="G1568" s="1" t="s">
        <v>908</v>
      </c>
      <c r="H1568" s="6" t="str">
        <f>IFERROR(__xludf.DUMMYFUNCTION("IF(REGEXMATCH(LOWER(G1568), ""^(\?)+\s*(missing)?\s*(\?)*$""), """", PROPER(SUBSTITUTE(SUBSTITUTE(G1568, ""?"", """"), ""*"", """")))"),"Cream Felt Easter Egg Basket")</f>
        <v>Cream Felt Easter Egg Basket</v>
      </c>
      <c r="I1568" s="3">
        <v>4.0</v>
      </c>
      <c r="J1568" s="7">
        <v>40598.495833333334</v>
      </c>
      <c r="K1568" s="8" t="str">
        <f t="shared" si="4"/>
        <v>2011-02</v>
      </c>
      <c r="L1568" s="5">
        <v>1.65</v>
      </c>
      <c r="M1568" s="3">
        <v>17364.0</v>
      </c>
      <c r="N1568" s="1" t="str">
        <f t="shared" si="5"/>
        <v>Registered</v>
      </c>
      <c r="O1568" s="1" t="s">
        <v>19</v>
      </c>
      <c r="P1568" s="9" t="str">
        <f t="shared" si="6"/>
        <v>UK</v>
      </c>
      <c r="Q1568" s="8">
        <f t="shared" si="7"/>
        <v>6.6</v>
      </c>
    </row>
    <row r="1569">
      <c r="A1569" s="1">
        <v>544887.0</v>
      </c>
      <c r="B1569" s="1" t="str">
        <f t="shared" si="1"/>
        <v>544887</v>
      </c>
      <c r="C1569" s="1" t="str">
        <f t="shared" si="2"/>
        <v>Sale</v>
      </c>
      <c r="D1569" s="1">
        <v>21294.0</v>
      </c>
      <c r="E1569" s="1" t="str">
        <f>IFERROR(__xludf.DUMMYFUNCTION("IF(LEN(D1569)&gt;4, IFERROR(REGEXEXTRACT(TO_TEXT(D1569),""\d+""),""""),"""")"),"21294")</f>
        <v>21294</v>
      </c>
      <c r="F1569" s="6" t="str">
        <f t="shared" si="3"/>
        <v>Product</v>
      </c>
      <c r="G1569" s="1" t="s">
        <v>974</v>
      </c>
      <c r="H1569" s="6" t="str">
        <f>IFERROR(__xludf.DUMMYFUNCTION("IF(REGEXMATCH(LOWER(G1569), ""^(\?)+\s*(missing)?\s*(\?)*$""), """", PROPER(SUBSTITUTE(SUBSTITUTE(G1569, ""?"", """"), ""*"", """")))"),"Etched Glass Coaster")</f>
        <v>Etched Glass Coaster</v>
      </c>
      <c r="I1569" s="3">
        <v>10.0</v>
      </c>
      <c r="J1569" s="7">
        <v>40598.495833333334</v>
      </c>
      <c r="K1569" s="8" t="str">
        <f t="shared" si="4"/>
        <v>2011-02</v>
      </c>
      <c r="L1569" s="5">
        <v>1.25</v>
      </c>
      <c r="M1569" s="3">
        <v>17364.0</v>
      </c>
      <c r="N1569" s="1" t="str">
        <f t="shared" si="5"/>
        <v>Registered</v>
      </c>
      <c r="O1569" s="1" t="s">
        <v>19</v>
      </c>
      <c r="P1569" s="9" t="str">
        <f t="shared" si="6"/>
        <v>UK</v>
      </c>
      <c r="Q1569" s="8">
        <f t="shared" si="7"/>
        <v>12.5</v>
      </c>
    </row>
    <row r="1570">
      <c r="A1570" s="1">
        <v>544887.0</v>
      </c>
      <c r="B1570" s="1" t="str">
        <f t="shared" si="1"/>
        <v>544887</v>
      </c>
      <c r="C1570" s="1" t="str">
        <f t="shared" si="2"/>
        <v>Sale</v>
      </c>
      <c r="D1570" s="1">
        <v>21087.0</v>
      </c>
      <c r="E1570" s="1" t="str">
        <f>IFERROR(__xludf.DUMMYFUNCTION("IF(LEN(D1570)&gt;4, IFERROR(REGEXEXTRACT(TO_TEXT(D1570),""\d+""),""""),"""")"),"21087")</f>
        <v>21087</v>
      </c>
      <c r="F1570" s="6" t="str">
        <f t="shared" si="3"/>
        <v>Product</v>
      </c>
      <c r="G1570" s="1" t="s">
        <v>975</v>
      </c>
      <c r="H1570" s="6" t="str">
        <f>IFERROR(__xludf.DUMMYFUNCTION("IF(REGEXMATCH(LOWER(G1570), ""^(\?)+\s*(missing)?\s*(\?)*$""), """", PROPER(SUBSTITUTE(SUBSTITUTE(G1570, ""?"", """"), ""*"", """")))"),"Set/6 Posies Paper Cups")</f>
        <v>Set/6 Posies Paper Cups</v>
      </c>
      <c r="I1570" s="3">
        <v>4.0</v>
      </c>
      <c r="J1570" s="7">
        <v>40598.495833333334</v>
      </c>
      <c r="K1570" s="8" t="str">
        <f t="shared" si="4"/>
        <v>2011-02</v>
      </c>
      <c r="L1570" s="5">
        <v>0.65</v>
      </c>
      <c r="M1570" s="3">
        <v>17364.0</v>
      </c>
      <c r="N1570" s="1" t="str">
        <f t="shared" si="5"/>
        <v>Registered</v>
      </c>
      <c r="O1570" s="1" t="s">
        <v>19</v>
      </c>
      <c r="P1570" s="9" t="str">
        <f t="shared" si="6"/>
        <v>UK</v>
      </c>
      <c r="Q1570" s="8">
        <f t="shared" si="7"/>
        <v>2.6</v>
      </c>
    </row>
    <row r="1571">
      <c r="A1571" s="1">
        <v>544887.0</v>
      </c>
      <c r="B1571" s="1" t="str">
        <f t="shared" si="1"/>
        <v>544887</v>
      </c>
      <c r="C1571" s="1" t="str">
        <f t="shared" si="2"/>
        <v>Sale</v>
      </c>
      <c r="D1571" s="1">
        <v>21987.0</v>
      </c>
      <c r="E1571" s="1" t="str">
        <f>IFERROR(__xludf.DUMMYFUNCTION("IF(LEN(D1571)&gt;4, IFERROR(REGEXEXTRACT(TO_TEXT(D1571),""\d+""),""""),"""")"),"21987")</f>
        <v>21987</v>
      </c>
      <c r="F1571" s="6" t="str">
        <f t="shared" si="3"/>
        <v>Product</v>
      </c>
      <c r="G1571" s="1" t="s">
        <v>976</v>
      </c>
      <c r="H1571" s="6" t="str">
        <f>IFERROR(__xludf.DUMMYFUNCTION("IF(REGEXMATCH(LOWER(G1571), ""^(\?)+\s*(missing)?\s*(\?)*$""), """", PROPER(SUBSTITUTE(SUBSTITUTE(G1571, ""?"", """"), ""*"", """")))"),"Pack Of 6 Skull Paper Cups")</f>
        <v>Pack Of 6 Skull Paper Cups</v>
      </c>
      <c r="I1571" s="3">
        <v>3.0</v>
      </c>
      <c r="J1571" s="7">
        <v>40598.495833333334</v>
      </c>
      <c r="K1571" s="8" t="str">
        <f t="shared" si="4"/>
        <v>2011-02</v>
      </c>
      <c r="L1571" s="5">
        <v>0.65</v>
      </c>
      <c r="M1571" s="3">
        <v>17364.0</v>
      </c>
      <c r="N1571" s="1" t="str">
        <f t="shared" si="5"/>
        <v>Registered</v>
      </c>
      <c r="O1571" s="1" t="s">
        <v>19</v>
      </c>
      <c r="P1571" s="9" t="str">
        <f t="shared" si="6"/>
        <v>UK</v>
      </c>
      <c r="Q1571" s="8">
        <f t="shared" si="7"/>
        <v>1.95</v>
      </c>
    </row>
    <row r="1572">
      <c r="A1572" s="1">
        <v>544887.0</v>
      </c>
      <c r="B1572" s="1" t="str">
        <f t="shared" si="1"/>
        <v>544887</v>
      </c>
      <c r="C1572" s="1" t="str">
        <f t="shared" si="2"/>
        <v>Sale</v>
      </c>
      <c r="D1572" s="1">
        <v>22075.0</v>
      </c>
      <c r="E1572" s="1" t="str">
        <f>IFERROR(__xludf.DUMMYFUNCTION("IF(LEN(D1572)&gt;4, IFERROR(REGEXEXTRACT(TO_TEXT(D1572),""\d+""),""""),"""")"),"22075")</f>
        <v>22075</v>
      </c>
      <c r="F1572" s="6" t="str">
        <f t="shared" si="3"/>
        <v>Product</v>
      </c>
      <c r="G1572" s="1" t="s">
        <v>419</v>
      </c>
      <c r="H1572" s="6" t="str">
        <f>IFERROR(__xludf.DUMMYFUNCTION("IF(REGEXMATCH(LOWER(G1572), ""^(\?)+\s*(missing)?\s*(\?)*$""), """", PROPER(SUBSTITUTE(SUBSTITUTE(G1572, ""?"", """"), ""*"", """")))"),"6 Ribbons Elegant Christmas")</f>
        <v>6 Ribbons Elegant Christmas</v>
      </c>
      <c r="I1572" s="3">
        <v>4.0</v>
      </c>
      <c r="J1572" s="7">
        <v>40598.495833333334</v>
      </c>
      <c r="K1572" s="8" t="str">
        <f t="shared" si="4"/>
        <v>2011-02</v>
      </c>
      <c r="L1572" s="5">
        <v>1.65</v>
      </c>
      <c r="M1572" s="3">
        <v>17364.0</v>
      </c>
      <c r="N1572" s="1" t="str">
        <f t="shared" si="5"/>
        <v>Registered</v>
      </c>
      <c r="O1572" s="1" t="s">
        <v>19</v>
      </c>
      <c r="P1572" s="9" t="str">
        <f t="shared" si="6"/>
        <v>UK</v>
      </c>
      <c r="Q1572" s="8">
        <f t="shared" si="7"/>
        <v>6.6</v>
      </c>
    </row>
    <row r="1573">
      <c r="A1573" s="1">
        <v>544887.0</v>
      </c>
      <c r="B1573" s="1" t="str">
        <f t="shared" si="1"/>
        <v>544887</v>
      </c>
      <c r="C1573" s="1" t="str">
        <f t="shared" si="2"/>
        <v>Sale</v>
      </c>
      <c r="D1573" s="1">
        <v>22077.0</v>
      </c>
      <c r="E1573" s="1" t="str">
        <f>IFERROR(__xludf.DUMMYFUNCTION("IF(LEN(D1573)&gt;4, IFERROR(REGEXEXTRACT(TO_TEXT(D1573),""\d+""),""""),"""")"),"22077")</f>
        <v>22077</v>
      </c>
      <c r="F1573" s="6" t="str">
        <f t="shared" si="3"/>
        <v>Product</v>
      </c>
      <c r="G1573" s="1" t="s">
        <v>443</v>
      </c>
      <c r="H1573" s="6" t="str">
        <f>IFERROR(__xludf.DUMMYFUNCTION("IF(REGEXMATCH(LOWER(G1573), ""^(\?)+\s*(missing)?\s*(\?)*$""), """", PROPER(SUBSTITUTE(SUBSTITUTE(G1573, ""?"", """"), ""*"", """")))"),"6 Ribbons Rustic Charm")</f>
        <v>6 Ribbons Rustic Charm</v>
      </c>
      <c r="I1573" s="3">
        <v>5.0</v>
      </c>
      <c r="J1573" s="7">
        <v>40598.495833333334</v>
      </c>
      <c r="K1573" s="8" t="str">
        <f t="shared" si="4"/>
        <v>2011-02</v>
      </c>
      <c r="L1573" s="5">
        <v>1.65</v>
      </c>
      <c r="M1573" s="3">
        <v>17364.0</v>
      </c>
      <c r="N1573" s="1" t="str">
        <f t="shared" si="5"/>
        <v>Registered</v>
      </c>
      <c r="O1573" s="1" t="s">
        <v>19</v>
      </c>
      <c r="P1573" s="9" t="str">
        <f t="shared" si="6"/>
        <v>UK</v>
      </c>
      <c r="Q1573" s="8">
        <f t="shared" si="7"/>
        <v>8.25</v>
      </c>
    </row>
    <row r="1574">
      <c r="A1574" s="1">
        <v>544887.0</v>
      </c>
      <c r="B1574" s="1" t="str">
        <f t="shared" si="1"/>
        <v>544887</v>
      </c>
      <c r="C1574" s="1" t="str">
        <f t="shared" si="2"/>
        <v>Sale</v>
      </c>
      <c r="D1574" s="1">
        <v>22630.0</v>
      </c>
      <c r="E1574" s="1" t="str">
        <f>IFERROR(__xludf.DUMMYFUNCTION("IF(LEN(D1574)&gt;4, IFERROR(REGEXEXTRACT(TO_TEXT(D1574),""\d+""),""""),"""")"),"22630")</f>
        <v>22630</v>
      </c>
      <c r="F1574" s="6" t="str">
        <f t="shared" si="3"/>
        <v>Product</v>
      </c>
      <c r="G1574" s="1" t="s">
        <v>433</v>
      </c>
      <c r="H1574" s="6" t="str">
        <f>IFERROR(__xludf.DUMMYFUNCTION("IF(REGEXMATCH(LOWER(G1574), ""^(\?)+\s*(missing)?\s*(\?)*$""), """", PROPER(SUBSTITUTE(SUBSTITUTE(G1574, ""?"", """"), ""*"", """")))"),"Dolly Girl Lunch Box")</f>
        <v>Dolly Girl Lunch Box</v>
      </c>
      <c r="I1574" s="3">
        <v>1.0</v>
      </c>
      <c r="J1574" s="7">
        <v>40598.495833333334</v>
      </c>
      <c r="K1574" s="8" t="str">
        <f t="shared" si="4"/>
        <v>2011-02</v>
      </c>
      <c r="L1574" s="5">
        <v>1.95</v>
      </c>
      <c r="M1574" s="3">
        <v>17364.0</v>
      </c>
      <c r="N1574" s="1" t="str">
        <f t="shared" si="5"/>
        <v>Registered</v>
      </c>
      <c r="O1574" s="1" t="s">
        <v>19</v>
      </c>
      <c r="P1574" s="9" t="str">
        <f t="shared" si="6"/>
        <v>UK</v>
      </c>
      <c r="Q1574" s="8">
        <f t="shared" si="7"/>
        <v>1.95</v>
      </c>
    </row>
    <row r="1575">
      <c r="A1575" s="1">
        <v>544887.0</v>
      </c>
      <c r="B1575" s="1" t="str">
        <f t="shared" si="1"/>
        <v>544887</v>
      </c>
      <c r="C1575" s="1" t="str">
        <f t="shared" si="2"/>
        <v>Sale</v>
      </c>
      <c r="D1575" s="1">
        <v>22631.0</v>
      </c>
      <c r="E1575" s="1" t="str">
        <f>IFERROR(__xludf.DUMMYFUNCTION("IF(LEN(D1575)&gt;4, IFERROR(REGEXEXTRACT(TO_TEXT(D1575),""\d+""),""""),"""")"),"22631")</f>
        <v>22631</v>
      </c>
      <c r="F1575" s="6" t="str">
        <f t="shared" si="3"/>
        <v>Product</v>
      </c>
      <c r="G1575" s="1" t="s">
        <v>60</v>
      </c>
      <c r="H1575" s="6" t="str">
        <f>IFERROR(__xludf.DUMMYFUNCTION("IF(REGEXMATCH(LOWER(G1575), ""^(\?)+\s*(missing)?\s*(\?)*$""), """", PROPER(SUBSTITUTE(SUBSTITUTE(G1575, ""?"", """"), ""*"", """")))"),"Circus Parade Lunch Box")</f>
        <v>Circus Parade Lunch Box</v>
      </c>
      <c r="I1575" s="3">
        <v>2.0</v>
      </c>
      <c r="J1575" s="7">
        <v>40598.495833333334</v>
      </c>
      <c r="K1575" s="8" t="str">
        <f t="shared" si="4"/>
        <v>2011-02</v>
      </c>
      <c r="L1575" s="5">
        <v>1.95</v>
      </c>
      <c r="M1575" s="3">
        <v>17364.0</v>
      </c>
      <c r="N1575" s="1" t="str">
        <f t="shared" si="5"/>
        <v>Registered</v>
      </c>
      <c r="O1575" s="1" t="s">
        <v>19</v>
      </c>
      <c r="P1575" s="9" t="str">
        <f t="shared" si="6"/>
        <v>UK</v>
      </c>
      <c r="Q1575" s="8">
        <f t="shared" si="7"/>
        <v>3.9</v>
      </c>
    </row>
    <row r="1576">
      <c r="A1576" s="1">
        <v>544887.0</v>
      </c>
      <c r="B1576" s="1" t="str">
        <f t="shared" si="1"/>
        <v>544887</v>
      </c>
      <c r="C1576" s="1" t="str">
        <f t="shared" si="2"/>
        <v>Sale</v>
      </c>
      <c r="D1576" s="1">
        <v>22329.0</v>
      </c>
      <c r="E1576" s="1" t="str">
        <f>IFERROR(__xludf.DUMMYFUNCTION("IF(LEN(D1576)&gt;4, IFERROR(REGEXEXTRACT(TO_TEXT(D1576),""\d+""),""""),"""")"),"22329")</f>
        <v>22329</v>
      </c>
      <c r="F1576" s="6" t="str">
        <f t="shared" si="3"/>
        <v>Product</v>
      </c>
      <c r="G1576" s="1" t="s">
        <v>977</v>
      </c>
      <c r="H1576" s="6" t="str">
        <f>IFERROR(__xludf.DUMMYFUNCTION("IF(REGEXMATCH(LOWER(G1576), ""^(\?)+\s*(missing)?\s*(\?)*$""), """", PROPER(SUBSTITUTE(SUBSTITUTE(G1576, ""?"", """"), ""*"", """")))"),"Round Container Set Of 5 Retrospot")</f>
        <v>Round Container Set Of 5 Retrospot</v>
      </c>
      <c r="I1576" s="3">
        <v>2.0</v>
      </c>
      <c r="J1576" s="7">
        <v>40598.495833333334</v>
      </c>
      <c r="K1576" s="8" t="str">
        <f t="shared" si="4"/>
        <v>2011-02</v>
      </c>
      <c r="L1576" s="5">
        <v>1.65</v>
      </c>
      <c r="M1576" s="3">
        <v>17364.0</v>
      </c>
      <c r="N1576" s="1" t="str">
        <f t="shared" si="5"/>
        <v>Registered</v>
      </c>
      <c r="O1576" s="1" t="s">
        <v>19</v>
      </c>
      <c r="P1576" s="9" t="str">
        <f t="shared" si="6"/>
        <v>UK</v>
      </c>
      <c r="Q1576" s="8">
        <f t="shared" si="7"/>
        <v>3.3</v>
      </c>
    </row>
    <row r="1577">
      <c r="A1577" s="1">
        <v>544887.0</v>
      </c>
      <c r="B1577" s="1" t="str">
        <f t="shared" si="1"/>
        <v>544887</v>
      </c>
      <c r="C1577" s="1" t="str">
        <f t="shared" si="2"/>
        <v>Sale</v>
      </c>
      <c r="D1577" s="1">
        <v>22170.0</v>
      </c>
      <c r="E1577" s="1" t="str">
        <f>IFERROR(__xludf.DUMMYFUNCTION("IF(LEN(D1577)&gt;4, IFERROR(REGEXEXTRACT(TO_TEXT(D1577),""\d+""),""""),"""")"),"22170")</f>
        <v>22170</v>
      </c>
      <c r="F1577" s="6" t="str">
        <f t="shared" si="3"/>
        <v>Product</v>
      </c>
      <c r="G1577" s="1" t="s">
        <v>978</v>
      </c>
      <c r="H1577" s="6" t="str">
        <f>IFERROR(__xludf.DUMMYFUNCTION("IF(REGEXMATCH(LOWER(G1577), ""^(\?)+\s*(missing)?\s*(\?)*$""), """", PROPER(SUBSTITUTE(SUBSTITUTE(G1577, ""?"", """"), ""*"", """")))"),"Picture Frame Wood Triple Portrait")</f>
        <v>Picture Frame Wood Triple Portrait</v>
      </c>
      <c r="I1577" s="3">
        <v>3.0</v>
      </c>
      <c r="J1577" s="7">
        <v>40598.495833333334</v>
      </c>
      <c r="K1577" s="8" t="str">
        <f t="shared" si="4"/>
        <v>2011-02</v>
      </c>
      <c r="L1577" s="5">
        <v>6.75</v>
      </c>
      <c r="M1577" s="3">
        <v>17364.0</v>
      </c>
      <c r="N1577" s="1" t="str">
        <f t="shared" si="5"/>
        <v>Registered</v>
      </c>
      <c r="O1577" s="1" t="s">
        <v>19</v>
      </c>
      <c r="P1577" s="9" t="str">
        <f t="shared" si="6"/>
        <v>UK</v>
      </c>
      <c r="Q1577" s="8">
        <f t="shared" si="7"/>
        <v>20.25</v>
      </c>
    </row>
    <row r="1578">
      <c r="A1578" s="1">
        <v>544887.0</v>
      </c>
      <c r="B1578" s="1" t="str">
        <f t="shared" si="1"/>
        <v>544887</v>
      </c>
      <c r="C1578" s="1" t="str">
        <f t="shared" si="2"/>
        <v>Sale</v>
      </c>
      <c r="D1578" s="1">
        <v>22492.0</v>
      </c>
      <c r="E1578" s="1" t="str">
        <f>IFERROR(__xludf.DUMMYFUNCTION("IF(LEN(D1578)&gt;4, IFERROR(REGEXEXTRACT(TO_TEXT(D1578),""\d+""),""""),"""")"),"22492")</f>
        <v>22492</v>
      </c>
      <c r="F1578" s="6" t="str">
        <f t="shared" si="3"/>
        <v>Product</v>
      </c>
      <c r="G1578" s="1" t="s">
        <v>67</v>
      </c>
      <c r="H1578" s="6" t="str">
        <f>IFERROR(__xludf.DUMMYFUNCTION("IF(REGEXMATCH(LOWER(G1578), ""^(\?)+\s*(missing)?\s*(\?)*$""), """", PROPER(SUBSTITUTE(SUBSTITUTE(G1578, ""?"", """"), ""*"", """")))"),"Mini Paint Set Vintage")</f>
        <v>Mini Paint Set Vintage</v>
      </c>
      <c r="I1578" s="3">
        <v>36.0</v>
      </c>
      <c r="J1578" s="7">
        <v>40598.495833333334</v>
      </c>
      <c r="K1578" s="8" t="str">
        <f t="shared" si="4"/>
        <v>2011-02</v>
      </c>
      <c r="L1578" s="5">
        <v>0.65</v>
      </c>
      <c r="M1578" s="3">
        <v>17364.0</v>
      </c>
      <c r="N1578" s="1" t="str">
        <f t="shared" si="5"/>
        <v>Registered</v>
      </c>
      <c r="O1578" s="1" t="s">
        <v>19</v>
      </c>
      <c r="P1578" s="9" t="str">
        <f t="shared" si="6"/>
        <v>UK</v>
      </c>
      <c r="Q1578" s="8">
        <f t="shared" si="7"/>
        <v>23.4</v>
      </c>
    </row>
    <row r="1579">
      <c r="A1579" s="1">
        <v>544887.0</v>
      </c>
      <c r="B1579" s="1" t="str">
        <f t="shared" si="1"/>
        <v>544887</v>
      </c>
      <c r="C1579" s="1" t="str">
        <f t="shared" si="2"/>
        <v>Sale</v>
      </c>
      <c r="D1579" s="1">
        <v>22907.0</v>
      </c>
      <c r="E1579" s="1" t="str">
        <f>IFERROR(__xludf.DUMMYFUNCTION("IF(LEN(D1579)&gt;4, IFERROR(REGEXEXTRACT(TO_TEXT(D1579),""\d+""),""""),"""")"),"22907")</f>
        <v>22907</v>
      </c>
      <c r="F1579" s="6" t="str">
        <f t="shared" si="3"/>
        <v>Product</v>
      </c>
      <c r="G1579" s="1" t="s">
        <v>691</v>
      </c>
      <c r="H1579" s="6" t="str">
        <f>IFERROR(__xludf.DUMMYFUNCTION("IF(REGEXMATCH(LOWER(G1579), ""^(\?)+\s*(missing)?\s*(\?)*$""), """", PROPER(SUBSTITUTE(SUBSTITUTE(G1579, ""?"", """"), ""*"", """")))"),"Pack Of 20 Napkins Pantry Design")</f>
        <v>Pack Of 20 Napkins Pantry Design</v>
      </c>
      <c r="I1579" s="3">
        <v>3.0</v>
      </c>
      <c r="J1579" s="7">
        <v>40598.495833333334</v>
      </c>
      <c r="K1579" s="8" t="str">
        <f t="shared" si="4"/>
        <v>2011-02</v>
      </c>
      <c r="L1579" s="5">
        <v>0.85</v>
      </c>
      <c r="M1579" s="3">
        <v>17364.0</v>
      </c>
      <c r="N1579" s="1" t="str">
        <f t="shared" si="5"/>
        <v>Registered</v>
      </c>
      <c r="O1579" s="1" t="s">
        <v>19</v>
      </c>
      <c r="P1579" s="9" t="str">
        <f t="shared" si="6"/>
        <v>UK</v>
      </c>
      <c r="Q1579" s="8">
        <f t="shared" si="7"/>
        <v>2.55</v>
      </c>
    </row>
    <row r="1580">
      <c r="A1580" s="1">
        <v>544887.0</v>
      </c>
      <c r="B1580" s="1" t="str">
        <f t="shared" si="1"/>
        <v>544887</v>
      </c>
      <c r="C1580" s="1" t="str">
        <f t="shared" si="2"/>
        <v>Sale</v>
      </c>
      <c r="D1580" s="1">
        <v>84375.0</v>
      </c>
      <c r="E1580" s="1" t="str">
        <f>IFERROR(__xludf.DUMMYFUNCTION("IF(LEN(D1580)&gt;4, IFERROR(REGEXEXTRACT(TO_TEXT(D1580),""\d+""),""""),"""")"),"84375")</f>
        <v>84375</v>
      </c>
      <c r="F1580" s="6" t="str">
        <f t="shared" si="3"/>
        <v>Product</v>
      </c>
      <c r="G1580" s="1" t="s">
        <v>367</v>
      </c>
      <c r="H1580" s="6" t="str">
        <f>IFERROR(__xludf.DUMMYFUNCTION("IF(REGEXMATCH(LOWER(G1580), ""^(\?)+\s*(missing)?\s*(\?)*$""), """", PROPER(SUBSTITUTE(SUBSTITUTE(G1580, ""?"", """"), ""*"", """")))"),"Set Of 20 Kids Cookie Cutters")</f>
        <v>Set Of 20 Kids Cookie Cutters</v>
      </c>
      <c r="I1580" s="3">
        <v>2.0</v>
      </c>
      <c r="J1580" s="7">
        <v>40598.495833333334</v>
      </c>
      <c r="K1580" s="8" t="str">
        <f t="shared" si="4"/>
        <v>2011-02</v>
      </c>
      <c r="L1580" s="5">
        <v>2.1</v>
      </c>
      <c r="M1580" s="3">
        <v>17364.0</v>
      </c>
      <c r="N1580" s="1" t="str">
        <f t="shared" si="5"/>
        <v>Registered</v>
      </c>
      <c r="O1580" s="1" t="s">
        <v>19</v>
      </c>
      <c r="P1580" s="9" t="str">
        <f t="shared" si="6"/>
        <v>UK</v>
      </c>
      <c r="Q1580" s="8">
        <f t="shared" si="7"/>
        <v>4.2</v>
      </c>
    </row>
    <row r="1581">
      <c r="A1581" s="1">
        <v>544887.0</v>
      </c>
      <c r="B1581" s="1" t="str">
        <f t="shared" si="1"/>
        <v>544887</v>
      </c>
      <c r="C1581" s="1" t="str">
        <f t="shared" si="2"/>
        <v>Sale</v>
      </c>
      <c r="D1581" s="1">
        <v>22966.0</v>
      </c>
      <c r="E1581" s="1" t="str">
        <f>IFERROR(__xludf.DUMMYFUNCTION("IF(LEN(D1581)&gt;4, IFERROR(REGEXEXTRACT(TO_TEXT(D1581),""\d+""),""""),"""")"),"22966")</f>
        <v>22966</v>
      </c>
      <c r="F1581" s="6" t="str">
        <f t="shared" si="3"/>
        <v>Product</v>
      </c>
      <c r="G1581" s="1" t="s">
        <v>779</v>
      </c>
      <c r="H1581" s="6" t="str">
        <f>IFERROR(__xludf.DUMMYFUNCTION("IF(REGEXMATCH(LOWER(G1581), ""^(\?)+\s*(missing)?\s*(\?)*$""), """", PROPER(SUBSTITUTE(SUBSTITUTE(G1581, ""?"", """"), ""*"", """")))"),"Gingerbread Man Cookie Cutter")</f>
        <v>Gingerbread Man Cookie Cutter</v>
      </c>
      <c r="I1581" s="3">
        <v>6.0</v>
      </c>
      <c r="J1581" s="7">
        <v>40598.495833333334</v>
      </c>
      <c r="K1581" s="8" t="str">
        <f t="shared" si="4"/>
        <v>2011-02</v>
      </c>
      <c r="L1581" s="5">
        <v>1.25</v>
      </c>
      <c r="M1581" s="3">
        <v>17364.0</v>
      </c>
      <c r="N1581" s="1" t="str">
        <f t="shared" si="5"/>
        <v>Registered</v>
      </c>
      <c r="O1581" s="1" t="s">
        <v>19</v>
      </c>
      <c r="P1581" s="9" t="str">
        <f t="shared" si="6"/>
        <v>UK</v>
      </c>
      <c r="Q1581" s="8">
        <f t="shared" si="7"/>
        <v>7.5</v>
      </c>
    </row>
    <row r="1582">
      <c r="A1582" s="1">
        <v>544887.0</v>
      </c>
      <c r="B1582" s="1" t="str">
        <f t="shared" si="1"/>
        <v>544887</v>
      </c>
      <c r="C1582" s="1" t="str">
        <f t="shared" si="2"/>
        <v>Sale</v>
      </c>
      <c r="D1582" s="1">
        <v>22964.0</v>
      </c>
      <c r="E1582" s="1" t="str">
        <f>IFERROR(__xludf.DUMMYFUNCTION("IF(LEN(D1582)&gt;4, IFERROR(REGEXEXTRACT(TO_TEXT(D1582),""\d+""),""""),"""")"),"22964")</f>
        <v>22964</v>
      </c>
      <c r="F1582" s="6" t="str">
        <f t="shared" si="3"/>
        <v>Product</v>
      </c>
      <c r="G1582" s="1" t="s">
        <v>351</v>
      </c>
      <c r="H1582" s="6" t="str">
        <f>IFERROR(__xludf.DUMMYFUNCTION("IF(REGEXMATCH(LOWER(G1582), ""^(\?)+\s*(missing)?\s*(\?)*$""), """", PROPER(SUBSTITUTE(SUBSTITUTE(G1582, ""?"", """"), ""*"", """")))"),"3 Piece Spaceboy Cookie Cutter Set")</f>
        <v>3 Piece Spaceboy Cookie Cutter Set</v>
      </c>
      <c r="I1582" s="3">
        <v>3.0</v>
      </c>
      <c r="J1582" s="7">
        <v>40598.495833333334</v>
      </c>
      <c r="K1582" s="8" t="str">
        <f t="shared" si="4"/>
        <v>2011-02</v>
      </c>
      <c r="L1582" s="5">
        <v>2.1</v>
      </c>
      <c r="M1582" s="3">
        <v>17364.0</v>
      </c>
      <c r="N1582" s="1" t="str">
        <f t="shared" si="5"/>
        <v>Registered</v>
      </c>
      <c r="O1582" s="1" t="s">
        <v>19</v>
      </c>
      <c r="P1582" s="9" t="str">
        <f t="shared" si="6"/>
        <v>UK</v>
      </c>
      <c r="Q1582" s="8">
        <f t="shared" si="7"/>
        <v>6.3</v>
      </c>
    </row>
    <row r="1583">
      <c r="A1583" s="1">
        <v>544887.0</v>
      </c>
      <c r="B1583" s="1" t="str">
        <f t="shared" si="1"/>
        <v>544887</v>
      </c>
      <c r="C1583" s="1" t="str">
        <f t="shared" si="2"/>
        <v>Sale</v>
      </c>
      <c r="D1583" s="1">
        <v>21058.0</v>
      </c>
      <c r="E1583" s="1" t="str">
        <f>IFERROR(__xludf.DUMMYFUNCTION("IF(LEN(D1583)&gt;4, IFERROR(REGEXEXTRACT(TO_TEXT(D1583),""\d+""),""""),"""")"),"21058")</f>
        <v>21058</v>
      </c>
      <c r="F1583" s="6" t="str">
        <f t="shared" si="3"/>
        <v>Product</v>
      </c>
      <c r="G1583" s="1" t="s">
        <v>979</v>
      </c>
      <c r="H1583" s="6" t="str">
        <f>IFERROR(__xludf.DUMMYFUNCTION("IF(REGEXMATCH(LOWER(G1583), ""^(\?)+\s*(missing)?\s*(\?)*$""), """", PROPER(SUBSTITUTE(SUBSTITUTE(G1583, ""?"", """"), ""*"", """")))"),"Party Invites Woodland")</f>
        <v>Party Invites Woodland</v>
      </c>
      <c r="I1583" s="3">
        <v>10.0</v>
      </c>
      <c r="J1583" s="7">
        <v>40598.495833333334</v>
      </c>
      <c r="K1583" s="8" t="str">
        <f t="shared" si="4"/>
        <v>2011-02</v>
      </c>
      <c r="L1583" s="5">
        <v>0.85</v>
      </c>
      <c r="M1583" s="3">
        <v>17364.0</v>
      </c>
      <c r="N1583" s="1" t="str">
        <f t="shared" si="5"/>
        <v>Registered</v>
      </c>
      <c r="O1583" s="1" t="s">
        <v>19</v>
      </c>
      <c r="P1583" s="9" t="str">
        <f t="shared" si="6"/>
        <v>UK</v>
      </c>
      <c r="Q1583" s="8">
        <f t="shared" si="7"/>
        <v>8.5</v>
      </c>
    </row>
    <row r="1584">
      <c r="A1584" s="1">
        <v>544887.0</v>
      </c>
      <c r="B1584" s="1" t="str">
        <f t="shared" si="1"/>
        <v>544887</v>
      </c>
      <c r="C1584" s="1" t="str">
        <f t="shared" si="2"/>
        <v>Sale</v>
      </c>
      <c r="D1584" s="1">
        <v>21062.0</v>
      </c>
      <c r="E1584" s="1" t="str">
        <f>IFERROR(__xludf.DUMMYFUNCTION("IF(LEN(D1584)&gt;4, IFERROR(REGEXEXTRACT(TO_TEXT(D1584),""\d+""),""""),"""")"),"21062")</f>
        <v>21062</v>
      </c>
      <c r="F1584" s="6" t="str">
        <f t="shared" si="3"/>
        <v>Product</v>
      </c>
      <c r="G1584" s="1" t="s">
        <v>348</v>
      </c>
      <c r="H1584" s="6" t="str">
        <f>IFERROR(__xludf.DUMMYFUNCTION("IF(REGEXMATCH(LOWER(G1584), ""^(\?)+\s*(missing)?\s*(\?)*$""), """", PROPER(SUBSTITUTE(SUBSTITUTE(G1584, ""?"", """"), ""*"", """")))"),"Party Invites Spaceman")</f>
        <v>Party Invites Spaceman</v>
      </c>
      <c r="I1584" s="3">
        <v>4.0</v>
      </c>
      <c r="J1584" s="7">
        <v>40598.495833333334</v>
      </c>
      <c r="K1584" s="8" t="str">
        <f t="shared" si="4"/>
        <v>2011-02</v>
      </c>
      <c r="L1584" s="5">
        <v>0.85</v>
      </c>
      <c r="M1584" s="3">
        <v>17364.0</v>
      </c>
      <c r="N1584" s="1" t="str">
        <f t="shared" si="5"/>
        <v>Registered</v>
      </c>
      <c r="O1584" s="1" t="s">
        <v>19</v>
      </c>
      <c r="P1584" s="9" t="str">
        <f t="shared" si="6"/>
        <v>UK</v>
      </c>
      <c r="Q1584" s="8">
        <f t="shared" si="7"/>
        <v>3.4</v>
      </c>
    </row>
    <row r="1585">
      <c r="A1585" s="1">
        <v>544887.0</v>
      </c>
      <c r="B1585" s="1" t="str">
        <f t="shared" si="1"/>
        <v>544887</v>
      </c>
      <c r="C1585" s="1" t="str">
        <f t="shared" si="2"/>
        <v>Sale</v>
      </c>
      <c r="D1585" s="1">
        <v>21060.0</v>
      </c>
      <c r="E1585" s="1" t="str">
        <f>IFERROR(__xludf.DUMMYFUNCTION("IF(LEN(D1585)&gt;4, IFERROR(REGEXEXTRACT(TO_TEXT(D1585),""\d+""),""""),"""")"),"21060")</f>
        <v>21060</v>
      </c>
      <c r="F1585" s="6" t="str">
        <f t="shared" si="3"/>
        <v>Product</v>
      </c>
      <c r="G1585" s="1" t="s">
        <v>980</v>
      </c>
      <c r="H1585" s="6" t="str">
        <f>IFERROR(__xludf.DUMMYFUNCTION("IF(REGEXMATCH(LOWER(G1585), ""^(\?)+\s*(missing)?\s*(\?)*$""), """", PROPER(SUBSTITUTE(SUBSTITUTE(G1585, ""?"", """"), ""*"", """")))"),"Party Invites Balloon Girl")</f>
        <v>Party Invites Balloon Girl</v>
      </c>
      <c r="I1585" s="3">
        <v>4.0</v>
      </c>
      <c r="J1585" s="7">
        <v>40598.495833333334</v>
      </c>
      <c r="K1585" s="8" t="str">
        <f t="shared" si="4"/>
        <v>2011-02</v>
      </c>
      <c r="L1585" s="5">
        <v>0.85</v>
      </c>
      <c r="M1585" s="3">
        <v>17364.0</v>
      </c>
      <c r="N1585" s="1" t="str">
        <f t="shared" si="5"/>
        <v>Registered</v>
      </c>
      <c r="O1585" s="1" t="s">
        <v>19</v>
      </c>
      <c r="P1585" s="9" t="str">
        <f t="shared" si="6"/>
        <v>UK</v>
      </c>
      <c r="Q1585" s="8">
        <f t="shared" si="7"/>
        <v>3.4</v>
      </c>
    </row>
    <row r="1586">
      <c r="A1586" s="1">
        <v>544887.0</v>
      </c>
      <c r="B1586" s="1" t="str">
        <f t="shared" si="1"/>
        <v>544887</v>
      </c>
      <c r="C1586" s="1" t="str">
        <f t="shared" si="2"/>
        <v>Sale</v>
      </c>
      <c r="D1586" s="1">
        <v>21059.0</v>
      </c>
      <c r="E1586" s="1" t="str">
        <f>IFERROR(__xludf.DUMMYFUNCTION("IF(LEN(D1586)&gt;4, IFERROR(REGEXEXTRACT(TO_TEXT(D1586),""\d+""),""""),"""")"),"21059")</f>
        <v>21059</v>
      </c>
      <c r="F1586" s="6" t="str">
        <f t="shared" si="3"/>
        <v>Product</v>
      </c>
      <c r="G1586" s="1" t="s">
        <v>981</v>
      </c>
      <c r="H1586" s="6" t="str">
        <f>IFERROR(__xludf.DUMMYFUNCTION("IF(REGEXMATCH(LOWER(G1586), ""^(\?)+\s*(missing)?\s*(\?)*$""), """", PROPER(SUBSTITUTE(SUBSTITUTE(G1586, ""?"", """"), ""*"", """")))"),"Party Invites Dinosaurs")</f>
        <v>Party Invites Dinosaurs</v>
      </c>
      <c r="I1586" s="3">
        <v>4.0</v>
      </c>
      <c r="J1586" s="7">
        <v>40598.495833333334</v>
      </c>
      <c r="K1586" s="8" t="str">
        <f t="shared" si="4"/>
        <v>2011-02</v>
      </c>
      <c r="L1586" s="5">
        <v>0.85</v>
      </c>
      <c r="M1586" s="3">
        <v>17364.0</v>
      </c>
      <c r="N1586" s="1" t="str">
        <f t="shared" si="5"/>
        <v>Registered</v>
      </c>
      <c r="O1586" s="1" t="s">
        <v>19</v>
      </c>
      <c r="P1586" s="9" t="str">
        <f t="shared" si="6"/>
        <v>UK</v>
      </c>
      <c r="Q1586" s="8">
        <f t="shared" si="7"/>
        <v>3.4</v>
      </c>
    </row>
    <row r="1587">
      <c r="A1587" s="1">
        <v>544887.0</v>
      </c>
      <c r="B1587" s="1" t="str">
        <f t="shared" si="1"/>
        <v>544887</v>
      </c>
      <c r="C1587" s="1" t="str">
        <f t="shared" si="2"/>
        <v>Sale</v>
      </c>
      <c r="D1587" s="1">
        <v>21063.0</v>
      </c>
      <c r="E1587" s="1" t="str">
        <f>IFERROR(__xludf.DUMMYFUNCTION("IF(LEN(D1587)&gt;4, IFERROR(REGEXEXTRACT(TO_TEXT(D1587),""\d+""),""""),"""")"),"21063")</f>
        <v>21063</v>
      </c>
      <c r="F1587" s="6" t="str">
        <f t="shared" si="3"/>
        <v>Product</v>
      </c>
      <c r="G1587" s="1" t="s">
        <v>347</v>
      </c>
      <c r="H1587" s="6" t="str">
        <f>IFERROR(__xludf.DUMMYFUNCTION("IF(REGEXMATCH(LOWER(G1587), ""^(\?)+\s*(missing)?\s*(\?)*$""), """", PROPER(SUBSTITUTE(SUBSTITUTE(G1587, ""?"", """"), ""*"", """")))"),"Party Invites Jazz Hearts")</f>
        <v>Party Invites Jazz Hearts</v>
      </c>
      <c r="I1587" s="3">
        <v>5.0</v>
      </c>
      <c r="J1587" s="7">
        <v>40598.495833333334</v>
      </c>
      <c r="K1587" s="8" t="str">
        <f t="shared" si="4"/>
        <v>2011-02</v>
      </c>
      <c r="L1587" s="5">
        <v>0.85</v>
      </c>
      <c r="M1587" s="3">
        <v>17364.0</v>
      </c>
      <c r="N1587" s="1" t="str">
        <f t="shared" si="5"/>
        <v>Registered</v>
      </c>
      <c r="O1587" s="1" t="s">
        <v>19</v>
      </c>
      <c r="P1587" s="9" t="str">
        <f t="shared" si="6"/>
        <v>UK</v>
      </c>
      <c r="Q1587" s="8">
        <f t="shared" si="7"/>
        <v>4.25</v>
      </c>
    </row>
    <row r="1588">
      <c r="A1588" s="1">
        <v>544887.0</v>
      </c>
      <c r="B1588" s="1" t="str">
        <f t="shared" si="1"/>
        <v>544887</v>
      </c>
      <c r="C1588" s="1" t="str">
        <f t="shared" si="2"/>
        <v>Sale</v>
      </c>
      <c r="D1588" s="1">
        <v>22699.0</v>
      </c>
      <c r="E1588" s="1" t="str">
        <f>IFERROR(__xludf.DUMMYFUNCTION("IF(LEN(D1588)&gt;4, IFERROR(REGEXEXTRACT(TO_TEXT(D1588),""\d+""),""""),"""")"),"22699")</f>
        <v>22699</v>
      </c>
      <c r="F1588" s="6" t="str">
        <f t="shared" si="3"/>
        <v>Product</v>
      </c>
      <c r="G1588" s="1" t="s">
        <v>684</v>
      </c>
      <c r="H1588" s="6" t="str">
        <f>IFERROR(__xludf.DUMMYFUNCTION("IF(REGEXMATCH(LOWER(G1588), ""^(\?)+\s*(missing)?\s*(\?)*$""), """", PROPER(SUBSTITUTE(SUBSTITUTE(G1588, ""?"", """"), ""*"", """")))"),"Roses Regency Teacup And Saucer")</f>
        <v>Roses Regency Teacup And Saucer</v>
      </c>
      <c r="I1588" s="3">
        <v>2.0</v>
      </c>
      <c r="J1588" s="7">
        <v>40598.495833333334</v>
      </c>
      <c r="K1588" s="8" t="str">
        <f t="shared" si="4"/>
        <v>2011-02</v>
      </c>
      <c r="L1588" s="5">
        <v>2.95</v>
      </c>
      <c r="M1588" s="3">
        <v>17364.0</v>
      </c>
      <c r="N1588" s="1" t="str">
        <f t="shared" si="5"/>
        <v>Registered</v>
      </c>
      <c r="O1588" s="1" t="s">
        <v>19</v>
      </c>
      <c r="P1588" s="9" t="str">
        <f t="shared" si="6"/>
        <v>UK</v>
      </c>
      <c r="Q1588" s="8">
        <f t="shared" si="7"/>
        <v>5.9</v>
      </c>
    </row>
    <row r="1589">
      <c r="A1589" s="1">
        <v>544887.0</v>
      </c>
      <c r="B1589" s="1" t="str">
        <f t="shared" si="1"/>
        <v>544887</v>
      </c>
      <c r="C1589" s="1" t="str">
        <f t="shared" si="2"/>
        <v>Sale</v>
      </c>
      <c r="D1589" s="1">
        <v>22698.0</v>
      </c>
      <c r="E1589" s="1" t="str">
        <f>IFERROR(__xludf.DUMMYFUNCTION("IF(LEN(D1589)&gt;4, IFERROR(REGEXEXTRACT(TO_TEXT(D1589),""\d+""),""""),"""")"),"22698")</f>
        <v>22698</v>
      </c>
      <c r="F1589" s="6" t="str">
        <f t="shared" si="3"/>
        <v>Product</v>
      </c>
      <c r="G1589" s="1" t="s">
        <v>683</v>
      </c>
      <c r="H1589" s="6" t="str">
        <f>IFERROR(__xludf.DUMMYFUNCTION("IF(REGEXMATCH(LOWER(G1589), ""^(\?)+\s*(missing)?\s*(\?)*$""), """", PROPER(SUBSTITUTE(SUBSTITUTE(G1589, ""?"", """"), ""*"", """")))"),"Pink Regency Teacup And Saucer")</f>
        <v>Pink Regency Teacup And Saucer</v>
      </c>
      <c r="I1589" s="3">
        <v>3.0</v>
      </c>
      <c r="J1589" s="7">
        <v>40598.495833333334</v>
      </c>
      <c r="K1589" s="8" t="str">
        <f t="shared" si="4"/>
        <v>2011-02</v>
      </c>
      <c r="L1589" s="5">
        <v>2.95</v>
      </c>
      <c r="M1589" s="3">
        <v>17364.0</v>
      </c>
      <c r="N1589" s="1" t="str">
        <f t="shared" si="5"/>
        <v>Registered</v>
      </c>
      <c r="O1589" s="1" t="s">
        <v>19</v>
      </c>
      <c r="P1589" s="9" t="str">
        <f t="shared" si="6"/>
        <v>UK</v>
      </c>
      <c r="Q1589" s="8">
        <f t="shared" si="7"/>
        <v>8.85</v>
      </c>
    </row>
    <row r="1590">
      <c r="A1590" s="1">
        <v>544887.0</v>
      </c>
      <c r="B1590" s="1" t="str">
        <f t="shared" si="1"/>
        <v>544887</v>
      </c>
      <c r="C1590" s="1" t="str">
        <f t="shared" si="2"/>
        <v>Sale</v>
      </c>
      <c r="D1590" s="1">
        <v>22697.0</v>
      </c>
      <c r="E1590" s="1" t="str">
        <f>IFERROR(__xludf.DUMMYFUNCTION("IF(LEN(D1590)&gt;4, IFERROR(REGEXEXTRACT(TO_TEXT(D1590),""\d+""),""""),"""")"),"22697")</f>
        <v>22697</v>
      </c>
      <c r="F1590" s="6" t="str">
        <f t="shared" si="3"/>
        <v>Product</v>
      </c>
      <c r="G1590" s="1" t="s">
        <v>682</v>
      </c>
      <c r="H1590" s="6" t="str">
        <f>IFERROR(__xludf.DUMMYFUNCTION("IF(REGEXMATCH(LOWER(G1590), ""^(\?)+\s*(missing)?\s*(\?)*$""), """", PROPER(SUBSTITUTE(SUBSTITUTE(G1590, ""?"", """"), ""*"", """")))"),"Green Regency Teacup And Saucer")</f>
        <v>Green Regency Teacup And Saucer</v>
      </c>
      <c r="I1590" s="3">
        <v>1.0</v>
      </c>
      <c r="J1590" s="7">
        <v>40598.495833333334</v>
      </c>
      <c r="K1590" s="8" t="str">
        <f t="shared" si="4"/>
        <v>2011-02</v>
      </c>
      <c r="L1590" s="5">
        <v>2.95</v>
      </c>
      <c r="M1590" s="3">
        <v>17364.0</v>
      </c>
      <c r="N1590" s="1" t="str">
        <f t="shared" si="5"/>
        <v>Registered</v>
      </c>
      <c r="O1590" s="1" t="s">
        <v>19</v>
      </c>
      <c r="P1590" s="9" t="str">
        <f t="shared" si="6"/>
        <v>UK</v>
      </c>
      <c r="Q1590" s="8">
        <f t="shared" si="7"/>
        <v>2.95</v>
      </c>
    </row>
    <row r="1591">
      <c r="A1591" s="1">
        <v>544887.0</v>
      </c>
      <c r="B1591" s="1" t="str">
        <f t="shared" si="1"/>
        <v>544887</v>
      </c>
      <c r="C1591" s="1" t="str">
        <f t="shared" si="2"/>
        <v>Sale</v>
      </c>
      <c r="D1591" s="1">
        <v>22747.0</v>
      </c>
      <c r="E1591" s="1" t="str">
        <f>IFERROR(__xludf.DUMMYFUNCTION("IF(LEN(D1591)&gt;4, IFERROR(REGEXEXTRACT(TO_TEXT(D1591),""\d+""),""""),"""")"),"22747")</f>
        <v>22747</v>
      </c>
      <c r="F1591" s="6" t="str">
        <f t="shared" si="3"/>
        <v>Product</v>
      </c>
      <c r="G1591" s="1" t="s">
        <v>687</v>
      </c>
      <c r="H1591" s="6" t="str">
        <f>IFERROR(__xludf.DUMMYFUNCTION("IF(REGEXMATCH(LOWER(G1591), ""^(\?)+\s*(missing)?\s*(\?)*$""), """", PROPER(SUBSTITUTE(SUBSTITUTE(G1591, ""?"", """"), ""*"", """")))"),"Poppy'S Playhouse Bathroom")</f>
        <v>Poppy'S Playhouse Bathroom</v>
      </c>
      <c r="I1591" s="3">
        <v>3.0</v>
      </c>
      <c r="J1591" s="7">
        <v>40598.495833333334</v>
      </c>
      <c r="K1591" s="8" t="str">
        <f t="shared" si="4"/>
        <v>2011-02</v>
      </c>
      <c r="L1591" s="5">
        <v>2.1</v>
      </c>
      <c r="M1591" s="3">
        <v>17364.0</v>
      </c>
      <c r="N1591" s="1" t="str">
        <f t="shared" si="5"/>
        <v>Registered</v>
      </c>
      <c r="O1591" s="1" t="s">
        <v>19</v>
      </c>
      <c r="P1591" s="9" t="str">
        <f t="shared" si="6"/>
        <v>UK</v>
      </c>
      <c r="Q1591" s="8">
        <f t="shared" si="7"/>
        <v>6.3</v>
      </c>
    </row>
    <row r="1592">
      <c r="A1592" s="1">
        <v>544887.0</v>
      </c>
      <c r="B1592" s="1" t="str">
        <f t="shared" si="1"/>
        <v>544887</v>
      </c>
      <c r="C1592" s="1" t="str">
        <f t="shared" si="2"/>
        <v>Sale</v>
      </c>
      <c r="D1592" s="1">
        <v>22748.0</v>
      </c>
      <c r="E1592" s="1" t="str">
        <f>IFERROR(__xludf.DUMMYFUNCTION("IF(LEN(D1592)&gt;4, IFERROR(REGEXEXTRACT(TO_TEXT(D1592),""\d+""),""""),"""")"),"22748")</f>
        <v>22748</v>
      </c>
      <c r="F1592" s="6" t="str">
        <f t="shared" si="3"/>
        <v>Product</v>
      </c>
      <c r="G1592" s="1" t="s">
        <v>33</v>
      </c>
      <c r="H1592" s="6" t="str">
        <f>IFERROR(__xludf.DUMMYFUNCTION("IF(REGEXMATCH(LOWER(G1592), ""^(\?)+\s*(missing)?\s*(\?)*$""), """", PROPER(SUBSTITUTE(SUBSTITUTE(G1592, ""?"", """"), ""*"", """")))"),"Poppy'S Playhouse Kitchen")</f>
        <v>Poppy'S Playhouse Kitchen</v>
      </c>
      <c r="I1592" s="3">
        <v>3.0</v>
      </c>
      <c r="J1592" s="7">
        <v>40598.495833333334</v>
      </c>
      <c r="K1592" s="8" t="str">
        <f t="shared" si="4"/>
        <v>2011-02</v>
      </c>
      <c r="L1592" s="5">
        <v>2.1</v>
      </c>
      <c r="M1592" s="3">
        <v>17364.0</v>
      </c>
      <c r="N1592" s="1" t="str">
        <f t="shared" si="5"/>
        <v>Registered</v>
      </c>
      <c r="O1592" s="1" t="s">
        <v>19</v>
      </c>
      <c r="P1592" s="9" t="str">
        <f t="shared" si="6"/>
        <v>UK</v>
      </c>
      <c r="Q1592" s="8">
        <f t="shared" si="7"/>
        <v>6.3</v>
      </c>
    </row>
    <row r="1593">
      <c r="A1593" s="1">
        <v>544887.0</v>
      </c>
      <c r="B1593" s="1" t="str">
        <f t="shared" si="1"/>
        <v>544887</v>
      </c>
      <c r="C1593" s="1" t="str">
        <f t="shared" si="2"/>
        <v>Sale</v>
      </c>
      <c r="D1593" s="1">
        <v>22745.0</v>
      </c>
      <c r="E1593" s="1" t="str">
        <f>IFERROR(__xludf.DUMMYFUNCTION("IF(LEN(D1593)&gt;4, IFERROR(REGEXEXTRACT(TO_TEXT(D1593),""\d+""),""""),"""")"),"22745")</f>
        <v>22745</v>
      </c>
      <c r="F1593" s="6" t="str">
        <f t="shared" si="3"/>
        <v>Product</v>
      </c>
      <c r="G1593" s="1" t="s">
        <v>32</v>
      </c>
      <c r="H1593" s="6" t="str">
        <f>IFERROR(__xludf.DUMMYFUNCTION("IF(REGEXMATCH(LOWER(G1593), ""^(\?)+\s*(missing)?\s*(\?)*$""), """", PROPER(SUBSTITUTE(SUBSTITUTE(G1593, ""?"", """"), ""*"", """")))"),"Poppy'S Playhouse Bedroom")</f>
        <v>Poppy'S Playhouse Bedroom</v>
      </c>
      <c r="I1593" s="3">
        <v>3.0</v>
      </c>
      <c r="J1593" s="7">
        <v>40598.495833333334</v>
      </c>
      <c r="K1593" s="8" t="str">
        <f t="shared" si="4"/>
        <v>2011-02</v>
      </c>
      <c r="L1593" s="5">
        <v>2.1</v>
      </c>
      <c r="M1593" s="3">
        <v>17364.0</v>
      </c>
      <c r="N1593" s="1" t="str">
        <f t="shared" si="5"/>
        <v>Registered</v>
      </c>
      <c r="O1593" s="1" t="s">
        <v>19</v>
      </c>
      <c r="P1593" s="9" t="str">
        <f t="shared" si="6"/>
        <v>UK</v>
      </c>
      <c r="Q1593" s="8">
        <f t="shared" si="7"/>
        <v>6.3</v>
      </c>
    </row>
    <row r="1594">
      <c r="A1594" s="1">
        <v>544887.0</v>
      </c>
      <c r="B1594" s="1" t="str">
        <f t="shared" si="1"/>
        <v>544887</v>
      </c>
      <c r="C1594" s="1" t="str">
        <f t="shared" si="2"/>
        <v>Sale</v>
      </c>
      <c r="D1594" s="1">
        <v>22746.0</v>
      </c>
      <c r="E1594" s="1" t="str">
        <f>IFERROR(__xludf.DUMMYFUNCTION("IF(LEN(D1594)&gt;4, IFERROR(REGEXEXTRACT(TO_TEXT(D1594),""\d+""),""""),"""")"),"22746")</f>
        <v>22746</v>
      </c>
      <c r="F1594" s="6" t="str">
        <f t="shared" si="3"/>
        <v>Product</v>
      </c>
      <c r="G1594" s="1" t="s">
        <v>982</v>
      </c>
      <c r="H1594" s="6" t="str">
        <f>IFERROR(__xludf.DUMMYFUNCTION("IF(REGEXMATCH(LOWER(G1594), ""^(\?)+\s*(missing)?\s*(\?)*$""), """", PROPER(SUBSTITUTE(SUBSTITUTE(G1594, ""?"", """"), ""*"", """")))"),"Poppy'S Playhouse Livingroom")</f>
        <v>Poppy'S Playhouse Livingroom</v>
      </c>
      <c r="I1594" s="3">
        <v>3.0</v>
      </c>
      <c r="J1594" s="7">
        <v>40598.495833333334</v>
      </c>
      <c r="K1594" s="8" t="str">
        <f t="shared" si="4"/>
        <v>2011-02</v>
      </c>
      <c r="L1594" s="5">
        <v>2.1</v>
      </c>
      <c r="M1594" s="3">
        <v>17364.0</v>
      </c>
      <c r="N1594" s="1" t="str">
        <f t="shared" si="5"/>
        <v>Registered</v>
      </c>
      <c r="O1594" s="1" t="s">
        <v>19</v>
      </c>
      <c r="P1594" s="9" t="str">
        <f t="shared" si="6"/>
        <v>UK</v>
      </c>
      <c r="Q1594" s="8">
        <f t="shared" si="7"/>
        <v>6.3</v>
      </c>
    </row>
    <row r="1595">
      <c r="A1595" s="1">
        <v>544887.0</v>
      </c>
      <c r="B1595" s="1" t="str">
        <f t="shared" si="1"/>
        <v>544887</v>
      </c>
      <c r="C1595" s="1" t="str">
        <f t="shared" si="2"/>
        <v>Sale</v>
      </c>
      <c r="D1595" s="1">
        <v>22623.0</v>
      </c>
      <c r="E1595" s="1" t="str">
        <f>IFERROR(__xludf.DUMMYFUNCTION("IF(LEN(D1595)&gt;4, IFERROR(REGEXEXTRACT(TO_TEXT(D1595),""\d+""),""""),"""")"),"22623")</f>
        <v>22623</v>
      </c>
      <c r="F1595" s="6" t="str">
        <f t="shared" si="3"/>
        <v>Product</v>
      </c>
      <c r="G1595" s="1" t="s">
        <v>37</v>
      </c>
      <c r="H1595" s="6" t="str">
        <f>IFERROR(__xludf.DUMMYFUNCTION("IF(REGEXMATCH(LOWER(G1595), ""^(\?)+\s*(missing)?\s*(\?)*$""), """", PROPER(SUBSTITUTE(SUBSTITUTE(G1595, ""?"", """"), ""*"", """")))"),"Box Of Vintage Jigsaw Blocks")</f>
        <v>Box Of Vintage Jigsaw Blocks</v>
      </c>
      <c r="I1595" s="3">
        <v>2.0</v>
      </c>
      <c r="J1595" s="7">
        <v>40598.495833333334</v>
      </c>
      <c r="K1595" s="8" t="str">
        <f t="shared" si="4"/>
        <v>2011-02</v>
      </c>
      <c r="L1595" s="5">
        <v>4.95</v>
      </c>
      <c r="M1595" s="3">
        <v>17364.0</v>
      </c>
      <c r="N1595" s="1" t="str">
        <f t="shared" si="5"/>
        <v>Registered</v>
      </c>
      <c r="O1595" s="1" t="s">
        <v>19</v>
      </c>
      <c r="P1595" s="9" t="str">
        <f t="shared" si="6"/>
        <v>UK</v>
      </c>
      <c r="Q1595" s="8">
        <f t="shared" si="7"/>
        <v>9.9</v>
      </c>
    </row>
    <row r="1596">
      <c r="A1596" s="1">
        <v>544887.0</v>
      </c>
      <c r="B1596" s="1" t="str">
        <f t="shared" si="1"/>
        <v>544887</v>
      </c>
      <c r="C1596" s="1" t="str">
        <f t="shared" si="2"/>
        <v>Sale</v>
      </c>
      <c r="D1596" s="1">
        <v>22622.0</v>
      </c>
      <c r="E1596" s="1" t="str">
        <f>IFERROR(__xludf.DUMMYFUNCTION("IF(LEN(D1596)&gt;4, IFERROR(REGEXEXTRACT(TO_TEXT(D1596),""\d+""),""""),"""")"),"22622")</f>
        <v>22622</v>
      </c>
      <c r="F1596" s="6" t="str">
        <f t="shared" si="3"/>
        <v>Product</v>
      </c>
      <c r="G1596" s="1" t="s">
        <v>38</v>
      </c>
      <c r="H1596" s="6" t="str">
        <f>IFERROR(__xludf.DUMMYFUNCTION("IF(REGEXMATCH(LOWER(G1596), ""^(\?)+\s*(missing)?\s*(\?)*$""), """", PROPER(SUBSTITUTE(SUBSTITUTE(G1596, ""?"", """"), ""*"", """")))"),"Box Of Vintage Alphabet Blocks")</f>
        <v>Box Of Vintage Alphabet Blocks</v>
      </c>
      <c r="I1596" s="3">
        <v>2.0</v>
      </c>
      <c r="J1596" s="7">
        <v>40598.495833333334</v>
      </c>
      <c r="K1596" s="8" t="str">
        <f t="shared" si="4"/>
        <v>2011-02</v>
      </c>
      <c r="L1596" s="5">
        <v>9.95</v>
      </c>
      <c r="M1596" s="3">
        <v>17364.0</v>
      </c>
      <c r="N1596" s="1" t="str">
        <f t="shared" si="5"/>
        <v>Registered</v>
      </c>
      <c r="O1596" s="1" t="s">
        <v>19</v>
      </c>
      <c r="P1596" s="9" t="str">
        <f t="shared" si="6"/>
        <v>UK</v>
      </c>
      <c r="Q1596" s="8">
        <f t="shared" si="7"/>
        <v>19.9</v>
      </c>
    </row>
    <row r="1597">
      <c r="A1597" s="1">
        <v>544888.0</v>
      </c>
      <c r="B1597" s="1" t="str">
        <f t="shared" si="1"/>
        <v>544888</v>
      </c>
      <c r="C1597" s="1" t="str">
        <f t="shared" si="2"/>
        <v>Sale</v>
      </c>
      <c r="D1597" s="1">
        <v>22429.0</v>
      </c>
      <c r="E1597" s="1" t="str">
        <f>IFERROR(__xludf.DUMMYFUNCTION("IF(LEN(D1597)&gt;4, IFERROR(REGEXEXTRACT(TO_TEXT(D1597),""\d+""),""""),"""")"),"22429")</f>
        <v>22429</v>
      </c>
      <c r="F1597" s="6" t="str">
        <f t="shared" si="3"/>
        <v>Product</v>
      </c>
      <c r="G1597" s="1" t="s">
        <v>790</v>
      </c>
      <c r="H1597" s="6" t="str">
        <f>IFERROR(__xludf.DUMMYFUNCTION("IF(REGEXMATCH(LOWER(G1597), ""^(\?)+\s*(missing)?\s*(\?)*$""), """", PROPER(SUBSTITUTE(SUBSTITUTE(G1597, ""?"", """"), ""*"", """")))"),"Enamel Measuring Jug Cream")</f>
        <v>Enamel Measuring Jug Cream</v>
      </c>
      <c r="I1597" s="3">
        <v>4.0</v>
      </c>
      <c r="J1597" s="7">
        <v>40598.49652777778</v>
      </c>
      <c r="K1597" s="8" t="str">
        <f t="shared" si="4"/>
        <v>2011-02</v>
      </c>
      <c r="L1597" s="5">
        <v>4.25</v>
      </c>
      <c r="M1597" s="3">
        <v>14231.0</v>
      </c>
      <c r="N1597" s="1" t="str">
        <f t="shared" si="5"/>
        <v>Registered</v>
      </c>
      <c r="O1597" s="1" t="s">
        <v>19</v>
      </c>
      <c r="P1597" s="9" t="str">
        <f t="shared" si="6"/>
        <v>UK</v>
      </c>
      <c r="Q1597" s="8">
        <f t="shared" si="7"/>
        <v>17</v>
      </c>
    </row>
    <row r="1598">
      <c r="A1598" s="1">
        <v>544888.0</v>
      </c>
      <c r="B1598" s="1" t="str">
        <f t="shared" si="1"/>
        <v>544888</v>
      </c>
      <c r="C1598" s="1" t="str">
        <f t="shared" si="2"/>
        <v>Sale</v>
      </c>
      <c r="D1598" s="1">
        <v>22427.0</v>
      </c>
      <c r="E1598" s="1" t="str">
        <f>IFERROR(__xludf.DUMMYFUNCTION("IF(LEN(D1598)&gt;4, IFERROR(REGEXEXTRACT(TO_TEXT(D1598),""\d+""),""""),"""")"),"22427")</f>
        <v>22427</v>
      </c>
      <c r="F1598" s="6" t="str">
        <f t="shared" si="3"/>
        <v>Product</v>
      </c>
      <c r="G1598" s="1" t="s">
        <v>172</v>
      </c>
      <c r="H1598" s="6" t="str">
        <f>IFERROR(__xludf.DUMMYFUNCTION("IF(REGEXMATCH(LOWER(G1598), ""^(\?)+\s*(missing)?\s*(\?)*$""), """", PROPER(SUBSTITUTE(SUBSTITUTE(G1598, ""?"", """"), ""*"", """")))"),"Enamel Flower Jug Cream")</f>
        <v>Enamel Flower Jug Cream</v>
      </c>
      <c r="I1598" s="3">
        <v>3.0</v>
      </c>
      <c r="J1598" s="7">
        <v>40598.49652777778</v>
      </c>
      <c r="K1598" s="8" t="str">
        <f t="shared" si="4"/>
        <v>2011-02</v>
      </c>
      <c r="L1598" s="5">
        <v>5.95</v>
      </c>
      <c r="M1598" s="3">
        <v>14231.0</v>
      </c>
      <c r="N1598" s="1" t="str">
        <f t="shared" si="5"/>
        <v>Registered</v>
      </c>
      <c r="O1598" s="1" t="s">
        <v>19</v>
      </c>
      <c r="P1598" s="9" t="str">
        <f t="shared" si="6"/>
        <v>UK</v>
      </c>
      <c r="Q1598" s="8">
        <f t="shared" si="7"/>
        <v>17.85</v>
      </c>
    </row>
    <row r="1599">
      <c r="A1599" s="1">
        <v>544888.0</v>
      </c>
      <c r="B1599" s="1" t="str">
        <f t="shared" si="1"/>
        <v>544888</v>
      </c>
      <c r="C1599" s="1" t="str">
        <f t="shared" si="2"/>
        <v>Sale</v>
      </c>
      <c r="D1599" s="1">
        <v>20998.0</v>
      </c>
      <c r="E1599" s="1" t="str">
        <f>IFERROR(__xludf.DUMMYFUNCTION("IF(LEN(D1599)&gt;4, IFERROR(REGEXEXTRACT(TO_TEXT(D1599),""\d+""),""""),"""")"),"20998")</f>
        <v>20998</v>
      </c>
      <c r="F1599" s="6" t="str">
        <f t="shared" si="3"/>
        <v>Product</v>
      </c>
      <c r="G1599" s="1" t="s">
        <v>983</v>
      </c>
      <c r="H1599" s="6" t="str">
        <f>IFERROR(__xludf.DUMMYFUNCTION("IF(REGEXMATCH(LOWER(G1599), ""^(\?)+\s*(missing)?\s*(\?)*$""), """", PROPER(SUBSTITUTE(SUBSTITUTE(G1599, ""?"", """"), ""*"", """")))"),"Rose Du Sud Oven Glove")</f>
        <v>Rose Du Sud Oven Glove</v>
      </c>
      <c r="I1599" s="3">
        <v>6.0</v>
      </c>
      <c r="J1599" s="7">
        <v>40598.49652777778</v>
      </c>
      <c r="K1599" s="8" t="str">
        <f t="shared" si="4"/>
        <v>2011-02</v>
      </c>
      <c r="L1599" s="5">
        <v>2.95</v>
      </c>
      <c r="M1599" s="3">
        <v>14231.0</v>
      </c>
      <c r="N1599" s="1" t="str">
        <f t="shared" si="5"/>
        <v>Registered</v>
      </c>
      <c r="O1599" s="1" t="s">
        <v>19</v>
      </c>
      <c r="P1599" s="9" t="str">
        <f t="shared" si="6"/>
        <v>UK</v>
      </c>
      <c r="Q1599" s="8">
        <f t="shared" si="7"/>
        <v>17.7</v>
      </c>
    </row>
    <row r="1600">
      <c r="A1600" s="1">
        <v>544888.0</v>
      </c>
      <c r="B1600" s="1" t="str">
        <f t="shared" si="1"/>
        <v>544888</v>
      </c>
      <c r="C1600" s="1" t="str">
        <f t="shared" si="2"/>
        <v>Sale</v>
      </c>
      <c r="D1600" s="1">
        <v>21041.0</v>
      </c>
      <c r="E1600" s="1" t="str">
        <f>IFERROR(__xludf.DUMMYFUNCTION("IF(LEN(D1600)&gt;4, IFERROR(REGEXEXTRACT(TO_TEXT(D1600),""\d+""),""""),"""")"),"21041")</f>
        <v>21041</v>
      </c>
      <c r="F1600" s="6" t="str">
        <f t="shared" si="3"/>
        <v>Product</v>
      </c>
      <c r="G1600" s="1" t="s">
        <v>984</v>
      </c>
      <c r="H1600" s="6" t="str">
        <f>IFERROR(__xludf.DUMMYFUNCTION("IF(REGEXMATCH(LOWER(G1600), ""^(\?)+\s*(missing)?\s*(\?)*$""), """", PROPER(SUBSTITUTE(SUBSTITUTE(G1600, ""?"", """"), ""*"", """")))"),"Red Retrospot Oven Glove Double")</f>
        <v>Red Retrospot Oven Glove Double</v>
      </c>
      <c r="I1600" s="3">
        <v>6.0</v>
      </c>
      <c r="J1600" s="7">
        <v>40598.49652777778</v>
      </c>
      <c r="K1600" s="8" t="str">
        <f t="shared" si="4"/>
        <v>2011-02</v>
      </c>
      <c r="L1600" s="5">
        <v>2.95</v>
      </c>
      <c r="M1600" s="3">
        <v>14231.0</v>
      </c>
      <c r="N1600" s="1" t="str">
        <f t="shared" si="5"/>
        <v>Registered</v>
      </c>
      <c r="O1600" s="1" t="s">
        <v>19</v>
      </c>
      <c r="P1600" s="9" t="str">
        <f t="shared" si="6"/>
        <v>UK</v>
      </c>
      <c r="Q1600" s="8">
        <f t="shared" si="7"/>
        <v>17.7</v>
      </c>
    </row>
    <row r="1601">
      <c r="A1601" s="1">
        <v>544888.0</v>
      </c>
      <c r="B1601" s="1" t="str">
        <f t="shared" si="1"/>
        <v>544888</v>
      </c>
      <c r="C1601" s="1" t="str">
        <f t="shared" si="2"/>
        <v>Sale</v>
      </c>
      <c r="D1601" s="1">
        <v>22487.0</v>
      </c>
      <c r="E1601" s="1" t="str">
        <f>IFERROR(__xludf.DUMMYFUNCTION("IF(LEN(D1601)&gt;4, IFERROR(REGEXEXTRACT(TO_TEXT(D1601),""\d+""),""""),"""")"),"22487")</f>
        <v>22487</v>
      </c>
      <c r="F1601" s="6" t="str">
        <f t="shared" si="3"/>
        <v>Product</v>
      </c>
      <c r="G1601" s="1" t="s">
        <v>985</v>
      </c>
      <c r="H1601" s="6" t="str">
        <f>IFERROR(__xludf.DUMMYFUNCTION("IF(REGEXMATCH(LOWER(G1601), ""^(\?)+\s*(missing)?\s*(\?)*$""), """", PROPER(SUBSTITUTE(SUBSTITUTE(G1601, ""?"", """"), ""*"", """")))"),"White Wood Garden Plant Ladder")</f>
        <v>White Wood Garden Plant Ladder</v>
      </c>
      <c r="I1601" s="3">
        <v>2.0</v>
      </c>
      <c r="J1601" s="7">
        <v>40598.49652777778</v>
      </c>
      <c r="K1601" s="8" t="str">
        <f t="shared" si="4"/>
        <v>2011-02</v>
      </c>
      <c r="L1601" s="5">
        <v>9.95</v>
      </c>
      <c r="M1601" s="3">
        <v>14231.0</v>
      </c>
      <c r="N1601" s="1" t="str">
        <f t="shared" si="5"/>
        <v>Registered</v>
      </c>
      <c r="O1601" s="1" t="s">
        <v>19</v>
      </c>
      <c r="P1601" s="9" t="str">
        <f t="shared" si="6"/>
        <v>UK</v>
      </c>
      <c r="Q1601" s="8">
        <f t="shared" si="7"/>
        <v>19.9</v>
      </c>
    </row>
    <row r="1602">
      <c r="A1602" s="1">
        <v>544888.0</v>
      </c>
      <c r="B1602" s="1" t="str">
        <f t="shared" si="1"/>
        <v>544888</v>
      </c>
      <c r="C1602" s="1" t="str">
        <f t="shared" si="2"/>
        <v>Sale</v>
      </c>
      <c r="D1602" s="1">
        <v>22501.0</v>
      </c>
      <c r="E1602" s="1" t="str">
        <f>IFERROR(__xludf.DUMMYFUNCTION("IF(LEN(D1602)&gt;4, IFERROR(REGEXEXTRACT(TO_TEXT(D1602),""\d+""),""""),"""")"),"22501")</f>
        <v>22501</v>
      </c>
      <c r="F1602" s="6" t="str">
        <f t="shared" si="3"/>
        <v>Product</v>
      </c>
      <c r="G1602" s="1" t="s">
        <v>795</v>
      </c>
      <c r="H1602" s="6" t="str">
        <f>IFERROR(__xludf.DUMMYFUNCTION("IF(REGEXMATCH(LOWER(G1602), ""^(\?)+\s*(missing)?\s*(\?)*$""), """", PROPER(SUBSTITUTE(SUBSTITUTE(G1602, ""?"", """"), ""*"", """")))"),"Picnic Basket Wicker Large")</f>
        <v>Picnic Basket Wicker Large</v>
      </c>
      <c r="I1602" s="3">
        <v>2.0</v>
      </c>
      <c r="J1602" s="7">
        <v>40598.49652777778</v>
      </c>
      <c r="K1602" s="8" t="str">
        <f t="shared" si="4"/>
        <v>2011-02</v>
      </c>
      <c r="L1602" s="5">
        <v>9.95</v>
      </c>
      <c r="M1602" s="3">
        <v>14231.0</v>
      </c>
      <c r="N1602" s="1" t="str">
        <f t="shared" si="5"/>
        <v>Registered</v>
      </c>
      <c r="O1602" s="1" t="s">
        <v>19</v>
      </c>
      <c r="P1602" s="9" t="str">
        <f t="shared" si="6"/>
        <v>UK</v>
      </c>
      <c r="Q1602" s="8">
        <f t="shared" si="7"/>
        <v>19.9</v>
      </c>
    </row>
    <row r="1603">
      <c r="A1603" s="1">
        <v>544888.0</v>
      </c>
      <c r="B1603" s="1" t="str">
        <f t="shared" si="1"/>
        <v>544888</v>
      </c>
      <c r="C1603" s="1" t="str">
        <f t="shared" si="2"/>
        <v>Sale</v>
      </c>
      <c r="D1603" s="1">
        <v>84755.0</v>
      </c>
      <c r="E1603" s="1" t="str">
        <f>IFERROR(__xludf.DUMMYFUNCTION("IF(LEN(D1603)&gt;4, IFERROR(REGEXEXTRACT(TO_TEXT(D1603),""\d+""),""""),"""")"),"84755")</f>
        <v>84755</v>
      </c>
      <c r="F1603" s="6" t="str">
        <f t="shared" si="3"/>
        <v>Product</v>
      </c>
      <c r="G1603" s="1" t="s">
        <v>163</v>
      </c>
      <c r="H1603" s="6" t="str">
        <f>IFERROR(__xludf.DUMMYFUNCTION("IF(REGEXMATCH(LOWER(G1603), ""^(\?)+\s*(missing)?\s*(\?)*$""), """", PROPER(SUBSTITUTE(SUBSTITUTE(G1603, ""?"", """"), ""*"", """")))"),"Colour Glass T-Light Holder Hanging")</f>
        <v>Colour Glass T-Light Holder Hanging</v>
      </c>
      <c r="I1603" s="3">
        <v>16.0</v>
      </c>
      <c r="J1603" s="7">
        <v>40598.49652777778</v>
      </c>
      <c r="K1603" s="8" t="str">
        <f t="shared" si="4"/>
        <v>2011-02</v>
      </c>
      <c r="L1603" s="5">
        <v>0.65</v>
      </c>
      <c r="M1603" s="3">
        <v>14231.0</v>
      </c>
      <c r="N1603" s="1" t="str">
        <f t="shared" si="5"/>
        <v>Registered</v>
      </c>
      <c r="O1603" s="1" t="s">
        <v>19</v>
      </c>
      <c r="P1603" s="9" t="str">
        <f t="shared" si="6"/>
        <v>UK</v>
      </c>
      <c r="Q1603" s="8">
        <f t="shared" si="7"/>
        <v>10.4</v>
      </c>
    </row>
    <row r="1604">
      <c r="A1604" s="1">
        <v>544888.0</v>
      </c>
      <c r="B1604" s="1" t="str">
        <f t="shared" si="1"/>
        <v>544888</v>
      </c>
      <c r="C1604" s="1" t="str">
        <f t="shared" si="2"/>
        <v>Sale</v>
      </c>
      <c r="D1604" s="1">
        <v>84945.0</v>
      </c>
      <c r="E1604" s="1" t="str">
        <f>IFERROR(__xludf.DUMMYFUNCTION("IF(LEN(D1604)&gt;4, IFERROR(REGEXEXTRACT(TO_TEXT(D1604),""\d+""),""""),"""")"),"84945")</f>
        <v>84945</v>
      </c>
      <c r="F1604" s="6" t="str">
        <f t="shared" si="3"/>
        <v>Product</v>
      </c>
      <c r="G1604" s="1" t="s">
        <v>986</v>
      </c>
      <c r="H1604" s="6" t="str">
        <f>IFERROR(__xludf.DUMMYFUNCTION("IF(REGEXMATCH(LOWER(G1604), ""^(\?)+\s*(missing)?\s*(\?)*$""), """", PROPER(SUBSTITUTE(SUBSTITUTE(G1604, ""?"", """"), ""*"", """")))"),"Multi Colour Silver T-Light Holder")</f>
        <v>Multi Colour Silver T-Light Holder</v>
      </c>
      <c r="I1604" s="3">
        <v>12.0</v>
      </c>
      <c r="J1604" s="7">
        <v>40598.49652777778</v>
      </c>
      <c r="K1604" s="8" t="str">
        <f t="shared" si="4"/>
        <v>2011-02</v>
      </c>
      <c r="L1604" s="5">
        <v>0.85</v>
      </c>
      <c r="M1604" s="3">
        <v>14231.0</v>
      </c>
      <c r="N1604" s="1" t="str">
        <f t="shared" si="5"/>
        <v>Registered</v>
      </c>
      <c r="O1604" s="1" t="s">
        <v>19</v>
      </c>
      <c r="P1604" s="9" t="str">
        <f t="shared" si="6"/>
        <v>UK</v>
      </c>
      <c r="Q1604" s="8">
        <f t="shared" si="7"/>
        <v>10.2</v>
      </c>
    </row>
    <row r="1605">
      <c r="A1605" s="1">
        <v>544888.0</v>
      </c>
      <c r="B1605" s="1" t="str">
        <f t="shared" si="1"/>
        <v>544888</v>
      </c>
      <c r="C1605" s="1" t="str">
        <f t="shared" si="2"/>
        <v>Sale</v>
      </c>
      <c r="D1605" s="1">
        <v>22423.0</v>
      </c>
      <c r="E1605" s="1" t="str">
        <f>IFERROR(__xludf.DUMMYFUNCTION("IF(LEN(D1605)&gt;4, IFERROR(REGEXEXTRACT(TO_TEXT(D1605),""\d+""),""""),"""")"),"22423")</f>
        <v>22423</v>
      </c>
      <c r="F1605" s="6" t="str">
        <f t="shared" si="3"/>
        <v>Product</v>
      </c>
      <c r="G1605" s="1" t="s">
        <v>619</v>
      </c>
      <c r="H1605" s="6" t="str">
        <f>IFERROR(__xludf.DUMMYFUNCTION("IF(REGEXMATCH(LOWER(G1605), ""^(\?)+\s*(missing)?\s*(\?)*$""), """", PROPER(SUBSTITUTE(SUBSTITUTE(G1605, ""?"", """"), ""*"", """")))"),"Regency Cakestand 3 Tier")</f>
        <v>Regency Cakestand 3 Tier</v>
      </c>
      <c r="I1605" s="3">
        <v>1.0</v>
      </c>
      <c r="J1605" s="7">
        <v>40598.49652777778</v>
      </c>
      <c r="K1605" s="8" t="str">
        <f t="shared" si="4"/>
        <v>2011-02</v>
      </c>
      <c r="L1605" s="5">
        <v>12.75</v>
      </c>
      <c r="M1605" s="3">
        <v>14231.0</v>
      </c>
      <c r="N1605" s="1" t="str">
        <f t="shared" si="5"/>
        <v>Registered</v>
      </c>
      <c r="O1605" s="1" t="s">
        <v>19</v>
      </c>
      <c r="P1605" s="9" t="str">
        <f t="shared" si="6"/>
        <v>UK</v>
      </c>
      <c r="Q1605" s="8">
        <f t="shared" si="7"/>
        <v>12.75</v>
      </c>
    </row>
    <row r="1606">
      <c r="A1606" s="1">
        <v>544888.0</v>
      </c>
      <c r="B1606" s="1" t="str">
        <f t="shared" si="1"/>
        <v>544888</v>
      </c>
      <c r="C1606" s="1" t="str">
        <f t="shared" si="2"/>
        <v>Sale</v>
      </c>
      <c r="D1606" s="1" t="s">
        <v>181</v>
      </c>
      <c r="E1606" s="1" t="str">
        <f>IFERROR(__xludf.DUMMYFUNCTION("IF(LEN(D1606)&gt;4, IFERROR(REGEXEXTRACT(TO_TEXT(D1606),""\d+""),""""),"""")"),"85099")</f>
        <v>85099</v>
      </c>
      <c r="F1606" s="6" t="str">
        <f t="shared" si="3"/>
        <v>Product</v>
      </c>
      <c r="G1606" s="1" t="s">
        <v>182</v>
      </c>
      <c r="H1606" s="6" t="str">
        <f>IFERROR(__xludf.DUMMYFUNCTION("IF(REGEXMATCH(LOWER(G1606), ""^(\?)+\s*(missing)?\s*(\?)*$""), """", PROPER(SUBSTITUTE(SUBSTITUTE(G1606, ""?"", """"), ""*"", """")))"),"Jumbo Bag Red Retrospot")</f>
        <v>Jumbo Bag Red Retrospot</v>
      </c>
      <c r="I1606" s="3">
        <v>10.0</v>
      </c>
      <c r="J1606" s="7">
        <v>40598.49652777778</v>
      </c>
      <c r="K1606" s="8" t="str">
        <f t="shared" si="4"/>
        <v>2011-02</v>
      </c>
      <c r="L1606" s="5">
        <v>1.95</v>
      </c>
      <c r="M1606" s="3">
        <v>14231.0</v>
      </c>
      <c r="N1606" s="1" t="str">
        <f t="shared" si="5"/>
        <v>Registered</v>
      </c>
      <c r="O1606" s="1" t="s">
        <v>19</v>
      </c>
      <c r="P1606" s="9" t="str">
        <f t="shared" si="6"/>
        <v>UK</v>
      </c>
      <c r="Q1606" s="8">
        <f t="shared" si="7"/>
        <v>19.5</v>
      </c>
    </row>
    <row r="1607">
      <c r="A1607" s="1">
        <v>544888.0</v>
      </c>
      <c r="B1607" s="1" t="str">
        <f t="shared" si="1"/>
        <v>544888</v>
      </c>
      <c r="C1607" s="1" t="str">
        <f t="shared" si="2"/>
        <v>Sale</v>
      </c>
      <c r="D1607" s="1">
        <v>21114.0</v>
      </c>
      <c r="E1607" s="1" t="str">
        <f>IFERROR(__xludf.DUMMYFUNCTION("IF(LEN(D1607)&gt;4, IFERROR(REGEXEXTRACT(TO_TEXT(D1607),""\d+""),""""),"""")"),"21114")</f>
        <v>21114</v>
      </c>
      <c r="F1607" s="6" t="str">
        <f t="shared" si="3"/>
        <v>Product</v>
      </c>
      <c r="G1607" s="1" t="s">
        <v>987</v>
      </c>
      <c r="H1607" s="6" t="str">
        <f>IFERROR(__xludf.DUMMYFUNCTION("IF(REGEXMATCH(LOWER(G1607), ""^(\?)+\s*(missing)?\s*(\?)*$""), """", PROPER(SUBSTITUTE(SUBSTITUTE(G1607, ""?"", """"), ""*"", """")))"),"Lavender Scented Fabric Heart")</f>
        <v>Lavender Scented Fabric Heart</v>
      </c>
      <c r="I1607" s="3">
        <v>10.0</v>
      </c>
      <c r="J1607" s="7">
        <v>40598.49652777778</v>
      </c>
      <c r="K1607" s="8" t="str">
        <f t="shared" si="4"/>
        <v>2011-02</v>
      </c>
      <c r="L1607" s="5">
        <v>1.25</v>
      </c>
      <c r="M1607" s="3">
        <v>14231.0</v>
      </c>
      <c r="N1607" s="1" t="str">
        <f t="shared" si="5"/>
        <v>Registered</v>
      </c>
      <c r="O1607" s="1" t="s">
        <v>19</v>
      </c>
      <c r="P1607" s="9" t="str">
        <f t="shared" si="6"/>
        <v>UK</v>
      </c>
      <c r="Q1607" s="8">
        <f t="shared" si="7"/>
        <v>12.5</v>
      </c>
    </row>
    <row r="1608">
      <c r="A1608" s="1">
        <v>544888.0</v>
      </c>
      <c r="B1608" s="1" t="str">
        <f t="shared" si="1"/>
        <v>544888</v>
      </c>
      <c r="C1608" s="1" t="str">
        <f t="shared" si="2"/>
        <v>Sale</v>
      </c>
      <c r="D1608" s="1">
        <v>22759.0</v>
      </c>
      <c r="E1608" s="1" t="str">
        <f>IFERROR(__xludf.DUMMYFUNCTION("IF(LEN(D1608)&gt;4, IFERROR(REGEXEXTRACT(TO_TEXT(D1608),""\d+""),""""),"""")"),"22759")</f>
        <v>22759</v>
      </c>
      <c r="F1608" s="6" t="str">
        <f t="shared" si="3"/>
        <v>Product</v>
      </c>
      <c r="G1608" s="1" t="s">
        <v>440</v>
      </c>
      <c r="H1608" s="6" t="str">
        <f>IFERROR(__xludf.DUMMYFUNCTION("IF(REGEXMATCH(LOWER(G1608), ""^(\?)+\s*(missing)?\s*(\?)*$""), """", PROPER(SUBSTITUTE(SUBSTITUTE(G1608, ""?"", """"), ""*"", """")))"),"Set Of 3 Notebooks In Parcel")</f>
        <v>Set Of 3 Notebooks In Parcel</v>
      </c>
      <c r="I1608" s="3">
        <v>12.0</v>
      </c>
      <c r="J1608" s="7">
        <v>40598.49652777778</v>
      </c>
      <c r="K1608" s="8" t="str">
        <f t="shared" si="4"/>
        <v>2011-02</v>
      </c>
      <c r="L1608" s="5">
        <v>1.65</v>
      </c>
      <c r="M1608" s="3">
        <v>14231.0</v>
      </c>
      <c r="N1608" s="1" t="str">
        <f t="shared" si="5"/>
        <v>Registered</v>
      </c>
      <c r="O1608" s="1" t="s">
        <v>19</v>
      </c>
      <c r="P1608" s="9" t="str">
        <f t="shared" si="6"/>
        <v>UK</v>
      </c>
      <c r="Q1608" s="8">
        <f t="shared" si="7"/>
        <v>19.8</v>
      </c>
    </row>
    <row r="1609">
      <c r="A1609" s="1">
        <v>544888.0</v>
      </c>
      <c r="B1609" s="1" t="str">
        <f t="shared" si="1"/>
        <v>544888</v>
      </c>
      <c r="C1609" s="1" t="str">
        <f t="shared" si="2"/>
        <v>Sale</v>
      </c>
      <c r="D1609" s="1">
        <v>22668.0</v>
      </c>
      <c r="E1609" s="1" t="str">
        <f>IFERROR(__xludf.DUMMYFUNCTION("IF(LEN(D1609)&gt;4, IFERROR(REGEXEXTRACT(TO_TEXT(D1609),""\d+""),""""),"""")"),"22668")</f>
        <v>22668</v>
      </c>
      <c r="F1609" s="6" t="str">
        <f t="shared" si="3"/>
        <v>Product</v>
      </c>
      <c r="G1609" s="1" t="s">
        <v>988</v>
      </c>
      <c r="H1609" s="6" t="str">
        <f>IFERROR(__xludf.DUMMYFUNCTION("IF(REGEXMATCH(LOWER(G1609), ""^(\?)+\s*(missing)?\s*(\?)*$""), """", PROPER(SUBSTITUTE(SUBSTITUTE(G1609, ""?"", """"), ""*"", """")))"),"Pink Baby Bunting")</f>
        <v>Pink Baby Bunting</v>
      </c>
      <c r="I1609" s="3">
        <v>5.0</v>
      </c>
      <c r="J1609" s="7">
        <v>40598.49652777778</v>
      </c>
      <c r="K1609" s="8" t="str">
        <f t="shared" si="4"/>
        <v>2011-02</v>
      </c>
      <c r="L1609" s="5">
        <v>2.95</v>
      </c>
      <c r="M1609" s="3">
        <v>14231.0</v>
      </c>
      <c r="N1609" s="1" t="str">
        <f t="shared" si="5"/>
        <v>Registered</v>
      </c>
      <c r="O1609" s="1" t="s">
        <v>19</v>
      </c>
      <c r="P1609" s="9" t="str">
        <f t="shared" si="6"/>
        <v>UK</v>
      </c>
      <c r="Q1609" s="8">
        <f t="shared" si="7"/>
        <v>14.75</v>
      </c>
    </row>
    <row r="1610">
      <c r="A1610" s="1">
        <v>544888.0</v>
      </c>
      <c r="B1610" s="1" t="str">
        <f t="shared" si="1"/>
        <v>544888</v>
      </c>
      <c r="C1610" s="1" t="str">
        <f t="shared" si="2"/>
        <v>Sale</v>
      </c>
      <c r="D1610" s="1">
        <v>22669.0</v>
      </c>
      <c r="E1610" s="1" t="str">
        <f>IFERROR(__xludf.DUMMYFUNCTION("IF(LEN(D1610)&gt;4, IFERROR(REGEXEXTRACT(TO_TEXT(D1610),""\d+""),""""),"""")"),"22669")</f>
        <v>22669</v>
      </c>
      <c r="F1610" s="6" t="str">
        <f t="shared" si="3"/>
        <v>Product</v>
      </c>
      <c r="G1610" s="1" t="s">
        <v>989</v>
      </c>
      <c r="H1610" s="6" t="str">
        <f>IFERROR(__xludf.DUMMYFUNCTION("IF(REGEXMATCH(LOWER(G1610), ""^(\?)+\s*(missing)?\s*(\?)*$""), """", PROPER(SUBSTITUTE(SUBSTITUTE(G1610, ""?"", """"), ""*"", """")))"),"Red Baby Bunting")</f>
        <v>Red Baby Bunting</v>
      </c>
      <c r="I1610" s="3">
        <v>5.0</v>
      </c>
      <c r="J1610" s="7">
        <v>40598.49652777778</v>
      </c>
      <c r="K1610" s="8" t="str">
        <f t="shared" si="4"/>
        <v>2011-02</v>
      </c>
      <c r="L1610" s="5">
        <v>2.95</v>
      </c>
      <c r="M1610" s="3">
        <v>14231.0</v>
      </c>
      <c r="N1610" s="1" t="str">
        <f t="shared" si="5"/>
        <v>Registered</v>
      </c>
      <c r="O1610" s="1" t="s">
        <v>19</v>
      </c>
      <c r="P1610" s="9" t="str">
        <f t="shared" si="6"/>
        <v>UK</v>
      </c>
      <c r="Q1610" s="8">
        <f t="shared" si="7"/>
        <v>14.75</v>
      </c>
    </row>
    <row r="1611">
      <c r="A1611" s="1">
        <v>544888.0</v>
      </c>
      <c r="B1611" s="1" t="str">
        <f t="shared" si="1"/>
        <v>544888</v>
      </c>
      <c r="C1611" s="1" t="str">
        <f t="shared" si="2"/>
        <v>Sale</v>
      </c>
      <c r="D1611" s="1">
        <v>21428.0</v>
      </c>
      <c r="E1611" s="1" t="str">
        <f>IFERROR(__xludf.DUMMYFUNCTION("IF(LEN(D1611)&gt;4, IFERROR(REGEXEXTRACT(TO_TEXT(D1611),""\d+""),""""),"""")"),"21428")</f>
        <v>21428</v>
      </c>
      <c r="F1611" s="6" t="str">
        <f t="shared" si="3"/>
        <v>Product</v>
      </c>
      <c r="G1611" s="1" t="s">
        <v>804</v>
      </c>
      <c r="H1611" s="6" t="str">
        <f>IFERROR(__xludf.DUMMYFUNCTION("IF(REGEXMATCH(LOWER(G1611), ""^(\?)+\s*(missing)?\s*(\?)*$""), """", PROPER(SUBSTITUTE(SUBSTITUTE(G1611, ""?"", """"), ""*"", """")))"),"Set3 Book Box Green Gingham Flower")</f>
        <v>Set3 Book Box Green Gingham Flower</v>
      </c>
      <c r="I1611" s="3">
        <v>4.0</v>
      </c>
      <c r="J1611" s="7">
        <v>40598.49652777778</v>
      </c>
      <c r="K1611" s="8" t="str">
        <f t="shared" si="4"/>
        <v>2011-02</v>
      </c>
      <c r="L1611" s="5">
        <v>4.25</v>
      </c>
      <c r="M1611" s="3">
        <v>14231.0</v>
      </c>
      <c r="N1611" s="1" t="str">
        <f t="shared" si="5"/>
        <v>Registered</v>
      </c>
      <c r="O1611" s="1" t="s">
        <v>19</v>
      </c>
      <c r="P1611" s="9" t="str">
        <f t="shared" si="6"/>
        <v>UK</v>
      </c>
      <c r="Q1611" s="8">
        <f t="shared" si="7"/>
        <v>17</v>
      </c>
    </row>
    <row r="1612">
      <c r="A1612" s="1">
        <v>544888.0</v>
      </c>
      <c r="B1612" s="1" t="str">
        <f t="shared" si="1"/>
        <v>544888</v>
      </c>
      <c r="C1612" s="1" t="str">
        <f t="shared" si="2"/>
        <v>Sale</v>
      </c>
      <c r="D1612" s="1" t="s">
        <v>224</v>
      </c>
      <c r="E1612" s="1" t="str">
        <f>IFERROR(__xludf.DUMMYFUNCTION("IF(LEN(D1612)&gt;4, IFERROR(REGEXEXTRACT(TO_TEXT(D1612),""\d+""),""""),"""")"),"84030")</f>
        <v>84030</v>
      </c>
      <c r="F1612" s="6" t="str">
        <f t="shared" si="3"/>
        <v>Product</v>
      </c>
      <c r="G1612" s="1" t="s">
        <v>225</v>
      </c>
      <c r="H1612" s="6" t="str">
        <f>IFERROR(__xludf.DUMMYFUNCTION("IF(REGEXMATCH(LOWER(G1612), ""^(\?)+\s*(missing)?\s*(\?)*$""), """", PROPER(SUBSTITUTE(SUBSTITUTE(G1612, ""?"", """"), ""*"", """")))"),"English Rose Hot Water Bottle")</f>
        <v>English Rose Hot Water Bottle</v>
      </c>
      <c r="I1612" s="3">
        <v>4.0</v>
      </c>
      <c r="J1612" s="7">
        <v>40598.49652777778</v>
      </c>
      <c r="K1612" s="8" t="str">
        <f t="shared" si="4"/>
        <v>2011-02</v>
      </c>
      <c r="L1612" s="5">
        <v>4.25</v>
      </c>
      <c r="M1612" s="3">
        <v>14231.0</v>
      </c>
      <c r="N1612" s="1" t="str">
        <f t="shared" si="5"/>
        <v>Registered</v>
      </c>
      <c r="O1612" s="1" t="s">
        <v>19</v>
      </c>
      <c r="P1612" s="9" t="str">
        <f t="shared" si="6"/>
        <v>UK</v>
      </c>
      <c r="Q1612" s="8">
        <f t="shared" si="7"/>
        <v>17</v>
      </c>
    </row>
    <row r="1613">
      <c r="A1613" s="1">
        <v>544888.0</v>
      </c>
      <c r="B1613" s="1" t="str">
        <f t="shared" si="1"/>
        <v>544888</v>
      </c>
      <c r="C1613" s="1" t="str">
        <f t="shared" si="2"/>
        <v>Sale</v>
      </c>
      <c r="D1613" s="1">
        <v>21485.0</v>
      </c>
      <c r="E1613" s="1" t="str">
        <f>IFERROR(__xludf.DUMMYFUNCTION("IF(LEN(D1613)&gt;4, IFERROR(REGEXEXTRACT(TO_TEXT(D1613),""\d+""),""""),"""")"),"21485")</f>
        <v>21485</v>
      </c>
      <c r="F1613" s="6" t="str">
        <f t="shared" si="3"/>
        <v>Product</v>
      </c>
      <c r="G1613" s="1" t="s">
        <v>223</v>
      </c>
      <c r="H1613" s="6" t="str">
        <f>IFERROR(__xludf.DUMMYFUNCTION("IF(REGEXMATCH(LOWER(G1613), ""^(\?)+\s*(missing)?\s*(\?)*$""), """", PROPER(SUBSTITUTE(SUBSTITUTE(G1613, ""?"", """"), ""*"", """")))"),"Retrospot Heart Hot Water Bottle")</f>
        <v>Retrospot Heart Hot Water Bottle</v>
      </c>
      <c r="I1613" s="3">
        <v>3.0</v>
      </c>
      <c r="J1613" s="7">
        <v>40598.49652777778</v>
      </c>
      <c r="K1613" s="8" t="str">
        <f t="shared" si="4"/>
        <v>2011-02</v>
      </c>
      <c r="L1613" s="5">
        <v>4.95</v>
      </c>
      <c r="M1613" s="3">
        <v>14231.0</v>
      </c>
      <c r="N1613" s="1" t="str">
        <f t="shared" si="5"/>
        <v>Registered</v>
      </c>
      <c r="O1613" s="1" t="s">
        <v>19</v>
      </c>
      <c r="P1613" s="9" t="str">
        <f t="shared" si="6"/>
        <v>UK</v>
      </c>
      <c r="Q1613" s="8">
        <f t="shared" si="7"/>
        <v>14.85</v>
      </c>
    </row>
    <row r="1614">
      <c r="A1614" s="1">
        <v>544888.0</v>
      </c>
      <c r="B1614" s="1" t="str">
        <f t="shared" si="1"/>
        <v>544888</v>
      </c>
      <c r="C1614" s="1" t="str">
        <f t="shared" si="2"/>
        <v>Sale</v>
      </c>
      <c r="D1614" s="1">
        <v>22698.0</v>
      </c>
      <c r="E1614" s="1" t="str">
        <f>IFERROR(__xludf.DUMMYFUNCTION("IF(LEN(D1614)&gt;4, IFERROR(REGEXEXTRACT(TO_TEXT(D1614),""\d+""),""""),"""")"),"22698")</f>
        <v>22698</v>
      </c>
      <c r="F1614" s="6" t="str">
        <f t="shared" si="3"/>
        <v>Product</v>
      </c>
      <c r="G1614" s="1" t="s">
        <v>683</v>
      </c>
      <c r="H1614" s="6" t="str">
        <f>IFERROR(__xludf.DUMMYFUNCTION("IF(REGEXMATCH(LOWER(G1614), ""^(\?)+\s*(missing)?\s*(\?)*$""), """", PROPER(SUBSTITUTE(SUBSTITUTE(G1614, ""?"", """"), ""*"", """")))"),"Pink Regency Teacup And Saucer")</f>
        <v>Pink Regency Teacup And Saucer</v>
      </c>
      <c r="I1614" s="3">
        <v>6.0</v>
      </c>
      <c r="J1614" s="7">
        <v>40598.49652777778</v>
      </c>
      <c r="K1614" s="8" t="str">
        <f t="shared" si="4"/>
        <v>2011-02</v>
      </c>
      <c r="L1614" s="5">
        <v>2.95</v>
      </c>
      <c r="M1614" s="3">
        <v>14231.0</v>
      </c>
      <c r="N1614" s="1" t="str">
        <f t="shared" si="5"/>
        <v>Registered</v>
      </c>
      <c r="O1614" s="1" t="s">
        <v>19</v>
      </c>
      <c r="P1614" s="9" t="str">
        <f t="shared" si="6"/>
        <v>UK</v>
      </c>
      <c r="Q1614" s="8">
        <f t="shared" si="7"/>
        <v>17.7</v>
      </c>
    </row>
    <row r="1615">
      <c r="A1615" s="1">
        <v>544888.0</v>
      </c>
      <c r="B1615" s="1" t="str">
        <f t="shared" si="1"/>
        <v>544888</v>
      </c>
      <c r="C1615" s="1" t="str">
        <f t="shared" si="2"/>
        <v>Sale</v>
      </c>
      <c r="D1615" s="1">
        <v>22697.0</v>
      </c>
      <c r="E1615" s="1" t="str">
        <f>IFERROR(__xludf.DUMMYFUNCTION("IF(LEN(D1615)&gt;4, IFERROR(REGEXEXTRACT(TO_TEXT(D1615),""\d+""),""""),"""")"),"22697")</f>
        <v>22697</v>
      </c>
      <c r="F1615" s="6" t="str">
        <f t="shared" si="3"/>
        <v>Product</v>
      </c>
      <c r="G1615" s="1" t="s">
        <v>682</v>
      </c>
      <c r="H1615" s="6" t="str">
        <f>IFERROR(__xludf.DUMMYFUNCTION("IF(REGEXMATCH(LOWER(G1615), ""^(\?)+\s*(missing)?\s*(\?)*$""), """", PROPER(SUBSTITUTE(SUBSTITUTE(G1615, ""?"", """"), ""*"", """")))"),"Green Regency Teacup And Saucer")</f>
        <v>Green Regency Teacup And Saucer</v>
      </c>
      <c r="I1615" s="3">
        <v>6.0</v>
      </c>
      <c r="J1615" s="7">
        <v>40598.49652777778</v>
      </c>
      <c r="K1615" s="8" t="str">
        <f t="shared" si="4"/>
        <v>2011-02</v>
      </c>
      <c r="L1615" s="5">
        <v>2.95</v>
      </c>
      <c r="M1615" s="3">
        <v>14231.0</v>
      </c>
      <c r="N1615" s="1" t="str">
        <f t="shared" si="5"/>
        <v>Registered</v>
      </c>
      <c r="O1615" s="1" t="s">
        <v>19</v>
      </c>
      <c r="P1615" s="9" t="str">
        <f t="shared" si="6"/>
        <v>UK</v>
      </c>
      <c r="Q1615" s="8">
        <f t="shared" si="7"/>
        <v>17.7</v>
      </c>
    </row>
    <row r="1616">
      <c r="A1616" s="1">
        <v>544892.0</v>
      </c>
      <c r="B1616" s="1" t="str">
        <f t="shared" si="1"/>
        <v>544892</v>
      </c>
      <c r="C1616" s="1" t="str">
        <f t="shared" si="2"/>
        <v>Sale</v>
      </c>
      <c r="D1616" s="1">
        <v>22072.0</v>
      </c>
      <c r="E1616" s="1" t="str">
        <f>IFERROR(__xludf.DUMMYFUNCTION("IF(LEN(D1616)&gt;4, IFERROR(REGEXEXTRACT(TO_TEXT(D1616),""\d+""),""""),"""")"),"22072")</f>
        <v>22072</v>
      </c>
      <c r="F1616" s="6" t="str">
        <f t="shared" si="3"/>
        <v>Product</v>
      </c>
      <c r="G1616" s="1" t="s">
        <v>990</v>
      </c>
      <c r="H1616" s="6" t="str">
        <f>IFERROR(__xludf.DUMMYFUNCTION("IF(REGEXMATCH(LOWER(G1616), ""^(\?)+\s*(missing)?\s*(\?)*$""), """", PROPER(SUBSTITUTE(SUBSTITUTE(G1616, ""?"", """"), ""*"", """")))"),"Red Retrospot Tea Cup And Saucer")</f>
        <v>Red Retrospot Tea Cup And Saucer</v>
      </c>
      <c r="I1616" s="3">
        <v>4.0</v>
      </c>
      <c r="J1616" s="7">
        <v>40598.5</v>
      </c>
      <c r="K1616" s="8" t="str">
        <f t="shared" si="4"/>
        <v>2011-02</v>
      </c>
      <c r="L1616" s="5">
        <v>3.75</v>
      </c>
      <c r="M1616" s="3">
        <v>14527.0</v>
      </c>
      <c r="N1616" s="1" t="str">
        <f t="shared" si="5"/>
        <v>Registered</v>
      </c>
      <c r="O1616" s="1" t="s">
        <v>19</v>
      </c>
      <c r="P1616" s="9" t="str">
        <f t="shared" si="6"/>
        <v>UK</v>
      </c>
      <c r="Q1616" s="8">
        <f t="shared" si="7"/>
        <v>15</v>
      </c>
    </row>
    <row r="1617">
      <c r="A1617" s="1">
        <v>544892.0</v>
      </c>
      <c r="B1617" s="1" t="str">
        <f t="shared" si="1"/>
        <v>544892</v>
      </c>
      <c r="C1617" s="1" t="str">
        <f t="shared" si="2"/>
        <v>Sale</v>
      </c>
      <c r="D1617" s="1">
        <v>21527.0</v>
      </c>
      <c r="E1617" s="1" t="str">
        <f>IFERROR(__xludf.DUMMYFUNCTION("IF(LEN(D1617)&gt;4, IFERROR(REGEXEXTRACT(TO_TEXT(D1617),""\d+""),""""),"""")"),"21527")</f>
        <v>21527</v>
      </c>
      <c r="F1617" s="6" t="str">
        <f t="shared" si="3"/>
        <v>Product</v>
      </c>
      <c r="G1617" s="1" t="s">
        <v>949</v>
      </c>
      <c r="H1617" s="6" t="str">
        <f>IFERROR(__xludf.DUMMYFUNCTION("IF(REGEXMATCH(LOWER(G1617), ""^(\?)+\s*(missing)?\s*(\?)*$""), """", PROPER(SUBSTITUTE(SUBSTITUTE(G1617, ""?"", """"), ""*"", """")))"),"Red Retrospot Traditional Teapot")</f>
        <v>Red Retrospot Traditional Teapot</v>
      </c>
      <c r="I1617" s="3">
        <v>1.0</v>
      </c>
      <c r="J1617" s="7">
        <v>40598.5</v>
      </c>
      <c r="K1617" s="8" t="str">
        <f t="shared" si="4"/>
        <v>2011-02</v>
      </c>
      <c r="L1617" s="5">
        <v>7.95</v>
      </c>
      <c r="M1617" s="3">
        <v>14527.0</v>
      </c>
      <c r="N1617" s="1" t="str">
        <f t="shared" si="5"/>
        <v>Registered</v>
      </c>
      <c r="O1617" s="1" t="s">
        <v>19</v>
      </c>
      <c r="P1617" s="9" t="str">
        <f t="shared" si="6"/>
        <v>UK</v>
      </c>
      <c r="Q1617" s="8">
        <f t="shared" si="7"/>
        <v>7.95</v>
      </c>
    </row>
    <row r="1618">
      <c r="A1618" s="1">
        <v>544892.0</v>
      </c>
      <c r="B1618" s="1" t="str">
        <f t="shared" si="1"/>
        <v>544892</v>
      </c>
      <c r="C1618" s="1" t="str">
        <f t="shared" si="2"/>
        <v>Sale</v>
      </c>
      <c r="D1618" s="1">
        <v>21246.0</v>
      </c>
      <c r="E1618" s="1" t="str">
        <f>IFERROR(__xludf.DUMMYFUNCTION("IF(LEN(D1618)&gt;4, IFERROR(REGEXEXTRACT(TO_TEXT(D1618),""\d+""),""""),"""")"),"21246")</f>
        <v>21246</v>
      </c>
      <c r="F1618" s="6" t="str">
        <f t="shared" si="3"/>
        <v>Product</v>
      </c>
      <c r="G1618" s="1" t="s">
        <v>991</v>
      </c>
      <c r="H1618" s="6" t="str">
        <f>IFERROR(__xludf.DUMMYFUNCTION("IF(REGEXMATCH(LOWER(G1618), ""^(\?)+\s*(missing)?\s*(\?)*$""), """", PROPER(SUBSTITUTE(SUBSTITUTE(G1618, ""?"", """"), ""*"", """")))"),"Red Retrospot Big Bowl")</f>
        <v>Red Retrospot Big Bowl</v>
      </c>
      <c r="I1618" s="3">
        <v>3.0</v>
      </c>
      <c r="J1618" s="7">
        <v>40598.5</v>
      </c>
      <c r="K1618" s="8" t="str">
        <f t="shared" si="4"/>
        <v>2011-02</v>
      </c>
      <c r="L1618" s="5">
        <v>4.95</v>
      </c>
      <c r="M1618" s="3">
        <v>14527.0</v>
      </c>
      <c r="N1618" s="1" t="str">
        <f t="shared" si="5"/>
        <v>Registered</v>
      </c>
      <c r="O1618" s="1" t="s">
        <v>19</v>
      </c>
      <c r="P1618" s="9" t="str">
        <f t="shared" si="6"/>
        <v>UK</v>
      </c>
      <c r="Q1618" s="8">
        <f t="shared" si="7"/>
        <v>14.85</v>
      </c>
    </row>
    <row r="1619">
      <c r="A1619" s="1">
        <v>544892.0</v>
      </c>
      <c r="B1619" s="1" t="str">
        <f t="shared" si="1"/>
        <v>544892</v>
      </c>
      <c r="C1619" s="1" t="str">
        <f t="shared" si="2"/>
        <v>Sale</v>
      </c>
      <c r="D1619" s="1">
        <v>22193.0</v>
      </c>
      <c r="E1619" s="1" t="str">
        <f>IFERROR(__xludf.DUMMYFUNCTION("IF(LEN(D1619)&gt;4, IFERROR(REGEXEXTRACT(TO_TEXT(D1619),""\d+""),""""),"""")"),"22193")</f>
        <v>22193</v>
      </c>
      <c r="F1619" s="6" t="str">
        <f t="shared" si="3"/>
        <v>Product</v>
      </c>
      <c r="G1619" s="1" t="s">
        <v>205</v>
      </c>
      <c r="H1619" s="6" t="str">
        <f>IFERROR(__xludf.DUMMYFUNCTION("IF(REGEXMATCH(LOWER(G1619), ""^(\?)+\s*(missing)?\s*(\?)*$""), """", PROPER(SUBSTITUTE(SUBSTITUTE(G1619, ""?"", """"), ""*"", """")))"),"Red Diner Wall Clock")</f>
        <v>Red Diner Wall Clock</v>
      </c>
      <c r="I1619" s="3">
        <v>1.0</v>
      </c>
      <c r="J1619" s="7">
        <v>40598.5</v>
      </c>
      <c r="K1619" s="8" t="str">
        <f t="shared" si="4"/>
        <v>2011-02</v>
      </c>
      <c r="L1619" s="5">
        <v>8.5</v>
      </c>
      <c r="M1619" s="3">
        <v>14527.0</v>
      </c>
      <c r="N1619" s="1" t="str">
        <f t="shared" si="5"/>
        <v>Registered</v>
      </c>
      <c r="O1619" s="1" t="s">
        <v>19</v>
      </c>
      <c r="P1619" s="9" t="str">
        <f t="shared" si="6"/>
        <v>UK</v>
      </c>
      <c r="Q1619" s="8">
        <f t="shared" si="7"/>
        <v>8.5</v>
      </c>
    </row>
    <row r="1620">
      <c r="A1620" s="1">
        <v>544892.0</v>
      </c>
      <c r="B1620" s="1" t="str">
        <f t="shared" si="1"/>
        <v>544892</v>
      </c>
      <c r="C1620" s="1" t="str">
        <f t="shared" si="2"/>
        <v>Sale</v>
      </c>
      <c r="D1620" s="1">
        <v>21216.0</v>
      </c>
      <c r="E1620" s="1" t="str">
        <f>IFERROR(__xludf.DUMMYFUNCTION("IF(LEN(D1620)&gt;4, IFERROR(REGEXEXTRACT(TO_TEXT(D1620),""\d+""),""""),"""")"),"21216")</f>
        <v>21216</v>
      </c>
      <c r="F1620" s="6" t="str">
        <f t="shared" si="3"/>
        <v>Product</v>
      </c>
      <c r="G1620" s="1" t="s">
        <v>819</v>
      </c>
      <c r="H1620" s="6" t="str">
        <f>IFERROR(__xludf.DUMMYFUNCTION("IF(REGEXMATCH(LOWER(G1620), ""^(\?)+\s*(missing)?\s*(\?)*$""), """", PROPER(SUBSTITUTE(SUBSTITUTE(G1620, ""?"", """"), ""*"", """")))"),"Set 3 Retrospot Tea,Coffee,Sugar")</f>
        <v>Set 3 Retrospot Tea,Coffee,Sugar</v>
      </c>
      <c r="I1620" s="3">
        <v>1.0</v>
      </c>
      <c r="J1620" s="7">
        <v>40598.5</v>
      </c>
      <c r="K1620" s="8" t="str">
        <f t="shared" si="4"/>
        <v>2011-02</v>
      </c>
      <c r="L1620" s="5">
        <v>4.95</v>
      </c>
      <c r="M1620" s="3">
        <v>14527.0</v>
      </c>
      <c r="N1620" s="1" t="str">
        <f t="shared" si="5"/>
        <v>Registered</v>
      </c>
      <c r="O1620" s="1" t="s">
        <v>19</v>
      </c>
      <c r="P1620" s="9" t="str">
        <f t="shared" si="6"/>
        <v>UK</v>
      </c>
      <c r="Q1620" s="8">
        <f t="shared" si="7"/>
        <v>4.95</v>
      </c>
    </row>
    <row r="1621">
      <c r="A1621" s="1">
        <v>544892.0</v>
      </c>
      <c r="B1621" s="1" t="str">
        <f t="shared" si="1"/>
        <v>544892</v>
      </c>
      <c r="C1621" s="1" t="str">
        <f t="shared" si="2"/>
        <v>Sale</v>
      </c>
      <c r="D1621" s="1">
        <v>22507.0</v>
      </c>
      <c r="E1621" s="1" t="str">
        <f>IFERROR(__xludf.DUMMYFUNCTION("IF(LEN(D1621)&gt;4, IFERROR(REGEXEXTRACT(TO_TEXT(D1621),""\d+""),""""),"""")"),"22507")</f>
        <v>22507</v>
      </c>
      <c r="F1621" s="6" t="str">
        <f t="shared" si="3"/>
        <v>Product</v>
      </c>
      <c r="G1621" s="1" t="s">
        <v>812</v>
      </c>
      <c r="H1621" s="6" t="str">
        <f>IFERROR(__xludf.DUMMYFUNCTION("IF(REGEXMATCH(LOWER(G1621), ""^(\?)+\s*(missing)?\s*(\?)*$""), """", PROPER(SUBSTITUTE(SUBSTITUTE(G1621, ""?"", """"), ""*"", """")))"),"Memo Board Retrospot Design")</f>
        <v>Memo Board Retrospot Design</v>
      </c>
      <c r="I1621" s="3">
        <v>2.0</v>
      </c>
      <c r="J1621" s="7">
        <v>40598.5</v>
      </c>
      <c r="K1621" s="8" t="str">
        <f t="shared" si="4"/>
        <v>2011-02</v>
      </c>
      <c r="L1621" s="5">
        <v>4.95</v>
      </c>
      <c r="M1621" s="3">
        <v>14527.0</v>
      </c>
      <c r="N1621" s="1" t="str">
        <f t="shared" si="5"/>
        <v>Registered</v>
      </c>
      <c r="O1621" s="1" t="s">
        <v>19</v>
      </c>
      <c r="P1621" s="9" t="str">
        <f t="shared" si="6"/>
        <v>UK</v>
      </c>
      <c r="Q1621" s="8">
        <f t="shared" si="7"/>
        <v>9.9</v>
      </c>
    </row>
    <row r="1622">
      <c r="A1622" s="1">
        <v>544892.0</v>
      </c>
      <c r="B1622" s="1" t="str">
        <f t="shared" si="1"/>
        <v>544892</v>
      </c>
      <c r="C1622" s="1" t="str">
        <f t="shared" si="2"/>
        <v>Sale</v>
      </c>
      <c r="D1622" s="1">
        <v>20685.0</v>
      </c>
      <c r="E1622" s="1" t="str">
        <f>IFERROR(__xludf.DUMMYFUNCTION("IF(LEN(D1622)&gt;4, IFERROR(REGEXEXTRACT(TO_TEXT(D1622),""\d+""),""""),"""")"),"20685")</f>
        <v>20685</v>
      </c>
      <c r="F1622" s="6" t="str">
        <f t="shared" si="3"/>
        <v>Product</v>
      </c>
      <c r="G1622" s="1" t="s">
        <v>374</v>
      </c>
      <c r="H1622" s="6" t="str">
        <f>IFERROR(__xludf.DUMMYFUNCTION("IF(REGEXMATCH(LOWER(G1622), ""^(\?)+\s*(missing)?\s*(\?)*$""), """", PROPER(SUBSTITUTE(SUBSTITUTE(G1622, ""?"", """"), ""*"", """")))"),"Doormat Red Retrospot")</f>
        <v>Doormat Red Retrospot</v>
      </c>
      <c r="I1622" s="3">
        <v>1.0</v>
      </c>
      <c r="J1622" s="7">
        <v>40598.5</v>
      </c>
      <c r="K1622" s="8" t="str">
        <f t="shared" si="4"/>
        <v>2011-02</v>
      </c>
      <c r="L1622" s="5">
        <v>7.95</v>
      </c>
      <c r="M1622" s="3">
        <v>14527.0</v>
      </c>
      <c r="N1622" s="1" t="str">
        <f t="shared" si="5"/>
        <v>Registered</v>
      </c>
      <c r="O1622" s="1" t="s">
        <v>19</v>
      </c>
      <c r="P1622" s="9" t="str">
        <f t="shared" si="6"/>
        <v>UK</v>
      </c>
      <c r="Q1622" s="8">
        <f t="shared" si="7"/>
        <v>7.95</v>
      </c>
    </row>
    <row r="1623">
      <c r="A1623" s="1">
        <v>544892.0</v>
      </c>
      <c r="B1623" s="1" t="str">
        <f t="shared" si="1"/>
        <v>544892</v>
      </c>
      <c r="C1623" s="1" t="str">
        <f t="shared" si="2"/>
        <v>Sale</v>
      </c>
      <c r="D1623" s="1">
        <v>20713.0</v>
      </c>
      <c r="E1623" s="1" t="str">
        <f>IFERROR(__xludf.DUMMYFUNCTION("IF(LEN(D1623)&gt;4, IFERROR(REGEXEXTRACT(TO_TEXT(D1623),""\d+""),""""),"""")"),"20713")</f>
        <v>20713</v>
      </c>
      <c r="F1623" s="6" t="str">
        <f t="shared" si="3"/>
        <v>Product</v>
      </c>
      <c r="G1623" s="1" t="s">
        <v>423</v>
      </c>
      <c r="H1623" s="6" t="str">
        <f>IFERROR(__xludf.DUMMYFUNCTION("IF(REGEXMATCH(LOWER(G1623), ""^(\?)+\s*(missing)?\s*(\?)*$""), """", PROPER(SUBSTITUTE(SUBSTITUTE(G1623, ""?"", """"), ""*"", """")))"),"Jumbo Bag Owls")</f>
        <v>Jumbo Bag Owls</v>
      </c>
      <c r="I1623" s="3">
        <v>2.0</v>
      </c>
      <c r="J1623" s="7">
        <v>40598.5</v>
      </c>
      <c r="K1623" s="8" t="str">
        <f t="shared" si="4"/>
        <v>2011-02</v>
      </c>
      <c r="L1623" s="5">
        <v>1.95</v>
      </c>
      <c r="M1623" s="3">
        <v>14527.0</v>
      </c>
      <c r="N1623" s="1" t="str">
        <f t="shared" si="5"/>
        <v>Registered</v>
      </c>
      <c r="O1623" s="1" t="s">
        <v>19</v>
      </c>
      <c r="P1623" s="9" t="str">
        <f t="shared" si="6"/>
        <v>UK</v>
      </c>
      <c r="Q1623" s="8">
        <f t="shared" si="7"/>
        <v>3.9</v>
      </c>
    </row>
    <row r="1624">
      <c r="A1624" s="1">
        <v>544892.0</v>
      </c>
      <c r="B1624" s="1" t="str">
        <f t="shared" si="1"/>
        <v>544892</v>
      </c>
      <c r="C1624" s="1" t="str">
        <f t="shared" si="2"/>
        <v>Sale</v>
      </c>
      <c r="D1624" s="1">
        <v>21363.0</v>
      </c>
      <c r="E1624" s="1" t="str">
        <f>IFERROR(__xludf.DUMMYFUNCTION("IF(LEN(D1624)&gt;4, IFERROR(REGEXEXTRACT(TO_TEXT(D1624),""\d+""),""""),"""")"),"21363")</f>
        <v>21363</v>
      </c>
      <c r="F1624" s="6" t="str">
        <f t="shared" si="3"/>
        <v>Product</v>
      </c>
      <c r="G1624" s="1" t="s">
        <v>187</v>
      </c>
      <c r="H1624" s="6" t="str">
        <f>IFERROR(__xludf.DUMMYFUNCTION("IF(REGEXMATCH(LOWER(G1624), ""^(\?)+\s*(missing)?\s*(\?)*$""), """", PROPER(SUBSTITUTE(SUBSTITUTE(G1624, ""?"", """"), ""*"", """")))"),"Home Small Wood Letters")</f>
        <v>Home Small Wood Letters</v>
      </c>
      <c r="I1624" s="3">
        <v>1.0</v>
      </c>
      <c r="J1624" s="7">
        <v>40598.5</v>
      </c>
      <c r="K1624" s="8" t="str">
        <f t="shared" si="4"/>
        <v>2011-02</v>
      </c>
      <c r="L1624" s="5">
        <v>4.95</v>
      </c>
      <c r="M1624" s="3">
        <v>14527.0</v>
      </c>
      <c r="N1624" s="1" t="str">
        <f t="shared" si="5"/>
        <v>Registered</v>
      </c>
      <c r="O1624" s="1" t="s">
        <v>19</v>
      </c>
      <c r="P1624" s="9" t="str">
        <f t="shared" si="6"/>
        <v>UK</v>
      </c>
      <c r="Q1624" s="8">
        <f t="shared" si="7"/>
        <v>4.95</v>
      </c>
    </row>
    <row r="1625">
      <c r="A1625" s="1">
        <v>544893.0</v>
      </c>
      <c r="B1625" s="1" t="str">
        <f t="shared" si="1"/>
        <v>544893</v>
      </c>
      <c r="C1625" s="1" t="str">
        <f t="shared" si="2"/>
        <v>Sale</v>
      </c>
      <c r="D1625" s="1">
        <v>21527.0</v>
      </c>
      <c r="E1625" s="1" t="str">
        <f>IFERROR(__xludf.DUMMYFUNCTION("IF(LEN(D1625)&gt;4, IFERROR(REGEXEXTRACT(TO_TEXT(D1625),""\d+""),""""),"""")"),"21527")</f>
        <v>21527</v>
      </c>
      <c r="F1625" s="6" t="str">
        <f t="shared" si="3"/>
        <v>Product</v>
      </c>
      <c r="G1625" s="1" t="s">
        <v>949</v>
      </c>
      <c r="H1625" s="6" t="str">
        <f>IFERROR(__xludf.DUMMYFUNCTION("IF(REGEXMATCH(LOWER(G1625), ""^(\?)+\s*(missing)?\s*(\?)*$""), """", PROPER(SUBSTITUTE(SUBSTITUTE(G1625, ""?"", """"), ""*"", """")))"),"Red Retrospot Traditional Teapot")</f>
        <v>Red Retrospot Traditional Teapot</v>
      </c>
      <c r="I1625" s="3">
        <v>4.0</v>
      </c>
      <c r="J1625" s="7">
        <v>40598.50069444445</v>
      </c>
      <c r="K1625" s="8" t="str">
        <f t="shared" si="4"/>
        <v>2011-02</v>
      </c>
      <c r="L1625" s="5">
        <v>7.95</v>
      </c>
      <c r="M1625" s="3">
        <v>17865.0</v>
      </c>
      <c r="N1625" s="1" t="str">
        <f t="shared" si="5"/>
        <v>Registered</v>
      </c>
      <c r="O1625" s="1" t="s">
        <v>19</v>
      </c>
      <c r="P1625" s="9" t="str">
        <f t="shared" si="6"/>
        <v>UK</v>
      </c>
      <c r="Q1625" s="8">
        <f t="shared" si="7"/>
        <v>31.8</v>
      </c>
    </row>
    <row r="1626">
      <c r="A1626" s="1">
        <v>544893.0</v>
      </c>
      <c r="B1626" s="1" t="str">
        <f t="shared" si="1"/>
        <v>544893</v>
      </c>
      <c r="C1626" s="1" t="str">
        <f t="shared" si="2"/>
        <v>Sale</v>
      </c>
      <c r="D1626" s="1">
        <v>22649.0</v>
      </c>
      <c r="E1626" s="1" t="str">
        <f>IFERROR(__xludf.DUMMYFUNCTION("IF(LEN(D1626)&gt;4, IFERROR(REGEXEXTRACT(TO_TEXT(D1626),""\d+""),""""),"""")"),"22649")</f>
        <v>22649</v>
      </c>
      <c r="F1626" s="6" t="str">
        <f t="shared" si="3"/>
        <v>Product</v>
      </c>
      <c r="G1626" s="1" t="s">
        <v>992</v>
      </c>
      <c r="H1626" s="6" t="str">
        <f>IFERROR(__xludf.DUMMYFUNCTION("IF(REGEXMATCH(LOWER(G1626), ""^(\?)+\s*(missing)?\s*(\?)*$""), """", PROPER(SUBSTITUTE(SUBSTITUTE(G1626, ""?"", """"), ""*"", """")))"),"Strawberry Fairy Cake Teapot")</f>
        <v>Strawberry Fairy Cake Teapot</v>
      </c>
      <c r="I1626" s="3">
        <v>8.0</v>
      </c>
      <c r="J1626" s="7">
        <v>40598.50069444445</v>
      </c>
      <c r="K1626" s="8" t="str">
        <f t="shared" si="4"/>
        <v>2011-02</v>
      </c>
      <c r="L1626" s="5">
        <v>4.95</v>
      </c>
      <c r="M1626" s="3">
        <v>17865.0</v>
      </c>
      <c r="N1626" s="1" t="str">
        <f t="shared" si="5"/>
        <v>Registered</v>
      </c>
      <c r="O1626" s="1" t="s">
        <v>19</v>
      </c>
      <c r="P1626" s="9" t="str">
        <f t="shared" si="6"/>
        <v>UK</v>
      </c>
      <c r="Q1626" s="8">
        <f t="shared" si="7"/>
        <v>39.6</v>
      </c>
    </row>
    <row r="1627">
      <c r="A1627" s="1">
        <v>544893.0</v>
      </c>
      <c r="B1627" s="1" t="str">
        <f t="shared" si="1"/>
        <v>544893</v>
      </c>
      <c r="C1627" s="1" t="str">
        <f t="shared" si="2"/>
        <v>Sale</v>
      </c>
      <c r="D1627" s="1">
        <v>22072.0</v>
      </c>
      <c r="E1627" s="1" t="str">
        <f>IFERROR(__xludf.DUMMYFUNCTION("IF(LEN(D1627)&gt;4, IFERROR(REGEXEXTRACT(TO_TEXT(D1627),""\d+""),""""),"""")"),"22072")</f>
        <v>22072</v>
      </c>
      <c r="F1627" s="6" t="str">
        <f t="shared" si="3"/>
        <v>Product</v>
      </c>
      <c r="G1627" s="1" t="s">
        <v>990</v>
      </c>
      <c r="H1627" s="6" t="str">
        <f>IFERROR(__xludf.DUMMYFUNCTION("IF(REGEXMATCH(LOWER(G1627), ""^(\?)+\s*(missing)?\s*(\?)*$""), """", PROPER(SUBSTITUTE(SUBSTITUTE(G1627, ""?"", """"), ""*"", """")))"),"Red Retrospot Tea Cup And Saucer")</f>
        <v>Red Retrospot Tea Cup And Saucer</v>
      </c>
      <c r="I1627" s="3">
        <v>4.0</v>
      </c>
      <c r="J1627" s="7">
        <v>40598.50069444445</v>
      </c>
      <c r="K1627" s="8" t="str">
        <f t="shared" si="4"/>
        <v>2011-02</v>
      </c>
      <c r="L1627" s="5">
        <v>3.75</v>
      </c>
      <c r="M1627" s="3">
        <v>17865.0</v>
      </c>
      <c r="N1627" s="1" t="str">
        <f t="shared" si="5"/>
        <v>Registered</v>
      </c>
      <c r="O1627" s="1" t="s">
        <v>19</v>
      </c>
      <c r="P1627" s="9" t="str">
        <f t="shared" si="6"/>
        <v>UK</v>
      </c>
      <c r="Q1627" s="8">
        <f t="shared" si="7"/>
        <v>15</v>
      </c>
    </row>
    <row r="1628">
      <c r="A1628" s="1">
        <v>544893.0</v>
      </c>
      <c r="B1628" s="1" t="str">
        <f t="shared" si="1"/>
        <v>544893</v>
      </c>
      <c r="C1628" s="1" t="str">
        <f t="shared" si="2"/>
        <v>Sale</v>
      </c>
      <c r="D1628" s="1">
        <v>22697.0</v>
      </c>
      <c r="E1628" s="1" t="str">
        <f>IFERROR(__xludf.DUMMYFUNCTION("IF(LEN(D1628)&gt;4, IFERROR(REGEXEXTRACT(TO_TEXT(D1628),""\d+""),""""),"""")"),"22697")</f>
        <v>22697</v>
      </c>
      <c r="F1628" s="6" t="str">
        <f t="shared" si="3"/>
        <v>Product</v>
      </c>
      <c r="G1628" s="1" t="s">
        <v>682</v>
      </c>
      <c r="H1628" s="6" t="str">
        <f>IFERROR(__xludf.DUMMYFUNCTION("IF(REGEXMATCH(LOWER(G1628), ""^(\?)+\s*(missing)?\s*(\?)*$""), """", PROPER(SUBSTITUTE(SUBSTITUTE(G1628, ""?"", """"), ""*"", """")))"),"Green Regency Teacup And Saucer")</f>
        <v>Green Regency Teacup And Saucer</v>
      </c>
      <c r="I1628" s="3">
        <v>6.0</v>
      </c>
      <c r="J1628" s="7">
        <v>40598.50069444445</v>
      </c>
      <c r="K1628" s="8" t="str">
        <f t="shared" si="4"/>
        <v>2011-02</v>
      </c>
      <c r="L1628" s="5">
        <v>2.95</v>
      </c>
      <c r="M1628" s="3">
        <v>17865.0</v>
      </c>
      <c r="N1628" s="1" t="str">
        <f t="shared" si="5"/>
        <v>Registered</v>
      </c>
      <c r="O1628" s="1" t="s">
        <v>19</v>
      </c>
      <c r="P1628" s="9" t="str">
        <f t="shared" si="6"/>
        <v>UK</v>
      </c>
      <c r="Q1628" s="8">
        <f t="shared" si="7"/>
        <v>17.7</v>
      </c>
    </row>
    <row r="1629">
      <c r="A1629" s="1">
        <v>544893.0</v>
      </c>
      <c r="B1629" s="1" t="str">
        <f t="shared" si="1"/>
        <v>544893</v>
      </c>
      <c r="C1629" s="1" t="str">
        <f t="shared" si="2"/>
        <v>Sale</v>
      </c>
      <c r="D1629" s="1">
        <v>22698.0</v>
      </c>
      <c r="E1629" s="1" t="str">
        <f>IFERROR(__xludf.DUMMYFUNCTION("IF(LEN(D1629)&gt;4, IFERROR(REGEXEXTRACT(TO_TEXT(D1629),""\d+""),""""),"""")"),"22698")</f>
        <v>22698</v>
      </c>
      <c r="F1629" s="6" t="str">
        <f t="shared" si="3"/>
        <v>Product</v>
      </c>
      <c r="G1629" s="1" t="s">
        <v>683</v>
      </c>
      <c r="H1629" s="6" t="str">
        <f>IFERROR(__xludf.DUMMYFUNCTION("IF(REGEXMATCH(LOWER(G1629), ""^(\?)+\s*(missing)?\s*(\?)*$""), """", PROPER(SUBSTITUTE(SUBSTITUTE(G1629, ""?"", """"), ""*"", """")))"),"Pink Regency Teacup And Saucer")</f>
        <v>Pink Regency Teacup And Saucer</v>
      </c>
      <c r="I1629" s="3">
        <v>6.0</v>
      </c>
      <c r="J1629" s="7">
        <v>40598.50069444445</v>
      </c>
      <c r="K1629" s="8" t="str">
        <f t="shared" si="4"/>
        <v>2011-02</v>
      </c>
      <c r="L1629" s="5">
        <v>2.95</v>
      </c>
      <c r="M1629" s="3">
        <v>17865.0</v>
      </c>
      <c r="N1629" s="1" t="str">
        <f t="shared" si="5"/>
        <v>Registered</v>
      </c>
      <c r="O1629" s="1" t="s">
        <v>19</v>
      </c>
      <c r="P1629" s="9" t="str">
        <f t="shared" si="6"/>
        <v>UK</v>
      </c>
      <c r="Q1629" s="8">
        <f t="shared" si="7"/>
        <v>17.7</v>
      </c>
    </row>
    <row r="1630">
      <c r="A1630" s="1">
        <v>544893.0</v>
      </c>
      <c r="B1630" s="1" t="str">
        <f t="shared" si="1"/>
        <v>544893</v>
      </c>
      <c r="C1630" s="1" t="str">
        <f t="shared" si="2"/>
        <v>Sale</v>
      </c>
      <c r="D1630" s="1">
        <v>22699.0</v>
      </c>
      <c r="E1630" s="1" t="str">
        <f>IFERROR(__xludf.DUMMYFUNCTION("IF(LEN(D1630)&gt;4, IFERROR(REGEXEXTRACT(TO_TEXT(D1630),""\d+""),""""),"""")"),"22699")</f>
        <v>22699</v>
      </c>
      <c r="F1630" s="6" t="str">
        <f t="shared" si="3"/>
        <v>Product</v>
      </c>
      <c r="G1630" s="1" t="s">
        <v>684</v>
      </c>
      <c r="H1630" s="6" t="str">
        <f>IFERROR(__xludf.DUMMYFUNCTION("IF(REGEXMATCH(LOWER(G1630), ""^(\?)+\s*(missing)?\s*(\?)*$""), """", PROPER(SUBSTITUTE(SUBSTITUTE(G1630, ""?"", """"), ""*"", """")))"),"Roses Regency Teacup And Saucer")</f>
        <v>Roses Regency Teacup And Saucer</v>
      </c>
      <c r="I1630" s="3">
        <v>6.0</v>
      </c>
      <c r="J1630" s="7">
        <v>40598.50069444445</v>
      </c>
      <c r="K1630" s="8" t="str">
        <f t="shared" si="4"/>
        <v>2011-02</v>
      </c>
      <c r="L1630" s="5">
        <v>2.95</v>
      </c>
      <c r="M1630" s="3">
        <v>17865.0</v>
      </c>
      <c r="N1630" s="1" t="str">
        <f t="shared" si="5"/>
        <v>Registered</v>
      </c>
      <c r="O1630" s="1" t="s">
        <v>19</v>
      </c>
      <c r="P1630" s="9" t="str">
        <f t="shared" si="6"/>
        <v>UK</v>
      </c>
      <c r="Q1630" s="8">
        <f t="shared" si="7"/>
        <v>17.7</v>
      </c>
    </row>
    <row r="1631">
      <c r="A1631" s="1">
        <v>544893.0</v>
      </c>
      <c r="B1631" s="1" t="str">
        <f t="shared" si="1"/>
        <v>544893</v>
      </c>
      <c r="C1631" s="1" t="str">
        <f t="shared" si="2"/>
        <v>Sale</v>
      </c>
      <c r="D1631" s="1">
        <v>22171.0</v>
      </c>
      <c r="E1631" s="1" t="str">
        <f>IFERROR(__xludf.DUMMYFUNCTION("IF(LEN(D1631)&gt;4, IFERROR(REGEXEXTRACT(TO_TEXT(D1631),""\d+""),""""),"""")"),"22171")</f>
        <v>22171</v>
      </c>
      <c r="F1631" s="6" t="str">
        <f t="shared" si="3"/>
        <v>Product</v>
      </c>
      <c r="G1631" s="1" t="s">
        <v>993</v>
      </c>
      <c r="H1631" s="6" t="str">
        <f>IFERROR(__xludf.DUMMYFUNCTION("IF(REGEXMATCH(LOWER(G1631), ""^(\?)+\s*(missing)?\s*(\?)*$""), """", PROPER(SUBSTITUTE(SUBSTITUTE(G1631, ""?"", """"), ""*"", """")))"),"3 Hook Photo Shelf Antique White")</f>
        <v>3 Hook Photo Shelf Antique White</v>
      </c>
      <c r="I1631" s="3">
        <v>2.0</v>
      </c>
      <c r="J1631" s="7">
        <v>40598.50069444445</v>
      </c>
      <c r="K1631" s="8" t="str">
        <f t="shared" si="4"/>
        <v>2011-02</v>
      </c>
      <c r="L1631" s="5">
        <v>8.5</v>
      </c>
      <c r="M1631" s="3">
        <v>17865.0</v>
      </c>
      <c r="N1631" s="1" t="str">
        <f t="shared" si="5"/>
        <v>Registered</v>
      </c>
      <c r="O1631" s="1" t="s">
        <v>19</v>
      </c>
      <c r="P1631" s="9" t="str">
        <f t="shared" si="6"/>
        <v>UK</v>
      </c>
      <c r="Q1631" s="8">
        <f t="shared" si="7"/>
        <v>17</v>
      </c>
    </row>
    <row r="1632">
      <c r="A1632" s="1">
        <v>544893.0</v>
      </c>
      <c r="B1632" s="1" t="str">
        <f t="shared" si="1"/>
        <v>544893</v>
      </c>
      <c r="C1632" s="1" t="str">
        <f t="shared" si="2"/>
        <v>Sale</v>
      </c>
      <c r="D1632" s="1">
        <v>82486.0</v>
      </c>
      <c r="E1632" s="1" t="str">
        <f>IFERROR(__xludf.DUMMYFUNCTION("IF(LEN(D1632)&gt;4, IFERROR(REGEXEXTRACT(TO_TEXT(D1632),""\d+""),""""),"""")"),"82486")</f>
        <v>82486</v>
      </c>
      <c r="F1632" s="6" t="str">
        <f t="shared" si="3"/>
        <v>Product</v>
      </c>
      <c r="G1632" s="1" t="s">
        <v>77</v>
      </c>
      <c r="H1632" s="6" t="str">
        <f>IFERROR(__xludf.DUMMYFUNCTION("IF(REGEXMATCH(LOWER(G1632), ""^(\?)+\s*(missing)?\s*(\?)*$""), """", PROPER(SUBSTITUTE(SUBSTITUTE(G1632, ""?"", """"), ""*"", """")))"),"Wood S/3 Cabinet Ant White Finish")</f>
        <v>Wood S/3 Cabinet Ant White Finish</v>
      </c>
      <c r="I1632" s="3">
        <v>2.0</v>
      </c>
      <c r="J1632" s="7">
        <v>40598.50069444445</v>
      </c>
      <c r="K1632" s="8" t="str">
        <f t="shared" si="4"/>
        <v>2011-02</v>
      </c>
      <c r="L1632" s="5">
        <v>8.95</v>
      </c>
      <c r="M1632" s="3">
        <v>17865.0</v>
      </c>
      <c r="N1632" s="1" t="str">
        <f t="shared" si="5"/>
        <v>Registered</v>
      </c>
      <c r="O1632" s="1" t="s">
        <v>19</v>
      </c>
      <c r="P1632" s="9" t="str">
        <f t="shared" si="6"/>
        <v>UK</v>
      </c>
      <c r="Q1632" s="8">
        <f t="shared" si="7"/>
        <v>17.9</v>
      </c>
    </row>
    <row r="1633">
      <c r="A1633" s="1">
        <v>544893.0</v>
      </c>
      <c r="B1633" s="1" t="str">
        <f t="shared" si="1"/>
        <v>544893</v>
      </c>
      <c r="C1633" s="1" t="str">
        <f t="shared" si="2"/>
        <v>Sale</v>
      </c>
      <c r="D1633" s="1">
        <v>21668.0</v>
      </c>
      <c r="E1633" s="1" t="str">
        <f>IFERROR(__xludf.DUMMYFUNCTION("IF(LEN(D1633)&gt;4, IFERROR(REGEXEXTRACT(TO_TEXT(D1633),""\d+""),""""),"""")"),"21668")</f>
        <v>21668</v>
      </c>
      <c r="F1633" s="6" t="str">
        <f t="shared" si="3"/>
        <v>Product</v>
      </c>
      <c r="G1633" s="1" t="s">
        <v>769</v>
      </c>
      <c r="H1633" s="6" t="str">
        <f>IFERROR(__xludf.DUMMYFUNCTION("IF(REGEXMATCH(LOWER(G1633), ""^(\?)+\s*(missing)?\s*(\?)*$""), """", PROPER(SUBSTITUTE(SUBSTITUTE(G1633, ""?"", """"), ""*"", """")))"),"Red Stripe Ceramic Drawer Knob")</f>
        <v>Red Stripe Ceramic Drawer Knob</v>
      </c>
      <c r="I1633" s="3">
        <v>12.0</v>
      </c>
      <c r="J1633" s="7">
        <v>40598.50069444445</v>
      </c>
      <c r="K1633" s="8" t="str">
        <f t="shared" si="4"/>
        <v>2011-02</v>
      </c>
      <c r="L1633" s="5">
        <v>1.25</v>
      </c>
      <c r="M1633" s="3">
        <v>17865.0</v>
      </c>
      <c r="N1633" s="1" t="str">
        <f t="shared" si="5"/>
        <v>Registered</v>
      </c>
      <c r="O1633" s="1" t="s">
        <v>19</v>
      </c>
      <c r="P1633" s="9" t="str">
        <f t="shared" si="6"/>
        <v>UK</v>
      </c>
      <c r="Q1633" s="8">
        <f t="shared" si="7"/>
        <v>15</v>
      </c>
    </row>
    <row r="1634">
      <c r="A1634" s="1">
        <v>544893.0</v>
      </c>
      <c r="B1634" s="1" t="str">
        <f t="shared" si="1"/>
        <v>544893</v>
      </c>
      <c r="C1634" s="1" t="str">
        <f t="shared" si="2"/>
        <v>Sale</v>
      </c>
      <c r="D1634" s="1">
        <v>21669.0</v>
      </c>
      <c r="E1634" s="1" t="str">
        <f>IFERROR(__xludf.DUMMYFUNCTION("IF(LEN(D1634)&gt;4, IFERROR(REGEXEXTRACT(TO_TEXT(D1634),""\d+""),""""),"""")"),"21669")</f>
        <v>21669</v>
      </c>
      <c r="F1634" s="6" t="str">
        <f t="shared" si="3"/>
        <v>Product</v>
      </c>
      <c r="G1634" s="1" t="s">
        <v>766</v>
      </c>
      <c r="H1634" s="6" t="str">
        <f>IFERROR(__xludf.DUMMYFUNCTION("IF(REGEXMATCH(LOWER(G1634), ""^(\?)+\s*(missing)?\s*(\?)*$""), """", PROPER(SUBSTITUTE(SUBSTITUTE(G1634, ""?"", """"), ""*"", """")))"),"Blue Stripe Ceramic Drawer Knob")</f>
        <v>Blue Stripe Ceramic Drawer Knob</v>
      </c>
      <c r="I1634" s="3">
        <v>12.0</v>
      </c>
      <c r="J1634" s="7">
        <v>40598.50069444445</v>
      </c>
      <c r="K1634" s="8" t="str">
        <f t="shared" si="4"/>
        <v>2011-02</v>
      </c>
      <c r="L1634" s="5">
        <v>1.25</v>
      </c>
      <c r="M1634" s="3">
        <v>17865.0</v>
      </c>
      <c r="N1634" s="1" t="str">
        <f t="shared" si="5"/>
        <v>Registered</v>
      </c>
      <c r="O1634" s="1" t="s">
        <v>19</v>
      </c>
      <c r="P1634" s="9" t="str">
        <f t="shared" si="6"/>
        <v>UK</v>
      </c>
      <c r="Q1634" s="8">
        <f t="shared" si="7"/>
        <v>15</v>
      </c>
    </row>
    <row r="1635">
      <c r="A1635" s="1">
        <v>544893.0</v>
      </c>
      <c r="B1635" s="1" t="str">
        <f t="shared" si="1"/>
        <v>544893</v>
      </c>
      <c r="C1635" s="1" t="str">
        <f t="shared" si="2"/>
        <v>Sale</v>
      </c>
      <c r="D1635" s="1">
        <v>21670.0</v>
      </c>
      <c r="E1635" s="1" t="str">
        <f>IFERROR(__xludf.DUMMYFUNCTION("IF(LEN(D1635)&gt;4, IFERROR(REGEXEXTRACT(TO_TEXT(D1635),""\d+""),""""),"""")"),"21670")</f>
        <v>21670</v>
      </c>
      <c r="F1635" s="6" t="str">
        <f t="shared" si="3"/>
        <v>Product</v>
      </c>
      <c r="G1635" s="1" t="s">
        <v>768</v>
      </c>
      <c r="H1635" s="6" t="str">
        <f>IFERROR(__xludf.DUMMYFUNCTION("IF(REGEXMATCH(LOWER(G1635), ""^(\?)+\s*(missing)?\s*(\?)*$""), """", PROPER(SUBSTITUTE(SUBSTITUTE(G1635, ""?"", """"), ""*"", """")))"),"Blue Spot Ceramic Drawer Knob")</f>
        <v>Blue Spot Ceramic Drawer Knob</v>
      </c>
      <c r="I1635" s="3">
        <v>12.0</v>
      </c>
      <c r="J1635" s="7">
        <v>40598.50069444445</v>
      </c>
      <c r="K1635" s="8" t="str">
        <f t="shared" si="4"/>
        <v>2011-02</v>
      </c>
      <c r="L1635" s="5">
        <v>1.25</v>
      </c>
      <c r="M1635" s="3">
        <v>17865.0</v>
      </c>
      <c r="N1635" s="1" t="str">
        <f t="shared" si="5"/>
        <v>Registered</v>
      </c>
      <c r="O1635" s="1" t="s">
        <v>19</v>
      </c>
      <c r="P1635" s="9" t="str">
        <f t="shared" si="6"/>
        <v>UK</v>
      </c>
      <c r="Q1635" s="8">
        <f t="shared" si="7"/>
        <v>15</v>
      </c>
    </row>
    <row r="1636">
      <c r="A1636" s="1">
        <v>544893.0</v>
      </c>
      <c r="B1636" s="1" t="str">
        <f t="shared" si="1"/>
        <v>544893</v>
      </c>
      <c r="C1636" s="1" t="str">
        <f t="shared" si="2"/>
        <v>Sale</v>
      </c>
      <c r="D1636" s="1">
        <v>21671.0</v>
      </c>
      <c r="E1636" s="1" t="str">
        <f>IFERROR(__xludf.DUMMYFUNCTION("IF(LEN(D1636)&gt;4, IFERROR(REGEXEXTRACT(TO_TEXT(D1636),""\d+""),""""),"""")"),"21671")</f>
        <v>21671</v>
      </c>
      <c r="F1636" s="6" t="str">
        <f t="shared" si="3"/>
        <v>Product</v>
      </c>
      <c r="G1636" s="1" t="s">
        <v>770</v>
      </c>
      <c r="H1636" s="6" t="str">
        <f>IFERROR(__xludf.DUMMYFUNCTION("IF(REGEXMATCH(LOWER(G1636), ""^(\?)+\s*(missing)?\s*(\?)*$""), """", PROPER(SUBSTITUTE(SUBSTITUTE(G1636, ""?"", """"), ""*"", """")))"),"Red Spot Ceramic Drawer Knob")</f>
        <v>Red Spot Ceramic Drawer Knob</v>
      </c>
      <c r="I1636" s="3">
        <v>24.0</v>
      </c>
      <c r="J1636" s="7">
        <v>40598.50069444445</v>
      </c>
      <c r="K1636" s="8" t="str">
        <f t="shared" si="4"/>
        <v>2011-02</v>
      </c>
      <c r="L1636" s="5">
        <v>1.25</v>
      </c>
      <c r="M1636" s="3">
        <v>17865.0</v>
      </c>
      <c r="N1636" s="1" t="str">
        <f t="shared" si="5"/>
        <v>Registered</v>
      </c>
      <c r="O1636" s="1" t="s">
        <v>19</v>
      </c>
      <c r="P1636" s="9" t="str">
        <f t="shared" si="6"/>
        <v>UK</v>
      </c>
      <c r="Q1636" s="8">
        <f t="shared" si="7"/>
        <v>30</v>
      </c>
    </row>
    <row r="1637">
      <c r="A1637" s="1">
        <v>544893.0</v>
      </c>
      <c r="B1637" s="1" t="str">
        <f t="shared" si="1"/>
        <v>544893</v>
      </c>
      <c r="C1637" s="1" t="str">
        <f t="shared" si="2"/>
        <v>Sale</v>
      </c>
      <c r="D1637" s="1">
        <v>21672.0</v>
      </c>
      <c r="E1637" s="1" t="str">
        <f>IFERROR(__xludf.DUMMYFUNCTION("IF(LEN(D1637)&gt;4, IFERROR(REGEXEXTRACT(TO_TEXT(D1637),""\d+""),""""),"""")"),"21672")</f>
        <v>21672</v>
      </c>
      <c r="F1637" s="6" t="str">
        <f t="shared" si="3"/>
        <v>Product</v>
      </c>
      <c r="G1637" s="1" t="s">
        <v>114</v>
      </c>
      <c r="H1637" s="6" t="str">
        <f>IFERROR(__xludf.DUMMYFUNCTION("IF(REGEXMATCH(LOWER(G1637), ""^(\?)+\s*(missing)?\s*(\?)*$""), """", PROPER(SUBSTITUTE(SUBSTITUTE(G1637, ""?"", """"), ""*"", """")))"),"White Spot Red Ceramic Drawer Knob")</f>
        <v>White Spot Red Ceramic Drawer Knob</v>
      </c>
      <c r="I1637" s="3">
        <v>24.0</v>
      </c>
      <c r="J1637" s="7">
        <v>40598.50069444445</v>
      </c>
      <c r="K1637" s="8" t="str">
        <f t="shared" si="4"/>
        <v>2011-02</v>
      </c>
      <c r="L1637" s="5">
        <v>1.25</v>
      </c>
      <c r="M1637" s="3">
        <v>17865.0</v>
      </c>
      <c r="N1637" s="1" t="str">
        <f t="shared" si="5"/>
        <v>Registered</v>
      </c>
      <c r="O1637" s="1" t="s">
        <v>19</v>
      </c>
      <c r="P1637" s="9" t="str">
        <f t="shared" si="6"/>
        <v>UK</v>
      </c>
      <c r="Q1637" s="8">
        <f t="shared" si="7"/>
        <v>30</v>
      </c>
    </row>
    <row r="1638">
      <c r="A1638" s="1">
        <v>544893.0</v>
      </c>
      <c r="B1638" s="1" t="str">
        <f t="shared" si="1"/>
        <v>544893</v>
      </c>
      <c r="C1638" s="1" t="str">
        <f t="shared" si="2"/>
        <v>Sale</v>
      </c>
      <c r="D1638" s="1">
        <v>21673.0</v>
      </c>
      <c r="E1638" s="1" t="str">
        <f>IFERROR(__xludf.DUMMYFUNCTION("IF(LEN(D1638)&gt;4, IFERROR(REGEXEXTRACT(TO_TEXT(D1638),""\d+""),""""),"""")"),"21673")</f>
        <v>21673</v>
      </c>
      <c r="F1638" s="6" t="str">
        <f t="shared" si="3"/>
        <v>Product</v>
      </c>
      <c r="G1638" s="1" t="s">
        <v>767</v>
      </c>
      <c r="H1638" s="6" t="str">
        <f>IFERROR(__xludf.DUMMYFUNCTION("IF(REGEXMATCH(LOWER(G1638), ""^(\?)+\s*(missing)?\s*(\?)*$""), """", PROPER(SUBSTITUTE(SUBSTITUTE(G1638, ""?"", """"), ""*"", """")))"),"White Spot Blue Ceramic Drawer Knob")</f>
        <v>White Spot Blue Ceramic Drawer Knob</v>
      </c>
      <c r="I1638" s="3">
        <v>24.0</v>
      </c>
      <c r="J1638" s="7">
        <v>40598.50069444445</v>
      </c>
      <c r="K1638" s="8" t="str">
        <f t="shared" si="4"/>
        <v>2011-02</v>
      </c>
      <c r="L1638" s="5">
        <v>1.25</v>
      </c>
      <c r="M1638" s="3">
        <v>17865.0</v>
      </c>
      <c r="N1638" s="1" t="str">
        <f t="shared" si="5"/>
        <v>Registered</v>
      </c>
      <c r="O1638" s="1" t="s">
        <v>19</v>
      </c>
      <c r="P1638" s="9" t="str">
        <f t="shared" si="6"/>
        <v>UK</v>
      </c>
      <c r="Q1638" s="8">
        <f t="shared" si="7"/>
        <v>30</v>
      </c>
    </row>
    <row r="1639">
      <c r="A1639" s="1">
        <v>544893.0</v>
      </c>
      <c r="B1639" s="1" t="str">
        <f t="shared" si="1"/>
        <v>544893</v>
      </c>
      <c r="C1639" s="1" t="str">
        <f t="shared" si="2"/>
        <v>Sale</v>
      </c>
      <c r="D1639" s="1">
        <v>22637.0</v>
      </c>
      <c r="E1639" s="1" t="str">
        <f>IFERROR(__xludf.DUMMYFUNCTION("IF(LEN(D1639)&gt;4, IFERROR(REGEXEXTRACT(TO_TEXT(D1639),""\d+""),""""),"""")"),"22637")</f>
        <v>22637</v>
      </c>
      <c r="F1639" s="6" t="str">
        <f t="shared" si="3"/>
        <v>Product</v>
      </c>
      <c r="G1639" s="1" t="s">
        <v>119</v>
      </c>
      <c r="H1639" s="6" t="str">
        <f>IFERROR(__xludf.DUMMYFUNCTION("IF(REGEXMATCH(LOWER(G1639), ""^(\?)+\s*(missing)?\s*(\?)*$""), """", PROPER(SUBSTITUTE(SUBSTITUTE(G1639, ""?"", """"), ""*"", """")))"),"Piggy Bank Retrospot")</f>
        <v>Piggy Bank Retrospot</v>
      </c>
      <c r="I1639" s="3">
        <v>4.0</v>
      </c>
      <c r="J1639" s="7">
        <v>40598.50069444445</v>
      </c>
      <c r="K1639" s="8" t="str">
        <f t="shared" si="4"/>
        <v>2011-02</v>
      </c>
      <c r="L1639" s="5">
        <v>2.55</v>
      </c>
      <c r="M1639" s="3">
        <v>17865.0</v>
      </c>
      <c r="N1639" s="1" t="str">
        <f t="shared" si="5"/>
        <v>Registered</v>
      </c>
      <c r="O1639" s="1" t="s">
        <v>19</v>
      </c>
      <c r="P1639" s="9" t="str">
        <f t="shared" si="6"/>
        <v>UK</v>
      </c>
      <c r="Q1639" s="8">
        <f t="shared" si="7"/>
        <v>10.2</v>
      </c>
    </row>
    <row r="1640">
      <c r="A1640" s="1">
        <v>544893.0</v>
      </c>
      <c r="B1640" s="1" t="str">
        <f t="shared" si="1"/>
        <v>544893</v>
      </c>
      <c r="C1640" s="1" t="str">
        <f t="shared" si="2"/>
        <v>Sale</v>
      </c>
      <c r="D1640" s="1">
        <v>37449.0</v>
      </c>
      <c r="E1640" s="1" t="str">
        <f>IFERROR(__xludf.DUMMYFUNCTION("IF(LEN(D1640)&gt;4, IFERROR(REGEXEXTRACT(TO_TEXT(D1640),""\d+""),""""),"""")"),"37449")</f>
        <v>37449</v>
      </c>
      <c r="F1640" s="6" t="str">
        <f t="shared" si="3"/>
        <v>Product</v>
      </c>
      <c r="G1640" s="1" t="s">
        <v>994</v>
      </c>
      <c r="H1640" s="6" t="str">
        <f>IFERROR(__xludf.DUMMYFUNCTION("IF(REGEXMATCH(LOWER(G1640), ""^(\?)+\s*(missing)?\s*(\?)*$""), """", PROPER(SUBSTITUTE(SUBSTITUTE(G1640, ""?"", """"), ""*"", """")))"),"Ceramic Cake Stand + Hanging Cakes")</f>
        <v>Ceramic Cake Stand + Hanging Cakes</v>
      </c>
      <c r="I1640" s="3">
        <v>2.0</v>
      </c>
      <c r="J1640" s="7">
        <v>40598.50069444445</v>
      </c>
      <c r="K1640" s="8" t="str">
        <f t="shared" si="4"/>
        <v>2011-02</v>
      </c>
      <c r="L1640" s="5">
        <v>9.95</v>
      </c>
      <c r="M1640" s="3">
        <v>17865.0</v>
      </c>
      <c r="N1640" s="1" t="str">
        <f t="shared" si="5"/>
        <v>Registered</v>
      </c>
      <c r="O1640" s="1" t="s">
        <v>19</v>
      </c>
      <c r="P1640" s="9" t="str">
        <f t="shared" si="6"/>
        <v>UK</v>
      </c>
      <c r="Q1640" s="8">
        <f t="shared" si="7"/>
        <v>19.9</v>
      </c>
    </row>
    <row r="1641">
      <c r="A1641" s="1">
        <v>544893.0</v>
      </c>
      <c r="B1641" s="1" t="str">
        <f t="shared" si="1"/>
        <v>544893</v>
      </c>
      <c r="C1641" s="1" t="str">
        <f t="shared" si="2"/>
        <v>Sale</v>
      </c>
      <c r="D1641" s="1">
        <v>21212.0</v>
      </c>
      <c r="E1641" s="1" t="str">
        <f>IFERROR(__xludf.DUMMYFUNCTION("IF(LEN(D1641)&gt;4, IFERROR(REGEXEXTRACT(TO_TEXT(D1641),""\d+""),""""),"""")"),"21212")</f>
        <v>21212</v>
      </c>
      <c r="F1641" s="6" t="str">
        <f t="shared" si="3"/>
        <v>Product</v>
      </c>
      <c r="G1641" s="1" t="s">
        <v>97</v>
      </c>
      <c r="H1641" s="6" t="str">
        <f>IFERROR(__xludf.DUMMYFUNCTION("IF(REGEXMATCH(LOWER(G1641), ""^(\?)+\s*(missing)?\s*(\?)*$""), """", PROPER(SUBSTITUTE(SUBSTITUTE(G1641, ""?"", """"), ""*"", """")))"),"Pack Of 72 Retrospot Cake Cases")</f>
        <v>Pack Of 72 Retrospot Cake Cases</v>
      </c>
      <c r="I1641" s="3">
        <v>24.0</v>
      </c>
      <c r="J1641" s="7">
        <v>40598.50069444445</v>
      </c>
      <c r="K1641" s="8" t="str">
        <f t="shared" si="4"/>
        <v>2011-02</v>
      </c>
      <c r="L1641" s="5">
        <v>0.55</v>
      </c>
      <c r="M1641" s="3">
        <v>17865.0</v>
      </c>
      <c r="N1641" s="1" t="str">
        <f t="shared" si="5"/>
        <v>Registered</v>
      </c>
      <c r="O1641" s="1" t="s">
        <v>19</v>
      </c>
      <c r="P1641" s="9" t="str">
        <f t="shared" si="6"/>
        <v>UK</v>
      </c>
      <c r="Q1641" s="8">
        <f t="shared" si="7"/>
        <v>13.2</v>
      </c>
    </row>
    <row r="1642">
      <c r="A1642" s="1">
        <v>544893.0</v>
      </c>
      <c r="B1642" s="1" t="str">
        <f t="shared" si="1"/>
        <v>544893</v>
      </c>
      <c r="C1642" s="1" t="str">
        <f t="shared" si="2"/>
        <v>Sale</v>
      </c>
      <c r="D1642" s="1">
        <v>21975.0</v>
      </c>
      <c r="E1642" s="1" t="str">
        <f>IFERROR(__xludf.DUMMYFUNCTION("IF(LEN(D1642)&gt;4, IFERROR(REGEXEXTRACT(TO_TEXT(D1642),""\d+""),""""),"""")"),"21975")</f>
        <v>21975</v>
      </c>
      <c r="F1642" s="6" t="str">
        <f t="shared" si="3"/>
        <v>Product</v>
      </c>
      <c r="G1642" s="1" t="s">
        <v>98</v>
      </c>
      <c r="H1642" s="6" t="str">
        <f>IFERROR(__xludf.DUMMYFUNCTION("IF(REGEXMATCH(LOWER(G1642), ""^(\?)+\s*(missing)?\s*(\?)*$""), """", PROPER(SUBSTITUTE(SUBSTITUTE(G1642, ""?"", """"), ""*"", """")))"),"Pack Of 60 Dinosaur Cake Cases")</f>
        <v>Pack Of 60 Dinosaur Cake Cases</v>
      </c>
      <c r="I1642" s="3">
        <v>24.0</v>
      </c>
      <c r="J1642" s="7">
        <v>40598.50069444445</v>
      </c>
      <c r="K1642" s="8" t="str">
        <f t="shared" si="4"/>
        <v>2011-02</v>
      </c>
      <c r="L1642" s="5">
        <v>0.55</v>
      </c>
      <c r="M1642" s="3">
        <v>17865.0</v>
      </c>
      <c r="N1642" s="1" t="str">
        <f t="shared" si="5"/>
        <v>Registered</v>
      </c>
      <c r="O1642" s="1" t="s">
        <v>19</v>
      </c>
      <c r="P1642" s="9" t="str">
        <f t="shared" si="6"/>
        <v>UK</v>
      </c>
      <c r="Q1642" s="8">
        <f t="shared" si="7"/>
        <v>13.2</v>
      </c>
    </row>
    <row r="1643">
      <c r="A1643" s="1">
        <v>544893.0</v>
      </c>
      <c r="B1643" s="1" t="str">
        <f t="shared" si="1"/>
        <v>544893</v>
      </c>
      <c r="C1643" s="1" t="str">
        <f t="shared" si="2"/>
        <v>Sale</v>
      </c>
      <c r="D1643" s="1">
        <v>21976.0</v>
      </c>
      <c r="E1643" s="1" t="str">
        <f>IFERROR(__xludf.DUMMYFUNCTION("IF(LEN(D1643)&gt;4, IFERROR(REGEXEXTRACT(TO_TEXT(D1643),""\d+""),""""),"""")"),"21976")</f>
        <v>21976</v>
      </c>
      <c r="F1643" s="6" t="str">
        <f t="shared" si="3"/>
        <v>Product</v>
      </c>
      <c r="G1643" s="1" t="s">
        <v>490</v>
      </c>
      <c r="H1643" s="6" t="str">
        <f>IFERROR(__xludf.DUMMYFUNCTION("IF(REGEXMATCH(LOWER(G1643), ""^(\?)+\s*(missing)?\s*(\?)*$""), """", PROPER(SUBSTITUTE(SUBSTITUTE(G1643, ""?"", """"), ""*"", """")))"),"Pack Of 60 Mushroom Cake Cases")</f>
        <v>Pack Of 60 Mushroom Cake Cases</v>
      </c>
      <c r="I1643" s="3">
        <v>24.0</v>
      </c>
      <c r="J1643" s="7">
        <v>40598.50069444445</v>
      </c>
      <c r="K1643" s="8" t="str">
        <f t="shared" si="4"/>
        <v>2011-02</v>
      </c>
      <c r="L1643" s="5">
        <v>0.55</v>
      </c>
      <c r="M1643" s="3">
        <v>17865.0</v>
      </c>
      <c r="N1643" s="1" t="str">
        <f t="shared" si="5"/>
        <v>Registered</v>
      </c>
      <c r="O1643" s="1" t="s">
        <v>19</v>
      </c>
      <c r="P1643" s="9" t="str">
        <f t="shared" si="6"/>
        <v>UK</v>
      </c>
      <c r="Q1643" s="8">
        <f t="shared" si="7"/>
        <v>13.2</v>
      </c>
    </row>
    <row r="1644">
      <c r="A1644" s="1">
        <v>544893.0</v>
      </c>
      <c r="B1644" s="1" t="str">
        <f t="shared" si="1"/>
        <v>544893</v>
      </c>
      <c r="C1644" s="1" t="str">
        <f t="shared" si="2"/>
        <v>Sale</v>
      </c>
      <c r="D1644" s="1">
        <v>21977.0</v>
      </c>
      <c r="E1644" s="1" t="str">
        <f>IFERROR(__xludf.DUMMYFUNCTION("IF(LEN(D1644)&gt;4, IFERROR(REGEXEXTRACT(TO_TEXT(D1644),""\d+""),""""),"""")"),"21977")</f>
        <v>21977</v>
      </c>
      <c r="F1644" s="6" t="str">
        <f t="shared" si="3"/>
        <v>Product</v>
      </c>
      <c r="G1644" s="1" t="s">
        <v>99</v>
      </c>
      <c r="H1644" s="6" t="str">
        <f>IFERROR(__xludf.DUMMYFUNCTION("IF(REGEXMATCH(LOWER(G1644), ""^(\?)+\s*(missing)?\s*(\?)*$""), """", PROPER(SUBSTITUTE(SUBSTITUTE(G1644, ""?"", """"), ""*"", """")))"),"Pack Of 60 Pink Paisley Cake Cases")</f>
        <v>Pack Of 60 Pink Paisley Cake Cases</v>
      </c>
      <c r="I1644" s="3">
        <v>24.0</v>
      </c>
      <c r="J1644" s="7">
        <v>40598.50069444445</v>
      </c>
      <c r="K1644" s="8" t="str">
        <f t="shared" si="4"/>
        <v>2011-02</v>
      </c>
      <c r="L1644" s="5">
        <v>0.55</v>
      </c>
      <c r="M1644" s="3">
        <v>17865.0</v>
      </c>
      <c r="N1644" s="1" t="str">
        <f t="shared" si="5"/>
        <v>Registered</v>
      </c>
      <c r="O1644" s="1" t="s">
        <v>19</v>
      </c>
      <c r="P1644" s="9" t="str">
        <f t="shared" si="6"/>
        <v>UK</v>
      </c>
      <c r="Q1644" s="8">
        <f t="shared" si="7"/>
        <v>13.2</v>
      </c>
    </row>
    <row r="1645">
      <c r="A1645" s="1">
        <v>544893.0</v>
      </c>
      <c r="B1645" s="1" t="str">
        <f t="shared" si="1"/>
        <v>544893</v>
      </c>
      <c r="C1645" s="1" t="str">
        <f t="shared" si="2"/>
        <v>Sale</v>
      </c>
      <c r="D1645" s="1">
        <v>84991.0</v>
      </c>
      <c r="E1645" s="1" t="str">
        <f>IFERROR(__xludf.DUMMYFUNCTION("IF(LEN(D1645)&gt;4, IFERROR(REGEXEXTRACT(TO_TEXT(D1645),""\d+""),""""),"""")"),"84991")</f>
        <v>84991</v>
      </c>
      <c r="F1645" s="6" t="str">
        <f t="shared" si="3"/>
        <v>Product</v>
      </c>
      <c r="G1645" s="1" t="s">
        <v>100</v>
      </c>
      <c r="H1645" s="6" t="str">
        <f>IFERROR(__xludf.DUMMYFUNCTION("IF(REGEXMATCH(LOWER(G1645), ""^(\?)+\s*(missing)?\s*(\?)*$""), """", PROPER(SUBSTITUTE(SUBSTITUTE(G1645, ""?"", """"), ""*"", """")))"),"60 Teatime Fairy Cake Cases")</f>
        <v>60 Teatime Fairy Cake Cases</v>
      </c>
      <c r="I1645" s="3">
        <v>24.0</v>
      </c>
      <c r="J1645" s="7">
        <v>40598.50069444445</v>
      </c>
      <c r="K1645" s="8" t="str">
        <f t="shared" si="4"/>
        <v>2011-02</v>
      </c>
      <c r="L1645" s="5">
        <v>0.55</v>
      </c>
      <c r="M1645" s="3">
        <v>17865.0</v>
      </c>
      <c r="N1645" s="1" t="str">
        <f t="shared" si="5"/>
        <v>Registered</v>
      </c>
      <c r="O1645" s="1" t="s">
        <v>19</v>
      </c>
      <c r="P1645" s="9" t="str">
        <f t="shared" si="6"/>
        <v>UK</v>
      </c>
      <c r="Q1645" s="8">
        <f t="shared" si="7"/>
        <v>13.2</v>
      </c>
    </row>
    <row r="1646">
      <c r="A1646" s="1">
        <v>544893.0</v>
      </c>
      <c r="B1646" s="1" t="str">
        <f t="shared" si="1"/>
        <v>544893</v>
      </c>
      <c r="C1646" s="1" t="str">
        <f t="shared" si="2"/>
        <v>Sale</v>
      </c>
      <c r="D1646" s="1">
        <v>84992.0</v>
      </c>
      <c r="E1646" s="1" t="str">
        <f>IFERROR(__xludf.DUMMYFUNCTION("IF(LEN(D1646)&gt;4, IFERROR(REGEXEXTRACT(TO_TEXT(D1646),""\d+""),""""),"""")"),"84992")</f>
        <v>84992</v>
      </c>
      <c r="F1646" s="6" t="str">
        <f t="shared" si="3"/>
        <v>Product</v>
      </c>
      <c r="G1646" s="1" t="s">
        <v>354</v>
      </c>
      <c r="H1646" s="6" t="str">
        <f>IFERROR(__xludf.DUMMYFUNCTION("IF(REGEXMATCH(LOWER(G1646), ""^(\?)+\s*(missing)?\s*(\?)*$""), """", PROPER(SUBSTITUTE(SUBSTITUTE(G1646, ""?"", """"), ""*"", """")))"),"72 Sweetheart Fairy Cake Cases")</f>
        <v>72 Sweetheart Fairy Cake Cases</v>
      </c>
      <c r="I1646" s="3">
        <v>24.0</v>
      </c>
      <c r="J1646" s="7">
        <v>40598.50069444445</v>
      </c>
      <c r="K1646" s="8" t="str">
        <f t="shared" si="4"/>
        <v>2011-02</v>
      </c>
      <c r="L1646" s="5">
        <v>0.55</v>
      </c>
      <c r="M1646" s="3">
        <v>17865.0</v>
      </c>
      <c r="N1646" s="1" t="str">
        <f t="shared" si="5"/>
        <v>Registered</v>
      </c>
      <c r="O1646" s="1" t="s">
        <v>19</v>
      </c>
      <c r="P1646" s="9" t="str">
        <f t="shared" si="6"/>
        <v>UK</v>
      </c>
      <c r="Q1646" s="8">
        <f t="shared" si="7"/>
        <v>13.2</v>
      </c>
    </row>
    <row r="1647">
      <c r="A1647" s="1">
        <v>544893.0</v>
      </c>
      <c r="B1647" s="1" t="str">
        <f t="shared" si="1"/>
        <v>544893</v>
      </c>
      <c r="C1647" s="1" t="str">
        <f t="shared" si="2"/>
        <v>Sale</v>
      </c>
      <c r="D1647" s="1">
        <v>21908.0</v>
      </c>
      <c r="E1647" s="1" t="str">
        <f>IFERROR(__xludf.DUMMYFUNCTION("IF(LEN(D1647)&gt;4, IFERROR(REGEXEXTRACT(TO_TEXT(D1647),""\d+""),""""),"""")"),"21908")</f>
        <v>21908</v>
      </c>
      <c r="F1647" s="6" t="str">
        <f t="shared" si="3"/>
        <v>Product</v>
      </c>
      <c r="G1647" s="1" t="s">
        <v>995</v>
      </c>
      <c r="H1647" s="6" t="str">
        <f>IFERROR(__xludf.DUMMYFUNCTION("IF(REGEXMATCH(LOWER(G1647), ""^(\?)+\s*(missing)?\s*(\?)*$""), """", PROPER(SUBSTITUTE(SUBSTITUTE(G1647, ""?"", """"), ""*"", """")))"),"Chocolate This Way Metal Sign")</f>
        <v>Chocolate This Way Metal Sign</v>
      </c>
      <c r="I1647" s="3">
        <v>12.0</v>
      </c>
      <c r="J1647" s="7">
        <v>40598.50069444445</v>
      </c>
      <c r="K1647" s="8" t="str">
        <f t="shared" si="4"/>
        <v>2011-02</v>
      </c>
      <c r="L1647" s="5">
        <v>2.1</v>
      </c>
      <c r="M1647" s="3">
        <v>17865.0</v>
      </c>
      <c r="N1647" s="1" t="str">
        <f t="shared" si="5"/>
        <v>Registered</v>
      </c>
      <c r="O1647" s="1" t="s">
        <v>19</v>
      </c>
      <c r="P1647" s="9" t="str">
        <f t="shared" si="6"/>
        <v>UK</v>
      </c>
      <c r="Q1647" s="8">
        <f t="shared" si="7"/>
        <v>25.2</v>
      </c>
    </row>
    <row r="1648">
      <c r="A1648" s="1">
        <v>544893.0</v>
      </c>
      <c r="B1648" s="1" t="str">
        <f t="shared" si="1"/>
        <v>544893</v>
      </c>
      <c r="C1648" s="1" t="str">
        <f t="shared" si="2"/>
        <v>Sale</v>
      </c>
      <c r="D1648" s="1">
        <v>22997.0</v>
      </c>
      <c r="E1648" s="1" t="str">
        <f>IFERROR(__xludf.DUMMYFUNCTION("IF(LEN(D1648)&gt;4, IFERROR(REGEXEXTRACT(TO_TEXT(D1648),""\d+""),""""),"""")"),"22997")</f>
        <v>22997</v>
      </c>
      <c r="F1648" s="6" t="str">
        <f t="shared" si="3"/>
        <v>Product</v>
      </c>
      <c r="G1648" s="1" t="s">
        <v>996</v>
      </c>
      <c r="H1648" s="6" t="str">
        <f>IFERROR(__xludf.DUMMYFUNCTION("IF(REGEXMATCH(LOWER(G1648), ""^(\?)+\s*(missing)?\s*(\?)*$""), """", PROPER(SUBSTITUTE(SUBSTITUTE(G1648, ""?"", """"), ""*"", """")))"),"Travel Card Wallet Union Jack")</f>
        <v>Travel Card Wallet Union Jack</v>
      </c>
      <c r="I1648" s="3">
        <v>48.0</v>
      </c>
      <c r="J1648" s="7">
        <v>40598.50069444445</v>
      </c>
      <c r="K1648" s="8" t="str">
        <f t="shared" si="4"/>
        <v>2011-02</v>
      </c>
      <c r="L1648" s="5">
        <v>0.42</v>
      </c>
      <c r="M1648" s="3">
        <v>17865.0</v>
      </c>
      <c r="N1648" s="1" t="str">
        <f t="shared" si="5"/>
        <v>Registered</v>
      </c>
      <c r="O1648" s="1" t="s">
        <v>19</v>
      </c>
      <c r="P1648" s="9" t="str">
        <f t="shared" si="6"/>
        <v>UK</v>
      </c>
      <c r="Q1648" s="8">
        <f t="shared" si="7"/>
        <v>20.16</v>
      </c>
    </row>
    <row r="1649">
      <c r="A1649" s="1">
        <v>544893.0</v>
      </c>
      <c r="B1649" s="1" t="str">
        <f t="shared" si="1"/>
        <v>544893</v>
      </c>
      <c r="C1649" s="1" t="str">
        <f t="shared" si="2"/>
        <v>Sale</v>
      </c>
      <c r="D1649" s="1">
        <v>22998.0</v>
      </c>
      <c r="E1649" s="1" t="str">
        <f>IFERROR(__xludf.DUMMYFUNCTION("IF(LEN(D1649)&gt;4, IFERROR(REGEXEXTRACT(TO_TEXT(D1649),""\d+""),""""),"""")"),"22998")</f>
        <v>22998</v>
      </c>
      <c r="F1649" s="6" t="str">
        <f t="shared" si="3"/>
        <v>Product</v>
      </c>
      <c r="G1649" s="1" t="s">
        <v>712</v>
      </c>
      <c r="H1649" s="6" t="str">
        <f>IFERROR(__xludf.DUMMYFUNCTION("IF(REGEXMATCH(LOWER(G1649), ""^(\?)+\s*(missing)?\s*(\?)*$""), """", PROPER(SUBSTITUTE(SUBSTITUTE(G1649, ""?"", """"), ""*"", """")))"),"Travel Card Wallet Keep Calm")</f>
        <v>Travel Card Wallet Keep Calm</v>
      </c>
      <c r="I1649" s="3">
        <v>48.0</v>
      </c>
      <c r="J1649" s="7">
        <v>40598.50069444445</v>
      </c>
      <c r="K1649" s="8" t="str">
        <f t="shared" si="4"/>
        <v>2011-02</v>
      </c>
      <c r="L1649" s="5">
        <v>0.42</v>
      </c>
      <c r="M1649" s="3">
        <v>17865.0</v>
      </c>
      <c r="N1649" s="1" t="str">
        <f t="shared" si="5"/>
        <v>Registered</v>
      </c>
      <c r="O1649" s="1" t="s">
        <v>19</v>
      </c>
      <c r="P1649" s="9" t="str">
        <f t="shared" si="6"/>
        <v>UK</v>
      </c>
      <c r="Q1649" s="8">
        <f t="shared" si="7"/>
        <v>20.16</v>
      </c>
    </row>
    <row r="1650">
      <c r="A1650" s="1">
        <v>544893.0</v>
      </c>
      <c r="B1650" s="1" t="str">
        <f t="shared" si="1"/>
        <v>544893</v>
      </c>
      <c r="C1650" s="1" t="str">
        <f t="shared" si="2"/>
        <v>Sale</v>
      </c>
      <c r="D1650" s="1">
        <v>22994.0</v>
      </c>
      <c r="E1650" s="1" t="str">
        <f>IFERROR(__xludf.DUMMYFUNCTION("IF(LEN(D1650)&gt;4, IFERROR(REGEXEXTRACT(TO_TEXT(D1650),""\d+""),""""),"""")"),"22994")</f>
        <v>22994</v>
      </c>
      <c r="F1650" s="6" t="str">
        <f t="shared" si="3"/>
        <v>Product</v>
      </c>
      <c r="G1650" s="1" t="s">
        <v>997</v>
      </c>
      <c r="H1650" s="6" t="str">
        <f>IFERROR(__xludf.DUMMYFUNCTION("IF(REGEXMATCH(LOWER(G1650), ""^(\?)+\s*(missing)?\s*(\?)*$""), """", PROPER(SUBSTITUTE(SUBSTITUTE(G1650, ""?"", """"), ""*"", """")))"),"Travel Card Wallet Retrospot")</f>
        <v>Travel Card Wallet Retrospot</v>
      </c>
      <c r="I1650" s="3">
        <v>24.0</v>
      </c>
      <c r="J1650" s="7">
        <v>40598.50069444445</v>
      </c>
      <c r="K1650" s="8" t="str">
        <f t="shared" si="4"/>
        <v>2011-02</v>
      </c>
      <c r="L1650" s="5">
        <v>0.42</v>
      </c>
      <c r="M1650" s="3">
        <v>17865.0</v>
      </c>
      <c r="N1650" s="1" t="str">
        <f t="shared" si="5"/>
        <v>Registered</v>
      </c>
      <c r="O1650" s="1" t="s">
        <v>19</v>
      </c>
      <c r="P1650" s="9" t="str">
        <f t="shared" si="6"/>
        <v>UK</v>
      </c>
      <c r="Q1650" s="8">
        <f t="shared" si="7"/>
        <v>10.08</v>
      </c>
    </row>
    <row r="1651">
      <c r="A1651" s="1">
        <v>544893.0</v>
      </c>
      <c r="B1651" s="1" t="str">
        <f t="shared" si="1"/>
        <v>544893</v>
      </c>
      <c r="C1651" s="1" t="str">
        <f t="shared" si="2"/>
        <v>Sale</v>
      </c>
      <c r="D1651" s="1">
        <v>22996.0</v>
      </c>
      <c r="E1651" s="1" t="str">
        <f>IFERROR(__xludf.DUMMYFUNCTION("IF(LEN(D1651)&gt;4, IFERROR(REGEXEXTRACT(TO_TEXT(D1651),""\d+""),""""),"""")"),"22996")</f>
        <v>22996</v>
      </c>
      <c r="F1651" s="6" t="str">
        <f t="shared" si="3"/>
        <v>Product</v>
      </c>
      <c r="G1651" s="1" t="s">
        <v>711</v>
      </c>
      <c r="H1651" s="6" t="str">
        <f>IFERROR(__xludf.DUMMYFUNCTION("IF(REGEXMATCH(LOWER(G1651), ""^(\?)+\s*(missing)?\s*(\?)*$""), """", PROPER(SUBSTITUTE(SUBSTITUTE(G1651, ""?"", """"), ""*"", """")))"),"Travel Card Wallet Vintage Ticket")</f>
        <v>Travel Card Wallet Vintage Ticket</v>
      </c>
      <c r="I1651" s="3">
        <v>24.0</v>
      </c>
      <c r="J1651" s="7">
        <v>40598.50069444445</v>
      </c>
      <c r="K1651" s="8" t="str">
        <f t="shared" si="4"/>
        <v>2011-02</v>
      </c>
      <c r="L1651" s="5">
        <v>0.42</v>
      </c>
      <c r="M1651" s="3">
        <v>17865.0</v>
      </c>
      <c r="N1651" s="1" t="str">
        <f t="shared" si="5"/>
        <v>Registered</v>
      </c>
      <c r="O1651" s="1" t="s">
        <v>19</v>
      </c>
      <c r="P1651" s="9" t="str">
        <f t="shared" si="6"/>
        <v>UK</v>
      </c>
      <c r="Q1651" s="8">
        <f t="shared" si="7"/>
        <v>10.08</v>
      </c>
    </row>
    <row r="1652">
      <c r="A1652" s="1">
        <v>544893.0</v>
      </c>
      <c r="B1652" s="1" t="str">
        <f t="shared" si="1"/>
        <v>544893</v>
      </c>
      <c r="C1652" s="1" t="str">
        <f t="shared" si="2"/>
        <v>Sale</v>
      </c>
      <c r="D1652" s="1">
        <v>23006.0</v>
      </c>
      <c r="E1652" s="1" t="str">
        <f>IFERROR(__xludf.DUMMYFUNCTION("IF(LEN(D1652)&gt;4, IFERROR(REGEXEXTRACT(TO_TEXT(D1652),""\d+""),""""),"""")"),"23006")</f>
        <v>23006</v>
      </c>
      <c r="F1652" s="6" t="str">
        <f t="shared" si="3"/>
        <v>Product</v>
      </c>
      <c r="G1652" s="1" t="s">
        <v>733</v>
      </c>
      <c r="H1652" s="6" t="str">
        <f>IFERROR(__xludf.DUMMYFUNCTION("IF(REGEXMATCH(LOWER(G1652), ""^(\?)+\s*(missing)?\s*(\?)*$""), """", PROPER(SUBSTITUTE(SUBSTITUTE(G1652, ""?"", """"), ""*"", """")))"),"Travel Card Wallet Flower Meadow")</f>
        <v>Travel Card Wallet Flower Meadow</v>
      </c>
      <c r="I1652" s="3">
        <v>24.0</v>
      </c>
      <c r="J1652" s="7">
        <v>40598.50069444445</v>
      </c>
      <c r="K1652" s="8" t="str">
        <f t="shared" si="4"/>
        <v>2011-02</v>
      </c>
      <c r="L1652" s="5">
        <v>0.42</v>
      </c>
      <c r="M1652" s="3">
        <v>17865.0</v>
      </c>
      <c r="N1652" s="1" t="str">
        <f t="shared" si="5"/>
        <v>Registered</v>
      </c>
      <c r="O1652" s="1" t="s">
        <v>19</v>
      </c>
      <c r="P1652" s="9" t="str">
        <f t="shared" si="6"/>
        <v>UK</v>
      </c>
      <c r="Q1652" s="8">
        <f t="shared" si="7"/>
        <v>10.08</v>
      </c>
    </row>
    <row r="1653">
      <c r="A1653" s="1">
        <v>544893.0</v>
      </c>
      <c r="B1653" s="1" t="str">
        <f t="shared" si="1"/>
        <v>544893</v>
      </c>
      <c r="C1653" s="1" t="str">
        <f t="shared" si="2"/>
        <v>Sale</v>
      </c>
      <c r="D1653" s="1">
        <v>23002.0</v>
      </c>
      <c r="E1653" s="1" t="str">
        <f>IFERROR(__xludf.DUMMYFUNCTION("IF(LEN(D1653)&gt;4, IFERROR(REGEXEXTRACT(TO_TEXT(D1653),""\d+""),""""),"""")"),"23002")</f>
        <v>23002</v>
      </c>
      <c r="F1653" s="6" t="str">
        <f t="shared" si="3"/>
        <v>Product</v>
      </c>
      <c r="G1653" s="1" t="s">
        <v>715</v>
      </c>
      <c r="H1653" s="6" t="str">
        <f>IFERROR(__xludf.DUMMYFUNCTION("IF(REGEXMATCH(LOWER(G1653), ""^(\?)+\s*(missing)?\s*(\?)*$""), """", PROPER(SUBSTITUTE(SUBSTITUTE(G1653, ""?"", """"), ""*"", """")))"),"Travel Card Wallet Skulls")</f>
        <v>Travel Card Wallet Skulls</v>
      </c>
      <c r="I1653" s="3">
        <v>24.0</v>
      </c>
      <c r="J1653" s="7">
        <v>40598.50069444445</v>
      </c>
      <c r="K1653" s="8" t="str">
        <f t="shared" si="4"/>
        <v>2011-02</v>
      </c>
      <c r="L1653" s="5">
        <v>0.42</v>
      </c>
      <c r="M1653" s="3">
        <v>17865.0</v>
      </c>
      <c r="N1653" s="1" t="str">
        <f t="shared" si="5"/>
        <v>Registered</v>
      </c>
      <c r="O1653" s="1" t="s">
        <v>19</v>
      </c>
      <c r="P1653" s="9" t="str">
        <f t="shared" si="6"/>
        <v>UK</v>
      </c>
      <c r="Q1653" s="8">
        <f t="shared" si="7"/>
        <v>10.08</v>
      </c>
    </row>
    <row r="1654">
      <c r="A1654" s="1">
        <v>544893.0</v>
      </c>
      <c r="B1654" s="1" t="str">
        <f t="shared" si="1"/>
        <v>544893</v>
      </c>
      <c r="C1654" s="1" t="str">
        <f t="shared" si="2"/>
        <v>Sale</v>
      </c>
      <c r="D1654" s="1">
        <v>72741.0</v>
      </c>
      <c r="E1654" s="1" t="str">
        <f>IFERROR(__xludf.DUMMYFUNCTION("IF(LEN(D1654)&gt;4, IFERROR(REGEXEXTRACT(TO_TEXT(D1654),""\d+""),""""),"""")"),"72741")</f>
        <v>72741</v>
      </c>
      <c r="F1654" s="6" t="str">
        <f t="shared" si="3"/>
        <v>Product</v>
      </c>
      <c r="G1654" s="1" t="s">
        <v>998</v>
      </c>
      <c r="H1654" s="6" t="str">
        <f>IFERROR(__xludf.DUMMYFUNCTION("IF(REGEXMATCH(LOWER(G1654), ""^(\?)+\s*(missing)?\s*(\?)*$""), """", PROPER(SUBSTITUTE(SUBSTITUTE(G1654, ""?"", """"), ""*"", """")))"),"Grand Chocolatecandle")</f>
        <v>Grand Chocolatecandle</v>
      </c>
      <c r="I1654" s="3">
        <v>18.0</v>
      </c>
      <c r="J1654" s="7">
        <v>40598.50069444445</v>
      </c>
      <c r="K1654" s="8" t="str">
        <f t="shared" si="4"/>
        <v>2011-02</v>
      </c>
      <c r="L1654" s="5">
        <v>1.45</v>
      </c>
      <c r="M1654" s="3">
        <v>17865.0</v>
      </c>
      <c r="N1654" s="1" t="str">
        <f t="shared" si="5"/>
        <v>Registered</v>
      </c>
      <c r="O1654" s="1" t="s">
        <v>19</v>
      </c>
      <c r="P1654" s="9" t="str">
        <f t="shared" si="6"/>
        <v>UK</v>
      </c>
      <c r="Q1654" s="8">
        <f t="shared" si="7"/>
        <v>26.1</v>
      </c>
    </row>
    <row r="1655">
      <c r="A1655" s="1">
        <v>544893.0</v>
      </c>
      <c r="B1655" s="1" t="str">
        <f t="shared" si="1"/>
        <v>544893</v>
      </c>
      <c r="C1655" s="1" t="str">
        <f t="shared" si="2"/>
        <v>Sale</v>
      </c>
      <c r="D1655" s="1">
        <v>22924.0</v>
      </c>
      <c r="E1655" s="1" t="str">
        <f>IFERROR(__xludf.DUMMYFUNCTION("IF(LEN(D1655)&gt;4, IFERROR(REGEXEXTRACT(TO_TEXT(D1655),""\d+""),""""),"""")"),"22924")</f>
        <v>22924</v>
      </c>
      <c r="F1655" s="6" t="str">
        <f t="shared" si="3"/>
        <v>Product</v>
      </c>
      <c r="G1655" s="1" t="s">
        <v>999</v>
      </c>
      <c r="H1655" s="6" t="str">
        <f>IFERROR(__xludf.DUMMYFUNCTION("IF(REGEXMATCH(LOWER(G1655), ""^(\?)+\s*(missing)?\s*(\?)*$""), """", PROPER(SUBSTITUTE(SUBSTITUTE(G1655, ""?"", """"), ""*"", """")))"),"Fridge Magnets La Vie En Rose")</f>
        <v>Fridge Magnets La Vie En Rose</v>
      </c>
      <c r="I1655" s="3">
        <v>12.0</v>
      </c>
      <c r="J1655" s="7">
        <v>40598.50069444445</v>
      </c>
      <c r="K1655" s="8" t="str">
        <f t="shared" si="4"/>
        <v>2011-02</v>
      </c>
      <c r="L1655" s="5">
        <v>0.85</v>
      </c>
      <c r="M1655" s="3">
        <v>17865.0</v>
      </c>
      <c r="N1655" s="1" t="str">
        <f t="shared" si="5"/>
        <v>Registered</v>
      </c>
      <c r="O1655" s="1" t="s">
        <v>19</v>
      </c>
      <c r="P1655" s="9" t="str">
        <f t="shared" si="6"/>
        <v>UK</v>
      </c>
      <c r="Q1655" s="8">
        <f t="shared" si="7"/>
        <v>10.2</v>
      </c>
    </row>
    <row r="1656">
      <c r="A1656" s="1">
        <v>544893.0</v>
      </c>
      <c r="B1656" s="1" t="str">
        <f t="shared" si="1"/>
        <v>544893</v>
      </c>
      <c r="C1656" s="1" t="str">
        <f t="shared" si="2"/>
        <v>Sale</v>
      </c>
      <c r="D1656" s="1">
        <v>22923.0</v>
      </c>
      <c r="E1656" s="1" t="str">
        <f>IFERROR(__xludf.DUMMYFUNCTION("IF(LEN(D1656)&gt;4, IFERROR(REGEXEXTRACT(TO_TEXT(D1656),""\d+""),""""),"""")"),"22923")</f>
        <v>22923</v>
      </c>
      <c r="F1656" s="6" t="str">
        <f t="shared" si="3"/>
        <v>Product</v>
      </c>
      <c r="G1656" s="1" t="s">
        <v>193</v>
      </c>
      <c r="H1656" s="6" t="str">
        <f>IFERROR(__xludf.DUMMYFUNCTION("IF(REGEXMATCH(LOWER(G1656), ""^(\?)+\s*(missing)?\s*(\?)*$""), """", PROPER(SUBSTITUTE(SUBSTITUTE(G1656, ""?"", """"), ""*"", """")))"),"Fridge Magnets Les Enfants Assorted")</f>
        <v>Fridge Magnets Les Enfants Assorted</v>
      </c>
      <c r="I1656" s="3">
        <v>12.0</v>
      </c>
      <c r="J1656" s="7">
        <v>40598.50069444445</v>
      </c>
      <c r="K1656" s="8" t="str">
        <f t="shared" si="4"/>
        <v>2011-02</v>
      </c>
      <c r="L1656" s="5">
        <v>0.85</v>
      </c>
      <c r="M1656" s="3">
        <v>17865.0</v>
      </c>
      <c r="N1656" s="1" t="str">
        <f t="shared" si="5"/>
        <v>Registered</v>
      </c>
      <c r="O1656" s="1" t="s">
        <v>19</v>
      </c>
      <c r="P1656" s="9" t="str">
        <f t="shared" si="6"/>
        <v>UK</v>
      </c>
      <c r="Q1656" s="8">
        <f t="shared" si="7"/>
        <v>10.2</v>
      </c>
    </row>
    <row r="1657">
      <c r="A1657" s="1">
        <v>544893.0</v>
      </c>
      <c r="B1657" s="1" t="str">
        <f t="shared" si="1"/>
        <v>544893</v>
      </c>
      <c r="C1657" s="1" t="str">
        <f t="shared" si="2"/>
        <v>Sale</v>
      </c>
      <c r="D1657" s="1">
        <v>22922.0</v>
      </c>
      <c r="E1657" s="1" t="str">
        <f>IFERROR(__xludf.DUMMYFUNCTION("IF(LEN(D1657)&gt;4, IFERROR(REGEXEXTRACT(TO_TEXT(D1657),""\d+""),""""),"""")"),"22922")</f>
        <v>22922</v>
      </c>
      <c r="F1657" s="6" t="str">
        <f t="shared" si="3"/>
        <v>Product</v>
      </c>
      <c r="G1657" s="1" t="s">
        <v>191</v>
      </c>
      <c r="H1657" s="6" t="str">
        <f>IFERROR(__xludf.DUMMYFUNCTION("IF(REGEXMATCH(LOWER(G1657), ""^(\?)+\s*(missing)?\s*(\?)*$""), """", PROPER(SUBSTITUTE(SUBSTITUTE(G1657, ""?"", """"), ""*"", """")))"),"Fridge Magnets Us Diner Assorted")</f>
        <v>Fridge Magnets Us Diner Assorted</v>
      </c>
      <c r="I1657" s="3">
        <v>12.0</v>
      </c>
      <c r="J1657" s="7">
        <v>40598.50069444445</v>
      </c>
      <c r="K1657" s="8" t="str">
        <f t="shared" si="4"/>
        <v>2011-02</v>
      </c>
      <c r="L1657" s="5">
        <v>0.85</v>
      </c>
      <c r="M1657" s="3">
        <v>17865.0</v>
      </c>
      <c r="N1657" s="1" t="str">
        <f t="shared" si="5"/>
        <v>Registered</v>
      </c>
      <c r="O1657" s="1" t="s">
        <v>19</v>
      </c>
      <c r="P1657" s="9" t="str">
        <f t="shared" si="6"/>
        <v>UK</v>
      </c>
      <c r="Q1657" s="8">
        <f t="shared" si="7"/>
        <v>10.2</v>
      </c>
    </row>
    <row r="1658">
      <c r="A1658" s="1">
        <v>544893.0</v>
      </c>
      <c r="B1658" s="1" t="str">
        <f t="shared" si="1"/>
        <v>544893</v>
      </c>
      <c r="C1658" s="1" t="str">
        <f t="shared" si="2"/>
        <v>Sale</v>
      </c>
      <c r="D1658" s="1">
        <v>21231.0</v>
      </c>
      <c r="E1658" s="1" t="str">
        <f>IFERROR(__xludf.DUMMYFUNCTION("IF(LEN(D1658)&gt;4, IFERROR(REGEXEXTRACT(TO_TEXT(D1658),""\d+""),""""),"""")"),"21231")</f>
        <v>21231</v>
      </c>
      <c r="F1658" s="6" t="str">
        <f t="shared" si="3"/>
        <v>Product</v>
      </c>
      <c r="G1658" s="1" t="s">
        <v>1000</v>
      </c>
      <c r="H1658" s="6" t="str">
        <f>IFERROR(__xludf.DUMMYFUNCTION("IF(REGEXMATCH(LOWER(G1658), ""^(\?)+\s*(missing)?\s*(\?)*$""), """", PROPER(SUBSTITUTE(SUBSTITUTE(G1658, ""?"", """"), ""*"", """")))"),"Sweetheart Ceramic Trinket Box")</f>
        <v>Sweetheart Ceramic Trinket Box</v>
      </c>
      <c r="I1658" s="3">
        <v>12.0</v>
      </c>
      <c r="J1658" s="7">
        <v>40598.50069444445</v>
      </c>
      <c r="K1658" s="8" t="str">
        <f t="shared" si="4"/>
        <v>2011-02</v>
      </c>
      <c r="L1658" s="5">
        <v>1.25</v>
      </c>
      <c r="M1658" s="3">
        <v>17865.0</v>
      </c>
      <c r="N1658" s="1" t="str">
        <f t="shared" si="5"/>
        <v>Registered</v>
      </c>
      <c r="O1658" s="1" t="s">
        <v>19</v>
      </c>
      <c r="P1658" s="9" t="str">
        <f t="shared" si="6"/>
        <v>UK</v>
      </c>
      <c r="Q1658" s="8">
        <f t="shared" si="7"/>
        <v>15</v>
      </c>
    </row>
    <row r="1659">
      <c r="A1659" s="1">
        <v>544894.0</v>
      </c>
      <c r="B1659" s="1" t="str">
        <f t="shared" si="1"/>
        <v>544894</v>
      </c>
      <c r="C1659" s="1" t="str">
        <f t="shared" si="2"/>
        <v>Sale</v>
      </c>
      <c r="D1659" s="1">
        <v>79321.0</v>
      </c>
      <c r="E1659" s="1" t="str">
        <f>IFERROR(__xludf.DUMMYFUNCTION("IF(LEN(D1659)&gt;4, IFERROR(REGEXEXTRACT(TO_TEXT(D1659),""\d+""),""""),"""")"),"79321")</f>
        <v>79321</v>
      </c>
      <c r="F1659" s="6" t="str">
        <f t="shared" si="3"/>
        <v>Product</v>
      </c>
      <c r="G1659" s="1" t="s">
        <v>183</v>
      </c>
      <c r="H1659" s="6" t="str">
        <f>IFERROR(__xludf.DUMMYFUNCTION("IF(REGEXMATCH(LOWER(G1659), ""^(\?)+\s*(missing)?\s*(\?)*$""), """", PROPER(SUBSTITUTE(SUBSTITUTE(G1659, ""?"", """"), ""*"", """")))"),"Chilli Lights")</f>
        <v>Chilli Lights</v>
      </c>
      <c r="I1659" s="3">
        <v>4.0</v>
      </c>
      <c r="J1659" s="7">
        <v>40598.50625</v>
      </c>
      <c r="K1659" s="8" t="str">
        <f t="shared" si="4"/>
        <v>2011-02</v>
      </c>
      <c r="L1659" s="5">
        <v>5.75</v>
      </c>
      <c r="M1659" s="3">
        <v>15805.0</v>
      </c>
      <c r="N1659" s="1" t="str">
        <f t="shared" si="5"/>
        <v>Registered</v>
      </c>
      <c r="O1659" s="1" t="s">
        <v>19</v>
      </c>
      <c r="P1659" s="9" t="str">
        <f t="shared" si="6"/>
        <v>UK</v>
      </c>
      <c r="Q1659" s="8">
        <f t="shared" si="7"/>
        <v>23</v>
      </c>
    </row>
    <row r="1660">
      <c r="A1660" s="1">
        <v>544894.0</v>
      </c>
      <c r="B1660" s="1" t="str">
        <f t="shared" si="1"/>
        <v>544894</v>
      </c>
      <c r="C1660" s="1" t="str">
        <f t="shared" si="2"/>
        <v>Sale</v>
      </c>
      <c r="D1660" s="1">
        <v>84212.0</v>
      </c>
      <c r="E1660" s="1" t="str">
        <f>IFERROR(__xludf.DUMMYFUNCTION("IF(LEN(D1660)&gt;4, IFERROR(REGEXEXTRACT(TO_TEXT(D1660),""\d+""),""""),"""")"),"84212")</f>
        <v>84212</v>
      </c>
      <c r="F1660" s="6" t="str">
        <f t="shared" si="3"/>
        <v>Product</v>
      </c>
      <c r="G1660" s="1" t="s">
        <v>1001</v>
      </c>
      <c r="H1660" s="6" t="str">
        <f>IFERROR(__xludf.DUMMYFUNCTION("IF(REGEXMATCH(LOWER(G1660), ""^(\?)+\s*(missing)?\s*(\?)*$""), """", PROPER(SUBSTITUTE(SUBSTITUTE(G1660, ""?"", """"), ""*"", """")))"),"Assorted Flower Colour ""Leis""")</f>
        <v>Assorted Flower Colour "Leis"</v>
      </c>
      <c r="I1660" s="3">
        <v>24.0</v>
      </c>
      <c r="J1660" s="7">
        <v>40598.50625</v>
      </c>
      <c r="K1660" s="8" t="str">
        <f t="shared" si="4"/>
        <v>2011-02</v>
      </c>
      <c r="L1660" s="5">
        <v>0.65</v>
      </c>
      <c r="M1660" s="3">
        <v>15805.0</v>
      </c>
      <c r="N1660" s="1" t="str">
        <f t="shared" si="5"/>
        <v>Registered</v>
      </c>
      <c r="O1660" s="1" t="s">
        <v>19</v>
      </c>
      <c r="P1660" s="9" t="str">
        <f t="shared" si="6"/>
        <v>UK</v>
      </c>
      <c r="Q1660" s="8">
        <f t="shared" si="7"/>
        <v>15.6</v>
      </c>
    </row>
    <row r="1661">
      <c r="A1661" s="1">
        <v>544894.0</v>
      </c>
      <c r="B1661" s="1" t="str">
        <f t="shared" si="1"/>
        <v>544894</v>
      </c>
      <c r="C1661" s="1" t="str">
        <f t="shared" si="2"/>
        <v>Sale</v>
      </c>
      <c r="D1661" s="1">
        <v>22151.0</v>
      </c>
      <c r="E1661" s="1" t="str">
        <f>IFERROR(__xludf.DUMMYFUNCTION("IF(LEN(D1661)&gt;4, IFERROR(REGEXEXTRACT(TO_TEXT(D1661),""\d+""),""""),"""")"),"22151")</f>
        <v>22151</v>
      </c>
      <c r="F1661" s="6" t="str">
        <f t="shared" si="3"/>
        <v>Product</v>
      </c>
      <c r="G1661" s="1" t="s">
        <v>656</v>
      </c>
      <c r="H1661" s="6" t="str">
        <f>IFERROR(__xludf.DUMMYFUNCTION("IF(REGEXMATCH(LOWER(G1661), ""^(\?)+\s*(missing)?\s*(\?)*$""), """", PROPER(SUBSTITUTE(SUBSTITUTE(G1661, ""?"", """"), ""*"", """")))"),"Place Setting White Heart")</f>
        <v>Place Setting White Heart</v>
      </c>
      <c r="I1661" s="3">
        <v>24.0</v>
      </c>
      <c r="J1661" s="7">
        <v>40598.50625</v>
      </c>
      <c r="K1661" s="8" t="str">
        <f t="shared" si="4"/>
        <v>2011-02</v>
      </c>
      <c r="L1661" s="5">
        <v>0.42</v>
      </c>
      <c r="M1661" s="3">
        <v>15805.0</v>
      </c>
      <c r="N1661" s="1" t="str">
        <f t="shared" si="5"/>
        <v>Registered</v>
      </c>
      <c r="O1661" s="1" t="s">
        <v>19</v>
      </c>
      <c r="P1661" s="9" t="str">
        <f t="shared" si="6"/>
        <v>UK</v>
      </c>
      <c r="Q1661" s="8">
        <f t="shared" si="7"/>
        <v>10.08</v>
      </c>
    </row>
    <row r="1662">
      <c r="A1662" s="1">
        <v>544894.0</v>
      </c>
      <c r="B1662" s="1" t="str">
        <f t="shared" si="1"/>
        <v>544894</v>
      </c>
      <c r="C1662" s="1" t="str">
        <f t="shared" si="2"/>
        <v>Sale</v>
      </c>
      <c r="D1662" s="1">
        <v>22064.0</v>
      </c>
      <c r="E1662" s="1" t="str">
        <f>IFERROR(__xludf.DUMMYFUNCTION("IF(LEN(D1662)&gt;4, IFERROR(REGEXEXTRACT(TO_TEXT(D1662),""\d+""),""""),"""")"),"22064")</f>
        <v>22064</v>
      </c>
      <c r="F1662" s="6" t="str">
        <f t="shared" si="3"/>
        <v>Product</v>
      </c>
      <c r="G1662" s="1" t="s">
        <v>265</v>
      </c>
      <c r="H1662" s="6" t="str">
        <f>IFERROR(__xludf.DUMMYFUNCTION("IF(REGEXMATCH(LOWER(G1662), ""^(\?)+\s*(missing)?\s*(\?)*$""), """", PROPER(SUBSTITUTE(SUBSTITUTE(G1662, ""?"", """"), ""*"", """")))"),"Pink Doughnut Trinket Pot")</f>
        <v>Pink Doughnut Trinket Pot</v>
      </c>
      <c r="I1662" s="3">
        <v>12.0</v>
      </c>
      <c r="J1662" s="7">
        <v>40598.50625</v>
      </c>
      <c r="K1662" s="8" t="str">
        <f t="shared" si="4"/>
        <v>2011-02</v>
      </c>
      <c r="L1662" s="5">
        <v>1.65</v>
      </c>
      <c r="M1662" s="3">
        <v>15805.0</v>
      </c>
      <c r="N1662" s="1" t="str">
        <f t="shared" si="5"/>
        <v>Registered</v>
      </c>
      <c r="O1662" s="1" t="s">
        <v>19</v>
      </c>
      <c r="P1662" s="9" t="str">
        <f t="shared" si="6"/>
        <v>UK</v>
      </c>
      <c r="Q1662" s="8">
        <f t="shared" si="7"/>
        <v>19.8</v>
      </c>
    </row>
    <row r="1663">
      <c r="A1663" s="1">
        <v>544894.0</v>
      </c>
      <c r="B1663" s="1" t="str">
        <f t="shared" si="1"/>
        <v>544894</v>
      </c>
      <c r="C1663" s="1" t="str">
        <f t="shared" si="2"/>
        <v>Sale</v>
      </c>
      <c r="D1663" s="1">
        <v>21977.0</v>
      </c>
      <c r="E1663" s="1" t="str">
        <f>IFERROR(__xludf.DUMMYFUNCTION("IF(LEN(D1663)&gt;4, IFERROR(REGEXEXTRACT(TO_TEXT(D1663),""\d+""),""""),"""")"),"21977")</f>
        <v>21977</v>
      </c>
      <c r="F1663" s="6" t="str">
        <f t="shared" si="3"/>
        <v>Product</v>
      </c>
      <c r="G1663" s="1" t="s">
        <v>99</v>
      </c>
      <c r="H1663" s="6" t="str">
        <f>IFERROR(__xludf.DUMMYFUNCTION("IF(REGEXMATCH(LOWER(G1663), ""^(\?)+\s*(missing)?\s*(\?)*$""), """", PROPER(SUBSTITUTE(SUBSTITUTE(G1663, ""?"", """"), ""*"", """")))"),"Pack Of 60 Pink Paisley Cake Cases")</f>
        <v>Pack Of 60 Pink Paisley Cake Cases</v>
      </c>
      <c r="I1663" s="3">
        <v>24.0</v>
      </c>
      <c r="J1663" s="7">
        <v>40598.50625</v>
      </c>
      <c r="K1663" s="8" t="str">
        <f t="shared" si="4"/>
        <v>2011-02</v>
      </c>
      <c r="L1663" s="5">
        <v>0.55</v>
      </c>
      <c r="M1663" s="3">
        <v>15805.0</v>
      </c>
      <c r="N1663" s="1" t="str">
        <f t="shared" si="5"/>
        <v>Registered</v>
      </c>
      <c r="O1663" s="1" t="s">
        <v>19</v>
      </c>
      <c r="P1663" s="9" t="str">
        <f t="shared" si="6"/>
        <v>UK</v>
      </c>
      <c r="Q1663" s="8">
        <f t="shared" si="7"/>
        <v>13.2</v>
      </c>
    </row>
    <row r="1664">
      <c r="A1664" s="1">
        <v>544894.0</v>
      </c>
      <c r="B1664" s="1" t="str">
        <f t="shared" si="1"/>
        <v>544894</v>
      </c>
      <c r="C1664" s="1" t="str">
        <f t="shared" si="2"/>
        <v>Sale</v>
      </c>
      <c r="D1664" s="1">
        <v>21212.0</v>
      </c>
      <c r="E1664" s="1" t="str">
        <f>IFERROR(__xludf.DUMMYFUNCTION("IF(LEN(D1664)&gt;4, IFERROR(REGEXEXTRACT(TO_TEXT(D1664),""\d+""),""""),"""")"),"21212")</f>
        <v>21212</v>
      </c>
      <c r="F1664" s="6" t="str">
        <f t="shared" si="3"/>
        <v>Product</v>
      </c>
      <c r="G1664" s="1" t="s">
        <v>97</v>
      </c>
      <c r="H1664" s="6" t="str">
        <f>IFERROR(__xludf.DUMMYFUNCTION("IF(REGEXMATCH(LOWER(G1664), ""^(\?)+\s*(missing)?\s*(\?)*$""), """", PROPER(SUBSTITUTE(SUBSTITUTE(G1664, ""?"", """"), ""*"", """")))"),"Pack Of 72 Retrospot Cake Cases")</f>
        <v>Pack Of 72 Retrospot Cake Cases</v>
      </c>
      <c r="I1664" s="3">
        <v>24.0</v>
      </c>
      <c r="J1664" s="7">
        <v>40598.50625</v>
      </c>
      <c r="K1664" s="8" t="str">
        <f t="shared" si="4"/>
        <v>2011-02</v>
      </c>
      <c r="L1664" s="5">
        <v>0.55</v>
      </c>
      <c r="M1664" s="3">
        <v>15805.0</v>
      </c>
      <c r="N1664" s="1" t="str">
        <f t="shared" si="5"/>
        <v>Registered</v>
      </c>
      <c r="O1664" s="1" t="s">
        <v>19</v>
      </c>
      <c r="P1664" s="9" t="str">
        <f t="shared" si="6"/>
        <v>UK</v>
      </c>
      <c r="Q1664" s="8">
        <f t="shared" si="7"/>
        <v>13.2</v>
      </c>
    </row>
    <row r="1665">
      <c r="A1665" s="1">
        <v>544894.0</v>
      </c>
      <c r="B1665" s="1" t="str">
        <f t="shared" si="1"/>
        <v>544894</v>
      </c>
      <c r="C1665" s="1" t="str">
        <f t="shared" si="2"/>
        <v>Sale</v>
      </c>
      <c r="D1665" s="1">
        <v>22727.0</v>
      </c>
      <c r="E1665" s="1" t="str">
        <f>IFERROR(__xludf.DUMMYFUNCTION("IF(LEN(D1665)&gt;4, IFERROR(REGEXEXTRACT(TO_TEXT(D1665),""\d+""),""""),"""")"),"22727")</f>
        <v>22727</v>
      </c>
      <c r="F1665" s="6" t="str">
        <f t="shared" si="3"/>
        <v>Product</v>
      </c>
      <c r="G1665" s="1" t="s">
        <v>50</v>
      </c>
      <c r="H1665" s="6" t="str">
        <f>IFERROR(__xludf.DUMMYFUNCTION("IF(REGEXMATCH(LOWER(G1665), ""^(\?)+\s*(missing)?\s*(\?)*$""), """", PROPER(SUBSTITUTE(SUBSTITUTE(G1665, ""?"", """"), ""*"", """")))"),"Alarm Clock Bakelike Red")</f>
        <v>Alarm Clock Bakelike Red</v>
      </c>
      <c r="I1665" s="3">
        <v>4.0</v>
      </c>
      <c r="J1665" s="7">
        <v>40598.50625</v>
      </c>
      <c r="K1665" s="8" t="str">
        <f t="shared" si="4"/>
        <v>2011-02</v>
      </c>
      <c r="L1665" s="5">
        <v>3.75</v>
      </c>
      <c r="M1665" s="3">
        <v>15805.0</v>
      </c>
      <c r="N1665" s="1" t="str">
        <f t="shared" si="5"/>
        <v>Registered</v>
      </c>
      <c r="O1665" s="1" t="s">
        <v>19</v>
      </c>
      <c r="P1665" s="9" t="str">
        <f t="shared" si="6"/>
        <v>UK</v>
      </c>
      <c r="Q1665" s="8">
        <f t="shared" si="7"/>
        <v>15</v>
      </c>
    </row>
    <row r="1666">
      <c r="A1666" s="1">
        <v>544894.0</v>
      </c>
      <c r="B1666" s="1" t="str">
        <f t="shared" si="1"/>
        <v>544894</v>
      </c>
      <c r="C1666" s="1" t="str">
        <f t="shared" si="2"/>
        <v>Sale</v>
      </c>
      <c r="D1666" s="1">
        <v>22729.0</v>
      </c>
      <c r="E1666" s="1" t="str">
        <f>IFERROR(__xludf.DUMMYFUNCTION("IF(LEN(D1666)&gt;4, IFERROR(REGEXEXTRACT(TO_TEXT(D1666),""\d+""),""""),"""")"),"22729")</f>
        <v>22729</v>
      </c>
      <c r="F1666" s="6" t="str">
        <f t="shared" si="3"/>
        <v>Product</v>
      </c>
      <c r="G1666" s="1" t="s">
        <v>256</v>
      </c>
      <c r="H1666" s="6" t="str">
        <f>IFERROR(__xludf.DUMMYFUNCTION("IF(REGEXMATCH(LOWER(G1666), ""^(\?)+\s*(missing)?\s*(\?)*$""), """", PROPER(SUBSTITUTE(SUBSTITUTE(G1666, ""?"", """"), ""*"", """")))"),"Alarm Clock Bakelike Orange")</f>
        <v>Alarm Clock Bakelike Orange</v>
      </c>
      <c r="I1666" s="3">
        <v>4.0</v>
      </c>
      <c r="J1666" s="7">
        <v>40598.50625</v>
      </c>
      <c r="K1666" s="8" t="str">
        <f t="shared" si="4"/>
        <v>2011-02</v>
      </c>
      <c r="L1666" s="5">
        <v>3.75</v>
      </c>
      <c r="M1666" s="3">
        <v>15805.0</v>
      </c>
      <c r="N1666" s="1" t="str">
        <f t="shared" si="5"/>
        <v>Registered</v>
      </c>
      <c r="O1666" s="1" t="s">
        <v>19</v>
      </c>
      <c r="P1666" s="9" t="str">
        <f t="shared" si="6"/>
        <v>UK</v>
      </c>
      <c r="Q1666" s="8">
        <f t="shared" si="7"/>
        <v>15</v>
      </c>
    </row>
    <row r="1667">
      <c r="A1667" s="1">
        <v>544894.0</v>
      </c>
      <c r="B1667" s="1" t="str">
        <f t="shared" si="1"/>
        <v>544894</v>
      </c>
      <c r="C1667" s="1" t="str">
        <f t="shared" si="2"/>
        <v>Sale</v>
      </c>
      <c r="D1667" s="1">
        <v>22728.0</v>
      </c>
      <c r="E1667" s="1" t="str">
        <f>IFERROR(__xludf.DUMMYFUNCTION("IF(LEN(D1667)&gt;4, IFERROR(REGEXEXTRACT(TO_TEXT(D1667),""\d+""),""""),"""")"),"22728")</f>
        <v>22728</v>
      </c>
      <c r="F1667" s="6" t="str">
        <f t="shared" si="3"/>
        <v>Product</v>
      </c>
      <c r="G1667" s="1" t="s">
        <v>48</v>
      </c>
      <c r="H1667" s="6" t="str">
        <f>IFERROR(__xludf.DUMMYFUNCTION("IF(REGEXMATCH(LOWER(G1667), ""^(\?)+\s*(missing)?\s*(\?)*$""), """", PROPER(SUBSTITUTE(SUBSTITUTE(G1667, ""?"", """"), ""*"", """")))"),"Alarm Clock Bakelike Pink")</f>
        <v>Alarm Clock Bakelike Pink</v>
      </c>
      <c r="I1667" s="3">
        <v>4.0</v>
      </c>
      <c r="J1667" s="7">
        <v>40598.50625</v>
      </c>
      <c r="K1667" s="8" t="str">
        <f t="shared" si="4"/>
        <v>2011-02</v>
      </c>
      <c r="L1667" s="5">
        <v>3.75</v>
      </c>
      <c r="M1667" s="3">
        <v>15805.0</v>
      </c>
      <c r="N1667" s="1" t="str">
        <f t="shared" si="5"/>
        <v>Registered</v>
      </c>
      <c r="O1667" s="1" t="s">
        <v>19</v>
      </c>
      <c r="P1667" s="9" t="str">
        <f t="shared" si="6"/>
        <v>UK</v>
      </c>
      <c r="Q1667" s="8">
        <f t="shared" si="7"/>
        <v>15</v>
      </c>
    </row>
    <row r="1668">
      <c r="A1668" s="1">
        <v>544894.0</v>
      </c>
      <c r="B1668" s="1" t="str">
        <f t="shared" si="1"/>
        <v>544894</v>
      </c>
      <c r="C1668" s="1" t="str">
        <f t="shared" si="2"/>
        <v>Sale</v>
      </c>
      <c r="D1668" s="1">
        <v>22666.0</v>
      </c>
      <c r="E1668" s="1" t="str">
        <f>IFERROR(__xludf.DUMMYFUNCTION("IF(LEN(D1668)&gt;4, IFERROR(REGEXEXTRACT(TO_TEXT(D1668),""\d+""),""""),"""")"),"22666")</f>
        <v>22666</v>
      </c>
      <c r="F1668" s="6" t="str">
        <f t="shared" si="3"/>
        <v>Product</v>
      </c>
      <c r="G1668" s="1" t="s">
        <v>781</v>
      </c>
      <c r="H1668" s="6" t="str">
        <f>IFERROR(__xludf.DUMMYFUNCTION("IF(REGEXMATCH(LOWER(G1668), ""^(\?)+\s*(missing)?\s*(\?)*$""), """", PROPER(SUBSTITUTE(SUBSTITUTE(G1668, ""?"", """"), ""*"", """")))"),"Recipe Box Pantry Yellow Design")</f>
        <v>Recipe Box Pantry Yellow Design</v>
      </c>
      <c r="I1668" s="3">
        <v>6.0</v>
      </c>
      <c r="J1668" s="7">
        <v>40598.50625</v>
      </c>
      <c r="K1668" s="8" t="str">
        <f t="shared" si="4"/>
        <v>2011-02</v>
      </c>
      <c r="L1668" s="5">
        <v>2.95</v>
      </c>
      <c r="M1668" s="3">
        <v>15805.0</v>
      </c>
      <c r="N1668" s="1" t="str">
        <f t="shared" si="5"/>
        <v>Registered</v>
      </c>
      <c r="O1668" s="1" t="s">
        <v>19</v>
      </c>
      <c r="P1668" s="9" t="str">
        <f t="shared" si="6"/>
        <v>UK</v>
      </c>
      <c r="Q1668" s="8">
        <f t="shared" si="7"/>
        <v>17.7</v>
      </c>
    </row>
    <row r="1669">
      <c r="A1669" s="1">
        <v>544894.0</v>
      </c>
      <c r="B1669" s="1" t="str">
        <f t="shared" si="1"/>
        <v>544894</v>
      </c>
      <c r="C1669" s="1" t="str">
        <f t="shared" si="2"/>
        <v>Sale</v>
      </c>
      <c r="D1669" s="1">
        <v>47566.0</v>
      </c>
      <c r="E1669" s="1" t="str">
        <f>IFERROR(__xludf.DUMMYFUNCTION("IF(LEN(D1669)&gt;4, IFERROR(REGEXEXTRACT(TO_TEXT(D1669),""\d+""),""""),"""")"),"47566")</f>
        <v>47566</v>
      </c>
      <c r="F1669" s="6" t="str">
        <f t="shared" si="3"/>
        <v>Product</v>
      </c>
      <c r="G1669" s="1" t="s">
        <v>1002</v>
      </c>
      <c r="H1669" s="6" t="str">
        <f>IFERROR(__xludf.DUMMYFUNCTION("IF(REGEXMATCH(LOWER(G1669), ""^(\?)+\s*(missing)?\s*(\?)*$""), """", PROPER(SUBSTITUTE(SUBSTITUTE(G1669, ""?"", """"), ""*"", """")))"),"Party Bunting")</f>
        <v>Party Bunting</v>
      </c>
      <c r="I1669" s="3">
        <v>4.0</v>
      </c>
      <c r="J1669" s="7">
        <v>40598.50625</v>
      </c>
      <c r="K1669" s="8" t="str">
        <f t="shared" si="4"/>
        <v>2011-02</v>
      </c>
      <c r="L1669" s="5">
        <v>4.95</v>
      </c>
      <c r="M1669" s="3">
        <v>15805.0</v>
      </c>
      <c r="N1669" s="1" t="str">
        <f t="shared" si="5"/>
        <v>Registered</v>
      </c>
      <c r="O1669" s="1" t="s">
        <v>19</v>
      </c>
      <c r="P1669" s="9" t="str">
        <f t="shared" si="6"/>
        <v>UK</v>
      </c>
      <c r="Q1669" s="8">
        <f t="shared" si="7"/>
        <v>19.8</v>
      </c>
    </row>
    <row r="1670">
      <c r="A1670" s="1">
        <v>544894.0</v>
      </c>
      <c r="B1670" s="1" t="str">
        <f t="shared" si="1"/>
        <v>544894</v>
      </c>
      <c r="C1670" s="1" t="str">
        <f t="shared" si="2"/>
        <v>Sale</v>
      </c>
      <c r="D1670" s="1">
        <v>21175.0</v>
      </c>
      <c r="E1670" s="1" t="str">
        <f>IFERROR(__xludf.DUMMYFUNCTION("IF(LEN(D1670)&gt;4, IFERROR(REGEXEXTRACT(TO_TEXT(D1670),""\d+""),""""),"""")"),"21175")</f>
        <v>21175</v>
      </c>
      <c r="F1670" s="6" t="str">
        <f t="shared" si="3"/>
        <v>Product</v>
      </c>
      <c r="G1670" s="1" t="s">
        <v>123</v>
      </c>
      <c r="H1670" s="6" t="str">
        <f>IFERROR(__xludf.DUMMYFUNCTION("IF(REGEXMATCH(LOWER(G1670), ""^(\?)+\s*(missing)?\s*(\?)*$""), """", PROPER(SUBSTITUTE(SUBSTITUTE(G1670, ""?"", """"), ""*"", """")))"),"Gin + Tonic Diet Metal Sign")</f>
        <v>Gin + Tonic Diet Metal Sign</v>
      </c>
      <c r="I1670" s="3">
        <v>6.0</v>
      </c>
      <c r="J1670" s="7">
        <v>40598.50625</v>
      </c>
      <c r="K1670" s="8" t="str">
        <f t="shared" si="4"/>
        <v>2011-02</v>
      </c>
      <c r="L1670" s="5">
        <v>2.55</v>
      </c>
      <c r="M1670" s="3">
        <v>15805.0</v>
      </c>
      <c r="N1670" s="1" t="str">
        <f t="shared" si="5"/>
        <v>Registered</v>
      </c>
      <c r="O1670" s="1" t="s">
        <v>19</v>
      </c>
      <c r="P1670" s="9" t="str">
        <f t="shared" si="6"/>
        <v>UK</v>
      </c>
      <c r="Q1670" s="8">
        <f t="shared" si="7"/>
        <v>15.3</v>
      </c>
    </row>
    <row r="1671">
      <c r="A1671" s="1">
        <v>544894.0</v>
      </c>
      <c r="B1671" s="1" t="str">
        <f t="shared" si="1"/>
        <v>544894</v>
      </c>
      <c r="C1671" s="1" t="str">
        <f t="shared" si="2"/>
        <v>Sale</v>
      </c>
      <c r="D1671" s="1">
        <v>21907.0</v>
      </c>
      <c r="E1671" s="1" t="str">
        <f>IFERROR(__xludf.DUMMYFUNCTION("IF(LEN(D1671)&gt;4, IFERROR(REGEXEXTRACT(TO_TEXT(D1671),""\d+""),""""),"""")"),"21907")</f>
        <v>21907</v>
      </c>
      <c r="F1671" s="6" t="str">
        <f t="shared" si="3"/>
        <v>Product</v>
      </c>
      <c r="G1671" s="1" t="s">
        <v>300</v>
      </c>
      <c r="H1671" s="6" t="str">
        <f>IFERROR(__xludf.DUMMYFUNCTION("IF(REGEXMATCH(LOWER(G1671), ""^(\?)+\s*(missing)?\s*(\?)*$""), """", PROPER(SUBSTITUTE(SUBSTITUTE(G1671, ""?"", """"), ""*"", """")))"),"I'M On Holiday Metal Sign")</f>
        <v>I'M On Holiday Metal Sign</v>
      </c>
      <c r="I1671" s="3">
        <v>12.0</v>
      </c>
      <c r="J1671" s="7">
        <v>40598.50625</v>
      </c>
      <c r="K1671" s="8" t="str">
        <f t="shared" si="4"/>
        <v>2011-02</v>
      </c>
      <c r="L1671" s="5">
        <v>2.1</v>
      </c>
      <c r="M1671" s="3">
        <v>15805.0</v>
      </c>
      <c r="N1671" s="1" t="str">
        <f t="shared" si="5"/>
        <v>Registered</v>
      </c>
      <c r="O1671" s="1" t="s">
        <v>19</v>
      </c>
      <c r="P1671" s="9" t="str">
        <f t="shared" si="6"/>
        <v>UK</v>
      </c>
      <c r="Q1671" s="8">
        <f t="shared" si="7"/>
        <v>25.2</v>
      </c>
    </row>
    <row r="1672">
      <c r="A1672" s="1">
        <v>544894.0</v>
      </c>
      <c r="B1672" s="1" t="str">
        <f t="shared" si="1"/>
        <v>544894</v>
      </c>
      <c r="C1672" s="1" t="str">
        <f t="shared" si="2"/>
        <v>Sale</v>
      </c>
      <c r="D1672" s="1">
        <v>21165.0</v>
      </c>
      <c r="E1672" s="1" t="str">
        <f>IFERROR(__xludf.DUMMYFUNCTION("IF(LEN(D1672)&gt;4, IFERROR(REGEXEXTRACT(TO_TEXT(D1672),""\d+""),""""),"""")"),"21165")</f>
        <v>21165</v>
      </c>
      <c r="F1672" s="6" t="str">
        <f t="shared" si="3"/>
        <v>Product</v>
      </c>
      <c r="G1672" s="1" t="s">
        <v>1003</v>
      </c>
      <c r="H1672" s="6" t="str">
        <f>IFERROR(__xludf.DUMMYFUNCTION("IF(REGEXMATCH(LOWER(G1672), ""^(\?)+\s*(missing)?\s*(\?)*$""), """", PROPER(SUBSTITUTE(SUBSTITUTE(G1672, ""?"", """"), ""*"", """")))"),"Beware Of The Cat Metal Sign")</f>
        <v>Beware Of The Cat Metal Sign</v>
      </c>
      <c r="I1672" s="3">
        <v>12.0</v>
      </c>
      <c r="J1672" s="7">
        <v>40598.50625</v>
      </c>
      <c r="K1672" s="8" t="str">
        <f t="shared" si="4"/>
        <v>2011-02</v>
      </c>
      <c r="L1672" s="5">
        <v>1.69</v>
      </c>
      <c r="M1672" s="3">
        <v>15805.0</v>
      </c>
      <c r="N1672" s="1" t="str">
        <f t="shared" si="5"/>
        <v>Registered</v>
      </c>
      <c r="O1672" s="1" t="s">
        <v>19</v>
      </c>
      <c r="P1672" s="9" t="str">
        <f t="shared" si="6"/>
        <v>UK</v>
      </c>
      <c r="Q1672" s="8">
        <f t="shared" si="7"/>
        <v>20.28</v>
      </c>
    </row>
    <row r="1673">
      <c r="A1673" s="1">
        <v>544894.0</v>
      </c>
      <c r="B1673" s="1" t="str">
        <f t="shared" si="1"/>
        <v>544894</v>
      </c>
      <c r="C1673" s="1" t="str">
        <f t="shared" si="2"/>
        <v>Sale</v>
      </c>
      <c r="D1673" s="1">
        <v>22667.0</v>
      </c>
      <c r="E1673" s="1" t="str">
        <f>IFERROR(__xludf.DUMMYFUNCTION("IF(LEN(D1673)&gt;4, IFERROR(REGEXEXTRACT(TO_TEXT(D1673),""\d+""),""""),"""")"),"22667")</f>
        <v>22667</v>
      </c>
      <c r="F1673" s="6" t="str">
        <f t="shared" si="3"/>
        <v>Product</v>
      </c>
      <c r="G1673" s="1" t="s">
        <v>1004</v>
      </c>
      <c r="H1673" s="6" t="str">
        <f>IFERROR(__xludf.DUMMYFUNCTION("IF(REGEXMATCH(LOWER(G1673), ""^(\?)+\s*(missing)?\s*(\?)*$""), """", PROPER(SUBSTITUTE(SUBSTITUTE(G1673, ""?"", """"), ""*"", """")))"),"Recipe Box Retrospot")</f>
        <v>Recipe Box Retrospot</v>
      </c>
      <c r="I1673" s="3">
        <v>6.0</v>
      </c>
      <c r="J1673" s="7">
        <v>40598.50625</v>
      </c>
      <c r="K1673" s="8" t="str">
        <f t="shared" si="4"/>
        <v>2011-02</v>
      </c>
      <c r="L1673" s="5">
        <v>2.95</v>
      </c>
      <c r="M1673" s="3">
        <v>15805.0</v>
      </c>
      <c r="N1673" s="1" t="str">
        <f t="shared" si="5"/>
        <v>Registered</v>
      </c>
      <c r="O1673" s="1" t="s">
        <v>19</v>
      </c>
      <c r="P1673" s="9" t="str">
        <f t="shared" si="6"/>
        <v>UK</v>
      </c>
      <c r="Q1673" s="8">
        <f t="shared" si="7"/>
        <v>17.7</v>
      </c>
    </row>
    <row r="1674">
      <c r="A1674" s="1">
        <v>544894.0</v>
      </c>
      <c r="B1674" s="1" t="str">
        <f t="shared" si="1"/>
        <v>544894</v>
      </c>
      <c r="C1674" s="1" t="str">
        <f t="shared" si="2"/>
        <v>Sale</v>
      </c>
      <c r="D1674" s="1">
        <v>22892.0</v>
      </c>
      <c r="E1674" s="1" t="str">
        <f>IFERROR(__xludf.DUMMYFUNCTION("IF(LEN(D1674)&gt;4, IFERROR(REGEXEXTRACT(TO_TEXT(D1674),""\d+""),""""),"""")"),"22892")</f>
        <v>22892</v>
      </c>
      <c r="F1674" s="6" t="str">
        <f t="shared" si="3"/>
        <v>Product</v>
      </c>
      <c r="G1674" s="1" t="s">
        <v>1005</v>
      </c>
      <c r="H1674" s="6" t="str">
        <f>IFERROR(__xludf.DUMMYFUNCTION("IF(REGEXMATCH(LOWER(G1674), ""^(\?)+\s*(missing)?\s*(\?)*$""), """", PROPER(SUBSTITUTE(SUBSTITUTE(G1674, ""?"", """"), ""*"", """")))"),"Set Of Salt And Pepper Toadstools")</f>
        <v>Set Of Salt And Pepper Toadstools</v>
      </c>
      <c r="I1674" s="3">
        <v>12.0</v>
      </c>
      <c r="J1674" s="7">
        <v>40598.50625</v>
      </c>
      <c r="K1674" s="8" t="str">
        <f t="shared" si="4"/>
        <v>2011-02</v>
      </c>
      <c r="L1674" s="5">
        <v>1.25</v>
      </c>
      <c r="M1674" s="3">
        <v>15805.0</v>
      </c>
      <c r="N1674" s="1" t="str">
        <f t="shared" si="5"/>
        <v>Registered</v>
      </c>
      <c r="O1674" s="1" t="s">
        <v>19</v>
      </c>
      <c r="P1674" s="9" t="str">
        <f t="shared" si="6"/>
        <v>UK</v>
      </c>
      <c r="Q1674" s="8">
        <f t="shared" si="7"/>
        <v>15</v>
      </c>
    </row>
    <row r="1675">
      <c r="A1675" s="1">
        <v>544894.0</v>
      </c>
      <c r="B1675" s="1" t="str">
        <f t="shared" si="1"/>
        <v>544894</v>
      </c>
      <c r="C1675" s="1" t="str">
        <f t="shared" si="2"/>
        <v>Sale</v>
      </c>
      <c r="D1675" s="1">
        <v>21218.0</v>
      </c>
      <c r="E1675" s="1" t="str">
        <f>IFERROR(__xludf.DUMMYFUNCTION("IF(LEN(D1675)&gt;4, IFERROR(REGEXEXTRACT(TO_TEXT(D1675),""\d+""),""""),"""")"),"21218")</f>
        <v>21218</v>
      </c>
      <c r="F1675" s="6" t="str">
        <f t="shared" si="3"/>
        <v>Product</v>
      </c>
      <c r="G1675" s="1" t="s">
        <v>1006</v>
      </c>
      <c r="H1675" s="6" t="str">
        <f>IFERROR(__xludf.DUMMYFUNCTION("IF(REGEXMATCH(LOWER(G1675), ""^(\?)+\s*(missing)?\s*(\?)*$""), """", PROPER(SUBSTITUTE(SUBSTITUTE(G1675, ""?"", """"), ""*"", """")))"),"Red Spotty Biscuit Tin")</f>
        <v>Red Spotty Biscuit Tin</v>
      </c>
      <c r="I1675" s="3">
        <v>6.0</v>
      </c>
      <c r="J1675" s="7">
        <v>40598.50625</v>
      </c>
      <c r="K1675" s="8" t="str">
        <f t="shared" si="4"/>
        <v>2011-02</v>
      </c>
      <c r="L1675" s="5">
        <v>3.75</v>
      </c>
      <c r="M1675" s="3">
        <v>15805.0</v>
      </c>
      <c r="N1675" s="1" t="str">
        <f t="shared" si="5"/>
        <v>Registered</v>
      </c>
      <c r="O1675" s="1" t="s">
        <v>19</v>
      </c>
      <c r="P1675" s="9" t="str">
        <f t="shared" si="6"/>
        <v>UK</v>
      </c>
      <c r="Q1675" s="8">
        <f t="shared" si="7"/>
        <v>22.5</v>
      </c>
    </row>
    <row r="1676">
      <c r="A1676" s="1">
        <v>544894.0</v>
      </c>
      <c r="B1676" s="1" t="str">
        <f t="shared" si="1"/>
        <v>544894</v>
      </c>
      <c r="C1676" s="1" t="str">
        <f t="shared" si="2"/>
        <v>Sale</v>
      </c>
      <c r="D1676" s="1">
        <v>21539.0</v>
      </c>
      <c r="E1676" s="1" t="str">
        <f>IFERROR(__xludf.DUMMYFUNCTION("IF(LEN(D1676)&gt;4, IFERROR(REGEXEXTRACT(TO_TEXT(D1676),""\d+""),""""),"""")"),"21539")</f>
        <v>21539</v>
      </c>
      <c r="F1676" s="6" t="str">
        <f t="shared" si="3"/>
        <v>Product</v>
      </c>
      <c r="G1676" s="1" t="s">
        <v>1007</v>
      </c>
      <c r="H1676" s="6" t="str">
        <f>IFERROR(__xludf.DUMMYFUNCTION("IF(REGEXMATCH(LOWER(G1676), ""^(\?)+\s*(missing)?\s*(\?)*$""), """", PROPER(SUBSTITUTE(SUBSTITUTE(G1676, ""?"", """"), ""*"", """")))"),"Red Retrospot Butter Dish")</f>
        <v>Red Retrospot Butter Dish</v>
      </c>
      <c r="I1676" s="3">
        <v>3.0</v>
      </c>
      <c r="J1676" s="7">
        <v>40598.50625</v>
      </c>
      <c r="K1676" s="8" t="str">
        <f t="shared" si="4"/>
        <v>2011-02</v>
      </c>
      <c r="L1676" s="5">
        <v>4.95</v>
      </c>
      <c r="M1676" s="3">
        <v>15805.0</v>
      </c>
      <c r="N1676" s="1" t="str">
        <f t="shared" si="5"/>
        <v>Registered</v>
      </c>
      <c r="O1676" s="1" t="s">
        <v>19</v>
      </c>
      <c r="P1676" s="9" t="str">
        <f t="shared" si="6"/>
        <v>UK</v>
      </c>
      <c r="Q1676" s="8">
        <f t="shared" si="7"/>
        <v>14.85</v>
      </c>
    </row>
    <row r="1677">
      <c r="A1677" s="1">
        <v>544894.0</v>
      </c>
      <c r="B1677" s="1" t="str">
        <f t="shared" si="1"/>
        <v>544894</v>
      </c>
      <c r="C1677" s="1" t="str">
        <f t="shared" si="2"/>
        <v>Sale</v>
      </c>
      <c r="D1677" s="1">
        <v>21533.0</v>
      </c>
      <c r="E1677" s="1" t="str">
        <f>IFERROR(__xludf.DUMMYFUNCTION("IF(LEN(D1677)&gt;4, IFERROR(REGEXEXTRACT(TO_TEXT(D1677),""\d+""),""""),"""")"),"21533")</f>
        <v>21533</v>
      </c>
      <c r="F1677" s="6" t="str">
        <f t="shared" si="3"/>
        <v>Product</v>
      </c>
      <c r="G1677" s="1" t="s">
        <v>135</v>
      </c>
      <c r="H1677" s="6" t="str">
        <f>IFERROR(__xludf.DUMMYFUNCTION("IF(REGEXMATCH(LOWER(G1677), ""^(\?)+\s*(missing)?\s*(\?)*$""), """", PROPER(SUBSTITUTE(SUBSTITUTE(G1677, ""?"", """"), ""*"", """")))"),"Retrospot Large Milk Jug")</f>
        <v>Retrospot Large Milk Jug</v>
      </c>
      <c r="I1677" s="3">
        <v>3.0</v>
      </c>
      <c r="J1677" s="7">
        <v>40598.50625</v>
      </c>
      <c r="K1677" s="8" t="str">
        <f t="shared" si="4"/>
        <v>2011-02</v>
      </c>
      <c r="L1677" s="5">
        <v>4.95</v>
      </c>
      <c r="M1677" s="3">
        <v>15805.0</v>
      </c>
      <c r="N1677" s="1" t="str">
        <f t="shared" si="5"/>
        <v>Registered</v>
      </c>
      <c r="O1677" s="1" t="s">
        <v>19</v>
      </c>
      <c r="P1677" s="9" t="str">
        <f t="shared" si="6"/>
        <v>UK</v>
      </c>
      <c r="Q1677" s="8">
        <f t="shared" si="7"/>
        <v>14.85</v>
      </c>
    </row>
    <row r="1678">
      <c r="A1678" s="1">
        <v>544894.0</v>
      </c>
      <c r="B1678" s="1" t="str">
        <f t="shared" si="1"/>
        <v>544894</v>
      </c>
      <c r="C1678" s="1" t="str">
        <f t="shared" si="2"/>
        <v>Sale</v>
      </c>
      <c r="D1678" s="1">
        <v>21039.0</v>
      </c>
      <c r="E1678" s="1" t="str">
        <f>IFERROR(__xludf.DUMMYFUNCTION("IF(LEN(D1678)&gt;4, IFERROR(REGEXEXTRACT(TO_TEXT(D1678),""\d+""),""""),"""")"),"21039")</f>
        <v>21039</v>
      </c>
      <c r="F1678" s="6" t="str">
        <f t="shared" si="3"/>
        <v>Product</v>
      </c>
      <c r="G1678" s="1" t="s">
        <v>1008</v>
      </c>
      <c r="H1678" s="6" t="str">
        <f>IFERROR(__xludf.DUMMYFUNCTION("IF(REGEXMATCH(LOWER(G1678), ""^(\?)+\s*(missing)?\s*(\?)*$""), """", PROPER(SUBSTITUTE(SUBSTITUTE(G1678, ""?"", """"), ""*"", """")))"),"Red Retrospot Shopping Bag")</f>
        <v>Red Retrospot Shopping Bag</v>
      </c>
      <c r="I1678" s="3">
        <v>6.0</v>
      </c>
      <c r="J1678" s="7">
        <v>40598.50625</v>
      </c>
      <c r="K1678" s="8" t="str">
        <f t="shared" si="4"/>
        <v>2011-02</v>
      </c>
      <c r="L1678" s="5">
        <v>2.55</v>
      </c>
      <c r="M1678" s="3">
        <v>15805.0</v>
      </c>
      <c r="N1678" s="1" t="str">
        <f t="shared" si="5"/>
        <v>Registered</v>
      </c>
      <c r="O1678" s="1" t="s">
        <v>19</v>
      </c>
      <c r="P1678" s="9" t="str">
        <f t="shared" si="6"/>
        <v>UK</v>
      </c>
      <c r="Q1678" s="8">
        <f t="shared" si="7"/>
        <v>15.3</v>
      </c>
    </row>
    <row r="1679">
      <c r="A1679" s="1">
        <v>544894.0</v>
      </c>
      <c r="B1679" s="1" t="str">
        <f t="shared" si="1"/>
        <v>544894</v>
      </c>
      <c r="C1679" s="1" t="str">
        <f t="shared" si="2"/>
        <v>Sale</v>
      </c>
      <c r="D1679" s="1" t="s">
        <v>203</v>
      </c>
      <c r="E1679" s="1" t="str">
        <f>IFERROR(__xludf.DUMMYFUNCTION("IF(LEN(D1679)&gt;4, IFERROR(REGEXEXTRACT(TO_TEXT(D1679),""\d+""),""""),"""")"),"85014")</f>
        <v>85014</v>
      </c>
      <c r="F1679" s="6" t="str">
        <f t="shared" si="3"/>
        <v>Product</v>
      </c>
      <c r="G1679" s="1" t="s">
        <v>204</v>
      </c>
      <c r="H1679" s="6" t="str">
        <f>IFERROR(__xludf.DUMMYFUNCTION("IF(REGEXMATCH(LOWER(G1679), ""^(\?)+\s*(missing)?\s*(\?)*$""), """", PROPER(SUBSTITUTE(SUBSTITUTE(G1679, ""?"", """"), ""*"", """")))"),"Black/Blue Polkadot Umbrella")</f>
        <v>Black/Blue Polkadot Umbrella</v>
      </c>
      <c r="I1679" s="3">
        <v>3.0</v>
      </c>
      <c r="J1679" s="7">
        <v>40598.50625</v>
      </c>
      <c r="K1679" s="8" t="str">
        <f t="shared" si="4"/>
        <v>2011-02</v>
      </c>
      <c r="L1679" s="5">
        <v>5.95</v>
      </c>
      <c r="M1679" s="3">
        <v>15805.0</v>
      </c>
      <c r="N1679" s="1" t="str">
        <f t="shared" si="5"/>
        <v>Registered</v>
      </c>
      <c r="O1679" s="1" t="s">
        <v>19</v>
      </c>
      <c r="P1679" s="9" t="str">
        <f t="shared" si="6"/>
        <v>UK</v>
      </c>
      <c r="Q1679" s="8">
        <f t="shared" si="7"/>
        <v>17.85</v>
      </c>
    </row>
    <row r="1680">
      <c r="A1680" s="1">
        <v>544894.0</v>
      </c>
      <c r="B1680" s="1" t="str">
        <f t="shared" si="1"/>
        <v>544894</v>
      </c>
      <c r="C1680" s="1" t="str">
        <f t="shared" si="2"/>
        <v>Sale</v>
      </c>
      <c r="D1680" s="1" t="s">
        <v>201</v>
      </c>
      <c r="E1680" s="1" t="str">
        <f>IFERROR(__xludf.DUMMYFUNCTION("IF(LEN(D1680)&gt;4, IFERROR(REGEXEXTRACT(TO_TEXT(D1680),""\d+""),""""),"""")"),"85014")</f>
        <v>85014</v>
      </c>
      <c r="F1680" s="6" t="str">
        <f t="shared" si="3"/>
        <v>Product</v>
      </c>
      <c r="G1680" s="1" t="s">
        <v>202</v>
      </c>
      <c r="H1680" s="6" t="str">
        <f>IFERROR(__xludf.DUMMYFUNCTION("IF(REGEXMATCH(LOWER(G1680), ""^(\?)+\s*(missing)?\s*(\?)*$""), """", PROPER(SUBSTITUTE(SUBSTITUTE(G1680, ""?"", """"), ""*"", """")))"),"Red Retrospot Umbrella")</f>
        <v>Red Retrospot Umbrella</v>
      </c>
      <c r="I1680" s="3">
        <v>3.0</v>
      </c>
      <c r="J1680" s="7">
        <v>40598.50625</v>
      </c>
      <c r="K1680" s="8" t="str">
        <f t="shared" si="4"/>
        <v>2011-02</v>
      </c>
      <c r="L1680" s="5">
        <v>5.95</v>
      </c>
      <c r="M1680" s="3">
        <v>15805.0</v>
      </c>
      <c r="N1680" s="1" t="str">
        <f t="shared" si="5"/>
        <v>Registered</v>
      </c>
      <c r="O1680" s="1" t="s">
        <v>19</v>
      </c>
      <c r="P1680" s="9" t="str">
        <f t="shared" si="6"/>
        <v>UK</v>
      </c>
      <c r="Q1680" s="8">
        <f t="shared" si="7"/>
        <v>17.85</v>
      </c>
    </row>
    <row r="1681">
      <c r="A1681" s="1">
        <v>544894.0</v>
      </c>
      <c r="B1681" s="1" t="str">
        <f t="shared" si="1"/>
        <v>544894</v>
      </c>
      <c r="C1681" s="1" t="str">
        <f t="shared" si="2"/>
        <v>Sale</v>
      </c>
      <c r="D1681" s="1">
        <v>15036.0</v>
      </c>
      <c r="E1681" s="1" t="str">
        <f>IFERROR(__xludf.DUMMYFUNCTION("IF(LEN(D1681)&gt;4, IFERROR(REGEXEXTRACT(TO_TEXT(D1681),""\d+""),""""),"""")"),"15036")</f>
        <v>15036</v>
      </c>
      <c r="F1681" s="6" t="str">
        <f t="shared" si="3"/>
        <v>Product</v>
      </c>
      <c r="G1681" s="1" t="s">
        <v>692</v>
      </c>
      <c r="H1681" s="6" t="str">
        <f>IFERROR(__xludf.DUMMYFUNCTION("IF(REGEXMATCH(LOWER(G1681), ""^(\?)+\s*(missing)?\s*(\?)*$""), """", PROPER(SUBSTITUTE(SUBSTITUTE(G1681, ""?"", """"), ""*"", """")))"),"Assorted Colours Silk Fan")</f>
        <v>Assorted Colours Silk Fan</v>
      </c>
      <c r="I1681" s="3">
        <v>12.0</v>
      </c>
      <c r="J1681" s="7">
        <v>40598.50625</v>
      </c>
      <c r="K1681" s="8" t="str">
        <f t="shared" si="4"/>
        <v>2011-02</v>
      </c>
      <c r="L1681" s="5">
        <v>0.75</v>
      </c>
      <c r="M1681" s="3">
        <v>15805.0</v>
      </c>
      <c r="N1681" s="1" t="str">
        <f t="shared" si="5"/>
        <v>Registered</v>
      </c>
      <c r="O1681" s="1" t="s">
        <v>19</v>
      </c>
      <c r="P1681" s="9" t="str">
        <f t="shared" si="6"/>
        <v>UK</v>
      </c>
      <c r="Q1681" s="8">
        <f t="shared" si="7"/>
        <v>9</v>
      </c>
    </row>
    <row r="1682">
      <c r="A1682" s="1">
        <v>544894.0</v>
      </c>
      <c r="B1682" s="1" t="str">
        <f t="shared" si="1"/>
        <v>544894</v>
      </c>
      <c r="C1682" s="1" t="str">
        <f t="shared" si="2"/>
        <v>Sale</v>
      </c>
      <c r="D1682" s="1" t="s">
        <v>85</v>
      </c>
      <c r="E1682" s="1" t="str">
        <f>IFERROR(__xludf.DUMMYFUNCTION("IF(LEN(D1682)&gt;4, IFERROR(REGEXEXTRACT(TO_TEXT(D1682),""\d+""),""""),"""")"),"85099")</f>
        <v>85099</v>
      </c>
      <c r="F1682" s="6" t="str">
        <f t="shared" si="3"/>
        <v>Product</v>
      </c>
      <c r="G1682" s="1" t="s">
        <v>86</v>
      </c>
      <c r="H1682" s="6" t="str">
        <f>IFERROR(__xludf.DUMMYFUNCTION("IF(REGEXMATCH(LOWER(G1682), ""^(\?)+\s*(missing)?\s*(\?)*$""), """", PROPER(SUBSTITUTE(SUBSTITUTE(G1682, ""?"", """"), ""*"", """")))"),"Jumbo Bag Baroque Black White")</f>
        <v>Jumbo Bag Baroque Black White</v>
      </c>
      <c r="I1682" s="3">
        <v>10.0</v>
      </c>
      <c r="J1682" s="7">
        <v>40598.50625</v>
      </c>
      <c r="K1682" s="8" t="str">
        <f t="shared" si="4"/>
        <v>2011-02</v>
      </c>
      <c r="L1682" s="5">
        <v>1.95</v>
      </c>
      <c r="M1682" s="3">
        <v>15805.0</v>
      </c>
      <c r="N1682" s="1" t="str">
        <f t="shared" si="5"/>
        <v>Registered</v>
      </c>
      <c r="O1682" s="1" t="s">
        <v>19</v>
      </c>
      <c r="P1682" s="9" t="str">
        <f t="shared" si="6"/>
        <v>UK</v>
      </c>
      <c r="Q1682" s="8">
        <f t="shared" si="7"/>
        <v>19.5</v>
      </c>
    </row>
    <row r="1683">
      <c r="A1683" s="1">
        <v>544894.0</v>
      </c>
      <c r="B1683" s="1" t="str">
        <f t="shared" si="1"/>
        <v>544894</v>
      </c>
      <c r="C1683" s="1" t="str">
        <f t="shared" si="2"/>
        <v>Sale</v>
      </c>
      <c r="D1683" s="1">
        <v>22356.0</v>
      </c>
      <c r="E1683" s="1" t="str">
        <f>IFERROR(__xludf.DUMMYFUNCTION("IF(LEN(D1683)&gt;4, IFERROR(REGEXEXTRACT(TO_TEXT(D1683),""\d+""),""""),"""")"),"22356")</f>
        <v>22356</v>
      </c>
      <c r="F1683" s="6" t="str">
        <f t="shared" si="3"/>
        <v>Product</v>
      </c>
      <c r="G1683" s="1" t="s">
        <v>808</v>
      </c>
      <c r="H1683" s="6" t="str">
        <f>IFERROR(__xludf.DUMMYFUNCTION("IF(REGEXMATCH(LOWER(G1683), ""^(\?)+\s*(missing)?\s*(\?)*$""), """", PROPER(SUBSTITUTE(SUBSTITUTE(G1683, ""?"", """"), ""*"", """")))"),"Charlotte Bag Pink Polkadot")</f>
        <v>Charlotte Bag Pink Polkadot</v>
      </c>
      <c r="I1683" s="3">
        <v>10.0</v>
      </c>
      <c r="J1683" s="7">
        <v>40598.50625</v>
      </c>
      <c r="K1683" s="8" t="str">
        <f t="shared" si="4"/>
        <v>2011-02</v>
      </c>
      <c r="L1683" s="5">
        <v>0.85</v>
      </c>
      <c r="M1683" s="3">
        <v>15805.0</v>
      </c>
      <c r="N1683" s="1" t="str">
        <f t="shared" si="5"/>
        <v>Registered</v>
      </c>
      <c r="O1683" s="1" t="s">
        <v>19</v>
      </c>
      <c r="P1683" s="9" t="str">
        <f t="shared" si="6"/>
        <v>UK</v>
      </c>
      <c r="Q1683" s="8">
        <f t="shared" si="7"/>
        <v>8.5</v>
      </c>
    </row>
    <row r="1684">
      <c r="A1684" s="1">
        <v>544894.0</v>
      </c>
      <c r="B1684" s="1" t="str">
        <f t="shared" si="1"/>
        <v>544894</v>
      </c>
      <c r="C1684" s="1" t="str">
        <f t="shared" si="2"/>
        <v>Sale</v>
      </c>
      <c r="D1684" s="1">
        <v>20724.0</v>
      </c>
      <c r="E1684" s="1" t="str">
        <f>IFERROR(__xludf.DUMMYFUNCTION("IF(LEN(D1684)&gt;4, IFERROR(REGEXEXTRACT(TO_TEXT(D1684),""\d+""),""""),"""")"),"20724")</f>
        <v>20724</v>
      </c>
      <c r="F1684" s="6" t="str">
        <f t="shared" si="3"/>
        <v>Product</v>
      </c>
      <c r="G1684" s="1" t="s">
        <v>701</v>
      </c>
      <c r="H1684" s="6" t="str">
        <f>IFERROR(__xludf.DUMMYFUNCTION("IF(REGEXMATCH(LOWER(G1684), ""^(\?)+\s*(missing)?\s*(\?)*$""), """", PROPER(SUBSTITUTE(SUBSTITUTE(G1684, ""?"", """"), ""*"", """")))"),"Red Retrospot Charlotte Bag")</f>
        <v>Red Retrospot Charlotte Bag</v>
      </c>
      <c r="I1684" s="3">
        <v>10.0</v>
      </c>
      <c r="J1684" s="7">
        <v>40598.50625</v>
      </c>
      <c r="K1684" s="8" t="str">
        <f t="shared" si="4"/>
        <v>2011-02</v>
      </c>
      <c r="L1684" s="5">
        <v>0.85</v>
      </c>
      <c r="M1684" s="3">
        <v>15805.0</v>
      </c>
      <c r="N1684" s="1" t="str">
        <f t="shared" si="5"/>
        <v>Registered</v>
      </c>
      <c r="O1684" s="1" t="s">
        <v>19</v>
      </c>
      <c r="P1684" s="9" t="str">
        <f t="shared" si="6"/>
        <v>UK</v>
      </c>
      <c r="Q1684" s="8">
        <f t="shared" si="7"/>
        <v>8.5</v>
      </c>
    </row>
    <row r="1685">
      <c r="A1685" s="1">
        <v>544894.0</v>
      </c>
      <c r="B1685" s="1" t="str">
        <f t="shared" si="1"/>
        <v>544894</v>
      </c>
      <c r="C1685" s="1" t="str">
        <f t="shared" si="2"/>
        <v>Sale</v>
      </c>
      <c r="D1685" s="1">
        <v>20723.0</v>
      </c>
      <c r="E1685" s="1" t="str">
        <f>IFERROR(__xludf.DUMMYFUNCTION("IF(LEN(D1685)&gt;4, IFERROR(REGEXEXTRACT(TO_TEXT(D1685),""\d+""),""""),"""")"),"20723")</f>
        <v>20723</v>
      </c>
      <c r="F1685" s="6" t="str">
        <f t="shared" si="3"/>
        <v>Product</v>
      </c>
      <c r="G1685" s="1" t="s">
        <v>88</v>
      </c>
      <c r="H1685" s="6" t="str">
        <f>IFERROR(__xludf.DUMMYFUNCTION("IF(REGEXMATCH(LOWER(G1685), ""^(\?)+\s*(missing)?\s*(\?)*$""), """", PROPER(SUBSTITUTE(SUBSTITUTE(G1685, ""?"", """"), ""*"", """")))"),"Strawberry Charlotte Bag")</f>
        <v>Strawberry Charlotte Bag</v>
      </c>
      <c r="I1685" s="3">
        <v>10.0</v>
      </c>
      <c r="J1685" s="7">
        <v>40598.50625</v>
      </c>
      <c r="K1685" s="8" t="str">
        <f t="shared" si="4"/>
        <v>2011-02</v>
      </c>
      <c r="L1685" s="5">
        <v>0.85</v>
      </c>
      <c r="M1685" s="3">
        <v>15805.0</v>
      </c>
      <c r="N1685" s="1" t="str">
        <f t="shared" si="5"/>
        <v>Registered</v>
      </c>
      <c r="O1685" s="1" t="s">
        <v>19</v>
      </c>
      <c r="P1685" s="9" t="str">
        <f t="shared" si="6"/>
        <v>UK</v>
      </c>
      <c r="Q1685" s="8">
        <f t="shared" si="7"/>
        <v>8.5</v>
      </c>
    </row>
    <row r="1686">
      <c r="A1686" s="1">
        <v>544894.0</v>
      </c>
      <c r="B1686" s="1" t="str">
        <f t="shared" si="1"/>
        <v>544894</v>
      </c>
      <c r="C1686" s="1" t="str">
        <f t="shared" si="2"/>
        <v>Sale</v>
      </c>
      <c r="D1686" s="1">
        <v>20727.0</v>
      </c>
      <c r="E1686" s="1" t="str">
        <f>IFERROR(__xludf.DUMMYFUNCTION("IF(LEN(D1686)&gt;4, IFERROR(REGEXEXTRACT(TO_TEXT(D1686),""\d+""),""""),"""")"),"20727")</f>
        <v>20727</v>
      </c>
      <c r="F1686" s="6" t="str">
        <f t="shared" si="3"/>
        <v>Product</v>
      </c>
      <c r="G1686" s="1" t="s">
        <v>357</v>
      </c>
      <c r="H1686" s="6" t="str">
        <f>IFERROR(__xludf.DUMMYFUNCTION("IF(REGEXMATCH(LOWER(G1686), ""^(\?)+\s*(missing)?\s*(\?)*$""), """", PROPER(SUBSTITUTE(SUBSTITUTE(G1686, ""?"", """"), ""*"", """")))"),"Lunch Bag Black Skull.")</f>
        <v>Lunch Bag Black Skull.</v>
      </c>
      <c r="I1686" s="3">
        <v>10.0</v>
      </c>
      <c r="J1686" s="7">
        <v>40598.50625</v>
      </c>
      <c r="K1686" s="8" t="str">
        <f t="shared" si="4"/>
        <v>2011-02</v>
      </c>
      <c r="L1686" s="5">
        <v>1.65</v>
      </c>
      <c r="M1686" s="3">
        <v>15805.0</v>
      </c>
      <c r="N1686" s="1" t="str">
        <f t="shared" si="5"/>
        <v>Registered</v>
      </c>
      <c r="O1686" s="1" t="s">
        <v>19</v>
      </c>
      <c r="P1686" s="9" t="str">
        <f t="shared" si="6"/>
        <v>UK</v>
      </c>
      <c r="Q1686" s="8">
        <f t="shared" si="7"/>
        <v>16.5</v>
      </c>
    </row>
    <row r="1687">
      <c r="A1687" s="1">
        <v>544894.0</v>
      </c>
      <c r="B1687" s="1" t="str">
        <f t="shared" si="1"/>
        <v>544894</v>
      </c>
      <c r="C1687" s="1" t="str">
        <f t="shared" si="2"/>
        <v>Sale</v>
      </c>
      <c r="D1687" s="1" t="s">
        <v>1009</v>
      </c>
      <c r="E1687" s="1" t="str">
        <f>IFERROR(__xludf.DUMMYFUNCTION("IF(LEN(D1687)&gt;4, IFERROR(REGEXEXTRACT(TO_TEXT(D1687),""\d+""),""""),"""")"),"16161")</f>
        <v>16161</v>
      </c>
      <c r="F1687" s="6" t="str">
        <f t="shared" si="3"/>
        <v>Product</v>
      </c>
      <c r="G1687" s="1" t="s">
        <v>1010</v>
      </c>
      <c r="H1687" s="6" t="str">
        <f>IFERROR(__xludf.DUMMYFUNCTION("IF(REGEXMATCH(LOWER(G1687), ""^(\?)+\s*(missing)?\s*(\?)*$""), """", PROPER(SUBSTITUTE(SUBSTITUTE(G1687, ""?"", """"), ""*"", """")))"),"Wrap English Rose")</f>
        <v>Wrap English Rose</v>
      </c>
      <c r="I1687" s="3">
        <v>25.0</v>
      </c>
      <c r="J1687" s="7">
        <v>40598.50625</v>
      </c>
      <c r="K1687" s="8" t="str">
        <f t="shared" si="4"/>
        <v>2011-02</v>
      </c>
      <c r="L1687" s="5">
        <v>0.42</v>
      </c>
      <c r="M1687" s="3">
        <v>15805.0</v>
      </c>
      <c r="N1687" s="1" t="str">
        <f t="shared" si="5"/>
        <v>Registered</v>
      </c>
      <c r="O1687" s="1" t="s">
        <v>19</v>
      </c>
      <c r="P1687" s="9" t="str">
        <f t="shared" si="6"/>
        <v>UK</v>
      </c>
      <c r="Q1687" s="8">
        <f t="shared" si="7"/>
        <v>10.5</v>
      </c>
    </row>
    <row r="1688">
      <c r="A1688" s="1">
        <v>544894.0</v>
      </c>
      <c r="B1688" s="1" t="str">
        <f t="shared" si="1"/>
        <v>544894</v>
      </c>
      <c r="C1688" s="1" t="str">
        <f t="shared" si="2"/>
        <v>Sale</v>
      </c>
      <c r="D1688" s="1">
        <v>22985.0</v>
      </c>
      <c r="E1688" s="1" t="str">
        <f>IFERROR(__xludf.DUMMYFUNCTION("IF(LEN(D1688)&gt;4, IFERROR(REGEXEXTRACT(TO_TEXT(D1688),""\d+""),""""),"""")"),"22985")</f>
        <v>22985</v>
      </c>
      <c r="F1688" s="6" t="str">
        <f t="shared" si="3"/>
        <v>Product</v>
      </c>
      <c r="G1688" s="1" t="s">
        <v>1011</v>
      </c>
      <c r="H1688" s="6" t="str">
        <f>IFERROR(__xludf.DUMMYFUNCTION("IF(REGEXMATCH(LOWER(G1688), ""^(\?)+\s*(missing)?\s*(\?)*$""), """", PROPER(SUBSTITUTE(SUBSTITUTE(G1688, ""?"", """"), ""*"", """")))"),"Wrap, Billboard Fonts Design")</f>
        <v>Wrap, Billboard Fonts Design</v>
      </c>
      <c r="I1688" s="3">
        <v>25.0</v>
      </c>
      <c r="J1688" s="7">
        <v>40598.50625</v>
      </c>
      <c r="K1688" s="8" t="str">
        <f t="shared" si="4"/>
        <v>2011-02</v>
      </c>
      <c r="L1688" s="5">
        <v>0.42</v>
      </c>
      <c r="M1688" s="3">
        <v>15805.0</v>
      </c>
      <c r="N1688" s="1" t="str">
        <f t="shared" si="5"/>
        <v>Registered</v>
      </c>
      <c r="O1688" s="1" t="s">
        <v>19</v>
      </c>
      <c r="P1688" s="9" t="str">
        <f t="shared" si="6"/>
        <v>UK</v>
      </c>
      <c r="Q1688" s="8">
        <f t="shared" si="7"/>
        <v>10.5</v>
      </c>
    </row>
    <row r="1689">
      <c r="A1689" s="1">
        <v>544894.0</v>
      </c>
      <c r="B1689" s="1" t="str">
        <f t="shared" si="1"/>
        <v>544894</v>
      </c>
      <c r="C1689" s="1" t="str">
        <f t="shared" si="2"/>
        <v>Sale</v>
      </c>
      <c r="D1689" s="1">
        <v>22174.0</v>
      </c>
      <c r="E1689" s="1" t="str">
        <f>IFERROR(__xludf.DUMMYFUNCTION("IF(LEN(D1689)&gt;4, IFERROR(REGEXEXTRACT(TO_TEXT(D1689),""\d+""),""""),"""")"),"22174")</f>
        <v>22174</v>
      </c>
      <c r="F1689" s="6" t="str">
        <f t="shared" si="3"/>
        <v>Product</v>
      </c>
      <c r="G1689" s="1" t="s">
        <v>226</v>
      </c>
      <c r="H1689" s="6" t="str">
        <f>IFERROR(__xludf.DUMMYFUNCTION("IF(REGEXMATCH(LOWER(G1689), ""^(\?)+\s*(missing)?\s*(\?)*$""), """", PROPER(SUBSTITUTE(SUBSTITUTE(G1689, ""?"", """"), ""*"", """")))"),"Photo Cube")</f>
        <v>Photo Cube</v>
      </c>
      <c r="I1689" s="3">
        <v>12.0</v>
      </c>
      <c r="J1689" s="7">
        <v>40598.50625</v>
      </c>
      <c r="K1689" s="8" t="str">
        <f t="shared" si="4"/>
        <v>2011-02</v>
      </c>
      <c r="L1689" s="5">
        <v>1.65</v>
      </c>
      <c r="M1689" s="3">
        <v>15805.0</v>
      </c>
      <c r="N1689" s="1" t="str">
        <f t="shared" si="5"/>
        <v>Registered</v>
      </c>
      <c r="O1689" s="1" t="s">
        <v>19</v>
      </c>
      <c r="P1689" s="9" t="str">
        <f t="shared" si="6"/>
        <v>UK</v>
      </c>
      <c r="Q1689" s="8">
        <f t="shared" si="7"/>
        <v>19.8</v>
      </c>
    </row>
    <row r="1690">
      <c r="A1690" s="1">
        <v>544894.0</v>
      </c>
      <c r="B1690" s="1" t="str">
        <f t="shared" si="1"/>
        <v>544894</v>
      </c>
      <c r="C1690" s="1" t="str">
        <f t="shared" si="2"/>
        <v>Sale</v>
      </c>
      <c r="D1690" s="1">
        <v>22332.0</v>
      </c>
      <c r="E1690" s="1" t="str">
        <f>IFERROR(__xludf.DUMMYFUNCTION("IF(LEN(D1690)&gt;4, IFERROR(REGEXEXTRACT(TO_TEXT(D1690),""\d+""),""""),"""")"),"22332")</f>
        <v>22332</v>
      </c>
      <c r="F1690" s="6" t="str">
        <f t="shared" si="3"/>
        <v>Product</v>
      </c>
      <c r="G1690" s="1" t="s">
        <v>1012</v>
      </c>
      <c r="H1690" s="6" t="str">
        <f>IFERROR(__xludf.DUMMYFUNCTION("IF(REGEXMATCH(LOWER(G1690), ""^(\?)+\s*(missing)?\s*(\?)*$""), """", PROPER(SUBSTITUTE(SUBSTITUTE(G1690, ""?"", """"), ""*"", """")))"),"Skulls Party Bag + Sticker Set")</f>
        <v>Skulls Party Bag + Sticker Set</v>
      </c>
      <c r="I1690" s="3">
        <v>8.0</v>
      </c>
      <c r="J1690" s="7">
        <v>40598.50625</v>
      </c>
      <c r="K1690" s="8" t="str">
        <f t="shared" si="4"/>
        <v>2011-02</v>
      </c>
      <c r="L1690" s="5">
        <v>1.65</v>
      </c>
      <c r="M1690" s="3">
        <v>15805.0</v>
      </c>
      <c r="N1690" s="1" t="str">
        <f t="shared" si="5"/>
        <v>Registered</v>
      </c>
      <c r="O1690" s="1" t="s">
        <v>19</v>
      </c>
      <c r="P1690" s="9" t="str">
        <f t="shared" si="6"/>
        <v>UK</v>
      </c>
      <c r="Q1690" s="8">
        <f t="shared" si="7"/>
        <v>13.2</v>
      </c>
    </row>
    <row r="1691">
      <c r="A1691" s="1">
        <v>544894.0</v>
      </c>
      <c r="B1691" s="1" t="str">
        <f t="shared" si="1"/>
        <v>544894</v>
      </c>
      <c r="C1691" s="1" t="str">
        <f t="shared" si="2"/>
        <v>Sale</v>
      </c>
      <c r="D1691" s="1">
        <v>22957.0</v>
      </c>
      <c r="E1691" s="1" t="str">
        <f>IFERROR(__xludf.DUMMYFUNCTION("IF(LEN(D1691)&gt;4, IFERROR(REGEXEXTRACT(TO_TEXT(D1691),""\d+""),""""),"""")"),"22957")</f>
        <v>22957</v>
      </c>
      <c r="F1691" s="6" t="str">
        <f t="shared" si="3"/>
        <v>Product</v>
      </c>
      <c r="G1691" s="1" t="s">
        <v>909</v>
      </c>
      <c r="H1691" s="6" t="str">
        <f>IFERROR(__xludf.DUMMYFUNCTION("IF(REGEXMATCH(LOWER(G1691), ""^(\?)+\s*(missing)?\s*(\?)*$""), """", PROPER(SUBSTITUTE(SUBSTITUTE(G1691, ""?"", """"), ""*"", """")))"),"Set 3 Paper Vintage Chick Paper Egg")</f>
        <v>Set 3 Paper Vintage Chick Paper Egg</v>
      </c>
      <c r="I1691" s="3">
        <v>6.0</v>
      </c>
      <c r="J1691" s="7">
        <v>40598.50625</v>
      </c>
      <c r="K1691" s="8" t="str">
        <f t="shared" si="4"/>
        <v>2011-02</v>
      </c>
      <c r="L1691" s="5">
        <v>2.95</v>
      </c>
      <c r="M1691" s="3">
        <v>15805.0</v>
      </c>
      <c r="N1691" s="1" t="str">
        <f t="shared" si="5"/>
        <v>Registered</v>
      </c>
      <c r="O1691" s="1" t="s">
        <v>19</v>
      </c>
      <c r="P1691" s="9" t="str">
        <f t="shared" si="6"/>
        <v>UK</v>
      </c>
      <c r="Q1691" s="8">
        <f t="shared" si="7"/>
        <v>17.7</v>
      </c>
    </row>
    <row r="1692">
      <c r="A1692" s="1">
        <v>544894.0</v>
      </c>
      <c r="B1692" s="1" t="str">
        <f t="shared" si="1"/>
        <v>544894</v>
      </c>
      <c r="C1692" s="1" t="str">
        <f t="shared" si="2"/>
        <v>Sale</v>
      </c>
      <c r="D1692" s="1">
        <v>22967.0</v>
      </c>
      <c r="E1692" s="1" t="str">
        <f>IFERROR(__xludf.DUMMYFUNCTION("IF(LEN(D1692)&gt;4, IFERROR(REGEXEXTRACT(TO_TEXT(D1692),""\d+""),""""),"""")"),"22967")</f>
        <v>22967</v>
      </c>
      <c r="F1692" s="6" t="str">
        <f t="shared" si="3"/>
        <v>Product</v>
      </c>
      <c r="G1692" s="1" t="s">
        <v>1013</v>
      </c>
      <c r="H1692" s="6" t="str">
        <f>IFERROR(__xludf.DUMMYFUNCTION("IF(REGEXMATCH(LOWER(G1692), ""^(\?)+\s*(missing)?\s*(\?)*$""), """", PROPER(SUBSTITUTE(SUBSTITUTE(G1692, ""?"", """"), ""*"", """")))"),"Set 3 Song Bird Paper Eggs Assorted")</f>
        <v>Set 3 Song Bird Paper Eggs Assorted</v>
      </c>
      <c r="I1692" s="3">
        <v>6.0</v>
      </c>
      <c r="J1692" s="7">
        <v>40598.50625</v>
      </c>
      <c r="K1692" s="8" t="str">
        <f t="shared" si="4"/>
        <v>2011-02</v>
      </c>
      <c r="L1692" s="5">
        <v>2.95</v>
      </c>
      <c r="M1692" s="3">
        <v>15805.0</v>
      </c>
      <c r="N1692" s="1" t="str">
        <f t="shared" si="5"/>
        <v>Registered</v>
      </c>
      <c r="O1692" s="1" t="s">
        <v>19</v>
      </c>
      <c r="P1692" s="9" t="str">
        <f t="shared" si="6"/>
        <v>UK</v>
      </c>
      <c r="Q1692" s="8">
        <f t="shared" si="7"/>
        <v>17.7</v>
      </c>
    </row>
    <row r="1693">
      <c r="A1693" s="1">
        <v>544894.0</v>
      </c>
      <c r="B1693" s="1" t="str">
        <f t="shared" si="1"/>
        <v>544894</v>
      </c>
      <c r="C1693" s="1" t="str">
        <f t="shared" si="2"/>
        <v>Sale</v>
      </c>
      <c r="D1693" s="1">
        <v>22859.0</v>
      </c>
      <c r="E1693" s="1" t="str">
        <f>IFERROR(__xludf.DUMMYFUNCTION("IF(LEN(D1693)&gt;4, IFERROR(REGEXEXTRACT(TO_TEXT(D1693),""\d+""),""""),"""")"),"22859")</f>
        <v>22859</v>
      </c>
      <c r="F1693" s="6" t="str">
        <f t="shared" si="3"/>
        <v>Product</v>
      </c>
      <c r="G1693" s="1" t="s">
        <v>901</v>
      </c>
      <c r="H1693" s="6" t="str">
        <f>IFERROR(__xludf.DUMMYFUNCTION("IF(REGEXMATCH(LOWER(G1693), ""^(\?)+\s*(missing)?\s*(\?)*$""), """", PROPER(SUBSTITUTE(SUBSTITUTE(G1693, ""?"", """"), ""*"", """")))"),"Easter Tin Bunny Bouquet")</f>
        <v>Easter Tin Bunny Bouquet</v>
      </c>
      <c r="I1693" s="3">
        <v>6.0</v>
      </c>
      <c r="J1693" s="7">
        <v>40598.50625</v>
      </c>
      <c r="K1693" s="8" t="str">
        <f t="shared" si="4"/>
        <v>2011-02</v>
      </c>
      <c r="L1693" s="5">
        <v>1.65</v>
      </c>
      <c r="M1693" s="3">
        <v>15805.0</v>
      </c>
      <c r="N1693" s="1" t="str">
        <f t="shared" si="5"/>
        <v>Registered</v>
      </c>
      <c r="O1693" s="1" t="s">
        <v>19</v>
      </c>
      <c r="P1693" s="9" t="str">
        <f t="shared" si="6"/>
        <v>UK</v>
      </c>
      <c r="Q1693" s="8">
        <f t="shared" si="7"/>
        <v>9.9</v>
      </c>
    </row>
    <row r="1694">
      <c r="A1694" s="1">
        <v>544894.0</v>
      </c>
      <c r="B1694" s="1" t="str">
        <f t="shared" si="1"/>
        <v>544894</v>
      </c>
      <c r="C1694" s="1" t="str">
        <f t="shared" si="2"/>
        <v>Sale</v>
      </c>
      <c r="D1694" s="1">
        <v>22860.0</v>
      </c>
      <c r="E1694" s="1" t="str">
        <f>IFERROR(__xludf.DUMMYFUNCTION("IF(LEN(D1694)&gt;4, IFERROR(REGEXEXTRACT(TO_TEXT(D1694),""\d+""),""""),"""")"),"22860")</f>
        <v>22860</v>
      </c>
      <c r="F1694" s="6" t="str">
        <f t="shared" si="3"/>
        <v>Product</v>
      </c>
      <c r="G1694" s="1" t="s">
        <v>902</v>
      </c>
      <c r="H1694" s="6" t="str">
        <f>IFERROR(__xludf.DUMMYFUNCTION("IF(REGEXMATCH(LOWER(G1694), ""^(\?)+\s*(missing)?\s*(\?)*$""), """", PROPER(SUBSTITUTE(SUBSTITUTE(G1694, ""?"", """"), ""*"", """")))"),"Easter Tin Chicks Pink Daisy")</f>
        <v>Easter Tin Chicks Pink Daisy</v>
      </c>
      <c r="I1694" s="3">
        <v>6.0</v>
      </c>
      <c r="J1694" s="7">
        <v>40598.50625</v>
      </c>
      <c r="K1694" s="8" t="str">
        <f t="shared" si="4"/>
        <v>2011-02</v>
      </c>
      <c r="L1694" s="5">
        <v>1.65</v>
      </c>
      <c r="M1694" s="3">
        <v>15805.0</v>
      </c>
      <c r="N1694" s="1" t="str">
        <f t="shared" si="5"/>
        <v>Registered</v>
      </c>
      <c r="O1694" s="1" t="s">
        <v>19</v>
      </c>
      <c r="P1694" s="9" t="str">
        <f t="shared" si="6"/>
        <v>UK</v>
      </c>
      <c r="Q1694" s="8">
        <f t="shared" si="7"/>
        <v>9.9</v>
      </c>
    </row>
    <row r="1695">
      <c r="A1695" s="1">
        <v>544895.0</v>
      </c>
      <c r="B1695" s="1" t="str">
        <f t="shared" si="1"/>
        <v>544895</v>
      </c>
      <c r="C1695" s="1" t="str">
        <f t="shared" si="2"/>
        <v>Sale</v>
      </c>
      <c r="D1695" s="1">
        <v>21754.0</v>
      </c>
      <c r="E1695" s="1" t="str">
        <f>IFERROR(__xludf.DUMMYFUNCTION("IF(LEN(D1695)&gt;4, IFERROR(REGEXEXTRACT(TO_TEXT(D1695),""\d+""),""""),"""")"),"21754")</f>
        <v>21754</v>
      </c>
      <c r="F1695" s="6" t="str">
        <f t="shared" si="3"/>
        <v>Product</v>
      </c>
      <c r="G1695" s="1" t="s">
        <v>39</v>
      </c>
      <c r="H1695" s="6" t="str">
        <f>IFERROR(__xludf.DUMMYFUNCTION("IF(REGEXMATCH(LOWER(G1695), ""^(\?)+\s*(missing)?\s*(\?)*$""), """", PROPER(SUBSTITUTE(SUBSTITUTE(G1695, ""?"", """"), ""*"", """")))"),"Home Building Block Word")</f>
        <v>Home Building Block Word</v>
      </c>
      <c r="I1695" s="3">
        <v>3.0</v>
      </c>
      <c r="J1695" s="7">
        <v>40598.51527777778</v>
      </c>
      <c r="K1695" s="8" t="str">
        <f t="shared" si="4"/>
        <v>2011-02</v>
      </c>
      <c r="L1695" s="5">
        <v>5.95</v>
      </c>
      <c r="M1695" s="3">
        <v>14189.0</v>
      </c>
      <c r="N1695" s="1" t="str">
        <f t="shared" si="5"/>
        <v>Registered</v>
      </c>
      <c r="O1695" s="1" t="s">
        <v>19</v>
      </c>
      <c r="P1695" s="9" t="str">
        <f t="shared" si="6"/>
        <v>UK</v>
      </c>
      <c r="Q1695" s="8">
        <f t="shared" si="7"/>
        <v>17.85</v>
      </c>
    </row>
    <row r="1696">
      <c r="A1696" s="1">
        <v>544895.0</v>
      </c>
      <c r="B1696" s="1" t="str">
        <f t="shared" si="1"/>
        <v>544895</v>
      </c>
      <c r="C1696" s="1" t="str">
        <f t="shared" si="2"/>
        <v>Sale</v>
      </c>
      <c r="D1696" s="1">
        <v>21755.0</v>
      </c>
      <c r="E1696" s="1" t="str">
        <f>IFERROR(__xludf.DUMMYFUNCTION("IF(LEN(D1696)&gt;4, IFERROR(REGEXEXTRACT(TO_TEXT(D1696),""\d+""),""""),"""")"),"21755")</f>
        <v>21755</v>
      </c>
      <c r="F1696" s="6" t="str">
        <f t="shared" si="3"/>
        <v>Product</v>
      </c>
      <c r="G1696" s="1" t="s">
        <v>40</v>
      </c>
      <c r="H1696" s="6" t="str">
        <f>IFERROR(__xludf.DUMMYFUNCTION("IF(REGEXMATCH(LOWER(G1696), ""^(\?)+\s*(missing)?\s*(\?)*$""), """", PROPER(SUBSTITUTE(SUBSTITUTE(G1696, ""?"", """"), ""*"", """")))"),"Love Building Block Word")</f>
        <v>Love Building Block Word</v>
      </c>
      <c r="I1696" s="3">
        <v>3.0</v>
      </c>
      <c r="J1696" s="7">
        <v>40598.51527777778</v>
      </c>
      <c r="K1696" s="8" t="str">
        <f t="shared" si="4"/>
        <v>2011-02</v>
      </c>
      <c r="L1696" s="5">
        <v>5.95</v>
      </c>
      <c r="M1696" s="3">
        <v>14189.0</v>
      </c>
      <c r="N1696" s="1" t="str">
        <f t="shared" si="5"/>
        <v>Registered</v>
      </c>
      <c r="O1696" s="1" t="s">
        <v>19</v>
      </c>
      <c r="P1696" s="9" t="str">
        <f t="shared" si="6"/>
        <v>UK</v>
      </c>
      <c r="Q1696" s="8">
        <f t="shared" si="7"/>
        <v>17.85</v>
      </c>
    </row>
    <row r="1697">
      <c r="A1697" s="1">
        <v>544895.0</v>
      </c>
      <c r="B1697" s="1" t="str">
        <f t="shared" si="1"/>
        <v>544895</v>
      </c>
      <c r="C1697" s="1" t="str">
        <f t="shared" si="2"/>
        <v>Sale</v>
      </c>
      <c r="D1697" s="1">
        <v>22427.0</v>
      </c>
      <c r="E1697" s="1" t="str">
        <f>IFERROR(__xludf.DUMMYFUNCTION("IF(LEN(D1697)&gt;4, IFERROR(REGEXEXTRACT(TO_TEXT(D1697),""\d+""),""""),"""")"),"22427")</f>
        <v>22427</v>
      </c>
      <c r="F1697" s="6" t="str">
        <f t="shared" si="3"/>
        <v>Product</v>
      </c>
      <c r="G1697" s="1" t="s">
        <v>172</v>
      </c>
      <c r="H1697" s="6" t="str">
        <f>IFERROR(__xludf.DUMMYFUNCTION("IF(REGEXMATCH(LOWER(G1697), ""^(\?)+\s*(missing)?\s*(\?)*$""), """", PROPER(SUBSTITUTE(SUBSTITUTE(G1697, ""?"", """"), ""*"", """")))"),"Enamel Flower Jug Cream")</f>
        <v>Enamel Flower Jug Cream</v>
      </c>
      <c r="I1697" s="3">
        <v>3.0</v>
      </c>
      <c r="J1697" s="7">
        <v>40598.51527777778</v>
      </c>
      <c r="K1697" s="8" t="str">
        <f t="shared" si="4"/>
        <v>2011-02</v>
      </c>
      <c r="L1697" s="5">
        <v>5.95</v>
      </c>
      <c r="M1697" s="3">
        <v>14189.0</v>
      </c>
      <c r="N1697" s="1" t="str">
        <f t="shared" si="5"/>
        <v>Registered</v>
      </c>
      <c r="O1697" s="1" t="s">
        <v>19</v>
      </c>
      <c r="P1697" s="9" t="str">
        <f t="shared" si="6"/>
        <v>UK</v>
      </c>
      <c r="Q1697" s="8">
        <f t="shared" si="7"/>
        <v>17.85</v>
      </c>
    </row>
    <row r="1698">
      <c r="A1698" s="1">
        <v>544895.0</v>
      </c>
      <c r="B1698" s="1" t="str">
        <f t="shared" si="1"/>
        <v>544895</v>
      </c>
      <c r="C1698" s="1" t="str">
        <f t="shared" si="2"/>
        <v>Sale</v>
      </c>
      <c r="D1698" s="1">
        <v>22430.0</v>
      </c>
      <c r="E1698" s="1" t="str">
        <f>IFERROR(__xludf.DUMMYFUNCTION("IF(LEN(D1698)&gt;4, IFERROR(REGEXEXTRACT(TO_TEXT(D1698),""\d+""),""""),"""")"),"22430")</f>
        <v>22430</v>
      </c>
      <c r="F1698" s="6" t="str">
        <f t="shared" si="3"/>
        <v>Product</v>
      </c>
      <c r="G1698" s="1" t="s">
        <v>1014</v>
      </c>
      <c r="H1698" s="6" t="str">
        <f>IFERROR(__xludf.DUMMYFUNCTION("IF(REGEXMATCH(LOWER(G1698), ""^(\?)+\s*(missing)?\s*(\?)*$""), """", PROPER(SUBSTITUTE(SUBSTITUTE(G1698, ""?"", """"), ""*"", """")))"),"Enamel Watering Can Cream")</f>
        <v>Enamel Watering Can Cream</v>
      </c>
      <c r="I1698" s="3">
        <v>4.0</v>
      </c>
      <c r="J1698" s="7">
        <v>40598.51527777778</v>
      </c>
      <c r="K1698" s="8" t="str">
        <f t="shared" si="4"/>
        <v>2011-02</v>
      </c>
      <c r="L1698" s="5">
        <v>4.95</v>
      </c>
      <c r="M1698" s="3">
        <v>14189.0</v>
      </c>
      <c r="N1698" s="1" t="str">
        <f t="shared" si="5"/>
        <v>Registered</v>
      </c>
      <c r="O1698" s="1" t="s">
        <v>19</v>
      </c>
      <c r="P1698" s="9" t="str">
        <f t="shared" si="6"/>
        <v>UK</v>
      </c>
      <c r="Q1698" s="8">
        <f t="shared" si="7"/>
        <v>19.8</v>
      </c>
    </row>
    <row r="1699">
      <c r="A1699" s="1">
        <v>544895.0</v>
      </c>
      <c r="B1699" s="1" t="str">
        <f t="shared" si="1"/>
        <v>544895</v>
      </c>
      <c r="C1699" s="1" t="str">
        <f t="shared" si="2"/>
        <v>Sale</v>
      </c>
      <c r="D1699" s="1">
        <v>82580.0</v>
      </c>
      <c r="E1699" s="1" t="str">
        <f>IFERROR(__xludf.DUMMYFUNCTION("IF(LEN(D1699)&gt;4, IFERROR(REGEXEXTRACT(TO_TEXT(D1699),""\d+""),""""),"""")"),"82580")</f>
        <v>82580</v>
      </c>
      <c r="F1699" s="6" t="str">
        <f t="shared" si="3"/>
        <v>Product</v>
      </c>
      <c r="G1699" s="1" t="s">
        <v>296</v>
      </c>
      <c r="H1699" s="6" t="str">
        <f>IFERROR(__xludf.DUMMYFUNCTION("IF(REGEXMATCH(LOWER(G1699), ""^(\?)+\s*(missing)?\s*(\?)*$""), """", PROPER(SUBSTITUTE(SUBSTITUTE(G1699, ""?"", """"), ""*"", """")))"),"Bathroom Metal Sign")</f>
        <v>Bathroom Metal Sign</v>
      </c>
      <c r="I1699" s="3">
        <v>12.0</v>
      </c>
      <c r="J1699" s="7">
        <v>40598.51527777778</v>
      </c>
      <c r="K1699" s="8" t="str">
        <f t="shared" si="4"/>
        <v>2011-02</v>
      </c>
      <c r="L1699" s="5">
        <v>0.55</v>
      </c>
      <c r="M1699" s="3">
        <v>14189.0</v>
      </c>
      <c r="N1699" s="1" t="str">
        <f t="shared" si="5"/>
        <v>Registered</v>
      </c>
      <c r="O1699" s="1" t="s">
        <v>19</v>
      </c>
      <c r="P1699" s="9" t="str">
        <f t="shared" si="6"/>
        <v>UK</v>
      </c>
      <c r="Q1699" s="8">
        <f t="shared" si="7"/>
        <v>6.6</v>
      </c>
    </row>
    <row r="1700">
      <c r="A1700" s="1">
        <v>544895.0</v>
      </c>
      <c r="B1700" s="1" t="str">
        <f t="shared" si="1"/>
        <v>544895</v>
      </c>
      <c r="C1700" s="1" t="str">
        <f t="shared" si="2"/>
        <v>Sale</v>
      </c>
      <c r="D1700" s="1">
        <v>22730.0</v>
      </c>
      <c r="E1700" s="1" t="str">
        <f>IFERROR(__xludf.DUMMYFUNCTION("IF(LEN(D1700)&gt;4, IFERROR(REGEXEXTRACT(TO_TEXT(D1700),""\d+""),""""),"""")"),"22730")</f>
        <v>22730</v>
      </c>
      <c r="F1700" s="6" t="str">
        <f t="shared" si="3"/>
        <v>Product</v>
      </c>
      <c r="G1700" s="1" t="s">
        <v>255</v>
      </c>
      <c r="H1700" s="6" t="str">
        <f>IFERROR(__xludf.DUMMYFUNCTION("IF(REGEXMATCH(LOWER(G1700), ""^(\?)+\s*(missing)?\s*(\?)*$""), """", PROPER(SUBSTITUTE(SUBSTITUTE(G1700, ""?"", """"), ""*"", """")))"),"Alarm Clock Bakelike Ivory")</f>
        <v>Alarm Clock Bakelike Ivory</v>
      </c>
      <c r="I1700" s="3">
        <v>4.0</v>
      </c>
      <c r="J1700" s="7">
        <v>40598.51527777778</v>
      </c>
      <c r="K1700" s="8" t="str">
        <f t="shared" si="4"/>
        <v>2011-02</v>
      </c>
      <c r="L1700" s="5">
        <v>3.75</v>
      </c>
      <c r="M1700" s="3">
        <v>14189.0</v>
      </c>
      <c r="N1700" s="1" t="str">
        <f t="shared" si="5"/>
        <v>Registered</v>
      </c>
      <c r="O1700" s="1" t="s">
        <v>19</v>
      </c>
      <c r="P1700" s="9" t="str">
        <f t="shared" si="6"/>
        <v>UK</v>
      </c>
      <c r="Q1700" s="8">
        <f t="shared" si="7"/>
        <v>15</v>
      </c>
    </row>
    <row r="1701">
      <c r="A1701" s="1">
        <v>544895.0</v>
      </c>
      <c r="B1701" s="1" t="str">
        <f t="shared" si="1"/>
        <v>544895</v>
      </c>
      <c r="C1701" s="1" t="str">
        <f t="shared" si="2"/>
        <v>Sale</v>
      </c>
      <c r="D1701" s="1">
        <v>22726.0</v>
      </c>
      <c r="E1701" s="1" t="str">
        <f>IFERROR(__xludf.DUMMYFUNCTION("IF(LEN(D1701)&gt;4, IFERROR(REGEXEXTRACT(TO_TEXT(D1701),""\d+""),""""),"""")"),"22726")</f>
        <v>22726</v>
      </c>
      <c r="F1701" s="6" t="str">
        <f t="shared" si="3"/>
        <v>Product</v>
      </c>
      <c r="G1701" s="1" t="s">
        <v>51</v>
      </c>
      <c r="H1701" s="6" t="str">
        <f>IFERROR(__xludf.DUMMYFUNCTION("IF(REGEXMATCH(LOWER(G1701), ""^(\?)+\s*(missing)?\s*(\?)*$""), """", PROPER(SUBSTITUTE(SUBSTITUTE(G1701, ""?"", """"), ""*"", """")))"),"Alarm Clock Bakelike Green")</f>
        <v>Alarm Clock Bakelike Green</v>
      </c>
      <c r="I1701" s="3">
        <v>8.0</v>
      </c>
      <c r="J1701" s="7">
        <v>40598.51527777778</v>
      </c>
      <c r="K1701" s="8" t="str">
        <f t="shared" si="4"/>
        <v>2011-02</v>
      </c>
      <c r="L1701" s="5">
        <v>3.75</v>
      </c>
      <c r="M1701" s="3">
        <v>14189.0</v>
      </c>
      <c r="N1701" s="1" t="str">
        <f t="shared" si="5"/>
        <v>Registered</v>
      </c>
      <c r="O1701" s="1" t="s">
        <v>19</v>
      </c>
      <c r="P1701" s="9" t="str">
        <f t="shared" si="6"/>
        <v>UK</v>
      </c>
      <c r="Q1701" s="8">
        <f t="shared" si="7"/>
        <v>30</v>
      </c>
    </row>
    <row r="1702">
      <c r="A1702" s="1">
        <v>544895.0</v>
      </c>
      <c r="B1702" s="1" t="str">
        <f t="shared" si="1"/>
        <v>544895</v>
      </c>
      <c r="C1702" s="1" t="str">
        <f t="shared" si="2"/>
        <v>Sale</v>
      </c>
      <c r="D1702" s="1">
        <v>22090.0</v>
      </c>
      <c r="E1702" s="1" t="str">
        <f>IFERROR(__xludf.DUMMYFUNCTION("IF(LEN(D1702)&gt;4, IFERROR(REGEXEXTRACT(TO_TEXT(D1702),""\d+""),""""),"""")"),"22090")</f>
        <v>22090</v>
      </c>
      <c r="F1702" s="6" t="str">
        <f t="shared" si="3"/>
        <v>Product</v>
      </c>
      <c r="G1702" s="1" t="s">
        <v>1015</v>
      </c>
      <c r="H1702" s="6" t="str">
        <f>IFERROR(__xludf.DUMMYFUNCTION("IF(REGEXMATCH(LOWER(G1702), ""^(\?)+\s*(missing)?\s*(\?)*$""), """", PROPER(SUBSTITUTE(SUBSTITUTE(G1702, ""?"", """"), ""*"", """")))"),"Paper Bunting Retrospot")</f>
        <v>Paper Bunting Retrospot</v>
      </c>
      <c r="I1702" s="3">
        <v>6.0</v>
      </c>
      <c r="J1702" s="7">
        <v>40598.51527777778</v>
      </c>
      <c r="K1702" s="8" t="str">
        <f t="shared" si="4"/>
        <v>2011-02</v>
      </c>
      <c r="L1702" s="5">
        <v>2.95</v>
      </c>
      <c r="M1702" s="3">
        <v>14189.0</v>
      </c>
      <c r="N1702" s="1" t="str">
        <f t="shared" si="5"/>
        <v>Registered</v>
      </c>
      <c r="O1702" s="1" t="s">
        <v>19</v>
      </c>
      <c r="P1702" s="9" t="str">
        <f t="shared" si="6"/>
        <v>UK</v>
      </c>
      <c r="Q1702" s="8">
        <f t="shared" si="7"/>
        <v>17.7</v>
      </c>
    </row>
    <row r="1703">
      <c r="A1703" s="1">
        <v>544895.0</v>
      </c>
      <c r="B1703" s="1" t="str">
        <f t="shared" si="1"/>
        <v>544895</v>
      </c>
      <c r="C1703" s="1" t="str">
        <f t="shared" si="2"/>
        <v>Sale</v>
      </c>
      <c r="D1703" s="1" t="s">
        <v>344</v>
      </c>
      <c r="E1703" s="1" t="str">
        <f>IFERROR(__xludf.DUMMYFUNCTION("IF(LEN(D1703)&gt;4, IFERROR(REGEXEXTRACT(TO_TEXT(D1703),""\d+""),""""),"""")"),"85049")</f>
        <v>85049</v>
      </c>
      <c r="F1703" s="6" t="str">
        <f t="shared" si="3"/>
        <v>Product</v>
      </c>
      <c r="G1703" s="1" t="s">
        <v>345</v>
      </c>
      <c r="H1703" s="6" t="str">
        <f>IFERROR(__xludf.DUMMYFUNCTION("IF(REGEXMATCH(LOWER(G1703), ""^(\?)+\s*(missing)?\s*(\?)*$""), """", PROPER(SUBSTITUTE(SUBSTITUTE(G1703, ""?"", """"), ""*"", """")))"),"Chocolate Box Ribbons")</f>
        <v>Chocolate Box Ribbons</v>
      </c>
      <c r="I1703" s="3">
        <v>12.0</v>
      </c>
      <c r="J1703" s="7">
        <v>40598.51527777778</v>
      </c>
      <c r="K1703" s="8" t="str">
        <f t="shared" si="4"/>
        <v>2011-02</v>
      </c>
      <c r="L1703" s="5">
        <v>1.25</v>
      </c>
      <c r="M1703" s="3">
        <v>14189.0</v>
      </c>
      <c r="N1703" s="1" t="str">
        <f t="shared" si="5"/>
        <v>Registered</v>
      </c>
      <c r="O1703" s="1" t="s">
        <v>19</v>
      </c>
      <c r="P1703" s="9" t="str">
        <f t="shared" si="6"/>
        <v>UK</v>
      </c>
      <c r="Q1703" s="8">
        <f t="shared" si="7"/>
        <v>15</v>
      </c>
    </row>
    <row r="1704">
      <c r="A1704" s="1">
        <v>544895.0</v>
      </c>
      <c r="B1704" s="1" t="str">
        <f t="shared" si="1"/>
        <v>544895</v>
      </c>
      <c r="C1704" s="1" t="str">
        <f t="shared" si="2"/>
        <v>Sale</v>
      </c>
      <c r="D1704" s="1" t="s">
        <v>1016</v>
      </c>
      <c r="E1704" s="1" t="str">
        <f>IFERROR(__xludf.DUMMYFUNCTION("IF(LEN(D1704)&gt;4, IFERROR(REGEXEXTRACT(TO_TEXT(D1704),""\d+""),""""),"""")"),"85049")</f>
        <v>85049</v>
      </c>
      <c r="F1704" s="6" t="str">
        <f t="shared" si="3"/>
        <v>Product</v>
      </c>
      <c r="G1704" s="1" t="s">
        <v>1017</v>
      </c>
      <c r="H1704" s="6" t="str">
        <f>IFERROR(__xludf.DUMMYFUNCTION("IF(REGEXMATCH(LOWER(G1704), ""^(\?)+\s*(missing)?\s*(\?)*$""), """", PROPER(SUBSTITUTE(SUBSTITUTE(G1704, ""?"", """"), ""*"", """")))"),"Baby Boom Ribbons")</f>
        <v>Baby Boom Ribbons</v>
      </c>
      <c r="I1704" s="3">
        <v>12.0</v>
      </c>
      <c r="J1704" s="7">
        <v>40598.51527777778</v>
      </c>
      <c r="K1704" s="8" t="str">
        <f t="shared" si="4"/>
        <v>2011-02</v>
      </c>
      <c r="L1704" s="5">
        <v>1.25</v>
      </c>
      <c r="M1704" s="3">
        <v>14189.0</v>
      </c>
      <c r="N1704" s="1" t="str">
        <f t="shared" si="5"/>
        <v>Registered</v>
      </c>
      <c r="O1704" s="1" t="s">
        <v>19</v>
      </c>
      <c r="P1704" s="9" t="str">
        <f t="shared" si="6"/>
        <v>UK</v>
      </c>
      <c r="Q1704" s="8">
        <f t="shared" si="7"/>
        <v>15</v>
      </c>
    </row>
    <row r="1705">
      <c r="A1705" s="1">
        <v>544895.0</v>
      </c>
      <c r="B1705" s="1" t="str">
        <f t="shared" si="1"/>
        <v>544895</v>
      </c>
      <c r="C1705" s="1" t="str">
        <f t="shared" si="2"/>
        <v>Sale</v>
      </c>
      <c r="D1705" s="1">
        <v>21982.0</v>
      </c>
      <c r="E1705" s="1" t="str">
        <f>IFERROR(__xludf.DUMMYFUNCTION("IF(LEN(D1705)&gt;4, IFERROR(REGEXEXTRACT(TO_TEXT(D1705),""\d+""),""""),"""")"),"21982")</f>
        <v>21982</v>
      </c>
      <c r="F1705" s="6" t="str">
        <f t="shared" si="3"/>
        <v>Product</v>
      </c>
      <c r="G1705" s="1" t="s">
        <v>859</v>
      </c>
      <c r="H1705" s="6" t="str">
        <f>IFERROR(__xludf.DUMMYFUNCTION("IF(REGEXMATCH(LOWER(G1705), ""^(\?)+\s*(missing)?\s*(\?)*$""), """", PROPER(SUBSTITUTE(SUBSTITUTE(G1705, ""?"", """"), ""*"", """")))"),"Pack Of 12 Suki Tissues")</f>
        <v>Pack Of 12 Suki Tissues</v>
      </c>
      <c r="I1705" s="3">
        <v>24.0</v>
      </c>
      <c r="J1705" s="7">
        <v>40598.51527777778</v>
      </c>
      <c r="K1705" s="8" t="str">
        <f t="shared" si="4"/>
        <v>2011-02</v>
      </c>
      <c r="L1705" s="5">
        <v>0.29</v>
      </c>
      <c r="M1705" s="3">
        <v>14189.0</v>
      </c>
      <c r="N1705" s="1" t="str">
        <f t="shared" si="5"/>
        <v>Registered</v>
      </c>
      <c r="O1705" s="1" t="s">
        <v>19</v>
      </c>
      <c r="P1705" s="9" t="str">
        <f t="shared" si="6"/>
        <v>UK</v>
      </c>
      <c r="Q1705" s="8">
        <f t="shared" si="7"/>
        <v>6.96</v>
      </c>
    </row>
    <row r="1706">
      <c r="A1706" s="1">
        <v>544895.0</v>
      </c>
      <c r="B1706" s="1" t="str">
        <f t="shared" si="1"/>
        <v>544895</v>
      </c>
      <c r="C1706" s="1" t="str">
        <f t="shared" si="2"/>
        <v>Sale</v>
      </c>
      <c r="D1706" s="1">
        <v>21915.0</v>
      </c>
      <c r="E1706" s="1" t="str">
        <f>IFERROR(__xludf.DUMMYFUNCTION("IF(LEN(D1706)&gt;4, IFERROR(REGEXEXTRACT(TO_TEXT(D1706),""\d+""),""""),"""")"),"21915")</f>
        <v>21915</v>
      </c>
      <c r="F1706" s="6" t="str">
        <f t="shared" si="3"/>
        <v>Product</v>
      </c>
      <c r="G1706" s="1" t="s">
        <v>363</v>
      </c>
      <c r="H1706" s="6" t="str">
        <f>IFERROR(__xludf.DUMMYFUNCTION("IF(REGEXMATCH(LOWER(G1706), ""^(\?)+\s*(missing)?\s*(\?)*$""), """", PROPER(SUBSTITUTE(SUBSTITUTE(G1706, ""?"", """"), ""*"", """")))"),"Red Harmonica In Box")</f>
        <v>Red Harmonica In Box</v>
      </c>
      <c r="I1706" s="3">
        <v>12.0</v>
      </c>
      <c r="J1706" s="7">
        <v>40598.51527777778</v>
      </c>
      <c r="K1706" s="8" t="str">
        <f t="shared" si="4"/>
        <v>2011-02</v>
      </c>
      <c r="L1706" s="5">
        <v>1.25</v>
      </c>
      <c r="M1706" s="3">
        <v>14189.0</v>
      </c>
      <c r="N1706" s="1" t="str">
        <f t="shared" si="5"/>
        <v>Registered</v>
      </c>
      <c r="O1706" s="1" t="s">
        <v>19</v>
      </c>
      <c r="P1706" s="9" t="str">
        <f t="shared" si="6"/>
        <v>UK</v>
      </c>
      <c r="Q1706" s="8">
        <f t="shared" si="7"/>
        <v>15</v>
      </c>
    </row>
    <row r="1707">
      <c r="A1707" s="1">
        <v>544895.0</v>
      </c>
      <c r="B1707" s="1" t="str">
        <f t="shared" si="1"/>
        <v>544895</v>
      </c>
      <c r="C1707" s="1" t="str">
        <f t="shared" si="2"/>
        <v>Sale</v>
      </c>
      <c r="D1707" s="1">
        <v>85227.0</v>
      </c>
      <c r="E1707" s="1" t="str">
        <f>IFERROR(__xludf.DUMMYFUNCTION("IF(LEN(D1707)&gt;4, IFERROR(REGEXEXTRACT(TO_TEXT(D1707),""\d+""),""""),"""")"),"85227")</f>
        <v>85227</v>
      </c>
      <c r="F1707" s="6" t="str">
        <f t="shared" si="3"/>
        <v>Product</v>
      </c>
      <c r="G1707" s="1" t="s">
        <v>1018</v>
      </c>
      <c r="H1707" s="6" t="str">
        <f>IFERROR(__xludf.DUMMYFUNCTION("IF(REGEXMATCH(LOWER(G1707), ""^(\?)+\s*(missing)?\s*(\?)*$""), """", PROPER(SUBSTITUTE(SUBSTITUTE(G1707, ""?"", """"), ""*"", """")))"),"Set Of 6 3D Kit Cards For Kids")</f>
        <v>Set Of 6 3D Kit Cards For Kids</v>
      </c>
      <c r="I1707" s="3">
        <v>12.0</v>
      </c>
      <c r="J1707" s="7">
        <v>40598.51527777778</v>
      </c>
      <c r="K1707" s="8" t="str">
        <f t="shared" si="4"/>
        <v>2011-02</v>
      </c>
      <c r="L1707" s="5">
        <v>0.85</v>
      </c>
      <c r="M1707" s="3">
        <v>14189.0</v>
      </c>
      <c r="N1707" s="1" t="str">
        <f t="shared" si="5"/>
        <v>Registered</v>
      </c>
      <c r="O1707" s="1" t="s">
        <v>19</v>
      </c>
      <c r="P1707" s="9" t="str">
        <f t="shared" si="6"/>
        <v>UK</v>
      </c>
      <c r="Q1707" s="8">
        <f t="shared" si="7"/>
        <v>10.2</v>
      </c>
    </row>
    <row r="1708">
      <c r="A1708" s="1">
        <v>544895.0</v>
      </c>
      <c r="B1708" s="1" t="str">
        <f t="shared" si="1"/>
        <v>544895</v>
      </c>
      <c r="C1708" s="1" t="str">
        <f t="shared" si="2"/>
        <v>Sale</v>
      </c>
      <c r="D1708" s="1">
        <v>22859.0</v>
      </c>
      <c r="E1708" s="1" t="str">
        <f>IFERROR(__xludf.DUMMYFUNCTION("IF(LEN(D1708)&gt;4, IFERROR(REGEXEXTRACT(TO_TEXT(D1708),""\d+""),""""),"""")"),"22859")</f>
        <v>22859</v>
      </c>
      <c r="F1708" s="6" t="str">
        <f t="shared" si="3"/>
        <v>Product</v>
      </c>
      <c r="G1708" s="1" t="s">
        <v>901</v>
      </c>
      <c r="H1708" s="6" t="str">
        <f>IFERROR(__xludf.DUMMYFUNCTION("IF(REGEXMATCH(LOWER(G1708), ""^(\?)+\s*(missing)?\s*(\?)*$""), """", PROPER(SUBSTITUTE(SUBSTITUTE(G1708, ""?"", """"), ""*"", """")))"),"Easter Tin Bunny Bouquet")</f>
        <v>Easter Tin Bunny Bouquet</v>
      </c>
      <c r="I1708" s="3">
        <v>6.0</v>
      </c>
      <c r="J1708" s="7">
        <v>40598.51527777778</v>
      </c>
      <c r="K1708" s="8" t="str">
        <f t="shared" si="4"/>
        <v>2011-02</v>
      </c>
      <c r="L1708" s="5">
        <v>1.65</v>
      </c>
      <c r="M1708" s="3">
        <v>14189.0</v>
      </c>
      <c r="N1708" s="1" t="str">
        <f t="shared" si="5"/>
        <v>Registered</v>
      </c>
      <c r="O1708" s="1" t="s">
        <v>19</v>
      </c>
      <c r="P1708" s="9" t="str">
        <f t="shared" si="6"/>
        <v>UK</v>
      </c>
      <c r="Q1708" s="8">
        <f t="shared" si="7"/>
        <v>9.9</v>
      </c>
    </row>
    <row r="1709">
      <c r="A1709" s="1">
        <v>544896.0</v>
      </c>
      <c r="B1709" s="1" t="str">
        <f t="shared" si="1"/>
        <v>544896</v>
      </c>
      <c r="C1709" s="1" t="str">
        <f t="shared" si="2"/>
        <v>Sale</v>
      </c>
      <c r="D1709" s="1">
        <v>21633.0</v>
      </c>
      <c r="E1709" s="1" t="str">
        <f>IFERROR(__xludf.DUMMYFUNCTION("IF(LEN(D1709)&gt;4, IFERROR(REGEXEXTRACT(TO_TEXT(D1709),""\d+""),""""),"""")"),"21633")</f>
        <v>21633</v>
      </c>
      <c r="F1709" s="6" t="str">
        <f t="shared" si="3"/>
        <v>Product</v>
      </c>
      <c r="G1709" s="1" t="s">
        <v>1019</v>
      </c>
      <c r="H1709" s="6" t="str">
        <f>IFERROR(__xludf.DUMMYFUNCTION("IF(REGEXMATCH(LOWER(G1709), ""^(\?)+\s*(missing)?\s*(\?)*$""), """", PROPER(SUBSTITUTE(SUBSTITUTE(G1709, ""?"", """"), ""*"", """")))"),"Sunflower Decorative Parasol")</f>
        <v>Sunflower Decorative Parasol</v>
      </c>
      <c r="I1709" s="3">
        <v>2.0</v>
      </c>
      <c r="J1709" s="7">
        <v>40598.51736111111</v>
      </c>
      <c r="K1709" s="8" t="str">
        <f t="shared" si="4"/>
        <v>2011-02</v>
      </c>
      <c r="L1709" s="5">
        <v>12.75</v>
      </c>
      <c r="M1709" s="3">
        <v>17867.0</v>
      </c>
      <c r="N1709" s="1" t="str">
        <f t="shared" si="5"/>
        <v>Registered</v>
      </c>
      <c r="O1709" s="1" t="s">
        <v>19</v>
      </c>
      <c r="P1709" s="9" t="str">
        <f t="shared" si="6"/>
        <v>UK</v>
      </c>
      <c r="Q1709" s="8">
        <f t="shared" si="7"/>
        <v>25.5</v>
      </c>
    </row>
    <row r="1710">
      <c r="A1710" s="1">
        <v>544898.0</v>
      </c>
      <c r="B1710" s="1" t="str">
        <f t="shared" si="1"/>
        <v>544898</v>
      </c>
      <c r="C1710" s="1" t="str">
        <f t="shared" si="2"/>
        <v>Sale</v>
      </c>
      <c r="D1710" s="1">
        <v>37370.0</v>
      </c>
      <c r="E1710" s="1" t="str">
        <f>IFERROR(__xludf.DUMMYFUNCTION("IF(LEN(D1710)&gt;4, IFERROR(REGEXEXTRACT(TO_TEXT(D1710),""\d+""),""""),"""")"),"37370")</f>
        <v>37370</v>
      </c>
      <c r="F1710" s="6" t="str">
        <f t="shared" si="3"/>
        <v>Product</v>
      </c>
      <c r="G1710" s="1" t="s">
        <v>72</v>
      </c>
      <c r="H1710" s="6" t="str">
        <f>IFERROR(__xludf.DUMMYFUNCTION("IF(REGEXMATCH(LOWER(G1710), ""^(\?)+\s*(missing)?\s*(\?)*$""), """", PROPER(SUBSTITUTE(SUBSTITUTE(G1710, ""?"", """"), ""*"", """")))"),"Retro Coffee Mugs Assorted")</f>
        <v>Retro Coffee Mugs Assorted</v>
      </c>
      <c r="I1710" s="3">
        <v>12.0</v>
      </c>
      <c r="J1710" s="7">
        <v>40598.51875</v>
      </c>
      <c r="K1710" s="8" t="str">
        <f t="shared" si="4"/>
        <v>2011-02</v>
      </c>
      <c r="L1710" s="5">
        <v>1.25</v>
      </c>
      <c r="M1710" s="3">
        <v>14880.0</v>
      </c>
      <c r="N1710" s="1" t="str">
        <f t="shared" si="5"/>
        <v>Registered</v>
      </c>
      <c r="O1710" s="1" t="s">
        <v>19</v>
      </c>
      <c r="P1710" s="9" t="str">
        <f t="shared" si="6"/>
        <v>UK</v>
      </c>
      <c r="Q1710" s="8">
        <f t="shared" si="7"/>
        <v>15</v>
      </c>
    </row>
    <row r="1711">
      <c r="A1711" s="1">
        <v>544898.0</v>
      </c>
      <c r="B1711" s="1" t="str">
        <f t="shared" si="1"/>
        <v>544898</v>
      </c>
      <c r="C1711" s="1" t="str">
        <f t="shared" si="2"/>
        <v>Sale</v>
      </c>
      <c r="D1711" s="1">
        <v>22191.0</v>
      </c>
      <c r="E1711" s="1" t="str">
        <f>IFERROR(__xludf.DUMMYFUNCTION("IF(LEN(D1711)&gt;4, IFERROR(REGEXEXTRACT(TO_TEXT(D1711),""\d+""),""""),"""")"),"22191")</f>
        <v>22191</v>
      </c>
      <c r="F1711" s="6" t="str">
        <f t="shared" si="3"/>
        <v>Product</v>
      </c>
      <c r="G1711" s="1" t="s">
        <v>207</v>
      </c>
      <c r="H1711" s="6" t="str">
        <f>IFERROR(__xludf.DUMMYFUNCTION("IF(REGEXMATCH(LOWER(G1711), ""^(\?)+\s*(missing)?\s*(\?)*$""), """", PROPER(SUBSTITUTE(SUBSTITUTE(G1711, ""?"", """"), ""*"", """")))"),"Ivory Diner Wall Clock")</f>
        <v>Ivory Diner Wall Clock</v>
      </c>
      <c r="I1711" s="3">
        <v>2.0</v>
      </c>
      <c r="J1711" s="7">
        <v>40598.51875</v>
      </c>
      <c r="K1711" s="8" t="str">
        <f t="shared" si="4"/>
        <v>2011-02</v>
      </c>
      <c r="L1711" s="5">
        <v>8.5</v>
      </c>
      <c r="M1711" s="3">
        <v>14880.0</v>
      </c>
      <c r="N1711" s="1" t="str">
        <f t="shared" si="5"/>
        <v>Registered</v>
      </c>
      <c r="O1711" s="1" t="s">
        <v>19</v>
      </c>
      <c r="P1711" s="9" t="str">
        <f t="shared" si="6"/>
        <v>UK</v>
      </c>
      <c r="Q1711" s="8">
        <f t="shared" si="7"/>
        <v>17</v>
      </c>
    </row>
    <row r="1712">
      <c r="A1712" s="1">
        <v>544898.0</v>
      </c>
      <c r="B1712" s="1" t="str">
        <f t="shared" si="1"/>
        <v>544898</v>
      </c>
      <c r="C1712" s="1" t="str">
        <f t="shared" si="2"/>
        <v>Sale</v>
      </c>
      <c r="D1712" s="1" t="s">
        <v>1020</v>
      </c>
      <c r="E1712" s="1" t="str">
        <f>IFERROR(__xludf.DUMMYFUNCTION("IF(LEN(D1712)&gt;4, IFERROR(REGEXEXTRACT(TO_TEXT(D1712),""\d+""),""""),"""")"),"47591")</f>
        <v>47591</v>
      </c>
      <c r="F1712" s="6" t="str">
        <f t="shared" si="3"/>
        <v>Product</v>
      </c>
      <c r="G1712" s="1" t="s">
        <v>1021</v>
      </c>
      <c r="H1712" s="6" t="str">
        <f>IFERROR(__xludf.DUMMYFUNCTION("IF(REGEXMATCH(LOWER(G1712), ""^(\?)+\s*(missing)?\s*(\?)*$""), """", PROPER(SUBSTITUTE(SUBSTITUTE(G1712, ""?"", """"), ""*"", """")))"),"Pink Fairy Cake Childrens Apron")</f>
        <v>Pink Fairy Cake Childrens Apron</v>
      </c>
      <c r="I1712" s="3">
        <v>8.0</v>
      </c>
      <c r="J1712" s="7">
        <v>40598.51875</v>
      </c>
      <c r="K1712" s="8" t="str">
        <f t="shared" si="4"/>
        <v>2011-02</v>
      </c>
      <c r="L1712" s="5">
        <v>1.95</v>
      </c>
      <c r="M1712" s="3">
        <v>14880.0</v>
      </c>
      <c r="N1712" s="1" t="str">
        <f t="shared" si="5"/>
        <v>Registered</v>
      </c>
      <c r="O1712" s="1" t="s">
        <v>19</v>
      </c>
      <c r="P1712" s="9" t="str">
        <f t="shared" si="6"/>
        <v>UK</v>
      </c>
      <c r="Q1712" s="8">
        <f t="shared" si="7"/>
        <v>15.6</v>
      </c>
    </row>
    <row r="1713">
      <c r="A1713" s="1">
        <v>544898.0</v>
      </c>
      <c r="B1713" s="1" t="str">
        <f t="shared" si="1"/>
        <v>544898</v>
      </c>
      <c r="C1713" s="1" t="str">
        <f t="shared" si="2"/>
        <v>Sale</v>
      </c>
      <c r="D1713" s="1">
        <v>22960.0</v>
      </c>
      <c r="E1713" s="1" t="str">
        <f>IFERROR(__xludf.DUMMYFUNCTION("IF(LEN(D1713)&gt;4, IFERROR(REGEXEXTRACT(TO_TEXT(D1713),""\d+""),""""),"""")"),"22960")</f>
        <v>22960</v>
      </c>
      <c r="F1713" s="6" t="str">
        <f t="shared" si="3"/>
        <v>Product</v>
      </c>
      <c r="G1713" s="1" t="s">
        <v>43</v>
      </c>
      <c r="H1713" s="6" t="str">
        <f>IFERROR(__xludf.DUMMYFUNCTION("IF(REGEXMATCH(LOWER(G1713), ""^(\?)+\s*(missing)?\s*(\?)*$""), """", PROPER(SUBSTITUTE(SUBSTITUTE(G1713, ""?"", """"), ""*"", """")))"),"Jam Making Set With Jars")</f>
        <v>Jam Making Set With Jars</v>
      </c>
      <c r="I1713" s="3">
        <v>6.0</v>
      </c>
      <c r="J1713" s="7">
        <v>40598.51875</v>
      </c>
      <c r="K1713" s="8" t="str">
        <f t="shared" si="4"/>
        <v>2011-02</v>
      </c>
      <c r="L1713" s="5">
        <v>4.25</v>
      </c>
      <c r="M1713" s="3">
        <v>14880.0</v>
      </c>
      <c r="N1713" s="1" t="str">
        <f t="shared" si="5"/>
        <v>Registered</v>
      </c>
      <c r="O1713" s="1" t="s">
        <v>19</v>
      </c>
      <c r="P1713" s="9" t="str">
        <f t="shared" si="6"/>
        <v>UK</v>
      </c>
      <c r="Q1713" s="8">
        <f t="shared" si="7"/>
        <v>25.5</v>
      </c>
    </row>
    <row r="1714">
      <c r="A1714" s="1">
        <v>544898.0</v>
      </c>
      <c r="B1714" s="1" t="str">
        <f t="shared" si="1"/>
        <v>544898</v>
      </c>
      <c r="C1714" s="1" t="str">
        <f t="shared" si="2"/>
        <v>Sale</v>
      </c>
      <c r="D1714" s="1">
        <v>22966.0</v>
      </c>
      <c r="E1714" s="1" t="str">
        <f>IFERROR(__xludf.DUMMYFUNCTION("IF(LEN(D1714)&gt;4, IFERROR(REGEXEXTRACT(TO_TEXT(D1714),""\d+""),""""),"""")"),"22966")</f>
        <v>22966</v>
      </c>
      <c r="F1714" s="6" t="str">
        <f t="shared" si="3"/>
        <v>Product</v>
      </c>
      <c r="G1714" s="1" t="s">
        <v>779</v>
      </c>
      <c r="H1714" s="6" t="str">
        <f>IFERROR(__xludf.DUMMYFUNCTION("IF(REGEXMATCH(LOWER(G1714), ""^(\?)+\s*(missing)?\s*(\?)*$""), """", PROPER(SUBSTITUTE(SUBSTITUTE(G1714, ""?"", """"), ""*"", """")))"),"Gingerbread Man Cookie Cutter")</f>
        <v>Gingerbread Man Cookie Cutter</v>
      </c>
      <c r="I1714" s="3">
        <v>12.0</v>
      </c>
      <c r="J1714" s="7">
        <v>40598.51875</v>
      </c>
      <c r="K1714" s="8" t="str">
        <f t="shared" si="4"/>
        <v>2011-02</v>
      </c>
      <c r="L1714" s="5">
        <v>1.25</v>
      </c>
      <c r="M1714" s="3">
        <v>14880.0</v>
      </c>
      <c r="N1714" s="1" t="str">
        <f t="shared" si="5"/>
        <v>Registered</v>
      </c>
      <c r="O1714" s="1" t="s">
        <v>19</v>
      </c>
      <c r="P1714" s="9" t="str">
        <f t="shared" si="6"/>
        <v>UK</v>
      </c>
      <c r="Q1714" s="8">
        <f t="shared" si="7"/>
        <v>15</v>
      </c>
    </row>
    <row r="1715">
      <c r="A1715" s="1">
        <v>544898.0</v>
      </c>
      <c r="B1715" s="1" t="str">
        <f t="shared" si="1"/>
        <v>544898</v>
      </c>
      <c r="C1715" s="1" t="str">
        <f t="shared" si="2"/>
        <v>Sale</v>
      </c>
      <c r="D1715" s="1">
        <v>22993.0</v>
      </c>
      <c r="E1715" s="1" t="str">
        <f>IFERROR(__xludf.DUMMYFUNCTION("IF(LEN(D1715)&gt;4, IFERROR(REGEXEXTRACT(TO_TEXT(D1715),""\d+""),""""),"""")"),"22993")</f>
        <v>22993</v>
      </c>
      <c r="F1715" s="6" t="str">
        <f t="shared" si="3"/>
        <v>Product</v>
      </c>
      <c r="G1715" s="1" t="s">
        <v>709</v>
      </c>
      <c r="H1715" s="6" t="str">
        <f>IFERROR(__xludf.DUMMYFUNCTION("IF(REGEXMATCH(LOWER(G1715), ""^(\?)+\s*(missing)?\s*(\?)*$""), """", PROPER(SUBSTITUTE(SUBSTITUTE(G1715, ""?"", """"), ""*"", """")))"),"Set Of 4 Pantry Jelly Moulds")</f>
        <v>Set Of 4 Pantry Jelly Moulds</v>
      </c>
      <c r="I1715" s="3">
        <v>12.0</v>
      </c>
      <c r="J1715" s="7">
        <v>40598.51875</v>
      </c>
      <c r="K1715" s="8" t="str">
        <f t="shared" si="4"/>
        <v>2011-02</v>
      </c>
      <c r="L1715" s="5">
        <v>1.25</v>
      </c>
      <c r="M1715" s="3">
        <v>14880.0</v>
      </c>
      <c r="N1715" s="1" t="str">
        <f t="shared" si="5"/>
        <v>Registered</v>
      </c>
      <c r="O1715" s="1" t="s">
        <v>19</v>
      </c>
      <c r="P1715" s="9" t="str">
        <f t="shared" si="6"/>
        <v>UK</v>
      </c>
      <c r="Q1715" s="8">
        <f t="shared" si="7"/>
        <v>15</v>
      </c>
    </row>
    <row r="1716">
      <c r="A1716" s="1">
        <v>544898.0</v>
      </c>
      <c r="B1716" s="1" t="str">
        <f t="shared" si="1"/>
        <v>544898</v>
      </c>
      <c r="C1716" s="1" t="str">
        <f t="shared" si="2"/>
        <v>Sale</v>
      </c>
      <c r="D1716" s="1">
        <v>22907.0</v>
      </c>
      <c r="E1716" s="1" t="str">
        <f>IFERROR(__xludf.DUMMYFUNCTION("IF(LEN(D1716)&gt;4, IFERROR(REGEXEXTRACT(TO_TEXT(D1716),""\d+""),""""),"""")"),"22907")</f>
        <v>22907</v>
      </c>
      <c r="F1716" s="6" t="str">
        <f t="shared" si="3"/>
        <v>Product</v>
      </c>
      <c r="G1716" s="1" t="s">
        <v>691</v>
      </c>
      <c r="H1716" s="6" t="str">
        <f>IFERROR(__xludf.DUMMYFUNCTION("IF(REGEXMATCH(LOWER(G1716), ""^(\?)+\s*(missing)?\s*(\?)*$""), """", PROPER(SUBSTITUTE(SUBSTITUTE(G1716, ""?"", """"), ""*"", """")))"),"Pack Of 20 Napkins Pantry Design")</f>
        <v>Pack Of 20 Napkins Pantry Design</v>
      </c>
      <c r="I1716" s="3">
        <v>12.0</v>
      </c>
      <c r="J1716" s="7">
        <v>40598.51875</v>
      </c>
      <c r="K1716" s="8" t="str">
        <f t="shared" si="4"/>
        <v>2011-02</v>
      </c>
      <c r="L1716" s="5">
        <v>0.85</v>
      </c>
      <c r="M1716" s="3">
        <v>14880.0</v>
      </c>
      <c r="N1716" s="1" t="str">
        <f t="shared" si="5"/>
        <v>Registered</v>
      </c>
      <c r="O1716" s="1" t="s">
        <v>19</v>
      </c>
      <c r="P1716" s="9" t="str">
        <f t="shared" si="6"/>
        <v>UK</v>
      </c>
      <c r="Q1716" s="8">
        <f t="shared" si="7"/>
        <v>10.2</v>
      </c>
    </row>
    <row r="1717">
      <c r="A1717" s="1">
        <v>544898.0</v>
      </c>
      <c r="B1717" s="1" t="str">
        <f t="shared" si="1"/>
        <v>544898</v>
      </c>
      <c r="C1717" s="1" t="str">
        <f t="shared" si="2"/>
        <v>Sale</v>
      </c>
      <c r="D1717" s="1">
        <v>48188.0</v>
      </c>
      <c r="E1717" s="1" t="str">
        <f>IFERROR(__xludf.DUMMYFUNCTION("IF(LEN(D1717)&gt;4, IFERROR(REGEXEXTRACT(TO_TEXT(D1717),""\d+""),""""),"""")"),"48188")</f>
        <v>48188</v>
      </c>
      <c r="F1717" s="6" t="str">
        <f t="shared" si="3"/>
        <v>Product</v>
      </c>
      <c r="G1717" s="1" t="s">
        <v>1022</v>
      </c>
      <c r="H1717" s="6" t="str">
        <f>IFERROR(__xludf.DUMMYFUNCTION("IF(REGEXMATCH(LOWER(G1717), ""^(\?)+\s*(missing)?\s*(\?)*$""), """", PROPER(SUBSTITUTE(SUBSTITUTE(G1717, ""?"", """"), ""*"", """")))"),"Doormat Welcome Puppies")</f>
        <v>Doormat Welcome Puppies</v>
      </c>
      <c r="I1717" s="3">
        <v>2.0</v>
      </c>
      <c r="J1717" s="7">
        <v>40598.51875</v>
      </c>
      <c r="K1717" s="8" t="str">
        <f t="shared" si="4"/>
        <v>2011-02</v>
      </c>
      <c r="L1717" s="5">
        <v>7.95</v>
      </c>
      <c r="M1717" s="3">
        <v>14880.0</v>
      </c>
      <c r="N1717" s="1" t="str">
        <f t="shared" si="5"/>
        <v>Registered</v>
      </c>
      <c r="O1717" s="1" t="s">
        <v>19</v>
      </c>
      <c r="P1717" s="9" t="str">
        <f t="shared" si="6"/>
        <v>UK</v>
      </c>
      <c r="Q1717" s="8">
        <f t="shared" si="7"/>
        <v>15.9</v>
      </c>
    </row>
    <row r="1718">
      <c r="A1718" s="1" t="s">
        <v>1023</v>
      </c>
      <c r="B1718" s="1" t="str">
        <f t="shared" si="1"/>
        <v>544897</v>
      </c>
      <c r="C1718" s="1" t="str">
        <f t="shared" si="2"/>
        <v>Return</v>
      </c>
      <c r="D1718" s="1">
        <v>21633.0</v>
      </c>
      <c r="E1718" s="1" t="str">
        <f>IFERROR(__xludf.DUMMYFUNCTION("IF(LEN(D1718)&gt;4, IFERROR(REGEXEXTRACT(TO_TEXT(D1718),""\d+""),""""),"""")"),"21633")</f>
        <v>21633</v>
      </c>
      <c r="F1718" s="6" t="str">
        <f t="shared" si="3"/>
        <v>Product</v>
      </c>
      <c r="G1718" s="1" t="s">
        <v>1019</v>
      </c>
      <c r="H1718" s="6" t="str">
        <f>IFERROR(__xludf.DUMMYFUNCTION("IF(REGEXMATCH(LOWER(G1718), ""^(\?)+\s*(missing)?\s*(\?)*$""), """", PROPER(SUBSTITUTE(SUBSTITUTE(G1718, ""?"", """"), ""*"", """")))"),"Sunflower Decorative Parasol")</f>
        <v>Sunflower Decorative Parasol</v>
      </c>
      <c r="I1718" s="3">
        <v>-1.0</v>
      </c>
      <c r="J1718" s="7">
        <v>40598.51875</v>
      </c>
      <c r="K1718" s="8" t="str">
        <f t="shared" si="4"/>
        <v>2011-02</v>
      </c>
      <c r="L1718" s="5">
        <v>12.75</v>
      </c>
      <c r="M1718" s="3">
        <v>17867.0</v>
      </c>
      <c r="N1718" s="1" t="str">
        <f t="shared" si="5"/>
        <v>Registered</v>
      </c>
      <c r="O1718" s="1" t="s">
        <v>19</v>
      </c>
      <c r="P1718" s="9" t="str">
        <f t="shared" si="6"/>
        <v>UK</v>
      </c>
      <c r="Q1718" s="8">
        <f t="shared" si="7"/>
        <v>-12.75</v>
      </c>
    </row>
    <row r="1719">
      <c r="A1719" s="1">
        <v>544899.0</v>
      </c>
      <c r="B1719" s="1" t="str">
        <f t="shared" si="1"/>
        <v>544899</v>
      </c>
      <c r="C1719" s="1" t="str">
        <f t="shared" si="2"/>
        <v>Sale</v>
      </c>
      <c r="D1719" s="1">
        <v>22059.0</v>
      </c>
      <c r="E1719" s="1" t="str">
        <f>IFERROR(__xludf.DUMMYFUNCTION("IF(LEN(D1719)&gt;4, IFERROR(REGEXEXTRACT(TO_TEXT(D1719),""\d+""),""""),"""")"),"22059")</f>
        <v>22059</v>
      </c>
      <c r="F1719" s="6" t="str">
        <f t="shared" si="3"/>
        <v>Product</v>
      </c>
      <c r="G1719" s="1" t="s">
        <v>529</v>
      </c>
      <c r="H1719" s="6" t="str">
        <f>IFERROR(__xludf.DUMMYFUNCTION("IF(REGEXMATCH(LOWER(G1719), ""^(\?)+\s*(missing)?\s*(\?)*$""), """", PROPER(SUBSTITUTE(SUBSTITUTE(G1719, ""?"", """"), ""*"", """")))"),"Ceramic Strawberry Design Mug")</f>
        <v>Ceramic Strawberry Design Mug</v>
      </c>
      <c r="I1719" s="3">
        <v>12.0</v>
      </c>
      <c r="J1719" s="7">
        <v>40598.52222222222</v>
      </c>
      <c r="K1719" s="8" t="str">
        <f t="shared" si="4"/>
        <v>2011-02</v>
      </c>
      <c r="L1719" s="5">
        <v>1.49</v>
      </c>
      <c r="M1719" s="3">
        <v>13118.0</v>
      </c>
      <c r="N1719" s="1" t="str">
        <f t="shared" si="5"/>
        <v>Registered</v>
      </c>
      <c r="O1719" s="1" t="s">
        <v>19</v>
      </c>
      <c r="P1719" s="9" t="str">
        <f t="shared" si="6"/>
        <v>UK</v>
      </c>
      <c r="Q1719" s="8">
        <f t="shared" si="7"/>
        <v>17.88</v>
      </c>
    </row>
    <row r="1720">
      <c r="A1720" s="1">
        <v>544899.0</v>
      </c>
      <c r="B1720" s="1" t="str">
        <f t="shared" si="1"/>
        <v>544899</v>
      </c>
      <c r="C1720" s="1" t="str">
        <f t="shared" si="2"/>
        <v>Sale</v>
      </c>
      <c r="D1720" s="1">
        <v>37448.0</v>
      </c>
      <c r="E1720" s="1" t="str">
        <f>IFERROR(__xludf.DUMMYFUNCTION("IF(LEN(D1720)&gt;4, IFERROR(REGEXEXTRACT(TO_TEXT(D1720),""\d+""),""""),"""")"),"37448")</f>
        <v>37448</v>
      </c>
      <c r="F1720" s="6" t="str">
        <f t="shared" si="3"/>
        <v>Product</v>
      </c>
      <c r="G1720" s="1" t="s">
        <v>1024</v>
      </c>
      <c r="H1720" s="6" t="str">
        <f>IFERROR(__xludf.DUMMYFUNCTION("IF(REGEXMATCH(LOWER(G1720), ""^(\?)+\s*(missing)?\s*(\?)*$""), """", PROPER(SUBSTITUTE(SUBSTITUTE(G1720, ""?"", """"), ""*"", """")))"),"Ceramic Cake Design Spotted Mug")</f>
        <v>Ceramic Cake Design Spotted Mug</v>
      </c>
      <c r="I1720" s="3">
        <v>6.0</v>
      </c>
      <c r="J1720" s="7">
        <v>40598.52222222222</v>
      </c>
      <c r="K1720" s="8" t="str">
        <f t="shared" si="4"/>
        <v>2011-02</v>
      </c>
      <c r="L1720" s="5">
        <v>1.49</v>
      </c>
      <c r="M1720" s="3">
        <v>13118.0</v>
      </c>
      <c r="N1720" s="1" t="str">
        <f t="shared" si="5"/>
        <v>Registered</v>
      </c>
      <c r="O1720" s="1" t="s">
        <v>19</v>
      </c>
      <c r="P1720" s="9" t="str">
        <f t="shared" si="6"/>
        <v>UK</v>
      </c>
      <c r="Q1720" s="8">
        <f t="shared" si="7"/>
        <v>8.94</v>
      </c>
    </row>
    <row r="1721">
      <c r="A1721" s="1">
        <v>544899.0</v>
      </c>
      <c r="B1721" s="1" t="str">
        <f t="shared" si="1"/>
        <v>544899</v>
      </c>
      <c r="C1721" s="1" t="str">
        <f t="shared" si="2"/>
        <v>Sale</v>
      </c>
      <c r="D1721" s="1">
        <v>22057.0</v>
      </c>
      <c r="E1721" s="1" t="str">
        <f>IFERROR(__xludf.DUMMYFUNCTION("IF(LEN(D1721)&gt;4, IFERROR(REGEXEXTRACT(TO_TEXT(D1721),""\d+""),""""),"""")"),"22057")</f>
        <v>22057</v>
      </c>
      <c r="F1721" s="6" t="str">
        <f t="shared" si="3"/>
        <v>Product</v>
      </c>
      <c r="G1721" s="1" t="s">
        <v>853</v>
      </c>
      <c r="H1721" s="6" t="str">
        <f>IFERROR(__xludf.DUMMYFUNCTION("IF(REGEXMATCH(LOWER(G1721), ""^(\?)+\s*(missing)?\s*(\?)*$""), """", PROPER(SUBSTITUTE(SUBSTITUTE(G1721, ""?"", """"), ""*"", """")))"),"Ceramic Plate Strawberry Design")</f>
        <v>Ceramic Plate Strawberry Design</v>
      </c>
      <c r="I1721" s="3">
        <v>8.0</v>
      </c>
      <c r="J1721" s="7">
        <v>40598.52222222222</v>
      </c>
      <c r="K1721" s="8" t="str">
        <f t="shared" si="4"/>
        <v>2011-02</v>
      </c>
      <c r="L1721" s="5">
        <v>1.49</v>
      </c>
      <c r="M1721" s="3">
        <v>13118.0</v>
      </c>
      <c r="N1721" s="1" t="str">
        <f t="shared" si="5"/>
        <v>Registered</v>
      </c>
      <c r="O1721" s="1" t="s">
        <v>19</v>
      </c>
      <c r="P1721" s="9" t="str">
        <f t="shared" si="6"/>
        <v>UK</v>
      </c>
      <c r="Q1721" s="8">
        <f t="shared" si="7"/>
        <v>11.92</v>
      </c>
    </row>
    <row r="1722">
      <c r="A1722" s="1">
        <v>544899.0</v>
      </c>
      <c r="B1722" s="1" t="str">
        <f t="shared" si="1"/>
        <v>544899</v>
      </c>
      <c r="C1722" s="1" t="str">
        <f t="shared" si="2"/>
        <v>Sale</v>
      </c>
      <c r="D1722" s="1">
        <v>37447.0</v>
      </c>
      <c r="E1722" s="1" t="str">
        <f>IFERROR(__xludf.DUMMYFUNCTION("IF(LEN(D1722)&gt;4, IFERROR(REGEXEXTRACT(TO_TEXT(D1722),""\d+""),""""),"""")"),"37447")</f>
        <v>37447</v>
      </c>
      <c r="F1722" s="6" t="str">
        <f t="shared" si="3"/>
        <v>Product</v>
      </c>
      <c r="G1722" s="1" t="s">
        <v>1025</v>
      </c>
      <c r="H1722" s="6" t="str">
        <f>IFERROR(__xludf.DUMMYFUNCTION("IF(REGEXMATCH(LOWER(G1722), ""^(\?)+\s*(missing)?\s*(\?)*$""), """", PROPER(SUBSTITUTE(SUBSTITUTE(G1722, ""?"", """"), ""*"", """")))"),"Ceramic Cake Design Spotted Plate")</f>
        <v>Ceramic Cake Design Spotted Plate</v>
      </c>
      <c r="I1722" s="3">
        <v>6.0</v>
      </c>
      <c r="J1722" s="7">
        <v>40598.52222222222</v>
      </c>
      <c r="K1722" s="8" t="str">
        <f t="shared" si="4"/>
        <v>2011-02</v>
      </c>
      <c r="L1722" s="5">
        <v>1.49</v>
      </c>
      <c r="M1722" s="3">
        <v>13118.0</v>
      </c>
      <c r="N1722" s="1" t="str">
        <f t="shared" si="5"/>
        <v>Registered</v>
      </c>
      <c r="O1722" s="1" t="s">
        <v>19</v>
      </c>
      <c r="P1722" s="9" t="str">
        <f t="shared" si="6"/>
        <v>UK</v>
      </c>
      <c r="Q1722" s="8">
        <f t="shared" si="7"/>
        <v>8.94</v>
      </c>
    </row>
    <row r="1723">
      <c r="A1723" s="1">
        <v>544899.0</v>
      </c>
      <c r="B1723" s="1" t="str">
        <f t="shared" si="1"/>
        <v>544899</v>
      </c>
      <c r="C1723" s="1" t="str">
        <f t="shared" si="2"/>
        <v>Sale</v>
      </c>
      <c r="D1723" s="1">
        <v>22278.0</v>
      </c>
      <c r="E1723" s="1" t="str">
        <f>IFERROR(__xludf.DUMMYFUNCTION("IF(LEN(D1723)&gt;4, IFERROR(REGEXEXTRACT(TO_TEXT(D1723),""\d+""),""""),"""")"),"22278")</f>
        <v>22278</v>
      </c>
      <c r="F1723" s="6" t="str">
        <f t="shared" si="3"/>
        <v>Product</v>
      </c>
      <c r="G1723" s="1" t="s">
        <v>1026</v>
      </c>
      <c r="H1723" s="6" t="str">
        <f>IFERROR(__xludf.DUMMYFUNCTION("IF(REGEXMATCH(LOWER(G1723), ""^(\?)+\s*(missing)?\s*(\?)*$""), """", PROPER(SUBSTITUTE(SUBSTITUTE(G1723, ""?"", """"), ""*"", """")))"),"Overnight Bag Vintage Rose Paisley")</f>
        <v>Overnight Bag Vintage Rose Paisley</v>
      </c>
      <c r="I1723" s="3">
        <v>5.0</v>
      </c>
      <c r="J1723" s="7">
        <v>40598.52222222222</v>
      </c>
      <c r="K1723" s="8" t="str">
        <f t="shared" si="4"/>
        <v>2011-02</v>
      </c>
      <c r="L1723" s="5">
        <v>4.95</v>
      </c>
      <c r="M1723" s="3">
        <v>13118.0</v>
      </c>
      <c r="N1723" s="1" t="str">
        <f t="shared" si="5"/>
        <v>Registered</v>
      </c>
      <c r="O1723" s="1" t="s">
        <v>19</v>
      </c>
      <c r="P1723" s="9" t="str">
        <f t="shared" si="6"/>
        <v>UK</v>
      </c>
      <c r="Q1723" s="8">
        <f t="shared" si="7"/>
        <v>24.75</v>
      </c>
    </row>
    <row r="1724">
      <c r="A1724" s="1">
        <v>544899.0</v>
      </c>
      <c r="B1724" s="1" t="str">
        <f t="shared" si="1"/>
        <v>544899</v>
      </c>
      <c r="C1724" s="1" t="str">
        <f t="shared" si="2"/>
        <v>Sale</v>
      </c>
      <c r="D1724" s="1">
        <v>20619.0</v>
      </c>
      <c r="E1724" s="1" t="str">
        <f>IFERROR(__xludf.DUMMYFUNCTION("IF(LEN(D1724)&gt;4, IFERROR(REGEXEXTRACT(TO_TEXT(D1724),""\d+""),""""),"""")"),"20619")</f>
        <v>20619</v>
      </c>
      <c r="F1724" s="6" t="str">
        <f t="shared" si="3"/>
        <v>Product</v>
      </c>
      <c r="G1724" s="1" t="s">
        <v>1027</v>
      </c>
      <c r="H1724" s="6" t="str">
        <f>IFERROR(__xludf.DUMMYFUNCTION("IF(REGEXMATCH(LOWER(G1724), ""^(\?)+\s*(missing)?\s*(\?)*$""), """", PROPER(SUBSTITUTE(SUBSTITUTE(G1724, ""?"", """"), ""*"", """")))"),"Tropical Passport Cover")</f>
        <v>Tropical Passport Cover</v>
      </c>
      <c r="I1724" s="3">
        <v>6.0</v>
      </c>
      <c r="J1724" s="7">
        <v>40598.52222222222</v>
      </c>
      <c r="K1724" s="8" t="str">
        <f t="shared" si="4"/>
        <v>2011-02</v>
      </c>
      <c r="L1724" s="5">
        <v>2.1</v>
      </c>
      <c r="M1724" s="3">
        <v>13118.0</v>
      </c>
      <c r="N1724" s="1" t="str">
        <f t="shared" si="5"/>
        <v>Registered</v>
      </c>
      <c r="O1724" s="1" t="s">
        <v>19</v>
      </c>
      <c r="P1724" s="9" t="str">
        <f t="shared" si="6"/>
        <v>UK</v>
      </c>
      <c r="Q1724" s="8">
        <f t="shared" si="7"/>
        <v>12.6</v>
      </c>
    </row>
    <row r="1725">
      <c r="A1725" s="1">
        <v>544899.0</v>
      </c>
      <c r="B1725" s="1" t="str">
        <f t="shared" si="1"/>
        <v>544899</v>
      </c>
      <c r="C1725" s="1" t="str">
        <f t="shared" si="2"/>
        <v>Sale</v>
      </c>
      <c r="D1725" s="1">
        <v>21865.0</v>
      </c>
      <c r="E1725" s="1" t="str">
        <f>IFERROR(__xludf.DUMMYFUNCTION("IF(LEN(D1725)&gt;4, IFERROR(REGEXEXTRACT(TO_TEXT(D1725),""\d+""),""""),"""")"),"21865")</f>
        <v>21865</v>
      </c>
      <c r="F1725" s="6" t="str">
        <f t="shared" si="3"/>
        <v>Product</v>
      </c>
      <c r="G1725" s="1" t="s">
        <v>1028</v>
      </c>
      <c r="H1725" s="6" t="str">
        <f>IFERROR(__xludf.DUMMYFUNCTION("IF(REGEXMATCH(LOWER(G1725), ""^(\?)+\s*(missing)?\s*(\?)*$""), """", PROPER(SUBSTITUTE(SUBSTITUTE(G1725, ""?"", """"), ""*"", """")))"),"Pink Union Jack Passport Cover")</f>
        <v>Pink Union Jack Passport Cover</v>
      </c>
      <c r="I1725" s="3">
        <v>6.0</v>
      </c>
      <c r="J1725" s="7">
        <v>40598.52222222222</v>
      </c>
      <c r="K1725" s="8" t="str">
        <f t="shared" si="4"/>
        <v>2011-02</v>
      </c>
      <c r="L1725" s="5">
        <v>2.1</v>
      </c>
      <c r="M1725" s="3">
        <v>13118.0</v>
      </c>
      <c r="N1725" s="1" t="str">
        <f t="shared" si="5"/>
        <v>Registered</v>
      </c>
      <c r="O1725" s="1" t="s">
        <v>19</v>
      </c>
      <c r="P1725" s="9" t="str">
        <f t="shared" si="6"/>
        <v>UK</v>
      </c>
      <c r="Q1725" s="8">
        <f t="shared" si="7"/>
        <v>12.6</v>
      </c>
    </row>
    <row r="1726">
      <c r="A1726" s="1">
        <v>544899.0</v>
      </c>
      <c r="B1726" s="1" t="str">
        <f t="shared" si="1"/>
        <v>544899</v>
      </c>
      <c r="C1726" s="1" t="str">
        <f t="shared" si="2"/>
        <v>Sale</v>
      </c>
      <c r="D1726" s="1">
        <v>21864.0</v>
      </c>
      <c r="E1726" s="1" t="str">
        <f>IFERROR(__xludf.DUMMYFUNCTION("IF(LEN(D1726)&gt;4, IFERROR(REGEXEXTRACT(TO_TEXT(D1726),""\d+""),""""),"""")"),"21864")</f>
        <v>21864</v>
      </c>
      <c r="F1726" s="6" t="str">
        <f t="shared" si="3"/>
        <v>Product</v>
      </c>
      <c r="G1726" s="1" t="s">
        <v>1029</v>
      </c>
      <c r="H1726" s="6" t="str">
        <f>IFERROR(__xludf.DUMMYFUNCTION("IF(REGEXMATCH(LOWER(G1726), ""^(\?)+\s*(missing)?\s*(\?)*$""), """", PROPER(SUBSTITUTE(SUBSTITUTE(G1726, ""?"", """"), ""*"", """")))"),"Union Jack Flag Passport Cover")</f>
        <v>Union Jack Flag Passport Cover</v>
      </c>
      <c r="I1726" s="3">
        <v>6.0</v>
      </c>
      <c r="J1726" s="7">
        <v>40598.52222222222</v>
      </c>
      <c r="K1726" s="8" t="str">
        <f t="shared" si="4"/>
        <v>2011-02</v>
      </c>
      <c r="L1726" s="5">
        <v>2.1</v>
      </c>
      <c r="M1726" s="3">
        <v>13118.0</v>
      </c>
      <c r="N1726" s="1" t="str">
        <f t="shared" si="5"/>
        <v>Registered</v>
      </c>
      <c r="O1726" s="1" t="s">
        <v>19</v>
      </c>
      <c r="P1726" s="9" t="str">
        <f t="shared" si="6"/>
        <v>UK</v>
      </c>
      <c r="Q1726" s="8">
        <f t="shared" si="7"/>
        <v>12.6</v>
      </c>
    </row>
    <row r="1727">
      <c r="A1727" s="1">
        <v>544899.0</v>
      </c>
      <c r="B1727" s="1" t="str">
        <f t="shared" si="1"/>
        <v>544899</v>
      </c>
      <c r="C1727" s="1" t="str">
        <f t="shared" si="2"/>
        <v>Sale</v>
      </c>
      <c r="D1727" s="1">
        <v>21867.0</v>
      </c>
      <c r="E1727" s="1" t="str">
        <f>IFERROR(__xludf.DUMMYFUNCTION("IF(LEN(D1727)&gt;4, IFERROR(REGEXEXTRACT(TO_TEXT(D1727),""\d+""),""""),"""")"),"21867")</f>
        <v>21867</v>
      </c>
      <c r="F1727" s="6" t="str">
        <f t="shared" si="3"/>
        <v>Product</v>
      </c>
      <c r="G1727" s="1" t="s">
        <v>418</v>
      </c>
      <c r="H1727" s="6" t="str">
        <f>IFERROR(__xludf.DUMMYFUNCTION("IF(REGEXMATCH(LOWER(G1727), ""^(\?)+\s*(missing)?\s*(\?)*$""), """", PROPER(SUBSTITUTE(SUBSTITUTE(G1727, ""?"", """"), ""*"", """")))"),"Pink Union Jack Luggage Tag")</f>
        <v>Pink Union Jack Luggage Tag</v>
      </c>
      <c r="I1727" s="3">
        <v>12.0</v>
      </c>
      <c r="J1727" s="7">
        <v>40598.52222222222</v>
      </c>
      <c r="K1727" s="8" t="str">
        <f t="shared" si="4"/>
        <v>2011-02</v>
      </c>
      <c r="L1727" s="5">
        <v>1.25</v>
      </c>
      <c r="M1727" s="3">
        <v>13118.0</v>
      </c>
      <c r="N1727" s="1" t="str">
        <f t="shared" si="5"/>
        <v>Registered</v>
      </c>
      <c r="O1727" s="1" t="s">
        <v>19</v>
      </c>
      <c r="P1727" s="9" t="str">
        <f t="shared" si="6"/>
        <v>UK</v>
      </c>
      <c r="Q1727" s="8">
        <f t="shared" si="7"/>
        <v>15</v>
      </c>
    </row>
    <row r="1728">
      <c r="A1728" s="1">
        <v>544899.0</v>
      </c>
      <c r="B1728" s="1" t="str">
        <f t="shared" si="1"/>
        <v>544899</v>
      </c>
      <c r="C1728" s="1" t="str">
        <f t="shared" si="2"/>
        <v>Sale</v>
      </c>
      <c r="D1728" s="1">
        <v>20657.0</v>
      </c>
      <c r="E1728" s="1" t="str">
        <f>IFERROR(__xludf.DUMMYFUNCTION("IF(LEN(D1728)&gt;4, IFERROR(REGEXEXTRACT(TO_TEXT(D1728),""\d+""),""""),"""")"),"20657")</f>
        <v>20657</v>
      </c>
      <c r="F1728" s="6" t="str">
        <f t="shared" si="3"/>
        <v>Product</v>
      </c>
      <c r="G1728" s="1" t="s">
        <v>1030</v>
      </c>
      <c r="H1728" s="6" t="str">
        <f>IFERROR(__xludf.DUMMYFUNCTION("IF(REGEXMATCH(LOWER(G1728), ""^(\?)+\s*(missing)?\s*(\?)*$""), """", PROPER(SUBSTITUTE(SUBSTITUTE(G1728, ""?"", """"), ""*"", """")))"),"Tropical Luggage Tag")</f>
        <v>Tropical Luggage Tag</v>
      </c>
      <c r="I1728" s="3">
        <v>12.0</v>
      </c>
      <c r="J1728" s="7">
        <v>40598.52222222222</v>
      </c>
      <c r="K1728" s="8" t="str">
        <f t="shared" si="4"/>
        <v>2011-02</v>
      </c>
      <c r="L1728" s="5">
        <v>1.25</v>
      </c>
      <c r="M1728" s="3">
        <v>13118.0</v>
      </c>
      <c r="N1728" s="1" t="str">
        <f t="shared" si="5"/>
        <v>Registered</v>
      </c>
      <c r="O1728" s="1" t="s">
        <v>19</v>
      </c>
      <c r="P1728" s="9" t="str">
        <f t="shared" si="6"/>
        <v>UK</v>
      </c>
      <c r="Q1728" s="8">
        <f t="shared" si="7"/>
        <v>15</v>
      </c>
    </row>
    <row r="1729">
      <c r="A1729" s="1">
        <v>544899.0</v>
      </c>
      <c r="B1729" s="1" t="str">
        <f t="shared" si="1"/>
        <v>544899</v>
      </c>
      <c r="C1729" s="1" t="str">
        <f t="shared" si="2"/>
        <v>Sale</v>
      </c>
      <c r="D1729" s="1">
        <v>21866.0</v>
      </c>
      <c r="E1729" s="1" t="str">
        <f>IFERROR(__xludf.DUMMYFUNCTION("IF(LEN(D1729)&gt;4, IFERROR(REGEXEXTRACT(TO_TEXT(D1729),""\d+""),""""),"""")"),"21866")</f>
        <v>21866</v>
      </c>
      <c r="F1729" s="6" t="str">
        <f t="shared" si="3"/>
        <v>Product</v>
      </c>
      <c r="G1729" s="1" t="s">
        <v>399</v>
      </c>
      <c r="H1729" s="6" t="str">
        <f>IFERROR(__xludf.DUMMYFUNCTION("IF(REGEXMATCH(LOWER(G1729), ""^(\?)+\s*(missing)?\s*(\?)*$""), """", PROPER(SUBSTITUTE(SUBSTITUTE(G1729, ""?"", """"), ""*"", """")))"),"Union Jack Flag Luggage Tag")</f>
        <v>Union Jack Flag Luggage Tag</v>
      </c>
      <c r="I1729" s="3">
        <v>12.0</v>
      </c>
      <c r="J1729" s="7">
        <v>40598.52222222222</v>
      </c>
      <c r="K1729" s="8" t="str">
        <f t="shared" si="4"/>
        <v>2011-02</v>
      </c>
      <c r="L1729" s="5">
        <v>1.25</v>
      </c>
      <c r="M1729" s="3">
        <v>13118.0</v>
      </c>
      <c r="N1729" s="1" t="str">
        <f t="shared" si="5"/>
        <v>Registered</v>
      </c>
      <c r="O1729" s="1" t="s">
        <v>19</v>
      </c>
      <c r="P1729" s="9" t="str">
        <f t="shared" si="6"/>
        <v>UK</v>
      </c>
      <c r="Q1729" s="8">
        <f t="shared" si="7"/>
        <v>15</v>
      </c>
    </row>
    <row r="1730">
      <c r="A1730" s="1">
        <v>544899.0</v>
      </c>
      <c r="B1730" s="1" t="str">
        <f t="shared" si="1"/>
        <v>544899</v>
      </c>
      <c r="C1730" s="1" t="str">
        <f t="shared" si="2"/>
        <v>Sale</v>
      </c>
      <c r="D1730" s="1">
        <v>22928.0</v>
      </c>
      <c r="E1730" s="1" t="str">
        <f>IFERROR(__xludf.DUMMYFUNCTION("IF(LEN(D1730)&gt;4, IFERROR(REGEXEXTRACT(TO_TEXT(D1730),""\d+""),""""),"""")"),"22928")</f>
        <v>22928</v>
      </c>
      <c r="F1730" s="6" t="str">
        <f t="shared" si="3"/>
        <v>Product</v>
      </c>
      <c r="G1730" s="1" t="s">
        <v>1031</v>
      </c>
      <c r="H1730" s="6" t="str">
        <f>IFERROR(__xludf.DUMMYFUNCTION("IF(REGEXMATCH(LOWER(G1730), ""^(\?)+\s*(missing)?\s*(\?)*$""), """", PROPER(SUBSTITUTE(SUBSTITUTE(G1730, ""?"", """"), ""*"", """")))"),"Yellow Giant Garden Thermometer")</f>
        <v>Yellow Giant Garden Thermometer</v>
      </c>
      <c r="I1730" s="3">
        <v>2.0</v>
      </c>
      <c r="J1730" s="7">
        <v>40598.52222222222</v>
      </c>
      <c r="K1730" s="8" t="str">
        <f t="shared" si="4"/>
        <v>2011-02</v>
      </c>
      <c r="L1730" s="5">
        <v>5.95</v>
      </c>
      <c r="M1730" s="3">
        <v>13118.0</v>
      </c>
      <c r="N1730" s="1" t="str">
        <f t="shared" si="5"/>
        <v>Registered</v>
      </c>
      <c r="O1730" s="1" t="s">
        <v>19</v>
      </c>
      <c r="P1730" s="9" t="str">
        <f t="shared" si="6"/>
        <v>UK</v>
      </c>
      <c r="Q1730" s="8">
        <f t="shared" si="7"/>
        <v>11.9</v>
      </c>
    </row>
    <row r="1731">
      <c r="A1731" s="1">
        <v>544899.0</v>
      </c>
      <c r="B1731" s="1" t="str">
        <f t="shared" si="1"/>
        <v>544899</v>
      </c>
      <c r="C1731" s="1" t="str">
        <f t="shared" si="2"/>
        <v>Sale</v>
      </c>
      <c r="D1731" s="1">
        <v>22925.0</v>
      </c>
      <c r="E1731" s="1" t="str">
        <f>IFERROR(__xludf.DUMMYFUNCTION("IF(LEN(D1731)&gt;4, IFERROR(REGEXEXTRACT(TO_TEXT(D1731),""\d+""),""""),"""")"),"22925")</f>
        <v>22925</v>
      </c>
      <c r="F1731" s="6" t="str">
        <f t="shared" si="3"/>
        <v>Product</v>
      </c>
      <c r="G1731" s="1" t="s">
        <v>555</v>
      </c>
      <c r="H1731" s="6" t="str">
        <f>IFERROR(__xludf.DUMMYFUNCTION("IF(REGEXMATCH(LOWER(G1731), ""^(\?)+\s*(missing)?\s*(\?)*$""), """", PROPER(SUBSTITUTE(SUBSTITUTE(G1731, ""?"", """"), ""*"", """")))"),"Blue Giant Garden Thermometer")</f>
        <v>Blue Giant Garden Thermometer</v>
      </c>
      <c r="I1731" s="3">
        <v>2.0</v>
      </c>
      <c r="J1731" s="7">
        <v>40598.52222222222</v>
      </c>
      <c r="K1731" s="8" t="str">
        <f t="shared" si="4"/>
        <v>2011-02</v>
      </c>
      <c r="L1731" s="5">
        <v>5.95</v>
      </c>
      <c r="M1731" s="3">
        <v>13118.0</v>
      </c>
      <c r="N1731" s="1" t="str">
        <f t="shared" si="5"/>
        <v>Registered</v>
      </c>
      <c r="O1731" s="1" t="s">
        <v>19</v>
      </c>
      <c r="P1731" s="9" t="str">
        <f t="shared" si="6"/>
        <v>UK</v>
      </c>
      <c r="Q1731" s="8">
        <f t="shared" si="7"/>
        <v>11.9</v>
      </c>
    </row>
    <row r="1732">
      <c r="A1732" s="1">
        <v>544899.0</v>
      </c>
      <c r="B1732" s="1" t="str">
        <f t="shared" si="1"/>
        <v>544899</v>
      </c>
      <c r="C1732" s="1" t="str">
        <f t="shared" si="2"/>
        <v>Sale</v>
      </c>
      <c r="D1732" s="1">
        <v>22926.0</v>
      </c>
      <c r="E1732" s="1" t="str">
        <f>IFERROR(__xludf.DUMMYFUNCTION("IF(LEN(D1732)&gt;4, IFERROR(REGEXEXTRACT(TO_TEXT(D1732),""\d+""),""""),"""")"),"22926")</f>
        <v>22926</v>
      </c>
      <c r="F1732" s="6" t="str">
        <f t="shared" si="3"/>
        <v>Product</v>
      </c>
      <c r="G1732" s="1" t="s">
        <v>155</v>
      </c>
      <c r="H1732" s="6" t="str">
        <f>IFERROR(__xludf.DUMMYFUNCTION("IF(REGEXMATCH(LOWER(G1732), ""^(\?)+\s*(missing)?\s*(\?)*$""), """", PROPER(SUBSTITUTE(SUBSTITUTE(G1732, ""?"", """"), ""*"", """")))"),"Ivory Giant Garden Thermometer")</f>
        <v>Ivory Giant Garden Thermometer</v>
      </c>
      <c r="I1732" s="3">
        <v>2.0</v>
      </c>
      <c r="J1732" s="7">
        <v>40598.52222222222</v>
      </c>
      <c r="K1732" s="8" t="str">
        <f t="shared" si="4"/>
        <v>2011-02</v>
      </c>
      <c r="L1732" s="5">
        <v>5.95</v>
      </c>
      <c r="M1732" s="3">
        <v>13118.0</v>
      </c>
      <c r="N1732" s="1" t="str">
        <f t="shared" si="5"/>
        <v>Registered</v>
      </c>
      <c r="O1732" s="1" t="s">
        <v>19</v>
      </c>
      <c r="P1732" s="9" t="str">
        <f t="shared" si="6"/>
        <v>UK</v>
      </c>
      <c r="Q1732" s="8">
        <f t="shared" si="7"/>
        <v>11.9</v>
      </c>
    </row>
    <row r="1733">
      <c r="A1733" s="1">
        <v>544900.0</v>
      </c>
      <c r="B1733" s="1" t="str">
        <f t="shared" si="1"/>
        <v>544900</v>
      </c>
      <c r="C1733" s="1" t="str">
        <f t="shared" si="2"/>
        <v>Sale</v>
      </c>
      <c r="D1733" s="1">
        <v>22138.0</v>
      </c>
      <c r="E1733" s="1" t="str">
        <f>IFERROR(__xludf.DUMMYFUNCTION("IF(LEN(D1733)&gt;4, IFERROR(REGEXEXTRACT(TO_TEXT(D1733),""\d+""),""""),"""")"),"22138")</f>
        <v>22138</v>
      </c>
      <c r="F1733" s="6" t="str">
        <f t="shared" si="3"/>
        <v>Product</v>
      </c>
      <c r="G1733" s="1" t="s">
        <v>735</v>
      </c>
      <c r="H1733" s="6" t="str">
        <f>IFERROR(__xludf.DUMMYFUNCTION("IF(REGEXMATCH(LOWER(G1733), ""^(\?)+\s*(missing)?\s*(\?)*$""), """", PROPER(SUBSTITUTE(SUBSTITUTE(G1733, ""?"", """"), ""*"", """")))"),"Baking Set 9 Piece Retrospot")</f>
        <v>Baking Set 9 Piece Retrospot</v>
      </c>
      <c r="I1733" s="3">
        <v>3.0</v>
      </c>
      <c r="J1733" s="7">
        <v>40598.52847222222</v>
      </c>
      <c r="K1733" s="8" t="str">
        <f t="shared" si="4"/>
        <v>2011-02</v>
      </c>
      <c r="L1733" s="5">
        <v>4.95</v>
      </c>
      <c r="M1733" s="3">
        <v>15121.0</v>
      </c>
      <c r="N1733" s="1" t="str">
        <f t="shared" si="5"/>
        <v>Registered</v>
      </c>
      <c r="O1733" s="1" t="s">
        <v>19</v>
      </c>
      <c r="P1733" s="9" t="str">
        <f t="shared" si="6"/>
        <v>UK</v>
      </c>
      <c r="Q1733" s="8">
        <f t="shared" si="7"/>
        <v>14.85</v>
      </c>
    </row>
    <row r="1734">
      <c r="A1734" s="1">
        <v>544900.0</v>
      </c>
      <c r="B1734" s="1" t="str">
        <f t="shared" si="1"/>
        <v>544900</v>
      </c>
      <c r="C1734" s="1" t="str">
        <f t="shared" si="2"/>
        <v>Sale</v>
      </c>
      <c r="D1734" s="1">
        <v>47566.0</v>
      </c>
      <c r="E1734" s="1" t="str">
        <f>IFERROR(__xludf.DUMMYFUNCTION("IF(LEN(D1734)&gt;4, IFERROR(REGEXEXTRACT(TO_TEXT(D1734),""\d+""),""""),"""")"),"47566")</f>
        <v>47566</v>
      </c>
      <c r="F1734" s="6" t="str">
        <f t="shared" si="3"/>
        <v>Product</v>
      </c>
      <c r="G1734" s="1" t="s">
        <v>1002</v>
      </c>
      <c r="H1734" s="6" t="str">
        <f>IFERROR(__xludf.DUMMYFUNCTION("IF(REGEXMATCH(LOWER(G1734), ""^(\?)+\s*(missing)?\s*(\?)*$""), """", PROPER(SUBSTITUTE(SUBSTITUTE(G1734, ""?"", """"), ""*"", """")))"),"Party Bunting")</f>
        <v>Party Bunting</v>
      </c>
      <c r="I1734" s="3">
        <v>4.0</v>
      </c>
      <c r="J1734" s="7">
        <v>40598.52847222222</v>
      </c>
      <c r="K1734" s="8" t="str">
        <f t="shared" si="4"/>
        <v>2011-02</v>
      </c>
      <c r="L1734" s="5">
        <v>4.95</v>
      </c>
      <c r="M1734" s="3">
        <v>15121.0</v>
      </c>
      <c r="N1734" s="1" t="str">
        <f t="shared" si="5"/>
        <v>Registered</v>
      </c>
      <c r="O1734" s="1" t="s">
        <v>19</v>
      </c>
      <c r="P1734" s="9" t="str">
        <f t="shared" si="6"/>
        <v>UK</v>
      </c>
      <c r="Q1734" s="8">
        <f t="shared" si="7"/>
        <v>19.8</v>
      </c>
    </row>
    <row r="1735">
      <c r="A1735" s="1">
        <v>544900.0</v>
      </c>
      <c r="B1735" s="1" t="str">
        <f t="shared" si="1"/>
        <v>544900</v>
      </c>
      <c r="C1735" s="1" t="str">
        <f t="shared" si="2"/>
        <v>Sale</v>
      </c>
      <c r="D1735" s="1">
        <v>22652.0</v>
      </c>
      <c r="E1735" s="1" t="str">
        <f>IFERROR(__xludf.DUMMYFUNCTION("IF(LEN(D1735)&gt;4, IFERROR(REGEXEXTRACT(TO_TEXT(D1735),""\d+""),""""),"""")"),"22652")</f>
        <v>22652</v>
      </c>
      <c r="F1735" s="6" t="str">
        <f t="shared" si="3"/>
        <v>Product</v>
      </c>
      <c r="G1735" s="1" t="s">
        <v>252</v>
      </c>
      <c r="H1735" s="6" t="str">
        <f>IFERROR(__xludf.DUMMYFUNCTION("IF(REGEXMATCH(LOWER(G1735), ""^(\?)+\s*(missing)?\s*(\?)*$""), """", PROPER(SUBSTITUTE(SUBSTITUTE(G1735, ""?"", """"), ""*"", """")))"),"Travel Sewing Kit")</f>
        <v>Travel Sewing Kit</v>
      </c>
      <c r="I1735" s="3">
        <v>10.0</v>
      </c>
      <c r="J1735" s="7">
        <v>40598.52847222222</v>
      </c>
      <c r="K1735" s="8" t="str">
        <f t="shared" si="4"/>
        <v>2011-02</v>
      </c>
      <c r="L1735" s="5">
        <v>1.65</v>
      </c>
      <c r="M1735" s="3">
        <v>15121.0</v>
      </c>
      <c r="N1735" s="1" t="str">
        <f t="shared" si="5"/>
        <v>Registered</v>
      </c>
      <c r="O1735" s="1" t="s">
        <v>19</v>
      </c>
      <c r="P1735" s="9" t="str">
        <f t="shared" si="6"/>
        <v>UK</v>
      </c>
      <c r="Q1735" s="8">
        <f t="shared" si="7"/>
        <v>16.5</v>
      </c>
    </row>
    <row r="1736">
      <c r="A1736" s="1">
        <v>544900.0</v>
      </c>
      <c r="B1736" s="1" t="str">
        <f t="shared" si="1"/>
        <v>544900</v>
      </c>
      <c r="C1736" s="1" t="str">
        <f t="shared" si="2"/>
        <v>Sale</v>
      </c>
      <c r="D1736" s="1">
        <v>20971.0</v>
      </c>
      <c r="E1736" s="1" t="str">
        <f>IFERROR(__xludf.DUMMYFUNCTION("IF(LEN(D1736)&gt;4, IFERROR(REGEXEXTRACT(TO_TEXT(D1736),""\d+""),""""),"""")"),"20971")</f>
        <v>20971</v>
      </c>
      <c r="F1736" s="6" t="str">
        <f t="shared" si="3"/>
        <v>Product</v>
      </c>
      <c r="G1736" s="1" t="s">
        <v>760</v>
      </c>
      <c r="H1736" s="6" t="str">
        <f>IFERROR(__xludf.DUMMYFUNCTION("IF(REGEXMATCH(LOWER(G1736), ""^(\?)+\s*(missing)?\s*(\?)*$""), """", PROPER(SUBSTITUTE(SUBSTITUTE(G1736, ""?"", """"), ""*"", """")))"),"Pink Blue Felt Craft Trinket Box")</f>
        <v>Pink Blue Felt Craft Trinket Box</v>
      </c>
      <c r="I1736" s="3">
        <v>12.0</v>
      </c>
      <c r="J1736" s="7">
        <v>40598.52847222222</v>
      </c>
      <c r="K1736" s="8" t="str">
        <f t="shared" si="4"/>
        <v>2011-02</v>
      </c>
      <c r="L1736" s="5">
        <v>1.25</v>
      </c>
      <c r="M1736" s="3">
        <v>15121.0</v>
      </c>
      <c r="N1736" s="1" t="str">
        <f t="shared" si="5"/>
        <v>Registered</v>
      </c>
      <c r="O1736" s="1" t="s">
        <v>19</v>
      </c>
      <c r="P1736" s="9" t="str">
        <f t="shared" si="6"/>
        <v>UK</v>
      </c>
      <c r="Q1736" s="8">
        <f t="shared" si="7"/>
        <v>15</v>
      </c>
    </row>
    <row r="1737">
      <c r="A1737" s="1">
        <v>544900.0</v>
      </c>
      <c r="B1737" s="1" t="str">
        <f t="shared" si="1"/>
        <v>544900</v>
      </c>
      <c r="C1737" s="1" t="str">
        <f t="shared" si="2"/>
        <v>Sale</v>
      </c>
      <c r="D1737" s="1">
        <v>22621.0</v>
      </c>
      <c r="E1737" s="1" t="str">
        <f>IFERROR(__xludf.DUMMYFUNCTION("IF(LEN(D1737)&gt;4, IFERROR(REGEXEXTRACT(TO_TEXT(D1737),""\d+""),""""),"""")"),"22621")</f>
        <v>22621</v>
      </c>
      <c r="F1737" s="6" t="str">
        <f t="shared" si="3"/>
        <v>Product</v>
      </c>
      <c r="G1737" s="1" t="s">
        <v>1032</v>
      </c>
      <c r="H1737" s="6" t="str">
        <f>IFERROR(__xludf.DUMMYFUNCTION("IF(REGEXMATCH(LOWER(G1737), ""^(\?)+\s*(missing)?\s*(\?)*$""), """", PROPER(SUBSTITUTE(SUBSTITUTE(G1737, ""?"", """"), ""*"", """")))"),"Traditional Knitting Nancy")</f>
        <v>Traditional Knitting Nancy</v>
      </c>
      <c r="I1737" s="3">
        <v>12.0</v>
      </c>
      <c r="J1737" s="7">
        <v>40598.52847222222</v>
      </c>
      <c r="K1737" s="8" t="str">
        <f t="shared" si="4"/>
        <v>2011-02</v>
      </c>
      <c r="L1737" s="5">
        <v>1.45</v>
      </c>
      <c r="M1737" s="3">
        <v>15121.0</v>
      </c>
      <c r="N1737" s="1" t="str">
        <f t="shared" si="5"/>
        <v>Registered</v>
      </c>
      <c r="O1737" s="1" t="s">
        <v>19</v>
      </c>
      <c r="P1737" s="9" t="str">
        <f t="shared" si="6"/>
        <v>UK</v>
      </c>
      <c r="Q1737" s="8">
        <f t="shared" si="7"/>
        <v>17.4</v>
      </c>
    </row>
    <row r="1738">
      <c r="A1738" s="1">
        <v>544900.0</v>
      </c>
      <c r="B1738" s="1" t="str">
        <f t="shared" si="1"/>
        <v>544900</v>
      </c>
      <c r="C1738" s="1" t="str">
        <f t="shared" si="2"/>
        <v>Sale</v>
      </c>
      <c r="D1738" s="1">
        <v>22720.0</v>
      </c>
      <c r="E1738" s="1" t="str">
        <f>IFERROR(__xludf.DUMMYFUNCTION("IF(LEN(D1738)&gt;4, IFERROR(REGEXEXTRACT(TO_TEXT(D1738),""\d+""),""""),"""")"),"22720")</f>
        <v>22720</v>
      </c>
      <c r="F1738" s="6" t="str">
        <f t="shared" si="3"/>
        <v>Product</v>
      </c>
      <c r="G1738" s="1" t="s">
        <v>685</v>
      </c>
      <c r="H1738" s="6" t="str">
        <f>IFERROR(__xludf.DUMMYFUNCTION("IF(REGEXMATCH(LOWER(G1738), ""^(\?)+\s*(missing)?\s*(\?)*$""), """", PROPER(SUBSTITUTE(SUBSTITUTE(G1738, ""?"", """"), ""*"", """")))"),"Set Of 3 Cake Tins Pantry Design")</f>
        <v>Set Of 3 Cake Tins Pantry Design</v>
      </c>
      <c r="I1738" s="3">
        <v>3.0</v>
      </c>
      <c r="J1738" s="7">
        <v>40598.52847222222</v>
      </c>
      <c r="K1738" s="8" t="str">
        <f t="shared" si="4"/>
        <v>2011-02</v>
      </c>
      <c r="L1738" s="5">
        <v>4.95</v>
      </c>
      <c r="M1738" s="3">
        <v>15121.0</v>
      </c>
      <c r="N1738" s="1" t="str">
        <f t="shared" si="5"/>
        <v>Registered</v>
      </c>
      <c r="O1738" s="1" t="s">
        <v>19</v>
      </c>
      <c r="P1738" s="9" t="str">
        <f t="shared" si="6"/>
        <v>UK</v>
      </c>
      <c r="Q1738" s="8">
        <f t="shared" si="7"/>
        <v>14.85</v>
      </c>
    </row>
    <row r="1739">
      <c r="A1739" s="1">
        <v>544900.0</v>
      </c>
      <c r="B1739" s="1" t="str">
        <f t="shared" si="1"/>
        <v>544900</v>
      </c>
      <c r="C1739" s="1" t="str">
        <f t="shared" si="2"/>
        <v>Sale</v>
      </c>
      <c r="D1739" s="1">
        <v>21467.0</v>
      </c>
      <c r="E1739" s="1" t="str">
        <f>IFERROR(__xludf.DUMMYFUNCTION("IF(LEN(D1739)&gt;4, IFERROR(REGEXEXTRACT(TO_TEXT(D1739),""\d+""),""""),"""")"),"21467")</f>
        <v>21467</v>
      </c>
      <c r="F1739" s="6" t="str">
        <f t="shared" si="3"/>
        <v>Product</v>
      </c>
      <c r="G1739" s="1" t="s">
        <v>1033</v>
      </c>
      <c r="H1739" s="6" t="str">
        <f>IFERROR(__xludf.DUMMYFUNCTION("IF(REGEXMATCH(LOWER(G1739), ""^(\?)+\s*(missing)?\s*(\?)*$""), """", PROPER(SUBSTITUTE(SUBSTITUTE(G1739, ""?"", """"), ""*"", """")))"),"Cherry Crochet Food Cover")</f>
        <v>Cherry Crochet Food Cover</v>
      </c>
      <c r="I1739" s="3">
        <v>6.0</v>
      </c>
      <c r="J1739" s="7">
        <v>40598.52847222222</v>
      </c>
      <c r="K1739" s="8" t="str">
        <f t="shared" si="4"/>
        <v>2011-02</v>
      </c>
      <c r="L1739" s="5">
        <v>3.75</v>
      </c>
      <c r="M1739" s="3">
        <v>15121.0</v>
      </c>
      <c r="N1739" s="1" t="str">
        <f t="shared" si="5"/>
        <v>Registered</v>
      </c>
      <c r="O1739" s="1" t="s">
        <v>19</v>
      </c>
      <c r="P1739" s="9" t="str">
        <f t="shared" si="6"/>
        <v>UK</v>
      </c>
      <c r="Q1739" s="8">
        <f t="shared" si="7"/>
        <v>22.5</v>
      </c>
    </row>
    <row r="1740">
      <c r="A1740" s="1">
        <v>544900.0</v>
      </c>
      <c r="B1740" s="1" t="str">
        <f t="shared" si="1"/>
        <v>544900</v>
      </c>
      <c r="C1740" s="1" t="str">
        <f t="shared" si="2"/>
        <v>Sale</v>
      </c>
      <c r="D1740" s="1">
        <v>22960.0</v>
      </c>
      <c r="E1740" s="1" t="str">
        <f>IFERROR(__xludf.DUMMYFUNCTION("IF(LEN(D1740)&gt;4, IFERROR(REGEXEXTRACT(TO_TEXT(D1740),""\d+""),""""),"""")"),"22960")</f>
        <v>22960</v>
      </c>
      <c r="F1740" s="6" t="str">
        <f t="shared" si="3"/>
        <v>Product</v>
      </c>
      <c r="G1740" s="1" t="s">
        <v>43</v>
      </c>
      <c r="H1740" s="6" t="str">
        <f>IFERROR(__xludf.DUMMYFUNCTION("IF(REGEXMATCH(LOWER(G1740), ""^(\?)+\s*(missing)?\s*(\?)*$""), """", PROPER(SUBSTITUTE(SUBSTITUTE(G1740, ""?"", """"), ""*"", """")))"),"Jam Making Set With Jars")</f>
        <v>Jam Making Set With Jars</v>
      </c>
      <c r="I1740" s="3">
        <v>6.0</v>
      </c>
      <c r="J1740" s="7">
        <v>40598.52847222222</v>
      </c>
      <c r="K1740" s="8" t="str">
        <f t="shared" si="4"/>
        <v>2011-02</v>
      </c>
      <c r="L1740" s="5">
        <v>4.25</v>
      </c>
      <c r="M1740" s="3">
        <v>15121.0</v>
      </c>
      <c r="N1740" s="1" t="str">
        <f t="shared" si="5"/>
        <v>Registered</v>
      </c>
      <c r="O1740" s="1" t="s">
        <v>19</v>
      </c>
      <c r="P1740" s="9" t="str">
        <f t="shared" si="6"/>
        <v>UK</v>
      </c>
      <c r="Q1740" s="8">
        <f t="shared" si="7"/>
        <v>25.5</v>
      </c>
    </row>
    <row r="1741">
      <c r="A1741" s="1">
        <v>544900.0</v>
      </c>
      <c r="B1741" s="1" t="str">
        <f t="shared" si="1"/>
        <v>544900</v>
      </c>
      <c r="C1741" s="1" t="str">
        <f t="shared" si="2"/>
        <v>Sale</v>
      </c>
      <c r="D1741" s="1">
        <v>22978.0</v>
      </c>
      <c r="E1741" s="1" t="str">
        <f>IFERROR(__xludf.DUMMYFUNCTION("IF(LEN(D1741)&gt;4, IFERROR(REGEXEXTRACT(TO_TEXT(D1741),""\d+""),""""),"""")"),"22978")</f>
        <v>22978</v>
      </c>
      <c r="F1741" s="6" t="str">
        <f t="shared" si="3"/>
        <v>Product</v>
      </c>
      <c r="G1741" s="1" t="s">
        <v>778</v>
      </c>
      <c r="H1741" s="6" t="str">
        <f>IFERROR(__xludf.DUMMYFUNCTION("IF(REGEXMATCH(LOWER(G1741), ""^(\?)+\s*(missing)?\s*(\?)*$""), """", PROPER(SUBSTITUTE(SUBSTITUTE(G1741, ""?"", """"), ""*"", """")))"),"Pantry Rolling Pin")</f>
        <v>Pantry Rolling Pin</v>
      </c>
      <c r="I1741" s="3">
        <v>6.0</v>
      </c>
      <c r="J1741" s="7">
        <v>40598.52847222222</v>
      </c>
      <c r="K1741" s="8" t="str">
        <f t="shared" si="4"/>
        <v>2011-02</v>
      </c>
      <c r="L1741" s="5">
        <v>3.75</v>
      </c>
      <c r="M1741" s="3">
        <v>15121.0</v>
      </c>
      <c r="N1741" s="1" t="str">
        <f t="shared" si="5"/>
        <v>Registered</v>
      </c>
      <c r="O1741" s="1" t="s">
        <v>19</v>
      </c>
      <c r="P1741" s="9" t="str">
        <f t="shared" si="6"/>
        <v>UK</v>
      </c>
      <c r="Q1741" s="8">
        <f t="shared" si="7"/>
        <v>22.5</v>
      </c>
    </row>
    <row r="1742">
      <c r="A1742" s="1">
        <v>544900.0</v>
      </c>
      <c r="B1742" s="1" t="str">
        <f t="shared" si="1"/>
        <v>544900</v>
      </c>
      <c r="C1742" s="1" t="str">
        <f t="shared" si="2"/>
        <v>Sale</v>
      </c>
      <c r="D1742" s="1">
        <v>22722.0</v>
      </c>
      <c r="E1742" s="1" t="str">
        <f>IFERROR(__xludf.DUMMYFUNCTION("IF(LEN(D1742)&gt;4, IFERROR(REGEXEXTRACT(TO_TEXT(D1742),""\d+""),""""),"""")"),"22722")</f>
        <v>22722</v>
      </c>
      <c r="F1742" s="6" t="str">
        <f t="shared" si="3"/>
        <v>Product</v>
      </c>
      <c r="G1742" s="1" t="s">
        <v>686</v>
      </c>
      <c r="H1742" s="6" t="str">
        <f>IFERROR(__xludf.DUMMYFUNCTION("IF(REGEXMATCH(LOWER(G1742), ""^(\?)+\s*(missing)?\s*(\?)*$""), """", PROPER(SUBSTITUTE(SUBSTITUTE(G1742, ""?"", """"), ""*"", """")))"),"Set Of 6 Spice Tins Pantry Design")</f>
        <v>Set Of 6 Spice Tins Pantry Design</v>
      </c>
      <c r="I1742" s="3">
        <v>4.0</v>
      </c>
      <c r="J1742" s="7">
        <v>40598.52847222222</v>
      </c>
      <c r="K1742" s="8" t="str">
        <f t="shared" si="4"/>
        <v>2011-02</v>
      </c>
      <c r="L1742" s="5">
        <v>3.95</v>
      </c>
      <c r="M1742" s="3">
        <v>15121.0</v>
      </c>
      <c r="N1742" s="1" t="str">
        <f t="shared" si="5"/>
        <v>Registered</v>
      </c>
      <c r="O1742" s="1" t="s">
        <v>19</v>
      </c>
      <c r="P1742" s="9" t="str">
        <f t="shared" si="6"/>
        <v>UK</v>
      </c>
      <c r="Q1742" s="8">
        <f t="shared" si="7"/>
        <v>15.8</v>
      </c>
    </row>
    <row r="1743">
      <c r="A1743" s="1">
        <v>544900.0</v>
      </c>
      <c r="B1743" s="1" t="str">
        <f t="shared" si="1"/>
        <v>544900</v>
      </c>
      <c r="C1743" s="1" t="str">
        <f t="shared" si="2"/>
        <v>Sale</v>
      </c>
      <c r="D1743" s="1">
        <v>84378.0</v>
      </c>
      <c r="E1743" s="1" t="str">
        <f>IFERROR(__xludf.DUMMYFUNCTION("IF(LEN(D1743)&gt;4, IFERROR(REGEXEXTRACT(TO_TEXT(D1743),""\d+""),""""),"""")"),"84378")</f>
        <v>84378</v>
      </c>
      <c r="F1743" s="6" t="str">
        <f t="shared" si="3"/>
        <v>Product</v>
      </c>
      <c r="G1743" s="1" t="s">
        <v>350</v>
      </c>
      <c r="H1743" s="6" t="str">
        <f>IFERROR(__xludf.DUMMYFUNCTION("IF(REGEXMATCH(LOWER(G1743), ""^(\?)+\s*(missing)?\s*(\?)*$""), """", PROPER(SUBSTITUTE(SUBSTITUTE(G1743, ""?"", """"), ""*"", """")))"),"Set Of 3 Heart Cookie Cutters")</f>
        <v>Set Of 3 Heart Cookie Cutters</v>
      </c>
      <c r="I1743" s="3">
        <v>12.0</v>
      </c>
      <c r="J1743" s="7">
        <v>40598.52847222222</v>
      </c>
      <c r="K1743" s="8" t="str">
        <f t="shared" si="4"/>
        <v>2011-02</v>
      </c>
      <c r="L1743" s="5">
        <v>1.25</v>
      </c>
      <c r="M1743" s="3">
        <v>15121.0</v>
      </c>
      <c r="N1743" s="1" t="str">
        <f t="shared" si="5"/>
        <v>Registered</v>
      </c>
      <c r="O1743" s="1" t="s">
        <v>19</v>
      </c>
      <c r="P1743" s="9" t="str">
        <f t="shared" si="6"/>
        <v>UK</v>
      </c>
      <c r="Q1743" s="8">
        <f t="shared" si="7"/>
        <v>15</v>
      </c>
    </row>
    <row r="1744">
      <c r="A1744" s="1">
        <v>544900.0</v>
      </c>
      <c r="B1744" s="1" t="str">
        <f t="shared" si="1"/>
        <v>544900</v>
      </c>
      <c r="C1744" s="1" t="str">
        <f t="shared" si="2"/>
        <v>Sale</v>
      </c>
      <c r="D1744" s="1" t="s">
        <v>370</v>
      </c>
      <c r="E1744" s="1" t="str">
        <f>IFERROR(__xludf.DUMMYFUNCTION("IF(LEN(D1744)&gt;4, IFERROR(REGEXEXTRACT(TO_TEXT(D1744),""\d+""),""""),"""")"),"84970")</f>
        <v>84970</v>
      </c>
      <c r="F1744" s="6" t="str">
        <f t="shared" si="3"/>
        <v>Product</v>
      </c>
      <c r="G1744" s="1" t="s">
        <v>371</v>
      </c>
      <c r="H1744" s="6" t="str">
        <f>IFERROR(__xludf.DUMMYFUNCTION("IF(REGEXMATCH(LOWER(G1744), ""^(\?)+\s*(missing)?\s*(\?)*$""), """", PROPER(SUBSTITUTE(SUBSTITUTE(G1744, ""?"", """"), ""*"", """")))"),"Single Heart Zinc T-Light Holder")</f>
        <v>Single Heart Zinc T-Light Holder</v>
      </c>
      <c r="I1744" s="3">
        <v>12.0</v>
      </c>
      <c r="J1744" s="7">
        <v>40598.52847222222</v>
      </c>
      <c r="K1744" s="8" t="str">
        <f t="shared" si="4"/>
        <v>2011-02</v>
      </c>
      <c r="L1744" s="5">
        <v>0.95</v>
      </c>
      <c r="M1744" s="3">
        <v>15121.0</v>
      </c>
      <c r="N1744" s="1" t="str">
        <f t="shared" si="5"/>
        <v>Registered</v>
      </c>
      <c r="O1744" s="1" t="s">
        <v>19</v>
      </c>
      <c r="P1744" s="9" t="str">
        <f t="shared" si="6"/>
        <v>UK</v>
      </c>
      <c r="Q1744" s="8">
        <f t="shared" si="7"/>
        <v>11.4</v>
      </c>
    </row>
    <row r="1745">
      <c r="A1745" s="1">
        <v>544900.0</v>
      </c>
      <c r="B1745" s="1" t="str">
        <f t="shared" si="1"/>
        <v>544900</v>
      </c>
      <c r="C1745" s="1" t="str">
        <f t="shared" si="2"/>
        <v>Sale</v>
      </c>
      <c r="D1745" s="1">
        <v>21621.0</v>
      </c>
      <c r="E1745" s="1" t="str">
        <f>IFERROR(__xludf.DUMMYFUNCTION("IF(LEN(D1745)&gt;4, IFERROR(REGEXEXTRACT(TO_TEXT(D1745),""\d+""),""""),"""")"),"21621")</f>
        <v>21621</v>
      </c>
      <c r="F1745" s="6" t="str">
        <f t="shared" si="3"/>
        <v>Product</v>
      </c>
      <c r="G1745" s="1" t="s">
        <v>620</v>
      </c>
      <c r="H1745" s="6" t="str">
        <f>IFERROR(__xludf.DUMMYFUNCTION("IF(REGEXMATCH(LOWER(G1745), ""^(\?)+\s*(missing)?\s*(\?)*$""), """", PROPER(SUBSTITUTE(SUBSTITUTE(G1745, ""?"", """"), ""*"", """")))"),"Vintage Union Jack Bunting")</f>
        <v>Vintage Union Jack Bunting</v>
      </c>
      <c r="I1745" s="3">
        <v>2.0</v>
      </c>
      <c r="J1745" s="7">
        <v>40598.52847222222</v>
      </c>
      <c r="K1745" s="8" t="str">
        <f t="shared" si="4"/>
        <v>2011-02</v>
      </c>
      <c r="L1745" s="5">
        <v>8.5</v>
      </c>
      <c r="M1745" s="3">
        <v>15121.0</v>
      </c>
      <c r="N1745" s="1" t="str">
        <f t="shared" si="5"/>
        <v>Registered</v>
      </c>
      <c r="O1745" s="1" t="s">
        <v>19</v>
      </c>
      <c r="P1745" s="9" t="str">
        <f t="shared" si="6"/>
        <v>UK</v>
      </c>
      <c r="Q1745" s="8">
        <f t="shared" si="7"/>
        <v>17</v>
      </c>
    </row>
    <row r="1746">
      <c r="A1746" s="1">
        <v>544900.0</v>
      </c>
      <c r="B1746" s="1" t="str">
        <f t="shared" si="1"/>
        <v>544900</v>
      </c>
      <c r="C1746" s="1" t="str">
        <f t="shared" si="2"/>
        <v>Sale</v>
      </c>
      <c r="D1746" s="1">
        <v>22149.0</v>
      </c>
      <c r="E1746" s="1" t="str">
        <f>IFERROR(__xludf.DUMMYFUNCTION("IF(LEN(D1746)&gt;4, IFERROR(REGEXEXTRACT(TO_TEXT(D1746),""\d+""),""""),"""")"),"22149")</f>
        <v>22149</v>
      </c>
      <c r="F1746" s="6" t="str">
        <f t="shared" si="3"/>
        <v>Product</v>
      </c>
      <c r="G1746" s="1" t="s">
        <v>478</v>
      </c>
      <c r="H1746" s="6" t="str">
        <f>IFERROR(__xludf.DUMMYFUNCTION("IF(REGEXMATCH(LOWER(G1746), ""^(\?)+\s*(missing)?\s*(\?)*$""), """", PROPER(SUBSTITUTE(SUBSTITUTE(G1746, ""?"", """"), ""*"", """")))"),"Feltcraft 6 Flower Friends")</f>
        <v>Feltcraft 6 Flower Friends</v>
      </c>
      <c r="I1746" s="3">
        <v>6.0</v>
      </c>
      <c r="J1746" s="7">
        <v>40598.52847222222</v>
      </c>
      <c r="K1746" s="8" t="str">
        <f t="shared" si="4"/>
        <v>2011-02</v>
      </c>
      <c r="L1746" s="5">
        <v>2.1</v>
      </c>
      <c r="M1746" s="3">
        <v>15121.0</v>
      </c>
      <c r="N1746" s="1" t="str">
        <f t="shared" si="5"/>
        <v>Registered</v>
      </c>
      <c r="O1746" s="1" t="s">
        <v>19</v>
      </c>
      <c r="P1746" s="9" t="str">
        <f t="shared" si="6"/>
        <v>UK</v>
      </c>
      <c r="Q1746" s="8">
        <f t="shared" si="7"/>
        <v>12.6</v>
      </c>
    </row>
    <row r="1747">
      <c r="A1747" s="1">
        <v>544900.0</v>
      </c>
      <c r="B1747" s="1" t="str">
        <f t="shared" si="1"/>
        <v>544900</v>
      </c>
      <c r="C1747" s="1" t="str">
        <f t="shared" si="2"/>
        <v>Sale</v>
      </c>
      <c r="D1747" s="1">
        <v>22150.0</v>
      </c>
      <c r="E1747" s="1" t="str">
        <f>IFERROR(__xludf.DUMMYFUNCTION("IF(LEN(D1747)&gt;4, IFERROR(REGEXEXTRACT(TO_TEXT(D1747),""\d+""),""""),"""")"),"22150")</f>
        <v>22150</v>
      </c>
      <c r="F1747" s="6" t="str">
        <f t="shared" si="3"/>
        <v>Product</v>
      </c>
      <c r="G1747" s="1" t="s">
        <v>235</v>
      </c>
      <c r="H1747" s="6" t="str">
        <f>IFERROR(__xludf.DUMMYFUNCTION("IF(REGEXMATCH(LOWER(G1747), ""^(\?)+\s*(missing)?\s*(\?)*$""), """", PROPER(SUBSTITUTE(SUBSTITUTE(G1747, ""?"", """"), ""*"", """")))"),"3 Stripey Mice Feltcraft")</f>
        <v>3 Stripey Mice Feltcraft</v>
      </c>
      <c r="I1747" s="3">
        <v>6.0</v>
      </c>
      <c r="J1747" s="7">
        <v>40598.52847222222</v>
      </c>
      <c r="K1747" s="8" t="str">
        <f t="shared" si="4"/>
        <v>2011-02</v>
      </c>
      <c r="L1747" s="5">
        <v>1.95</v>
      </c>
      <c r="M1747" s="3">
        <v>15121.0</v>
      </c>
      <c r="N1747" s="1" t="str">
        <f t="shared" si="5"/>
        <v>Registered</v>
      </c>
      <c r="O1747" s="1" t="s">
        <v>19</v>
      </c>
      <c r="P1747" s="9" t="str">
        <f t="shared" si="6"/>
        <v>UK</v>
      </c>
      <c r="Q1747" s="8">
        <f t="shared" si="7"/>
        <v>11.7</v>
      </c>
    </row>
    <row r="1748">
      <c r="A1748" s="1">
        <v>544900.0</v>
      </c>
      <c r="B1748" s="1" t="str">
        <f t="shared" si="1"/>
        <v>544900</v>
      </c>
      <c r="C1748" s="1" t="str">
        <f t="shared" si="2"/>
        <v>Sale</v>
      </c>
      <c r="D1748" s="1">
        <v>22245.0</v>
      </c>
      <c r="E1748" s="1" t="str">
        <f>IFERROR(__xludf.DUMMYFUNCTION("IF(LEN(D1748)&gt;4, IFERROR(REGEXEXTRACT(TO_TEXT(D1748),""\d+""),""""),"""")"),"22245")</f>
        <v>22245</v>
      </c>
      <c r="F1748" s="6" t="str">
        <f t="shared" si="3"/>
        <v>Product</v>
      </c>
      <c r="G1748" s="1" t="s">
        <v>885</v>
      </c>
      <c r="H1748" s="6" t="str">
        <f>IFERROR(__xludf.DUMMYFUNCTION("IF(REGEXMATCH(LOWER(G1748), ""^(\?)+\s*(missing)?\s*(\?)*$""), """", PROPER(SUBSTITUTE(SUBSTITUTE(G1748, ""?"", """"), ""*"", """")))"),"Hook, 1 Hanger ,Magic Garden")</f>
        <v>Hook, 1 Hanger ,Magic Garden</v>
      </c>
      <c r="I1748" s="3">
        <v>12.0</v>
      </c>
      <c r="J1748" s="7">
        <v>40598.52847222222</v>
      </c>
      <c r="K1748" s="8" t="str">
        <f t="shared" si="4"/>
        <v>2011-02</v>
      </c>
      <c r="L1748" s="5">
        <v>0.85</v>
      </c>
      <c r="M1748" s="3">
        <v>15121.0</v>
      </c>
      <c r="N1748" s="1" t="str">
        <f t="shared" si="5"/>
        <v>Registered</v>
      </c>
      <c r="O1748" s="1" t="s">
        <v>19</v>
      </c>
      <c r="P1748" s="9" t="str">
        <f t="shared" si="6"/>
        <v>UK</v>
      </c>
      <c r="Q1748" s="8">
        <f t="shared" si="7"/>
        <v>10.2</v>
      </c>
    </row>
    <row r="1749">
      <c r="A1749" s="1">
        <v>544900.0</v>
      </c>
      <c r="B1749" s="1" t="str">
        <f t="shared" si="1"/>
        <v>544900</v>
      </c>
      <c r="C1749" s="1" t="str">
        <f t="shared" si="2"/>
        <v>Sale</v>
      </c>
      <c r="D1749" s="1">
        <v>22617.0</v>
      </c>
      <c r="E1749" s="1" t="str">
        <f>IFERROR(__xludf.DUMMYFUNCTION("IF(LEN(D1749)&gt;4, IFERROR(REGEXEXTRACT(TO_TEXT(D1749),""\d+""),""""),"""")"),"22617")</f>
        <v>22617</v>
      </c>
      <c r="F1749" s="6" t="str">
        <f t="shared" si="3"/>
        <v>Product</v>
      </c>
      <c r="G1749" s="1" t="s">
        <v>1034</v>
      </c>
      <c r="H1749" s="6" t="str">
        <f>IFERROR(__xludf.DUMMYFUNCTION("IF(REGEXMATCH(LOWER(G1749), ""^(\?)+\s*(missing)?\s*(\?)*$""), """", PROPER(SUBSTITUTE(SUBSTITUTE(G1749, ""?"", """"), ""*"", """")))"),"Baking Set Spaceboy Design")</f>
        <v>Baking Set Spaceboy Design</v>
      </c>
      <c r="I1749" s="3">
        <v>3.0</v>
      </c>
      <c r="J1749" s="7">
        <v>40598.52847222222</v>
      </c>
      <c r="K1749" s="8" t="str">
        <f t="shared" si="4"/>
        <v>2011-02</v>
      </c>
      <c r="L1749" s="5">
        <v>4.95</v>
      </c>
      <c r="M1749" s="3">
        <v>15121.0</v>
      </c>
      <c r="N1749" s="1" t="str">
        <f t="shared" si="5"/>
        <v>Registered</v>
      </c>
      <c r="O1749" s="1" t="s">
        <v>19</v>
      </c>
      <c r="P1749" s="9" t="str">
        <f t="shared" si="6"/>
        <v>UK</v>
      </c>
      <c r="Q1749" s="8">
        <f t="shared" si="7"/>
        <v>14.85</v>
      </c>
    </row>
    <row r="1750">
      <c r="A1750" s="1">
        <v>544900.0</v>
      </c>
      <c r="B1750" s="1" t="str">
        <f t="shared" si="1"/>
        <v>544900</v>
      </c>
      <c r="C1750" s="1" t="str">
        <f t="shared" si="2"/>
        <v>Sale</v>
      </c>
      <c r="D1750" s="1">
        <v>22666.0</v>
      </c>
      <c r="E1750" s="1" t="str">
        <f>IFERROR(__xludf.DUMMYFUNCTION("IF(LEN(D1750)&gt;4, IFERROR(REGEXEXTRACT(TO_TEXT(D1750),""\d+""),""""),"""")"),"22666")</f>
        <v>22666</v>
      </c>
      <c r="F1750" s="6" t="str">
        <f t="shared" si="3"/>
        <v>Product</v>
      </c>
      <c r="G1750" s="1" t="s">
        <v>781</v>
      </c>
      <c r="H1750" s="6" t="str">
        <f>IFERROR(__xludf.DUMMYFUNCTION("IF(REGEXMATCH(LOWER(G1750), ""^(\?)+\s*(missing)?\s*(\?)*$""), """", PROPER(SUBSTITUTE(SUBSTITUTE(G1750, ""?"", """"), ""*"", """")))"),"Recipe Box Pantry Yellow Design")</f>
        <v>Recipe Box Pantry Yellow Design</v>
      </c>
      <c r="I1750" s="3">
        <v>6.0</v>
      </c>
      <c r="J1750" s="7">
        <v>40598.52847222222</v>
      </c>
      <c r="K1750" s="8" t="str">
        <f t="shared" si="4"/>
        <v>2011-02</v>
      </c>
      <c r="L1750" s="5">
        <v>2.95</v>
      </c>
      <c r="M1750" s="3">
        <v>15121.0</v>
      </c>
      <c r="N1750" s="1" t="str">
        <f t="shared" si="5"/>
        <v>Registered</v>
      </c>
      <c r="O1750" s="1" t="s">
        <v>19</v>
      </c>
      <c r="P1750" s="9" t="str">
        <f t="shared" si="6"/>
        <v>UK</v>
      </c>
      <c r="Q1750" s="8">
        <f t="shared" si="7"/>
        <v>17.7</v>
      </c>
    </row>
    <row r="1751">
      <c r="A1751" s="1" t="s">
        <v>1035</v>
      </c>
      <c r="B1751" s="1" t="str">
        <f t="shared" si="1"/>
        <v>544901</v>
      </c>
      <c r="C1751" s="1" t="str">
        <f t="shared" si="2"/>
        <v>Return</v>
      </c>
      <c r="D1751" s="1">
        <v>22780.0</v>
      </c>
      <c r="E1751" s="1" t="str">
        <f>IFERROR(__xludf.DUMMYFUNCTION("IF(LEN(D1751)&gt;4, IFERROR(REGEXEXTRACT(TO_TEXT(D1751),""\d+""),""""),"""")"),"22780")</f>
        <v>22780</v>
      </c>
      <c r="F1751" s="6" t="str">
        <f t="shared" si="3"/>
        <v>Product</v>
      </c>
      <c r="G1751" s="1" t="s">
        <v>184</v>
      </c>
      <c r="H1751" s="6" t="str">
        <f>IFERROR(__xludf.DUMMYFUNCTION("IF(REGEXMATCH(LOWER(G1751), ""^(\?)+\s*(missing)?\s*(\?)*$""), """", PROPER(SUBSTITUTE(SUBSTITUTE(G1751, ""?"", """"), ""*"", """")))"),"Light Garland Butterfiles Pink")</f>
        <v>Light Garland Butterfiles Pink</v>
      </c>
      <c r="I1751" s="3">
        <v>-4.0</v>
      </c>
      <c r="J1751" s="7">
        <v>40598.54305555556</v>
      </c>
      <c r="K1751" s="8" t="str">
        <f t="shared" si="4"/>
        <v>2011-02</v>
      </c>
      <c r="L1751" s="5">
        <v>4.25</v>
      </c>
      <c r="M1751" s="3">
        <v>15078.0</v>
      </c>
      <c r="N1751" s="1" t="str">
        <f t="shared" si="5"/>
        <v>Registered</v>
      </c>
      <c r="O1751" s="1" t="s">
        <v>19</v>
      </c>
      <c r="P1751" s="9" t="str">
        <f t="shared" si="6"/>
        <v>UK</v>
      </c>
      <c r="Q1751" s="8">
        <f t="shared" si="7"/>
        <v>-17</v>
      </c>
    </row>
    <row r="1752">
      <c r="A1752" s="1" t="s">
        <v>1035</v>
      </c>
      <c r="B1752" s="1" t="str">
        <f t="shared" si="1"/>
        <v>544901</v>
      </c>
      <c r="C1752" s="1" t="str">
        <f t="shared" si="2"/>
        <v>Return</v>
      </c>
      <c r="D1752" s="1">
        <v>22779.0</v>
      </c>
      <c r="E1752" s="1" t="str">
        <f>IFERROR(__xludf.DUMMYFUNCTION("IF(LEN(D1752)&gt;4, IFERROR(REGEXEXTRACT(TO_TEXT(D1752),""\d+""),""""),"""")"),"22779")</f>
        <v>22779</v>
      </c>
      <c r="F1752" s="6" t="str">
        <f t="shared" si="3"/>
        <v>Product</v>
      </c>
      <c r="G1752" s="1" t="s">
        <v>185</v>
      </c>
      <c r="H1752" s="6" t="str">
        <f>IFERROR(__xludf.DUMMYFUNCTION("IF(REGEXMATCH(LOWER(G1752), ""^(\?)+\s*(missing)?\s*(\?)*$""), """", PROPER(SUBSTITUTE(SUBSTITUTE(G1752, ""?"", """"), ""*"", """")))"),"Wooden Owls Light Garland")</f>
        <v>Wooden Owls Light Garland</v>
      </c>
      <c r="I1752" s="3">
        <v>-4.0</v>
      </c>
      <c r="J1752" s="7">
        <v>40598.54305555556</v>
      </c>
      <c r="K1752" s="8" t="str">
        <f t="shared" si="4"/>
        <v>2011-02</v>
      </c>
      <c r="L1752" s="5">
        <v>4.25</v>
      </c>
      <c r="M1752" s="3">
        <v>15078.0</v>
      </c>
      <c r="N1752" s="1" t="str">
        <f t="shared" si="5"/>
        <v>Registered</v>
      </c>
      <c r="O1752" s="1" t="s">
        <v>19</v>
      </c>
      <c r="P1752" s="9" t="str">
        <f t="shared" si="6"/>
        <v>UK</v>
      </c>
      <c r="Q1752" s="8">
        <f t="shared" si="7"/>
        <v>-17</v>
      </c>
    </row>
    <row r="1753">
      <c r="A1753" s="1" t="s">
        <v>1035</v>
      </c>
      <c r="B1753" s="1" t="str">
        <f t="shared" si="1"/>
        <v>544901</v>
      </c>
      <c r="C1753" s="1" t="str">
        <f t="shared" si="2"/>
        <v>Return</v>
      </c>
      <c r="D1753" s="1">
        <v>22670.0</v>
      </c>
      <c r="E1753" s="1" t="str">
        <f>IFERROR(__xludf.DUMMYFUNCTION("IF(LEN(D1753)&gt;4, IFERROR(REGEXEXTRACT(TO_TEXT(D1753),""\d+""),""""),"""")"),"22670")</f>
        <v>22670</v>
      </c>
      <c r="F1753" s="6" t="str">
        <f t="shared" si="3"/>
        <v>Product</v>
      </c>
      <c r="G1753" s="1" t="s">
        <v>551</v>
      </c>
      <c r="H1753" s="6" t="str">
        <f>IFERROR(__xludf.DUMMYFUNCTION("IF(REGEXMATCH(LOWER(G1753), ""^(\?)+\s*(missing)?\s*(\?)*$""), """", PROPER(SUBSTITUTE(SUBSTITUTE(G1753, ""?"", """"), ""*"", """")))"),"French Wc Sign Blue Metal")</f>
        <v>French Wc Sign Blue Metal</v>
      </c>
      <c r="I1753" s="3">
        <v>-4.0</v>
      </c>
      <c r="J1753" s="7">
        <v>40598.54305555556</v>
      </c>
      <c r="K1753" s="8" t="str">
        <f t="shared" si="4"/>
        <v>2011-02</v>
      </c>
      <c r="L1753" s="5">
        <v>1.25</v>
      </c>
      <c r="M1753" s="3">
        <v>15078.0</v>
      </c>
      <c r="N1753" s="1" t="str">
        <f t="shared" si="5"/>
        <v>Registered</v>
      </c>
      <c r="O1753" s="1" t="s">
        <v>19</v>
      </c>
      <c r="P1753" s="9" t="str">
        <f t="shared" si="6"/>
        <v>UK</v>
      </c>
      <c r="Q1753" s="8">
        <f t="shared" si="7"/>
        <v>-5</v>
      </c>
    </row>
    <row r="1754">
      <c r="A1754" s="1" t="s">
        <v>1035</v>
      </c>
      <c r="B1754" s="1" t="str">
        <f t="shared" si="1"/>
        <v>544901</v>
      </c>
      <c r="C1754" s="1" t="str">
        <f t="shared" si="2"/>
        <v>Return</v>
      </c>
      <c r="D1754" s="1">
        <v>22358.0</v>
      </c>
      <c r="E1754" s="1" t="str">
        <f>IFERROR(__xludf.DUMMYFUNCTION("IF(LEN(D1754)&gt;4, IFERROR(REGEXEXTRACT(TO_TEXT(D1754),""\d+""),""""),"""")"),"22358")</f>
        <v>22358</v>
      </c>
      <c r="F1754" s="6" t="str">
        <f t="shared" si="3"/>
        <v>Product</v>
      </c>
      <c r="G1754" s="1" t="s">
        <v>516</v>
      </c>
      <c r="H1754" s="6" t="str">
        <f>IFERROR(__xludf.DUMMYFUNCTION("IF(REGEXMATCH(LOWER(G1754), ""^(\?)+\s*(missing)?\s*(\?)*$""), """", PROPER(SUBSTITUTE(SUBSTITUTE(G1754, ""?"", """"), ""*"", """")))"),"Kings Choice Tea Caddy")</f>
        <v>Kings Choice Tea Caddy</v>
      </c>
      <c r="I1754" s="3">
        <v>-4.0</v>
      </c>
      <c r="J1754" s="7">
        <v>40598.54305555556</v>
      </c>
      <c r="K1754" s="8" t="str">
        <f t="shared" si="4"/>
        <v>2011-02</v>
      </c>
      <c r="L1754" s="5">
        <v>2.95</v>
      </c>
      <c r="M1754" s="3">
        <v>15078.0</v>
      </c>
      <c r="N1754" s="1" t="str">
        <f t="shared" si="5"/>
        <v>Registered</v>
      </c>
      <c r="O1754" s="1" t="s">
        <v>19</v>
      </c>
      <c r="P1754" s="9" t="str">
        <f t="shared" si="6"/>
        <v>UK</v>
      </c>
      <c r="Q1754" s="8">
        <f t="shared" si="7"/>
        <v>-11.8</v>
      </c>
    </row>
    <row r="1755">
      <c r="A1755" s="1" t="s">
        <v>1035</v>
      </c>
      <c r="B1755" s="1" t="str">
        <f t="shared" si="1"/>
        <v>544901</v>
      </c>
      <c r="C1755" s="1" t="str">
        <f t="shared" si="2"/>
        <v>Return</v>
      </c>
      <c r="D1755" s="1">
        <v>22357.0</v>
      </c>
      <c r="E1755" s="1" t="str">
        <f>IFERROR(__xludf.DUMMYFUNCTION("IF(LEN(D1755)&gt;4, IFERROR(REGEXEXTRACT(TO_TEXT(D1755),""\d+""),""""),"""")"),"22357")</f>
        <v>22357</v>
      </c>
      <c r="F1755" s="6" t="str">
        <f t="shared" si="3"/>
        <v>Product</v>
      </c>
      <c r="G1755" s="1" t="s">
        <v>517</v>
      </c>
      <c r="H1755" s="6" t="str">
        <f>IFERROR(__xludf.DUMMYFUNCTION("IF(REGEXMATCH(LOWER(G1755), ""^(\?)+\s*(missing)?\s*(\?)*$""), """", PROPER(SUBSTITUTE(SUBSTITUTE(G1755, ""?"", """"), ""*"", """")))"),"Kings Choice Biscuit Tin")</f>
        <v>Kings Choice Biscuit Tin</v>
      </c>
      <c r="I1755" s="3">
        <v>-1.0</v>
      </c>
      <c r="J1755" s="7">
        <v>40598.54305555556</v>
      </c>
      <c r="K1755" s="8" t="str">
        <f t="shared" si="4"/>
        <v>2011-02</v>
      </c>
      <c r="L1755" s="5">
        <v>4.25</v>
      </c>
      <c r="M1755" s="3">
        <v>15078.0</v>
      </c>
      <c r="N1755" s="1" t="str">
        <f t="shared" si="5"/>
        <v>Registered</v>
      </c>
      <c r="O1755" s="1" t="s">
        <v>19</v>
      </c>
      <c r="P1755" s="9" t="str">
        <f t="shared" si="6"/>
        <v>UK</v>
      </c>
      <c r="Q1755" s="8">
        <f t="shared" si="7"/>
        <v>-4.25</v>
      </c>
    </row>
    <row r="1756">
      <c r="A1756" s="1" t="s">
        <v>1036</v>
      </c>
      <c r="B1756" s="1" t="str">
        <f t="shared" si="1"/>
        <v>544902</v>
      </c>
      <c r="C1756" s="1" t="str">
        <f t="shared" si="2"/>
        <v>Return</v>
      </c>
      <c r="D1756" s="1">
        <v>22629.0</v>
      </c>
      <c r="E1756" s="1" t="str">
        <f>IFERROR(__xludf.DUMMYFUNCTION("IF(LEN(D1756)&gt;4, IFERROR(REGEXEXTRACT(TO_TEXT(D1756),""\d+""),""""),"""")"),"22629")</f>
        <v>22629</v>
      </c>
      <c r="F1756" s="6" t="str">
        <f t="shared" si="3"/>
        <v>Product</v>
      </c>
      <c r="G1756" s="1" t="s">
        <v>58</v>
      </c>
      <c r="H1756" s="6" t="str">
        <f>IFERROR(__xludf.DUMMYFUNCTION("IF(REGEXMATCH(LOWER(G1756), ""^(\?)+\s*(missing)?\s*(\?)*$""), """", PROPER(SUBSTITUTE(SUBSTITUTE(G1756, ""?"", """"), ""*"", """")))"),"Spaceboy Lunch Box")</f>
        <v>Spaceboy Lunch Box</v>
      </c>
      <c r="I1756" s="3">
        <v>-1.0</v>
      </c>
      <c r="J1756" s="7">
        <v>40598.54513888889</v>
      </c>
      <c r="K1756" s="8" t="str">
        <f t="shared" si="4"/>
        <v>2011-02</v>
      </c>
      <c r="L1756" s="5">
        <v>1.95</v>
      </c>
      <c r="M1756" s="3">
        <v>12362.0</v>
      </c>
      <c r="N1756" s="1" t="str">
        <f t="shared" si="5"/>
        <v>Registered</v>
      </c>
      <c r="O1756" s="1" t="s">
        <v>1037</v>
      </c>
      <c r="P1756" s="9" t="str">
        <f t="shared" si="6"/>
        <v>International</v>
      </c>
      <c r="Q1756" s="8">
        <f t="shared" si="7"/>
        <v>-1.95</v>
      </c>
    </row>
    <row r="1757">
      <c r="A1757" s="1" t="s">
        <v>1036</v>
      </c>
      <c r="B1757" s="1" t="str">
        <f t="shared" si="1"/>
        <v>544902</v>
      </c>
      <c r="C1757" s="1" t="str">
        <f t="shared" si="2"/>
        <v>Return</v>
      </c>
      <c r="D1757" s="1">
        <v>22273.0</v>
      </c>
      <c r="E1757" s="1" t="str">
        <f>IFERROR(__xludf.DUMMYFUNCTION("IF(LEN(D1757)&gt;4, IFERROR(REGEXEXTRACT(TO_TEXT(D1757),""\d+""),""""),"""")"),"22273")</f>
        <v>22273</v>
      </c>
      <c r="F1757" s="6" t="str">
        <f t="shared" si="3"/>
        <v>Product</v>
      </c>
      <c r="G1757" s="1" t="s">
        <v>438</v>
      </c>
      <c r="H1757" s="6" t="str">
        <f>IFERROR(__xludf.DUMMYFUNCTION("IF(REGEXMATCH(LOWER(G1757), ""^(\?)+\s*(missing)?\s*(\?)*$""), """", PROPER(SUBSTITUTE(SUBSTITUTE(G1757, ""?"", """"), ""*"", """")))"),"Feltcraft Doll Molly")</f>
        <v>Feltcraft Doll Molly</v>
      </c>
      <c r="I1757" s="3">
        <v>-1.0</v>
      </c>
      <c r="J1757" s="7">
        <v>40598.54513888889</v>
      </c>
      <c r="K1757" s="8" t="str">
        <f t="shared" si="4"/>
        <v>2011-02</v>
      </c>
      <c r="L1757" s="5">
        <v>2.95</v>
      </c>
      <c r="M1757" s="3">
        <v>12362.0</v>
      </c>
      <c r="N1757" s="1" t="str">
        <f t="shared" si="5"/>
        <v>Registered</v>
      </c>
      <c r="O1757" s="1" t="s">
        <v>1037</v>
      </c>
      <c r="P1757" s="9" t="str">
        <f t="shared" si="6"/>
        <v>International</v>
      </c>
      <c r="Q1757" s="8">
        <f t="shared" si="7"/>
        <v>-2.95</v>
      </c>
    </row>
    <row r="1758">
      <c r="A1758" s="1">
        <v>544903.0</v>
      </c>
      <c r="B1758" s="1" t="str">
        <f t="shared" si="1"/>
        <v>544903</v>
      </c>
      <c r="C1758" s="1" t="str">
        <f t="shared" si="2"/>
        <v>Sale</v>
      </c>
      <c r="D1758" s="1">
        <v>21754.0</v>
      </c>
      <c r="E1758" s="1" t="str">
        <f>IFERROR(__xludf.DUMMYFUNCTION("IF(LEN(D1758)&gt;4, IFERROR(REGEXEXTRACT(TO_TEXT(D1758),""\d+""),""""),"""")"),"21754")</f>
        <v>21754</v>
      </c>
      <c r="F1758" s="6" t="str">
        <f t="shared" si="3"/>
        <v>Product</v>
      </c>
      <c r="G1758" s="1" t="s">
        <v>39</v>
      </c>
      <c r="H1758" s="6" t="str">
        <f>IFERROR(__xludf.DUMMYFUNCTION("IF(REGEXMATCH(LOWER(G1758), ""^(\?)+\s*(missing)?\s*(\?)*$""), """", PROPER(SUBSTITUTE(SUBSTITUTE(G1758, ""?"", """"), ""*"", """")))"),"Home Building Block Word")</f>
        <v>Home Building Block Word</v>
      </c>
      <c r="I1758" s="3">
        <v>3.0</v>
      </c>
      <c r="J1758" s="7">
        <v>40598.57152777778</v>
      </c>
      <c r="K1758" s="8" t="str">
        <f t="shared" si="4"/>
        <v>2011-02</v>
      </c>
      <c r="L1758" s="5">
        <v>5.95</v>
      </c>
      <c r="M1758" s="3">
        <v>18065.0</v>
      </c>
      <c r="N1758" s="1" t="str">
        <f t="shared" si="5"/>
        <v>Registered</v>
      </c>
      <c r="O1758" s="1" t="s">
        <v>19</v>
      </c>
      <c r="P1758" s="9" t="str">
        <f t="shared" si="6"/>
        <v>UK</v>
      </c>
      <c r="Q1758" s="8">
        <f t="shared" si="7"/>
        <v>17.85</v>
      </c>
    </row>
    <row r="1759">
      <c r="A1759" s="1">
        <v>544903.0</v>
      </c>
      <c r="B1759" s="1" t="str">
        <f t="shared" si="1"/>
        <v>544903</v>
      </c>
      <c r="C1759" s="1" t="str">
        <f t="shared" si="2"/>
        <v>Sale</v>
      </c>
      <c r="D1759" s="1">
        <v>21756.0</v>
      </c>
      <c r="E1759" s="1" t="str">
        <f>IFERROR(__xludf.DUMMYFUNCTION("IF(LEN(D1759)&gt;4, IFERROR(REGEXEXTRACT(TO_TEXT(D1759),""\d+""),""""),"""")"),"21756")</f>
        <v>21756</v>
      </c>
      <c r="F1759" s="6" t="str">
        <f t="shared" si="3"/>
        <v>Product</v>
      </c>
      <c r="G1759" s="1" t="s">
        <v>47</v>
      </c>
      <c r="H1759" s="6" t="str">
        <f>IFERROR(__xludf.DUMMYFUNCTION("IF(REGEXMATCH(LOWER(G1759), ""^(\?)+\s*(missing)?\s*(\?)*$""), """", PROPER(SUBSTITUTE(SUBSTITUTE(G1759, ""?"", """"), ""*"", """")))"),"Bath Building Block Word")</f>
        <v>Bath Building Block Word</v>
      </c>
      <c r="I1759" s="3">
        <v>3.0</v>
      </c>
      <c r="J1759" s="7">
        <v>40598.57152777778</v>
      </c>
      <c r="K1759" s="8" t="str">
        <f t="shared" si="4"/>
        <v>2011-02</v>
      </c>
      <c r="L1759" s="5">
        <v>5.95</v>
      </c>
      <c r="M1759" s="3">
        <v>18065.0</v>
      </c>
      <c r="N1759" s="1" t="str">
        <f t="shared" si="5"/>
        <v>Registered</v>
      </c>
      <c r="O1759" s="1" t="s">
        <v>19</v>
      </c>
      <c r="P1759" s="9" t="str">
        <f t="shared" si="6"/>
        <v>UK</v>
      </c>
      <c r="Q1759" s="8">
        <f t="shared" si="7"/>
        <v>17.85</v>
      </c>
    </row>
    <row r="1760">
      <c r="A1760" s="1">
        <v>544903.0</v>
      </c>
      <c r="B1760" s="1" t="str">
        <f t="shared" si="1"/>
        <v>544903</v>
      </c>
      <c r="C1760" s="1" t="str">
        <f t="shared" si="2"/>
        <v>Sale</v>
      </c>
      <c r="D1760" s="1">
        <v>48129.0</v>
      </c>
      <c r="E1760" s="1" t="str">
        <f>IFERROR(__xludf.DUMMYFUNCTION("IF(LEN(D1760)&gt;4, IFERROR(REGEXEXTRACT(TO_TEXT(D1760),""\d+""),""""),"""")"),"48129")</f>
        <v>48129</v>
      </c>
      <c r="F1760" s="6" t="str">
        <f t="shared" si="3"/>
        <v>Product</v>
      </c>
      <c r="G1760" s="1" t="s">
        <v>295</v>
      </c>
      <c r="H1760" s="6" t="str">
        <f>IFERROR(__xludf.DUMMYFUNCTION("IF(REGEXMATCH(LOWER(G1760), ""^(\?)+\s*(missing)?\s*(\?)*$""), """", PROPER(SUBSTITUTE(SUBSTITUTE(G1760, ""?"", """"), ""*"", """")))"),"Doormat Topiary")</f>
        <v>Doormat Topiary</v>
      </c>
      <c r="I1760" s="3">
        <v>2.0</v>
      </c>
      <c r="J1760" s="7">
        <v>40598.57152777778</v>
      </c>
      <c r="K1760" s="8" t="str">
        <f t="shared" si="4"/>
        <v>2011-02</v>
      </c>
      <c r="L1760" s="5">
        <v>7.95</v>
      </c>
      <c r="M1760" s="3">
        <v>18065.0</v>
      </c>
      <c r="N1760" s="1" t="str">
        <f t="shared" si="5"/>
        <v>Registered</v>
      </c>
      <c r="O1760" s="1" t="s">
        <v>19</v>
      </c>
      <c r="P1760" s="9" t="str">
        <f t="shared" si="6"/>
        <v>UK</v>
      </c>
      <c r="Q1760" s="8">
        <f t="shared" si="7"/>
        <v>15.9</v>
      </c>
    </row>
    <row r="1761">
      <c r="A1761" s="1">
        <v>544903.0</v>
      </c>
      <c r="B1761" s="1" t="str">
        <f t="shared" si="1"/>
        <v>544903</v>
      </c>
      <c r="C1761" s="1" t="str">
        <f t="shared" si="2"/>
        <v>Sale</v>
      </c>
      <c r="D1761" s="1">
        <v>22690.0</v>
      </c>
      <c r="E1761" s="1" t="str">
        <f>IFERROR(__xludf.DUMMYFUNCTION("IF(LEN(D1761)&gt;4, IFERROR(REGEXEXTRACT(TO_TEXT(D1761),""\d+""),""""),"""")"),"22690")</f>
        <v>22690</v>
      </c>
      <c r="F1761" s="6" t="str">
        <f t="shared" si="3"/>
        <v>Product</v>
      </c>
      <c r="G1761" s="1" t="s">
        <v>799</v>
      </c>
      <c r="H1761" s="6" t="str">
        <f>IFERROR(__xludf.DUMMYFUNCTION("IF(REGEXMATCH(LOWER(G1761), ""^(\?)+\s*(missing)?\s*(\?)*$""), """", PROPER(SUBSTITUTE(SUBSTITUTE(G1761, ""?"", """"), ""*"", """")))"),"Doormat Home Sweet Home Blue")</f>
        <v>Doormat Home Sweet Home Blue</v>
      </c>
      <c r="I1761" s="3">
        <v>2.0</v>
      </c>
      <c r="J1761" s="7">
        <v>40598.57152777778</v>
      </c>
      <c r="K1761" s="8" t="str">
        <f t="shared" si="4"/>
        <v>2011-02</v>
      </c>
      <c r="L1761" s="5">
        <v>7.95</v>
      </c>
      <c r="M1761" s="3">
        <v>18065.0</v>
      </c>
      <c r="N1761" s="1" t="str">
        <f t="shared" si="5"/>
        <v>Registered</v>
      </c>
      <c r="O1761" s="1" t="s">
        <v>19</v>
      </c>
      <c r="P1761" s="9" t="str">
        <f t="shared" si="6"/>
        <v>UK</v>
      </c>
      <c r="Q1761" s="8">
        <f t="shared" si="7"/>
        <v>15.9</v>
      </c>
    </row>
    <row r="1762">
      <c r="A1762" s="1">
        <v>544903.0</v>
      </c>
      <c r="B1762" s="1" t="str">
        <f t="shared" si="1"/>
        <v>544903</v>
      </c>
      <c r="C1762" s="1" t="str">
        <f t="shared" si="2"/>
        <v>Sale</v>
      </c>
      <c r="D1762" s="1">
        <v>22365.0</v>
      </c>
      <c r="E1762" s="1" t="str">
        <f>IFERROR(__xludf.DUMMYFUNCTION("IF(LEN(D1762)&gt;4, IFERROR(REGEXEXTRACT(TO_TEXT(D1762),""\d+""),""""),"""")"),"22365")</f>
        <v>22365</v>
      </c>
      <c r="F1762" s="6" t="str">
        <f t="shared" si="3"/>
        <v>Product</v>
      </c>
      <c r="G1762" s="1" t="s">
        <v>1038</v>
      </c>
      <c r="H1762" s="6" t="str">
        <f>IFERROR(__xludf.DUMMYFUNCTION("IF(REGEXMATCH(LOWER(G1762), ""^(\?)+\s*(missing)?\s*(\?)*$""), """", PROPER(SUBSTITUTE(SUBSTITUTE(G1762, ""?"", """"), ""*"", """")))"),"Doormat Respectable House")</f>
        <v>Doormat Respectable House</v>
      </c>
      <c r="I1762" s="3">
        <v>2.0</v>
      </c>
      <c r="J1762" s="7">
        <v>40598.57152777778</v>
      </c>
      <c r="K1762" s="8" t="str">
        <f t="shared" si="4"/>
        <v>2011-02</v>
      </c>
      <c r="L1762" s="5">
        <v>7.95</v>
      </c>
      <c r="M1762" s="3">
        <v>18065.0</v>
      </c>
      <c r="N1762" s="1" t="str">
        <f t="shared" si="5"/>
        <v>Registered</v>
      </c>
      <c r="O1762" s="1" t="s">
        <v>19</v>
      </c>
      <c r="P1762" s="9" t="str">
        <f t="shared" si="6"/>
        <v>UK</v>
      </c>
      <c r="Q1762" s="8">
        <f t="shared" si="7"/>
        <v>15.9</v>
      </c>
    </row>
    <row r="1763">
      <c r="A1763" s="1">
        <v>544903.0</v>
      </c>
      <c r="B1763" s="1" t="str">
        <f t="shared" si="1"/>
        <v>544903</v>
      </c>
      <c r="C1763" s="1" t="str">
        <f t="shared" si="2"/>
        <v>Sale</v>
      </c>
      <c r="D1763" s="1">
        <v>21523.0</v>
      </c>
      <c r="E1763" s="1" t="str">
        <f>IFERROR(__xludf.DUMMYFUNCTION("IF(LEN(D1763)&gt;4, IFERROR(REGEXEXTRACT(TO_TEXT(D1763),""\d+""),""""),"""")"),"21523")</f>
        <v>21523</v>
      </c>
      <c r="F1763" s="6" t="str">
        <f t="shared" si="3"/>
        <v>Product</v>
      </c>
      <c r="G1763" s="1" t="s">
        <v>146</v>
      </c>
      <c r="H1763" s="6" t="str">
        <f>IFERROR(__xludf.DUMMYFUNCTION("IF(REGEXMATCH(LOWER(G1763), ""^(\?)+\s*(missing)?\s*(\?)*$""), """", PROPER(SUBSTITUTE(SUBSTITUTE(G1763, ""?"", """"), ""*"", """")))"),"Doormat Fancy Font Home Sweet Home")</f>
        <v>Doormat Fancy Font Home Sweet Home</v>
      </c>
      <c r="I1763" s="3">
        <v>2.0</v>
      </c>
      <c r="J1763" s="7">
        <v>40598.57152777778</v>
      </c>
      <c r="K1763" s="8" t="str">
        <f t="shared" si="4"/>
        <v>2011-02</v>
      </c>
      <c r="L1763" s="5">
        <v>7.95</v>
      </c>
      <c r="M1763" s="3">
        <v>18065.0</v>
      </c>
      <c r="N1763" s="1" t="str">
        <f t="shared" si="5"/>
        <v>Registered</v>
      </c>
      <c r="O1763" s="1" t="s">
        <v>19</v>
      </c>
      <c r="P1763" s="9" t="str">
        <f t="shared" si="6"/>
        <v>UK</v>
      </c>
      <c r="Q1763" s="8">
        <f t="shared" si="7"/>
        <v>15.9</v>
      </c>
    </row>
    <row r="1764">
      <c r="A1764" s="1">
        <v>544903.0</v>
      </c>
      <c r="B1764" s="1" t="str">
        <f t="shared" si="1"/>
        <v>544903</v>
      </c>
      <c r="C1764" s="1" t="str">
        <f t="shared" si="2"/>
        <v>Sale</v>
      </c>
      <c r="D1764" s="1">
        <v>22692.0</v>
      </c>
      <c r="E1764" s="1" t="str">
        <f>IFERROR(__xludf.DUMMYFUNCTION("IF(LEN(D1764)&gt;4, IFERROR(REGEXEXTRACT(TO_TEXT(D1764),""\d+""),""""),"""")"),"22692")</f>
        <v>22692</v>
      </c>
      <c r="F1764" s="6" t="str">
        <f t="shared" si="3"/>
        <v>Product</v>
      </c>
      <c r="G1764" s="1" t="s">
        <v>800</v>
      </c>
      <c r="H1764" s="6" t="str">
        <f>IFERROR(__xludf.DUMMYFUNCTION("IF(REGEXMATCH(LOWER(G1764), ""^(\?)+\s*(missing)?\s*(\?)*$""), """", PROPER(SUBSTITUTE(SUBSTITUTE(G1764, ""?"", """"), ""*"", """")))"),"Doormat Welcome To Our Home")</f>
        <v>Doormat Welcome To Our Home</v>
      </c>
      <c r="I1764" s="3">
        <v>2.0</v>
      </c>
      <c r="J1764" s="7">
        <v>40598.57152777778</v>
      </c>
      <c r="K1764" s="8" t="str">
        <f t="shared" si="4"/>
        <v>2011-02</v>
      </c>
      <c r="L1764" s="5">
        <v>7.95</v>
      </c>
      <c r="M1764" s="3">
        <v>18065.0</v>
      </c>
      <c r="N1764" s="1" t="str">
        <f t="shared" si="5"/>
        <v>Registered</v>
      </c>
      <c r="O1764" s="1" t="s">
        <v>19</v>
      </c>
      <c r="P1764" s="9" t="str">
        <f t="shared" si="6"/>
        <v>UK</v>
      </c>
      <c r="Q1764" s="8">
        <f t="shared" si="7"/>
        <v>15.9</v>
      </c>
    </row>
    <row r="1765">
      <c r="A1765" s="1">
        <v>544903.0</v>
      </c>
      <c r="B1765" s="1" t="str">
        <f t="shared" si="1"/>
        <v>544903</v>
      </c>
      <c r="C1765" s="1" t="str">
        <f t="shared" si="2"/>
        <v>Sale</v>
      </c>
      <c r="D1765" s="1">
        <v>22957.0</v>
      </c>
      <c r="E1765" s="1" t="str">
        <f>IFERROR(__xludf.DUMMYFUNCTION("IF(LEN(D1765)&gt;4, IFERROR(REGEXEXTRACT(TO_TEXT(D1765),""\d+""),""""),"""")"),"22957")</f>
        <v>22957</v>
      </c>
      <c r="F1765" s="6" t="str">
        <f t="shared" si="3"/>
        <v>Product</v>
      </c>
      <c r="G1765" s="1" t="s">
        <v>909</v>
      </c>
      <c r="H1765" s="6" t="str">
        <f>IFERROR(__xludf.DUMMYFUNCTION("IF(REGEXMATCH(LOWER(G1765), ""^(\?)+\s*(missing)?\s*(\?)*$""), """", PROPER(SUBSTITUTE(SUBSTITUTE(G1765, ""?"", """"), ""*"", """")))"),"Set 3 Paper Vintage Chick Paper Egg")</f>
        <v>Set 3 Paper Vintage Chick Paper Egg</v>
      </c>
      <c r="I1765" s="3">
        <v>6.0</v>
      </c>
      <c r="J1765" s="7">
        <v>40598.57152777778</v>
      </c>
      <c r="K1765" s="8" t="str">
        <f t="shared" si="4"/>
        <v>2011-02</v>
      </c>
      <c r="L1765" s="5">
        <v>2.95</v>
      </c>
      <c r="M1765" s="3">
        <v>18065.0</v>
      </c>
      <c r="N1765" s="1" t="str">
        <f t="shared" si="5"/>
        <v>Registered</v>
      </c>
      <c r="O1765" s="1" t="s">
        <v>19</v>
      </c>
      <c r="P1765" s="9" t="str">
        <f t="shared" si="6"/>
        <v>UK</v>
      </c>
      <c r="Q1765" s="8">
        <f t="shared" si="7"/>
        <v>17.7</v>
      </c>
    </row>
    <row r="1766">
      <c r="A1766" s="1">
        <v>544903.0</v>
      </c>
      <c r="B1766" s="1" t="str">
        <f t="shared" si="1"/>
        <v>544903</v>
      </c>
      <c r="C1766" s="1" t="str">
        <f t="shared" si="2"/>
        <v>Sale</v>
      </c>
      <c r="D1766" s="1">
        <v>22933.0</v>
      </c>
      <c r="E1766" s="1" t="str">
        <f>IFERROR(__xludf.DUMMYFUNCTION("IF(LEN(D1766)&gt;4, IFERROR(REGEXEXTRACT(TO_TEXT(D1766),""\d+""),""""),"""")"),"22933")</f>
        <v>22933</v>
      </c>
      <c r="F1766" s="6" t="str">
        <f t="shared" si="3"/>
        <v>Product</v>
      </c>
      <c r="G1766" s="1" t="s">
        <v>1039</v>
      </c>
      <c r="H1766" s="6" t="str">
        <f>IFERROR(__xludf.DUMMYFUNCTION("IF(REGEXMATCH(LOWER(G1766), ""^(\?)+\s*(missing)?\s*(\?)*$""), """", PROPER(SUBSTITUTE(SUBSTITUTE(G1766, ""?"", """"), ""*"", """")))"),"Baking Mould Easter Egg Milk Choc")</f>
        <v>Baking Mould Easter Egg Milk Choc</v>
      </c>
      <c r="I1766" s="3">
        <v>6.0</v>
      </c>
      <c r="J1766" s="7">
        <v>40598.57152777778</v>
      </c>
      <c r="K1766" s="8" t="str">
        <f t="shared" si="4"/>
        <v>2011-02</v>
      </c>
      <c r="L1766" s="5">
        <v>2.95</v>
      </c>
      <c r="M1766" s="3">
        <v>18065.0</v>
      </c>
      <c r="N1766" s="1" t="str">
        <f t="shared" si="5"/>
        <v>Registered</v>
      </c>
      <c r="O1766" s="1" t="s">
        <v>19</v>
      </c>
      <c r="P1766" s="9" t="str">
        <f t="shared" si="6"/>
        <v>UK</v>
      </c>
      <c r="Q1766" s="8">
        <f t="shared" si="7"/>
        <v>17.7</v>
      </c>
    </row>
    <row r="1767">
      <c r="A1767" s="1">
        <v>544903.0</v>
      </c>
      <c r="B1767" s="1" t="str">
        <f t="shared" si="1"/>
        <v>544903</v>
      </c>
      <c r="C1767" s="1" t="str">
        <f t="shared" si="2"/>
        <v>Sale</v>
      </c>
      <c r="D1767" s="1">
        <v>22937.0</v>
      </c>
      <c r="E1767" s="1" t="str">
        <f>IFERROR(__xludf.DUMMYFUNCTION("IF(LEN(D1767)&gt;4, IFERROR(REGEXEXTRACT(TO_TEXT(D1767),""\d+""),""""),"""")"),"22937")</f>
        <v>22937</v>
      </c>
      <c r="F1767" s="6" t="str">
        <f t="shared" si="3"/>
        <v>Product</v>
      </c>
      <c r="G1767" s="1" t="s">
        <v>1040</v>
      </c>
      <c r="H1767" s="6" t="str">
        <f>IFERROR(__xludf.DUMMYFUNCTION("IF(REGEXMATCH(LOWER(G1767), ""^(\?)+\s*(missing)?\s*(\?)*$""), """", PROPER(SUBSTITUTE(SUBSTITUTE(G1767, ""?"", """"), ""*"", """")))"),"Baking Mould Chocolate Cupcakes")</f>
        <v>Baking Mould Chocolate Cupcakes</v>
      </c>
      <c r="I1767" s="3">
        <v>6.0</v>
      </c>
      <c r="J1767" s="7">
        <v>40598.57152777778</v>
      </c>
      <c r="K1767" s="8" t="str">
        <f t="shared" si="4"/>
        <v>2011-02</v>
      </c>
      <c r="L1767" s="5">
        <v>2.55</v>
      </c>
      <c r="M1767" s="3">
        <v>18065.0</v>
      </c>
      <c r="N1767" s="1" t="str">
        <f t="shared" si="5"/>
        <v>Registered</v>
      </c>
      <c r="O1767" s="1" t="s">
        <v>19</v>
      </c>
      <c r="P1767" s="9" t="str">
        <f t="shared" si="6"/>
        <v>UK</v>
      </c>
      <c r="Q1767" s="8">
        <f t="shared" si="7"/>
        <v>15.3</v>
      </c>
    </row>
    <row r="1768">
      <c r="A1768" s="1">
        <v>544903.0</v>
      </c>
      <c r="B1768" s="1" t="str">
        <f t="shared" si="1"/>
        <v>544903</v>
      </c>
      <c r="C1768" s="1" t="str">
        <f t="shared" si="2"/>
        <v>Sale</v>
      </c>
      <c r="D1768" s="1" t="s">
        <v>139</v>
      </c>
      <c r="E1768" s="1" t="str">
        <f>IFERROR(__xludf.DUMMYFUNCTION("IF(LEN(D1768)&gt;4, IFERROR(REGEXEXTRACT(TO_TEXT(D1768),""\d+""),""""),"""")"),"15056")</f>
        <v>15056</v>
      </c>
      <c r="F1768" s="6" t="str">
        <f t="shared" si="3"/>
        <v>Product</v>
      </c>
      <c r="G1768" s="1" t="s">
        <v>140</v>
      </c>
      <c r="H1768" s="6" t="str">
        <f>IFERROR(__xludf.DUMMYFUNCTION("IF(REGEXMATCH(LOWER(G1768), ""^(\?)+\s*(missing)?\s*(\?)*$""), """", PROPER(SUBSTITUTE(SUBSTITUTE(G1768, ""?"", """"), ""*"", """")))"),"Edwardian Parasol Natural")</f>
        <v>Edwardian Parasol Natural</v>
      </c>
      <c r="I1768" s="3">
        <v>6.0</v>
      </c>
      <c r="J1768" s="7">
        <v>40598.57152777778</v>
      </c>
      <c r="K1768" s="8" t="str">
        <f t="shared" si="4"/>
        <v>2011-02</v>
      </c>
      <c r="L1768" s="5">
        <v>5.95</v>
      </c>
      <c r="M1768" s="3">
        <v>18065.0</v>
      </c>
      <c r="N1768" s="1" t="str">
        <f t="shared" si="5"/>
        <v>Registered</v>
      </c>
      <c r="O1768" s="1" t="s">
        <v>19</v>
      </c>
      <c r="P1768" s="9" t="str">
        <f t="shared" si="6"/>
        <v>UK</v>
      </c>
      <c r="Q1768" s="8">
        <f t="shared" si="7"/>
        <v>35.7</v>
      </c>
    </row>
    <row r="1769">
      <c r="A1769" s="1">
        <v>544903.0</v>
      </c>
      <c r="B1769" s="1" t="str">
        <f t="shared" si="1"/>
        <v>544903</v>
      </c>
      <c r="C1769" s="1" t="str">
        <f t="shared" si="2"/>
        <v>Sale</v>
      </c>
      <c r="D1769" s="1">
        <v>20679.0</v>
      </c>
      <c r="E1769" s="1" t="str">
        <f>IFERROR(__xludf.DUMMYFUNCTION("IF(LEN(D1769)&gt;4, IFERROR(REGEXEXTRACT(TO_TEXT(D1769),""\d+""),""""),"""")"),"20679")</f>
        <v>20679</v>
      </c>
      <c r="F1769" s="6" t="str">
        <f t="shared" si="3"/>
        <v>Product</v>
      </c>
      <c r="G1769" s="1" t="s">
        <v>71</v>
      </c>
      <c r="H1769" s="6" t="str">
        <f>IFERROR(__xludf.DUMMYFUNCTION("IF(REGEXMATCH(LOWER(G1769), ""^(\?)+\s*(missing)?\s*(\?)*$""), """", PROPER(SUBSTITUTE(SUBSTITUTE(G1769, ""?"", """"), ""*"", """")))"),"Edwardian Parasol Red")</f>
        <v>Edwardian Parasol Red</v>
      </c>
      <c r="I1769" s="3">
        <v>3.0</v>
      </c>
      <c r="J1769" s="7">
        <v>40598.57152777778</v>
      </c>
      <c r="K1769" s="8" t="str">
        <f t="shared" si="4"/>
        <v>2011-02</v>
      </c>
      <c r="L1769" s="5">
        <v>5.95</v>
      </c>
      <c r="M1769" s="3">
        <v>18065.0</v>
      </c>
      <c r="N1769" s="1" t="str">
        <f t="shared" si="5"/>
        <v>Registered</v>
      </c>
      <c r="O1769" s="1" t="s">
        <v>19</v>
      </c>
      <c r="P1769" s="9" t="str">
        <f t="shared" si="6"/>
        <v>UK</v>
      </c>
      <c r="Q1769" s="8">
        <f t="shared" si="7"/>
        <v>17.85</v>
      </c>
    </row>
    <row r="1770">
      <c r="A1770" s="1">
        <v>544903.0</v>
      </c>
      <c r="B1770" s="1" t="str">
        <f t="shared" si="1"/>
        <v>544903</v>
      </c>
      <c r="C1770" s="1" t="str">
        <f t="shared" si="2"/>
        <v>Sale</v>
      </c>
      <c r="D1770" s="1" t="s">
        <v>860</v>
      </c>
      <c r="E1770" s="1" t="str">
        <f>IFERROR(__xludf.DUMMYFUNCTION("IF(LEN(D1770)&gt;4, IFERROR(REGEXEXTRACT(TO_TEXT(D1770),""\d+""),""""),"""")"),"15056")</f>
        <v>15056</v>
      </c>
      <c r="F1770" s="6" t="str">
        <f t="shared" si="3"/>
        <v>Product</v>
      </c>
      <c r="G1770" s="1" t="s">
        <v>861</v>
      </c>
      <c r="H1770" s="6" t="str">
        <f>IFERROR(__xludf.DUMMYFUNCTION("IF(REGEXMATCH(LOWER(G1770), ""^(\?)+\s*(missing)?\s*(\?)*$""), """", PROPER(SUBSTITUTE(SUBSTITUTE(G1770, ""?"", """"), ""*"", """")))"),"Edwardian Parasol Pink")</f>
        <v>Edwardian Parasol Pink</v>
      </c>
      <c r="I1770" s="3">
        <v>3.0</v>
      </c>
      <c r="J1770" s="7">
        <v>40598.57152777778</v>
      </c>
      <c r="K1770" s="8" t="str">
        <f t="shared" si="4"/>
        <v>2011-02</v>
      </c>
      <c r="L1770" s="5">
        <v>5.95</v>
      </c>
      <c r="M1770" s="3">
        <v>18065.0</v>
      </c>
      <c r="N1770" s="1" t="str">
        <f t="shared" si="5"/>
        <v>Registered</v>
      </c>
      <c r="O1770" s="1" t="s">
        <v>19</v>
      </c>
      <c r="P1770" s="9" t="str">
        <f t="shared" si="6"/>
        <v>UK</v>
      </c>
      <c r="Q1770" s="8">
        <f t="shared" si="7"/>
        <v>17.85</v>
      </c>
    </row>
    <row r="1771">
      <c r="A1771" s="1">
        <v>544903.0</v>
      </c>
      <c r="B1771" s="1" t="str">
        <f t="shared" si="1"/>
        <v>544903</v>
      </c>
      <c r="C1771" s="1" t="str">
        <f t="shared" si="2"/>
        <v>Sale</v>
      </c>
      <c r="D1771" s="1">
        <v>82582.0</v>
      </c>
      <c r="E1771" s="1" t="str">
        <f>IFERROR(__xludf.DUMMYFUNCTION("IF(LEN(D1771)&gt;4, IFERROR(REGEXEXTRACT(TO_TEXT(D1771),""\d+""),""""),"""")"),"82582")</f>
        <v>82582</v>
      </c>
      <c r="F1771" s="6" t="str">
        <f t="shared" si="3"/>
        <v>Product</v>
      </c>
      <c r="G1771" s="1" t="s">
        <v>1041</v>
      </c>
      <c r="H1771" s="6" t="str">
        <f>IFERROR(__xludf.DUMMYFUNCTION("IF(REGEXMATCH(LOWER(G1771), ""^(\?)+\s*(missing)?\s*(\?)*$""), """", PROPER(SUBSTITUTE(SUBSTITUTE(G1771, ""?"", """"), ""*"", """")))"),"Area Patrolled Metal Sign")</f>
        <v>Area Patrolled Metal Sign</v>
      </c>
      <c r="I1771" s="3">
        <v>12.0</v>
      </c>
      <c r="J1771" s="7">
        <v>40598.57152777778</v>
      </c>
      <c r="K1771" s="8" t="str">
        <f t="shared" si="4"/>
        <v>2011-02</v>
      </c>
      <c r="L1771" s="5">
        <v>2.1</v>
      </c>
      <c r="M1771" s="3">
        <v>18065.0</v>
      </c>
      <c r="N1771" s="1" t="str">
        <f t="shared" si="5"/>
        <v>Registered</v>
      </c>
      <c r="O1771" s="1" t="s">
        <v>19</v>
      </c>
      <c r="P1771" s="9" t="str">
        <f t="shared" si="6"/>
        <v>UK</v>
      </c>
      <c r="Q1771" s="8">
        <f t="shared" si="7"/>
        <v>25.2</v>
      </c>
    </row>
    <row r="1772">
      <c r="A1772" s="1">
        <v>544903.0</v>
      </c>
      <c r="B1772" s="1" t="str">
        <f t="shared" si="1"/>
        <v>544903</v>
      </c>
      <c r="C1772" s="1" t="str">
        <f t="shared" si="2"/>
        <v>Sale</v>
      </c>
      <c r="D1772" s="1">
        <v>21755.0</v>
      </c>
      <c r="E1772" s="1" t="str">
        <f>IFERROR(__xludf.DUMMYFUNCTION("IF(LEN(D1772)&gt;4, IFERROR(REGEXEXTRACT(TO_TEXT(D1772),""\d+""),""""),"""")"),"21755")</f>
        <v>21755</v>
      </c>
      <c r="F1772" s="6" t="str">
        <f t="shared" si="3"/>
        <v>Product</v>
      </c>
      <c r="G1772" s="1" t="s">
        <v>40</v>
      </c>
      <c r="H1772" s="6" t="str">
        <f>IFERROR(__xludf.DUMMYFUNCTION("IF(REGEXMATCH(LOWER(G1772), ""^(\?)+\s*(missing)?\s*(\?)*$""), """", PROPER(SUBSTITUTE(SUBSTITUTE(G1772, ""?"", """"), ""*"", """")))"),"Love Building Block Word")</f>
        <v>Love Building Block Word</v>
      </c>
      <c r="I1772" s="3">
        <v>3.0</v>
      </c>
      <c r="J1772" s="7">
        <v>40598.57152777778</v>
      </c>
      <c r="K1772" s="8" t="str">
        <f t="shared" si="4"/>
        <v>2011-02</v>
      </c>
      <c r="L1772" s="5">
        <v>5.95</v>
      </c>
      <c r="M1772" s="3">
        <v>18065.0</v>
      </c>
      <c r="N1772" s="1" t="str">
        <f t="shared" si="5"/>
        <v>Registered</v>
      </c>
      <c r="O1772" s="1" t="s">
        <v>19</v>
      </c>
      <c r="P1772" s="9" t="str">
        <f t="shared" si="6"/>
        <v>UK</v>
      </c>
      <c r="Q1772" s="8">
        <f t="shared" si="7"/>
        <v>17.85</v>
      </c>
    </row>
    <row r="1773">
      <c r="A1773" s="1">
        <v>544903.0</v>
      </c>
      <c r="B1773" s="1" t="str">
        <f t="shared" si="1"/>
        <v>544903</v>
      </c>
      <c r="C1773" s="1" t="str">
        <f t="shared" si="2"/>
        <v>Sale</v>
      </c>
      <c r="D1773" s="1">
        <v>22087.0</v>
      </c>
      <c r="E1773" s="1" t="str">
        <f>IFERROR(__xludf.DUMMYFUNCTION("IF(LEN(D1773)&gt;4, IFERROR(REGEXEXTRACT(TO_TEXT(D1773),""\d+""),""""),"""")"),"22087")</f>
        <v>22087</v>
      </c>
      <c r="F1773" s="6" t="str">
        <f t="shared" si="3"/>
        <v>Product</v>
      </c>
      <c r="G1773" s="1" t="s">
        <v>626</v>
      </c>
      <c r="H1773" s="6" t="str">
        <f>IFERROR(__xludf.DUMMYFUNCTION("IF(REGEXMATCH(LOWER(G1773), ""^(\?)+\s*(missing)?\s*(\?)*$""), """", PROPER(SUBSTITUTE(SUBSTITUTE(G1773, ""?"", """"), ""*"", """")))"),"Paper Bunting White Lace")</f>
        <v>Paper Bunting White Lace</v>
      </c>
      <c r="I1773" s="3">
        <v>6.0</v>
      </c>
      <c r="J1773" s="7">
        <v>40598.57152777778</v>
      </c>
      <c r="K1773" s="8" t="str">
        <f t="shared" si="4"/>
        <v>2011-02</v>
      </c>
      <c r="L1773" s="5">
        <v>2.95</v>
      </c>
      <c r="M1773" s="3">
        <v>18065.0</v>
      </c>
      <c r="N1773" s="1" t="str">
        <f t="shared" si="5"/>
        <v>Registered</v>
      </c>
      <c r="O1773" s="1" t="s">
        <v>19</v>
      </c>
      <c r="P1773" s="9" t="str">
        <f t="shared" si="6"/>
        <v>UK</v>
      </c>
      <c r="Q1773" s="8">
        <f t="shared" si="7"/>
        <v>17.7</v>
      </c>
    </row>
    <row r="1774">
      <c r="A1774" s="1">
        <v>544903.0</v>
      </c>
      <c r="B1774" s="1" t="str">
        <f t="shared" si="1"/>
        <v>544903</v>
      </c>
      <c r="C1774" s="1" t="str">
        <f t="shared" si="2"/>
        <v>Sale</v>
      </c>
      <c r="D1774" s="1">
        <v>22151.0</v>
      </c>
      <c r="E1774" s="1" t="str">
        <f>IFERROR(__xludf.DUMMYFUNCTION("IF(LEN(D1774)&gt;4, IFERROR(REGEXEXTRACT(TO_TEXT(D1774),""\d+""),""""),"""")"),"22151")</f>
        <v>22151</v>
      </c>
      <c r="F1774" s="6" t="str">
        <f t="shared" si="3"/>
        <v>Product</v>
      </c>
      <c r="G1774" s="1" t="s">
        <v>656</v>
      </c>
      <c r="H1774" s="6" t="str">
        <f>IFERROR(__xludf.DUMMYFUNCTION("IF(REGEXMATCH(LOWER(G1774), ""^(\?)+\s*(missing)?\s*(\?)*$""), """", PROPER(SUBSTITUTE(SUBSTITUTE(G1774, ""?"", """"), ""*"", """")))"),"Place Setting White Heart")</f>
        <v>Place Setting White Heart</v>
      </c>
      <c r="I1774" s="3">
        <v>24.0</v>
      </c>
      <c r="J1774" s="7">
        <v>40598.57152777778</v>
      </c>
      <c r="K1774" s="8" t="str">
        <f t="shared" si="4"/>
        <v>2011-02</v>
      </c>
      <c r="L1774" s="5">
        <v>0.42</v>
      </c>
      <c r="M1774" s="3">
        <v>18065.0</v>
      </c>
      <c r="N1774" s="1" t="str">
        <f t="shared" si="5"/>
        <v>Registered</v>
      </c>
      <c r="O1774" s="1" t="s">
        <v>19</v>
      </c>
      <c r="P1774" s="9" t="str">
        <f t="shared" si="6"/>
        <v>UK</v>
      </c>
      <c r="Q1774" s="8">
        <f t="shared" si="7"/>
        <v>10.08</v>
      </c>
    </row>
    <row r="1775">
      <c r="A1775" s="1">
        <v>544903.0</v>
      </c>
      <c r="B1775" s="1" t="str">
        <f t="shared" si="1"/>
        <v>544903</v>
      </c>
      <c r="C1775" s="1" t="str">
        <f t="shared" si="2"/>
        <v>Sale</v>
      </c>
      <c r="D1775" s="1" t="s">
        <v>17</v>
      </c>
      <c r="E1775" s="1" t="str">
        <f>IFERROR(__xludf.DUMMYFUNCTION("IF(LEN(D1775)&gt;4, IFERROR(REGEXEXTRACT(TO_TEXT(D1775),""\d+""),""""),"""")"),"85123")</f>
        <v>85123</v>
      </c>
      <c r="F1775" s="6" t="str">
        <f t="shared" si="3"/>
        <v>Product</v>
      </c>
      <c r="G1775" s="1" t="s">
        <v>18</v>
      </c>
      <c r="H1775" s="6" t="str">
        <f>IFERROR(__xludf.DUMMYFUNCTION("IF(REGEXMATCH(LOWER(G1775), ""^(\?)+\s*(missing)?\s*(\?)*$""), """", PROPER(SUBSTITUTE(SUBSTITUTE(G1775, ""?"", """"), ""*"", """")))"),"White Hanging Heart T-Light Holder")</f>
        <v>White Hanging Heart T-Light Holder</v>
      </c>
      <c r="I1775" s="3">
        <v>6.0</v>
      </c>
      <c r="J1775" s="7">
        <v>40598.57152777778</v>
      </c>
      <c r="K1775" s="8" t="str">
        <f t="shared" si="4"/>
        <v>2011-02</v>
      </c>
      <c r="L1775" s="5">
        <v>2.95</v>
      </c>
      <c r="M1775" s="3">
        <v>18065.0</v>
      </c>
      <c r="N1775" s="1" t="str">
        <f t="shared" si="5"/>
        <v>Registered</v>
      </c>
      <c r="O1775" s="1" t="s">
        <v>19</v>
      </c>
      <c r="P1775" s="9" t="str">
        <f t="shared" si="6"/>
        <v>UK</v>
      </c>
      <c r="Q1775" s="8">
        <f t="shared" si="7"/>
        <v>17.7</v>
      </c>
    </row>
    <row r="1776">
      <c r="A1776" s="1">
        <v>544903.0</v>
      </c>
      <c r="B1776" s="1" t="str">
        <f t="shared" si="1"/>
        <v>544903</v>
      </c>
      <c r="C1776" s="1" t="str">
        <f t="shared" si="2"/>
        <v>Sale</v>
      </c>
      <c r="D1776" s="1">
        <v>22077.0</v>
      </c>
      <c r="E1776" s="1" t="str">
        <f>IFERROR(__xludf.DUMMYFUNCTION("IF(LEN(D1776)&gt;4, IFERROR(REGEXEXTRACT(TO_TEXT(D1776),""\d+""),""""),"""")"),"22077")</f>
        <v>22077</v>
      </c>
      <c r="F1776" s="6" t="str">
        <f t="shared" si="3"/>
        <v>Product</v>
      </c>
      <c r="G1776" s="1" t="s">
        <v>443</v>
      </c>
      <c r="H1776" s="6" t="str">
        <f>IFERROR(__xludf.DUMMYFUNCTION("IF(REGEXMATCH(LOWER(G1776), ""^(\?)+\s*(missing)?\s*(\?)*$""), """", PROPER(SUBSTITUTE(SUBSTITUTE(G1776, ""?"", """"), ""*"", """")))"),"6 Ribbons Rustic Charm")</f>
        <v>6 Ribbons Rustic Charm</v>
      </c>
      <c r="I1776" s="3">
        <v>12.0</v>
      </c>
      <c r="J1776" s="7">
        <v>40598.57152777778</v>
      </c>
      <c r="K1776" s="8" t="str">
        <f t="shared" si="4"/>
        <v>2011-02</v>
      </c>
      <c r="L1776" s="5">
        <v>1.65</v>
      </c>
      <c r="M1776" s="3">
        <v>18065.0</v>
      </c>
      <c r="N1776" s="1" t="str">
        <f t="shared" si="5"/>
        <v>Registered</v>
      </c>
      <c r="O1776" s="1" t="s">
        <v>19</v>
      </c>
      <c r="P1776" s="9" t="str">
        <f t="shared" si="6"/>
        <v>UK</v>
      </c>
      <c r="Q1776" s="8">
        <f t="shared" si="7"/>
        <v>19.8</v>
      </c>
    </row>
    <row r="1777">
      <c r="A1777" s="1">
        <v>544903.0</v>
      </c>
      <c r="B1777" s="1" t="str">
        <f t="shared" si="1"/>
        <v>544903</v>
      </c>
      <c r="C1777" s="1" t="str">
        <f t="shared" si="2"/>
        <v>Sale</v>
      </c>
      <c r="D1777" s="1">
        <v>22878.0</v>
      </c>
      <c r="E1777" s="1" t="str">
        <f>IFERROR(__xludf.DUMMYFUNCTION("IF(LEN(D1777)&gt;4, IFERROR(REGEXEXTRACT(TO_TEXT(D1777),""\d+""),""""),"""")"),"22878")</f>
        <v>22878</v>
      </c>
      <c r="F1777" s="6" t="str">
        <f t="shared" si="3"/>
        <v>Product</v>
      </c>
      <c r="G1777" s="1" t="s">
        <v>1042</v>
      </c>
      <c r="H1777" s="6" t="str">
        <f>IFERROR(__xludf.DUMMYFUNCTION("IF(REGEXMATCH(LOWER(G1777), ""^(\?)+\s*(missing)?\s*(\?)*$""), """", PROPER(SUBSTITUTE(SUBSTITUTE(G1777, ""?"", """"), ""*"", """")))"),"Number Tile Cottage Garden No")</f>
        <v>Number Tile Cottage Garden No</v>
      </c>
      <c r="I1777" s="3">
        <v>6.0</v>
      </c>
      <c r="J1777" s="7">
        <v>40598.57152777778</v>
      </c>
      <c r="K1777" s="8" t="str">
        <f t="shared" si="4"/>
        <v>2011-02</v>
      </c>
      <c r="L1777" s="5">
        <v>2.1</v>
      </c>
      <c r="M1777" s="3">
        <v>18065.0</v>
      </c>
      <c r="N1777" s="1" t="str">
        <f t="shared" si="5"/>
        <v>Registered</v>
      </c>
      <c r="O1777" s="1" t="s">
        <v>19</v>
      </c>
      <c r="P1777" s="9" t="str">
        <f t="shared" si="6"/>
        <v>UK</v>
      </c>
      <c r="Q1777" s="8">
        <f t="shared" si="7"/>
        <v>12.6</v>
      </c>
    </row>
    <row r="1778">
      <c r="A1778" s="1">
        <v>544903.0</v>
      </c>
      <c r="B1778" s="1" t="str">
        <f t="shared" si="1"/>
        <v>544903</v>
      </c>
      <c r="C1778" s="1" t="str">
        <f t="shared" si="2"/>
        <v>Sale</v>
      </c>
      <c r="D1778" s="1">
        <v>22869.0</v>
      </c>
      <c r="E1778" s="1" t="str">
        <f>IFERROR(__xludf.DUMMYFUNCTION("IF(LEN(D1778)&gt;4, IFERROR(REGEXEXTRACT(TO_TEXT(D1778),""\d+""),""""),"""")"),"22869")</f>
        <v>22869</v>
      </c>
      <c r="F1778" s="6" t="str">
        <f t="shared" si="3"/>
        <v>Product</v>
      </c>
      <c r="G1778" s="1" t="s">
        <v>1043</v>
      </c>
      <c r="H1778" s="6" t="str">
        <f>IFERROR(__xludf.DUMMYFUNCTION("IF(REGEXMATCH(LOWER(G1778), ""^(\?)+\s*(missing)?\s*(\?)*$""), """", PROPER(SUBSTITUTE(SUBSTITUTE(G1778, ""?"", """"), ""*"", """")))"),"Number Tile Cottage Garden 1")</f>
        <v>Number Tile Cottage Garden 1</v>
      </c>
      <c r="I1778" s="3">
        <v>8.0</v>
      </c>
      <c r="J1778" s="7">
        <v>40598.57152777778</v>
      </c>
      <c r="K1778" s="8" t="str">
        <f t="shared" si="4"/>
        <v>2011-02</v>
      </c>
      <c r="L1778" s="5">
        <v>1.95</v>
      </c>
      <c r="M1778" s="3">
        <v>18065.0</v>
      </c>
      <c r="N1778" s="1" t="str">
        <f t="shared" si="5"/>
        <v>Registered</v>
      </c>
      <c r="O1778" s="1" t="s">
        <v>19</v>
      </c>
      <c r="P1778" s="9" t="str">
        <f t="shared" si="6"/>
        <v>UK</v>
      </c>
      <c r="Q1778" s="8">
        <f t="shared" si="7"/>
        <v>15.6</v>
      </c>
    </row>
    <row r="1779">
      <c r="A1779" s="1">
        <v>544903.0</v>
      </c>
      <c r="B1779" s="1" t="str">
        <f t="shared" si="1"/>
        <v>544903</v>
      </c>
      <c r="C1779" s="1" t="str">
        <f t="shared" si="2"/>
        <v>Sale</v>
      </c>
      <c r="D1779" s="1">
        <v>22870.0</v>
      </c>
      <c r="E1779" s="1" t="str">
        <f>IFERROR(__xludf.DUMMYFUNCTION("IF(LEN(D1779)&gt;4, IFERROR(REGEXEXTRACT(TO_TEXT(D1779),""\d+""),""""),"""")"),"22870")</f>
        <v>22870</v>
      </c>
      <c r="F1779" s="6" t="str">
        <f t="shared" si="3"/>
        <v>Product</v>
      </c>
      <c r="G1779" s="1" t="s">
        <v>1044</v>
      </c>
      <c r="H1779" s="6" t="str">
        <f>IFERROR(__xludf.DUMMYFUNCTION("IF(REGEXMATCH(LOWER(G1779), ""^(\?)+\s*(missing)?\s*(\?)*$""), """", PROPER(SUBSTITUTE(SUBSTITUTE(G1779, ""?"", """"), ""*"", """")))"),"Number Tile Cottage Garden 2")</f>
        <v>Number Tile Cottage Garden 2</v>
      </c>
      <c r="I1779" s="3">
        <v>8.0</v>
      </c>
      <c r="J1779" s="7">
        <v>40598.57152777778</v>
      </c>
      <c r="K1779" s="8" t="str">
        <f t="shared" si="4"/>
        <v>2011-02</v>
      </c>
      <c r="L1779" s="5">
        <v>1.95</v>
      </c>
      <c r="M1779" s="3">
        <v>18065.0</v>
      </c>
      <c r="N1779" s="1" t="str">
        <f t="shared" si="5"/>
        <v>Registered</v>
      </c>
      <c r="O1779" s="1" t="s">
        <v>19</v>
      </c>
      <c r="P1779" s="9" t="str">
        <f t="shared" si="6"/>
        <v>UK</v>
      </c>
      <c r="Q1779" s="8">
        <f t="shared" si="7"/>
        <v>15.6</v>
      </c>
    </row>
    <row r="1780">
      <c r="A1780" s="1">
        <v>544903.0</v>
      </c>
      <c r="B1780" s="1" t="str">
        <f t="shared" si="1"/>
        <v>544903</v>
      </c>
      <c r="C1780" s="1" t="str">
        <f t="shared" si="2"/>
        <v>Sale</v>
      </c>
      <c r="D1780" s="1">
        <v>22872.0</v>
      </c>
      <c r="E1780" s="1" t="str">
        <f>IFERROR(__xludf.DUMMYFUNCTION("IF(LEN(D1780)&gt;4, IFERROR(REGEXEXTRACT(TO_TEXT(D1780),""\d+""),""""),"""")"),"22872")</f>
        <v>22872</v>
      </c>
      <c r="F1780" s="6" t="str">
        <f t="shared" si="3"/>
        <v>Product</v>
      </c>
      <c r="G1780" s="1" t="s">
        <v>1045</v>
      </c>
      <c r="H1780" s="6" t="str">
        <f>IFERROR(__xludf.DUMMYFUNCTION("IF(REGEXMATCH(LOWER(G1780), ""^(\?)+\s*(missing)?\s*(\?)*$""), """", PROPER(SUBSTITUTE(SUBSTITUTE(G1780, ""?"", """"), ""*"", """")))"),"Number Tile Cottage Garden 4")</f>
        <v>Number Tile Cottage Garden 4</v>
      </c>
      <c r="I1780" s="3">
        <v>8.0</v>
      </c>
      <c r="J1780" s="7">
        <v>40598.57152777778</v>
      </c>
      <c r="K1780" s="8" t="str">
        <f t="shared" si="4"/>
        <v>2011-02</v>
      </c>
      <c r="L1780" s="5">
        <v>1.95</v>
      </c>
      <c r="M1780" s="3">
        <v>18065.0</v>
      </c>
      <c r="N1780" s="1" t="str">
        <f t="shared" si="5"/>
        <v>Registered</v>
      </c>
      <c r="O1780" s="1" t="s">
        <v>19</v>
      </c>
      <c r="P1780" s="9" t="str">
        <f t="shared" si="6"/>
        <v>UK</v>
      </c>
      <c r="Q1780" s="8">
        <f t="shared" si="7"/>
        <v>15.6</v>
      </c>
    </row>
    <row r="1781">
      <c r="A1781" s="1">
        <v>544904.0</v>
      </c>
      <c r="B1781" s="1" t="str">
        <f t="shared" si="1"/>
        <v>544904</v>
      </c>
      <c r="C1781" s="1" t="str">
        <f t="shared" si="2"/>
        <v>Sale</v>
      </c>
      <c r="D1781" s="1">
        <v>21844.0</v>
      </c>
      <c r="E1781" s="1" t="str">
        <f>IFERROR(__xludf.DUMMYFUNCTION("IF(LEN(D1781)&gt;4, IFERROR(REGEXEXTRACT(TO_TEXT(D1781),""\d+""),""""),"""")"),"21844")</f>
        <v>21844</v>
      </c>
      <c r="F1781" s="6" t="str">
        <f t="shared" si="3"/>
        <v>Product</v>
      </c>
      <c r="G1781" s="1" t="s">
        <v>261</v>
      </c>
      <c r="H1781" s="6" t="str">
        <f>IFERROR(__xludf.DUMMYFUNCTION("IF(REGEXMATCH(LOWER(G1781), ""^(\?)+\s*(missing)?\s*(\?)*$""), """", PROPER(SUBSTITUTE(SUBSTITUTE(G1781, ""?"", """"), ""*"", """")))"),"Red Retrospot Mug")</f>
        <v>Red Retrospot Mug</v>
      </c>
      <c r="I1781" s="3">
        <v>6.0</v>
      </c>
      <c r="J1781" s="7">
        <v>40598.57361111111</v>
      </c>
      <c r="K1781" s="8" t="str">
        <f t="shared" si="4"/>
        <v>2011-02</v>
      </c>
      <c r="L1781" s="5">
        <v>2.95</v>
      </c>
      <c r="M1781" s="3">
        <v>13018.0</v>
      </c>
      <c r="N1781" s="1" t="str">
        <f t="shared" si="5"/>
        <v>Registered</v>
      </c>
      <c r="O1781" s="1" t="s">
        <v>19</v>
      </c>
      <c r="P1781" s="9" t="str">
        <f t="shared" si="6"/>
        <v>UK</v>
      </c>
      <c r="Q1781" s="8">
        <f t="shared" si="7"/>
        <v>17.7</v>
      </c>
    </row>
    <row r="1782">
      <c r="A1782" s="1">
        <v>544904.0</v>
      </c>
      <c r="B1782" s="1" t="str">
        <f t="shared" si="1"/>
        <v>544904</v>
      </c>
      <c r="C1782" s="1" t="str">
        <f t="shared" si="2"/>
        <v>Sale</v>
      </c>
      <c r="D1782" s="1">
        <v>21539.0</v>
      </c>
      <c r="E1782" s="1" t="str">
        <f>IFERROR(__xludf.DUMMYFUNCTION("IF(LEN(D1782)&gt;4, IFERROR(REGEXEXTRACT(TO_TEXT(D1782),""\d+""),""""),"""")"),"21539")</f>
        <v>21539</v>
      </c>
      <c r="F1782" s="6" t="str">
        <f t="shared" si="3"/>
        <v>Product</v>
      </c>
      <c r="G1782" s="1" t="s">
        <v>1007</v>
      </c>
      <c r="H1782" s="6" t="str">
        <f>IFERROR(__xludf.DUMMYFUNCTION("IF(REGEXMATCH(LOWER(G1782), ""^(\?)+\s*(missing)?\s*(\?)*$""), """", PROPER(SUBSTITUTE(SUBSTITUTE(G1782, ""?"", """"), ""*"", """")))"),"Red Retrospot Butter Dish")</f>
        <v>Red Retrospot Butter Dish</v>
      </c>
      <c r="I1782" s="3">
        <v>3.0</v>
      </c>
      <c r="J1782" s="7">
        <v>40598.57361111111</v>
      </c>
      <c r="K1782" s="8" t="str">
        <f t="shared" si="4"/>
        <v>2011-02</v>
      </c>
      <c r="L1782" s="5">
        <v>4.95</v>
      </c>
      <c r="M1782" s="3">
        <v>13018.0</v>
      </c>
      <c r="N1782" s="1" t="str">
        <f t="shared" si="5"/>
        <v>Registered</v>
      </c>
      <c r="O1782" s="1" t="s">
        <v>19</v>
      </c>
      <c r="P1782" s="9" t="str">
        <f t="shared" si="6"/>
        <v>UK</v>
      </c>
      <c r="Q1782" s="8">
        <f t="shared" si="7"/>
        <v>14.85</v>
      </c>
    </row>
    <row r="1783">
      <c r="A1783" s="1">
        <v>544904.0</v>
      </c>
      <c r="B1783" s="1" t="str">
        <f t="shared" si="1"/>
        <v>544904</v>
      </c>
      <c r="C1783" s="1" t="str">
        <f t="shared" si="2"/>
        <v>Sale</v>
      </c>
      <c r="D1783" s="1">
        <v>21535.0</v>
      </c>
      <c r="E1783" s="1" t="str">
        <f>IFERROR(__xludf.DUMMYFUNCTION("IF(LEN(D1783)&gt;4, IFERROR(REGEXEXTRACT(TO_TEXT(D1783),""\d+""),""""),"""")"),"21535")</f>
        <v>21535</v>
      </c>
      <c r="F1783" s="6" t="str">
        <f t="shared" si="3"/>
        <v>Product</v>
      </c>
      <c r="G1783" s="1" t="s">
        <v>817</v>
      </c>
      <c r="H1783" s="6" t="str">
        <f>IFERROR(__xludf.DUMMYFUNCTION("IF(REGEXMATCH(LOWER(G1783), ""^(\?)+\s*(missing)?\s*(\?)*$""), """", PROPER(SUBSTITUTE(SUBSTITUTE(G1783, ""?"", """"), ""*"", """")))"),"Red Retrospot Small Milk Jug")</f>
        <v>Red Retrospot Small Milk Jug</v>
      </c>
      <c r="I1783" s="3">
        <v>6.0</v>
      </c>
      <c r="J1783" s="7">
        <v>40598.57361111111</v>
      </c>
      <c r="K1783" s="8" t="str">
        <f t="shared" si="4"/>
        <v>2011-02</v>
      </c>
      <c r="L1783" s="5">
        <v>2.55</v>
      </c>
      <c r="M1783" s="3">
        <v>13018.0</v>
      </c>
      <c r="N1783" s="1" t="str">
        <f t="shared" si="5"/>
        <v>Registered</v>
      </c>
      <c r="O1783" s="1" t="s">
        <v>19</v>
      </c>
      <c r="P1783" s="9" t="str">
        <f t="shared" si="6"/>
        <v>UK</v>
      </c>
      <c r="Q1783" s="8">
        <f t="shared" si="7"/>
        <v>15.3</v>
      </c>
    </row>
    <row r="1784">
      <c r="A1784" s="1">
        <v>544904.0</v>
      </c>
      <c r="B1784" s="1" t="str">
        <f t="shared" si="1"/>
        <v>544904</v>
      </c>
      <c r="C1784" s="1" t="str">
        <f t="shared" si="2"/>
        <v>Sale</v>
      </c>
      <c r="D1784" s="1">
        <v>21217.0</v>
      </c>
      <c r="E1784" s="1" t="str">
        <f>IFERROR(__xludf.DUMMYFUNCTION("IF(LEN(D1784)&gt;4, IFERROR(REGEXEXTRACT(TO_TEXT(D1784),""\d+""),""""),"""")"),"21217")</f>
        <v>21217</v>
      </c>
      <c r="F1784" s="6" t="str">
        <f t="shared" si="3"/>
        <v>Product</v>
      </c>
      <c r="G1784" s="1" t="s">
        <v>818</v>
      </c>
      <c r="H1784" s="6" t="str">
        <f>IFERROR(__xludf.DUMMYFUNCTION("IF(REGEXMATCH(LOWER(G1784), ""^(\?)+\s*(missing)?\s*(\?)*$""), """", PROPER(SUBSTITUTE(SUBSTITUTE(G1784, ""?"", """"), ""*"", """")))"),"Red Retrospot Round Cake Tins")</f>
        <v>Red Retrospot Round Cake Tins</v>
      </c>
      <c r="I1784" s="3">
        <v>1.0</v>
      </c>
      <c r="J1784" s="7">
        <v>40598.57361111111</v>
      </c>
      <c r="K1784" s="8" t="str">
        <f t="shared" si="4"/>
        <v>2011-02</v>
      </c>
      <c r="L1784" s="5">
        <v>9.95</v>
      </c>
      <c r="M1784" s="3">
        <v>13018.0</v>
      </c>
      <c r="N1784" s="1" t="str">
        <f t="shared" si="5"/>
        <v>Registered</v>
      </c>
      <c r="O1784" s="1" t="s">
        <v>19</v>
      </c>
      <c r="P1784" s="9" t="str">
        <f t="shared" si="6"/>
        <v>UK</v>
      </c>
      <c r="Q1784" s="8">
        <f t="shared" si="7"/>
        <v>9.95</v>
      </c>
    </row>
    <row r="1785">
      <c r="A1785" s="1">
        <v>544904.0</v>
      </c>
      <c r="B1785" s="1" t="str">
        <f t="shared" si="1"/>
        <v>544904</v>
      </c>
      <c r="C1785" s="1" t="str">
        <f t="shared" si="2"/>
        <v>Sale</v>
      </c>
      <c r="D1785" s="1">
        <v>22072.0</v>
      </c>
      <c r="E1785" s="1" t="str">
        <f>IFERROR(__xludf.DUMMYFUNCTION("IF(LEN(D1785)&gt;4, IFERROR(REGEXEXTRACT(TO_TEXT(D1785),""\d+""),""""),"""")"),"22072")</f>
        <v>22072</v>
      </c>
      <c r="F1785" s="6" t="str">
        <f t="shared" si="3"/>
        <v>Product</v>
      </c>
      <c r="G1785" s="1" t="s">
        <v>990</v>
      </c>
      <c r="H1785" s="6" t="str">
        <f>IFERROR(__xludf.DUMMYFUNCTION("IF(REGEXMATCH(LOWER(G1785), ""^(\?)+\s*(missing)?\s*(\?)*$""), """", PROPER(SUBSTITUTE(SUBSTITUTE(G1785, ""?"", """"), ""*"", """")))"),"Red Retrospot Tea Cup And Saucer")</f>
        <v>Red Retrospot Tea Cup And Saucer</v>
      </c>
      <c r="I1785" s="3">
        <v>4.0</v>
      </c>
      <c r="J1785" s="7">
        <v>40598.57361111111</v>
      </c>
      <c r="K1785" s="8" t="str">
        <f t="shared" si="4"/>
        <v>2011-02</v>
      </c>
      <c r="L1785" s="5">
        <v>3.75</v>
      </c>
      <c r="M1785" s="3">
        <v>13018.0</v>
      </c>
      <c r="N1785" s="1" t="str">
        <f t="shared" si="5"/>
        <v>Registered</v>
      </c>
      <c r="O1785" s="1" t="s">
        <v>19</v>
      </c>
      <c r="P1785" s="9" t="str">
        <f t="shared" si="6"/>
        <v>UK</v>
      </c>
      <c r="Q1785" s="8">
        <f t="shared" si="7"/>
        <v>15</v>
      </c>
    </row>
    <row r="1786">
      <c r="A1786" s="1">
        <v>544904.0</v>
      </c>
      <c r="B1786" s="1" t="str">
        <f t="shared" si="1"/>
        <v>544904</v>
      </c>
      <c r="C1786" s="1" t="str">
        <f t="shared" si="2"/>
        <v>Sale</v>
      </c>
      <c r="D1786" s="1">
        <v>22659.0</v>
      </c>
      <c r="E1786" s="1" t="str">
        <f>IFERROR(__xludf.DUMMYFUNCTION("IF(LEN(D1786)&gt;4, IFERROR(REGEXEXTRACT(TO_TEXT(D1786),""\d+""),""""),"""")"),"22659")</f>
        <v>22659</v>
      </c>
      <c r="F1786" s="6" t="str">
        <f t="shared" si="3"/>
        <v>Product</v>
      </c>
      <c r="G1786" s="1" t="s">
        <v>59</v>
      </c>
      <c r="H1786" s="6" t="str">
        <f>IFERROR(__xludf.DUMMYFUNCTION("IF(REGEXMATCH(LOWER(G1786), ""^(\?)+\s*(missing)?\s*(\?)*$""), """", PROPER(SUBSTITUTE(SUBSTITUTE(G1786, ""?"", """"), ""*"", """")))"),"Lunch Box I Love London")</f>
        <v>Lunch Box I Love London</v>
      </c>
      <c r="I1786" s="3">
        <v>12.0</v>
      </c>
      <c r="J1786" s="7">
        <v>40598.57361111111</v>
      </c>
      <c r="K1786" s="8" t="str">
        <f t="shared" si="4"/>
        <v>2011-02</v>
      </c>
      <c r="L1786" s="5">
        <v>1.95</v>
      </c>
      <c r="M1786" s="3">
        <v>13018.0</v>
      </c>
      <c r="N1786" s="1" t="str">
        <f t="shared" si="5"/>
        <v>Registered</v>
      </c>
      <c r="O1786" s="1" t="s">
        <v>19</v>
      </c>
      <c r="P1786" s="9" t="str">
        <f t="shared" si="6"/>
        <v>UK</v>
      </c>
      <c r="Q1786" s="8">
        <f t="shared" si="7"/>
        <v>23.4</v>
      </c>
    </row>
    <row r="1787">
      <c r="A1787" s="1">
        <v>544904.0</v>
      </c>
      <c r="B1787" s="1" t="str">
        <f t="shared" si="1"/>
        <v>544904</v>
      </c>
      <c r="C1787" s="1" t="str">
        <f t="shared" si="2"/>
        <v>Sale</v>
      </c>
      <c r="D1787" s="1">
        <v>22900.0</v>
      </c>
      <c r="E1787" s="1" t="str">
        <f>IFERROR(__xludf.DUMMYFUNCTION("IF(LEN(D1787)&gt;4, IFERROR(REGEXEXTRACT(TO_TEXT(D1787),""\d+""),""""),"""")"),"22900")</f>
        <v>22900</v>
      </c>
      <c r="F1787" s="6" t="str">
        <f t="shared" si="3"/>
        <v>Product</v>
      </c>
      <c r="G1787" s="1" t="s">
        <v>63</v>
      </c>
      <c r="H1787" s="6" t="str">
        <f>IFERROR(__xludf.DUMMYFUNCTION("IF(REGEXMATCH(LOWER(G1787), ""^(\?)+\s*(missing)?\s*(\?)*$""), """", PROPER(SUBSTITUTE(SUBSTITUTE(G1787, ""?"", """"), ""*"", """")))"),"Set 2 Tea Towels I Love London")</f>
        <v>Set 2 Tea Towels I Love London</v>
      </c>
      <c r="I1787" s="3">
        <v>6.0</v>
      </c>
      <c r="J1787" s="7">
        <v>40598.57361111111</v>
      </c>
      <c r="K1787" s="8" t="str">
        <f t="shared" si="4"/>
        <v>2011-02</v>
      </c>
      <c r="L1787" s="5">
        <v>2.95</v>
      </c>
      <c r="M1787" s="3">
        <v>13018.0</v>
      </c>
      <c r="N1787" s="1" t="str">
        <f t="shared" si="5"/>
        <v>Registered</v>
      </c>
      <c r="O1787" s="1" t="s">
        <v>19</v>
      </c>
      <c r="P1787" s="9" t="str">
        <f t="shared" si="6"/>
        <v>UK</v>
      </c>
      <c r="Q1787" s="8">
        <f t="shared" si="7"/>
        <v>17.7</v>
      </c>
    </row>
    <row r="1788">
      <c r="A1788" s="1">
        <v>544904.0</v>
      </c>
      <c r="B1788" s="1" t="str">
        <f t="shared" si="1"/>
        <v>544904</v>
      </c>
      <c r="C1788" s="1" t="str">
        <f t="shared" si="2"/>
        <v>Sale</v>
      </c>
      <c r="D1788" s="1">
        <v>22720.0</v>
      </c>
      <c r="E1788" s="1" t="str">
        <f>IFERROR(__xludf.DUMMYFUNCTION("IF(LEN(D1788)&gt;4, IFERROR(REGEXEXTRACT(TO_TEXT(D1788),""\d+""),""""),"""")"),"22720")</f>
        <v>22720</v>
      </c>
      <c r="F1788" s="6" t="str">
        <f t="shared" si="3"/>
        <v>Product</v>
      </c>
      <c r="G1788" s="1" t="s">
        <v>685</v>
      </c>
      <c r="H1788" s="6" t="str">
        <f>IFERROR(__xludf.DUMMYFUNCTION("IF(REGEXMATCH(LOWER(G1788), ""^(\?)+\s*(missing)?\s*(\?)*$""), """", PROPER(SUBSTITUTE(SUBSTITUTE(G1788, ""?"", """"), ""*"", """")))"),"Set Of 3 Cake Tins Pantry Design")</f>
        <v>Set Of 3 Cake Tins Pantry Design</v>
      </c>
      <c r="I1788" s="3">
        <v>3.0</v>
      </c>
      <c r="J1788" s="7">
        <v>40598.57361111111</v>
      </c>
      <c r="K1788" s="8" t="str">
        <f t="shared" si="4"/>
        <v>2011-02</v>
      </c>
      <c r="L1788" s="5">
        <v>4.95</v>
      </c>
      <c r="M1788" s="3">
        <v>13018.0</v>
      </c>
      <c r="N1788" s="1" t="str">
        <f t="shared" si="5"/>
        <v>Registered</v>
      </c>
      <c r="O1788" s="1" t="s">
        <v>19</v>
      </c>
      <c r="P1788" s="9" t="str">
        <f t="shared" si="6"/>
        <v>UK</v>
      </c>
      <c r="Q1788" s="8">
        <f t="shared" si="7"/>
        <v>14.85</v>
      </c>
    </row>
    <row r="1789">
      <c r="A1789" s="1">
        <v>544904.0</v>
      </c>
      <c r="B1789" s="1" t="str">
        <f t="shared" si="1"/>
        <v>544904</v>
      </c>
      <c r="C1789" s="1" t="str">
        <f t="shared" si="2"/>
        <v>Sale</v>
      </c>
      <c r="D1789" s="1">
        <v>22722.0</v>
      </c>
      <c r="E1789" s="1" t="str">
        <f>IFERROR(__xludf.DUMMYFUNCTION("IF(LEN(D1789)&gt;4, IFERROR(REGEXEXTRACT(TO_TEXT(D1789),""\d+""),""""),"""")"),"22722")</f>
        <v>22722</v>
      </c>
      <c r="F1789" s="6" t="str">
        <f t="shared" si="3"/>
        <v>Product</v>
      </c>
      <c r="G1789" s="1" t="s">
        <v>686</v>
      </c>
      <c r="H1789" s="6" t="str">
        <f>IFERROR(__xludf.DUMMYFUNCTION("IF(REGEXMATCH(LOWER(G1789), ""^(\?)+\s*(missing)?\s*(\?)*$""), """", PROPER(SUBSTITUTE(SUBSTITUTE(G1789, ""?"", """"), ""*"", """")))"),"Set Of 6 Spice Tins Pantry Design")</f>
        <v>Set Of 6 Spice Tins Pantry Design</v>
      </c>
      <c r="I1789" s="3">
        <v>4.0</v>
      </c>
      <c r="J1789" s="7">
        <v>40598.57361111111</v>
      </c>
      <c r="K1789" s="8" t="str">
        <f t="shared" si="4"/>
        <v>2011-02</v>
      </c>
      <c r="L1789" s="5">
        <v>3.95</v>
      </c>
      <c r="M1789" s="3">
        <v>13018.0</v>
      </c>
      <c r="N1789" s="1" t="str">
        <f t="shared" si="5"/>
        <v>Registered</v>
      </c>
      <c r="O1789" s="1" t="s">
        <v>19</v>
      </c>
      <c r="P1789" s="9" t="str">
        <f t="shared" si="6"/>
        <v>UK</v>
      </c>
      <c r="Q1789" s="8">
        <f t="shared" si="7"/>
        <v>15.8</v>
      </c>
    </row>
    <row r="1790">
      <c r="A1790" s="1">
        <v>544904.0</v>
      </c>
      <c r="B1790" s="1" t="str">
        <f t="shared" si="1"/>
        <v>544904</v>
      </c>
      <c r="C1790" s="1" t="str">
        <f t="shared" si="2"/>
        <v>Sale</v>
      </c>
      <c r="D1790" s="1">
        <v>22989.0</v>
      </c>
      <c r="E1790" s="1" t="str">
        <f>IFERROR(__xludf.DUMMYFUNCTION("IF(LEN(D1790)&gt;4, IFERROR(REGEXEXTRACT(TO_TEXT(D1790),""\d+""),""""),"""")"),"22989")</f>
        <v>22989</v>
      </c>
      <c r="F1790" s="6" t="str">
        <f t="shared" si="3"/>
        <v>Product</v>
      </c>
      <c r="G1790" s="1" t="s">
        <v>1046</v>
      </c>
      <c r="H1790" s="6" t="str">
        <f>IFERROR(__xludf.DUMMYFUNCTION("IF(REGEXMATCH(LOWER(G1790), ""^(\?)+\s*(missing)?\s*(\?)*$""), """", PROPER(SUBSTITUTE(SUBSTITUTE(G1790, ""?"", """"), ""*"", """")))"),"Set 2 Pantry Design Tea Towels")</f>
        <v>Set 2 Pantry Design Tea Towels</v>
      </c>
      <c r="I1790" s="3">
        <v>6.0</v>
      </c>
      <c r="J1790" s="7">
        <v>40598.57361111111</v>
      </c>
      <c r="K1790" s="8" t="str">
        <f t="shared" si="4"/>
        <v>2011-02</v>
      </c>
      <c r="L1790" s="5">
        <v>3.25</v>
      </c>
      <c r="M1790" s="3">
        <v>13018.0</v>
      </c>
      <c r="N1790" s="1" t="str">
        <f t="shared" si="5"/>
        <v>Registered</v>
      </c>
      <c r="O1790" s="1" t="s">
        <v>19</v>
      </c>
      <c r="P1790" s="9" t="str">
        <f t="shared" si="6"/>
        <v>UK</v>
      </c>
      <c r="Q1790" s="8">
        <f t="shared" si="7"/>
        <v>19.5</v>
      </c>
    </row>
    <row r="1791">
      <c r="A1791" s="1">
        <v>544904.0</v>
      </c>
      <c r="B1791" s="1" t="str">
        <f t="shared" si="1"/>
        <v>544904</v>
      </c>
      <c r="C1791" s="1" t="str">
        <f t="shared" si="2"/>
        <v>Sale</v>
      </c>
      <c r="D1791" s="1">
        <v>22961.0</v>
      </c>
      <c r="E1791" s="1" t="str">
        <f>IFERROR(__xludf.DUMMYFUNCTION("IF(LEN(D1791)&gt;4, IFERROR(REGEXEXTRACT(TO_TEXT(D1791),""\d+""),""""),"""")"),"22961")</f>
        <v>22961</v>
      </c>
      <c r="F1791" s="6" t="str">
        <f t="shared" si="3"/>
        <v>Product</v>
      </c>
      <c r="G1791" s="1" t="s">
        <v>109</v>
      </c>
      <c r="H1791" s="6" t="str">
        <f>IFERROR(__xludf.DUMMYFUNCTION("IF(REGEXMATCH(LOWER(G1791), ""^(\?)+\s*(missing)?\s*(\?)*$""), """", PROPER(SUBSTITUTE(SUBSTITUTE(G1791, ""?"", """"), ""*"", """")))"),"Jam Making Set Printed")</f>
        <v>Jam Making Set Printed</v>
      </c>
      <c r="I1791" s="3">
        <v>12.0</v>
      </c>
      <c r="J1791" s="7">
        <v>40598.57361111111</v>
      </c>
      <c r="K1791" s="8" t="str">
        <f t="shared" si="4"/>
        <v>2011-02</v>
      </c>
      <c r="L1791" s="5">
        <v>1.45</v>
      </c>
      <c r="M1791" s="3">
        <v>13018.0</v>
      </c>
      <c r="N1791" s="1" t="str">
        <f t="shared" si="5"/>
        <v>Registered</v>
      </c>
      <c r="O1791" s="1" t="s">
        <v>19</v>
      </c>
      <c r="P1791" s="9" t="str">
        <f t="shared" si="6"/>
        <v>UK</v>
      </c>
      <c r="Q1791" s="8">
        <f t="shared" si="7"/>
        <v>17.4</v>
      </c>
    </row>
    <row r="1792">
      <c r="A1792" s="1">
        <v>544904.0</v>
      </c>
      <c r="B1792" s="1" t="str">
        <f t="shared" si="1"/>
        <v>544904</v>
      </c>
      <c r="C1792" s="1" t="str">
        <f t="shared" si="2"/>
        <v>Sale</v>
      </c>
      <c r="D1792" s="1">
        <v>22660.0</v>
      </c>
      <c r="E1792" s="1" t="str">
        <f>IFERROR(__xludf.DUMMYFUNCTION("IF(LEN(D1792)&gt;4, IFERROR(REGEXEXTRACT(TO_TEXT(D1792),""\d+""),""""),"""")"),"22660")</f>
        <v>22660</v>
      </c>
      <c r="F1792" s="6" t="str">
        <f t="shared" si="3"/>
        <v>Product</v>
      </c>
      <c r="G1792" s="1" t="s">
        <v>1047</v>
      </c>
      <c r="H1792" s="6" t="str">
        <f>IFERROR(__xludf.DUMMYFUNCTION("IF(REGEXMATCH(LOWER(G1792), ""^(\?)+\s*(missing)?\s*(\?)*$""), """", PROPER(SUBSTITUTE(SUBSTITUTE(G1792, ""?"", """"), ""*"", """")))"),"Doormat I Love London")</f>
        <v>Doormat I Love London</v>
      </c>
      <c r="I1792" s="3">
        <v>2.0</v>
      </c>
      <c r="J1792" s="7">
        <v>40598.57361111111</v>
      </c>
      <c r="K1792" s="8" t="str">
        <f t="shared" si="4"/>
        <v>2011-02</v>
      </c>
      <c r="L1792" s="5">
        <v>7.95</v>
      </c>
      <c r="M1792" s="3">
        <v>13018.0</v>
      </c>
      <c r="N1792" s="1" t="str">
        <f t="shared" si="5"/>
        <v>Registered</v>
      </c>
      <c r="O1792" s="1" t="s">
        <v>19</v>
      </c>
      <c r="P1792" s="9" t="str">
        <f t="shared" si="6"/>
        <v>UK</v>
      </c>
      <c r="Q1792" s="8">
        <f t="shared" si="7"/>
        <v>15.9</v>
      </c>
    </row>
    <row r="1793">
      <c r="A1793" s="1">
        <v>544904.0</v>
      </c>
      <c r="B1793" s="1" t="str">
        <f t="shared" si="1"/>
        <v>544904</v>
      </c>
      <c r="C1793" s="1" t="str">
        <f t="shared" si="2"/>
        <v>Sale</v>
      </c>
      <c r="D1793" s="1">
        <v>22652.0</v>
      </c>
      <c r="E1793" s="1" t="str">
        <f>IFERROR(__xludf.DUMMYFUNCTION("IF(LEN(D1793)&gt;4, IFERROR(REGEXEXTRACT(TO_TEXT(D1793),""\d+""),""""),"""")"),"22652")</f>
        <v>22652</v>
      </c>
      <c r="F1793" s="6" t="str">
        <f t="shared" si="3"/>
        <v>Product</v>
      </c>
      <c r="G1793" s="1" t="s">
        <v>252</v>
      </c>
      <c r="H1793" s="6" t="str">
        <f>IFERROR(__xludf.DUMMYFUNCTION("IF(REGEXMATCH(LOWER(G1793), ""^(\?)+\s*(missing)?\s*(\?)*$""), """", PROPER(SUBSTITUTE(SUBSTITUTE(G1793, ""?"", """"), ""*"", """")))"),"Travel Sewing Kit")</f>
        <v>Travel Sewing Kit</v>
      </c>
      <c r="I1793" s="3">
        <v>10.0</v>
      </c>
      <c r="J1793" s="7">
        <v>40598.57361111111</v>
      </c>
      <c r="K1793" s="8" t="str">
        <f t="shared" si="4"/>
        <v>2011-02</v>
      </c>
      <c r="L1793" s="5">
        <v>1.65</v>
      </c>
      <c r="M1793" s="3">
        <v>13018.0</v>
      </c>
      <c r="N1793" s="1" t="str">
        <f t="shared" si="5"/>
        <v>Registered</v>
      </c>
      <c r="O1793" s="1" t="s">
        <v>19</v>
      </c>
      <c r="P1793" s="9" t="str">
        <f t="shared" si="6"/>
        <v>UK</v>
      </c>
      <c r="Q1793" s="8">
        <f t="shared" si="7"/>
        <v>16.5</v>
      </c>
    </row>
    <row r="1794">
      <c r="A1794" s="1">
        <v>544904.0</v>
      </c>
      <c r="B1794" s="1" t="str">
        <f t="shared" si="1"/>
        <v>544904</v>
      </c>
      <c r="C1794" s="1" t="str">
        <f t="shared" si="2"/>
        <v>Sale</v>
      </c>
      <c r="D1794" s="1">
        <v>22653.0</v>
      </c>
      <c r="E1794" s="1" t="str">
        <f>IFERROR(__xludf.DUMMYFUNCTION("IF(LEN(D1794)&gt;4, IFERROR(REGEXEXTRACT(TO_TEXT(D1794),""\d+""),""""),"""")"),"22653")</f>
        <v>22653</v>
      </c>
      <c r="F1794" s="6" t="str">
        <f t="shared" si="3"/>
        <v>Product</v>
      </c>
      <c r="G1794" s="1" t="s">
        <v>661</v>
      </c>
      <c r="H1794" s="6" t="str">
        <f>IFERROR(__xludf.DUMMYFUNCTION("IF(REGEXMATCH(LOWER(G1794), ""^(\?)+\s*(missing)?\s*(\?)*$""), """", PROPER(SUBSTITUTE(SUBSTITUTE(G1794, ""?"", """"), ""*"", """")))"),"Button Box")</f>
        <v>Button Box</v>
      </c>
      <c r="I1794" s="3">
        <v>10.0</v>
      </c>
      <c r="J1794" s="7">
        <v>40598.57361111111</v>
      </c>
      <c r="K1794" s="8" t="str">
        <f t="shared" si="4"/>
        <v>2011-02</v>
      </c>
      <c r="L1794" s="5">
        <v>1.95</v>
      </c>
      <c r="M1794" s="3">
        <v>13018.0</v>
      </c>
      <c r="N1794" s="1" t="str">
        <f t="shared" si="5"/>
        <v>Registered</v>
      </c>
      <c r="O1794" s="1" t="s">
        <v>19</v>
      </c>
      <c r="P1794" s="9" t="str">
        <f t="shared" si="6"/>
        <v>UK</v>
      </c>
      <c r="Q1794" s="8">
        <f t="shared" si="7"/>
        <v>19.5</v>
      </c>
    </row>
    <row r="1795">
      <c r="A1795" s="1">
        <v>544904.0</v>
      </c>
      <c r="B1795" s="1" t="str">
        <f t="shared" si="1"/>
        <v>544904</v>
      </c>
      <c r="C1795" s="1" t="str">
        <f t="shared" si="2"/>
        <v>Sale</v>
      </c>
      <c r="D1795" s="1">
        <v>20749.0</v>
      </c>
      <c r="E1795" s="1" t="str">
        <f>IFERROR(__xludf.DUMMYFUNCTION("IF(LEN(D1795)&gt;4, IFERROR(REGEXEXTRACT(TO_TEXT(D1795),""\d+""),""""),"""")"),"20749")</f>
        <v>20749</v>
      </c>
      <c r="F1795" s="6" t="str">
        <f t="shared" si="3"/>
        <v>Product</v>
      </c>
      <c r="G1795" s="1" t="s">
        <v>319</v>
      </c>
      <c r="H1795" s="6" t="str">
        <f>IFERROR(__xludf.DUMMYFUNCTION("IF(REGEXMATCH(LOWER(G1795), ""^(\?)+\s*(missing)?\s*(\?)*$""), """", PROPER(SUBSTITUTE(SUBSTITUTE(G1795, ""?"", """"), ""*"", """")))"),"Assorted Colour Mini Cases")</f>
        <v>Assorted Colour Mini Cases</v>
      </c>
      <c r="I1795" s="3">
        <v>2.0</v>
      </c>
      <c r="J1795" s="7">
        <v>40598.57361111111</v>
      </c>
      <c r="K1795" s="8" t="str">
        <f t="shared" si="4"/>
        <v>2011-02</v>
      </c>
      <c r="L1795" s="5">
        <v>7.95</v>
      </c>
      <c r="M1795" s="3">
        <v>13018.0</v>
      </c>
      <c r="N1795" s="1" t="str">
        <f t="shared" si="5"/>
        <v>Registered</v>
      </c>
      <c r="O1795" s="1" t="s">
        <v>19</v>
      </c>
      <c r="P1795" s="9" t="str">
        <f t="shared" si="6"/>
        <v>UK</v>
      </c>
      <c r="Q1795" s="8">
        <f t="shared" si="7"/>
        <v>15.9</v>
      </c>
    </row>
    <row r="1796">
      <c r="A1796" s="1">
        <v>544904.0</v>
      </c>
      <c r="B1796" s="1" t="str">
        <f t="shared" si="1"/>
        <v>544904</v>
      </c>
      <c r="C1796" s="1" t="str">
        <f t="shared" si="2"/>
        <v>Sale</v>
      </c>
      <c r="D1796" s="1">
        <v>22968.0</v>
      </c>
      <c r="E1796" s="1" t="str">
        <f>IFERROR(__xludf.DUMMYFUNCTION("IF(LEN(D1796)&gt;4, IFERROR(REGEXEXTRACT(TO_TEXT(D1796),""\d+""),""""),"""")"),"22968")</f>
        <v>22968</v>
      </c>
      <c r="F1796" s="6" t="str">
        <f t="shared" si="3"/>
        <v>Product</v>
      </c>
      <c r="G1796" s="1" t="s">
        <v>212</v>
      </c>
      <c r="H1796" s="6" t="str">
        <f>IFERROR(__xludf.DUMMYFUNCTION("IF(REGEXMATCH(LOWER(G1796), ""^(\?)+\s*(missing)?\s*(\?)*$""), """", PROPER(SUBSTITUTE(SUBSTITUTE(G1796, ""?"", """"), ""*"", """")))"),"Rose Cottage Keepsake Box")</f>
        <v>Rose Cottage Keepsake Box</v>
      </c>
      <c r="I1796" s="3">
        <v>2.0</v>
      </c>
      <c r="J1796" s="7">
        <v>40598.57361111111</v>
      </c>
      <c r="K1796" s="8" t="str">
        <f t="shared" si="4"/>
        <v>2011-02</v>
      </c>
      <c r="L1796" s="5">
        <v>9.95</v>
      </c>
      <c r="M1796" s="3">
        <v>13018.0</v>
      </c>
      <c r="N1796" s="1" t="str">
        <f t="shared" si="5"/>
        <v>Registered</v>
      </c>
      <c r="O1796" s="1" t="s">
        <v>19</v>
      </c>
      <c r="P1796" s="9" t="str">
        <f t="shared" si="6"/>
        <v>UK</v>
      </c>
      <c r="Q1796" s="8">
        <f t="shared" si="7"/>
        <v>19.9</v>
      </c>
    </row>
    <row r="1797">
      <c r="A1797" s="1">
        <v>544904.0</v>
      </c>
      <c r="B1797" s="1" t="str">
        <f t="shared" si="1"/>
        <v>544904</v>
      </c>
      <c r="C1797" s="1" t="str">
        <f t="shared" si="2"/>
        <v>Sale</v>
      </c>
      <c r="D1797" s="1">
        <v>20724.0</v>
      </c>
      <c r="E1797" s="1" t="str">
        <f>IFERROR(__xludf.DUMMYFUNCTION("IF(LEN(D1797)&gt;4, IFERROR(REGEXEXTRACT(TO_TEXT(D1797),""\d+""),""""),"""")"),"20724")</f>
        <v>20724</v>
      </c>
      <c r="F1797" s="6" t="str">
        <f t="shared" si="3"/>
        <v>Product</v>
      </c>
      <c r="G1797" s="1" t="s">
        <v>701</v>
      </c>
      <c r="H1797" s="6" t="str">
        <f>IFERROR(__xludf.DUMMYFUNCTION("IF(REGEXMATCH(LOWER(G1797), ""^(\?)+\s*(missing)?\s*(\?)*$""), """", PROPER(SUBSTITUTE(SUBSTITUTE(G1797, ""?"", """"), ""*"", """")))"),"Red Retrospot Charlotte Bag")</f>
        <v>Red Retrospot Charlotte Bag</v>
      </c>
      <c r="I1797" s="3">
        <v>10.0</v>
      </c>
      <c r="J1797" s="7">
        <v>40598.57361111111</v>
      </c>
      <c r="K1797" s="8" t="str">
        <f t="shared" si="4"/>
        <v>2011-02</v>
      </c>
      <c r="L1797" s="5">
        <v>0.85</v>
      </c>
      <c r="M1797" s="3">
        <v>13018.0</v>
      </c>
      <c r="N1797" s="1" t="str">
        <f t="shared" si="5"/>
        <v>Registered</v>
      </c>
      <c r="O1797" s="1" t="s">
        <v>19</v>
      </c>
      <c r="P1797" s="9" t="str">
        <f t="shared" si="6"/>
        <v>UK</v>
      </c>
      <c r="Q1797" s="8">
        <f t="shared" si="7"/>
        <v>8.5</v>
      </c>
    </row>
    <row r="1798">
      <c r="A1798" s="1">
        <v>544904.0</v>
      </c>
      <c r="B1798" s="1" t="str">
        <f t="shared" si="1"/>
        <v>544904</v>
      </c>
      <c r="C1798" s="1" t="str">
        <f t="shared" si="2"/>
        <v>Sale</v>
      </c>
      <c r="D1798" s="1">
        <v>21563.0</v>
      </c>
      <c r="E1798" s="1" t="str">
        <f>IFERROR(__xludf.DUMMYFUNCTION("IF(LEN(D1798)&gt;4, IFERROR(REGEXEXTRACT(TO_TEXT(D1798),""\d+""),""""),"""")"),"21563")</f>
        <v>21563</v>
      </c>
      <c r="F1798" s="6" t="str">
        <f t="shared" si="3"/>
        <v>Product</v>
      </c>
      <c r="G1798" s="1" t="s">
        <v>1048</v>
      </c>
      <c r="H1798" s="6" t="str">
        <f>IFERROR(__xludf.DUMMYFUNCTION("IF(REGEXMATCH(LOWER(G1798), ""^(\?)+\s*(missing)?\s*(\?)*$""), """", PROPER(SUBSTITUTE(SUBSTITUTE(G1798, ""?"", """"), ""*"", """")))"),"Red Heart Shape Love Bucket")</f>
        <v>Red Heart Shape Love Bucket</v>
      </c>
      <c r="I1798" s="3">
        <v>6.0</v>
      </c>
      <c r="J1798" s="7">
        <v>40598.57361111111</v>
      </c>
      <c r="K1798" s="8" t="str">
        <f t="shared" si="4"/>
        <v>2011-02</v>
      </c>
      <c r="L1798" s="5">
        <v>2.95</v>
      </c>
      <c r="M1798" s="3">
        <v>13018.0</v>
      </c>
      <c r="N1798" s="1" t="str">
        <f t="shared" si="5"/>
        <v>Registered</v>
      </c>
      <c r="O1798" s="1" t="s">
        <v>19</v>
      </c>
      <c r="P1798" s="9" t="str">
        <f t="shared" si="6"/>
        <v>UK</v>
      </c>
      <c r="Q1798" s="8">
        <f t="shared" si="7"/>
        <v>17.7</v>
      </c>
    </row>
    <row r="1799">
      <c r="A1799" s="1">
        <v>544904.0</v>
      </c>
      <c r="B1799" s="1" t="str">
        <f t="shared" si="1"/>
        <v>544904</v>
      </c>
      <c r="C1799" s="1" t="str">
        <f t="shared" si="2"/>
        <v>Sale</v>
      </c>
      <c r="D1799" s="1">
        <v>21527.0</v>
      </c>
      <c r="E1799" s="1" t="str">
        <f>IFERROR(__xludf.DUMMYFUNCTION("IF(LEN(D1799)&gt;4, IFERROR(REGEXEXTRACT(TO_TEXT(D1799),""\d+""),""""),"""")"),"21527")</f>
        <v>21527</v>
      </c>
      <c r="F1799" s="6" t="str">
        <f t="shared" si="3"/>
        <v>Product</v>
      </c>
      <c r="G1799" s="1" t="s">
        <v>949</v>
      </c>
      <c r="H1799" s="6" t="str">
        <f>IFERROR(__xludf.DUMMYFUNCTION("IF(REGEXMATCH(LOWER(G1799), ""^(\?)+\s*(missing)?\s*(\?)*$""), """", PROPER(SUBSTITUTE(SUBSTITUTE(G1799, ""?"", """"), ""*"", """")))"),"Red Retrospot Traditional Teapot")</f>
        <v>Red Retrospot Traditional Teapot</v>
      </c>
      <c r="I1799" s="3">
        <v>2.0</v>
      </c>
      <c r="J1799" s="7">
        <v>40598.57361111111</v>
      </c>
      <c r="K1799" s="8" t="str">
        <f t="shared" si="4"/>
        <v>2011-02</v>
      </c>
      <c r="L1799" s="5">
        <v>7.95</v>
      </c>
      <c r="M1799" s="3">
        <v>13018.0</v>
      </c>
      <c r="N1799" s="1" t="str">
        <f t="shared" si="5"/>
        <v>Registered</v>
      </c>
      <c r="O1799" s="1" t="s">
        <v>19</v>
      </c>
      <c r="P1799" s="9" t="str">
        <f t="shared" si="6"/>
        <v>UK</v>
      </c>
      <c r="Q1799" s="8">
        <f t="shared" si="7"/>
        <v>15.9</v>
      </c>
    </row>
    <row r="1800">
      <c r="A1800" s="1">
        <v>544905.0</v>
      </c>
      <c r="B1800" s="1" t="str">
        <f t="shared" si="1"/>
        <v>544905</v>
      </c>
      <c r="C1800" s="1" t="str">
        <f t="shared" si="2"/>
        <v>Sale</v>
      </c>
      <c r="D1800" s="1">
        <v>22169.0</v>
      </c>
      <c r="E1800" s="1" t="str">
        <f>IFERROR(__xludf.DUMMYFUNCTION("IF(LEN(D1800)&gt;4, IFERROR(REGEXEXTRACT(TO_TEXT(D1800),""\d+""),""""),"""")"),"22169")</f>
        <v>22169</v>
      </c>
      <c r="F1800" s="6" t="str">
        <f t="shared" si="3"/>
        <v>Product</v>
      </c>
      <c r="G1800" s="1" t="s">
        <v>969</v>
      </c>
      <c r="H1800" s="6" t="str">
        <f>IFERROR(__xludf.DUMMYFUNCTION("IF(REGEXMATCH(LOWER(G1800), ""^(\?)+\s*(missing)?\s*(\?)*$""), """", PROPER(SUBSTITUTE(SUBSTITUTE(G1800, ""?"", """"), ""*"", """")))"),"Family Album White Picture Frame")</f>
        <v>Family Album White Picture Frame</v>
      </c>
      <c r="I1800" s="3">
        <v>2.0</v>
      </c>
      <c r="J1800" s="7">
        <v>40598.57916666667</v>
      </c>
      <c r="K1800" s="8" t="str">
        <f t="shared" si="4"/>
        <v>2011-02</v>
      </c>
      <c r="L1800" s="5">
        <v>8.5</v>
      </c>
      <c r="M1800" s="3">
        <v>17117.0</v>
      </c>
      <c r="N1800" s="1" t="str">
        <f t="shared" si="5"/>
        <v>Registered</v>
      </c>
      <c r="O1800" s="1" t="s">
        <v>19</v>
      </c>
      <c r="P1800" s="9" t="str">
        <f t="shared" si="6"/>
        <v>UK</v>
      </c>
      <c r="Q1800" s="8">
        <f t="shared" si="7"/>
        <v>17</v>
      </c>
    </row>
    <row r="1801">
      <c r="A1801" s="1">
        <v>544905.0</v>
      </c>
      <c r="B1801" s="1" t="str">
        <f t="shared" si="1"/>
        <v>544905</v>
      </c>
      <c r="C1801" s="1" t="str">
        <f t="shared" si="2"/>
        <v>Sale</v>
      </c>
      <c r="D1801" s="1">
        <v>21700.0</v>
      </c>
      <c r="E1801" s="1" t="str">
        <f>IFERROR(__xludf.DUMMYFUNCTION("IF(LEN(D1801)&gt;4, IFERROR(REGEXEXTRACT(TO_TEXT(D1801),""\d+""),""""),"""")"),"21700")</f>
        <v>21700</v>
      </c>
      <c r="F1801" s="6" t="str">
        <f t="shared" si="3"/>
        <v>Product</v>
      </c>
      <c r="G1801" s="1" t="s">
        <v>1049</v>
      </c>
      <c r="H1801" s="6" t="str">
        <f>IFERROR(__xludf.DUMMYFUNCTION("IF(REGEXMATCH(LOWER(G1801), ""^(\?)+\s*(missing)?\s*(\?)*$""), """", PROPER(SUBSTITUTE(SUBSTITUTE(G1801, ""?"", """"), ""*"", """")))"),"Big Doughnut Fridge Magnets")</f>
        <v>Big Doughnut Fridge Magnets</v>
      </c>
      <c r="I1801" s="3">
        <v>12.0</v>
      </c>
      <c r="J1801" s="7">
        <v>40598.57916666667</v>
      </c>
      <c r="K1801" s="8" t="str">
        <f t="shared" si="4"/>
        <v>2011-02</v>
      </c>
      <c r="L1801" s="5">
        <v>0.85</v>
      </c>
      <c r="M1801" s="3">
        <v>17117.0</v>
      </c>
      <c r="N1801" s="1" t="str">
        <f t="shared" si="5"/>
        <v>Registered</v>
      </c>
      <c r="O1801" s="1" t="s">
        <v>19</v>
      </c>
      <c r="P1801" s="9" t="str">
        <f t="shared" si="6"/>
        <v>UK</v>
      </c>
      <c r="Q1801" s="8">
        <f t="shared" si="7"/>
        <v>10.2</v>
      </c>
    </row>
    <row r="1802">
      <c r="A1802" s="1">
        <v>544905.0</v>
      </c>
      <c r="B1802" s="1" t="str">
        <f t="shared" si="1"/>
        <v>544905</v>
      </c>
      <c r="C1802" s="1" t="str">
        <f t="shared" si="2"/>
        <v>Sale</v>
      </c>
      <c r="D1802" s="1">
        <v>22969.0</v>
      </c>
      <c r="E1802" s="1" t="str">
        <f>IFERROR(__xludf.DUMMYFUNCTION("IF(LEN(D1802)&gt;4, IFERROR(REGEXEXTRACT(TO_TEXT(D1802),""\d+""),""""),"""")"),"22969")</f>
        <v>22969</v>
      </c>
      <c r="F1802" s="6" t="str">
        <f t="shared" si="3"/>
        <v>Product</v>
      </c>
      <c r="G1802" s="1" t="s">
        <v>192</v>
      </c>
      <c r="H1802" s="6" t="str">
        <f>IFERROR(__xludf.DUMMYFUNCTION("IF(REGEXMATCH(LOWER(G1802), ""^(\?)+\s*(missing)?\s*(\?)*$""), """", PROPER(SUBSTITUTE(SUBSTITUTE(G1802, ""?"", """"), ""*"", """")))"),"Homemade Jam Scented Candles")</f>
        <v>Homemade Jam Scented Candles</v>
      </c>
      <c r="I1802" s="3">
        <v>12.0</v>
      </c>
      <c r="J1802" s="7">
        <v>40598.57916666667</v>
      </c>
      <c r="K1802" s="8" t="str">
        <f t="shared" si="4"/>
        <v>2011-02</v>
      </c>
      <c r="L1802" s="5">
        <v>1.45</v>
      </c>
      <c r="M1802" s="3">
        <v>17117.0</v>
      </c>
      <c r="N1802" s="1" t="str">
        <f t="shared" si="5"/>
        <v>Registered</v>
      </c>
      <c r="O1802" s="1" t="s">
        <v>19</v>
      </c>
      <c r="P1802" s="9" t="str">
        <f t="shared" si="6"/>
        <v>UK</v>
      </c>
      <c r="Q1802" s="8">
        <f t="shared" si="7"/>
        <v>17.4</v>
      </c>
    </row>
    <row r="1803">
      <c r="A1803" s="1">
        <v>544905.0</v>
      </c>
      <c r="B1803" s="1" t="str">
        <f t="shared" si="1"/>
        <v>544905</v>
      </c>
      <c r="C1803" s="1" t="str">
        <f t="shared" si="2"/>
        <v>Sale</v>
      </c>
      <c r="D1803" s="1">
        <v>48185.0</v>
      </c>
      <c r="E1803" s="1" t="str">
        <f>IFERROR(__xludf.DUMMYFUNCTION("IF(LEN(D1803)&gt;4, IFERROR(REGEXEXTRACT(TO_TEXT(D1803),""\d+""),""""),"""")"),"48185")</f>
        <v>48185</v>
      </c>
      <c r="F1803" s="6" t="str">
        <f t="shared" si="3"/>
        <v>Product</v>
      </c>
      <c r="G1803" s="1" t="s">
        <v>263</v>
      </c>
      <c r="H1803" s="6" t="str">
        <f>IFERROR(__xludf.DUMMYFUNCTION("IF(REGEXMATCH(LOWER(G1803), ""^(\?)+\s*(missing)?\s*(\?)*$""), """", PROPER(SUBSTITUTE(SUBSTITUTE(G1803, ""?"", """"), ""*"", """")))"),"Doormat Fairy Cake")</f>
        <v>Doormat Fairy Cake</v>
      </c>
      <c r="I1803" s="3">
        <v>2.0</v>
      </c>
      <c r="J1803" s="7">
        <v>40598.57916666667</v>
      </c>
      <c r="K1803" s="8" t="str">
        <f t="shared" si="4"/>
        <v>2011-02</v>
      </c>
      <c r="L1803" s="5">
        <v>7.95</v>
      </c>
      <c r="M1803" s="3">
        <v>17117.0</v>
      </c>
      <c r="N1803" s="1" t="str">
        <f t="shared" si="5"/>
        <v>Registered</v>
      </c>
      <c r="O1803" s="1" t="s">
        <v>19</v>
      </c>
      <c r="P1803" s="9" t="str">
        <f t="shared" si="6"/>
        <v>UK</v>
      </c>
      <c r="Q1803" s="8">
        <f t="shared" si="7"/>
        <v>15.9</v>
      </c>
    </row>
    <row r="1804">
      <c r="A1804" s="1">
        <v>544905.0</v>
      </c>
      <c r="B1804" s="1" t="str">
        <f t="shared" si="1"/>
        <v>544905</v>
      </c>
      <c r="C1804" s="1" t="str">
        <f t="shared" si="2"/>
        <v>Sale</v>
      </c>
      <c r="D1804" s="1">
        <v>22487.0</v>
      </c>
      <c r="E1804" s="1" t="str">
        <f>IFERROR(__xludf.DUMMYFUNCTION("IF(LEN(D1804)&gt;4, IFERROR(REGEXEXTRACT(TO_TEXT(D1804),""\d+""),""""),"""")"),"22487")</f>
        <v>22487</v>
      </c>
      <c r="F1804" s="6" t="str">
        <f t="shared" si="3"/>
        <v>Product</v>
      </c>
      <c r="G1804" s="1" t="s">
        <v>985</v>
      </c>
      <c r="H1804" s="6" t="str">
        <f>IFERROR(__xludf.DUMMYFUNCTION("IF(REGEXMATCH(LOWER(G1804), ""^(\?)+\s*(missing)?\s*(\?)*$""), """", PROPER(SUBSTITUTE(SUBSTITUTE(G1804, ""?"", """"), ""*"", """")))"),"White Wood Garden Plant Ladder")</f>
        <v>White Wood Garden Plant Ladder</v>
      </c>
      <c r="I1804" s="3">
        <v>1.0</v>
      </c>
      <c r="J1804" s="7">
        <v>40598.57916666667</v>
      </c>
      <c r="K1804" s="8" t="str">
        <f t="shared" si="4"/>
        <v>2011-02</v>
      </c>
      <c r="L1804" s="5">
        <v>9.95</v>
      </c>
      <c r="M1804" s="3">
        <v>17117.0</v>
      </c>
      <c r="N1804" s="1" t="str">
        <f t="shared" si="5"/>
        <v>Registered</v>
      </c>
      <c r="O1804" s="1" t="s">
        <v>19</v>
      </c>
      <c r="P1804" s="9" t="str">
        <f t="shared" si="6"/>
        <v>UK</v>
      </c>
      <c r="Q1804" s="8">
        <f t="shared" si="7"/>
        <v>9.95</v>
      </c>
    </row>
    <row r="1805">
      <c r="A1805" s="1">
        <v>544905.0</v>
      </c>
      <c r="B1805" s="1" t="str">
        <f t="shared" si="1"/>
        <v>544905</v>
      </c>
      <c r="C1805" s="1" t="str">
        <f t="shared" si="2"/>
        <v>Sale</v>
      </c>
      <c r="D1805" s="1">
        <v>21411.0</v>
      </c>
      <c r="E1805" s="1" t="str">
        <f>IFERROR(__xludf.DUMMYFUNCTION("IF(LEN(D1805)&gt;4, IFERROR(REGEXEXTRACT(TO_TEXT(D1805),""\d+""),""""),"""")"),"21411")</f>
        <v>21411</v>
      </c>
      <c r="F1805" s="6" t="str">
        <f t="shared" si="3"/>
        <v>Product</v>
      </c>
      <c r="G1805" s="1" t="s">
        <v>188</v>
      </c>
      <c r="H1805" s="6" t="str">
        <f>IFERROR(__xludf.DUMMYFUNCTION("IF(REGEXMATCH(LOWER(G1805), ""^(\?)+\s*(missing)?\s*(\?)*$""), """", PROPER(SUBSTITUTE(SUBSTITUTE(G1805, ""?"", """"), ""*"", """")))"),"Gingham Heart Doorstop Red")</f>
        <v>Gingham Heart Doorstop Red</v>
      </c>
      <c r="I1805" s="3">
        <v>3.0</v>
      </c>
      <c r="J1805" s="7">
        <v>40598.57916666667</v>
      </c>
      <c r="K1805" s="8" t="str">
        <f t="shared" si="4"/>
        <v>2011-02</v>
      </c>
      <c r="L1805" s="5">
        <v>4.25</v>
      </c>
      <c r="M1805" s="3">
        <v>17117.0</v>
      </c>
      <c r="N1805" s="1" t="str">
        <f t="shared" si="5"/>
        <v>Registered</v>
      </c>
      <c r="O1805" s="1" t="s">
        <v>19</v>
      </c>
      <c r="P1805" s="9" t="str">
        <f t="shared" si="6"/>
        <v>UK</v>
      </c>
      <c r="Q1805" s="8">
        <f t="shared" si="7"/>
        <v>12.75</v>
      </c>
    </row>
    <row r="1806">
      <c r="A1806" s="1">
        <v>544905.0</v>
      </c>
      <c r="B1806" s="1" t="str">
        <f t="shared" si="1"/>
        <v>544905</v>
      </c>
      <c r="C1806" s="1" t="str">
        <f t="shared" si="2"/>
        <v>Sale</v>
      </c>
      <c r="D1806" s="1">
        <v>22469.0</v>
      </c>
      <c r="E1806" s="1" t="str">
        <f>IFERROR(__xludf.DUMMYFUNCTION("IF(LEN(D1806)&gt;4, IFERROR(REGEXEXTRACT(TO_TEXT(D1806),""\d+""),""""),"""")"),"22469")</f>
        <v>22469</v>
      </c>
      <c r="F1806" s="6" t="str">
        <f t="shared" si="3"/>
        <v>Product</v>
      </c>
      <c r="G1806" s="1" t="s">
        <v>167</v>
      </c>
      <c r="H1806" s="6" t="str">
        <f>IFERROR(__xludf.DUMMYFUNCTION("IF(REGEXMATCH(LOWER(G1806), ""^(\?)+\s*(missing)?\s*(\?)*$""), """", PROPER(SUBSTITUTE(SUBSTITUTE(G1806, ""?"", """"), ""*"", """")))"),"Heart Of Wicker Small")</f>
        <v>Heart Of Wicker Small</v>
      </c>
      <c r="I1806" s="3">
        <v>12.0</v>
      </c>
      <c r="J1806" s="7">
        <v>40598.57916666667</v>
      </c>
      <c r="K1806" s="8" t="str">
        <f t="shared" si="4"/>
        <v>2011-02</v>
      </c>
      <c r="L1806" s="5">
        <v>1.65</v>
      </c>
      <c r="M1806" s="3">
        <v>17117.0</v>
      </c>
      <c r="N1806" s="1" t="str">
        <f t="shared" si="5"/>
        <v>Registered</v>
      </c>
      <c r="O1806" s="1" t="s">
        <v>19</v>
      </c>
      <c r="P1806" s="9" t="str">
        <f t="shared" si="6"/>
        <v>UK</v>
      </c>
      <c r="Q1806" s="8">
        <f t="shared" si="7"/>
        <v>19.8</v>
      </c>
    </row>
    <row r="1807">
      <c r="A1807" s="1">
        <v>544905.0</v>
      </c>
      <c r="B1807" s="1" t="str">
        <f t="shared" si="1"/>
        <v>544905</v>
      </c>
      <c r="C1807" s="1" t="str">
        <f t="shared" si="2"/>
        <v>Sale</v>
      </c>
      <c r="D1807" s="1">
        <v>82580.0</v>
      </c>
      <c r="E1807" s="1" t="str">
        <f>IFERROR(__xludf.DUMMYFUNCTION("IF(LEN(D1807)&gt;4, IFERROR(REGEXEXTRACT(TO_TEXT(D1807),""\d+""),""""),"""")"),"82580")</f>
        <v>82580</v>
      </c>
      <c r="F1807" s="6" t="str">
        <f t="shared" si="3"/>
        <v>Product</v>
      </c>
      <c r="G1807" s="1" t="s">
        <v>296</v>
      </c>
      <c r="H1807" s="6" t="str">
        <f>IFERROR(__xludf.DUMMYFUNCTION("IF(REGEXMATCH(LOWER(G1807), ""^(\?)+\s*(missing)?\s*(\?)*$""), """", PROPER(SUBSTITUTE(SUBSTITUTE(G1807, ""?"", """"), ""*"", """")))"),"Bathroom Metal Sign")</f>
        <v>Bathroom Metal Sign</v>
      </c>
      <c r="I1807" s="3">
        <v>12.0</v>
      </c>
      <c r="J1807" s="7">
        <v>40598.57916666667</v>
      </c>
      <c r="K1807" s="8" t="str">
        <f t="shared" si="4"/>
        <v>2011-02</v>
      </c>
      <c r="L1807" s="5">
        <v>0.55</v>
      </c>
      <c r="M1807" s="3">
        <v>17117.0</v>
      </c>
      <c r="N1807" s="1" t="str">
        <f t="shared" si="5"/>
        <v>Registered</v>
      </c>
      <c r="O1807" s="1" t="s">
        <v>19</v>
      </c>
      <c r="P1807" s="9" t="str">
        <f t="shared" si="6"/>
        <v>UK</v>
      </c>
      <c r="Q1807" s="8">
        <f t="shared" si="7"/>
        <v>6.6</v>
      </c>
    </row>
    <row r="1808">
      <c r="A1808" s="1">
        <v>544905.0</v>
      </c>
      <c r="B1808" s="1" t="str">
        <f t="shared" si="1"/>
        <v>544905</v>
      </c>
      <c r="C1808" s="1" t="str">
        <f t="shared" si="2"/>
        <v>Sale</v>
      </c>
      <c r="D1808" s="1">
        <v>82578.0</v>
      </c>
      <c r="E1808" s="1" t="str">
        <f>IFERROR(__xludf.DUMMYFUNCTION("IF(LEN(D1808)&gt;4, IFERROR(REGEXEXTRACT(TO_TEXT(D1808),""\d+""),""""),"""")"),"82578")</f>
        <v>82578</v>
      </c>
      <c r="F1808" s="6" t="str">
        <f t="shared" si="3"/>
        <v>Product</v>
      </c>
      <c r="G1808" s="1" t="s">
        <v>297</v>
      </c>
      <c r="H1808" s="6" t="str">
        <f>IFERROR(__xludf.DUMMYFUNCTION("IF(REGEXMATCH(LOWER(G1808), ""^(\?)+\s*(missing)?\s*(\?)*$""), """", PROPER(SUBSTITUTE(SUBSTITUTE(G1808, ""?"", """"), ""*"", """")))"),"Kitchen Metal Sign")</f>
        <v>Kitchen Metal Sign</v>
      </c>
      <c r="I1808" s="3">
        <v>12.0</v>
      </c>
      <c r="J1808" s="7">
        <v>40598.57916666667</v>
      </c>
      <c r="K1808" s="8" t="str">
        <f t="shared" si="4"/>
        <v>2011-02</v>
      </c>
      <c r="L1808" s="5">
        <v>0.55</v>
      </c>
      <c r="M1808" s="3">
        <v>17117.0</v>
      </c>
      <c r="N1808" s="1" t="str">
        <f t="shared" si="5"/>
        <v>Registered</v>
      </c>
      <c r="O1808" s="1" t="s">
        <v>19</v>
      </c>
      <c r="P1808" s="9" t="str">
        <f t="shared" si="6"/>
        <v>UK</v>
      </c>
      <c r="Q1808" s="8">
        <f t="shared" si="7"/>
        <v>6.6</v>
      </c>
    </row>
    <row r="1809">
      <c r="A1809" s="1">
        <v>544906.0</v>
      </c>
      <c r="B1809" s="1" t="str">
        <f t="shared" si="1"/>
        <v>544906</v>
      </c>
      <c r="C1809" s="1" t="str">
        <f t="shared" si="2"/>
        <v>Sale</v>
      </c>
      <c r="D1809" s="1">
        <v>22607.0</v>
      </c>
      <c r="E1809" s="1" t="str">
        <f>IFERROR(__xludf.DUMMYFUNCTION("IF(LEN(D1809)&gt;4, IFERROR(REGEXEXTRACT(TO_TEXT(D1809),""\d+""),""""),"""")"),"22607")</f>
        <v>22607</v>
      </c>
      <c r="F1809" s="6" t="str">
        <f t="shared" si="3"/>
        <v>Product</v>
      </c>
      <c r="G1809" s="1" t="s">
        <v>796</v>
      </c>
      <c r="H1809" s="6" t="str">
        <f>IFERROR(__xludf.DUMMYFUNCTION("IF(REGEXMATCH(LOWER(G1809), ""^(\?)+\s*(missing)?\s*(\?)*$""), """", PROPER(SUBSTITUTE(SUBSTITUTE(G1809, ""?"", """"), ""*"", """")))"),"Wooden Rounders Garden Set")</f>
        <v>Wooden Rounders Garden Set</v>
      </c>
      <c r="I1809" s="3">
        <v>8.0</v>
      </c>
      <c r="J1809" s="7">
        <v>40598.592361111114</v>
      </c>
      <c r="K1809" s="8" t="str">
        <f t="shared" si="4"/>
        <v>2011-02</v>
      </c>
      <c r="L1809" s="5">
        <v>8.5</v>
      </c>
      <c r="M1809" s="3">
        <v>17017.0</v>
      </c>
      <c r="N1809" s="1" t="str">
        <f t="shared" si="5"/>
        <v>Registered</v>
      </c>
      <c r="O1809" s="1" t="s">
        <v>19</v>
      </c>
      <c r="P1809" s="9" t="str">
        <f t="shared" si="6"/>
        <v>UK</v>
      </c>
      <c r="Q1809" s="8">
        <f t="shared" si="7"/>
        <v>68</v>
      </c>
    </row>
    <row r="1810">
      <c r="A1810" s="1">
        <v>544906.0</v>
      </c>
      <c r="B1810" s="1" t="str">
        <f t="shared" si="1"/>
        <v>544906</v>
      </c>
      <c r="C1810" s="1" t="str">
        <f t="shared" si="2"/>
        <v>Sale</v>
      </c>
      <c r="D1810" s="1">
        <v>21878.0</v>
      </c>
      <c r="E1810" s="1" t="str">
        <f>IFERROR(__xludf.DUMMYFUNCTION("IF(LEN(D1810)&gt;4, IFERROR(REGEXEXTRACT(TO_TEXT(D1810),""\d+""),""""),"""")"),"21878")</f>
        <v>21878</v>
      </c>
      <c r="F1810" s="6" t="str">
        <f t="shared" si="3"/>
        <v>Product</v>
      </c>
      <c r="G1810" s="1" t="s">
        <v>1050</v>
      </c>
      <c r="H1810" s="6" t="str">
        <f>IFERROR(__xludf.DUMMYFUNCTION("IF(REGEXMATCH(LOWER(G1810), ""^(\?)+\s*(missing)?\s*(\?)*$""), """", PROPER(SUBSTITUTE(SUBSTITUTE(G1810, ""?"", """"), ""*"", """")))"),"Pack Of 6 Sandcastle Flags Assorted")</f>
        <v>Pack Of 6 Sandcastle Flags Assorted</v>
      </c>
      <c r="I1810" s="3">
        <v>24.0</v>
      </c>
      <c r="J1810" s="7">
        <v>40598.592361111114</v>
      </c>
      <c r="K1810" s="8" t="str">
        <f t="shared" si="4"/>
        <v>2011-02</v>
      </c>
      <c r="L1810" s="5">
        <v>0.85</v>
      </c>
      <c r="M1810" s="3">
        <v>17017.0</v>
      </c>
      <c r="N1810" s="1" t="str">
        <f t="shared" si="5"/>
        <v>Registered</v>
      </c>
      <c r="O1810" s="1" t="s">
        <v>19</v>
      </c>
      <c r="P1810" s="9" t="str">
        <f t="shared" si="6"/>
        <v>UK</v>
      </c>
      <c r="Q1810" s="8">
        <f t="shared" si="7"/>
        <v>20.4</v>
      </c>
    </row>
    <row r="1811">
      <c r="A1811" s="1">
        <v>544906.0</v>
      </c>
      <c r="B1811" s="1" t="str">
        <f t="shared" si="1"/>
        <v>544906</v>
      </c>
      <c r="C1811" s="1" t="str">
        <f t="shared" si="2"/>
        <v>Sale</v>
      </c>
      <c r="D1811" s="1">
        <v>79321.0</v>
      </c>
      <c r="E1811" s="1" t="str">
        <f>IFERROR(__xludf.DUMMYFUNCTION("IF(LEN(D1811)&gt;4, IFERROR(REGEXEXTRACT(TO_TEXT(D1811),""\d+""),""""),"""")"),"79321")</f>
        <v>79321</v>
      </c>
      <c r="F1811" s="6" t="str">
        <f t="shared" si="3"/>
        <v>Product</v>
      </c>
      <c r="G1811" s="1" t="s">
        <v>183</v>
      </c>
      <c r="H1811" s="6" t="str">
        <f>IFERROR(__xludf.DUMMYFUNCTION("IF(REGEXMATCH(LOWER(G1811), ""^(\?)+\s*(missing)?\s*(\?)*$""), """", PROPER(SUBSTITUTE(SUBSTITUTE(G1811, ""?"", """"), ""*"", """")))"),"Chilli Lights")</f>
        <v>Chilli Lights</v>
      </c>
      <c r="I1811" s="3">
        <v>12.0</v>
      </c>
      <c r="J1811" s="7">
        <v>40598.592361111114</v>
      </c>
      <c r="K1811" s="8" t="str">
        <f t="shared" si="4"/>
        <v>2011-02</v>
      </c>
      <c r="L1811" s="5">
        <v>5.75</v>
      </c>
      <c r="M1811" s="3">
        <v>17017.0</v>
      </c>
      <c r="N1811" s="1" t="str">
        <f t="shared" si="5"/>
        <v>Registered</v>
      </c>
      <c r="O1811" s="1" t="s">
        <v>19</v>
      </c>
      <c r="P1811" s="9" t="str">
        <f t="shared" si="6"/>
        <v>UK</v>
      </c>
      <c r="Q1811" s="8">
        <f t="shared" si="7"/>
        <v>69</v>
      </c>
    </row>
    <row r="1812">
      <c r="A1812" s="1">
        <v>544906.0</v>
      </c>
      <c r="B1812" s="1" t="str">
        <f t="shared" si="1"/>
        <v>544906</v>
      </c>
      <c r="C1812" s="1" t="str">
        <f t="shared" si="2"/>
        <v>Sale</v>
      </c>
      <c r="D1812" s="1">
        <v>22980.0</v>
      </c>
      <c r="E1812" s="1" t="str">
        <f>IFERROR(__xludf.DUMMYFUNCTION("IF(LEN(D1812)&gt;4, IFERROR(REGEXEXTRACT(TO_TEXT(D1812),""\d+""),""""),"""")"),"22980")</f>
        <v>22980</v>
      </c>
      <c r="F1812" s="6" t="str">
        <f t="shared" si="3"/>
        <v>Product</v>
      </c>
      <c r="G1812" s="1" t="s">
        <v>777</v>
      </c>
      <c r="H1812" s="6" t="str">
        <f>IFERROR(__xludf.DUMMYFUNCTION("IF(REGEXMATCH(LOWER(G1812), ""^(\?)+\s*(missing)?\s*(\?)*$""), """", PROPER(SUBSTITUTE(SUBSTITUTE(G1812, ""?"", """"), ""*"", """")))"),"Pantry Scrubbing Brush")</f>
        <v>Pantry Scrubbing Brush</v>
      </c>
      <c r="I1812" s="3">
        <v>24.0</v>
      </c>
      <c r="J1812" s="7">
        <v>40598.592361111114</v>
      </c>
      <c r="K1812" s="8" t="str">
        <f t="shared" si="4"/>
        <v>2011-02</v>
      </c>
      <c r="L1812" s="5">
        <v>1.65</v>
      </c>
      <c r="M1812" s="3">
        <v>17017.0</v>
      </c>
      <c r="N1812" s="1" t="str">
        <f t="shared" si="5"/>
        <v>Registered</v>
      </c>
      <c r="O1812" s="1" t="s">
        <v>19</v>
      </c>
      <c r="P1812" s="9" t="str">
        <f t="shared" si="6"/>
        <v>UK</v>
      </c>
      <c r="Q1812" s="8">
        <f t="shared" si="7"/>
        <v>39.6</v>
      </c>
    </row>
    <row r="1813">
      <c r="A1813" s="1">
        <v>544906.0</v>
      </c>
      <c r="B1813" s="1" t="str">
        <f t="shared" si="1"/>
        <v>544906</v>
      </c>
      <c r="C1813" s="1" t="str">
        <f t="shared" si="2"/>
        <v>Sale</v>
      </c>
      <c r="D1813" s="1">
        <v>22993.0</v>
      </c>
      <c r="E1813" s="1" t="str">
        <f>IFERROR(__xludf.DUMMYFUNCTION("IF(LEN(D1813)&gt;4, IFERROR(REGEXEXTRACT(TO_TEXT(D1813),""\d+""),""""),"""")"),"22993")</f>
        <v>22993</v>
      </c>
      <c r="F1813" s="6" t="str">
        <f t="shared" si="3"/>
        <v>Product</v>
      </c>
      <c r="G1813" s="1" t="s">
        <v>709</v>
      </c>
      <c r="H1813" s="6" t="str">
        <f>IFERROR(__xludf.DUMMYFUNCTION("IF(REGEXMATCH(LOWER(G1813), ""^(\?)+\s*(missing)?\s*(\?)*$""), """", PROPER(SUBSTITUTE(SUBSTITUTE(G1813, ""?"", """"), ""*"", """")))"),"Set Of 4 Pantry Jelly Moulds")</f>
        <v>Set Of 4 Pantry Jelly Moulds</v>
      </c>
      <c r="I1813" s="3">
        <v>24.0</v>
      </c>
      <c r="J1813" s="7">
        <v>40598.592361111114</v>
      </c>
      <c r="K1813" s="8" t="str">
        <f t="shared" si="4"/>
        <v>2011-02</v>
      </c>
      <c r="L1813" s="5">
        <v>1.25</v>
      </c>
      <c r="M1813" s="3">
        <v>17017.0</v>
      </c>
      <c r="N1813" s="1" t="str">
        <f t="shared" si="5"/>
        <v>Registered</v>
      </c>
      <c r="O1813" s="1" t="s">
        <v>19</v>
      </c>
      <c r="P1813" s="9" t="str">
        <f t="shared" si="6"/>
        <v>UK</v>
      </c>
      <c r="Q1813" s="8">
        <f t="shared" si="7"/>
        <v>30</v>
      </c>
    </row>
    <row r="1814">
      <c r="A1814" s="1">
        <v>544906.0</v>
      </c>
      <c r="B1814" s="1" t="str">
        <f t="shared" si="1"/>
        <v>544906</v>
      </c>
      <c r="C1814" s="1" t="str">
        <f t="shared" si="2"/>
        <v>Sale</v>
      </c>
      <c r="D1814" s="1">
        <v>84375.0</v>
      </c>
      <c r="E1814" s="1" t="str">
        <f>IFERROR(__xludf.DUMMYFUNCTION("IF(LEN(D1814)&gt;4, IFERROR(REGEXEXTRACT(TO_TEXT(D1814),""\d+""),""""),"""")"),"84375")</f>
        <v>84375</v>
      </c>
      <c r="F1814" s="6" t="str">
        <f t="shared" si="3"/>
        <v>Product</v>
      </c>
      <c r="G1814" s="1" t="s">
        <v>367</v>
      </c>
      <c r="H1814" s="6" t="str">
        <f>IFERROR(__xludf.DUMMYFUNCTION("IF(REGEXMATCH(LOWER(G1814), ""^(\?)+\s*(missing)?\s*(\?)*$""), """", PROPER(SUBSTITUTE(SUBSTITUTE(G1814, ""?"", """"), ""*"", """")))"),"Set Of 20 Kids Cookie Cutters")</f>
        <v>Set Of 20 Kids Cookie Cutters</v>
      </c>
      <c r="I1814" s="3">
        <v>12.0</v>
      </c>
      <c r="J1814" s="7">
        <v>40598.592361111114</v>
      </c>
      <c r="K1814" s="8" t="str">
        <f t="shared" si="4"/>
        <v>2011-02</v>
      </c>
      <c r="L1814" s="5">
        <v>2.1</v>
      </c>
      <c r="M1814" s="3">
        <v>17017.0</v>
      </c>
      <c r="N1814" s="1" t="str">
        <f t="shared" si="5"/>
        <v>Registered</v>
      </c>
      <c r="O1814" s="1" t="s">
        <v>19</v>
      </c>
      <c r="P1814" s="9" t="str">
        <f t="shared" si="6"/>
        <v>UK</v>
      </c>
      <c r="Q1814" s="8">
        <f t="shared" si="7"/>
        <v>25.2</v>
      </c>
    </row>
    <row r="1815">
      <c r="A1815" s="1">
        <v>544906.0</v>
      </c>
      <c r="B1815" s="1" t="str">
        <f t="shared" si="1"/>
        <v>544906</v>
      </c>
      <c r="C1815" s="1" t="str">
        <f t="shared" si="2"/>
        <v>Sale</v>
      </c>
      <c r="D1815" s="1">
        <v>22992.0</v>
      </c>
      <c r="E1815" s="1" t="str">
        <f>IFERROR(__xludf.DUMMYFUNCTION("IF(LEN(D1815)&gt;4, IFERROR(REGEXEXTRACT(TO_TEXT(D1815),""\d+""),""""),"""")"),"22992")</f>
        <v>22992</v>
      </c>
      <c r="F1815" s="6" t="str">
        <f t="shared" si="3"/>
        <v>Product</v>
      </c>
      <c r="G1815" s="1" t="s">
        <v>732</v>
      </c>
      <c r="H1815" s="6" t="str">
        <f>IFERROR(__xludf.DUMMYFUNCTION("IF(REGEXMATCH(LOWER(G1815), ""^(\?)+\s*(missing)?\s*(\?)*$""), """", PROPER(SUBSTITUTE(SUBSTITUTE(G1815, ""?"", """"), ""*"", """")))"),"Revolver Wooden Ruler")</f>
        <v>Revolver Wooden Ruler</v>
      </c>
      <c r="I1815" s="3">
        <v>24.0</v>
      </c>
      <c r="J1815" s="7">
        <v>40598.592361111114</v>
      </c>
      <c r="K1815" s="8" t="str">
        <f t="shared" si="4"/>
        <v>2011-02</v>
      </c>
      <c r="L1815" s="5">
        <v>1.95</v>
      </c>
      <c r="M1815" s="3">
        <v>17017.0</v>
      </c>
      <c r="N1815" s="1" t="str">
        <f t="shared" si="5"/>
        <v>Registered</v>
      </c>
      <c r="O1815" s="1" t="s">
        <v>19</v>
      </c>
      <c r="P1815" s="9" t="str">
        <f t="shared" si="6"/>
        <v>UK</v>
      </c>
      <c r="Q1815" s="8">
        <f t="shared" si="7"/>
        <v>46.8</v>
      </c>
    </row>
    <row r="1816">
      <c r="A1816" s="1">
        <v>544906.0</v>
      </c>
      <c r="B1816" s="1" t="str">
        <f t="shared" si="1"/>
        <v>544906</v>
      </c>
      <c r="C1816" s="1" t="str">
        <f t="shared" si="2"/>
        <v>Sale</v>
      </c>
      <c r="D1816" s="1">
        <v>22197.0</v>
      </c>
      <c r="E1816" s="1" t="str">
        <f>IFERROR(__xludf.DUMMYFUNCTION("IF(LEN(D1816)&gt;4, IFERROR(REGEXEXTRACT(TO_TEXT(D1816),""\d+""),""""),"""")"),"22197")</f>
        <v>22197</v>
      </c>
      <c r="F1816" s="6" t="str">
        <f t="shared" si="3"/>
        <v>Product</v>
      </c>
      <c r="G1816" s="1" t="s">
        <v>217</v>
      </c>
      <c r="H1816" s="6" t="str">
        <f>IFERROR(__xludf.DUMMYFUNCTION("IF(REGEXMATCH(LOWER(G1816), ""^(\?)+\s*(missing)?\s*(\?)*$""), """", PROPER(SUBSTITUTE(SUBSTITUTE(G1816, ""?"", """"), ""*"", """")))"),"Small Popcorn Holder")</f>
        <v>Small Popcorn Holder</v>
      </c>
      <c r="I1816" s="3">
        <v>48.0</v>
      </c>
      <c r="J1816" s="7">
        <v>40598.592361111114</v>
      </c>
      <c r="K1816" s="8" t="str">
        <f t="shared" si="4"/>
        <v>2011-02</v>
      </c>
      <c r="L1816" s="5">
        <v>0.85</v>
      </c>
      <c r="M1816" s="3">
        <v>17017.0</v>
      </c>
      <c r="N1816" s="1" t="str">
        <f t="shared" si="5"/>
        <v>Registered</v>
      </c>
      <c r="O1816" s="1" t="s">
        <v>19</v>
      </c>
      <c r="P1816" s="9" t="str">
        <f t="shared" si="6"/>
        <v>UK</v>
      </c>
      <c r="Q1816" s="8">
        <f t="shared" si="7"/>
        <v>40.8</v>
      </c>
    </row>
    <row r="1817">
      <c r="A1817" s="1">
        <v>544906.0</v>
      </c>
      <c r="B1817" s="1" t="str">
        <f t="shared" si="1"/>
        <v>544906</v>
      </c>
      <c r="C1817" s="1" t="str">
        <f t="shared" si="2"/>
        <v>Sale</v>
      </c>
      <c r="D1817" s="1">
        <v>22616.0</v>
      </c>
      <c r="E1817" s="1" t="str">
        <f>IFERROR(__xludf.DUMMYFUNCTION("IF(LEN(D1817)&gt;4, IFERROR(REGEXEXTRACT(TO_TEXT(D1817),""\d+""),""""),"""")"),"22616")</f>
        <v>22616</v>
      </c>
      <c r="F1817" s="6" t="str">
        <f t="shared" si="3"/>
        <v>Product</v>
      </c>
      <c r="G1817" s="1" t="s">
        <v>485</v>
      </c>
      <c r="H1817" s="6" t="str">
        <f>IFERROR(__xludf.DUMMYFUNCTION("IF(REGEXMATCH(LOWER(G1817), ""^(\?)+\s*(missing)?\s*(\?)*$""), """", PROPER(SUBSTITUTE(SUBSTITUTE(G1817, ""?"", """"), ""*"", """")))"),"Pack Of 12 London Tissues")</f>
        <v>Pack Of 12 London Tissues</v>
      </c>
      <c r="I1817" s="3">
        <v>48.0</v>
      </c>
      <c r="J1817" s="7">
        <v>40598.592361111114</v>
      </c>
      <c r="K1817" s="8" t="str">
        <f t="shared" si="4"/>
        <v>2011-02</v>
      </c>
      <c r="L1817" s="5">
        <v>0.29</v>
      </c>
      <c r="M1817" s="3">
        <v>17017.0</v>
      </c>
      <c r="N1817" s="1" t="str">
        <f t="shared" si="5"/>
        <v>Registered</v>
      </c>
      <c r="O1817" s="1" t="s">
        <v>19</v>
      </c>
      <c r="P1817" s="9" t="str">
        <f t="shared" si="6"/>
        <v>UK</v>
      </c>
      <c r="Q1817" s="8">
        <f t="shared" si="7"/>
        <v>13.92</v>
      </c>
    </row>
    <row r="1818">
      <c r="A1818" s="1">
        <v>544906.0</v>
      </c>
      <c r="B1818" s="1" t="str">
        <f t="shared" si="1"/>
        <v>544906</v>
      </c>
      <c r="C1818" s="1" t="str">
        <f t="shared" si="2"/>
        <v>Sale</v>
      </c>
      <c r="D1818" s="1">
        <v>22911.0</v>
      </c>
      <c r="E1818" s="1" t="str">
        <f>IFERROR(__xludf.DUMMYFUNCTION("IF(LEN(D1818)&gt;4, IFERROR(REGEXEXTRACT(TO_TEXT(D1818),""\d+""),""""),"""")"),"22911")</f>
        <v>22911</v>
      </c>
      <c r="F1818" s="6" t="str">
        <f t="shared" si="3"/>
        <v>Product</v>
      </c>
      <c r="G1818" s="1" t="s">
        <v>1051</v>
      </c>
      <c r="H1818" s="6" t="str">
        <f>IFERROR(__xludf.DUMMYFUNCTION("IF(REGEXMATCH(LOWER(G1818), ""^(\?)+\s*(missing)?\s*(\?)*$""), """", PROPER(SUBSTITUTE(SUBSTITUTE(G1818, ""?"", """"), ""*"", """")))"),"Paper Chain Kit London")</f>
        <v>Paper Chain Kit London</v>
      </c>
      <c r="I1818" s="3">
        <v>12.0</v>
      </c>
      <c r="J1818" s="7">
        <v>40598.592361111114</v>
      </c>
      <c r="K1818" s="8" t="str">
        <f t="shared" si="4"/>
        <v>2011-02</v>
      </c>
      <c r="L1818" s="5">
        <v>2.95</v>
      </c>
      <c r="M1818" s="3">
        <v>17017.0</v>
      </c>
      <c r="N1818" s="1" t="str">
        <f t="shared" si="5"/>
        <v>Registered</v>
      </c>
      <c r="O1818" s="1" t="s">
        <v>19</v>
      </c>
      <c r="P1818" s="9" t="str">
        <f t="shared" si="6"/>
        <v>UK</v>
      </c>
      <c r="Q1818" s="8">
        <f t="shared" si="7"/>
        <v>35.4</v>
      </c>
    </row>
    <row r="1819">
      <c r="A1819" s="1">
        <v>544906.0</v>
      </c>
      <c r="B1819" s="1" t="str">
        <f t="shared" si="1"/>
        <v>544906</v>
      </c>
      <c r="C1819" s="1" t="str">
        <f t="shared" si="2"/>
        <v>Sale</v>
      </c>
      <c r="D1819" s="1">
        <v>22659.0</v>
      </c>
      <c r="E1819" s="1" t="str">
        <f>IFERROR(__xludf.DUMMYFUNCTION("IF(LEN(D1819)&gt;4, IFERROR(REGEXEXTRACT(TO_TEXT(D1819),""\d+""),""""),"""")"),"22659")</f>
        <v>22659</v>
      </c>
      <c r="F1819" s="6" t="str">
        <f t="shared" si="3"/>
        <v>Product</v>
      </c>
      <c r="G1819" s="1" t="s">
        <v>59</v>
      </c>
      <c r="H1819" s="6" t="str">
        <f>IFERROR(__xludf.DUMMYFUNCTION("IF(REGEXMATCH(LOWER(G1819), ""^(\?)+\s*(missing)?\s*(\?)*$""), """", PROPER(SUBSTITUTE(SUBSTITUTE(G1819, ""?"", """"), ""*"", """")))"),"Lunch Box I Love London")</f>
        <v>Lunch Box I Love London</v>
      </c>
      <c r="I1819" s="3">
        <v>12.0</v>
      </c>
      <c r="J1819" s="7">
        <v>40598.592361111114</v>
      </c>
      <c r="K1819" s="8" t="str">
        <f t="shared" si="4"/>
        <v>2011-02</v>
      </c>
      <c r="L1819" s="5">
        <v>1.95</v>
      </c>
      <c r="M1819" s="3">
        <v>17017.0</v>
      </c>
      <c r="N1819" s="1" t="str">
        <f t="shared" si="5"/>
        <v>Registered</v>
      </c>
      <c r="O1819" s="1" t="s">
        <v>19</v>
      </c>
      <c r="P1819" s="9" t="str">
        <f t="shared" si="6"/>
        <v>UK</v>
      </c>
      <c r="Q1819" s="8">
        <f t="shared" si="7"/>
        <v>23.4</v>
      </c>
    </row>
    <row r="1820">
      <c r="A1820" s="1">
        <v>544906.0</v>
      </c>
      <c r="B1820" s="1" t="str">
        <f t="shared" si="1"/>
        <v>544906</v>
      </c>
      <c r="C1820" s="1" t="str">
        <f t="shared" si="2"/>
        <v>Sale</v>
      </c>
      <c r="D1820" s="1">
        <v>22900.0</v>
      </c>
      <c r="E1820" s="1" t="str">
        <f>IFERROR(__xludf.DUMMYFUNCTION("IF(LEN(D1820)&gt;4, IFERROR(REGEXEXTRACT(TO_TEXT(D1820),""\d+""),""""),"""")"),"22900")</f>
        <v>22900</v>
      </c>
      <c r="F1820" s="6" t="str">
        <f t="shared" si="3"/>
        <v>Product</v>
      </c>
      <c r="G1820" s="1" t="s">
        <v>63</v>
      </c>
      <c r="H1820" s="6" t="str">
        <f>IFERROR(__xludf.DUMMYFUNCTION("IF(REGEXMATCH(LOWER(G1820), ""^(\?)+\s*(missing)?\s*(\?)*$""), """", PROPER(SUBSTITUTE(SUBSTITUTE(G1820, ""?"", """"), ""*"", """")))"),"Set 2 Tea Towels I Love London")</f>
        <v>Set 2 Tea Towels I Love London</v>
      </c>
      <c r="I1820" s="3">
        <v>12.0</v>
      </c>
      <c r="J1820" s="7">
        <v>40598.592361111114</v>
      </c>
      <c r="K1820" s="8" t="str">
        <f t="shared" si="4"/>
        <v>2011-02</v>
      </c>
      <c r="L1820" s="5">
        <v>2.95</v>
      </c>
      <c r="M1820" s="3">
        <v>17017.0</v>
      </c>
      <c r="N1820" s="1" t="str">
        <f t="shared" si="5"/>
        <v>Registered</v>
      </c>
      <c r="O1820" s="1" t="s">
        <v>19</v>
      </c>
      <c r="P1820" s="9" t="str">
        <f t="shared" si="6"/>
        <v>UK</v>
      </c>
      <c r="Q1820" s="8">
        <f t="shared" si="7"/>
        <v>35.4</v>
      </c>
    </row>
    <row r="1821">
      <c r="A1821" s="1">
        <v>544906.0</v>
      </c>
      <c r="B1821" s="1" t="str">
        <f t="shared" si="1"/>
        <v>544906</v>
      </c>
      <c r="C1821" s="1" t="str">
        <f t="shared" si="2"/>
        <v>Sale</v>
      </c>
      <c r="D1821" s="1">
        <v>22988.0</v>
      </c>
      <c r="E1821" s="1" t="str">
        <f>IFERROR(__xludf.DUMMYFUNCTION("IF(LEN(D1821)&gt;4, IFERROR(REGEXEXTRACT(TO_TEXT(D1821),""\d+""),""""),"""")"),"22988")</f>
        <v>22988</v>
      </c>
      <c r="F1821" s="6" t="str">
        <f t="shared" si="3"/>
        <v>Product</v>
      </c>
      <c r="G1821" s="1" t="s">
        <v>463</v>
      </c>
      <c r="H1821" s="6" t="str">
        <f>IFERROR(__xludf.DUMMYFUNCTION("IF(REGEXMATCH(LOWER(G1821), ""^(\?)+\s*(missing)?\s*(\?)*$""), """", PROPER(SUBSTITUTE(SUBSTITUTE(G1821, ""?"", """"), ""*"", """")))"),"Soldiers Egg Cup")</f>
        <v>Soldiers Egg Cup</v>
      </c>
      <c r="I1821" s="3">
        <v>24.0</v>
      </c>
      <c r="J1821" s="7">
        <v>40598.592361111114</v>
      </c>
      <c r="K1821" s="8" t="str">
        <f t="shared" si="4"/>
        <v>2011-02</v>
      </c>
      <c r="L1821" s="5">
        <v>1.25</v>
      </c>
      <c r="M1821" s="3">
        <v>17017.0</v>
      </c>
      <c r="N1821" s="1" t="str">
        <f t="shared" si="5"/>
        <v>Registered</v>
      </c>
      <c r="O1821" s="1" t="s">
        <v>19</v>
      </c>
      <c r="P1821" s="9" t="str">
        <f t="shared" si="6"/>
        <v>UK</v>
      </c>
      <c r="Q1821" s="8">
        <f t="shared" si="7"/>
        <v>30</v>
      </c>
    </row>
    <row r="1822">
      <c r="A1822" s="1">
        <v>544906.0</v>
      </c>
      <c r="B1822" s="1" t="str">
        <f t="shared" si="1"/>
        <v>544906</v>
      </c>
      <c r="C1822" s="1" t="str">
        <f t="shared" si="2"/>
        <v>Sale</v>
      </c>
      <c r="D1822" s="1">
        <v>21731.0</v>
      </c>
      <c r="E1822" s="1" t="str">
        <f>IFERROR(__xludf.DUMMYFUNCTION("IF(LEN(D1822)&gt;4, IFERROR(REGEXEXTRACT(TO_TEXT(D1822),""\d+""),""""),"""")"),"21731")</f>
        <v>21731</v>
      </c>
      <c r="F1822" s="6" t="str">
        <f t="shared" si="3"/>
        <v>Product</v>
      </c>
      <c r="G1822" s="1" t="s">
        <v>62</v>
      </c>
      <c r="H1822" s="6" t="str">
        <f>IFERROR(__xludf.DUMMYFUNCTION("IF(REGEXMATCH(LOWER(G1822), ""^(\?)+\s*(missing)?\s*(\?)*$""), """", PROPER(SUBSTITUTE(SUBSTITUTE(G1822, ""?"", """"), ""*"", """")))"),"Red Toadstool Led Night Light")</f>
        <v>Red Toadstool Led Night Light</v>
      </c>
      <c r="I1822" s="3">
        <v>12.0</v>
      </c>
      <c r="J1822" s="7">
        <v>40598.592361111114</v>
      </c>
      <c r="K1822" s="8" t="str">
        <f t="shared" si="4"/>
        <v>2011-02</v>
      </c>
      <c r="L1822" s="5">
        <v>1.65</v>
      </c>
      <c r="M1822" s="3">
        <v>17017.0</v>
      </c>
      <c r="N1822" s="1" t="str">
        <f t="shared" si="5"/>
        <v>Registered</v>
      </c>
      <c r="O1822" s="1" t="s">
        <v>19</v>
      </c>
      <c r="P1822" s="9" t="str">
        <f t="shared" si="6"/>
        <v>UK</v>
      </c>
      <c r="Q1822" s="8">
        <f t="shared" si="7"/>
        <v>19.8</v>
      </c>
    </row>
    <row r="1823">
      <c r="A1823" s="1">
        <v>544906.0</v>
      </c>
      <c r="B1823" s="1" t="str">
        <f t="shared" si="1"/>
        <v>544906</v>
      </c>
      <c r="C1823" s="1" t="str">
        <f t="shared" si="2"/>
        <v>Sale</v>
      </c>
      <c r="D1823" s="1">
        <v>21559.0</v>
      </c>
      <c r="E1823" s="1" t="str">
        <f>IFERROR(__xludf.DUMMYFUNCTION("IF(LEN(D1823)&gt;4, IFERROR(REGEXEXTRACT(TO_TEXT(D1823),""\d+""),""""),"""")"),"21559")</f>
        <v>21559</v>
      </c>
      <c r="F1823" s="6" t="str">
        <f t="shared" si="3"/>
        <v>Product</v>
      </c>
      <c r="G1823" s="1" t="s">
        <v>95</v>
      </c>
      <c r="H1823" s="6" t="str">
        <f>IFERROR(__xludf.DUMMYFUNCTION("IF(REGEXMATCH(LOWER(G1823), ""^(\?)+\s*(missing)?\s*(\?)*$""), """", PROPER(SUBSTITUTE(SUBSTITUTE(G1823, ""?"", """"), ""*"", """")))"),"Strawberry Lunch Box With Cutlery")</f>
        <v>Strawberry Lunch Box With Cutlery</v>
      </c>
      <c r="I1823" s="3">
        <v>12.0</v>
      </c>
      <c r="J1823" s="7">
        <v>40598.592361111114</v>
      </c>
      <c r="K1823" s="8" t="str">
        <f t="shared" si="4"/>
        <v>2011-02</v>
      </c>
      <c r="L1823" s="5">
        <v>2.55</v>
      </c>
      <c r="M1823" s="3">
        <v>17017.0</v>
      </c>
      <c r="N1823" s="1" t="str">
        <f t="shared" si="5"/>
        <v>Registered</v>
      </c>
      <c r="O1823" s="1" t="s">
        <v>19</v>
      </c>
      <c r="P1823" s="9" t="str">
        <f t="shared" si="6"/>
        <v>UK</v>
      </c>
      <c r="Q1823" s="8">
        <f t="shared" si="7"/>
        <v>30.6</v>
      </c>
    </row>
    <row r="1824">
      <c r="A1824" s="1">
        <v>544907.0</v>
      </c>
      <c r="B1824" s="1" t="str">
        <f t="shared" si="1"/>
        <v>544907</v>
      </c>
      <c r="C1824" s="1" t="str">
        <f t="shared" si="2"/>
        <v>Sale</v>
      </c>
      <c r="D1824" s="1">
        <v>22423.0</v>
      </c>
      <c r="E1824" s="1" t="str">
        <f>IFERROR(__xludf.DUMMYFUNCTION("IF(LEN(D1824)&gt;4, IFERROR(REGEXEXTRACT(TO_TEXT(D1824),""\d+""),""""),"""")"),"22423")</f>
        <v>22423</v>
      </c>
      <c r="F1824" s="6" t="str">
        <f t="shared" si="3"/>
        <v>Product</v>
      </c>
      <c r="G1824" s="1" t="s">
        <v>619</v>
      </c>
      <c r="H1824" s="6" t="str">
        <f>IFERROR(__xludf.DUMMYFUNCTION("IF(REGEXMATCH(LOWER(G1824), ""^(\?)+\s*(missing)?\s*(\?)*$""), """", PROPER(SUBSTITUTE(SUBSTITUTE(G1824, ""?"", """"), ""*"", """")))"),"Regency Cakestand 3 Tier")</f>
        <v>Regency Cakestand 3 Tier</v>
      </c>
      <c r="I1824" s="3">
        <v>2.0</v>
      </c>
      <c r="J1824" s="7">
        <v>40598.59375</v>
      </c>
      <c r="K1824" s="8" t="str">
        <f t="shared" si="4"/>
        <v>2011-02</v>
      </c>
      <c r="L1824" s="5">
        <v>12.75</v>
      </c>
      <c r="M1824" s="3">
        <v>12945.0</v>
      </c>
      <c r="N1824" s="1" t="str">
        <f t="shared" si="5"/>
        <v>Registered</v>
      </c>
      <c r="O1824" s="1" t="s">
        <v>19</v>
      </c>
      <c r="P1824" s="9" t="str">
        <f t="shared" si="6"/>
        <v>UK</v>
      </c>
      <c r="Q1824" s="8">
        <f t="shared" si="7"/>
        <v>25.5</v>
      </c>
    </row>
    <row r="1825">
      <c r="A1825" s="1">
        <v>544907.0</v>
      </c>
      <c r="B1825" s="1" t="str">
        <f t="shared" si="1"/>
        <v>544907</v>
      </c>
      <c r="C1825" s="1" t="str">
        <f t="shared" si="2"/>
        <v>Sale</v>
      </c>
      <c r="D1825" s="1">
        <v>22457.0</v>
      </c>
      <c r="E1825" s="1" t="str">
        <f>IFERROR(__xludf.DUMMYFUNCTION("IF(LEN(D1825)&gt;4, IFERROR(REGEXEXTRACT(TO_TEXT(D1825),""\d+""),""""),"""")"),"22457")</f>
        <v>22457</v>
      </c>
      <c r="F1825" s="6" t="str">
        <f t="shared" si="3"/>
        <v>Product</v>
      </c>
      <c r="G1825" s="1" t="s">
        <v>166</v>
      </c>
      <c r="H1825" s="6" t="str">
        <f>IFERROR(__xludf.DUMMYFUNCTION("IF(REGEXMATCH(LOWER(G1825), ""^(\?)+\s*(missing)?\s*(\?)*$""), """", PROPER(SUBSTITUTE(SUBSTITUTE(G1825, ""?"", """"), ""*"", """")))"),"Natural Slate Heart Chalkboard")</f>
        <v>Natural Slate Heart Chalkboard</v>
      </c>
      <c r="I1825" s="3">
        <v>6.0</v>
      </c>
      <c r="J1825" s="7">
        <v>40598.59375</v>
      </c>
      <c r="K1825" s="8" t="str">
        <f t="shared" si="4"/>
        <v>2011-02</v>
      </c>
      <c r="L1825" s="5">
        <v>2.95</v>
      </c>
      <c r="M1825" s="3">
        <v>12945.0</v>
      </c>
      <c r="N1825" s="1" t="str">
        <f t="shared" si="5"/>
        <v>Registered</v>
      </c>
      <c r="O1825" s="1" t="s">
        <v>19</v>
      </c>
      <c r="P1825" s="9" t="str">
        <f t="shared" si="6"/>
        <v>UK</v>
      </c>
      <c r="Q1825" s="8">
        <f t="shared" si="7"/>
        <v>17.7</v>
      </c>
    </row>
    <row r="1826">
      <c r="A1826" s="1">
        <v>544907.0</v>
      </c>
      <c r="B1826" s="1" t="str">
        <f t="shared" si="1"/>
        <v>544907</v>
      </c>
      <c r="C1826" s="1" t="str">
        <f t="shared" si="2"/>
        <v>Sale</v>
      </c>
      <c r="D1826" s="1">
        <v>22087.0</v>
      </c>
      <c r="E1826" s="1" t="str">
        <f>IFERROR(__xludf.DUMMYFUNCTION("IF(LEN(D1826)&gt;4, IFERROR(REGEXEXTRACT(TO_TEXT(D1826),""\d+""),""""),"""")"),"22087")</f>
        <v>22087</v>
      </c>
      <c r="F1826" s="6" t="str">
        <f t="shared" si="3"/>
        <v>Product</v>
      </c>
      <c r="G1826" s="1" t="s">
        <v>626</v>
      </c>
      <c r="H1826" s="6" t="str">
        <f>IFERROR(__xludf.DUMMYFUNCTION("IF(REGEXMATCH(LOWER(G1826), ""^(\?)+\s*(missing)?\s*(\?)*$""), """", PROPER(SUBSTITUTE(SUBSTITUTE(G1826, ""?"", """"), ""*"", """")))"),"Paper Bunting White Lace")</f>
        <v>Paper Bunting White Lace</v>
      </c>
      <c r="I1826" s="3">
        <v>6.0</v>
      </c>
      <c r="J1826" s="7">
        <v>40598.59375</v>
      </c>
      <c r="K1826" s="8" t="str">
        <f t="shared" si="4"/>
        <v>2011-02</v>
      </c>
      <c r="L1826" s="5">
        <v>2.95</v>
      </c>
      <c r="M1826" s="3">
        <v>12945.0</v>
      </c>
      <c r="N1826" s="1" t="str">
        <f t="shared" si="5"/>
        <v>Registered</v>
      </c>
      <c r="O1826" s="1" t="s">
        <v>19</v>
      </c>
      <c r="P1826" s="9" t="str">
        <f t="shared" si="6"/>
        <v>UK</v>
      </c>
      <c r="Q1826" s="8">
        <f t="shared" si="7"/>
        <v>17.7</v>
      </c>
    </row>
    <row r="1827">
      <c r="A1827" s="1">
        <v>544907.0</v>
      </c>
      <c r="B1827" s="1" t="str">
        <f t="shared" si="1"/>
        <v>544907</v>
      </c>
      <c r="C1827" s="1" t="str">
        <f t="shared" si="2"/>
        <v>Sale</v>
      </c>
      <c r="D1827" s="1">
        <v>22776.0</v>
      </c>
      <c r="E1827" s="1" t="str">
        <f>IFERROR(__xludf.DUMMYFUNCTION("IF(LEN(D1827)&gt;4, IFERROR(REGEXEXTRACT(TO_TEXT(D1827),""\d+""),""""),"""")"),"22776")</f>
        <v>22776</v>
      </c>
      <c r="F1827" s="6" t="str">
        <f t="shared" si="3"/>
        <v>Product</v>
      </c>
      <c r="G1827" s="1" t="s">
        <v>1052</v>
      </c>
      <c r="H1827" s="6" t="str">
        <f>IFERROR(__xludf.DUMMYFUNCTION("IF(REGEXMATCH(LOWER(G1827), ""^(\?)+\s*(missing)?\s*(\?)*$""), """", PROPER(SUBSTITUTE(SUBSTITUTE(G1827, ""?"", """"), ""*"", """")))"),"Sweetheart Cakestand 3 Tier")</f>
        <v>Sweetheart Cakestand 3 Tier</v>
      </c>
      <c r="I1827" s="3">
        <v>2.0</v>
      </c>
      <c r="J1827" s="7">
        <v>40598.59375</v>
      </c>
      <c r="K1827" s="8" t="str">
        <f t="shared" si="4"/>
        <v>2011-02</v>
      </c>
      <c r="L1827" s="5">
        <v>9.95</v>
      </c>
      <c r="M1827" s="3">
        <v>12945.0</v>
      </c>
      <c r="N1827" s="1" t="str">
        <f t="shared" si="5"/>
        <v>Registered</v>
      </c>
      <c r="O1827" s="1" t="s">
        <v>19</v>
      </c>
      <c r="P1827" s="9" t="str">
        <f t="shared" si="6"/>
        <v>UK</v>
      </c>
      <c r="Q1827" s="8">
        <f t="shared" si="7"/>
        <v>19.9</v>
      </c>
    </row>
    <row r="1828">
      <c r="A1828" s="1">
        <v>544907.0</v>
      </c>
      <c r="B1828" s="1" t="str">
        <f t="shared" si="1"/>
        <v>544907</v>
      </c>
      <c r="C1828" s="1" t="str">
        <f t="shared" si="2"/>
        <v>Sale</v>
      </c>
      <c r="D1828" s="1" t="s">
        <v>1053</v>
      </c>
      <c r="E1828" s="1" t="str">
        <f>IFERROR(__xludf.DUMMYFUNCTION("IF(LEN(D1828)&gt;4, IFERROR(REGEXEXTRACT(TO_TEXT(D1828),""\d+""),""""),"""")"),"72760")</f>
        <v>72760</v>
      </c>
      <c r="F1828" s="6" t="str">
        <f t="shared" si="3"/>
        <v>Product</v>
      </c>
      <c r="G1828" s="1" t="s">
        <v>1054</v>
      </c>
      <c r="H1828" s="6" t="str">
        <f>IFERROR(__xludf.DUMMYFUNCTION("IF(REGEXMATCH(LOWER(G1828), ""^(\?)+\s*(missing)?\s*(\?)*$""), """", PROPER(SUBSTITUTE(SUBSTITUTE(G1828, ""?"", """"), ""*"", """")))"),"Vintage Cream 3 Basket Cake Stand")</f>
        <v>Vintage Cream 3 Basket Cake Stand</v>
      </c>
      <c r="I1828" s="3">
        <v>2.0</v>
      </c>
      <c r="J1828" s="7">
        <v>40598.59375</v>
      </c>
      <c r="K1828" s="8" t="str">
        <f t="shared" si="4"/>
        <v>2011-02</v>
      </c>
      <c r="L1828" s="5">
        <v>9.95</v>
      </c>
      <c r="M1828" s="3">
        <v>12945.0</v>
      </c>
      <c r="N1828" s="1" t="str">
        <f t="shared" si="5"/>
        <v>Registered</v>
      </c>
      <c r="O1828" s="1" t="s">
        <v>19</v>
      </c>
      <c r="P1828" s="9" t="str">
        <f t="shared" si="6"/>
        <v>UK</v>
      </c>
      <c r="Q1828" s="8">
        <f t="shared" si="7"/>
        <v>19.9</v>
      </c>
    </row>
    <row r="1829">
      <c r="A1829" s="1">
        <v>544907.0</v>
      </c>
      <c r="B1829" s="1" t="str">
        <f t="shared" si="1"/>
        <v>544907</v>
      </c>
      <c r="C1829" s="1" t="str">
        <f t="shared" si="2"/>
        <v>Sale</v>
      </c>
      <c r="D1829" s="1">
        <v>22799.0</v>
      </c>
      <c r="E1829" s="1" t="str">
        <f>IFERROR(__xludf.DUMMYFUNCTION("IF(LEN(D1829)&gt;4, IFERROR(REGEXEXTRACT(TO_TEXT(D1829),""\d+""),""""),"""")"),"22799")</f>
        <v>22799</v>
      </c>
      <c r="F1829" s="6" t="str">
        <f t="shared" si="3"/>
        <v>Product</v>
      </c>
      <c r="G1829" s="1" t="s">
        <v>1055</v>
      </c>
      <c r="H1829" s="6" t="str">
        <f>IFERROR(__xludf.DUMMYFUNCTION("IF(REGEXMATCH(LOWER(G1829), ""^(\?)+\s*(missing)?\s*(\?)*$""), """", PROPER(SUBSTITUTE(SUBSTITUTE(G1829, ""?"", """"), ""*"", """")))"),"Sweetheart Wire Fruit Bowl")</f>
        <v>Sweetheart Wire Fruit Bowl</v>
      </c>
      <c r="I1829" s="3">
        <v>2.0</v>
      </c>
      <c r="J1829" s="7">
        <v>40598.59375</v>
      </c>
      <c r="K1829" s="8" t="str">
        <f t="shared" si="4"/>
        <v>2011-02</v>
      </c>
      <c r="L1829" s="5">
        <v>8.5</v>
      </c>
      <c r="M1829" s="3">
        <v>12945.0</v>
      </c>
      <c r="N1829" s="1" t="str">
        <f t="shared" si="5"/>
        <v>Registered</v>
      </c>
      <c r="O1829" s="1" t="s">
        <v>19</v>
      </c>
      <c r="P1829" s="9" t="str">
        <f t="shared" si="6"/>
        <v>UK</v>
      </c>
      <c r="Q1829" s="8">
        <f t="shared" si="7"/>
        <v>17</v>
      </c>
    </row>
    <row r="1830">
      <c r="A1830" s="1">
        <v>544907.0</v>
      </c>
      <c r="B1830" s="1" t="str">
        <f t="shared" si="1"/>
        <v>544907</v>
      </c>
      <c r="C1830" s="1" t="str">
        <f t="shared" si="2"/>
        <v>Sale</v>
      </c>
      <c r="D1830" s="1">
        <v>22469.0</v>
      </c>
      <c r="E1830" s="1" t="str">
        <f>IFERROR(__xludf.DUMMYFUNCTION("IF(LEN(D1830)&gt;4, IFERROR(REGEXEXTRACT(TO_TEXT(D1830),""\d+""),""""),"""")"),"22469")</f>
        <v>22469</v>
      </c>
      <c r="F1830" s="6" t="str">
        <f t="shared" si="3"/>
        <v>Product</v>
      </c>
      <c r="G1830" s="1" t="s">
        <v>167</v>
      </c>
      <c r="H1830" s="6" t="str">
        <f>IFERROR(__xludf.DUMMYFUNCTION("IF(REGEXMATCH(LOWER(G1830), ""^(\?)+\s*(missing)?\s*(\?)*$""), """", PROPER(SUBSTITUTE(SUBSTITUTE(G1830, ""?"", """"), ""*"", """")))"),"Heart Of Wicker Small")</f>
        <v>Heart Of Wicker Small</v>
      </c>
      <c r="I1830" s="3">
        <v>40.0</v>
      </c>
      <c r="J1830" s="7">
        <v>40598.59375</v>
      </c>
      <c r="K1830" s="8" t="str">
        <f t="shared" si="4"/>
        <v>2011-02</v>
      </c>
      <c r="L1830" s="5">
        <v>1.45</v>
      </c>
      <c r="M1830" s="3">
        <v>12945.0</v>
      </c>
      <c r="N1830" s="1" t="str">
        <f t="shared" si="5"/>
        <v>Registered</v>
      </c>
      <c r="O1830" s="1" t="s">
        <v>19</v>
      </c>
      <c r="P1830" s="9" t="str">
        <f t="shared" si="6"/>
        <v>UK</v>
      </c>
      <c r="Q1830" s="8">
        <f t="shared" si="7"/>
        <v>58</v>
      </c>
    </row>
    <row r="1831">
      <c r="A1831" s="1">
        <v>544907.0</v>
      </c>
      <c r="B1831" s="1" t="str">
        <f t="shared" si="1"/>
        <v>544907</v>
      </c>
      <c r="C1831" s="1" t="str">
        <f t="shared" si="2"/>
        <v>Sale</v>
      </c>
      <c r="D1831" s="1">
        <v>22470.0</v>
      </c>
      <c r="E1831" s="1" t="str">
        <f>IFERROR(__xludf.DUMMYFUNCTION("IF(LEN(D1831)&gt;4, IFERROR(REGEXEXTRACT(TO_TEXT(D1831),""\d+""),""""),"""")"),"22470")</f>
        <v>22470</v>
      </c>
      <c r="F1831" s="6" t="str">
        <f t="shared" si="3"/>
        <v>Product</v>
      </c>
      <c r="G1831" s="1" t="s">
        <v>168</v>
      </c>
      <c r="H1831" s="6" t="str">
        <f>IFERROR(__xludf.DUMMYFUNCTION("IF(REGEXMATCH(LOWER(G1831), ""^(\?)+\s*(missing)?\s*(\?)*$""), """", PROPER(SUBSTITUTE(SUBSTITUTE(G1831, ""?"", """"), ""*"", """")))"),"Heart Of Wicker Large")</f>
        <v>Heart Of Wicker Large</v>
      </c>
      <c r="I1831" s="3">
        <v>6.0</v>
      </c>
      <c r="J1831" s="7">
        <v>40598.59375</v>
      </c>
      <c r="K1831" s="8" t="str">
        <f t="shared" si="4"/>
        <v>2011-02</v>
      </c>
      <c r="L1831" s="5">
        <v>2.95</v>
      </c>
      <c r="M1831" s="3">
        <v>12945.0</v>
      </c>
      <c r="N1831" s="1" t="str">
        <f t="shared" si="5"/>
        <v>Registered</v>
      </c>
      <c r="O1831" s="1" t="s">
        <v>19</v>
      </c>
      <c r="P1831" s="9" t="str">
        <f t="shared" si="6"/>
        <v>UK</v>
      </c>
      <c r="Q1831" s="8">
        <f t="shared" si="7"/>
        <v>17.7</v>
      </c>
    </row>
    <row r="1832">
      <c r="A1832" s="1">
        <v>544907.0</v>
      </c>
      <c r="B1832" s="1" t="str">
        <f t="shared" si="1"/>
        <v>544907</v>
      </c>
      <c r="C1832" s="1" t="str">
        <f t="shared" si="2"/>
        <v>Sale</v>
      </c>
      <c r="D1832" s="1">
        <v>22424.0</v>
      </c>
      <c r="E1832" s="1" t="str">
        <f>IFERROR(__xludf.DUMMYFUNCTION("IF(LEN(D1832)&gt;4, IFERROR(REGEXEXTRACT(TO_TEXT(D1832),""\d+""),""""),"""")"),"22424")</f>
        <v>22424</v>
      </c>
      <c r="F1832" s="6" t="str">
        <f t="shared" si="3"/>
        <v>Product</v>
      </c>
      <c r="G1832" s="1" t="s">
        <v>174</v>
      </c>
      <c r="H1832" s="6" t="str">
        <f>IFERROR(__xludf.DUMMYFUNCTION("IF(REGEXMATCH(LOWER(G1832), ""^(\?)+\s*(missing)?\s*(\?)*$""), """", PROPER(SUBSTITUTE(SUBSTITUTE(G1832, ""?"", """"), ""*"", """")))"),"Enamel Bread Bin Cream")</f>
        <v>Enamel Bread Bin Cream</v>
      </c>
      <c r="I1832" s="3">
        <v>2.0</v>
      </c>
      <c r="J1832" s="7">
        <v>40598.59375</v>
      </c>
      <c r="K1832" s="8" t="str">
        <f t="shared" si="4"/>
        <v>2011-02</v>
      </c>
      <c r="L1832" s="5">
        <v>12.75</v>
      </c>
      <c r="M1832" s="3">
        <v>12945.0</v>
      </c>
      <c r="N1832" s="1" t="str">
        <f t="shared" si="5"/>
        <v>Registered</v>
      </c>
      <c r="O1832" s="1" t="s">
        <v>19</v>
      </c>
      <c r="P1832" s="9" t="str">
        <f t="shared" si="6"/>
        <v>UK</v>
      </c>
      <c r="Q1832" s="8">
        <f t="shared" si="7"/>
        <v>25.5</v>
      </c>
    </row>
    <row r="1833">
      <c r="A1833" s="1">
        <v>544907.0</v>
      </c>
      <c r="B1833" s="1" t="str">
        <f t="shared" si="1"/>
        <v>544907</v>
      </c>
      <c r="C1833" s="1" t="str">
        <f t="shared" si="2"/>
        <v>Sale</v>
      </c>
      <c r="D1833" s="1">
        <v>22426.0</v>
      </c>
      <c r="E1833" s="1" t="str">
        <f>IFERROR(__xludf.DUMMYFUNCTION("IF(LEN(D1833)&gt;4, IFERROR(REGEXEXTRACT(TO_TEXT(D1833),""\d+""),""""),"""")"),"22426")</f>
        <v>22426</v>
      </c>
      <c r="F1833" s="6" t="str">
        <f t="shared" si="3"/>
        <v>Product</v>
      </c>
      <c r="G1833" s="1" t="s">
        <v>1056</v>
      </c>
      <c r="H1833" s="6" t="str">
        <f>IFERROR(__xludf.DUMMYFUNCTION("IF(REGEXMATCH(LOWER(G1833), ""^(\?)+\s*(missing)?\s*(\?)*$""), """", PROPER(SUBSTITUTE(SUBSTITUTE(G1833, ""?"", """"), ""*"", """")))"),"Enamel Wash Bowl Cream")</f>
        <v>Enamel Wash Bowl Cream</v>
      </c>
      <c r="I1833" s="3">
        <v>4.0</v>
      </c>
      <c r="J1833" s="7">
        <v>40598.59375</v>
      </c>
      <c r="K1833" s="8" t="str">
        <f t="shared" si="4"/>
        <v>2011-02</v>
      </c>
      <c r="L1833" s="5">
        <v>3.75</v>
      </c>
      <c r="M1833" s="3">
        <v>12945.0</v>
      </c>
      <c r="N1833" s="1" t="str">
        <f t="shared" si="5"/>
        <v>Registered</v>
      </c>
      <c r="O1833" s="1" t="s">
        <v>19</v>
      </c>
      <c r="P1833" s="9" t="str">
        <f t="shared" si="6"/>
        <v>UK</v>
      </c>
      <c r="Q1833" s="8">
        <f t="shared" si="7"/>
        <v>15</v>
      </c>
    </row>
    <row r="1834">
      <c r="A1834" s="1">
        <v>544907.0</v>
      </c>
      <c r="B1834" s="1" t="str">
        <f t="shared" si="1"/>
        <v>544907</v>
      </c>
      <c r="C1834" s="1" t="str">
        <f t="shared" si="2"/>
        <v>Sale</v>
      </c>
      <c r="D1834" s="1">
        <v>22427.0</v>
      </c>
      <c r="E1834" s="1" t="str">
        <f>IFERROR(__xludf.DUMMYFUNCTION("IF(LEN(D1834)&gt;4, IFERROR(REGEXEXTRACT(TO_TEXT(D1834),""\d+""),""""),"""")"),"22427")</f>
        <v>22427</v>
      </c>
      <c r="F1834" s="6" t="str">
        <f t="shared" si="3"/>
        <v>Product</v>
      </c>
      <c r="G1834" s="1" t="s">
        <v>172</v>
      </c>
      <c r="H1834" s="6" t="str">
        <f>IFERROR(__xludf.DUMMYFUNCTION("IF(REGEXMATCH(LOWER(G1834), ""^(\?)+\s*(missing)?\s*(\?)*$""), """", PROPER(SUBSTITUTE(SUBSTITUTE(G1834, ""?"", """"), ""*"", """")))"),"Enamel Flower Jug Cream")</f>
        <v>Enamel Flower Jug Cream</v>
      </c>
      <c r="I1834" s="3">
        <v>3.0</v>
      </c>
      <c r="J1834" s="7">
        <v>40598.59375</v>
      </c>
      <c r="K1834" s="8" t="str">
        <f t="shared" si="4"/>
        <v>2011-02</v>
      </c>
      <c r="L1834" s="5">
        <v>5.95</v>
      </c>
      <c r="M1834" s="3">
        <v>12945.0</v>
      </c>
      <c r="N1834" s="1" t="str">
        <f t="shared" si="5"/>
        <v>Registered</v>
      </c>
      <c r="O1834" s="1" t="s">
        <v>19</v>
      </c>
      <c r="P1834" s="9" t="str">
        <f t="shared" si="6"/>
        <v>UK</v>
      </c>
      <c r="Q1834" s="8">
        <f t="shared" si="7"/>
        <v>17.85</v>
      </c>
    </row>
    <row r="1835">
      <c r="A1835" s="1">
        <v>544907.0</v>
      </c>
      <c r="B1835" s="1" t="str">
        <f t="shared" si="1"/>
        <v>544907</v>
      </c>
      <c r="C1835" s="1" t="str">
        <f t="shared" si="2"/>
        <v>Sale</v>
      </c>
      <c r="D1835" s="1">
        <v>82484.0</v>
      </c>
      <c r="E1835" s="1" t="str">
        <f>IFERROR(__xludf.DUMMYFUNCTION("IF(LEN(D1835)&gt;4, IFERROR(REGEXEXTRACT(TO_TEXT(D1835),""\d+""),""""),"""")"),"82484")</f>
        <v>82484</v>
      </c>
      <c r="F1835" s="6" t="str">
        <f t="shared" si="3"/>
        <v>Product</v>
      </c>
      <c r="G1835" s="1" t="s">
        <v>162</v>
      </c>
      <c r="H1835" s="6" t="str">
        <f>IFERROR(__xludf.DUMMYFUNCTION("IF(REGEXMATCH(LOWER(G1835), ""^(\?)+\s*(missing)?\s*(\?)*$""), """", PROPER(SUBSTITUTE(SUBSTITUTE(G1835, ""?"", """"), ""*"", """")))"),"Wood Black Board Ant White Finish")</f>
        <v>Wood Black Board Ant White Finish</v>
      </c>
      <c r="I1835" s="3">
        <v>2.0</v>
      </c>
      <c r="J1835" s="7">
        <v>40598.59375</v>
      </c>
      <c r="K1835" s="8" t="str">
        <f t="shared" si="4"/>
        <v>2011-02</v>
      </c>
      <c r="L1835" s="5">
        <v>7.95</v>
      </c>
      <c r="M1835" s="3">
        <v>12945.0</v>
      </c>
      <c r="N1835" s="1" t="str">
        <f t="shared" si="5"/>
        <v>Registered</v>
      </c>
      <c r="O1835" s="1" t="s">
        <v>19</v>
      </c>
      <c r="P1835" s="9" t="str">
        <f t="shared" si="6"/>
        <v>UK</v>
      </c>
      <c r="Q1835" s="8">
        <f t="shared" si="7"/>
        <v>15.9</v>
      </c>
    </row>
    <row r="1836">
      <c r="A1836" s="1">
        <v>544907.0</v>
      </c>
      <c r="B1836" s="1" t="str">
        <f t="shared" si="1"/>
        <v>544907</v>
      </c>
      <c r="C1836" s="1" t="str">
        <f t="shared" si="2"/>
        <v>Sale</v>
      </c>
      <c r="D1836" s="1">
        <v>22189.0</v>
      </c>
      <c r="E1836" s="1" t="str">
        <f>IFERROR(__xludf.DUMMYFUNCTION("IF(LEN(D1836)&gt;4, IFERROR(REGEXEXTRACT(TO_TEXT(D1836),""\d+""),""""),"""")"),"22189")</f>
        <v>22189</v>
      </c>
      <c r="F1836" s="6" t="str">
        <f t="shared" si="3"/>
        <v>Product</v>
      </c>
      <c r="G1836" s="1" t="s">
        <v>171</v>
      </c>
      <c r="H1836" s="6" t="str">
        <f>IFERROR(__xludf.DUMMYFUNCTION("IF(REGEXMATCH(LOWER(G1836), ""^(\?)+\s*(missing)?\s*(\?)*$""), """", PROPER(SUBSTITUTE(SUBSTITUTE(G1836, ""?"", """"), ""*"", """")))"),"Cream Heart Card Holder")</f>
        <v>Cream Heart Card Holder</v>
      </c>
      <c r="I1836" s="3">
        <v>4.0</v>
      </c>
      <c r="J1836" s="7">
        <v>40598.59375</v>
      </c>
      <c r="K1836" s="8" t="str">
        <f t="shared" si="4"/>
        <v>2011-02</v>
      </c>
      <c r="L1836" s="5">
        <v>3.95</v>
      </c>
      <c r="M1836" s="3">
        <v>12945.0</v>
      </c>
      <c r="N1836" s="1" t="str">
        <f t="shared" si="5"/>
        <v>Registered</v>
      </c>
      <c r="O1836" s="1" t="s">
        <v>19</v>
      </c>
      <c r="P1836" s="9" t="str">
        <f t="shared" si="6"/>
        <v>UK</v>
      </c>
      <c r="Q1836" s="8">
        <f t="shared" si="7"/>
        <v>15.8</v>
      </c>
    </row>
    <row r="1837">
      <c r="A1837" s="1">
        <v>544907.0</v>
      </c>
      <c r="B1837" s="1" t="str">
        <f t="shared" si="1"/>
        <v>544907</v>
      </c>
      <c r="C1837" s="1" t="str">
        <f t="shared" si="2"/>
        <v>Sale</v>
      </c>
      <c r="D1837" s="1">
        <v>22188.0</v>
      </c>
      <c r="E1837" s="1" t="str">
        <f>IFERROR(__xludf.DUMMYFUNCTION("IF(LEN(D1837)&gt;4, IFERROR(REGEXEXTRACT(TO_TEXT(D1837),""\d+""),""""),"""")"),"22188")</f>
        <v>22188</v>
      </c>
      <c r="F1837" s="6" t="str">
        <f t="shared" si="3"/>
        <v>Product</v>
      </c>
      <c r="G1837" s="1" t="s">
        <v>253</v>
      </c>
      <c r="H1837" s="6" t="str">
        <f>IFERROR(__xludf.DUMMYFUNCTION("IF(REGEXMATCH(LOWER(G1837), ""^(\?)+\s*(missing)?\s*(\?)*$""), """", PROPER(SUBSTITUTE(SUBSTITUTE(G1837, ""?"", """"), ""*"", """")))"),"Black Heart Card Holder")</f>
        <v>Black Heart Card Holder</v>
      </c>
      <c r="I1837" s="3">
        <v>4.0</v>
      </c>
      <c r="J1837" s="7">
        <v>40598.59375</v>
      </c>
      <c r="K1837" s="8" t="str">
        <f t="shared" si="4"/>
        <v>2011-02</v>
      </c>
      <c r="L1837" s="5">
        <v>3.95</v>
      </c>
      <c r="M1837" s="3">
        <v>12945.0</v>
      </c>
      <c r="N1837" s="1" t="str">
        <f t="shared" si="5"/>
        <v>Registered</v>
      </c>
      <c r="O1837" s="1" t="s">
        <v>19</v>
      </c>
      <c r="P1837" s="9" t="str">
        <f t="shared" si="6"/>
        <v>UK</v>
      </c>
      <c r="Q1837" s="8">
        <f t="shared" si="7"/>
        <v>15.8</v>
      </c>
    </row>
    <row r="1838">
      <c r="A1838" s="1">
        <v>544907.0</v>
      </c>
      <c r="B1838" s="1" t="str">
        <f t="shared" si="1"/>
        <v>544907</v>
      </c>
      <c r="C1838" s="1" t="str">
        <f t="shared" si="2"/>
        <v>Sale</v>
      </c>
      <c r="D1838" s="1">
        <v>22624.0</v>
      </c>
      <c r="E1838" s="1" t="str">
        <f>IFERROR(__xludf.DUMMYFUNCTION("IF(LEN(D1838)&gt;4, IFERROR(REGEXEXTRACT(TO_TEXT(D1838),""\d+""),""""),"""")"),"22624")</f>
        <v>22624</v>
      </c>
      <c r="F1838" s="6" t="str">
        <f t="shared" si="3"/>
        <v>Product</v>
      </c>
      <c r="G1838" s="1" t="s">
        <v>771</v>
      </c>
      <c r="H1838" s="6" t="str">
        <f>IFERROR(__xludf.DUMMYFUNCTION("IF(REGEXMATCH(LOWER(G1838), ""^(\?)+\s*(missing)?\s*(\?)*$""), """", PROPER(SUBSTITUTE(SUBSTITUTE(G1838, ""?"", """"), ""*"", """")))"),"Ivory Kitchen Scales")</f>
        <v>Ivory Kitchen Scales</v>
      </c>
      <c r="I1838" s="3">
        <v>2.0</v>
      </c>
      <c r="J1838" s="7">
        <v>40598.59375</v>
      </c>
      <c r="K1838" s="8" t="str">
        <f t="shared" si="4"/>
        <v>2011-02</v>
      </c>
      <c r="L1838" s="5">
        <v>8.5</v>
      </c>
      <c r="M1838" s="3">
        <v>12945.0</v>
      </c>
      <c r="N1838" s="1" t="str">
        <f t="shared" si="5"/>
        <v>Registered</v>
      </c>
      <c r="O1838" s="1" t="s">
        <v>19</v>
      </c>
      <c r="P1838" s="9" t="str">
        <f t="shared" si="6"/>
        <v>UK</v>
      </c>
      <c r="Q1838" s="8">
        <f t="shared" si="7"/>
        <v>17</v>
      </c>
    </row>
    <row r="1839">
      <c r="A1839" s="1">
        <v>544907.0</v>
      </c>
      <c r="B1839" s="1" t="str">
        <f t="shared" si="1"/>
        <v>544907</v>
      </c>
      <c r="C1839" s="1" t="str">
        <f t="shared" si="2"/>
        <v>Sale</v>
      </c>
      <c r="D1839" s="1" t="s">
        <v>17</v>
      </c>
      <c r="E1839" s="1" t="str">
        <f>IFERROR(__xludf.DUMMYFUNCTION("IF(LEN(D1839)&gt;4, IFERROR(REGEXEXTRACT(TO_TEXT(D1839),""\d+""),""""),"""")"),"85123")</f>
        <v>85123</v>
      </c>
      <c r="F1839" s="6" t="str">
        <f t="shared" si="3"/>
        <v>Product</v>
      </c>
      <c r="G1839" s="1" t="s">
        <v>18</v>
      </c>
      <c r="H1839" s="6" t="str">
        <f>IFERROR(__xludf.DUMMYFUNCTION("IF(REGEXMATCH(LOWER(G1839), ""^(\?)+\s*(missing)?\s*(\?)*$""), """", PROPER(SUBSTITUTE(SUBSTITUTE(G1839, ""?"", """"), ""*"", """")))"),"White Hanging Heart T-Light Holder")</f>
        <v>White Hanging Heart T-Light Holder</v>
      </c>
      <c r="I1839" s="3">
        <v>6.0</v>
      </c>
      <c r="J1839" s="7">
        <v>40598.59375</v>
      </c>
      <c r="K1839" s="8" t="str">
        <f t="shared" si="4"/>
        <v>2011-02</v>
      </c>
      <c r="L1839" s="5">
        <v>2.95</v>
      </c>
      <c r="M1839" s="3">
        <v>12945.0</v>
      </c>
      <c r="N1839" s="1" t="str">
        <f t="shared" si="5"/>
        <v>Registered</v>
      </c>
      <c r="O1839" s="1" t="s">
        <v>19</v>
      </c>
      <c r="P1839" s="9" t="str">
        <f t="shared" si="6"/>
        <v>UK</v>
      </c>
      <c r="Q1839" s="8">
        <f t="shared" si="7"/>
        <v>17.7</v>
      </c>
    </row>
    <row r="1840">
      <c r="A1840" s="1">
        <v>544907.0</v>
      </c>
      <c r="B1840" s="1" t="str">
        <f t="shared" si="1"/>
        <v>544907</v>
      </c>
      <c r="C1840" s="1" t="str">
        <f t="shared" si="2"/>
        <v>Sale</v>
      </c>
      <c r="D1840" s="1">
        <v>21930.0</v>
      </c>
      <c r="E1840" s="1" t="str">
        <f>IFERROR(__xludf.DUMMYFUNCTION("IF(LEN(D1840)&gt;4, IFERROR(REGEXEXTRACT(TO_TEXT(D1840),""\d+""),""""),"""")"),"21930")</f>
        <v>21930</v>
      </c>
      <c r="F1840" s="6" t="str">
        <f t="shared" si="3"/>
        <v>Product</v>
      </c>
      <c r="G1840" s="1" t="s">
        <v>805</v>
      </c>
      <c r="H1840" s="6" t="str">
        <f>IFERROR(__xludf.DUMMYFUNCTION("IF(REGEXMATCH(LOWER(G1840), ""^(\?)+\s*(missing)?\s*(\?)*$""), """", PROPER(SUBSTITUTE(SUBSTITUTE(G1840, ""?"", """"), ""*"", """")))"),"Jumbo Storage Bag Skulls")</f>
        <v>Jumbo Storage Bag Skulls</v>
      </c>
      <c r="I1840" s="3">
        <v>10.0</v>
      </c>
      <c r="J1840" s="7">
        <v>40598.59375</v>
      </c>
      <c r="K1840" s="8" t="str">
        <f t="shared" si="4"/>
        <v>2011-02</v>
      </c>
      <c r="L1840" s="5">
        <v>1.95</v>
      </c>
      <c r="M1840" s="3">
        <v>12945.0</v>
      </c>
      <c r="N1840" s="1" t="str">
        <f t="shared" si="5"/>
        <v>Registered</v>
      </c>
      <c r="O1840" s="1" t="s">
        <v>19</v>
      </c>
      <c r="P1840" s="9" t="str">
        <f t="shared" si="6"/>
        <v>UK</v>
      </c>
      <c r="Q1840" s="8">
        <f t="shared" si="7"/>
        <v>19.5</v>
      </c>
    </row>
    <row r="1841">
      <c r="A1841" s="1">
        <v>544907.0</v>
      </c>
      <c r="B1841" s="1" t="str">
        <f t="shared" si="1"/>
        <v>544907</v>
      </c>
      <c r="C1841" s="1" t="str">
        <f t="shared" si="2"/>
        <v>Sale</v>
      </c>
      <c r="D1841" s="1" t="s">
        <v>428</v>
      </c>
      <c r="E1841" s="1" t="str">
        <f>IFERROR(__xludf.DUMMYFUNCTION("IF(LEN(D1841)&gt;4, IFERROR(REGEXEXTRACT(TO_TEXT(D1841),""\d+""),""""),"""")"),"85099")</f>
        <v>85099</v>
      </c>
      <c r="F1841" s="6" t="str">
        <f t="shared" si="3"/>
        <v>Product</v>
      </c>
      <c r="G1841" s="1" t="s">
        <v>429</v>
      </c>
      <c r="H1841" s="6" t="str">
        <f>IFERROR(__xludf.DUMMYFUNCTION("IF(REGEXMATCH(LOWER(G1841), ""^(\?)+\s*(missing)?\s*(\?)*$""), """", PROPER(SUBSTITUTE(SUBSTITUTE(G1841, ""?"", """"), ""*"", """")))"),"Jumbo Bag Strawberry")</f>
        <v>Jumbo Bag Strawberry</v>
      </c>
      <c r="I1841" s="3">
        <v>10.0</v>
      </c>
      <c r="J1841" s="7">
        <v>40598.59375</v>
      </c>
      <c r="K1841" s="8" t="str">
        <f t="shared" si="4"/>
        <v>2011-02</v>
      </c>
      <c r="L1841" s="5">
        <v>1.95</v>
      </c>
      <c r="M1841" s="3">
        <v>12945.0</v>
      </c>
      <c r="N1841" s="1" t="str">
        <f t="shared" si="5"/>
        <v>Registered</v>
      </c>
      <c r="O1841" s="1" t="s">
        <v>19</v>
      </c>
      <c r="P1841" s="9" t="str">
        <f t="shared" si="6"/>
        <v>UK</v>
      </c>
      <c r="Q1841" s="8">
        <f t="shared" si="7"/>
        <v>19.5</v>
      </c>
    </row>
    <row r="1842">
      <c r="A1842" s="1">
        <v>544907.0</v>
      </c>
      <c r="B1842" s="1" t="str">
        <f t="shared" si="1"/>
        <v>544907</v>
      </c>
      <c r="C1842" s="1" t="str">
        <f t="shared" si="2"/>
        <v>Sale</v>
      </c>
      <c r="D1842" s="1" t="s">
        <v>85</v>
      </c>
      <c r="E1842" s="1" t="str">
        <f>IFERROR(__xludf.DUMMYFUNCTION("IF(LEN(D1842)&gt;4, IFERROR(REGEXEXTRACT(TO_TEXT(D1842),""\d+""),""""),"""")"),"85099")</f>
        <v>85099</v>
      </c>
      <c r="F1842" s="6" t="str">
        <f t="shared" si="3"/>
        <v>Product</v>
      </c>
      <c r="G1842" s="1" t="s">
        <v>86</v>
      </c>
      <c r="H1842" s="6" t="str">
        <f>IFERROR(__xludf.DUMMYFUNCTION("IF(REGEXMATCH(LOWER(G1842), ""^(\?)+\s*(missing)?\s*(\?)*$""), """", PROPER(SUBSTITUTE(SUBSTITUTE(G1842, ""?"", """"), ""*"", """")))"),"Jumbo Bag Baroque Black White")</f>
        <v>Jumbo Bag Baroque Black White</v>
      </c>
      <c r="I1842" s="3">
        <v>10.0</v>
      </c>
      <c r="J1842" s="7">
        <v>40598.59375</v>
      </c>
      <c r="K1842" s="8" t="str">
        <f t="shared" si="4"/>
        <v>2011-02</v>
      </c>
      <c r="L1842" s="5">
        <v>1.95</v>
      </c>
      <c r="M1842" s="3">
        <v>12945.0</v>
      </c>
      <c r="N1842" s="1" t="str">
        <f t="shared" si="5"/>
        <v>Registered</v>
      </c>
      <c r="O1842" s="1" t="s">
        <v>19</v>
      </c>
      <c r="P1842" s="9" t="str">
        <f t="shared" si="6"/>
        <v>UK</v>
      </c>
      <c r="Q1842" s="8">
        <f t="shared" si="7"/>
        <v>19.5</v>
      </c>
    </row>
    <row r="1843">
      <c r="A1843" s="1">
        <v>544907.0</v>
      </c>
      <c r="B1843" s="1" t="str">
        <f t="shared" si="1"/>
        <v>544907</v>
      </c>
      <c r="C1843" s="1" t="str">
        <f t="shared" si="2"/>
        <v>Sale</v>
      </c>
      <c r="D1843" s="1">
        <v>22411.0</v>
      </c>
      <c r="E1843" s="1" t="str">
        <f>IFERROR(__xludf.DUMMYFUNCTION("IF(LEN(D1843)&gt;4, IFERROR(REGEXEXTRACT(TO_TEXT(D1843),""\d+""),""""),"""")"),"22411")</f>
        <v>22411</v>
      </c>
      <c r="F1843" s="6" t="str">
        <f t="shared" si="3"/>
        <v>Product</v>
      </c>
      <c r="G1843" s="1" t="s">
        <v>112</v>
      </c>
      <c r="H1843" s="6" t="str">
        <f>IFERROR(__xludf.DUMMYFUNCTION("IF(REGEXMATCH(LOWER(G1843), ""^(\?)+\s*(missing)?\s*(\?)*$""), """", PROPER(SUBSTITUTE(SUBSTITUTE(G1843, ""?"", """"), ""*"", """")))"),"Jumbo Shopper Vintage Red Paisley")</f>
        <v>Jumbo Shopper Vintage Red Paisley</v>
      </c>
      <c r="I1843" s="3">
        <v>10.0</v>
      </c>
      <c r="J1843" s="7">
        <v>40598.59375</v>
      </c>
      <c r="K1843" s="8" t="str">
        <f t="shared" si="4"/>
        <v>2011-02</v>
      </c>
      <c r="L1843" s="5">
        <v>1.95</v>
      </c>
      <c r="M1843" s="3">
        <v>12945.0</v>
      </c>
      <c r="N1843" s="1" t="str">
        <f t="shared" si="5"/>
        <v>Registered</v>
      </c>
      <c r="O1843" s="1" t="s">
        <v>19</v>
      </c>
      <c r="P1843" s="9" t="str">
        <f t="shared" si="6"/>
        <v>UK</v>
      </c>
      <c r="Q1843" s="8">
        <f t="shared" si="7"/>
        <v>19.5</v>
      </c>
    </row>
    <row r="1844">
      <c r="A1844" s="1">
        <v>544907.0</v>
      </c>
      <c r="B1844" s="1" t="str">
        <f t="shared" si="1"/>
        <v>544907</v>
      </c>
      <c r="C1844" s="1" t="str">
        <f t="shared" si="2"/>
        <v>Sale</v>
      </c>
      <c r="D1844" s="1">
        <v>22386.0</v>
      </c>
      <c r="E1844" s="1" t="str">
        <f>IFERROR(__xludf.DUMMYFUNCTION("IF(LEN(D1844)&gt;4, IFERROR(REGEXEXTRACT(TO_TEXT(D1844),""\d+""),""""),"""")"),"22386")</f>
        <v>22386</v>
      </c>
      <c r="F1844" s="6" t="str">
        <f t="shared" si="3"/>
        <v>Product</v>
      </c>
      <c r="G1844" s="1" t="s">
        <v>84</v>
      </c>
      <c r="H1844" s="6" t="str">
        <f>IFERROR(__xludf.DUMMYFUNCTION("IF(REGEXMATCH(LOWER(G1844), ""^(\?)+\s*(missing)?\s*(\?)*$""), """", PROPER(SUBSTITUTE(SUBSTITUTE(G1844, ""?"", """"), ""*"", """")))"),"Jumbo Bag Pink Polkadot")</f>
        <v>Jumbo Bag Pink Polkadot</v>
      </c>
      <c r="I1844" s="3">
        <v>10.0</v>
      </c>
      <c r="J1844" s="7">
        <v>40598.59375</v>
      </c>
      <c r="K1844" s="8" t="str">
        <f t="shared" si="4"/>
        <v>2011-02</v>
      </c>
      <c r="L1844" s="5">
        <v>1.95</v>
      </c>
      <c r="M1844" s="3">
        <v>12945.0</v>
      </c>
      <c r="N1844" s="1" t="str">
        <f t="shared" si="5"/>
        <v>Registered</v>
      </c>
      <c r="O1844" s="1" t="s">
        <v>19</v>
      </c>
      <c r="P1844" s="9" t="str">
        <f t="shared" si="6"/>
        <v>UK</v>
      </c>
      <c r="Q1844" s="8">
        <f t="shared" si="7"/>
        <v>19.5</v>
      </c>
    </row>
    <row r="1845">
      <c r="A1845" s="1">
        <v>544907.0</v>
      </c>
      <c r="B1845" s="1" t="str">
        <f t="shared" si="1"/>
        <v>544907</v>
      </c>
      <c r="C1845" s="1" t="str">
        <f t="shared" si="2"/>
        <v>Sale</v>
      </c>
      <c r="D1845" s="1">
        <v>20728.0</v>
      </c>
      <c r="E1845" s="1" t="str">
        <f>IFERROR(__xludf.DUMMYFUNCTION("IF(LEN(D1845)&gt;4, IFERROR(REGEXEXTRACT(TO_TEXT(D1845),""\d+""),""""),"""")"),"20728")</f>
        <v>20728</v>
      </c>
      <c r="F1845" s="6" t="str">
        <f t="shared" si="3"/>
        <v>Product</v>
      </c>
      <c r="G1845" s="1" t="s">
        <v>356</v>
      </c>
      <c r="H1845" s="6" t="str">
        <f>IFERROR(__xludf.DUMMYFUNCTION("IF(REGEXMATCH(LOWER(G1845), ""^(\?)+\s*(missing)?\s*(\?)*$""), """", PROPER(SUBSTITUTE(SUBSTITUTE(G1845, ""?"", """"), ""*"", """")))"),"Lunch Bag Cars Blue")</f>
        <v>Lunch Bag Cars Blue</v>
      </c>
      <c r="I1845" s="3">
        <v>10.0</v>
      </c>
      <c r="J1845" s="7">
        <v>40598.59375</v>
      </c>
      <c r="K1845" s="8" t="str">
        <f t="shared" si="4"/>
        <v>2011-02</v>
      </c>
      <c r="L1845" s="5">
        <v>1.65</v>
      </c>
      <c r="M1845" s="3">
        <v>12945.0</v>
      </c>
      <c r="N1845" s="1" t="str">
        <f t="shared" si="5"/>
        <v>Registered</v>
      </c>
      <c r="O1845" s="1" t="s">
        <v>19</v>
      </c>
      <c r="P1845" s="9" t="str">
        <f t="shared" si="6"/>
        <v>UK</v>
      </c>
      <c r="Q1845" s="8">
        <f t="shared" si="7"/>
        <v>16.5</v>
      </c>
    </row>
    <row r="1846">
      <c r="A1846" s="1">
        <v>544907.0</v>
      </c>
      <c r="B1846" s="1" t="str">
        <f t="shared" si="1"/>
        <v>544907</v>
      </c>
      <c r="C1846" s="1" t="str">
        <f t="shared" si="2"/>
        <v>Sale</v>
      </c>
      <c r="D1846" s="1">
        <v>22585.0</v>
      </c>
      <c r="E1846" s="1" t="str">
        <f>IFERROR(__xludf.DUMMYFUNCTION("IF(LEN(D1846)&gt;4, IFERROR(REGEXEXTRACT(TO_TEXT(D1846),""\d+""),""""),"""")"),"22585")</f>
        <v>22585</v>
      </c>
      <c r="F1846" s="6" t="str">
        <f t="shared" si="3"/>
        <v>Product</v>
      </c>
      <c r="G1846" s="1" t="s">
        <v>520</v>
      </c>
      <c r="H1846" s="6" t="str">
        <f>IFERROR(__xludf.DUMMYFUNCTION("IF(REGEXMATCH(LOWER(G1846), ""^(\?)+\s*(missing)?\s*(\?)*$""), """", PROPER(SUBSTITUTE(SUBSTITUTE(G1846, ""?"", """"), ""*"", """")))"),"Pack Of 6 Birdy Gift Tags")</f>
        <v>Pack Of 6 Birdy Gift Tags</v>
      </c>
      <c r="I1846" s="3">
        <v>12.0</v>
      </c>
      <c r="J1846" s="7">
        <v>40598.59375</v>
      </c>
      <c r="K1846" s="8" t="str">
        <f t="shared" si="4"/>
        <v>2011-02</v>
      </c>
      <c r="L1846" s="5">
        <v>1.25</v>
      </c>
      <c r="M1846" s="3">
        <v>12945.0</v>
      </c>
      <c r="N1846" s="1" t="str">
        <f t="shared" si="5"/>
        <v>Registered</v>
      </c>
      <c r="O1846" s="1" t="s">
        <v>19</v>
      </c>
      <c r="P1846" s="9" t="str">
        <f t="shared" si="6"/>
        <v>UK</v>
      </c>
      <c r="Q1846" s="8">
        <f t="shared" si="7"/>
        <v>15</v>
      </c>
    </row>
    <row r="1847">
      <c r="A1847" s="1">
        <v>544908.0</v>
      </c>
      <c r="B1847" s="1" t="str">
        <f t="shared" si="1"/>
        <v>544908</v>
      </c>
      <c r="C1847" s="1" t="str">
        <f t="shared" si="2"/>
        <v>Sale</v>
      </c>
      <c r="D1847" s="1">
        <v>71459.0</v>
      </c>
      <c r="E1847" s="1" t="str">
        <f>IFERROR(__xludf.DUMMYFUNCTION("IF(LEN(D1847)&gt;4, IFERROR(REGEXEXTRACT(TO_TEXT(D1847),""\d+""),""""),"""")"),"71459")</f>
        <v>71459</v>
      </c>
      <c r="F1847" s="6" t="str">
        <f t="shared" si="3"/>
        <v>Product</v>
      </c>
      <c r="G1847" s="1" t="s">
        <v>881</v>
      </c>
      <c r="H1847" s="6" t="str">
        <f>IFERROR(__xludf.DUMMYFUNCTION("IF(REGEXMATCH(LOWER(G1847), ""^(\?)+\s*(missing)?\s*(\?)*$""), """", PROPER(SUBSTITUTE(SUBSTITUTE(G1847, ""?"", """"), ""*"", """")))"),"Hanging Jam Jar T-Light Holder")</f>
        <v>Hanging Jam Jar T-Light Holder</v>
      </c>
      <c r="I1847" s="3">
        <v>24.0</v>
      </c>
      <c r="J1847" s="7">
        <v>40598.60208333333</v>
      </c>
      <c r="K1847" s="8" t="str">
        <f t="shared" si="4"/>
        <v>2011-02</v>
      </c>
      <c r="L1847" s="5">
        <v>0.85</v>
      </c>
      <c r="M1847" s="3">
        <v>18056.0</v>
      </c>
      <c r="N1847" s="1" t="str">
        <f t="shared" si="5"/>
        <v>Registered</v>
      </c>
      <c r="O1847" s="1" t="s">
        <v>19</v>
      </c>
      <c r="P1847" s="9" t="str">
        <f t="shared" si="6"/>
        <v>UK</v>
      </c>
      <c r="Q1847" s="8">
        <f t="shared" si="7"/>
        <v>20.4</v>
      </c>
    </row>
    <row r="1848">
      <c r="A1848" s="1">
        <v>544908.0</v>
      </c>
      <c r="B1848" s="1" t="str">
        <f t="shared" si="1"/>
        <v>544908</v>
      </c>
      <c r="C1848" s="1" t="str">
        <f t="shared" si="2"/>
        <v>Sale</v>
      </c>
      <c r="D1848" s="1">
        <v>84978.0</v>
      </c>
      <c r="E1848" s="1" t="str">
        <f>IFERROR(__xludf.DUMMYFUNCTION("IF(LEN(D1848)&gt;4, IFERROR(REGEXEXTRACT(TO_TEXT(D1848),""\d+""),""""),"""")"),"84978")</f>
        <v>84978</v>
      </c>
      <c r="F1848" s="6" t="str">
        <f t="shared" si="3"/>
        <v>Product</v>
      </c>
      <c r="G1848" s="1" t="s">
        <v>925</v>
      </c>
      <c r="H1848" s="6" t="str">
        <f>IFERROR(__xludf.DUMMYFUNCTION("IF(REGEXMATCH(LOWER(G1848), ""^(\?)+\s*(missing)?\s*(\?)*$""), """", PROPER(SUBSTITUTE(SUBSTITUTE(G1848, ""?"", """"), ""*"", """")))"),"Hanging Heart Jar T-Light Holder")</f>
        <v>Hanging Heart Jar T-Light Holder</v>
      </c>
      <c r="I1848" s="3">
        <v>12.0</v>
      </c>
      <c r="J1848" s="7">
        <v>40598.60208333333</v>
      </c>
      <c r="K1848" s="8" t="str">
        <f t="shared" si="4"/>
        <v>2011-02</v>
      </c>
      <c r="L1848" s="5">
        <v>1.25</v>
      </c>
      <c r="M1848" s="3">
        <v>18056.0</v>
      </c>
      <c r="N1848" s="1" t="str">
        <f t="shared" si="5"/>
        <v>Registered</v>
      </c>
      <c r="O1848" s="1" t="s">
        <v>19</v>
      </c>
      <c r="P1848" s="9" t="str">
        <f t="shared" si="6"/>
        <v>UK</v>
      </c>
      <c r="Q1848" s="8">
        <f t="shared" si="7"/>
        <v>15</v>
      </c>
    </row>
    <row r="1849">
      <c r="A1849" s="1">
        <v>544908.0</v>
      </c>
      <c r="B1849" s="1" t="str">
        <f t="shared" si="1"/>
        <v>544908</v>
      </c>
      <c r="C1849" s="1" t="str">
        <f t="shared" si="2"/>
        <v>Sale</v>
      </c>
      <c r="D1849" s="1">
        <v>22178.0</v>
      </c>
      <c r="E1849" s="1" t="str">
        <f>IFERROR(__xludf.DUMMYFUNCTION("IF(LEN(D1849)&gt;4, IFERROR(REGEXEXTRACT(TO_TEXT(D1849),""\d+""),""""),"""")"),"22178")</f>
        <v>22178</v>
      </c>
      <c r="F1849" s="6" t="str">
        <f t="shared" si="3"/>
        <v>Product</v>
      </c>
      <c r="G1849" s="1" t="s">
        <v>369</v>
      </c>
      <c r="H1849" s="6" t="str">
        <f>IFERROR(__xludf.DUMMYFUNCTION("IF(REGEXMATCH(LOWER(G1849), ""^(\?)+\s*(missing)?\s*(\?)*$""), """", PROPER(SUBSTITUTE(SUBSTITUTE(G1849, ""?"", """"), ""*"", """")))"),"Victorian Glass Hanging T-Light")</f>
        <v>Victorian Glass Hanging T-Light</v>
      </c>
      <c r="I1849" s="3">
        <v>12.0</v>
      </c>
      <c r="J1849" s="7">
        <v>40598.60208333333</v>
      </c>
      <c r="K1849" s="8" t="str">
        <f t="shared" si="4"/>
        <v>2011-02</v>
      </c>
      <c r="L1849" s="5">
        <v>1.25</v>
      </c>
      <c r="M1849" s="3">
        <v>18056.0</v>
      </c>
      <c r="N1849" s="1" t="str">
        <f t="shared" si="5"/>
        <v>Registered</v>
      </c>
      <c r="O1849" s="1" t="s">
        <v>19</v>
      </c>
      <c r="P1849" s="9" t="str">
        <f t="shared" si="6"/>
        <v>UK</v>
      </c>
      <c r="Q1849" s="8">
        <f t="shared" si="7"/>
        <v>15</v>
      </c>
    </row>
    <row r="1850">
      <c r="A1850" s="1">
        <v>544908.0</v>
      </c>
      <c r="B1850" s="1" t="str">
        <f t="shared" si="1"/>
        <v>544908</v>
      </c>
      <c r="C1850" s="1" t="str">
        <f t="shared" si="2"/>
        <v>Sale</v>
      </c>
      <c r="D1850" s="1">
        <v>22084.0</v>
      </c>
      <c r="E1850" s="1" t="str">
        <f>IFERROR(__xludf.DUMMYFUNCTION("IF(LEN(D1850)&gt;4, IFERROR(REGEXEXTRACT(TO_TEXT(D1850),""\d+""),""""),"""")"),"22084")</f>
        <v>22084</v>
      </c>
      <c r="F1850" s="6" t="str">
        <f t="shared" si="3"/>
        <v>Product</v>
      </c>
      <c r="G1850" s="1" t="s">
        <v>718</v>
      </c>
      <c r="H1850" s="6" t="str">
        <f>IFERROR(__xludf.DUMMYFUNCTION("IF(REGEXMATCH(LOWER(G1850), ""^(\?)+\s*(missing)?\s*(\?)*$""), """", PROPER(SUBSTITUTE(SUBSTITUTE(G1850, ""?"", """"), ""*"", """")))"),"Paper Chain Kit Empire")</f>
        <v>Paper Chain Kit Empire</v>
      </c>
      <c r="I1850" s="3">
        <v>12.0</v>
      </c>
      <c r="J1850" s="7">
        <v>40598.60208333333</v>
      </c>
      <c r="K1850" s="8" t="str">
        <f t="shared" si="4"/>
        <v>2011-02</v>
      </c>
      <c r="L1850" s="5">
        <v>2.95</v>
      </c>
      <c r="M1850" s="3">
        <v>18056.0</v>
      </c>
      <c r="N1850" s="1" t="str">
        <f t="shared" si="5"/>
        <v>Registered</v>
      </c>
      <c r="O1850" s="1" t="s">
        <v>19</v>
      </c>
      <c r="P1850" s="9" t="str">
        <f t="shared" si="6"/>
        <v>UK</v>
      </c>
      <c r="Q1850" s="8">
        <f t="shared" si="7"/>
        <v>35.4</v>
      </c>
    </row>
    <row r="1851">
      <c r="A1851" s="1">
        <v>544908.0</v>
      </c>
      <c r="B1851" s="1" t="str">
        <f t="shared" si="1"/>
        <v>544908</v>
      </c>
      <c r="C1851" s="1" t="str">
        <f t="shared" si="2"/>
        <v>Sale</v>
      </c>
      <c r="D1851" s="1">
        <v>21716.0</v>
      </c>
      <c r="E1851" s="1" t="str">
        <f>IFERROR(__xludf.DUMMYFUNCTION("IF(LEN(D1851)&gt;4, IFERROR(REGEXEXTRACT(TO_TEXT(D1851),""\d+""),""""),"""")"),"21716")</f>
        <v>21716</v>
      </c>
      <c r="F1851" s="6" t="str">
        <f t="shared" si="3"/>
        <v>Product</v>
      </c>
      <c r="G1851" s="1" t="s">
        <v>513</v>
      </c>
      <c r="H1851" s="6" t="str">
        <f>IFERROR(__xludf.DUMMYFUNCTION("IF(REGEXMATCH(LOWER(G1851), ""^(\?)+\s*(missing)?\s*(\?)*$""), """", PROPER(SUBSTITUTE(SUBSTITUTE(G1851, ""?"", """"), ""*"", """")))"),"Boys Vintage Tin Seaside Bucket")</f>
        <v>Boys Vintage Tin Seaside Bucket</v>
      </c>
      <c r="I1851" s="3">
        <v>8.0</v>
      </c>
      <c r="J1851" s="7">
        <v>40598.60208333333</v>
      </c>
      <c r="K1851" s="8" t="str">
        <f t="shared" si="4"/>
        <v>2011-02</v>
      </c>
      <c r="L1851" s="5">
        <v>2.55</v>
      </c>
      <c r="M1851" s="3">
        <v>18056.0</v>
      </c>
      <c r="N1851" s="1" t="str">
        <f t="shared" si="5"/>
        <v>Registered</v>
      </c>
      <c r="O1851" s="1" t="s">
        <v>19</v>
      </c>
      <c r="P1851" s="9" t="str">
        <f t="shared" si="6"/>
        <v>UK</v>
      </c>
      <c r="Q1851" s="8">
        <f t="shared" si="7"/>
        <v>20.4</v>
      </c>
    </row>
    <row r="1852">
      <c r="A1852" s="1">
        <v>544908.0</v>
      </c>
      <c r="B1852" s="1" t="str">
        <f t="shared" si="1"/>
        <v>544908</v>
      </c>
      <c r="C1852" s="1" t="str">
        <f t="shared" si="2"/>
        <v>Sale</v>
      </c>
      <c r="D1852" s="1">
        <v>22241.0</v>
      </c>
      <c r="E1852" s="1" t="str">
        <f>IFERROR(__xludf.DUMMYFUNCTION("IF(LEN(D1852)&gt;4, IFERROR(REGEXEXTRACT(TO_TEXT(D1852),""\d+""),""""),"""")"),"22241")</f>
        <v>22241</v>
      </c>
      <c r="F1852" s="6" t="str">
        <f t="shared" si="3"/>
        <v>Product</v>
      </c>
      <c r="G1852" s="1" t="s">
        <v>675</v>
      </c>
      <c r="H1852" s="6" t="str">
        <f>IFERROR(__xludf.DUMMYFUNCTION("IF(REGEXMATCH(LOWER(G1852), ""^(\?)+\s*(missing)?\s*(\?)*$""), """", PROPER(SUBSTITUTE(SUBSTITUTE(G1852, ""?"", """"), ""*"", """")))"),"Garland Wooden Happy Easter")</f>
        <v>Garland Wooden Happy Easter</v>
      </c>
      <c r="I1852" s="3">
        <v>12.0</v>
      </c>
      <c r="J1852" s="7">
        <v>40598.60208333333</v>
      </c>
      <c r="K1852" s="8" t="str">
        <f t="shared" si="4"/>
        <v>2011-02</v>
      </c>
      <c r="L1852" s="5">
        <v>1.25</v>
      </c>
      <c r="M1852" s="3">
        <v>18056.0</v>
      </c>
      <c r="N1852" s="1" t="str">
        <f t="shared" si="5"/>
        <v>Registered</v>
      </c>
      <c r="O1852" s="1" t="s">
        <v>19</v>
      </c>
      <c r="P1852" s="9" t="str">
        <f t="shared" si="6"/>
        <v>UK</v>
      </c>
      <c r="Q1852" s="8">
        <f t="shared" si="7"/>
        <v>15</v>
      </c>
    </row>
    <row r="1853">
      <c r="A1853" s="1">
        <v>544908.0</v>
      </c>
      <c r="B1853" s="1" t="str">
        <f t="shared" si="1"/>
        <v>544908</v>
      </c>
      <c r="C1853" s="1" t="str">
        <f t="shared" si="2"/>
        <v>Sale</v>
      </c>
      <c r="D1853" s="1">
        <v>22859.0</v>
      </c>
      <c r="E1853" s="1" t="str">
        <f>IFERROR(__xludf.DUMMYFUNCTION("IF(LEN(D1853)&gt;4, IFERROR(REGEXEXTRACT(TO_TEXT(D1853),""\d+""),""""),"""")"),"22859")</f>
        <v>22859</v>
      </c>
      <c r="F1853" s="6" t="str">
        <f t="shared" si="3"/>
        <v>Product</v>
      </c>
      <c r="G1853" s="1" t="s">
        <v>901</v>
      </c>
      <c r="H1853" s="6" t="str">
        <f>IFERROR(__xludf.DUMMYFUNCTION("IF(REGEXMATCH(LOWER(G1853), ""^(\?)+\s*(missing)?\s*(\?)*$""), """", PROPER(SUBSTITUTE(SUBSTITUTE(G1853, ""?"", """"), ""*"", """")))"),"Easter Tin Bunny Bouquet")</f>
        <v>Easter Tin Bunny Bouquet</v>
      </c>
      <c r="I1853" s="3">
        <v>6.0</v>
      </c>
      <c r="J1853" s="7">
        <v>40598.60208333333</v>
      </c>
      <c r="K1853" s="8" t="str">
        <f t="shared" si="4"/>
        <v>2011-02</v>
      </c>
      <c r="L1853" s="5">
        <v>1.65</v>
      </c>
      <c r="M1853" s="3">
        <v>18056.0</v>
      </c>
      <c r="N1853" s="1" t="str">
        <f t="shared" si="5"/>
        <v>Registered</v>
      </c>
      <c r="O1853" s="1" t="s">
        <v>19</v>
      </c>
      <c r="P1853" s="9" t="str">
        <f t="shared" si="6"/>
        <v>UK</v>
      </c>
      <c r="Q1853" s="8">
        <f t="shared" si="7"/>
        <v>9.9</v>
      </c>
    </row>
    <row r="1854">
      <c r="A1854" s="1">
        <v>544908.0</v>
      </c>
      <c r="B1854" s="1" t="str">
        <f t="shared" si="1"/>
        <v>544908</v>
      </c>
      <c r="C1854" s="1" t="str">
        <f t="shared" si="2"/>
        <v>Sale</v>
      </c>
      <c r="D1854" s="1">
        <v>22858.0</v>
      </c>
      <c r="E1854" s="1" t="str">
        <f>IFERROR(__xludf.DUMMYFUNCTION("IF(LEN(D1854)&gt;4, IFERROR(REGEXEXTRACT(TO_TEXT(D1854),""\d+""),""""),"""")"),"22858")</f>
        <v>22858</v>
      </c>
      <c r="F1854" s="6" t="str">
        <f t="shared" si="3"/>
        <v>Product</v>
      </c>
      <c r="G1854" s="1" t="s">
        <v>1057</v>
      </c>
      <c r="H1854" s="6" t="str">
        <f>IFERROR(__xludf.DUMMYFUNCTION("IF(REGEXMATCH(LOWER(G1854), ""^(\?)+\s*(missing)?\s*(\?)*$""), """", PROPER(SUBSTITUTE(SUBSTITUTE(G1854, ""?"", """"), ""*"", """")))"),"Easter Tin Keepsake")</f>
        <v>Easter Tin Keepsake</v>
      </c>
      <c r="I1854" s="3">
        <v>6.0</v>
      </c>
      <c r="J1854" s="7">
        <v>40598.60208333333</v>
      </c>
      <c r="K1854" s="8" t="str">
        <f t="shared" si="4"/>
        <v>2011-02</v>
      </c>
      <c r="L1854" s="5">
        <v>1.65</v>
      </c>
      <c r="M1854" s="3">
        <v>18056.0</v>
      </c>
      <c r="N1854" s="1" t="str">
        <f t="shared" si="5"/>
        <v>Registered</v>
      </c>
      <c r="O1854" s="1" t="s">
        <v>19</v>
      </c>
      <c r="P1854" s="9" t="str">
        <f t="shared" si="6"/>
        <v>UK</v>
      </c>
      <c r="Q1854" s="8">
        <f t="shared" si="7"/>
        <v>9.9</v>
      </c>
    </row>
    <row r="1855">
      <c r="A1855" s="1">
        <v>544908.0</v>
      </c>
      <c r="B1855" s="1" t="str">
        <f t="shared" si="1"/>
        <v>544908</v>
      </c>
      <c r="C1855" s="1" t="str">
        <f t="shared" si="2"/>
        <v>Sale</v>
      </c>
      <c r="D1855" s="1">
        <v>22861.0</v>
      </c>
      <c r="E1855" s="1" t="str">
        <f>IFERROR(__xludf.DUMMYFUNCTION("IF(LEN(D1855)&gt;4, IFERROR(REGEXEXTRACT(TO_TEXT(D1855),""\d+""),""""),"""")"),"22861")</f>
        <v>22861</v>
      </c>
      <c r="F1855" s="6" t="str">
        <f t="shared" si="3"/>
        <v>Product</v>
      </c>
      <c r="G1855" s="1" t="s">
        <v>1058</v>
      </c>
      <c r="H1855" s="6" t="str">
        <f>IFERROR(__xludf.DUMMYFUNCTION("IF(REGEXMATCH(LOWER(G1855), ""^(\?)+\s*(missing)?\s*(\?)*$""), """", PROPER(SUBSTITUTE(SUBSTITUTE(G1855, ""?"", """"), ""*"", """")))"),"Easter Tin Chicks In Garden")</f>
        <v>Easter Tin Chicks In Garden</v>
      </c>
      <c r="I1855" s="3">
        <v>6.0</v>
      </c>
      <c r="J1855" s="7">
        <v>40598.60208333333</v>
      </c>
      <c r="K1855" s="8" t="str">
        <f t="shared" si="4"/>
        <v>2011-02</v>
      </c>
      <c r="L1855" s="5">
        <v>1.65</v>
      </c>
      <c r="M1855" s="3">
        <v>18056.0</v>
      </c>
      <c r="N1855" s="1" t="str">
        <f t="shared" si="5"/>
        <v>Registered</v>
      </c>
      <c r="O1855" s="1" t="s">
        <v>19</v>
      </c>
      <c r="P1855" s="9" t="str">
        <f t="shared" si="6"/>
        <v>UK</v>
      </c>
      <c r="Q1855" s="8">
        <f t="shared" si="7"/>
        <v>9.9</v>
      </c>
    </row>
    <row r="1856">
      <c r="A1856" s="1">
        <v>544908.0</v>
      </c>
      <c r="B1856" s="1" t="str">
        <f t="shared" si="1"/>
        <v>544908</v>
      </c>
      <c r="C1856" s="1" t="str">
        <f t="shared" si="2"/>
        <v>Sale</v>
      </c>
      <c r="D1856" s="1">
        <v>22129.0</v>
      </c>
      <c r="E1856" s="1" t="str">
        <f>IFERROR(__xludf.DUMMYFUNCTION("IF(LEN(D1856)&gt;4, IFERROR(REGEXEXTRACT(TO_TEXT(D1856),""\d+""),""""),"""")"),"22129")</f>
        <v>22129</v>
      </c>
      <c r="F1856" s="6" t="str">
        <f t="shared" si="3"/>
        <v>Product</v>
      </c>
      <c r="G1856" s="1" t="s">
        <v>1059</v>
      </c>
      <c r="H1856" s="6" t="str">
        <f>IFERROR(__xludf.DUMMYFUNCTION("IF(REGEXMATCH(LOWER(G1856), ""^(\?)+\s*(missing)?\s*(\?)*$""), """", PROPER(SUBSTITUTE(SUBSTITUTE(G1856, ""?"", """"), ""*"", """")))"),"Party Cones Candy Tree Decoration")</f>
        <v>Party Cones Candy Tree Decoration</v>
      </c>
      <c r="I1856" s="3">
        <v>12.0</v>
      </c>
      <c r="J1856" s="7">
        <v>40598.60208333333</v>
      </c>
      <c r="K1856" s="8" t="str">
        <f t="shared" si="4"/>
        <v>2011-02</v>
      </c>
      <c r="L1856" s="5">
        <v>0.85</v>
      </c>
      <c r="M1856" s="3">
        <v>18056.0</v>
      </c>
      <c r="N1856" s="1" t="str">
        <f t="shared" si="5"/>
        <v>Registered</v>
      </c>
      <c r="O1856" s="1" t="s">
        <v>19</v>
      </c>
      <c r="P1856" s="9" t="str">
        <f t="shared" si="6"/>
        <v>UK</v>
      </c>
      <c r="Q1856" s="8">
        <f t="shared" si="7"/>
        <v>10.2</v>
      </c>
    </row>
    <row r="1857">
      <c r="A1857" s="1">
        <v>544908.0</v>
      </c>
      <c r="B1857" s="1" t="str">
        <f t="shared" si="1"/>
        <v>544908</v>
      </c>
      <c r="C1857" s="1" t="str">
        <f t="shared" si="2"/>
        <v>Sale</v>
      </c>
      <c r="D1857" s="1">
        <v>22857.0</v>
      </c>
      <c r="E1857" s="1" t="str">
        <f>IFERROR(__xludf.DUMMYFUNCTION("IF(LEN(D1857)&gt;4, IFERROR(REGEXEXTRACT(TO_TEXT(D1857),""\d+""),""""),"""")"),"22857")</f>
        <v>22857</v>
      </c>
      <c r="F1857" s="6" t="str">
        <f t="shared" si="3"/>
        <v>Product</v>
      </c>
      <c r="G1857" s="1" t="s">
        <v>1060</v>
      </c>
      <c r="H1857" s="6" t="str">
        <f>IFERROR(__xludf.DUMMYFUNCTION("IF(REGEXMATCH(LOWER(G1857), ""^(\?)+\s*(missing)?\s*(\?)*$""), """", PROPER(SUBSTITUTE(SUBSTITUTE(G1857, ""?"", """"), ""*"", """")))"),"Assorted Easter Gift Tags")</f>
        <v>Assorted Easter Gift Tags</v>
      </c>
      <c r="I1857" s="3">
        <v>24.0</v>
      </c>
      <c r="J1857" s="7">
        <v>40598.60208333333</v>
      </c>
      <c r="K1857" s="8" t="str">
        <f t="shared" si="4"/>
        <v>2011-02</v>
      </c>
      <c r="L1857" s="5">
        <v>0.85</v>
      </c>
      <c r="M1857" s="3">
        <v>18056.0</v>
      </c>
      <c r="N1857" s="1" t="str">
        <f t="shared" si="5"/>
        <v>Registered</v>
      </c>
      <c r="O1857" s="1" t="s">
        <v>19</v>
      </c>
      <c r="P1857" s="9" t="str">
        <f t="shared" si="6"/>
        <v>UK</v>
      </c>
      <c r="Q1857" s="8">
        <f t="shared" si="7"/>
        <v>20.4</v>
      </c>
    </row>
    <row r="1858">
      <c r="A1858" s="1">
        <v>544908.0</v>
      </c>
      <c r="B1858" s="1" t="str">
        <f t="shared" si="1"/>
        <v>544908</v>
      </c>
      <c r="C1858" s="1" t="str">
        <f t="shared" si="2"/>
        <v>Sale</v>
      </c>
      <c r="D1858" s="1">
        <v>22957.0</v>
      </c>
      <c r="E1858" s="1" t="str">
        <f>IFERROR(__xludf.DUMMYFUNCTION("IF(LEN(D1858)&gt;4, IFERROR(REGEXEXTRACT(TO_TEXT(D1858),""\d+""),""""),"""")"),"22957")</f>
        <v>22957</v>
      </c>
      <c r="F1858" s="6" t="str">
        <f t="shared" si="3"/>
        <v>Product</v>
      </c>
      <c r="G1858" s="1" t="s">
        <v>909</v>
      </c>
      <c r="H1858" s="6" t="str">
        <f>IFERROR(__xludf.DUMMYFUNCTION("IF(REGEXMATCH(LOWER(G1858), ""^(\?)+\s*(missing)?\s*(\?)*$""), """", PROPER(SUBSTITUTE(SUBSTITUTE(G1858, ""?"", """"), ""*"", """")))"),"Set 3 Paper Vintage Chick Paper Egg")</f>
        <v>Set 3 Paper Vintage Chick Paper Egg</v>
      </c>
      <c r="I1858" s="3">
        <v>6.0</v>
      </c>
      <c r="J1858" s="7">
        <v>40598.60208333333</v>
      </c>
      <c r="K1858" s="8" t="str">
        <f t="shared" si="4"/>
        <v>2011-02</v>
      </c>
      <c r="L1858" s="5">
        <v>2.95</v>
      </c>
      <c r="M1858" s="3">
        <v>18056.0</v>
      </c>
      <c r="N1858" s="1" t="str">
        <f t="shared" si="5"/>
        <v>Registered</v>
      </c>
      <c r="O1858" s="1" t="s">
        <v>19</v>
      </c>
      <c r="P1858" s="9" t="str">
        <f t="shared" si="6"/>
        <v>UK</v>
      </c>
      <c r="Q1858" s="8">
        <f t="shared" si="7"/>
        <v>17.7</v>
      </c>
    </row>
    <row r="1859">
      <c r="A1859" s="1">
        <v>544908.0</v>
      </c>
      <c r="B1859" s="1" t="str">
        <f t="shared" si="1"/>
        <v>544908</v>
      </c>
      <c r="C1859" s="1" t="str">
        <f t="shared" si="2"/>
        <v>Sale</v>
      </c>
      <c r="D1859" s="1">
        <v>22856.0</v>
      </c>
      <c r="E1859" s="1" t="str">
        <f>IFERROR(__xludf.DUMMYFUNCTION("IF(LEN(D1859)&gt;4, IFERROR(REGEXEXTRACT(TO_TEXT(D1859),""\d+""),""""),"""")"),"22856")</f>
        <v>22856</v>
      </c>
      <c r="F1859" s="6" t="str">
        <f t="shared" si="3"/>
        <v>Product</v>
      </c>
      <c r="G1859" s="1" t="s">
        <v>1061</v>
      </c>
      <c r="H1859" s="6" t="str">
        <f>IFERROR(__xludf.DUMMYFUNCTION("IF(REGEXMATCH(LOWER(G1859), ""^(\?)+\s*(missing)?\s*(\?)*$""), """", PROPER(SUBSTITUTE(SUBSTITUTE(G1859, ""?"", """"), ""*"", """")))"),"Assorted Easter Decorations Bells")</f>
        <v>Assorted Easter Decorations Bells</v>
      </c>
      <c r="I1859" s="3">
        <v>24.0</v>
      </c>
      <c r="J1859" s="7">
        <v>40598.60208333333</v>
      </c>
      <c r="K1859" s="8" t="str">
        <f t="shared" si="4"/>
        <v>2011-02</v>
      </c>
      <c r="L1859" s="5">
        <v>1.25</v>
      </c>
      <c r="M1859" s="3">
        <v>18056.0</v>
      </c>
      <c r="N1859" s="1" t="str">
        <f t="shared" si="5"/>
        <v>Registered</v>
      </c>
      <c r="O1859" s="1" t="s">
        <v>19</v>
      </c>
      <c r="P1859" s="9" t="str">
        <f t="shared" si="6"/>
        <v>UK</v>
      </c>
      <c r="Q1859" s="8">
        <f t="shared" si="7"/>
        <v>30</v>
      </c>
    </row>
    <row r="1860">
      <c r="A1860" s="1">
        <v>544908.0</v>
      </c>
      <c r="B1860" s="1" t="str">
        <f t="shared" si="1"/>
        <v>544908</v>
      </c>
      <c r="C1860" s="1" t="str">
        <f t="shared" si="2"/>
        <v>Sale</v>
      </c>
      <c r="D1860" s="1">
        <v>21621.0</v>
      </c>
      <c r="E1860" s="1" t="str">
        <f>IFERROR(__xludf.DUMMYFUNCTION("IF(LEN(D1860)&gt;4, IFERROR(REGEXEXTRACT(TO_TEXT(D1860),""\d+""),""""),"""")"),"21621")</f>
        <v>21621</v>
      </c>
      <c r="F1860" s="6" t="str">
        <f t="shared" si="3"/>
        <v>Product</v>
      </c>
      <c r="G1860" s="1" t="s">
        <v>620</v>
      </c>
      <c r="H1860" s="6" t="str">
        <f>IFERROR(__xludf.DUMMYFUNCTION("IF(REGEXMATCH(LOWER(G1860), ""^(\?)+\s*(missing)?\s*(\?)*$""), """", PROPER(SUBSTITUTE(SUBSTITUTE(G1860, ""?"", """"), ""*"", """")))"),"Vintage Union Jack Bunting")</f>
        <v>Vintage Union Jack Bunting</v>
      </c>
      <c r="I1860" s="3">
        <v>4.0</v>
      </c>
      <c r="J1860" s="7">
        <v>40598.60208333333</v>
      </c>
      <c r="K1860" s="8" t="str">
        <f t="shared" si="4"/>
        <v>2011-02</v>
      </c>
      <c r="L1860" s="5">
        <v>8.5</v>
      </c>
      <c r="M1860" s="3">
        <v>18056.0</v>
      </c>
      <c r="N1860" s="1" t="str">
        <f t="shared" si="5"/>
        <v>Registered</v>
      </c>
      <c r="O1860" s="1" t="s">
        <v>19</v>
      </c>
      <c r="P1860" s="9" t="str">
        <f t="shared" si="6"/>
        <v>UK</v>
      </c>
      <c r="Q1860" s="8">
        <f t="shared" si="7"/>
        <v>34</v>
      </c>
    </row>
    <row r="1861">
      <c r="A1861" s="1">
        <v>544908.0</v>
      </c>
      <c r="B1861" s="1" t="str">
        <f t="shared" si="1"/>
        <v>544908</v>
      </c>
      <c r="C1861" s="1" t="str">
        <f t="shared" si="2"/>
        <v>Sale</v>
      </c>
      <c r="D1861" s="1">
        <v>22824.0</v>
      </c>
      <c r="E1861" s="1" t="str">
        <f>IFERROR(__xludf.DUMMYFUNCTION("IF(LEN(D1861)&gt;4, IFERROR(REGEXEXTRACT(TO_TEXT(D1861),""\d+""),""""),"""")"),"22824")</f>
        <v>22824</v>
      </c>
      <c r="F1861" s="6" t="str">
        <f t="shared" si="3"/>
        <v>Product</v>
      </c>
      <c r="G1861" s="1" t="s">
        <v>1062</v>
      </c>
      <c r="H1861" s="6" t="str">
        <f>IFERROR(__xludf.DUMMYFUNCTION("IF(REGEXMATCH(LOWER(G1861), ""^(\?)+\s*(missing)?\s*(\?)*$""), """", PROPER(SUBSTITUTE(SUBSTITUTE(G1861, ""?"", """"), ""*"", """")))"),"3 Tier Sweetheart Garden Shelf")</f>
        <v>3 Tier Sweetheart Garden Shelf</v>
      </c>
      <c r="I1861" s="3">
        <v>1.0</v>
      </c>
      <c r="J1861" s="7">
        <v>40598.60208333333</v>
      </c>
      <c r="K1861" s="8" t="str">
        <f t="shared" si="4"/>
        <v>2011-02</v>
      </c>
      <c r="L1861" s="5">
        <v>35.95</v>
      </c>
      <c r="M1861" s="3">
        <v>18056.0</v>
      </c>
      <c r="N1861" s="1" t="str">
        <f t="shared" si="5"/>
        <v>Registered</v>
      </c>
      <c r="O1861" s="1" t="s">
        <v>19</v>
      </c>
      <c r="P1861" s="9" t="str">
        <f t="shared" si="6"/>
        <v>UK</v>
      </c>
      <c r="Q1861" s="8">
        <f t="shared" si="7"/>
        <v>35.95</v>
      </c>
    </row>
    <row r="1862">
      <c r="A1862" s="1">
        <v>544908.0</v>
      </c>
      <c r="B1862" s="1" t="str">
        <f t="shared" si="1"/>
        <v>544908</v>
      </c>
      <c r="C1862" s="1" t="str">
        <f t="shared" si="2"/>
        <v>Sale</v>
      </c>
      <c r="D1862" s="1">
        <v>22938.0</v>
      </c>
      <c r="E1862" s="1" t="str">
        <f>IFERROR(__xludf.DUMMYFUNCTION("IF(LEN(D1862)&gt;4, IFERROR(REGEXEXTRACT(TO_TEXT(D1862),""\d+""),""""),"""")"),"22938")</f>
        <v>22938</v>
      </c>
      <c r="F1862" s="6" t="str">
        <f t="shared" si="3"/>
        <v>Product</v>
      </c>
      <c r="G1862" s="1" t="s">
        <v>509</v>
      </c>
      <c r="H1862" s="6" t="str">
        <f>IFERROR(__xludf.DUMMYFUNCTION("IF(REGEXMATCH(LOWER(G1862), ""^(\?)+\s*(missing)?\s*(\?)*$""), """", PROPER(SUBSTITUTE(SUBSTITUTE(G1862, ""?"", """"), ""*"", """")))"),"Cupcake Lace Paper Set 6")</f>
        <v>Cupcake Lace Paper Set 6</v>
      </c>
      <c r="I1862" s="3">
        <v>12.0</v>
      </c>
      <c r="J1862" s="7">
        <v>40598.60208333333</v>
      </c>
      <c r="K1862" s="8" t="str">
        <f t="shared" si="4"/>
        <v>2011-02</v>
      </c>
      <c r="L1862" s="5">
        <v>1.95</v>
      </c>
      <c r="M1862" s="3">
        <v>18056.0</v>
      </c>
      <c r="N1862" s="1" t="str">
        <f t="shared" si="5"/>
        <v>Registered</v>
      </c>
      <c r="O1862" s="1" t="s">
        <v>19</v>
      </c>
      <c r="P1862" s="9" t="str">
        <f t="shared" si="6"/>
        <v>UK</v>
      </c>
      <c r="Q1862" s="8">
        <f t="shared" si="7"/>
        <v>23.4</v>
      </c>
    </row>
    <row r="1863">
      <c r="A1863" s="1">
        <v>544908.0</v>
      </c>
      <c r="B1863" s="1" t="str">
        <f t="shared" si="1"/>
        <v>544908</v>
      </c>
      <c r="C1863" s="1" t="str">
        <f t="shared" si="2"/>
        <v>Sale</v>
      </c>
      <c r="D1863" s="1">
        <v>21878.0</v>
      </c>
      <c r="E1863" s="1" t="str">
        <f>IFERROR(__xludf.DUMMYFUNCTION("IF(LEN(D1863)&gt;4, IFERROR(REGEXEXTRACT(TO_TEXT(D1863),""\d+""),""""),"""")"),"21878")</f>
        <v>21878</v>
      </c>
      <c r="F1863" s="6" t="str">
        <f t="shared" si="3"/>
        <v>Product</v>
      </c>
      <c r="G1863" s="1" t="s">
        <v>1050</v>
      </c>
      <c r="H1863" s="6" t="str">
        <f>IFERROR(__xludf.DUMMYFUNCTION("IF(REGEXMATCH(LOWER(G1863), ""^(\?)+\s*(missing)?\s*(\?)*$""), """", PROPER(SUBSTITUTE(SUBSTITUTE(G1863, ""?"", """"), ""*"", """")))"),"Pack Of 6 Sandcastle Flags Assorted")</f>
        <v>Pack Of 6 Sandcastle Flags Assorted</v>
      </c>
      <c r="I1863" s="3">
        <v>12.0</v>
      </c>
      <c r="J1863" s="7">
        <v>40598.60208333333</v>
      </c>
      <c r="K1863" s="8" t="str">
        <f t="shared" si="4"/>
        <v>2011-02</v>
      </c>
      <c r="L1863" s="5">
        <v>0.85</v>
      </c>
      <c r="M1863" s="3">
        <v>18056.0</v>
      </c>
      <c r="N1863" s="1" t="str">
        <f t="shared" si="5"/>
        <v>Registered</v>
      </c>
      <c r="O1863" s="1" t="s">
        <v>19</v>
      </c>
      <c r="P1863" s="9" t="str">
        <f t="shared" si="6"/>
        <v>UK</v>
      </c>
      <c r="Q1863" s="8">
        <f t="shared" si="7"/>
        <v>10.2</v>
      </c>
    </row>
    <row r="1864">
      <c r="A1864" s="1">
        <v>544908.0</v>
      </c>
      <c r="B1864" s="1" t="str">
        <f t="shared" si="1"/>
        <v>544908</v>
      </c>
      <c r="C1864" s="1" t="str">
        <f t="shared" si="2"/>
        <v>Sale</v>
      </c>
      <c r="D1864" s="1">
        <v>21718.0</v>
      </c>
      <c r="E1864" s="1" t="str">
        <f>IFERROR(__xludf.DUMMYFUNCTION("IF(LEN(D1864)&gt;4, IFERROR(REGEXEXTRACT(TO_TEXT(D1864),""\d+""),""""),"""")"),"21718")</f>
        <v>21718</v>
      </c>
      <c r="F1864" s="6" t="str">
        <f t="shared" si="3"/>
        <v>Product</v>
      </c>
      <c r="G1864" s="1" t="s">
        <v>512</v>
      </c>
      <c r="H1864" s="6" t="str">
        <f>IFERROR(__xludf.DUMMYFUNCTION("IF(REGEXMATCH(LOWER(G1864), ""^(\?)+\s*(missing)?\s*(\?)*$""), """", PROPER(SUBSTITUTE(SUBSTITUTE(G1864, ""?"", """"), ""*"", """")))"),"Red Metal Beach Spade")</f>
        <v>Red Metal Beach Spade</v>
      </c>
      <c r="I1864" s="3">
        <v>6.0</v>
      </c>
      <c r="J1864" s="7">
        <v>40598.60208333333</v>
      </c>
      <c r="K1864" s="8" t="str">
        <f t="shared" si="4"/>
        <v>2011-02</v>
      </c>
      <c r="L1864" s="5">
        <v>1.25</v>
      </c>
      <c r="M1864" s="3">
        <v>18056.0</v>
      </c>
      <c r="N1864" s="1" t="str">
        <f t="shared" si="5"/>
        <v>Registered</v>
      </c>
      <c r="O1864" s="1" t="s">
        <v>19</v>
      </c>
      <c r="P1864" s="9" t="str">
        <f t="shared" si="6"/>
        <v>UK</v>
      </c>
      <c r="Q1864" s="8">
        <f t="shared" si="7"/>
        <v>7.5</v>
      </c>
    </row>
    <row r="1865">
      <c r="A1865" s="1">
        <v>544908.0</v>
      </c>
      <c r="B1865" s="1" t="str">
        <f t="shared" si="1"/>
        <v>544908</v>
      </c>
      <c r="C1865" s="1" t="str">
        <f t="shared" si="2"/>
        <v>Sale</v>
      </c>
      <c r="D1865" s="1">
        <v>21626.0</v>
      </c>
      <c r="E1865" s="1" t="str">
        <f>IFERROR(__xludf.DUMMYFUNCTION("IF(LEN(D1865)&gt;4, IFERROR(REGEXEXTRACT(TO_TEXT(D1865),""\d+""),""""),"""")"),"21626")</f>
        <v>21626</v>
      </c>
      <c r="F1865" s="6" t="str">
        <f t="shared" si="3"/>
        <v>Product</v>
      </c>
      <c r="G1865" s="1" t="s">
        <v>882</v>
      </c>
      <c r="H1865" s="6" t="str">
        <f>IFERROR(__xludf.DUMMYFUNCTION("IF(REGEXMATCH(LOWER(G1865), ""^(\?)+\s*(missing)?\s*(\?)*$""), """", PROPER(SUBSTITUTE(SUBSTITUTE(G1865, ""?"", """"), ""*"", """")))"),"Vintage Union Jack Pennant")</f>
        <v>Vintage Union Jack Pennant</v>
      </c>
      <c r="I1865" s="3">
        <v>12.0</v>
      </c>
      <c r="J1865" s="7">
        <v>40598.60208333333</v>
      </c>
      <c r="K1865" s="8" t="str">
        <f t="shared" si="4"/>
        <v>2011-02</v>
      </c>
      <c r="L1865" s="5">
        <v>1.95</v>
      </c>
      <c r="M1865" s="3">
        <v>18056.0</v>
      </c>
      <c r="N1865" s="1" t="str">
        <f t="shared" si="5"/>
        <v>Registered</v>
      </c>
      <c r="O1865" s="1" t="s">
        <v>19</v>
      </c>
      <c r="P1865" s="9" t="str">
        <f t="shared" si="6"/>
        <v>UK</v>
      </c>
      <c r="Q1865" s="8">
        <f t="shared" si="7"/>
        <v>23.4</v>
      </c>
    </row>
    <row r="1866">
      <c r="A1866" s="1">
        <v>544909.0</v>
      </c>
      <c r="B1866" s="1" t="str">
        <f t="shared" si="1"/>
        <v>544909</v>
      </c>
      <c r="C1866" s="1" t="str">
        <f t="shared" si="2"/>
        <v>Sale</v>
      </c>
      <c r="D1866" s="1" t="s">
        <v>1063</v>
      </c>
      <c r="E1866" s="1" t="str">
        <f>IFERROR(__xludf.DUMMYFUNCTION("IF(LEN(D1866)&gt;4, IFERROR(REGEXEXTRACT(TO_TEXT(D1866),""\d+""),""""),"""")"),"85170")</f>
        <v>85170</v>
      </c>
      <c r="F1866" s="6" t="str">
        <f t="shared" si="3"/>
        <v>Product</v>
      </c>
      <c r="G1866" s="1" t="s">
        <v>1064</v>
      </c>
      <c r="H1866" s="6" t="str">
        <f>IFERROR(__xludf.DUMMYFUNCTION("IF(REGEXMATCH(LOWER(G1866), ""^(\?)+\s*(missing)?\s*(\?)*$""), """", PROPER(SUBSTITUTE(SUBSTITUTE(G1866, ""?"", """"), ""*"", """")))"),"Set/6 Pink Bird T-Light Candles")</f>
        <v>Set/6 Pink Bird T-Light Candles</v>
      </c>
      <c r="I1866" s="3">
        <v>24.0</v>
      </c>
      <c r="J1866" s="7">
        <v>40598.60555555556</v>
      </c>
      <c r="K1866" s="8" t="str">
        <f t="shared" si="4"/>
        <v>2011-02</v>
      </c>
      <c r="L1866" s="5">
        <v>0.85</v>
      </c>
      <c r="M1866" s="3">
        <v>14298.0</v>
      </c>
      <c r="N1866" s="1" t="str">
        <f t="shared" si="5"/>
        <v>Registered</v>
      </c>
      <c r="O1866" s="1" t="s">
        <v>19</v>
      </c>
      <c r="P1866" s="9" t="str">
        <f t="shared" si="6"/>
        <v>UK</v>
      </c>
      <c r="Q1866" s="8">
        <f t="shared" si="7"/>
        <v>20.4</v>
      </c>
    </row>
    <row r="1867">
      <c r="A1867" s="1">
        <v>544909.0</v>
      </c>
      <c r="B1867" s="1" t="str">
        <f t="shared" si="1"/>
        <v>544909</v>
      </c>
      <c r="C1867" s="1" t="str">
        <f t="shared" si="2"/>
        <v>Sale</v>
      </c>
      <c r="D1867" s="1" t="s">
        <v>1065</v>
      </c>
      <c r="E1867" s="1" t="str">
        <f>IFERROR(__xludf.DUMMYFUNCTION("IF(LEN(D1867)&gt;4, IFERROR(REGEXEXTRACT(TO_TEXT(D1867),""\d+""),""""),"""")"),"85170")</f>
        <v>85170</v>
      </c>
      <c r="F1867" s="6" t="str">
        <f t="shared" si="3"/>
        <v>Product</v>
      </c>
      <c r="G1867" s="1" t="s">
        <v>1066</v>
      </c>
      <c r="H1867" s="6" t="str">
        <f>IFERROR(__xludf.DUMMYFUNCTION("IF(REGEXMATCH(LOWER(G1867), ""^(\?)+\s*(missing)?\s*(\?)*$""), """", PROPER(SUBSTITUTE(SUBSTITUTE(G1867, ""?"", """"), ""*"", """")))"),"Set/6 Black Bird T-Light Candles")</f>
        <v>Set/6 Black Bird T-Light Candles</v>
      </c>
      <c r="I1867" s="3">
        <v>24.0</v>
      </c>
      <c r="J1867" s="7">
        <v>40598.60555555556</v>
      </c>
      <c r="K1867" s="8" t="str">
        <f t="shared" si="4"/>
        <v>2011-02</v>
      </c>
      <c r="L1867" s="5">
        <v>0.85</v>
      </c>
      <c r="M1867" s="3">
        <v>14298.0</v>
      </c>
      <c r="N1867" s="1" t="str">
        <f t="shared" si="5"/>
        <v>Registered</v>
      </c>
      <c r="O1867" s="1" t="s">
        <v>19</v>
      </c>
      <c r="P1867" s="9" t="str">
        <f t="shared" si="6"/>
        <v>UK</v>
      </c>
      <c r="Q1867" s="8">
        <f t="shared" si="7"/>
        <v>20.4</v>
      </c>
    </row>
    <row r="1868">
      <c r="A1868" s="1">
        <v>544909.0</v>
      </c>
      <c r="B1868" s="1" t="str">
        <f t="shared" si="1"/>
        <v>544909</v>
      </c>
      <c r="C1868" s="1" t="str">
        <f t="shared" si="2"/>
        <v>Sale</v>
      </c>
      <c r="D1868" s="1" t="s">
        <v>1067</v>
      </c>
      <c r="E1868" s="1" t="str">
        <f>IFERROR(__xludf.DUMMYFUNCTION("IF(LEN(D1868)&gt;4, IFERROR(REGEXEXTRACT(TO_TEXT(D1868),""\d+""),""""),"""")"),"85159")</f>
        <v>85159</v>
      </c>
      <c r="F1868" s="6" t="str">
        <f t="shared" si="3"/>
        <v>Product</v>
      </c>
      <c r="G1868" s="1" t="s">
        <v>1068</v>
      </c>
      <c r="H1868" s="6" t="str">
        <f>IFERROR(__xludf.DUMMYFUNCTION("IF(REGEXMATCH(LOWER(G1868), ""^(\?)+\s*(missing)?\s*(\?)*$""), """", PROPER(SUBSTITUTE(SUBSTITUTE(G1868, ""?"", """"), ""*"", """")))"),"White Tea,Coffee,Sugar Jars")</f>
        <v>White Tea,Coffee,Sugar Jars</v>
      </c>
      <c r="I1868" s="3">
        <v>24.0</v>
      </c>
      <c r="J1868" s="7">
        <v>40598.60555555556</v>
      </c>
      <c r="K1868" s="8" t="str">
        <f t="shared" si="4"/>
        <v>2011-02</v>
      </c>
      <c r="L1868" s="5">
        <v>1.25</v>
      </c>
      <c r="M1868" s="3">
        <v>14298.0</v>
      </c>
      <c r="N1868" s="1" t="str">
        <f t="shared" si="5"/>
        <v>Registered</v>
      </c>
      <c r="O1868" s="1" t="s">
        <v>19</v>
      </c>
      <c r="P1868" s="9" t="str">
        <f t="shared" si="6"/>
        <v>UK</v>
      </c>
      <c r="Q1868" s="8">
        <f t="shared" si="7"/>
        <v>30</v>
      </c>
    </row>
    <row r="1869">
      <c r="A1869" s="1">
        <v>544909.0</v>
      </c>
      <c r="B1869" s="1" t="str">
        <f t="shared" si="1"/>
        <v>544909</v>
      </c>
      <c r="C1869" s="1" t="str">
        <f t="shared" si="2"/>
        <v>Sale</v>
      </c>
      <c r="D1869" s="1" t="s">
        <v>1069</v>
      </c>
      <c r="E1869" s="1" t="str">
        <f>IFERROR(__xludf.DUMMYFUNCTION("IF(LEN(D1869)&gt;4, IFERROR(REGEXEXTRACT(TO_TEXT(D1869),""\d+""),""""),"""")"),"85159")</f>
        <v>85159</v>
      </c>
      <c r="F1869" s="6" t="str">
        <f t="shared" si="3"/>
        <v>Product</v>
      </c>
      <c r="G1869" s="1" t="s">
        <v>1070</v>
      </c>
      <c r="H1869" s="6" t="str">
        <f>IFERROR(__xludf.DUMMYFUNCTION("IF(REGEXMATCH(LOWER(G1869), ""^(\?)+\s*(missing)?\s*(\?)*$""), """", PROPER(SUBSTITUTE(SUBSTITUTE(G1869, ""?"", """"), ""*"", """")))"),"Black Tea,Coffee,Sugar Jars")</f>
        <v>Black Tea,Coffee,Sugar Jars</v>
      </c>
      <c r="I1869" s="3">
        <v>24.0</v>
      </c>
      <c r="J1869" s="7">
        <v>40598.60555555556</v>
      </c>
      <c r="K1869" s="8" t="str">
        <f t="shared" si="4"/>
        <v>2011-02</v>
      </c>
      <c r="L1869" s="5">
        <v>1.25</v>
      </c>
      <c r="M1869" s="3">
        <v>14298.0</v>
      </c>
      <c r="N1869" s="1" t="str">
        <f t="shared" si="5"/>
        <v>Registered</v>
      </c>
      <c r="O1869" s="1" t="s">
        <v>19</v>
      </c>
      <c r="P1869" s="9" t="str">
        <f t="shared" si="6"/>
        <v>UK</v>
      </c>
      <c r="Q1869" s="8">
        <f t="shared" si="7"/>
        <v>30</v>
      </c>
    </row>
    <row r="1870">
      <c r="A1870" s="1">
        <v>544909.0</v>
      </c>
      <c r="B1870" s="1" t="str">
        <f t="shared" si="1"/>
        <v>544909</v>
      </c>
      <c r="C1870" s="1" t="str">
        <f t="shared" si="2"/>
        <v>Sale</v>
      </c>
      <c r="D1870" s="1" t="s">
        <v>1071</v>
      </c>
      <c r="E1870" s="1" t="str">
        <f>IFERROR(__xludf.DUMMYFUNCTION("IF(LEN(D1870)&gt;4, IFERROR(REGEXEXTRACT(TO_TEXT(D1870),""\d+""),""""),"""")"),"84509")</f>
        <v>84509</v>
      </c>
      <c r="F1870" s="6" t="str">
        <f t="shared" si="3"/>
        <v>Product</v>
      </c>
      <c r="G1870" s="1" t="s">
        <v>1072</v>
      </c>
      <c r="H1870" s="6" t="str">
        <f>IFERROR(__xludf.DUMMYFUNCTION("IF(REGEXMATCH(LOWER(G1870), ""^(\?)+\s*(missing)?\s*(\?)*$""), """", PROPER(SUBSTITUTE(SUBSTITUTE(G1870, ""?"", """"), ""*"", """")))"),"Set Of 4 Carousel Placemats")</f>
        <v>Set Of 4 Carousel Placemats</v>
      </c>
      <c r="I1870" s="3">
        <v>24.0</v>
      </c>
      <c r="J1870" s="7">
        <v>40598.60555555556</v>
      </c>
      <c r="K1870" s="8" t="str">
        <f t="shared" si="4"/>
        <v>2011-02</v>
      </c>
      <c r="L1870" s="5">
        <v>1.25</v>
      </c>
      <c r="M1870" s="3">
        <v>14298.0</v>
      </c>
      <c r="N1870" s="1" t="str">
        <f t="shared" si="5"/>
        <v>Registered</v>
      </c>
      <c r="O1870" s="1" t="s">
        <v>19</v>
      </c>
      <c r="P1870" s="9" t="str">
        <f t="shared" si="6"/>
        <v>UK</v>
      </c>
      <c r="Q1870" s="8">
        <f t="shared" si="7"/>
        <v>30</v>
      </c>
    </row>
    <row r="1871">
      <c r="A1871" s="1">
        <v>544909.0</v>
      </c>
      <c r="B1871" s="1" t="str">
        <f t="shared" si="1"/>
        <v>544909</v>
      </c>
      <c r="C1871" s="1" t="str">
        <f t="shared" si="2"/>
        <v>Sale</v>
      </c>
      <c r="D1871" s="1">
        <v>75178.0</v>
      </c>
      <c r="E1871" s="1" t="str">
        <f>IFERROR(__xludf.DUMMYFUNCTION("IF(LEN(D1871)&gt;4, IFERROR(REGEXEXTRACT(TO_TEXT(D1871),""\d+""),""""),"""")"),"75178")</f>
        <v>75178</v>
      </c>
      <c r="F1871" s="6" t="str">
        <f t="shared" si="3"/>
        <v>Product</v>
      </c>
      <c r="G1871" s="1" t="s">
        <v>1073</v>
      </c>
      <c r="H1871" s="6" t="str">
        <f>IFERROR(__xludf.DUMMYFUNCTION("IF(REGEXMATCH(LOWER(G1871), ""^(\?)+\s*(missing)?\s*(\?)*$""), """", PROPER(SUBSTITUTE(SUBSTITUTE(G1871, ""?"", """"), ""*"", """")))"),"Asstd Col Butterfly/Crystal W/Chime")</f>
        <v>Asstd Col Butterfly/Crystal W/Chime</v>
      </c>
      <c r="I1871" s="3">
        <v>144.0</v>
      </c>
      <c r="J1871" s="7">
        <v>40598.60555555556</v>
      </c>
      <c r="K1871" s="8" t="str">
        <f t="shared" si="4"/>
        <v>2011-02</v>
      </c>
      <c r="L1871" s="5">
        <v>0.42</v>
      </c>
      <c r="M1871" s="3">
        <v>14298.0</v>
      </c>
      <c r="N1871" s="1" t="str">
        <f t="shared" si="5"/>
        <v>Registered</v>
      </c>
      <c r="O1871" s="1" t="s">
        <v>19</v>
      </c>
      <c r="P1871" s="9" t="str">
        <f t="shared" si="6"/>
        <v>UK</v>
      </c>
      <c r="Q1871" s="8">
        <f t="shared" si="7"/>
        <v>60.48</v>
      </c>
    </row>
    <row r="1872">
      <c r="A1872" s="1">
        <v>544909.0</v>
      </c>
      <c r="B1872" s="1" t="str">
        <f t="shared" si="1"/>
        <v>544909</v>
      </c>
      <c r="C1872" s="1" t="str">
        <f t="shared" si="2"/>
        <v>Sale</v>
      </c>
      <c r="D1872" s="1">
        <v>22783.0</v>
      </c>
      <c r="E1872" s="1" t="str">
        <f>IFERROR(__xludf.DUMMYFUNCTION("IF(LEN(D1872)&gt;4, IFERROR(REGEXEXTRACT(TO_TEXT(D1872),""\d+""),""""),"""")"),"22783")</f>
        <v>22783</v>
      </c>
      <c r="F1872" s="6" t="str">
        <f t="shared" si="3"/>
        <v>Product</v>
      </c>
      <c r="G1872" s="1" t="s">
        <v>158</v>
      </c>
      <c r="H1872" s="6" t="str">
        <f>IFERROR(__xludf.DUMMYFUNCTION("IF(REGEXMATCH(LOWER(G1872), ""^(\?)+\s*(missing)?\s*(\?)*$""), """", PROPER(SUBSTITUTE(SUBSTITUTE(G1872, ""?"", """"), ""*"", """")))"),"Set 3 Wicker Oval Baskets W Lids")</f>
        <v>Set 3 Wicker Oval Baskets W Lids</v>
      </c>
      <c r="I1872" s="3">
        <v>8.0</v>
      </c>
      <c r="J1872" s="7">
        <v>40598.60555555556</v>
      </c>
      <c r="K1872" s="8" t="str">
        <f t="shared" si="4"/>
        <v>2011-02</v>
      </c>
      <c r="L1872" s="5">
        <v>7.95</v>
      </c>
      <c r="M1872" s="3">
        <v>14298.0</v>
      </c>
      <c r="N1872" s="1" t="str">
        <f t="shared" si="5"/>
        <v>Registered</v>
      </c>
      <c r="O1872" s="1" t="s">
        <v>19</v>
      </c>
      <c r="P1872" s="9" t="str">
        <f t="shared" si="6"/>
        <v>UK</v>
      </c>
      <c r="Q1872" s="8">
        <f t="shared" si="7"/>
        <v>63.6</v>
      </c>
    </row>
    <row r="1873">
      <c r="A1873" s="1">
        <v>544909.0</v>
      </c>
      <c r="B1873" s="1" t="str">
        <f t="shared" si="1"/>
        <v>544909</v>
      </c>
      <c r="C1873" s="1" t="str">
        <f t="shared" si="2"/>
        <v>Sale</v>
      </c>
      <c r="D1873" s="1">
        <v>22702.0</v>
      </c>
      <c r="E1873" s="1" t="str">
        <f>IFERROR(__xludf.DUMMYFUNCTION("IF(LEN(D1873)&gt;4, IFERROR(REGEXEXTRACT(TO_TEXT(D1873),""\d+""),""""),"""")"),"22702")</f>
        <v>22702</v>
      </c>
      <c r="F1873" s="6" t="str">
        <f t="shared" si="3"/>
        <v>Product</v>
      </c>
      <c r="G1873" s="1" t="s">
        <v>1074</v>
      </c>
      <c r="H1873" s="6" t="str">
        <f>IFERROR(__xludf.DUMMYFUNCTION("IF(REGEXMATCH(LOWER(G1873), ""^(\?)+\s*(missing)?\s*(\?)*$""), """", PROPER(SUBSTITUTE(SUBSTITUTE(G1873, ""?"", """"), ""*"", """")))"),"Black And White Cat Bowl")</f>
        <v>Black And White Cat Bowl</v>
      </c>
      <c r="I1873" s="3">
        <v>48.0</v>
      </c>
      <c r="J1873" s="7">
        <v>40598.60555555556</v>
      </c>
      <c r="K1873" s="8" t="str">
        <f t="shared" si="4"/>
        <v>2011-02</v>
      </c>
      <c r="L1873" s="5">
        <v>0.85</v>
      </c>
      <c r="M1873" s="3">
        <v>14298.0</v>
      </c>
      <c r="N1873" s="1" t="str">
        <f t="shared" si="5"/>
        <v>Registered</v>
      </c>
      <c r="O1873" s="1" t="s">
        <v>19</v>
      </c>
      <c r="P1873" s="9" t="str">
        <f t="shared" si="6"/>
        <v>UK</v>
      </c>
      <c r="Q1873" s="8">
        <f t="shared" si="7"/>
        <v>40.8</v>
      </c>
    </row>
    <row r="1874">
      <c r="A1874" s="1">
        <v>544909.0</v>
      </c>
      <c r="B1874" s="1" t="str">
        <f t="shared" si="1"/>
        <v>544909</v>
      </c>
      <c r="C1874" s="1" t="str">
        <f t="shared" si="2"/>
        <v>Sale</v>
      </c>
      <c r="D1874" s="1">
        <v>22701.0</v>
      </c>
      <c r="E1874" s="1" t="str">
        <f>IFERROR(__xludf.DUMMYFUNCTION("IF(LEN(D1874)&gt;4, IFERROR(REGEXEXTRACT(TO_TEXT(D1874),""\d+""),""""),"""")"),"22701")</f>
        <v>22701</v>
      </c>
      <c r="F1874" s="6" t="str">
        <f t="shared" si="3"/>
        <v>Product</v>
      </c>
      <c r="G1874" s="1" t="s">
        <v>1075</v>
      </c>
      <c r="H1874" s="6" t="str">
        <f>IFERROR(__xludf.DUMMYFUNCTION("IF(REGEXMATCH(LOWER(G1874), ""^(\?)+\s*(missing)?\s*(\?)*$""), """", PROPER(SUBSTITUTE(SUBSTITUTE(G1874, ""?"", """"), ""*"", """")))"),"Pink Dog Bowl")</f>
        <v>Pink Dog Bowl</v>
      </c>
      <c r="I1874" s="3">
        <v>48.0</v>
      </c>
      <c r="J1874" s="7">
        <v>40598.60555555556</v>
      </c>
      <c r="K1874" s="8" t="str">
        <f t="shared" si="4"/>
        <v>2011-02</v>
      </c>
      <c r="L1874" s="5">
        <v>0.85</v>
      </c>
      <c r="M1874" s="3">
        <v>14298.0</v>
      </c>
      <c r="N1874" s="1" t="str">
        <f t="shared" si="5"/>
        <v>Registered</v>
      </c>
      <c r="O1874" s="1" t="s">
        <v>19</v>
      </c>
      <c r="P1874" s="9" t="str">
        <f t="shared" si="6"/>
        <v>UK</v>
      </c>
      <c r="Q1874" s="8">
        <f t="shared" si="7"/>
        <v>40.8</v>
      </c>
    </row>
    <row r="1875">
      <c r="A1875" s="1">
        <v>544909.0</v>
      </c>
      <c r="B1875" s="1" t="str">
        <f t="shared" si="1"/>
        <v>544909</v>
      </c>
      <c r="C1875" s="1" t="str">
        <f t="shared" si="2"/>
        <v>Sale</v>
      </c>
      <c r="D1875" s="1">
        <v>22700.0</v>
      </c>
      <c r="E1875" s="1" t="str">
        <f>IFERROR(__xludf.DUMMYFUNCTION("IF(LEN(D1875)&gt;4, IFERROR(REGEXEXTRACT(TO_TEXT(D1875),""\d+""),""""),"""")"),"22700")</f>
        <v>22700</v>
      </c>
      <c r="F1875" s="6" t="str">
        <f t="shared" si="3"/>
        <v>Product</v>
      </c>
      <c r="G1875" s="1" t="s">
        <v>1076</v>
      </c>
      <c r="H1875" s="6" t="str">
        <f>IFERROR(__xludf.DUMMYFUNCTION("IF(REGEXMATCH(LOWER(G1875), ""^(\?)+\s*(missing)?\s*(\?)*$""), """", PROPER(SUBSTITUTE(SUBSTITUTE(G1875, ""?"", """"), ""*"", """")))"),"Black And White Dog Bowl")</f>
        <v>Black And White Dog Bowl</v>
      </c>
      <c r="I1875" s="3">
        <v>48.0</v>
      </c>
      <c r="J1875" s="7">
        <v>40598.60555555556</v>
      </c>
      <c r="K1875" s="8" t="str">
        <f t="shared" si="4"/>
        <v>2011-02</v>
      </c>
      <c r="L1875" s="5">
        <v>0.85</v>
      </c>
      <c r="M1875" s="3">
        <v>14298.0</v>
      </c>
      <c r="N1875" s="1" t="str">
        <f t="shared" si="5"/>
        <v>Registered</v>
      </c>
      <c r="O1875" s="1" t="s">
        <v>19</v>
      </c>
      <c r="P1875" s="9" t="str">
        <f t="shared" si="6"/>
        <v>UK</v>
      </c>
      <c r="Q1875" s="8">
        <f t="shared" si="7"/>
        <v>40.8</v>
      </c>
    </row>
    <row r="1876">
      <c r="A1876" s="1">
        <v>544909.0</v>
      </c>
      <c r="B1876" s="1" t="str">
        <f t="shared" si="1"/>
        <v>544909</v>
      </c>
      <c r="C1876" s="1" t="str">
        <f t="shared" si="2"/>
        <v>Sale</v>
      </c>
      <c r="D1876" s="1">
        <v>22647.0</v>
      </c>
      <c r="E1876" s="1" t="str">
        <f>IFERROR(__xludf.DUMMYFUNCTION("IF(LEN(D1876)&gt;4, IFERROR(REGEXEXTRACT(TO_TEXT(D1876),""\d+""),""""),"""")"),"22647")</f>
        <v>22647</v>
      </c>
      <c r="F1876" s="6" t="str">
        <f t="shared" si="3"/>
        <v>Product</v>
      </c>
      <c r="G1876" s="1" t="s">
        <v>1077</v>
      </c>
      <c r="H1876" s="6" t="str">
        <f>IFERROR(__xludf.DUMMYFUNCTION("IF(REGEXMATCH(LOWER(G1876), ""^(\?)+\s*(missing)?\s*(\?)*$""), """", PROPER(SUBSTITUTE(SUBSTITUTE(G1876, ""?"", """"), ""*"", """")))"),"Ceramic Love Heart Money Bank")</f>
        <v>Ceramic Love Heart Money Bank</v>
      </c>
      <c r="I1876" s="3">
        <v>36.0</v>
      </c>
      <c r="J1876" s="7">
        <v>40598.60555555556</v>
      </c>
      <c r="K1876" s="8" t="str">
        <f t="shared" si="4"/>
        <v>2011-02</v>
      </c>
      <c r="L1876" s="5">
        <v>0.42</v>
      </c>
      <c r="M1876" s="3">
        <v>14298.0</v>
      </c>
      <c r="N1876" s="1" t="str">
        <f t="shared" si="5"/>
        <v>Registered</v>
      </c>
      <c r="O1876" s="1" t="s">
        <v>19</v>
      </c>
      <c r="P1876" s="9" t="str">
        <f t="shared" si="6"/>
        <v>UK</v>
      </c>
      <c r="Q1876" s="8">
        <f t="shared" si="7"/>
        <v>15.12</v>
      </c>
    </row>
    <row r="1877">
      <c r="A1877" s="1">
        <v>544909.0</v>
      </c>
      <c r="B1877" s="1" t="str">
        <f t="shared" si="1"/>
        <v>544909</v>
      </c>
      <c r="C1877" s="1" t="str">
        <f t="shared" si="2"/>
        <v>Sale</v>
      </c>
      <c r="D1877" s="1">
        <v>22378.0</v>
      </c>
      <c r="E1877" s="1" t="str">
        <f>IFERROR(__xludf.DUMMYFUNCTION("IF(LEN(D1877)&gt;4, IFERROR(REGEXEXTRACT(TO_TEXT(D1877),""\d+""),""""),"""")"),"22378")</f>
        <v>22378</v>
      </c>
      <c r="F1877" s="6" t="str">
        <f t="shared" si="3"/>
        <v>Product</v>
      </c>
      <c r="G1877" s="1" t="s">
        <v>1078</v>
      </c>
      <c r="H1877" s="6" t="str">
        <f>IFERROR(__xludf.DUMMYFUNCTION("IF(REGEXMATCH(LOWER(G1877), ""^(\?)+\s*(missing)?\s*(\?)*$""), """", PROPER(SUBSTITUTE(SUBSTITUTE(G1877, ""?"", """"), ""*"", """")))"),"Wall Tidy Retrospot")</f>
        <v>Wall Tidy Retrospot</v>
      </c>
      <c r="I1877" s="3">
        <v>20.0</v>
      </c>
      <c r="J1877" s="7">
        <v>40598.60555555556</v>
      </c>
      <c r="K1877" s="8" t="str">
        <f t="shared" si="4"/>
        <v>2011-02</v>
      </c>
      <c r="L1877" s="5">
        <v>0.85</v>
      </c>
      <c r="M1877" s="3">
        <v>14298.0</v>
      </c>
      <c r="N1877" s="1" t="str">
        <f t="shared" si="5"/>
        <v>Registered</v>
      </c>
      <c r="O1877" s="1" t="s">
        <v>19</v>
      </c>
      <c r="P1877" s="9" t="str">
        <f t="shared" si="6"/>
        <v>UK</v>
      </c>
      <c r="Q1877" s="8">
        <f t="shared" si="7"/>
        <v>17</v>
      </c>
    </row>
    <row r="1878">
      <c r="A1878" s="1">
        <v>544909.0</v>
      </c>
      <c r="B1878" s="1" t="str">
        <f t="shared" si="1"/>
        <v>544909</v>
      </c>
      <c r="C1878" s="1" t="str">
        <f t="shared" si="2"/>
        <v>Sale</v>
      </c>
      <c r="D1878" s="1">
        <v>22377.0</v>
      </c>
      <c r="E1878" s="1" t="str">
        <f>IFERROR(__xludf.DUMMYFUNCTION("IF(LEN(D1878)&gt;4, IFERROR(REGEXEXTRACT(TO_TEXT(D1878),""\d+""),""""),"""")"),"22377")</f>
        <v>22377</v>
      </c>
      <c r="F1878" s="6" t="str">
        <f t="shared" si="3"/>
        <v>Product</v>
      </c>
      <c r="G1878" s="1" t="s">
        <v>826</v>
      </c>
      <c r="H1878" s="6" t="str">
        <f>IFERROR(__xludf.DUMMYFUNCTION("IF(REGEXMATCH(LOWER(G1878), ""^(\?)+\s*(missing)?\s*(\?)*$""), """", PROPER(SUBSTITUTE(SUBSTITUTE(G1878, ""?"", """"), ""*"", """")))"),"Bottle Bag Retrospot")</f>
        <v>Bottle Bag Retrospot</v>
      </c>
      <c r="I1878" s="3">
        <v>20.0</v>
      </c>
      <c r="J1878" s="7">
        <v>40598.60555555556</v>
      </c>
      <c r="K1878" s="8" t="str">
        <f t="shared" si="4"/>
        <v>2011-02</v>
      </c>
      <c r="L1878" s="5">
        <v>0.85</v>
      </c>
      <c r="M1878" s="3">
        <v>14298.0</v>
      </c>
      <c r="N1878" s="1" t="str">
        <f t="shared" si="5"/>
        <v>Registered</v>
      </c>
      <c r="O1878" s="1" t="s">
        <v>19</v>
      </c>
      <c r="P1878" s="9" t="str">
        <f t="shared" si="6"/>
        <v>UK</v>
      </c>
      <c r="Q1878" s="8">
        <f t="shared" si="7"/>
        <v>17</v>
      </c>
    </row>
    <row r="1879">
      <c r="A1879" s="1">
        <v>544909.0</v>
      </c>
      <c r="B1879" s="1" t="str">
        <f t="shared" si="1"/>
        <v>544909</v>
      </c>
      <c r="C1879" s="1" t="str">
        <f t="shared" si="2"/>
        <v>Sale</v>
      </c>
      <c r="D1879" s="1">
        <v>22117.0</v>
      </c>
      <c r="E1879" s="1" t="str">
        <f>IFERROR(__xludf.DUMMYFUNCTION("IF(LEN(D1879)&gt;4, IFERROR(REGEXEXTRACT(TO_TEXT(D1879),""\d+""),""""),"""")"),"22117")</f>
        <v>22117</v>
      </c>
      <c r="F1879" s="6" t="str">
        <f t="shared" si="3"/>
        <v>Product</v>
      </c>
      <c r="G1879" s="1" t="s">
        <v>294</v>
      </c>
      <c r="H1879" s="6" t="str">
        <f>IFERROR(__xludf.DUMMYFUNCTION("IF(REGEXMATCH(LOWER(G1879), ""^(\?)+\s*(missing)?\s*(\?)*$""), """", PROPER(SUBSTITUTE(SUBSTITUTE(G1879, ""?"", """"), ""*"", """")))"),"Metal Sign Her Dinner Is Served")</f>
        <v>Metal Sign Her Dinner Is Served</v>
      </c>
      <c r="I1879" s="3">
        <v>24.0</v>
      </c>
      <c r="J1879" s="7">
        <v>40598.60555555556</v>
      </c>
      <c r="K1879" s="8" t="str">
        <f t="shared" si="4"/>
        <v>2011-02</v>
      </c>
      <c r="L1879" s="5">
        <v>0.85</v>
      </c>
      <c r="M1879" s="3">
        <v>14298.0</v>
      </c>
      <c r="N1879" s="1" t="str">
        <f t="shared" si="5"/>
        <v>Registered</v>
      </c>
      <c r="O1879" s="1" t="s">
        <v>19</v>
      </c>
      <c r="P1879" s="9" t="str">
        <f t="shared" si="6"/>
        <v>UK</v>
      </c>
      <c r="Q1879" s="8">
        <f t="shared" si="7"/>
        <v>20.4</v>
      </c>
    </row>
    <row r="1880">
      <c r="A1880" s="1">
        <v>544909.0</v>
      </c>
      <c r="B1880" s="1" t="str">
        <f t="shared" si="1"/>
        <v>544909</v>
      </c>
      <c r="C1880" s="1" t="str">
        <f t="shared" si="2"/>
        <v>Sale</v>
      </c>
      <c r="D1880" s="1">
        <v>22116.0</v>
      </c>
      <c r="E1880" s="1" t="str">
        <f>IFERROR(__xludf.DUMMYFUNCTION("IF(LEN(D1880)&gt;4, IFERROR(REGEXEXTRACT(TO_TEXT(D1880),""\d+""),""""),"""")"),"22116")</f>
        <v>22116</v>
      </c>
      <c r="F1880" s="6" t="str">
        <f t="shared" si="3"/>
        <v>Product</v>
      </c>
      <c r="G1880" s="1" t="s">
        <v>1079</v>
      </c>
      <c r="H1880" s="6" t="str">
        <f>IFERROR(__xludf.DUMMYFUNCTION("IF(REGEXMATCH(LOWER(G1880), ""^(\?)+\s*(missing)?\s*(\?)*$""), """", PROPER(SUBSTITUTE(SUBSTITUTE(G1880, ""?"", """"), ""*"", """")))"),"Metal Sign His Dinner Is Served")</f>
        <v>Metal Sign His Dinner Is Served</v>
      </c>
      <c r="I1880" s="3">
        <v>24.0</v>
      </c>
      <c r="J1880" s="7">
        <v>40598.60555555556</v>
      </c>
      <c r="K1880" s="8" t="str">
        <f t="shared" si="4"/>
        <v>2011-02</v>
      </c>
      <c r="L1880" s="5">
        <v>0.85</v>
      </c>
      <c r="M1880" s="3">
        <v>14298.0</v>
      </c>
      <c r="N1880" s="1" t="str">
        <f t="shared" si="5"/>
        <v>Registered</v>
      </c>
      <c r="O1880" s="1" t="s">
        <v>19</v>
      </c>
      <c r="P1880" s="9" t="str">
        <f t="shared" si="6"/>
        <v>UK</v>
      </c>
      <c r="Q1880" s="8">
        <f t="shared" si="7"/>
        <v>20.4</v>
      </c>
    </row>
    <row r="1881">
      <c r="A1881" s="1">
        <v>544909.0</v>
      </c>
      <c r="B1881" s="1" t="str">
        <f t="shared" si="1"/>
        <v>544909</v>
      </c>
      <c r="C1881" s="1" t="str">
        <f t="shared" si="2"/>
        <v>Sale</v>
      </c>
      <c r="D1881" s="1" t="s">
        <v>1080</v>
      </c>
      <c r="E1881" s="1" t="str">
        <f>IFERROR(__xludf.DUMMYFUNCTION("IF(LEN(D1881)&gt;4, IFERROR(REGEXEXTRACT(TO_TEXT(D1881),""\d+""),""""),"""")"),"47504")</f>
        <v>47504</v>
      </c>
      <c r="F1881" s="6" t="str">
        <f t="shared" si="3"/>
        <v>Product</v>
      </c>
      <c r="G1881" s="1" t="s">
        <v>1081</v>
      </c>
      <c r="H1881" s="6" t="str">
        <f>IFERROR(__xludf.DUMMYFUNCTION("IF(REGEXMATCH(LOWER(G1881), ""^(\?)+\s*(missing)?\s*(\?)*$""), """", PROPER(SUBSTITUTE(SUBSTITUTE(G1881, ""?"", """"), ""*"", """")))"),"English Rose Garden Secateurs")</f>
        <v>English Rose Garden Secateurs</v>
      </c>
      <c r="I1881" s="3">
        <v>48.0</v>
      </c>
      <c r="J1881" s="7">
        <v>40598.60555555556</v>
      </c>
      <c r="K1881" s="8" t="str">
        <f t="shared" si="4"/>
        <v>2011-02</v>
      </c>
      <c r="L1881" s="5">
        <v>0.85</v>
      </c>
      <c r="M1881" s="3">
        <v>14298.0</v>
      </c>
      <c r="N1881" s="1" t="str">
        <f t="shared" si="5"/>
        <v>Registered</v>
      </c>
      <c r="O1881" s="1" t="s">
        <v>19</v>
      </c>
      <c r="P1881" s="9" t="str">
        <f t="shared" si="6"/>
        <v>UK</v>
      </c>
      <c r="Q1881" s="8">
        <f t="shared" si="7"/>
        <v>40.8</v>
      </c>
    </row>
    <row r="1882">
      <c r="A1882" s="1">
        <v>544909.0</v>
      </c>
      <c r="B1882" s="1" t="str">
        <f t="shared" si="1"/>
        <v>544909</v>
      </c>
      <c r="C1882" s="1" t="str">
        <f t="shared" si="2"/>
        <v>Sale</v>
      </c>
      <c r="D1882" s="1" t="s">
        <v>1082</v>
      </c>
      <c r="E1882" s="1" t="str">
        <f>IFERROR(__xludf.DUMMYFUNCTION("IF(LEN(D1882)&gt;4, IFERROR(REGEXEXTRACT(TO_TEXT(D1882),""\d+""),""""),"""")"),"47504")</f>
        <v>47504</v>
      </c>
      <c r="F1882" s="6" t="str">
        <f t="shared" si="3"/>
        <v>Product</v>
      </c>
      <c r="G1882" s="1" t="s">
        <v>1083</v>
      </c>
      <c r="H1882" s="6" t="str">
        <f>IFERROR(__xludf.DUMMYFUNCTION("IF(REGEXMATCH(LOWER(G1882), ""^(\?)+\s*(missing)?\s*(\?)*$""), """", PROPER(SUBSTITUTE(SUBSTITUTE(G1882, ""?"", """"), ""*"", """")))"),"English Rose Spirit Level")</f>
        <v>English Rose Spirit Level</v>
      </c>
      <c r="I1882" s="3">
        <v>24.0</v>
      </c>
      <c r="J1882" s="7">
        <v>40598.60555555556</v>
      </c>
      <c r="K1882" s="8" t="str">
        <f t="shared" si="4"/>
        <v>2011-02</v>
      </c>
      <c r="L1882" s="5">
        <v>0.85</v>
      </c>
      <c r="M1882" s="3">
        <v>14298.0</v>
      </c>
      <c r="N1882" s="1" t="str">
        <f t="shared" si="5"/>
        <v>Registered</v>
      </c>
      <c r="O1882" s="1" t="s">
        <v>19</v>
      </c>
      <c r="P1882" s="9" t="str">
        <f t="shared" si="6"/>
        <v>UK</v>
      </c>
      <c r="Q1882" s="8">
        <f t="shared" si="7"/>
        <v>20.4</v>
      </c>
    </row>
    <row r="1883">
      <c r="A1883" s="1">
        <v>544909.0</v>
      </c>
      <c r="B1883" s="1" t="str">
        <f t="shared" si="1"/>
        <v>544909</v>
      </c>
      <c r="C1883" s="1" t="str">
        <f t="shared" si="2"/>
        <v>Sale</v>
      </c>
      <c r="D1883" s="1" t="s">
        <v>1084</v>
      </c>
      <c r="E1883" s="1" t="str">
        <f>IFERROR(__xludf.DUMMYFUNCTION("IF(LEN(D1883)&gt;4, IFERROR(REGEXEXTRACT(TO_TEXT(D1883),""\d+""),""""),"""")"),"47503")</f>
        <v>47503</v>
      </c>
      <c r="F1883" s="6" t="str">
        <f t="shared" si="3"/>
        <v>Product</v>
      </c>
      <c r="G1883" s="1" t="s">
        <v>1085</v>
      </c>
      <c r="H1883" s="6" t="str">
        <f>IFERROR(__xludf.DUMMYFUNCTION("IF(REGEXMATCH(LOWER(G1883), ""^(\?)+\s*(missing)?\s*(\?)*$""), """", PROPER(SUBSTITUTE(SUBSTITUTE(G1883, ""?"", """"), ""*"", """")))"),"Ass Floral Print Multi Screwdriver")</f>
        <v>Ass Floral Print Multi Screwdriver</v>
      </c>
      <c r="I1883" s="3">
        <v>48.0</v>
      </c>
      <c r="J1883" s="7">
        <v>40598.60555555556</v>
      </c>
      <c r="K1883" s="8" t="str">
        <f t="shared" si="4"/>
        <v>2011-02</v>
      </c>
      <c r="L1883" s="5">
        <v>0.42</v>
      </c>
      <c r="M1883" s="3">
        <v>14298.0</v>
      </c>
      <c r="N1883" s="1" t="str">
        <f t="shared" si="5"/>
        <v>Registered</v>
      </c>
      <c r="O1883" s="1" t="s">
        <v>19</v>
      </c>
      <c r="P1883" s="9" t="str">
        <f t="shared" si="6"/>
        <v>UK</v>
      </c>
      <c r="Q1883" s="8">
        <f t="shared" si="7"/>
        <v>20.16</v>
      </c>
    </row>
    <row r="1884">
      <c r="A1884" s="1">
        <v>544909.0</v>
      </c>
      <c r="B1884" s="1" t="str">
        <f t="shared" si="1"/>
        <v>544909</v>
      </c>
      <c r="C1884" s="1" t="str">
        <f t="shared" si="2"/>
        <v>Sale</v>
      </c>
      <c r="D1884" s="1">
        <v>22782.0</v>
      </c>
      <c r="E1884" s="1" t="str">
        <f>IFERROR(__xludf.DUMMYFUNCTION("IF(LEN(D1884)&gt;4, IFERROR(REGEXEXTRACT(TO_TEXT(D1884),""\d+""),""""),"""")"),"22782")</f>
        <v>22782</v>
      </c>
      <c r="F1884" s="6" t="str">
        <f t="shared" si="3"/>
        <v>Product</v>
      </c>
      <c r="G1884" s="1" t="s">
        <v>1086</v>
      </c>
      <c r="H1884" s="6" t="str">
        <f>IFERROR(__xludf.DUMMYFUNCTION("IF(REGEXMATCH(LOWER(G1884), ""^(\?)+\s*(missing)?\s*(\?)*$""), """", PROPER(SUBSTITUTE(SUBSTITUTE(G1884, ""?"", """"), ""*"", """")))"),"Set 3 Wicker Storage Baskets")</f>
        <v>Set 3 Wicker Storage Baskets</v>
      </c>
      <c r="I1884" s="3">
        <v>32.0</v>
      </c>
      <c r="J1884" s="7">
        <v>40598.60555555556</v>
      </c>
      <c r="K1884" s="8" t="str">
        <f t="shared" si="4"/>
        <v>2011-02</v>
      </c>
      <c r="L1884" s="5">
        <v>9.95</v>
      </c>
      <c r="M1884" s="3">
        <v>14298.0</v>
      </c>
      <c r="N1884" s="1" t="str">
        <f t="shared" si="5"/>
        <v>Registered</v>
      </c>
      <c r="O1884" s="1" t="s">
        <v>19</v>
      </c>
      <c r="P1884" s="9" t="str">
        <f t="shared" si="6"/>
        <v>UK</v>
      </c>
      <c r="Q1884" s="8">
        <f t="shared" si="7"/>
        <v>318.4</v>
      </c>
    </row>
    <row r="1885">
      <c r="A1885" s="1">
        <v>544909.0</v>
      </c>
      <c r="B1885" s="1" t="str">
        <f t="shared" si="1"/>
        <v>544909</v>
      </c>
      <c r="C1885" s="1" t="str">
        <f t="shared" si="2"/>
        <v>Sale</v>
      </c>
      <c r="D1885" s="1">
        <v>22473.0</v>
      </c>
      <c r="E1885" s="1" t="str">
        <f>IFERROR(__xludf.DUMMYFUNCTION("IF(LEN(D1885)&gt;4, IFERROR(REGEXEXTRACT(TO_TEXT(D1885),""\d+""),""""),"""")"),"22473")</f>
        <v>22473</v>
      </c>
      <c r="F1885" s="6" t="str">
        <f t="shared" si="3"/>
        <v>Product</v>
      </c>
      <c r="G1885" s="1" t="s">
        <v>283</v>
      </c>
      <c r="H1885" s="6" t="str">
        <f>IFERROR(__xludf.DUMMYFUNCTION("IF(REGEXMATCH(LOWER(G1885), ""^(\?)+\s*(missing)?\s*(\?)*$""), """", PROPER(SUBSTITUTE(SUBSTITUTE(G1885, ""?"", """"), ""*"", """")))"),"Tv Dinner Tray Vintage Paisley")</f>
        <v>Tv Dinner Tray Vintage Paisley</v>
      </c>
      <c r="I1885" s="3">
        <v>8.0</v>
      </c>
      <c r="J1885" s="7">
        <v>40598.60555555556</v>
      </c>
      <c r="K1885" s="8" t="str">
        <f t="shared" si="4"/>
        <v>2011-02</v>
      </c>
      <c r="L1885" s="5">
        <v>1.95</v>
      </c>
      <c r="M1885" s="3">
        <v>14298.0</v>
      </c>
      <c r="N1885" s="1" t="str">
        <f t="shared" si="5"/>
        <v>Registered</v>
      </c>
      <c r="O1885" s="1" t="s">
        <v>19</v>
      </c>
      <c r="P1885" s="9" t="str">
        <f t="shared" si="6"/>
        <v>UK</v>
      </c>
      <c r="Q1885" s="8">
        <f t="shared" si="7"/>
        <v>15.6</v>
      </c>
    </row>
    <row r="1886">
      <c r="A1886" s="1">
        <v>544909.0</v>
      </c>
      <c r="B1886" s="1" t="str">
        <f t="shared" si="1"/>
        <v>544909</v>
      </c>
      <c r="C1886" s="1" t="str">
        <f t="shared" si="2"/>
        <v>Sale</v>
      </c>
      <c r="D1886" s="1">
        <v>22223.0</v>
      </c>
      <c r="E1886" s="1" t="str">
        <f>IFERROR(__xludf.DUMMYFUNCTION("IF(LEN(D1886)&gt;4, IFERROR(REGEXEXTRACT(TO_TEXT(D1886),""\d+""),""""),"""")"),"22223")</f>
        <v>22223</v>
      </c>
      <c r="F1886" s="6" t="str">
        <f t="shared" si="3"/>
        <v>Product</v>
      </c>
      <c r="G1886" s="1" t="s">
        <v>1087</v>
      </c>
      <c r="H1886" s="6" t="str">
        <f>IFERROR(__xludf.DUMMYFUNCTION("IF(REGEXMATCH(LOWER(G1886), ""^(\?)+\s*(missing)?\s*(\?)*$""), """", PROPER(SUBSTITUTE(SUBSTITUTE(G1886, ""?"", """"), ""*"", """")))"),"Cake Plate Lovebird Pink")</f>
        <v>Cake Plate Lovebird Pink</v>
      </c>
      <c r="I1886" s="3">
        <v>24.0</v>
      </c>
      <c r="J1886" s="7">
        <v>40598.60555555556</v>
      </c>
      <c r="K1886" s="8" t="str">
        <f t="shared" si="4"/>
        <v>2011-02</v>
      </c>
      <c r="L1886" s="5">
        <v>1.95</v>
      </c>
      <c r="M1886" s="3">
        <v>14298.0</v>
      </c>
      <c r="N1886" s="1" t="str">
        <f t="shared" si="5"/>
        <v>Registered</v>
      </c>
      <c r="O1886" s="1" t="s">
        <v>19</v>
      </c>
      <c r="P1886" s="9" t="str">
        <f t="shared" si="6"/>
        <v>UK</v>
      </c>
      <c r="Q1886" s="8">
        <f t="shared" si="7"/>
        <v>46.8</v>
      </c>
    </row>
    <row r="1887">
      <c r="A1887" s="1">
        <v>544909.0</v>
      </c>
      <c r="B1887" s="1" t="str">
        <f t="shared" si="1"/>
        <v>544909</v>
      </c>
      <c r="C1887" s="1" t="str">
        <f t="shared" si="2"/>
        <v>Sale</v>
      </c>
      <c r="D1887" s="1">
        <v>22222.0</v>
      </c>
      <c r="E1887" s="1" t="str">
        <f>IFERROR(__xludf.DUMMYFUNCTION("IF(LEN(D1887)&gt;4, IFERROR(REGEXEXTRACT(TO_TEXT(D1887),""\d+""),""""),"""")"),"22222")</f>
        <v>22222</v>
      </c>
      <c r="F1887" s="6" t="str">
        <f t="shared" si="3"/>
        <v>Product</v>
      </c>
      <c r="G1887" s="1" t="s">
        <v>1088</v>
      </c>
      <c r="H1887" s="6" t="str">
        <f>IFERROR(__xludf.DUMMYFUNCTION("IF(REGEXMATCH(LOWER(G1887), ""^(\?)+\s*(missing)?\s*(\?)*$""), """", PROPER(SUBSTITUTE(SUBSTITUTE(G1887, ""?"", """"), ""*"", """")))"),"Cake Plate Lovebird White")</f>
        <v>Cake Plate Lovebird White</v>
      </c>
      <c r="I1887" s="3">
        <v>24.0</v>
      </c>
      <c r="J1887" s="7">
        <v>40598.60555555556</v>
      </c>
      <c r="K1887" s="8" t="str">
        <f t="shared" si="4"/>
        <v>2011-02</v>
      </c>
      <c r="L1887" s="5">
        <v>1.95</v>
      </c>
      <c r="M1887" s="3">
        <v>14298.0</v>
      </c>
      <c r="N1887" s="1" t="str">
        <f t="shared" si="5"/>
        <v>Registered</v>
      </c>
      <c r="O1887" s="1" t="s">
        <v>19</v>
      </c>
      <c r="P1887" s="9" t="str">
        <f t="shared" si="6"/>
        <v>UK</v>
      </c>
      <c r="Q1887" s="8">
        <f t="shared" si="7"/>
        <v>46.8</v>
      </c>
    </row>
    <row r="1888">
      <c r="A1888" s="1">
        <v>544909.0</v>
      </c>
      <c r="B1888" s="1" t="str">
        <f t="shared" si="1"/>
        <v>544909</v>
      </c>
      <c r="C1888" s="1" t="str">
        <f t="shared" si="2"/>
        <v>Sale</v>
      </c>
      <c r="D1888" s="1">
        <v>21876.0</v>
      </c>
      <c r="E1888" s="1" t="str">
        <f>IFERROR(__xludf.DUMMYFUNCTION("IF(LEN(D1888)&gt;4, IFERROR(REGEXEXTRACT(TO_TEXT(D1888),""\d+""),""""),"""")"),"21876")</f>
        <v>21876</v>
      </c>
      <c r="F1888" s="6" t="str">
        <f t="shared" si="3"/>
        <v>Product</v>
      </c>
      <c r="G1888" s="1" t="s">
        <v>1089</v>
      </c>
      <c r="H1888" s="6" t="str">
        <f>IFERROR(__xludf.DUMMYFUNCTION("IF(REGEXMATCH(LOWER(G1888), ""^(\?)+\s*(missing)?\s*(\?)*$""), """", PROPER(SUBSTITUTE(SUBSTITUTE(G1888, ""?"", """"), ""*"", """")))"),"Pottering Mug")</f>
        <v>Pottering Mug</v>
      </c>
      <c r="I1888" s="3">
        <v>36.0</v>
      </c>
      <c r="J1888" s="7">
        <v>40598.60555555556</v>
      </c>
      <c r="K1888" s="8" t="str">
        <f t="shared" si="4"/>
        <v>2011-02</v>
      </c>
      <c r="L1888" s="5">
        <v>0.42</v>
      </c>
      <c r="M1888" s="3">
        <v>14298.0</v>
      </c>
      <c r="N1888" s="1" t="str">
        <f t="shared" si="5"/>
        <v>Registered</v>
      </c>
      <c r="O1888" s="1" t="s">
        <v>19</v>
      </c>
      <c r="P1888" s="9" t="str">
        <f t="shared" si="6"/>
        <v>UK</v>
      </c>
      <c r="Q1888" s="8">
        <f t="shared" si="7"/>
        <v>15.12</v>
      </c>
    </row>
    <row r="1889">
      <c r="A1889" s="1">
        <v>544909.0</v>
      </c>
      <c r="B1889" s="1" t="str">
        <f t="shared" si="1"/>
        <v>544909</v>
      </c>
      <c r="C1889" s="1" t="str">
        <f t="shared" si="2"/>
        <v>Sale</v>
      </c>
      <c r="D1889" s="1">
        <v>72232.0</v>
      </c>
      <c r="E1889" s="1" t="str">
        <f>IFERROR(__xludf.DUMMYFUNCTION("IF(LEN(D1889)&gt;4, IFERROR(REGEXEXTRACT(TO_TEXT(D1889),""\d+""),""""),"""")"),"72232")</f>
        <v>72232</v>
      </c>
      <c r="F1889" s="6" t="str">
        <f t="shared" si="3"/>
        <v>Product</v>
      </c>
      <c r="G1889" s="1" t="s">
        <v>1090</v>
      </c>
      <c r="H1889" s="6" t="str">
        <f>IFERROR(__xludf.DUMMYFUNCTION("IF(REGEXMATCH(LOWER(G1889), ""^(\?)+\s*(missing)?\s*(\?)*$""), """", PROPER(SUBSTITUTE(SUBSTITUTE(G1889, ""?"", """"), ""*"", """")))"),"Feng Shui Pillar Candle")</f>
        <v>Feng Shui Pillar Candle</v>
      </c>
      <c r="I1889" s="3">
        <v>96.0</v>
      </c>
      <c r="J1889" s="7">
        <v>40598.60555555556</v>
      </c>
      <c r="K1889" s="8" t="str">
        <f t="shared" si="4"/>
        <v>2011-02</v>
      </c>
      <c r="L1889" s="5">
        <v>0.19</v>
      </c>
      <c r="M1889" s="3">
        <v>14298.0</v>
      </c>
      <c r="N1889" s="1" t="str">
        <f t="shared" si="5"/>
        <v>Registered</v>
      </c>
      <c r="O1889" s="1" t="s">
        <v>19</v>
      </c>
      <c r="P1889" s="9" t="str">
        <f t="shared" si="6"/>
        <v>UK</v>
      </c>
      <c r="Q1889" s="8">
        <f t="shared" si="7"/>
        <v>18.24</v>
      </c>
    </row>
    <row r="1890">
      <c r="A1890" s="1">
        <v>544909.0</v>
      </c>
      <c r="B1890" s="1" t="str">
        <f t="shared" si="1"/>
        <v>544909</v>
      </c>
      <c r="C1890" s="1" t="str">
        <f t="shared" si="2"/>
        <v>Sale</v>
      </c>
      <c r="D1890" s="1" t="s">
        <v>1091</v>
      </c>
      <c r="E1890" s="1" t="str">
        <f>IFERROR(__xludf.DUMMYFUNCTION("IF(LEN(D1890)&gt;4, IFERROR(REGEXEXTRACT(TO_TEXT(D1890),""\d+""),""""),"""")"),"62096")</f>
        <v>62096</v>
      </c>
      <c r="F1890" s="6" t="str">
        <f t="shared" si="3"/>
        <v>Product</v>
      </c>
      <c r="G1890" s="1" t="s">
        <v>1092</v>
      </c>
      <c r="H1890" s="6" t="str">
        <f>IFERROR(__xludf.DUMMYFUNCTION("IF(REGEXMATCH(LOWER(G1890), ""^(\?)+\s*(missing)?\s*(\?)*$""), """", PROPER(SUBSTITUTE(SUBSTITUTE(G1890, ""?"", """"), ""*"", """")))"),"Pink/Yellow Flowers Handbag")</f>
        <v>Pink/Yellow Flowers Handbag</v>
      </c>
      <c r="I1890" s="3">
        <v>46.0</v>
      </c>
      <c r="J1890" s="7">
        <v>40598.60555555556</v>
      </c>
      <c r="K1890" s="8" t="str">
        <f t="shared" si="4"/>
        <v>2011-02</v>
      </c>
      <c r="L1890" s="5">
        <v>1.25</v>
      </c>
      <c r="M1890" s="3">
        <v>14298.0</v>
      </c>
      <c r="N1890" s="1" t="str">
        <f t="shared" si="5"/>
        <v>Registered</v>
      </c>
      <c r="O1890" s="1" t="s">
        <v>19</v>
      </c>
      <c r="P1890" s="9" t="str">
        <f t="shared" si="6"/>
        <v>UK</v>
      </c>
      <c r="Q1890" s="8">
        <f t="shared" si="7"/>
        <v>57.5</v>
      </c>
    </row>
    <row r="1891">
      <c r="A1891" s="1">
        <v>544909.0</v>
      </c>
      <c r="B1891" s="1" t="str">
        <f t="shared" si="1"/>
        <v>544909</v>
      </c>
      <c r="C1891" s="1" t="str">
        <f t="shared" si="2"/>
        <v>Sale</v>
      </c>
      <c r="D1891" s="1" t="s">
        <v>461</v>
      </c>
      <c r="E1891" s="1" t="str">
        <f>IFERROR(__xludf.DUMMYFUNCTION("IF(LEN(D1891)&gt;4, IFERROR(REGEXEXTRACT(TO_TEXT(D1891),""\d+""),""""),"""")"),"85184")</f>
        <v>85184</v>
      </c>
      <c r="F1891" s="6" t="str">
        <f t="shared" si="3"/>
        <v>Product</v>
      </c>
      <c r="G1891" s="1" t="s">
        <v>462</v>
      </c>
      <c r="H1891" s="6" t="str">
        <f>IFERROR(__xludf.DUMMYFUNCTION("IF(REGEXMATCH(LOWER(G1891), ""^(\?)+\s*(missing)?\s*(\?)*$""), """", PROPER(SUBSTITUTE(SUBSTITUTE(G1891, ""?"", """"), ""*"", """")))"),"S/4 Valentine Decoupage Heart Box")</f>
        <v>S/4 Valentine Decoupage Heart Box</v>
      </c>
      <c r="I1891" s="3">
        <v>48.0</v>
      </c>
      <c r="J1891" s="7">
        <v>40598.60555555556</v>
      </c>
      <c r="K1891" s="8" t="str">
        <f t="shared" si="4"/>
        <v>2011-02</v>
      </c>
      <c r="L1891" s="5">
        <v>1.25</v>
      </c>
      <c r="M1891" s="3">
        <v>14298.0</v>
      </c>
      <c r="N1891" s="1" t="str">
        <f t="shared" si="5"/>
        <v>Registered</v>
      </c>
      <c r="O1891" s="1" t="s">
        <v>19</v>
      </c>
      <c r="P1891" s="9" t="str">
        <f t="shared" si="6"/>
        <v>UK</v>
      </c>
      <c r="Q1891" s="8">
        <f t="shared" si="7"/>
        <v>60</v>
      </c>
    </row>
    <row r="1892">
      <c r="A1892" s="1">
        <v>544909.0</v>
      </c>
      <c r="B1892" s="1" t="str">
        <f t="shared" si="1"/>
        <v>544909</v>
      </c>
      <c r="C1892" s="1" t="str">
        <f t="shared" si="2"/>
        <v>Sale</v>
      </c>
      <c r="D1892" s="1">
        <v>22610.0</v>
      </c>
      <c r="E1892" s="1" t="str">
        <f>IFERROR(__xludf.DUMMYFUNCTION("IF(LEN(D1892)&gt;4, IFERROR(REGEXEXTRACT(TO_TEXT(D1892),""\d+""),""""),"""")"),"22610")</f>
        <v>22610</v>
      </c>
      <c r="F1892" s="6" t="str">
        <f t="shared" si="3"/>
        <v>Product</v>
      </c>
      <c r="G1892" s="1" t="s">
        <v>378</v>
      </c>
      <c r="H1892" s="6" t="str">
        <f>IFERROR(__xludf.DUMMYFUNCTION("IF(REGEXMATCH(LOWER(G1892), ""^(\?)+\s*(missing)?\s*(\?)*$""), """", PROPER(SUBSTITUTE(SUBSTITUTE(G1892, ""?"", """"), ""*"", """")))"),"Pens Assorted Funny Face")</f>
        <v>Pens Assorted Funny Face</v>
      </c>
      <c r="I1892" s="3">
        <v>144.0</v>
      </c>
      <c r="J1892" s="7">
        <v>40598.60555555556</v>
      </c>
      <c r="K1892" s="8" t="str">
        <f t="shared" si="4"/>
        <v>2011-02</v>
      </c>
      <c r="L1892" s="5">
        <v>0.21</v>
      </c>
      <c r="M1892" s="3">
        <v>14298.0</v>
      </c>
      <c r="N1892" s="1" t="str">
        <f t="shared" si="5"/>
        <v>Registered</v>
      </c>
      <c r="O1892" s="1" t="s">
        <v>19</v>
      </c>
      <c r="P1892" s="9" t="str">
        <f t="shared" si="6"/>
        <v>UK</v>
      </c>
      <c r="Q1892" s="8">
        <f t="shared" si="7"/>
        <v>30.24</v>
      </c>
    </row>
    <row r="1893">
      <c r="A1893" s="1">
        <v>544909.0</v>
      </c>
      <c r="B1893" s="1" t="str">
        <f t="shared" si="1"/>
        <v>544909</v>
      </c>
      <c r="C1893" s="1" t="str">
        <f t="shared" si="2"/>
        <v>Sale</v>
      </c>
      <c r="D1893" s="1">
        <v>22609.0</v>
      </c>
      <c r="E1893" s="1" t="str">
        <f>IFERROR(__xludf.DUMMYFUNCTION("IF(LEN(D1893)&gt;4, IFERROR(REGEXEXTRACT(TO_TEXT(D1893),""\d+""),""""),"""")"),"22609")</f>
        <v>22609</v>
      </c>
      <c r="F1893" s="6" t="str">
        <f t="shared" si="3"/>
        <v>Product</v>
      </c>
      <c r="G1893" s="1" t="s">
        <v>1093</v>
      </c>
      <c r="H1893" s="6" t="str">
        <f>IFERROR(__xludf.DUMMYFUNCTION("IF(REGEXMATCH(LOWER(G1893), ""^(\?)+\s*(missing)?\s*(\?)*$""), """", PROPER(SUBSTITUTE(SUBSTITUTE(G1893, ""?"", """"), ""*"", """")))"),"Pens Assorted Spaceball")</f>
        <v>Pens Assorted Spaceball</v>
      </c>
      <c r="I1893" s="3">
        <v>144.0</v>
      </c>
      <c r="J1893" s="7">
        <v>40598.60555555556</v>
      </c>
      <c r="K1893" s="8" t="str">
        <f t="shared" si="4"/>
        <v>2011-02</v>
      </c>
      <c r="L1893" s="5">
        <v>0.21</v>
      </c>
      <c r="M1893" s="3">
        <v>14298.0</v>
      </c>
      <c r="N1893" s="1" t="str">
        <f t="shared" si="5"/>
        <v>Registered</v>
      </c>
      <c r="O1893" s="1" t="s">
        <v>19</v>
      </c>
      <c r="P1893" s="9" t="str">
        <f t="shared" si="6"/>
        <v>UK</v>
      </c>
      <c r="Q1893" s="8">
        <f t="shared" si="7"/>
        <v>30.24</v>
      </c>
    </row>
    <row r="1894">
      <c r="A1894" s="1">
        <v>544909.0</v>
      </c>
      <c r="B1894" s="1" t="str">
        <f t="shared" si="1"/>
        <v>544909</v>
      </c>
      <c r="C1894" s="1" t="str">
        <f t="shared" si="2"/>
        <v>Sale</v>
      </c>
      <c r="D1894" s="1">
        <v>22608.0</v>
      </c>
      <c r="E1894" s="1" t="str">
        <f>IFERROR(__xludf.DUMMYFUNCTION("IF(LEN(D1894)&gt;4, IFERROR(REGEXEXTRACT(TO_TEXT(D1894),""\d+""),""""),"""")"),"22608")</f>
        <v>22608</v>
      </c>
      <c r="F1894" s="6" t="str">
        <f t="shared" si="3"/>
        <v>Product</v>
      </c>
      <c r="G1894" s="1" t="s">
        <v>1094</v>
      </c>
      <c r="H1894" s="6" t="str">
        <f>IFERROR(__xludf.DUMMYFUNCTION("IF(REGEXMATCH(LOWER(G1894), ""^(\?)+\s*(missing)?\s*(\?)*$""), """", PROPER(SUBSTITUTE(SUBSTITUTE(G1894, ""?"", """"), ""*"", """")))"),"Pens Assorted Funky Jeweled")</f>
        <v>Pens Assorted Funky Jeweled</v>
      </c>
      <c r="I1894" s="3">
        <v>144.0</v>
      </c>
      <c r="J1894" s="7">
        <v>40598.60555555556</v>
      </c>
      <c r="K1894" s="8" t="str">
        <f t="shared" si="4"/>
        <v>2011-02</v>
      </c>
      <c r="L1894" s="5">
        <v>0.21</v>
      </c>
      <c r="M1894" s="3">
        <v>14298.0</v>
      </c>
      <c r="N1894" s="1" t="str">
        <f t="shared" si="5"/>
        <v>Registered</v>
      </c>
      <c r="O1894" s="1" t="s">
        <v>19</v>
      </c>
      <c r="P1894" s="9" t="str">
        <f t="shared" si="6"/>
        <v>UK</v>
      </c>
      <c r="Q1894" s="8">
        <f t="shared" si="7"/>
        <v>30.24</v>
      </c>
    </row>
    <row r="1895">
      <c r="A1895" s="1">
        <v>544909.0</v>
      </c>
      <c r="B1895" s="1" t="str">
        <f t="shared" si="1"/>
        <v>544909</v>
      </c>
      <c r="C1895" s="1" t="str">
        <f t="shared" si="2"/>
        <v>Sale</v>
      </c>
      <c r="D1895" s="1">
        <v>22504.0</v>
      </c>
      <c r="E1895" s="1" t="str">
        <f>IFERROR(__xludf.DUMMYFUNCTION("IF(LEN(D1895)&gt;4, IFERROR(REGEXEXTRACT(TO_TEXT(D1895),""\d+""),""""),"""")"),"22504")</f>
        <v>22504</v>
      </c>
      <c r="F1895" s="6" t="str">
        <f t="shared" si="3"/>
        <v>Product</v>
      </c>
      <c r="G1895" s="1" t="s">
        <v>1095</v>
      </c>
      <c r="H1895" s="6" t="str">
        <f>IFERROR(__xludf.DUMMYFUNCTION("IF(REGEXMATCH(LOWER(G1895), ""^(\?)+\s*(missing)?\s*(\?)*$""), """", PROPER(SUBSTITUTE(SUBSTITUTE(G1895, ""?"", """"), ""*"", """")))"),"Cabin Bag Vintage Retrospot")</f>
        <v>Cabin Bag Vintage Retrospot</v>
      </c>
      <c r="I1895" s="3">
        <v>12.0</v>
      </c>
      <c r="J1895" s="7">
        <v>40598.60555555556</v>
      </c>
      <c r="K1895" s="8" t="str">
        <f t="shared" si="4"/>
        <v>2011-02</v>
      </c>
      <c r="L1895" s="5">
        <v>12.75</v>
      </c>
      <c r="M1895" s="3">
        <v>14298.0</v>
      </c>
      <c r="N1895" s="1" t="str">
        <f t="shared" si="5"/>
        <v>Registered</v>
      </c>
      <c r="O1895" s="1" t="s">
        <v>19</v>
      </c>
      <c r="P1895" s="9" t="str">
        <f t="shared" si="6"/>
        <v>UK</v>
      </c>
      <c r="Q1895" s="8">
        <f t="shared" si="7"/>
        <v>153</v>
      </c>
    </row>
    <row r="1896">
      <c r="A1896" s="1">
        <v>544909.0</v>
      </c>
      <c r="B1896" s="1" t="str">
        <f t="shared" si="1"/>
        <v>544909</v>
      </c>
      <c r="C1896" s="1" t="str">
        <f t="shared" si="2"/>
        <v>Sale</v>
      </c>
      <c r="D1896" s="1">
        <v>22503.0</v>
      </c>
      <c r="E1896" s="1" t="str">
        <f>IFERROR(__xludf.DUMMYFUNCTION("IF(LEN(D1896)&gt;4, IFERROR(REGEXEXTRACT(TO_TEXT(D1896),""\d+""),""""),"""")"),"22503")</f>
        <v>22503</v>
      </c>
      <c r="F1896" s="6" t="str">
        <f t="shared" si="3"/>
        <v>Product</v>
      </c>
      <c r="G1896" s="1" t="s">
        <v>1096</v>
      </c>
      <c r="H1896" s="6" t="str">
        <f>IFERROR(__xludf.DUMMYFUNCTION("IF(REGEXMATCH(LOWER(G1896), ""^(\?)+\s*(missing)?\s*(\?)*$""), """", PROPER(SUBSTITUTE(SUBSTITUTE(G1896, ""?"", """"), ""*"", """")))"),"Cabin Bag Vintage Paisley")</f>
        <v>Cabin Bag Vintage Paisley</v>
      </c>
      <c r="I1896" s="3">
        <v>12.0</v>
      </c>
      <c r="J1896" s="7">
        <v>40598.60555555556</v>
      </c>
      <c r="K1896" s="8" t="str">
        <f t="shared" si="4"/>
        <v>2011-02</v>
      </c>
      <c r="L1896" s="5">
        <v>12.75</v>
      </c>
      <c r="M1896" s="3">
        <v>14298.0</v>
      </c>
      <c r="N1896" s="1" t="str">
        <f t="shared" si="5"/>
        <v>Registered</v>
      </c>
      <c r="O1896" s="1" t="s">
        <v>19</v>
      </c>
      <c r="P1896" s="9" t="str">
        <f t="shared" si="6"/>
        <v>UK</v>
      </c>
      <c r="Q1896" s="8">
        <f t="shared" si="7"/>
        <v>153</v>
      </c>
    </row>
    <row r="1897">
      <c r="A1897" s="1">
        <v>544909.0</v>
      </c>
      <c r="B1897" s="1" t="str">
        <f t="shared" si="1"/>
        <v>544909</v>
      </c>
      <c r="C1897" s="1" t="str">
        <f t="shared" si="2"/>
        <v>Sale</v>
      </c>
      <c r="D1897" s="1">
        <v>21199.0</v>
      </c>
      <c r="E1897" s="1" t="str">
        <f>IFERROR(__xludf.DUMMYFUNCTION("IF(LEN(D1897)&gt;4, IFERROR(REGEXEXTRACT(TO_TEXT(D1897),""\d+""),""""),"""")"),"21199")</f>
        <v>21199</v>
      </c>
      <c r="F1897" s="6" t="str">
        <f t="shared" si="3"/>
        <v>Product</v>
      </c>
      <c r="G1897" s="1" t="s">
        <v>1097</v>
      </c>
      <c r="H1897" s="6" t="str">
        <f>IFERROR(__xludf.DUMMYFUNCTION("IF(REGEXMATCH(LOWER(G1897), ""^(\?)+\s*(missing)?\s*(\?)*$""), """", PROPER(SUBSTITUTE(SUBSTITUTE(G1897, ""?"", """"), ""*"", """")))"),"Pink Heart Confetti In Tube")</f>
        <v>Pink Heart Confetti In Tube</v>
      </c>
      <c r="I1897" s="3">
        <v>48.0</v>
      </c>
      <c r="J1897" s="7">
        <v>40598.60555555556</v>
      </c>
      <c r="K1897" s="8" t="str">
        <f t="shared" si="4"/>
        <v>2011-02</v>
      </c>
      <c r="L1897" s="5">
        <v>0.42</v>
      </c>
      <c r="M1897" s="3">
        <v>14298.0</v>
      </c>
      <c r="N1897" s="1" t="str">
        <f t="shared" si="5"/>
        <v>Registered</v>
      </c>
      <c r="O1897" s="1" t="s">
        <v>19</v>
      </c>
      <c r="P1897" s="9" t="str">
        <f t="shared" si="6"/>
        <v>UK</v>
      </c>
      <c r="Q1897" s="8">
        <f t="shared" si="7"/>
        <v>20.16</v>
      </c>
    </row>
    <row r="1898">
      <c r="A1898" s="1">
        <v>544909.0</v>
      </c>
      <c r="B1898" s="1" t="str">
        <f t="shared" si="1"/>
        <v>544909</v>
      </c>
      <c r="C1898" s="1" t="str">
        <f t="shared" si="2"/>
        <v>Sale</v>
      </c>
      <c r="D1898" s="1">
        <v>21198.0</v>
      </c>
      <c r="E1898" s="1" t="str">
        <f>IFERROR(__xludf.DUMMYFUNCTION("IF(LEN(D1898)&gt;4, IFERROR(REGEXEXTRACT(TO_TEXT(D1898),""\d+""),""""),"""")"),"21198")</f>
        <v>21198</v>
      </c>
      <c r="F1898" s="6" t="str">
        <f t="shared" si="3"/>
        <v>Product</v>
      </c>
      <c r="G1898" s="1" t="s">
        <v>1098</v>
      </c>
      <c r="H1898" s="6" t="str">
        <f>IFERROR(__xludf.DUMMYFUNCTION("IF(REGEXMATCH(LOWER(G1898), ""^(\?)+\s*(missing)?\s*(\?)*$""), """", PROPER(SUBSTITUTE(SUBSTITUTE(G1898, ""?"", """"), ""*"", """")))"),"White Heart Confetti In Tube")</f>
        <v>White Heart Confetti In Tube</v>
      </c>
      <c r="I1898" s="3">
        <v>48.0</v>
      </c>
      <c r="J1898" s="7">
        <v>40598.60555555556</v>
      </c>
      <c r="K1898" s="8" t="str">
        <f t="shared" si="4"/>
        <v>2011-02</v>
      </c>
      <c r="L1898" s="5">
        <v>0.42</v>
      </c>
      <c r="M1898" s="3">
        <v>14298.0</v>
      </c>
      <c r="N1898" s="1" t="str">
        <f t="shared" si="5"/>
        <v>Registered</v>
      </c>
      <c r="O1898" s="1" t="s">
        <v>19</v>
      </c>
      <c r="P1898" s="9" t="str">
        <f t="shared" si="6"/>
        <v>UK</v>
      </c>
      <c r="Q1898" s="8">
        <f t="shared" si="7"/>
        <v>20.16</v>
      </c>
    </row>
    <row r="1899">
      <c r="A1899" s="1">
        <v>544909.0</v>
      </c>
      <c r="B1899" s="1" t="str">
        <f t="shared" si="1"/>
        <v>544909</v>
      </c>
      <c r="C1899" s="1" t="str">
        <f t="shared" si="2"/>
        <v>Sale</v>
      </c>
      <c r="D1899" s="1">
        <v>21112.0</v>
      </c>
      <c r="E1899" s="1" t="str">
        <f>IFERROR(__xludf.DUMMYFUNCTION("IF(LEN(D1899)&gt;4, IFERROR(REGEXEXTRACT(TO_TEXT(D1899),""\d+""),""""),"""")"),"21112")</f>
        <v>21112</v>
      </c>
      <c r="F1899" s="6" t="str">
        <f t="shared" si="3"/>
        <v>Product</v>
      </c>
      <c r="G1899" s="1" t="s">
        <v>1099</v>
      </c>
      <c r="H1899" s="6" t="str">
        <f>IFERROR(__xludf.DUMMYFUNCTION("IF(REGEXMATCH(LOWER(G1899), ""^(\?)+\s*(missing)?\s*(\?)*$""), """", PROPER(SUBSTITUTE(SUBSTITUTE(G1899, ""?"", """"), ""*"", """")))"),"Swiss Roll Towel Pink Spots")</f>
        <v>Swiss Roll Towel Pink Spots</v>
      </c>
      <c r="I1899" s="3">
        <v>48.0</v>
      </c>
      <c r="J1899" s="7">
        <v>40598.60555555556</v>
      </c>
      <c r="K1899" s="8" t="str">
        <f t="shared" si="4"/>
        <v>2011-02</v>
      </c>
      <c r="L1899" s="5">
        <v>1.25</v>
      </c>
      <c r="M1899" s="3">
        <v>14298.0</v>
      </c>
      <c r="N1899" s="1" t="str">
        <f t="shared" si="5"/>
        <v>Registered</v>
      </c>
      <c r="O1899" s="1" t="s">
        <v>19</v>
      </c>
      <c r="P1899" s="9" t="str">
        <f t="shared" si="6"/>
        <v>UK</v>
      </c>
      <c r="Q1899" s="8">
        <f t="shared" si="7"/>
        <v>60</v>
      </c>
    </row>
    <row r="1900">
      <c r="A1900" s="1">
        <v>544909.0</v>
      </c>
      <c r="B1900" s="1" t="str">
        <f t="shared" si="1"/>
        <v>544909</v>
      </c>
      <c r="C1900" s="1" t="str">
        <f t="shared" si="2"/>
        <v>Sale</v>
      </c>
      <c r="D1900" s="1">
        <v>21111.0</v>
      </c>
      <c r="E1900" s="1" t="str">
        <f>IFERROR(__xludf.DUMMYFUNCTION("IF(LEN(D1900)&gt;4, IFERROR(REGEXEXTRACT(TO_TEXT(D1900),""\d+""),""""),"""")"),"21111")</f>
        <v>21111</v>
      </c>
      <c r="F1900" s="6" t="str">
        <f t="shared" si="3"/>
        <v>Product</v>
      </c>
      <c r="G1900" s="1" t="s">
        <v>1100</v>
      </c>
      <c r="H1900" s="6" t="str">
        <f>IFERROR(__xludf.DUMMYFUNCTION("IF(REGEXMATCH(LOWER(G1900), ""^(\?)+\s*(missing)?\s*(\?)*$""), """", PROPER(SUBSTITUTE(SUBSTITUTE(G1900, ""?"", """"), ""*"", """")))"),"Swiss Roll Towel, Chocolate Spots")</f>
        <v>Swiss Roll Towel, Chocolate Spots</v>
      </c>
      <c r="I1900" s="3">
        <v>48.0</v>
      </c>
      <c r="J1900" s="7">
        <v>40598.60555555556</v>
      </c>
      <c r="K1900" s="8" t="str">
        <f t="shared" si="4"/>
        <v>2011-02</v>
      </c>
      <c r="L1900" s="5">
        <v>1.25</v>
      </c>
      <c r="M1900" s="3">
        <v>14298.0</v>
      </c>
      <c r="N1900" s="1" t="str">
        <f t="shared" si="5"/>
        <v>Registered</v>
      </c>
      <c r="O1900" s="1" t="s">
        <v>19</v>
      </c>
      <c r="P1900" s="9" t="str">
        <f t="shared" si="6"/>
        <v>UK</v>
      </c>
      <c r="Q1900" s="8">
        <f t="shared" si="7"/>
        <v>60</v>
      </c>
    </row>
    <row r="1901">
      <c r="A1901" s="1">
        <v>544909.0</v>
      </c>
      <c r="B1901" s="1" t="str">
        <f t="shared" si="1"/>
        <v>544909</v>
      </c>
      <c r="C1901" s="1" t="str">
        <f t="shared" si="2"/>
        <v>Sale</v>
      </c>
      <c r="D1901" s="1">
        <v>21110.0</v>
      </c>
      <c r="E1901" s="1" t="str">
        <f>IFERROR(__xludf.DUMMYFUNCTION("IF(LEN(D1901)&gt;4, IFERROR(REGEXEXTRACT(TO_TEXT(D1901),""\d+""),""""),"""")"),"21110")</f>
        <v>21110</v>
      </c>
      <c r="F1901" s="6" t="str">
        <f t="shared" si="3"/>
        <v>Product</v>
      </c>
      <c r="G1901" s="1" t="s">
        <v>1101</v>
      </c>
      <c r="H1901" s="6" t="str">
        <f>IFERROR(__xludf.DUMMYFUNCTION("IF(REGEXMATCH(LOWER(G1901), ""^(\?)+\s*(missing)?\s*(\?)*$""), """", PROPER(SUBSTITUTE(SUBSTITUTE(G1901, ""?"", """"), ""*"", """")))"),"Large Cake Towel Pink Spots")</f>
        <v>Large Cake Towel Pink Spots</v>
      </c>
      <c r="I1901" s="3">
        <v>48.0</v>
      </c>
      <c r="J1901" s="7">
        <v>40598.60555555556</v>
      </c>
      <c r="K1901" s="8" t="str">
        <f t="shared" si="4"/>
        <v>2011-02</v>
      </c>
      <c r="L1901" s="5">
        <v>1.95</v>
      </c>
      <c r="M1901" s="3">
        <v>14298.0</v>
      </c>
      <c r="N1901" s="1" t="str">
        <f t="shared" si="5"/>
        <v>Registered</v>
      </c>
      <c r="O1901" s="1" t="s">
        <v>19</v>
      </c>
      <c r="P1901" s="9" t="str">
        <f t="shared" si="6"/>
        <v>UK</v>
      </c>
      <c r="Q1901" s="8">
        <f t="shared" si="7"/>
        <v>93.6</v>
      </c>
    </row>
    <row r="1902">
      <c r="A1902" s="1">
        <v>544909.0</v>
      </c>
      <c r="B1902" s="1" t="str">
        <f t="shared" si="1"/>
        <v>544909</v>
      </c>
      <c r="C1902" s="1" t="str">
        <f t="shared" si="2"/>
        <v>Sale</v>
      </c>
      <c r="D1902" s="1">
        <v>21109.0</v>
      </c>
      <c r="E1902" s="1" t="str">
        <f>IFERROR(__xludf.DUMMYFUNCTION("IF(LEN(D1902)&gt;4, IFERROR(REGEXEXTRACT(TO_TEXT(D1902),""\d+""),""""),"""")"),"21109")</f>
        <v>21109</v>
      </c>
      <c r="F1902" s="6" t="str">
        <f t="shared" si="3"/>
        <v>Product</v>
      </c>
      <c r="G1902" s="1" t="s">
        <v>1102</v>
      </c>
      <c r="H1902" s="6" t="str">
        <f>IFERROR(__xludf.DUMMYFUNCTION("IF(REGEXMATCH(LOWER(G1902), ""^(\?)+\s*(missing)?\s*(\?)*$""), """", PROPER(SUBSTITUTE(SUBSTITUTE(G1902, ""?"", """"), ""*"", """")))"),"Large Cake Towel Chocolate Spots")</f>
        <v>Large Cake Towel Chocolate Spots</v>
      </c>
      <c r="I1902" s="3">
        <v>48.0</v>
      </c>
      <c r="J1902" s="7">
        <v>40598.60555555556</v>
      </c>
      <c r="K1902" s="8" t="str">
        <f t="shared" si="4"/>
        <v>2011-02</v>
      </c>
      <c r="L1902" s="5">
        <v>1.95</v>
      </c>
      <c r="M1902" s="3">
        <v>14298.0</v>
      </c>
      <c r="N1902" s="1" t="str">
        <f t="shared" si="5"/>
        <v>Registered</v>
      </c>
      <c r="O1902" s="1" t="s">
        <v>19</v>
      </c>
      <c r="P1902" s="9" t="str">
        <f t="shared" si="6"/>
        <v>UK</v>
      </c>
      <c r="Q1902" s="8">
        <f t="shared" si="7"/>
        <v>93.6</v>
      </c>
    </row>
    <row r="1903">
      <c r="A1903" s="1">
        <v>544909.0</v>
      </c>
      <c r="B1903" s="1" t="str">
        <f t="shared" si="1"/>
        <v>544909</v>
      </c>
      <c r="C1903" s="1" t="str">
        <f t="shared" si="2"/>
        <v>Sale</v>
      </c>
      <c r="D1903" s="1">
        <v>21065.0</v>
      </c>
      <c r="E1903" s="1" t="str">
        <f>IFERROR(__xludf.DUMMYFUNCTION("IF(LEN(D1903)&gt;4, IFERROR(REGEXEXTRACT(TO_TEXT(D1903),""\d+""),""""),"""")"),"21065")</f>
        <v>21065</v>
      </c>
      <c r="F1903" s="6" t="str">
        <f t="shared" si="3"/>
        <v>Product</v>
      </c>
      <c r="G1903" s="1" t="s">
        <v>421</v>
      </c>
      <c r="H1903" s="6" t="str">
        <f>IFERROR(__xludf.DUMMYFUNCTION("IF(REGEXMATCH(LOWER(G1903), ""^(\?)+\s*(missing)?\s*(\?)*$""), """", PROPER(SUBSTITUTE(SUBSTITUTE(G1903, ""?"", """"), ""*"", """")))"),"Boom Box Speaker Girls")</f>
        <v>Boom Box Speaker Girls</v>
      </c>
      <c r="I1903" s="3">
        <v>96.0</v>
      </c>
      <c r="J1903" s="7">
        <v>40598.60555555556</v>
      </c>
      <c r="K1903" s="8" t="str">
        <f t="shared" si="4"/>
        <v>2011-02</v>
      </c>
      <c r="L1903" s="5">
        <v>1.25</v>
      </c>
      <c r="M1903" s="3">
        <v>14298.0</v>
      </c>
      <c r="N1903" s="1" t="str">
        <f t="shared" si="5"/>
        <v>Registered</v>
      </c>
      <c r="O1903" s="1" t="s">
        <v>19</v>
      </c>
      <c r="P1903" s="9" t="str">
        <f t="shared" si="6"/>
        <v>UK</v>
      </c>
      <c r="Q1903" s="8">
        <f t="shared" si="7"/>
        <v>120</v>
      </c>
    </row>
    <row r="1904">
      <c r="A1904" s="1">
        <v>544910.0</v>
      </c>
      <c r="B1904" s="1" t="str">
        <f t="shared" si="1"/>
        <v>544910</v>
      </c>
      <c r="C1904" s="1" t="str">
        <f t="shared" si="2"/>
        <v>Sale</v>
      </c>
      <c r="D1904" s="1">
        <v>22720.0</v>
      </c>
      <c r="E1904" s="1" t="str">
        <f>IFERROR(__xludf.DUMMYFUNCTION("IF(LEN(D1904)&gt;4, IFERROR(REGEXEXTRACT(TO_TEXT(D1904),""\d+""),""""),"""")"),"22720")</f>
        <v>22720</v>
      </c>
      <c r="F1904" s="6" t="str">
        <f t="shared" si="3"/>
        <v>Product</v>
      </c>
      <c r="G1904" s="1" t="s">
        <v>685</v>
      </c>
      <c r="H1904" s="6" t="str">
        <f>IFERROR(__xludf.DUMMYFUNCTION("IF(REGEXMATCH(LOWER(G1904), ""^(\?)+\s*(missing)?\s*(\?)*$""), """", PROPER(SUBSTITUTE(SUBSTITUTE(G1904, ""?"", """"), ""*"", """")))"),"Set Of 3 Cake Tins Pantry Design")</f>
        <v>Set Of 3 Cake Tins Pantry Design</v>
      </c>
      <c r="I1904" s="3">
        <v>9.0</v>
      </c>
      <c r="J1904" s="7">
        <v>40598.60555555556</v>
      </c>
      <c r="K1904" s="8" t="str">
        <f t="shared" si="4"/>
        <v>2011-02</v>
      </c>
      <c r="L1904" s="5">
        <v>4.95</v>
      </c>
      <c r="M1904" s="3">
        <v>16072.0</v>
      </c>
      <c r="N1904" s="1" t="str">
        <f t="shared" si="5"/>
        <v>Registered</v>
      </c>
      <c r="O1904" s="1" t="s">
        <v>19</v>
      </c>
      <c r="P1904" s="9" t="str">
        <f t="shared" si="6"/>
        <v>UK</v>
      </c>
      <c r="Q1904" s="8">
        <f t="shared" si="7"/>
        <v>44.55</v>
      </c>
    </row>
    <row r="1905">
      <c r="A1905" s="1">
        <v>544910.0</v>
      </c>
      <c r="B1905" s="1" t="str">
        <f t="shared" si="1"/>
        <v>544910</v>
      </c>
      <c r="C1905" s="1" t="str">
        <f t="shared" si="2"/>
        <v>Sale</v>
      </c>
      <c r="D1905" s="1">
        <v>22849.0</v>
      </c>
      <c r="E1905" s="1" t="str">
        <f>IFERROR(__xludf.DUMMYFUNCTION("IF(LEN(D1905)&gt;4, IFERROR(REGEXEXTRACT(TO_TEXT(D1905),""\d+""),""""),"""")"),"22849")</f>
        <v>22849</v>
      </c>
      <c r="F1905" s="6" t="str">
        <f t="shared" si="3"/>
        <v>Product</v>
      </c>
      <c r="G1905" s="1" t="s">
        <v>763</v>
      </c>
      <c r="H1905" s="6" t="str">
        <f>IFERROR(__xludf.DUMMYFUNCTION("IF(REGEXMATCH(LOWER(G1905), ""^(\?)+\s*(missing)?\s*(\?)*$""), """", PROPER(SUBSTITUTE(SUBSTITUTE(G1905, ""?"", """"), ""*"", """")))"),"Bread Bin Diner Style Mint")</f>
        <v>Bread Bin Diner Style Mint</v>
      </c>
      <c r="I1905" s="3">
        <v>2.0</v>
      </c>
      <c r="J1905" s="7">
        <v>40598.60555555556</v>
      </c>
      <c r="K1905" s="8" t="str">
        <f t="shared" si="4"/>
        <v>2011-02</v>
      </c>
      <c r="L1905" s="5">
        <v>16.95</v>
      </c>
      <c r="M1905" s="3">
        <v>16072.0</v>
      </c>
      <c r="N1905" s="1" t="str">
        <f t="shared" si="5"/>
        <v>Registered</v>
      </c>
      <c r="O1905" s="1" t="s">
        <v>19</v>
      </c>
      <c r="P1905" s="9" t="str">
        <f t="shared" si="6"/>
        <v>UK</v>
      </c>
      <c r="Q1905" s="8">
        <f t="shared" si="7"/>
        <v>33.9</v>
      </c>
    </row>
    <row r="1906">
      <c r="A1906" s="1">
        <v>544910.0</v>
      </c>
      <c r="B1906" s="1" t="str">
        <f t="shared" si="1"/>
        <v>544910</v>
      </c>
      <c r="C1906" s="1" t="str">
        <f t="shared" si="2"/>
        <v>Sale</v>
      </c>
      <c r="D1906" s="1">
        <v>22846.0</v>
      </c>
      <c r="E1906" s="1" t="str">
        <f>IFERROR(__xludf.DUMMYFUNCTION("IF(LEN(D1906)&gt;4, IFERROR(REGEXEXTRACT(TO_TEXT(D1906),""\d+""),""""),"""")"),"22846")</f>
        <v>22846</v>
      </c>
      <c r="F1906" s="6" t="str">
        <f t="shared" si="3"/>
        <v>Product</v>
      </c>
      <c r="G1906" s="1" t="s">
        <v>762</v>
      </c>
      <c r="H1906" s="6" t="str">
        <f>IFERROR(__xludf.DUMMYFUNCTION("IF(REGEXMATCH(LOWER(G1906), ""^(\?)+\s*(missing)?\s*(\?)*$""), """", PROPER(SUBSTITUTE(SUBSTITUTE(G1906, ""?"", """"), ""*"", """")))"),"Bread Bin Diner Style Red")</f>
        <v>Bread Bin Diner Style Red</v>
      </c>
      <c r="I1906" s="3">
        <v>2.0</v>
      </c>
      <c r="J1906" s="7">
        <v>40598.60555555556</v>
      </c>
      <c r="K1906" s="8" t="str">
        <f t="shared" si="4"/>
        <v>2011-02</v>
      </c>
      <c r="L1906" s="5">
        <v>16.95</v>
      </c>
      <c r="M1906" s="3">
        <v>16072.0</v>
      </c>
      <c r="N1906" s="1" t="str">
        <f t="shared" si="5"/>
        <v>Registered</v>
      </c>
      <c r="O1906" s="1" t="s">
        <v>19</v>
      </c>
      <c r="P1906" s="9" t="str">
        <f t="shared" si="6"/>
        <v>UK</v>
      </c>
      <c r="Q1906" s="8">
        <f t="shared" si="7"/>
        <v>33.9</v>
      </c>
    </row>
    <row r="1907">
      <c r="A1907" s="1">
        <v>544910.0</v>
      </c>
      <c r="B1907" s="1" t="str">
        <f t="shared" si="1"/>
        <v>544910</v>
      </c>
      <c r="C1907" s="1" t="str">
        <f t="shared" si="2"/>
        <v>Sale</v>
      </c>
      <c r="D1907" s="1">
        <v>22848.0</v>
      </c>
      <c r="E1907" s="1" t="str">
        <f>IFERROR(__xludf.DUMMYFUNCTION("IF(LEN(D1907)&gt;4, IFERROR(REGEXEXTRACT(TO_TEXT(D1907),""\d+""),""""),"""")"),"22848")</f>
        <v>22848</v>
      </c>
      <c r="F1907" s="6" t="str">
        <f t="shared" si="3"/>
        <v>Product</v>
      </c>
      <c r="G1907" s="1" t="s">
        <v>329</v>
      </c>
      <c r="H1907" s="6" t="str">
        <f>IFERROR(__xludf.DUMMYFUNCTION("IF(REGEXMATCH(LOWER(G1907), ""^(\?)+\s*(missing)?\s*(\?)*$""), """", PROPER(SUBSTITUTE(SUBSTITUTE(G1907, ""?"", """"), ""*"", """")))"),"Bread Bin Diner Style Pink")</f>
        <v>Bread Bin Diner Style Pink</v>
      </c>
      <c r="I1907" s="3">
        <v>4.0</v>
      </c>
      <c r="J1907" s="7">
        <v>40598.60555555556</v>
      </c>
      <c r="K1907" s="8" t="str">
        <f t="shared" si="4"/>
        <v>2011-02</v>
      </c>
      <c r="L1907" s="5">
        <v>14.95</v>
      </c>
      <c r="M1907" s="3">
        <v>16072.0</v>
      </c>
      <c r="N1907" s="1" t="str">
        <f t="shared" si="5"/>
        <v>Registered</v>
      </c>
      <c r="O1907" s="1" t="s">
        <v>19</v>
      </c>
      <c r="P1907" s="9" t="str">
        <f t="shared" si="6"/>
        <v>UK</v>
      </c>
      <c r="Q1907" s="8">
        <f t="shared" si="7"/>
        <v>59.8</v>
      </c>
    </row>
    <row r="1908">
      <c r="A1908" s="1">
        <v>544910.0</v>
      </c>
      <c r="B1908" s="1" t="str">
        <f t="shared" si="1"/>
        <v>544910</v>
      </c>
      <c r="C1908" s="1" t="str">
        <f t="shared" si="2"/>
        <v>Sale</v>
      </c>
      <c r="D1908" s="1">
        <v>22424.0</v>
      </c>
      <c r="E1908" s="1" t="str">
        <f>IFERROR(__xludf.DUMMYFUNCTION("IF(LEN(D1908)&gt;4, IFERROR(REGEXEXTRACT(TO_TEXT(D1908),""\d+""),""""),"""")"),"22424")</f>
        <v>22424</v>
      </c>
      <c r="F1908" s="6" t="str">
        <f t="shared" si="3"/>
        <v>Product</v>
      </c>
      <c r="G1908" s="1" t="s">
        <v>174</v>
      </c>
      <c r="H1908" s="6" t="str">
        <f>IFERROR(__xludf.DUMMYFUNCTION("IF(REGEXMATCH(LOWER(G1908), ""^(\?)+\s*(missing)?\s*(\?)*$""), """", PROPER(SUBSTITUTE(SUBSTITUTE(G1908, ""?"", """"), ""*"", """")))"),"Enamel Bread Bin Cream")</f>
        <v>Enamel Bread Bin Cream</v>
      </c>
      <c r="I1908" s="3">
        <v>4.0</v>
      </c>
      <c r="J1908" s="7">
        <v>40598.60555555556</v>
      </c>
      <c r="K1908" s="8" t="str">
        <f t="shared" si="4"/>
        <v>2011-02</v>
      </c>
      <c r="L1908" s="5">
        <v>12.75</v>
      </c>
      <c r="M1908" s="3">
        <v>16072.0</v>
      </c>
      <c r="N1908" s="1" t="str">
        <f t="shared" si="5"/>
        <v>Registered</v>
      </c>
      <c r="O1908" s="1" t="s">
        <v>19</v>
      </c>
      <c r="P1908" s="9" t="str">
        <f t="shared" si="6"/>
        <v>UK</v>
      </c>
      <c r="Q1908" s="8">
        <f t="shared" si="7"/>
        <v>51</v>
      </c>
    </row>
    <row r="1909">
      <c r="A1909" s="1">
        <v>544910.0</v>
      </c>
      <c r="B1909" s="1" t="str">
        <f t="shared" si="1"/>
        <v>544910</v>
      </c>
      <c r="C1909" s="1" t="str">
        <f t="shared" si="2"/>
        <v>Sale</v>
      </c>
      <c r="D1909" s="1">
        <v>22722.0</v>
      </c>
      <c r="E1909" s="1" t="str">
        <f>IFERROR(__xludf.DUMMYFUNCTION("IF(LEN(D1909)&gt;4, IFERROR(REGEXEXTRACT(TO_TEXT(D1909),""\d+""),""""),"""")"),"22722")</f>
        <v>22722</v>
      </c>
      <c r="F1909" s="6" t="str">
        <f t="shared" si="3"/>
        <v>Product</v>
      </c>
      <c r="G1909" s="1" t="s">
        <v>686</v>
      </c>
      <c r="H1909" s="6" t="str">
        <f>IFERROR(__xludf.DUMMYFUNCTION("IF(REGEXMATCH(LOWER(G1909), ""^(\?)+\s*(missing)?\s*(\?)*$""), """", PROPER(SUBSTITUTE(SUBSTITUTE(G1909, ""?"", """"), ""*"", """")))"),"Set Of 6 Spice Tins Pantry Design")</f>
        <v>Set Of 6 Spice Tins Pantry Design</v>
      </c>
      <c r="I1909" s="3">
        <v>4.0</v>
      </c>
      <c r="J1909" s="7">
        <v>40598.60555555556</v>
      </c>
      <c r="K1909" s="8" t="str">
        <f t="shared" si="4"/>
        <v>2011-02</v>
      </c>
      <c r="L1909" s="5">
        <v>3.95</v>
      </c>
      <c r="M1909" s="3">
        <v>16072.0</v>
      </c>
      <c r="N1909" s="1" t="str">
        <f t="shared" si="5"/>
        <v>Registered</v>
      </c>
      <c r="O1909" s="1" t="s">
        <v>19</v>
      </c>
      <c r="P1909" s="9" t="str">
        <f t="shared" si="6"/>
        <v>UK</v>
      </c>
      <c r="Q1909" s="8">
        <f t="shared" si="7"/>
        <v>15.8</v>
      </c>
    </row>
    <row r="1910">
      <c r="A1910" s="1">
        <v>544910.0</v>
      </c>
      <c r="B1910" s="1" t="str">
        <f t="shared" si="1"/>
        <v>544910</v>
      </c>
      <c r="C1910" s="1" t="str">
        <f t="shared" si="2"/>
        <v>Sale</v>
      </c>
      <c r="D1910" s="1">
        <v>22838.0</v>
      </c>
      <c r="E1910" s="1" t="str">
        <f>IFERROR(__xludf.DUMMYFUNCTION("IF(LEN(D1910)&gt;4, IFERROR(REGEXEXTRACT(TO_TEXT(D1910),""\d+""),""""),"""")"),"22838")</f>
        <v>22838</v>
      </c>
      <c r="F1910" s="6" t="str">
        <f t="shared" si="3"/>
        <v>Product</v>
      </c>
      <c r="G1910" s="1" t="s">
        <v>157</v>
      </c>
      <c r="H1910" s="6" t="str">
        <f>IFERROR(__xludf.DUMMYFUNCTION("IF(REGEXMATCH(LOWER(G1910), ""^(\?)+\s*(missing)?\s*(\?)*$""), """", PROPER(SUBSTITUTE(SUBSTITUTE(G1910, ""?"", """"), ""*"", """")))"),"3 Tier Cake Tin Red And Cream")</f>
        <v>3 Tier Cake Tin Red And Cream</v>
      </c>
      <c r="I1910" s="3">
        <v>1.0</v>
      </c>
      <c r="J1910" s="7">
        <v>40598.60555555556</v>
      </c>
      <c r="K1910" s="8" t="str">
        <f t="shared" si="4"/>
        <v>2011-02</v>
      </c>
      <c r="L1910" s="5">
        <v>14.95</v>
      </c>
      <c r="M1910" s="3">
        <v>16072.0</v>
      </c>
      <c r="N1910" s="1" t="str">
        <f t="shared" si="5"/>
        <v>Registered</v>
      </c>
      <c r="O1910" s="1" t="s">
        <v>19</v>
      </c>
      <c r="P1910" s="9" t="str">
        <f t="shared" si="6"/>
        <v>UK</v>
      </c>
      <c r="Q1910" s="8">
        <f t="shared" si="7"/>
        <v>14.95</v>
      </c>
    </row>
    <row r="1911">
      <c r="A1911" s="1">
        <v>544910.0</v>
      </c>
      <c r="B1911" s="1" t="str">
        <f t="shared" si="1"/>
        <v>544910</v>
      </c>
      <c r="C1911" s="1" t="str">
        <f t="shared" si="2"/>
        <v>Sale</v>
      </c>
      <c r="D1911" s="1">
        <v>22839.0</v>
      </c>
      <c r="E1911" s="1" t="str">
        <f>IFERROR(__xludf.DUMMYFUNCTION("IF(LEN(D1911)&gt;4, IFERROR(REGEXEXTRACT(TO_TEXT(D1911),""\d+""),""""),"""")"),"22839")</f>
        <v>22839</v>
      </c>
      <c r="F1911" s="6" t="str">
        <f t="shared" si="3"/>
        <v>Product</v>
      </c>
      <c r="G1911" s="1" t="s">
        <v>156</v>
      </c>
      <c r="H1911" s="6" t="str">
        <f>IFERROR(__xludf.DUMMYFUNCTION("IF(REGEXMATCH(LOWER(G1911), ""^(\?)+\s*(missing)?\s*(\?)*$""), """", PROPER(SUBSTITUTE(SUBSTITUTE(G1911, ""?"", """"), ""*"", """")))"),"3 Tier Cake Tin Green And Cream")</f>
        <v>3 Tier Cake Tin Green And Cream</v>
      </c>
      <c r="I1911" s="3">
        <v>1.0</v>
      </c>
      <c r="J1911" s="7">
        <v>40598.60555555556</v>
      </c>
      <c r="K1911" s="8" t="str">
        <f t="shared" si="4"/>
        <v>2011-02</v>
      </c>
      <c r="L1911" s="5">
        <v>14.95</v>
      </c>
      <c r="M1911" s="3">
        <v>16072.0</v>
      </c>
      <c r="N1911" s="1" t="str">
        <f t="shared" si="5"/>
        <v>Registered</v>
      </c>
      <c r="O1911" s="1" t="s">
        <v>19</v>
      </c>
      <c r="P1911" s="9" t="str">
        <f t="shared" si="6"/>
        <v>UK</v>
      </c>
      <c r="Q1911" s="8">
        <f t="shared" si="7"/>
        <v>14.95</v>
      </c>
    </row>
    <row r="1912">
      <c r="A1912" s="1">
        <v>544910.0</v>
      </c>
      <c r="B1912" s="1" t="str">
        <f t="shared" si="1"/>
        <v>544910</v>
      </c>
      <c r="C1912" s="1" t="str">
        <f t="shared" si="2"/>
        <v>Sale</v>
      </c>
      <c r="D1912" s="1">
        <v>21217.0</v>
      </c>
      <c r="E1912" s="1" t="str">
        <f>IFERROR(__xludf.DUMMYFUNCTION("IF(LEN(D1912)&gt;4, IFERROR(REGEXEXTRACT(TO_TEXT(D1912),""\d+""),""""),"""")"),"21217")</f>
        <v>21217</v>
      </c>
      <c r="F1912" s="6" t="str">
        <f t="shared" si="3"/>
        <v>Product</v>
      </c>
      <c r="G1912" s="1" t="s">
        <v>818</v>
      </c>
      <c r="H1912" s="6" t="str">
        <f>IFERROR(__xludf.DUMMYFUNCTION("IF(REGEXMATCH(LOWER(G1912), ""^(\?)+\s*(missing)?\s*(\?)*$""), """", PROPER(SUBSTITUTE(SUBSTITUTE(G1912, ""?"", """"), ""*"", """")))"),"Red Retrospot Round Cake Tins")</f>
        <v>Red Retrospot Round Cake Tins</v>
      </c>
      <c r="I1912" s="3">
        <v>1.0</v>
      </c>
      <c r="J1912" s="7">
        <v>40598.60555555556</v>
      </c>
      <c r="K1912" s="8" t="str">
        <f t="shared" si="4"/>
        <v>2011-02</v>
      </c>
      <c r="L1912" s="5">
        <v>9.95</v>
      </c>
      <c r="M1912" s="3">
        <v>16072.0</v>
      </c>
      <c r="N1912" s="1" t="str">
        <f t="shared" si="5"/>
        <v>Registered</v>
      </c>
      <c r="O1912" s="1" t="s">
        <v>19</v>
      </c>
      <c r="P1912" s="9" t="str">
        <f t="shared" si="6"/>
        <v>UK</v>
      </c>
      <c r="Q1912" s="8">
        <f t="shared" si="7"/>
        <v>9.95</v>
      </c>
    </row>
    <row r="1913">
      <c r="A1913" s="1">
        <v>544910.0</v>
      </c>
      <c r="B1913" s="1" t="str">
        <f t="shared" si="1"/>
        <v>544910</v>
      </c>
      <c r="C1913" s="1" t="str">
        <f t="shared" si="2"/>
        <v>Sale</v>
      </c>
      <c r="D1913" s="1">
        <v>22625.0</v>
      </c>
      <c r="E1913" s="1" t="str">
        <f>IFERROR(__xludf.DUMMYFUNCTION("IF(LEN(D1913)&gt;4, IFERROR(REGEXEXTRACT(TO_TEXT(D1913),""\d+""),""""),"""")"),"22625")</f>
        <v>22625</v>
      </c>
      <c r="F1913" s="6" t="str">
        <f t="shared" si="3"/>
        <v>Product</v>
      </c>
      <c r="G1913" s="1" t="s">
        <v>764</v>
      </c>
      <c r="H1913" s="6" t="str">
        <f>IFERROR(__xludf.DUMMYFUNCTION("IF(REGEXMATCH(LOWER(G1913), ""^(\?)+\s*(missing)?\s*(\?)*$""), """", PROPER(SUBSTITUTE(SUBSTITUTE(G1913, ""?"", """"), ""*"", """")))"),"Red Kitchen Scales")</f>
        <v>Red Kitchen Scales</v>
      </c>
      <c r="I1913" s="3">
        <v>2.0</v>
      </c>
      <c r="J1913" s="7">
        <v>40598.60555555556</v>
      </c>
      <c r="K1913" s="8" t="str">
        <f t="shared" si="4"/>
        <v>2011-02</v>
      </c>
      <c r="L1913" s="5">
        <v>8.5</v>
      </c>
      <c r="M1913" s="3">
        <v>16072.0</v>
      </c>
      <c r="N1913" s="1" t="str">
        <f t="shared" si="5"/>
        <v>Registered</v>
      </c>
      <c r="O1913" s="1" t="s">
        <v>19</v>
      </c>
      <c r="P1913" s="9" t="str">
        <f t="shared" si="6"/>
        <v>UK</v>
      </c>
      <c r="Q1913" s="8">
        <f t="shared" si="7"/>
        <v>17</v>
      </c>
    </row>
    <row r="1914">
      <c r="A1914" s="1">
        <v>544910.0</v>
      </c>
      <c r="B1914" s="1" t="str">
        <f t="shared" si="1"/>
        <v>544910</v>
      </c>
      <c r="C1914" s="1" t="str">
        <f t="shared" si="2"/>
        <v>Sale</v>
      </c>
      <c r="D1914" s="1">
        <v>22626.0</v>
      </c>
      <c r="E1914" s="1" t="str">
        <f>IFERROR(__xludf.DUMMYFUNCTION("IF(LEN(D1914)&gt;4, IFERROR(REGEXEXTRACT(TO_TEXT(D1914),""\d+""),""""),"""")"),"22626")</f>
        <v>22626</v>
      </c>
      <c r="F1914" s="6" t="str">
        <f t="shared" si="3"/>
        <v>Product</v>
      </c>
      <c r="G1914" s="1" t="s">
        <v>784</v>
      </c>
      <c r="H1914" s="6" t="str">
        <f>IFERROR(__xludf.DUMMYFUNCTION("IF(REGEXMATCH(LOWER(G1914), ""^(\?)+\s*(missing)?\s*(\?)*$""), """", PROPER(SUBSTITUTE(SUBSTITUTE(G1914, ""?"", """"), ""*"", """")))"),"Black Kitchen Scales")</f>
        <v>Black Kitchen Scales</v>
      </c>
      <c r="I1914" s="3">
        <v>2.0</v>
      </c>
      <c r="J1914" s="7">
        <v>40598.60555555556</v>
      </c>
      <c r="K1914" s="8" t="str">
        <f t="shared" si="4"/>
        <v>2011-02</v>
      </c>
      <c r="L1914" s="5">
        <v>8.5</v>
      </c>
      <c r="M1914" s="3">
        <v>16072.0</v>
      </c>
      <c r="N1914" s="1" t="str">
        <f t="shared" si="5"/>
        <v>Registered</v>
      </c>
      <c r="O1914" s="1" t="s">
        <v>19</v>
      </c>
      <c r="P1914" s="9" t="str">
        <f t="shared" si="6"/>
        <v>UK</v>
      </c>
      <c r="Q1914" s="8">
        <f t="shared" si="7"/>
        <v>17</v>
      </c>
    </row>
    <row r="1915">
      <c r="A1915" s="1">
        <v>544910.0</v>
      </c>
      <c r="B1915" s="1" t="str">
        <f t="shared" si="1"/>
        <v>544910</v>
      </c>
      <c r="C1915" s="1" t="str">
        <f t="shared" si="2"/>
        <v>Sale</v>
      </c>
      <c r="D1915" s="1">
        <v>22978.0</v>
      </c>
      <c r="E1915" s="1" t="str">
        <f>IFERROR(__xludf.DUMMYFUNCTION("IF(LEN(D1915)&gt;4, IFERROR(REGEXEXTRACT(TO_TEXT(D1915),""\d+""),""""),"""")"),"22978")</f>
        <v>22978</v>
      </c>
      <c r="F1915" s="6" t="str">
        <f t="shared" si="3"/>
        <v>Product</v>
      </c>
      <c r="G1915" s="1" t="s">
        <v>778</v>
      </c>
      <c r="H1915" s="6" t="str">
        <f>IFERROR(__xludf.DUMMYFUNCTION("IF(REGEXMATCH(LOWER(G1915), ""^(\?)+\s*(missing)?\s*(\?)*$""), """", PROPER(SUBSTITUTE(SUBSTITUTE(G1915, ""?"", """"), ""*"", """")))"),"Pantry Rolling Pin")</f>
        <v>Pantry Rolling Pin</v>
      </c>
      <c r="I1915" s="3">
        <v>6.0</v>
      </c>
      <c r="J1915" s="7">
        <v>40598.60555555556</v>
      </c>
      <c r="K1915" s="8" t="str">
        <f t="shared" si="4"/>
        <v>2011-02</v>
      </c>
      <c r="L1915" s="5">
        <v>3.75</v>
      </c>
      <c r="M1915" s="3">
        <v>16072.0</v>
      </c>
      <c r="N1915" s="1" t="str">
        <f t="shared" si="5"/>
        <v>Registered</v>
      </c>
      <c r="O1915" s="1" t="s">
        <v>19</v>
      </c>
      <c r="P1915" s="9" t="str">
        <f t="shared" si="6"/>
        <v>UK</v>
      </c>
      <c r="Q1915" s="8">
        <f t="shared" si="7"/>
        <v>22.5</v>
      </c>
    </row>
    <row r="1916">
      <c r="A1916" s="1">
        <v>544910.0</v>
      </c>
      <c r="B1916" s="1" t="str">
        <f t="shared" si="1"/>
        <v>544910</v>
      </c>
      <c r="C1916" s="1" t="str">
        <f t="shared" si="2"/>
        <v>Sale</v>
      </c>
      <c r="D1916" s="1">
        <v>22844.0</v>
      </c>
      <c r="E1916" s="1" t="str">
        <f>IFERROR(__xludf.DUMMYFUNCTION("IF(LEN(D1916)&gt;4, IFERROR(REGEXEXTRACT(TO_TEXT(D1916),""\d+""),""""),"""")"),"22844")</f>
        <v>22844</v>
      </c>
      <c r="F1916" s="6" t="str">
        <f t="shared" si="3"/>
        <v>Product</v>
      </c>
      <c r="G1916" s="1" t="s">
        <v>786</v>
      </c>
      <c r="H1916" s="6" t="str">
        <f>IFERROR(__xludf.DUMMYFUNCTION("IF(REGEXMATCH(LOWER(G1916), ""^(\?)+\s*(missing)?\s*(\?)*$""), """", PROPER(SUBSTITUTE(SUBSTITUTE(G1916, ""?"", """"), ""*"", """")))"),"Vintage Cream Dog Food Container")</f>
        <v>Vintage Cream Dog Food Container</v>
      </c>
      <c r="I1916" s="3">
        <v>2.0</v>
      </c>
      <c r="J1916" s="7">
        <v>40598.60555555556</v>
      </c>
      <c r="K1916" s="8" t="str">
        <f t="shared" si="4"/>
        <v>2011-02</v>
      </c>
      <c r="L1916" s="5">
        <v>8.5</v>
      </c>
      <c r="M1916" s="3">
        <v>16072.0</v>
      </c>
      <c r="N1916" s="1" t="str">
        <f t="shared" si="5"/>
        <v>Registered</v>
      </c>
      <c r="O1916" s="1" t="s">
        <v>19</v>
      </c>
      <c r="P1916" s="9" t="str">
        <f t="shared" si="6"/>
        <v>UK</v>
      </c>
      <c r="Q1916" s="8">
        <f t="shared" si="7"/>
        <v>17</v>
      </c>
    </row>
    <row r="1917">
      <c r="A1917" s="1">
        <v>544910.0</v>
      </c>
      <c r="B1917" s="1" t="str">
        <f t="shared" si="1"/>
        <v>544910</v>
      </c>
      <c r="C1917" s="1" t="str">
        <f t="shared" si="2"/>
        <v>Sale</v>
      </c>
      <c r="D1917" s="1">
        <v>22845.0</v>
      </c>
      <c r="E1917" s="1" t="str">
        <f>IFERROR(__xludf.DUMMYFUNCTION("IF(LEN(D1917)&gt;4, IFERROR(REGEXEXTRACT(TO_TEXT(D1917),""\d+""),""""),"""")"),"22845")</f>
        <v>22845</v>
      </c>
      <c r="F1917" s="6" t="str">
        <f t="shared" si="3"/>
        <v>Product</v>
      </c>
      <c r="G1917" s="1" t="s">
        <v>787</v>
      </c>
      <c r="H1917" s="6" t="str">
        <f>IFERROR(__xludf.DUMMYFUNCTION("IF(REGEXMATCH(LOWER(G1917), ""^(\?)+\s*(missing)?\s*(\?)*$""), """", PROPER(SUBSTITUTE(SUBSTITUTE(G1917, ""?"", """"), ""*"", """")))"),"Vintage Cream Cat Food Container")</f>
        <v>Vintage Cream Cat Food Container</v>
      </c>
      <c r="I1917" s="3">
        <v>2.0</v>
      </c>
      <c r="J1917" s="7">
        <v>40598.60555555556</v>
      </c>
      <c r="K1917" s="8" t="str">
        <f t="shared" si="4"/>
        <v>2011-02</v>
      </c>
      <c r="L1917" s="5">
        <v>6.35</v>
      </c>
      <c r="M1917" s="3">
        <v>16072.0</v>
      </c>
      <c r="N1917" s="1" t="str">
        <f t="shared" si="5"/>
        <v>Registered</v>
      </c>
      <c r="O1917" s="1" t="s">
        <v>19</v>
      </c>
      <c r="P1917" s="9" t="str">
        <f t="shared" si="6"/>
        <v>UK</v>
      </c>
      <c r="Q1917" s="8">
        <f t="shared" si="7"/>
        <v>12.7</v>
      </c>
    </row>
    <row r="1918">
      <c r="A1918" s="1">
        <v>544910.0</v>
      </c>
      <c r="B1918" s="1" t="str">
        <f t="shared" si="1"/>
        <v>544910</v>
      </c>
      <c r="C1918" s="1" t="str">
        <f t="shared" si="2"/>
        <v>Sale</v>
      </c>
      <c r="D1918" s="1">
        <v>21232.0</v>
      </c>
      <c r="E1918" s="1" t="str">
        <f>IFERROR(__xludf.DUMMYFUNCTION("IF(LEN(D1918)&gt;4, IFERROR(REGEXEXTRACT(TO_TEXT(D1918),""\d+""),""""),"""")"),"21232")</f>
        <v>21232</v>
      </c>
      <c r="F1918" s="6" t="str">
        <f t="shared" si="3"/>
        <v>Product</v>
      </c>
      <c r="G1918" s="1" t="s">
        <v>264</v>
      </c>
      <c r="H1918" s="6" t="str">
        <f>IFERROR(__xludf.DUMMYFUNCTION("IF(REGEXMATCH(LOWER(G1918), ""^(\?)+\s*(missing)?\s*(\?)*$""), """", PROPER(SUBSTITUTE(SUBSTITUTE(G1918, ""?"", """"), ""*"", """")))"),"Strawberry Ceramic Trinket Box")</f>
        <v>Strawberry Ceramic Trinket Box</v>
      </c>
      <c r="I1918" s="3">
        <v>12.0</v>
      </c>
      <c r="J1918" s="7">
        <v>40598.60555555556</v>
      </c>
      <c r="K1918" s="8" t="str">
        <f t="shared" si="4"/>
        <v>2011-02</v>
      </c>
      <c r="L1918" s="5">
        <v>1.25</v>
      </c>
      <c r="M1918" s="3">
        <v>16072.0</v>
      </c>
      <c r="N1918" s="1" t="str">
        <f t="shared" si="5"/>
        <v>Registered</v>
      </c>
      <c r="O1918" s="1" t="s">
        <v>19</v>
      </c>
      <c r="P1918" s="9" t="str">
        <f t="shared" si="6"/>
        <v>UK</v>
      </c>
      <c r="Q1918" s="8">
        <f t="shared" si="7"/>
        <v>15</v>
      </c>
    </row>
    <row r="1919">
      <c r="A1919" s="1">
        <v>544910.0</v>
      </c>
      <c r="B1919" s="1" t="str">
        <f t="shared" si="1"/>
        <v>544910</v>
      </c>
      <c r="C1919" s="1" t="str">
        <f t="shared" si="2"/>
        <v>Sale</v>
      </c>
      <c r="D1919" s="1">
        <v>15034.0</v>
      </c>
      <c r="E1919" s="1" t="str">
        <f>IFERROR(__xludf.DUMMYFUNCTION("IF(LEN(D1919)&gt;4, IFERROR(REGEXEXTRACT(TO_TEXT(D1919),""\d+""),""""),"""")"),"15034")</f>
        <v>15034</v>
      </c>
      <c r="F1919" s="6" t="str">
        <f t="shared" si="3"/>
        <v>Product</v>
      </c>
      <c r="G1919" s="1" t="s">
        <v>1103</v>
      </c>
      <c r="H1919" s="6" t="str">
        <f>IFERROR(__xludf.DUMMYFUNCTION("IF(REGEXMATCH(LOWER(G1919), ""^(\?)+\s*(missing)?\s*(\?)*$""), """", PROPER(SUBSTITUTE(SUBSTITUTE(G1919, ""?"", """"), ""*"", """")))"),"Paper Pocket Traveling Fan")</f>
        <v>Paper Pocket Traveling Fan</v>
      </c>
      <c r="I1919" s="3">
        <v>48.0</v>
      </c>
      <c r="J1919" s="7">
        <v>40598.60555555556</v>
      </c>
      <c r="K1919" s="8" t="str">
        <f t="shared" si="4"/>
        <v>2011-02</v>
      </c>
      <c r="L1919" s="5">
        <v>0.14</v>
      </c>
      <c r="M1919" s="3">
        <v>16072.0</v>
      </c>
      <c r="N1919" s="1" t="str">
        <f t="shared" si="5"/>
        <v>Registered</v>
      </c>
      <c r="O1919" s="1" t="s">
        <v>19</v>
      </c>
      <c r="P1919" s="9" t="str">
        <f t="shared" si="6"/>
        <v>UK</v>
      </c>
      <c r="Q1919" s="8">
        <f t="shared" si="7"/>
        <v>6.72</v>
      </c>
    </row>
    <row r="1920">
      <c r="A1920" s="1">
        <v>544910.0</v>
      </c>
      <c r="B1920" s="1" t="str">
        <f t="shared" si="1"/>
        <v>544910</v>
      </c>
      <c r="C1920" s="1" t="str">
        <f t="shared" si="2"/>
        <v>Sale</v>
      </c>
      <c r="D1920" s="1">
        <v>22191.0</v>
      </c>
      <c r="E1920" s="1" t="str">
        <f>IFERROR(__xludf.DUMMYFUNCTION("IF(LEN(D1920)&gt;4, IFERROR(REGEXEXTRACT(TO_TEXT(D1920),""\d+""),""""),"""")"),"22191")</f>
        <v>22191</v>
      </c>
      <c r="F1920" s="6" t="str">
        <f t="shared" si="3"/>
        <v>Product</v>
      </c>
      <c r="G1920" s="1" t="s">
        <v>207</v>
      </c>
      <c r="H1920" s="6" t="str">
        <f>IFERROR(__xludf.DUMMYFUNCTION("IF(REGEXMATCH(LOWER(G1920), ""^(\?)+\s*(missing)?\s*(\?)*$""), """", PROPER(SUBSTITUTE(SUBSTITUTE(G1920, ""?"", """"), ""*"", """")))"),"Ivory Diner Wall Clock")</f>
        <v>Ivory Diner Wall Clock</v>
      </c>
      <c r="I1920" s="3">
        <v>2.0</v>
      </c>
      <c r="J1920" s="7">
        <v>40598.60555555556</v>
      </c>
      <c r="K1920" s="8" t="str">
        <f t="shared" si="4"/>
        <v>2011-02</v>
      </c>
      <c r="L1920" s="5">
        <v>8.5</v>
      </c>
      <c r="M1920" s="3">
        <v>16072.0</v>
      </c>
      <c r="N1920" s="1" t="str">
        <f t="shared" si="5"/>
        <v>Registered</v>
      </c>
      <c r="O1920" s="1" t="s">
        <v>19</v>
      </c>
      <c r="P1920" s="9" t="str">
        <f t="shared" si="6"/>
        <v>UK</v>
      </c>
      <c r="Q1920" s="8">
        <f t="shared" si="7"/>
        <v>17</v>
      </c>
    </row>
    <row r="1921">
      <c r="A1921" s="1">
        <v>544910.0</v>
      </c>
      <c r="B1921" s="1" t="str">
        <f t="shared" si="1"/>
        <v>544910</v>
      </c>
      <c r="C1921" s="1" t="str">
        <f t="shared" si="2"/>
        <v>Sale</v>
      </c>
      <c r="D1921" s="1">
        <v>22192.0</v>
      </c>
      <c r="E1921" s="1" t="str">
        <f>IFERROR(__xludf.DUMMYFUNCTION("IF(LEN(D1921)&gt;4, IFERROR(REGEXEXTRACT(TO_TEXT(D1921),""\d+""),""""),"""")"),"22192")</f>
        <v>22192</v>
      </c>
      <c r="F1921" s="6" t="str">
        <f t="shared" si="3"/>
        <v>Product</v>
      </c>
      <c r="G1921" s="1" t="s">
        <v>206</v>
      </c>
      <c r="H1921" s="6" t="str">
        <f>IFERROR(__xludf.DUMMYFUNCTION("IF(REGEXMATCH(LOWER(G1921), ""^(\?)+\s*(missing)?\s*(\?)*$""), """", PROPER(SUBSTITUTE(SUBSTITUTE(G1921, ""?"", """"), ""*"", """")))"),"Blue Diner Wall Clock")</f>
        <v>Blue Diner Wall Clock</v>
      </c>
      <c r="I1921" s="3">
        <v>2.0</v>
      </c>
      <c r="J1921" s="7">
        <v>40598.60555555556</v>
      </c>
      <c r="K1921" s="8" t="str">
        <f t="shared" si="4"/>
        <v>2011-02</v>
      </c>
      <c r="L1921" s="5">
        <v>8.5</v>
      </c>
      <c r="M1921" s="3">
        <v>16072.0</v>
      </c>
      <c r="N1921" s="1" t="str">
        <f t="shared" si="5"/>
        <v>Registered</v>
      </c>
      <c r="O1921" s="1" t="s">
        <v>19</v>
      </c>
      <c r="P1921" s="9" t="str">
        <f t="shared" si="6"/>
        <v>UK</v>
      </c>
      <c r="Q1921" s="8">
        <f t="shared" si="7"/>
        <v>17</v>
      </c>
    </row>
    <row r="1922">
      <c r="A1922" s="1">
        <v>544910.0</v>
      </c>
      <c r="B1922" s="1" t="str">
        <f t="shared" si="1"/>
        <v>544910</v>
      </c>
      <c r="C1922" s="1" t="str">
        <f t="shared" si="2"/>
        <v>Sale</v>
      </c>
      <c r="D1922" s="1">
        <v>22193.0</v>
      </c>
      <c r="E1922" s="1" t="str">
        <f>IFERROR(__xludf.DUMMYFUNCTION("IF(LEN(D1922)&gt;4, IFERROR(REGEXEXTRACT(TO_TEXT(D1922),""\d+""),""""),"""")"),"22193")</f>
        <v>22193</v>
      </c>
      <c r="F1922" s="6" t="str">
        <f t="shared" si="3"/>
        <v>Product</v>
      </c>
      <c r="G1922" s="1" t="s">
        <v>205</v>
      </c>
      <c r="H1922" s="6" t="str">
        <f>IFERROR(__xludf.DUMMYFUNCTION("IF(REGEXMATCH(LOWER(G1922), ""^(\?)+\s*(missing)?\s*(\?)*$""), """", PROPER(SUBSTITUTE(SUBSTITUTE(G1922, ""?"", """"), ""*"", """")))"),"Red Diner Wall Clock")</f>
        <v>Red Diner Wall Clock</v>
      </c>
      <c r="I1922" s="3">
        <v>2.0</v>
      </c>
      <c r="J1922" s="7">
        <v>40598.60555555556</v>
      </c>
      <c r="K1922" s="8" t="str">
        <f t="shared" si="4"/>
        <v>2011-02</v>
      </c>
      <c r="L1922" s="5">
        <v>8.5</v>
      </c>
      <c r="M1922" s="3">
        <v>16072.0</v>
      </c>
      <c r="N1922" s="1" t="str">
        <f t="shared" si="5"/>
        <v>Registered</v>
      </c>
      <c r="O1922" s="1" t="s">
        <v>19</v>
      </c>
      <c r="P1922" s="9" t="str">
        <f t="shared" si="6"/>
        <v>UK</v>
      </c>
      <c r="Q1922" s="8">
        <f t="shared" si="7"/>
        <v>17</v>
      </c>
    </row>
    <row r="1923">
      <c r="A1923" s="1">
        <v>544910.0</v>
      </c>
      <c r="B1923" s="1" t="str">
        <f t="shared" si="1"/>
        <v>544910</v>
      </c>
      <c r="C1923" s="1" t="str">
        <f t="shared" si="2"/>
        <v>Sale</v>
      </c>
      <c r="D1923" s="1">
        <v>22194.0</v>
      </c>
      <c r="E1923" s="1" t="str">
        <f>IFERROR(__xludf.DUMMYFUNCTION("IF(LEN(D1923)&gt;4, IFERROR(REGEXEXTRACT(TO_TEXT(D1923),""\d+""),""""),"""")"),"22194")</f>
        <v>22194</v>
      </c>
      <c r="F1923" s="6" t="str">
        <f t="shared" si="3"/>
        <v>Product</v>
      </c>
      <c r="G1923" s="1" t="s">
        <v>1104</v>
      </c>
      <c r="H1923" s="6" t="str">
        <f>IFERROR(__xludf.DUMMYFUNCTION("IF(REGEXMATCH(LOWER(G1923), ""^(\?)+\s*(missing)?\s*(\?)*$""), """", PROPER(SUBSTITUTE(SUBSTITUTE(G1923, ""?"", """"), ""*"", """")))"),"Black Diner Wall Clock")</f>
        <v>Black Diner Wall Clock</v>
      </c>
      <c r="I1923" s="3">
        <v>2.0</v>
      </c>
      <c r="J1923" s="7">
        <v>40598.60555555556</v>
      </c>
      <c r="K1923" s="8" t="str">
        <f t="shared" si="4"/>
        <v>2011-02</v>
      </c>
      <c r="L1923" s="5">
        <v>8.5</v>
      </c>
      <c r="M1923" s="3">
        <v>16072.0</v>
      </c>
      <c r="N1923" s="1" t="str">
        <f t="shared" si="5"/>
        <v>Registered</v>
      </c>
      <c r="O1923" s="1" t="s">
        <v>19</v>
      </c>
      <c r="P1923" s="9" t="str">
        <f t="shared" si="6"/>
        <v>UK</v>
      </c>
      <c r="Q1923" s="8">
        <f t="shared" si="7"/>
        <v>17</v>
      </c>
    </row>
    <row r="1924">
      <c r="A1924" s="1">
        <v>544910.0</v>
      </c>
      <c r="B1924" s="1" t="str">
        <f t="shared" si="1"/>
        <v>544910</v>
      </c>
      <c r="C1924" s="1" t="str">
        <f t="shared" si="2"/>
        <v>Sale</v>
      </c>
      <c r="D1924" s="1">
        <v>21191.0</v>
      </c>
      <c r="E1924" s="1" t="str">
        <f>IFERROR(__xludf.DUMMYFUNCTION("IF(LEN(D1924)&gt;4, IFERROR(REGEXEXTRACT(TO_TEXT(D1924),""\d+""),""""),"""")"),"21191")</f>
        <v>21191</v>
      </c>
      <c r="F1924" s="6" t="str">
        <f t="shared" si="3"/>
        <v>Product</v>
      </c>
      <c r="G1924" s="1" t="s">
        <v>1105</v>
      </c>
      <c r="H1924" s="6" t="str">
        <f>IFERROR(__xludf.DUMMYFUNCTION("IF(REGEXMATCH(LOWER(G1924), ""^(\?)+\s*(missing)?\s*(\?)*$""), """", PROPER(SUBSTITUTE(SUBSTITUTE(G1924, ""?"", """"), ""*"", """")))"),"Large White Honeycomb Paper Bell")</f>
        <v>Large White Honeycomb Paper Bell</v>
      </c>
      <c r="I1924" s="3">
        <v>6.0</v>
      </c>
      <c r="J1924" s="7">
        <v>40598.60555555556</v>
      </c>
      <c r="K1924" s="8" t="str">
        <f t="shared" si="4"/>
        <v>2011-02</v>
      </c>
      <c r="L1924" s="5">
        <v>2.1</v>
      </c>
      <c r="M1924" s="3">
        <v>16072.0</v>
      </c>
      <c r="N1924" s="1" t="str">
        <f t="shared" si="5"/>
        <v>Registered</v>
      </c>
      <c r="O1924" s="1" t="s">
        <v>19</v>
      </c>
      <c r="P1924" s="9" t="str">
        <f t="shared" si="6"/>
        <v>UK</v>
      </c>
      <c r="Q1924" s="8">
        <f t="shared" si="7"/>
        <v>12.6</v>
      </c>
    </row>
    <row r="1925">
      <c r="A1925" s="1">
        <v>544910.0</v>
      </c>
      <c r="B1925" s="1" t="str">
        <f t="shared" si="1"/>
        <v>544910</v>
      </c>
      <c r="C1925" s="1" t="str">
        <f t="shared" si="2"/>
        <v>Sale</v>
      </c>
      <c r="D1925" s="1">
        <v>22890.0</v>
      </c>
      <c r="E1925" s="1" t="str">
        <f>IFERROR(__xludf.DUMMYFUNCTION("IF(LEN(D1925)&gt;4, IFERROR(REGEXEXTRACT(TO_TEXT(D1925),""\d+""),""""),"""")"),"22890")</f>
        <v>22890</v>
      </c>
      <c r="F1925" s="6" t="str">
        <f t="shared" si="3"/>
        <v>Product</v>
      </c>
      <c r="G1925" s="1" t="s">
        <v>1106</v>
      </c>
      <c r="H1925" s="6" t="str">
        <f>IFERROR(__xludf.DUMMYFUNCTION("IF(REGEXMATCH(LOWER(G1925), ""^(\?)+\s*(missing)?\s*(\?)*$""), """", PROPER(SUBSTITUTE(SUBSTITUTE(G1925, ""?"", """"), ""*"", """")))"),"Novelty Biscuits Cake Stand 3 Tier")</f>
        <v>Novelty Biscuits Cake Stand 3 Tier</v>
      </c>
      <c r="I1925" s="3">
        <v>12.0</v>
      </c>
      <c r="J1925" s="7">
        <v>40598.60555555556</v>
      </c>
      <c r="K1925" s="8" t="str">
        <f t="shared" si="4"/>
        <v>2011-02</v>
      </c>
      <c r="L1925" s="5">
        <v>8.5</v>
      </c>
      <c r="M1925" s="3">
        <v>16072.0</v>
      </c>
      <c r="N1925" s="1" t="str">
        <f t="shared" si="5"/>
        <v>Registered</v>
      </c>
      <c r="O1925" s="1" t="s">
        <v>19</v>
      </c>
      <c r="P1925" s="9" t="str">
        <f t="shared" si="6"/>
        <v>UK</v>
      </c>
      <c r="Q1925" s="8">
        <f t="shared" si="7"/>
        <v>102</v>
      </c>
    </row>
    <row r="1926">
      <c r="A1926" s="1">
        <v>544910.0</v>
      </c>
      <c r="B1926" s="1" t="str">
        <f t="shared" si="1"/>
        <v>544910</v>
      </c>
      <c r="C1926" s="1" t="str">
        <f t="shared" si="2"/>
        <v>Sale</v>
      </c>
      <c r="D1926" s="1" t="s">
        <v>1107</v>
      </c>
      <c r="E1926" s="1" t="str">
        <f>IFERROR(__xludf.DUMMYFUNCTION("IF(LEN(D1926)&gt;4, IFERROR(REGEXEXTRACT(TO_TEXT(D1926),""\d+""),""""),"""")"),"84926")</f>
        <v>84926</v>
      </c>
      <c r="F1926" s="6" t="str">
        <f t="shared" si="3"/>
        <v>Product</v>
      </c>
      <c r="G1926" s="1" t="s">
        <v>1108</v>
      </c>
      <c r="H1926" s="6" t="str">
        <f>IFERROR(__xludf.DUMMYFUNCTION("IF(REGEXMATCH(LOWER(G1926), ""^(\?)+\s*(missing)?\s*(\?)*$""), """", PROPER(SUBSTITUTE(SUBSTITUTE(G1926, ""?"", """"), ""*"", """")))"),"Wake Up Cockerel Tile Coaster")</f>
        <v>Wake Up Cockerel Tile Coaster</v>
      </c>
      <c r="I1926" s="3">
        <v>12.0</v>
      </c>
      <c r="J1926" s="7">
        <v>40598.60555555556</v>
      </c>
      <c r="K1926" s="8" t="str">
        <f t="shared" si="4"/>
        <v>2011-02</v>
      </c>
      <c r="L1926" s="5">
        <v>1.25</v>
      </c>
      <c r="M1926" s="3">
        <v>16072.0</v>
      </c>
      <c r="N1926" s="1" t="str">
        <f t="shared" si="5"/>
        <v>Registered</v>
      </c>
      <c r="O1926" s="1" t="s">
        <v>19</v>
      </c>
      <c r="P1926" s="9" t="str">
        <f t="shared" si="6"/>
        <v>UK</v>
      </c>
      <c r="Q1926" s="8">
        <f t="shared" si="7"/>
        <v>15</v>
      </c>
    </row>
    <row r="1927">
      <c r="A1927" s="1">
        <v>544911.0</v>
      </c>
      <c r="B1927" s="1" t="str">
        <f t="shared" si="1"/>
        <v>544911</v>
      </c>
      <c r="C1927" s="1" t="str">
        <f t="shared" si="2"/>
        <v>Sale</v>
      </c>
      <c r="D1927" s="1">
        <v>84879.0</v>
      </c>
      <c r="E1927" s="1" t="str">
        <f>IFERROR(__xludf.DUMMYFUNCTION("IF(LEN(D1927)&gt;4, IFERROR(REGEXEXTRACT(TO_TEXT(D1927),""\d+""),""""),"""")"),"84879")</f>
        <v>84879</v>
      </c>
      <c r="F1927" s="6" t="str">
        <f t="shared" si="3"/>
        <v>Product</v>
      </c>
      <c r="G1927" s="1" t="s">
        <v>31</v>
      </c>
      <c r="H1927" s="6" t="str">
        <f>IFERROR(__xludf.DUMMYFUNCTION("IF(REGEXMATCH(LOWER(G1927), ""^(\?)+\s*(missing)?\s*(\?)*$""), """", PROPER(SUBSTITUTE(SUBSTITUTE(G1927, ""?"", """"), ""*"", """")))"),"Assorted Colour Bird Ornament")</f>
        <v>Assorted Colour Bird Ornament</v>
      </c>
      <c r="I1927" s="3">
        <v>8.0</v>
      </c>
      <c r="J1927" s="7">
        <v>40598.62569444445</v>
      </c>
      <c r="K1927" s="8" t="str">
        <f t="shared" si="4"/>
        <v>2011-02</v>
      </c>
      <c r="L1927" s="5">
        <v>1.69</v>
      </c>
      <c r="M1927" s="3">
        <v>16838.0</v>
      </c>
      <c r="N1927" s="1" t="str">
        <f t="shared" si="5"/>
        <v>Registered</v>
      </c>
      <c r="O1927" s="1" t="s">
        <v>19</v>
      </c>
      <c r="P1927" s="9" t="str">
        <f t="shared" si="6"/>
        <v>UK</v>
      </c>
      <c r="Q1927" s="8">
        <f t="shared" si="7"/>
        <v>13.52</v>
      </c>
    </row>
    <row r="1928">
      <c r="A1928" s="1">
        <v>544911.0</v>
      </c>
      <c r="B1928" s="1" t="str">
        <f t="shared" si="1"/>
        <v>544911</v>
      </c>
      <c r="C1928" s="1" t="str">
        <f t="shared" si="2"/>
        <v>Sale</v>
      </c>
      <c r="D1928" s="1">
        <v>22926.0</v>
      </c>
      <c r="E1928" s="1" t="str">
        <f>IFERROR(__xludf.DUMMYFUNCTION("IF(LEN(D1928)&gt;4, IFERROR(REGEXEXTRACT(TO_TEXT(D1928),""\d+""),""""),"""")"),"22926")</f>
        <v>22926</v>
      </c>
      <c r="F1928" s="6" t="str">
        <f t="shared" si="3"/>
        <v>Product</v>
      </c>
      <c r="G1928" s="1" t="s">
        <v>155</v>
      </c>
      <c r="H1928" s="6" t="str">
        <f>IFERROR(__xludf.DUMMYFUNCTION("IF(REGEXMATCH(LOWER(G1928), ""^(\?)+\s*(missing)?\s*(\?)*$""), """", PROPER(SUBSTITUTE(SUBSTITUTE(G1928, ""?"", """"), ""*"", """")))"),"Ivory Giant Garden Thermometer")</f>
        <v>Ivory Giant Garden Thermometer</v>
      </c>
      <c r="I1928" s="3">
        <v>2.0</v>
      </c>
      <c r="J1928" s="7">
        <v>40598.62569444445</v>
      </c>
      <c r="K1928" s="8" t="str">
        <f t="shared" si="4"/>
        <v>2011-02</v>
      </c>
      <c r="L1928" s="5">
        <v>5.95</v>
      </c>
      <c r="M1928" s="3">
        <v>16838.0</v>
      </c>
      <c r="N1928" s="1" t="str">
        <f t="shared" si="5"/>
        <v>Registered</v>
      </c>
      <c r="O1928" s="1" t="s">
        <v>19</v>
      </c>
      <c r="P1928" s="9" t="str">
        <f t="shared" si="6"/>
        <v>UK</v>
      </c>
      <c r="Q1928" s="8">
        <f t="shared" si="7"/>
        <v>11.9</v>
      </c>
    </row>
    <row r="1929">
      <c r="A1929" s="1">
        <v>544911.0</v>
      </c>
      <c r="B1929" s="1" t="str">
        <f t="shared" si="1"/>
        <v>544911</v>
      </c>
      <c r="C1929" s="1" t="str">
        <f t="shared" si="2"/>
        <v>Sale</v>
      </c>
      <c r="D1929" s="1">
        <v>22832.0</v>
      </c>
      <c r="E1929" s="1" t="str">
        <f>IFERROR(__xludf.DUMMYFUNCTION("IF(LEN(D1929)&gt;4, IFERROR(REGEXEXTRACT(TO_TEXT(D1929),""\d+""),""""),"""")"),"22832")</f>
        <v>22832</v>
      </c>
      <c r="F1929" s="6" t="str">
        <f t="shared" si="3"/>
        <v>Product</v>
      </c>
      <c r="G1929" s="1" t="s">
        <v>947</v>
      </c>
      <c r="H1929" s="6" t="str">
        <f>IFERROR(__xludf.DUMMYFUNCTION("IF(REGEXMATCH(LOWER(G1929), ""^(\?)+\s*(missing)?\s*(\?)*$""), """", PROPER(SUBSTITUTE(SUBSTITUTE(G1929, ""?"", """"), ""*"", """")))"),"Brocante Shelf With Hooks")</f>
        <v>Brocante Shelf With Hooks</v>
      </c>
      <c r="I1929" s="3">
        <v>2.0</v>
      </c>
      <c r="J1929" s="7">
        <v>40598.62569444445</v>
      </c>
      <c r="K1929" s="8" t="str">
        <f t="shared" si="4"/>
        <v>2011-02</v>
      </c>
      <c r="L1929" s="5">
        <v>10.75</v>
      </c>
      <c r="M1929" s="3">
        <v>16838.0</v>
      </c>
      <c r="N1929" s="1" t="str">
        <f t="shared" si="5"/>
        <v>Registered</v>
      </c>
      <c r="O1929" s="1" t="s">
        <v>19</v>
      </c>
      <c r="P1929" s="9" t="str">
        <f t="shared" si="6"/>
        <v>UK</v>
      </c>
      <c r="Q1929" s="8">
        <f t="shared" si="7"/>
        <v>21.5</v>
      </c>
    </row>
    <row r="1930">
      <c r="A1930" s="1">
        <v>544911.0</v>
      </c>
      <c r="B1930" s="1" t="str">
        <f t="shared" si="1"/>
        <v>544911</v>
      </c>
      <c r="C1930" s="1" t="str">
        <f t="shared" si="2"/>
        <v>Sale</v>
      </c>
      <c r="D1930" s="1">
        <v>84978.0</v>
      </c>
      <c r="E1930" s="1" t="str">
        <f>IFERROR(__xludf.DUMMYFUNCTION("IF(LEN(D1930)&gt;4, IFERROR(REGEXEXTRACT(TO_TEXT(D1930),""\d+""),""""),"""")"),"84978")</f>
        <v>84978</v>
      </c>
      <c r="F1930" s="6" t="str">
        <f t="shared" si="3"/>
        <v>Product</v>
      </c>
      <c r="G1930" s="1" t="s">
        <v>925</v>
      </c>
      <c r="H1930" s="6" t="str">
        <f>IFERROR(__xludf.DUMMYFUNCTION("IF(REGEXMATCH(LOWER(G1930), ""^(\?)+\s*(missing)?\s*(\?)*$""), """", PROPER(SUBSTITUTE(SUBSTITUTE(G1930, ""?"", """"), ""*"", """")))"),"Hanging Heart Jar T-Light Holder")</f>
        <v>Hanging Heart Jar T-Light Holder</v>
      </c>
      <c r="I1930" s="3">
        <v>12.0</v>
      </c>
      <c r="J1930" s="7">
        <v>40598.62569444445</v>
      </c>
      <c r="K1930" s="8" t="str">
        <f t="shared" si="4"/>
        <v>2011-02</v>
      </c>
      <c r="L1930" s="5">
        <v>1.25</v>
      </c>
      <c r="M1930" s="3">
        <v>16838.0</v>
      </c>
      <c r="N1930" s="1" t="str">
        <f t="shared" si="5"/>
        <v>Registered</v>
      </c>
      <c r="O1930" s="1" t="s">
        <v>19</v>
      </c>
      <c r="P1930" s="9" t="str">
        <f t="shared" si="6"/>
        <v>UK</v>
      </c>
      <c r="Q1930" s="8">
        <f t="shared" si="7"/>
        <v>15</v>
      </c>
    </row>
    <row r="1931">
      <c r="A1931" s="1">
        <v>544911.0</v>
      </c>
      <c r="B1931" s="1" t="str">
        <f t="shared" si="1"/>
        <v>544911</v>
      </c>
      <c r="C1931" s="1" t="str">
        <f t="shared" si="2"/>
        <v>Sale</v>
      </c>
      <c r="D1931" s="1">
        <v>22827.0</v>
      </c>
      <c r="E1931" s="1" t="str">
        <f>IFERROR(__xludf.DUMMYFUNCTION("IF(LEN(D1931)&gt;4, IFERROR(REGEXEXTRACT(TO_TEXT(D1931),""\d+""),""""),"""")"),"22827")</f>
        <v>22827</v>
      </c>
      <c r="F1931" s="6" t="str">
        <f t="shared" si="3"/>
        <v>Product</v>
      </c>
      <c r="G1931" s="1" t="s">
        <v>239</v>
      </c>
      <c r="H1931" s="6" t="str">
        <f>IFERROR(__xludf.DUMMYFUNCTION("IF(REGEXMATCH(LOWER(G1931), ""^(\?)+\s*(missing)?\s*(\?)*$""), """", PROPER(SUBSTITUTE(SUBSTITUTE(G1931, ""?"", """"), ""*"", """")))"),"Rustic Seventeen Drawer Sideboard")</f>
        <v>Rustic Seventeen Drawer Sideboard</v>
      </c>
      <c r="I1931" s="3">
        <v>1.0</v>
      </c>
      <c r="J1931" s="7">
        <v>40598.62569444445</v>
      </c>
      <c r="K1931" s="8" t="str">
        <f t="shared" si="4"/>
        <v>2011-02</v>
      </c>
      <c r="L1931" s="5">
        <v>165.0</v>
      </c>
      <c r="M1931" s="3">
        <v>16838.0</v>
      </c>
      <c r="N1931" s="1" t="str">
        <f t="shared" si="5"/>
        <v>Registered</v>
      </c>
      <c r="O1931" s="1" t="s">
        <v>19</v>
      </c>
      <c r="P1931" s="9" t="str">
        <f t="shared" si="6"/>
        <v>UK</v>
      </c>
      <c r="Q1931" s="8">
        <f t="shared" si="7"/>
        <v>165</v>
      </c>
    </row>
    <row r="1932">
      <c r="A1932" s="1">
        <v>544911.0</v>
      </c>
      <c r="B1932" s="1" t="str">
        <f t="shared" si="1"/>
        <v>544911</v>
      </c>
      <c r="C1932" s="1" t="str">
        <f t="shared" si="2"/>
        <v>Sale</v>
      </c>
      <c r="D1932" s="1">
        <v>84792.0</v>
      </c>
      <c r="E1932" s="1" t="str">
        <f>IFERROR(__xludf.DUMMYFUNCTION("IF(LEN(D1932)&gt;4, IFERROR(REGEXEXTRACT(TO_TEXT(D1932),""\d+""),""""),"""")"),"84792")</f>
        <v>84792</v>
      </c>
      <c r="F1932" s="6" t="str">
        <f t="shared" si="3"/>
        <v>Product</v>
      </c>
      <c r="G1932" s="1" t="s">
        <v>1109</v>
      </c>
      <c r="H1932" s="6" t="str">
        <f>IFERROR(__xludf.DUMMYFUNCTION("IF(REGEXMATCH(LOWER(G1932), ""^(\?)+\s*(missing)?\s*(\?)*$""), """", PROPER(SUBSTITUTE(SUBSTITUTE(G1932, ""?"", """"), ""*"", """")))"),"Enchanted Bird Coathanger 5 Hook")</f>
        <v>Enchanted Bird Coathanger 5 Hook</v>
      </c>
      <c r="I1932" s="3">
        <v>4.0</v>
      </c>
      <c r="J1932" s="7">
        <v>40598.62569444445</v>
      </c>
      <c r="K1932" s="8" t="str">
        <f t="shared" si="4"/>
        <v>2011-02</v>
      </c>
      <c r="L1932" s="5">
        <v>4.65</v>
      </c>
      <c r="M1932" s="3">
        <v>16838.0</v>
      </c>
      <c r="N1932" s="1" t="str">
        <f t="shared" si="5"/>
        <v>Registered</v>
      </c>
      <c r="O1932" s="1" t="s">
        <v>19</v>
      </c>
      <c r="P1932" s="9" t="str">
        <f t="shared" si="6"/>
        <v>UK</v>
      </c>
      <c r="Q1932" s="8">
        <f t="shared" si="7"/>
        <v>18.6</v>
      </c>
    </row>
    <row r="1933">
      <c r="A1933" s="1">
        <v>544911.0</v>
      </c>
      <c r="B1933" s="1" t="str">
        <f t="shared" si="1"/>
        <v>544911</v>
      </c>
      <c r="C1933" s="1" t="str">
        <f t="shared" si="2"/>
        <v>Sale</v>
      </c>
      <c r="D1933" s="1">
        <v>22798.0</v>
      </c>
      <c r="E1933" s="1" t="str">
        <f>IFERROR(__xludf.DUMMYFUNCTION("IF(LEN(D1933)&gt;4, IFERROR(REGEXEXTRACT(TO_TEXT(D1933),""\d+""),""""),"""")"),"22798")</f>
        <v>22798</v>
      </c>
      <c r="F1933" s="6" t="str">
        <f t="shared" si="3"/>
        <v>Product</v>
      </c>
      <c r="G1933" s="1" t="s">
        <v>154</v>
      </c>
      <c r="H1933" s="6" t="str">
        <f>IFERROR(__xludf.DUMMYFUNCTION("IF(REGEXMATCH(LOWER(G1933), ""^(\?)+\s*(missing)?\s*(\?)*$""), """", PROPER(SUBSTITUTE(SUBSTITUTE(G1933, ""?"", """"), ""*"", """")))"),"Antique Glass Dressing Table Pot")</f>
        <v>Antique Glass Dressing Table Pot</v>
      </c>
      <c r="I1933" s="3">
        <v>8.0</v>
      </c>
      <c r="J1933" s="7">
        <v>40598.62569444445</v>
      </c>
      <c r="K1933" s="8" t="str">
        <f t="shared" si="4"/>
        <v>2011-02</v>
      </c>
      <c r="L1933" s="5">
        <v>2.95</v>
      </c>
      <c r="M1933" s="3">
        <v>16838.0</v>
      </c>
      <c r="N1933" s="1" t="str">
        <f t="shared" si="5"/>
        <v>Registered</v>
      </c>
      <c r="O1933" s="1" t="s">
        <v>19</v>
      </c>
      <c r="P1933" s="9" t="str">
        <f t="shared" si="6"/>
        <v>UK</v>
      </c>
      <c r="Q1933" s="8">
        <f t="shared" si="7"/>
        <v>23.6</v>
      </c>
    </row>
    <row r="1934">
      <c r="A1934" s="1">
        <v>544911.0</v>
      </c>
      <c r="B1934" s="1" t="str">
        <f t="shared" si="1"/>
        <v>544911</v>
      </c>
      <c r="C1934" s="1" t="str">
        <f t="shared" si="2"/>
        <v>Sale</v>
      </c>
      <c r="D1934" s="1">
        <v>22791.0</v>
      </c>
      <c r="E1934" s="1" t="str">
        <f>IFERROR(__xludf.DUMMYFUNCTION("IF(LEN(D1934)&gt;4, IFERROR(REGEXEXTRACT(TO_TEXT(D1934),""\d+""),""""),"""")"),"22791")</f>
        <v>22791</v>
      </c>
      <c r="F1934" s="6" t="str">
        <f t="shared" si="3"/>
        <v>Product</v>
      </c>
      <c r="G1934" s="1" t="s">
        <v>1110</v>
      </c>
      <c r="H1934" s="6" t="str">
        <f>IFERROR(__xludf.DUMMYFUNCTION("IF(REGEXMATCH(LOWER(G1934), ""^(\?)+\s*(missing)?\s*(\?)*$""), """", PROPER(SUBSTITUTE(SUBSTITUTE(G1934, ""?"", """"), ""*"", """")))"),"T-Light Glass Fluted Antique")</f>
        <v>T-Light Glass Fluted Antique</v>
      </c>
      <c r="I1934" s="3">
        <v>12.0</v>
      </c>
      <c r="J1934" s="7">
        <v>40598.62569444445</v>
      </c>
      <c r="K1934" s="8" t="str">
        <f t="shared" si="4"/>
        <v>2011-02</v>
      </c>
      <c r="L1934" s="5">
        <v>1.25</v>
      </c>
      <c r="M1934" s="3">
        <v>16838.0</v>
      </c>
      <c r="N1934" s="1" t="str">
        <f t="shared" si="5"/>
        <v>Registered</v>
      </c>
      <c r="O1934" s="1" t="s">
        <v>19</v>
      </c>
      <c r="P1934" s="9" t="str">
        <f t="shared" si="6"/>
        <v>UK</v>
      </c>
      <c r="Q1934" s="8">
        <f t="shared" si="7"/>
        <v>15</v>
      </c>
    </row>
    <row r="1935">
      <c r="A1935" s="1">
        <v>544911.0</v>
      </c>
      <c r="B1935" s="1" t="str">
        <f t="shared" si="1"/>
        <v>544911</v>
      </c>
      <c r="C1935" s="1" t="str">
        <f t="shared" si="2"/>
        <v>Sale</v>
      </c>
      <c r="D1935" s="1">
        <v>22800.0</v>
      </c>
      <c r="E1935" s="1" t="str">
        <f>IFERROR(__xludf.DUMMYFUNCTION("IF(LEN(D1935)&gt;4, IFERROR(REGEXEXTRACT(TO_TEXT(D1935),""\d+""),""""),"""")"),"22800")</f>
        <v>22800</v>
      </c>
      <c r="F1935" s="6" t="str">
        <f t="shared" si="3"/>
        <v>Product</v>
      </c>
      <c r="G1935" s="1" t="s">
        <v>1111</v>
      </c>
      <c r="H1935" s="6" t="str">
        <f>IFERROR(__xludf.DUMMYFUNCTION("IF(REGEXMATCH(LOWER(G1935), ""^(\?)+\s*(missing)?\s*(\?)*$""), """", PROPER(SUBSTITUTE(SUBSTITUTE(G1935, ""?"", """"), ""*"", """")))"),"Antique Tall Swirlglass Trinket Pot")</f>
        <v>Antique Tall Swirlglass Trinket Pot</v>
      </c>
      <c r="I1935" s="3">
        <v>4.0</v>
      </c>
      <c r="J1935" s="7">
        <v>40598.62569444445</v>
      </c>
      <c r="K1935" s="8" t="str">
        <f t="shared" si="4"/>
        <v>2011-02</v>
      </c>
      <c r="L1935" s="5">
        <v>3.75</v>
      </c>
      <c r="M1935" s="3">
        <v>16838.0</v>
      </c>
      <c r="N1935" s="1" t="str">
        <f t="shared" si="5"/>
        <v>Registered</v>
      </c>
      <c r="O1935" s="1" t="s">
        <v>19</v>
      </c>
      <c r="P1935" s="9" t="str">
        <f t="shared" si="6"/>
        <v>UK</v>
      </c>
      <c r="Q1935" s="8">
        <f t="shared" si="7"/>
        <v>15</v>
      </c>
    </row>
    <row r="1936">
      <c r="A1936" s="1">
        <v>544911.0</v>
      </c>
      <c r="B1936" s="1" t="str">
        <f t="shared" si="1"/>
        <v>544911</v>
      </c>
      <c r="C1936" s="1" t="str">
        <f t="shared" si="2"/>
        <v>Sale</v>
      </c>
      <c r="D1936" s="1">
        <v>22801.0</v>
      </c>
      <c r="E1936" s="1" t="str">
        <f>IFERROR(__xludf.DUMMYFUNCTION("IF(LEN(D1936)&gt;4, IFERROR(REGEXEXTRACT(TO_TEXT(D1936),""\d+""),""""),"""")"),"22801")</f>
        <v>22801</v>
      </c>
      <c r="F1936" s="6" t="str">
        <f t="shared" si="3"/>
        <v>Product</v>
      </c>
      <c r="G1936" s="1" t="s">
        <v>1112</v>
      </c>
      <c r="H1936" s="6" t="str">
        <f>IFERROR(__xludf.DUMMYFUNCTION("IF(REGEXMATCH(LOWER(G1936), ""^(\?)+\s*(missing)?\s*(\?)*$""), """", PROPER(SUBSTITUTE(SUBSTITUTE(G1936, ""?"", """"), ""*"", """")))"),"Antique Glass Pedestal Bowl")</f>
        <v>Antique Glass Pedestal Bowl</v>
      </c>
      <c r="I1936" s="3">
        <v>4.0</v>
      </c>
      <c r="J1936" s="7">
        <v>40598.62569444445</v>
      </c>
      <c r="K1936" s="8" t="str">
        <f t="shared" si="4"/>
        <v>2011-02</v>
      </c>
      <c r="L1936" s="5">
        <v>3.75</v>
      </c>
      <c r="M1936" s="3">
        <v>16838.0</v>
      </c>
      <c r="N1936" s="1" t="str">
        <f t="shared" si="5"/>
        <v>Registered</v>
      </c>
      <c r="O1936" s="1" t="s">
        <v>19</v>
      </c>
      <c r="P1936" s="9" t="str">
        <f t="shared" si="6"/>
        <v>UK</v>
      </c>
      <c r="Q1936" s="8">
        <f t="shared" si="7"/>
        <v>15</v>
      </c>
    </row>
    <row r="1937">
      <c r="A1937" s="1">
        <v>544911.0</v>
      </c>
      <c r="B1937" s="1" t="str">
        <f t="shared" si="1"/>
        <v>544911</v>
      </c>
      <c r="C1937" s="1" t="str">
        <f t="shared" si="2"/>
        <v>Sale</v>
      </c>
      <c r="D1937" s="1" t="s">
        <v>201</v>
      </c>
      <c r="E1937" s="1" t="str">
        <f>IFERROR(__xludf.DUMMYFUNCTION("IF(LEN(D1937)&gt;4, IFERROR(REGEXEXTRACT(TO_TEXT(D1937),""\d+""),""""),"""")"),"85014")</f>
        <v>85014</v>
      </c>
      <c r="F1937" s="6" t="str">
        <f t="shared" si="3"/>
        <v>Product</v>
      </c>
      <c r="G1937" s="1" t="s">
        <v>202</v>
      </c>
      <c r="H1937" s="6" t="str">
        <f>IFERROR(__xludf.DUMMYFUNCTION("IF(REGEXMATCH(LOWER(G1937), ""^(\?)+\s*(missing)?\s*(\?)*$""), """", PROPER(SUBSTITUTE(SUBSTITUTE(G1937, ""?"", """"), ""*"", """")))"),"Red Retrospot Umbrella")</f>
        <v>Red Retrospot Umbrella</v>
      </c>
      <c r="I1937" s="3">
        <v>3.0</v>
      </c>
      <c r="J1937" s="7">
        <v>40598.62569444445</v>
      </c>
      <c r="K1937" s="8" t="str">
        <f t="shared" si="4"/>
        <v>2011-02</v>
      </c>
      <c r="L1937" s="5">
        <v>5.95</v>
      </c>
      <c r="M1937" s="3">
        <v>16838.0</v>
      </c>
      <c r="N1937" s="1" t="str">
        <f t="shared" si="5"/>
        <v>Registered</v>
      </c>
      <c r="O1937" s="1" t="s">
        <v>19</v>
      </c>
      <c r="P1937" s="9" t="str">
        <f t="shared" si="6"/>
        <v>UK</v>
      </c>
      <c r="Q1937" s="8">
        <f t="shared" si="7"/>
        <v>17.85</v>
      </c>
    </row>
    <row r="1938">
      <c r="A1938" s="1">
        <v>544911.0</v>
      </c>
      <c r="B1938" s="1" t="str">
        <f t="shared" si="1"/>
        <v>544911</v>
      </c>
      <c r="C1938" s="1" t="str">
        <f t="shared" si="2"/>
        <v>Sale</v>
      </c>
      <c r="D1938" s="1" t="s">
        <v>203</v>
      </c>
      <c r="E1938" s="1" t="str">
        <f>IFERROR(__xludf.DUMMYFUNCTION("IF(LEN(D1938)&gt;4, IFERROR(REGEXEXTRACT(TO_TEXT(D1938),""\d+""),""""),"""")"),"85014")</f>
        <v>85014</v>
      </c>
      <c r="F1938" s="6" t="str">
        <f t="shared" si="3"/>
        <v>Product</v>
      </c>
      <c r="G1938" s="1" t="s">
        <v>204</v>
      </c>
      <c r="H1938" s="6" t="str">
        <f>IFERROR(__xludf.DUMMYFUNCTION("IF(REGEXMATCH(LOWER(G1938), ""^(\?)+\s*(missing)?\s*(\?)*$""), """", PROPER(SUBSTITUTE(SUBSTITUTE(G1938, ""?"", """"), ""*"", """")))"),"Black/Blue Polkadot Umbrella")</f>
        <v>Black/Blue Polkadot Umbrella</v>
      </c>
      <c r="I1938" s="3">
        <v>3.0</v>
      </c>
      <c r="J1938" s="7">
        <v>40598.62569444445</v>
      </c>
      <c r="K1938" s="8" t="str">
        <f t="shared" si="4"/>
        <v>2011-02</v>
      </c>
      <c r="L1938" s="5">
        <v>5.95</v>
      </c>
      <c r="M1938" s="3">
        <v>16838.0</v>
      </c>
      <c r="N1938" s="1" t="str">
        <f t="shared" si="5"/>
        <v>Registered</v>
      </c>
      <c r="O1938" s="1" t="s">
        <v>19</v>
      </c>
      <c r="P1938" s="9" t="str">
        <f t="shared" si="6"/>
        <v>UK</v>
      </c>
      <c r="Q1938" s="8">
        <f t="shared" si="7"/>
        <v>17.85</v>
      </c>
    </row>
    <row r="1939">
      <c r="A1939" s="1">
        <v>544911.0</v>
      </c>
      <c r="B1939" s="1" t="str">
        <f t="shared" si="1"/>
        <v>544911</v>
      </c>
      <c r="C1939" s="1" t="str">
        <f t="shared" si="2"/>
        <v>Sale</v>
      </c>
      <c r="D1939" s="1" t="s">
        <v>937</v>
      </c>
      <c r="E1939" s="1" t="str">
        <f>IFERROR(__xludf.DUMMYFUNCTION("IF(LEN(D1939)&gt;4, IFERROR(REGEXEXTRACT(TO_TEXT(D1939),""\d+""),""""),"""")"),"75049")</f>
        <v>75049</v>
      </c>
      <c r="F1939" s="6" t="str">
        <f t="shared" si="3"/>
        <v>Product</v>
      </c>
      <c r="G1939" s="1" t="s">
        <v>938</v>
      </c>
      <c r="H1939" s="6" t="str">
        <f>IFERROR(__xludf.DUMMYFUNCTION("IF(REGEXMATCH(LOWER(G1939), ""^(\?)+\s*(missing)?\s*(\?)*$""), """", PROPER(SUBSTITUTE(SUBSTITUTE(G1939, ""?"", """"), ""*"", """")))"),"Large Circular Mirror Mobile")</f>
        <v>Large Circular Mirror Mobile</v>
      </c>
      <c r="I1939" s="3">
        <v>18.0</v>
      </c>
      <c r="J1939" s="7">
        <v>40598.62569444445</v>
      </c>
      <c r="K1939" s="8" t="str">
        <f t="shared" si="4"/>
        <v>2011-02</v>
      </c>
      <c r="L1939" s="5">
        <v>1.25</v>
      </c>
      <c r="M1939" s="3">
        <v>16838.0</v>
      </c>
      <c r="N1939" s="1" t="str">
        <f t="shared" si="5"/>
        <v>Registered</v>
      </c>
      <c r="O1939" s="1" t="s">
        <v>19</v>
      </c>
      <c r="P1939" s="9" t="str">
        <f t="shared" si="6"/>
        <v>UK</v>
      </c>
      <c r="Q1939" s="8">
        <f t="shared" si="7"/>
        <v>22.5</v>
      </c>
    </row>
    <row r="1940">
      <c r="A1940" s="1">
        <v>544911.0</v>
      </c>
      <c r="B1940" s="1" t="str">
        <f t="shared" si="1"/>
        <v>544911</v>
      </c>
      <c r="C1940" s="1" t="str">
        <f t="shared" si="2"/>
        <v>Sale</v>
      </c>
      <c r="D1940" s="1">
        <v>84949.0</v>
      </c>
      <c r="E1940" s="1" t="str">
        <f>IFERROR(__xludf.DUMMYFUNCTION("IF(LEN(D1940)&gt;4, IFERROR(REGEXEXTRACT(TO_TEXT(D1940),""\d+""),""""),"""")"),"84949")</f>
        <v>84949</v>
      </c>
      <c r="F1940" s="6" t="str">
        <f t="shared" si="3"/>
        <v>Product</v>
      </c>
      <c r="G1940" s="1" t="s">
        <v>373</v>
      </c>
      <c r="H1940" s="6" t="str">
        <f>IFERROR(__xludf.DUMMYFUNCTION("IF(REGEXMATCH(LOWER(G1940), ""^(\?)+\s*(missing)?\s*(\?)*$""), """", PROPER(SUBSTITUTE(SUBSTITUTE(G1940, ""?"", """"), ""*"", """")))"),"Silver Hanging T-Light Holder")</f>
        <v>Silver Hanging T-Light Holder</v>
      </c>
      <c r="I1940" s="3">
        <v>12.0</v>
      </c>
      <c r="J1940" s="7">
        <v>40598.62569444445</v>
      </c>
      <c r="K1940" s="8" t="str">
        <f t="shared" si="4"/>
        <v>2011-02</v>
      </c>
      <c r="L1940" s="5">
        <v>1.65</v>
      </c>
      <c r="M1940" s="3">
        <v>16838.0</v>
      </c>
      <c r="N1940" s="1" t="str">
        <f t="shared" si="5"/>
        <v>Registered</v>
      </c>
      <c r="O1940" s="1" t="s">
        <v>19</v>
      </c>
      <c r="P1940" s="9" t="str">
        <f t="shared" si="6"/>
        <v>UK</v>
      </c>
      <c r="Q1940" s="8">
        <f t="shared" si="7"/>
        <v>19.8</v>
      </c>
    </row>
    <row r="1941">
      <c r="A1941" s="1">
        <v>544912.0</v>
      </c>
      <c r="B1941" s="1" t="str">
        <f t="shared" si="1"/>
        <v>544912</v>
      </c>
      <c r="C1941" s="1" t="str">
        <f t="shared" si="2"/>
        <v>Sale</v>
      </c>
      <c r="D1941" s="1">
        <v>22178.0</v>
      </c>
      <c r="E1941" s="1" t="str">
        <f>IFERROR(__xludf.DUMMYFUNCTION("IF(LEN(D1941)&gt;4, IFERROR(REGEXEXTRACT(TO_TEXT(D1941),""\d+""),""""),"""")"),"22178")</f>
        <v>22178</v>
      </c>
      <c r="F1941" s="6" t="str">
        <f t="shared" si="3"/>
        <v>Product</v>
      </c>
      <c r="G1941" s="1" t="s">
        <v>369</v>
      </c>
      <c r="H1941" s="6" t="str">
        <f>IFERROR(__xludf.DUMMYFUNCTION("IF(REGEXMATCH(LOWER(G1941), ""^(\?)+\s*(missing)?\s*(\?)*$""), """", PROPER(SUBSTITUTE(SUBSTITUTE(G1941, ""?"", """"), ""*"", """")))"),"Victorian Glass Hanging T-Light")</f>
        <v>Victorian Glass Hanging T-Light</v>
      </c>
      <c r="I1941" s="3">
        <v>192.0</v>
      </c>
      <c r="J1941" s="7">
        <v>40598.63333333333</v>
      </c>
      <c r="K1941" s="8" t="str">
        <f t="shared" si="4"/>
        <v>2011-02</v>
      </c>
      <c r="L1941" s="5">
        <v>1.06</v>
      </c>
      <c r="M1941" s="3">
        <v>18198.0</v>
      </c>
      <c r="N1941" s="1" t="str">
        <f t="shared" si="5"/>
        <v>Registered</v>
      </c>
      <c r="O1941" s="1" t="s">
        <v>19</v>
      </c>
      <c r="P1941" s="9" t="str">
        <f t="shared" si="6"/>
        <v>UK</v>
      </c>
      <c r="Q1941" s="8">
        <f t="shared" si="7"/>
        <v>203.52</v>
      </c>
    </row>
    <row r="1942">
      <c r="A1942" s="1">
        <v>544912.0</v>
      </c>
      <c r="B1942" s="1" t="str">
        <f t="shared" si="1"/>
        <v>544912</v>
      </c>
      <c r="C1942" s="1" t="str">
        <f t="shared" si="2"/>
        <v>Sale</v>
      </c>
      <c r="D1942" s="1">
        <v>84755.0</v>
      </c>
      <c r="E1942" s="1" t="str">
        <f>IFERROR(__xludf.DUMMYFUNCTION("IF(LEN(D1942)&gt;4, IFERROR(REGEXEXTRACT(TO_TEXT(D1942),""\d+""),""""),"""")"),"84755")</f>
        <v>84755</v>
      </c>
      <c r="F1942" s="6" t="str">
        <f t="shared" si="3"/>
        <v>Product</v>
      </c>
      <c r="G1942" s="1" t="s">
        <v>163</v>
      </c>
      <c r="H1942" s="6" t="str">
        <f>IFERROR(__xludf.DUMMYFUNCTION("IF(REGEXMATCH(LOWER(G1942), ""^(\?)+\s*(missing)?\s*(\?)*$""), """", PROPER(SUBSTITUTE(SUBSTITUTE(G1942, ""?"", """"), ""*"", """")))"),"Colour Glass T-Light Holder Hanging")</f>
        <v>Colour Glass T-Light Holder Hanging</v>
      </c>
      <c r="I1942" s="3">
        <v>16.0</v>
      </c>
      <c r="J1942" s="7">
        <v>40598.63333333333</v>
      </c>
      <c r="K1942" s="8" t="str">
        <f t="shared" si="4"/>
        <v>2011-02</v>
      </c>
      <c r="L1942" s="5">
        <v>0.65</v>
      </c>
      <c r="M1942" s="3">
        <v>18198.0</v>
      </c>
      <c r="N1942" s="1" t="str">
        <f t="shared" si="5"/>
        <v>Registered</v>
      </c>
      <c r="O1942" s="1" t="s">
        <v>19</v>
      </c>
      <c r="P1942" s="9" t="str">
        <f t="shared" si="6"/>
        <v>UK</v>
      </c>
      <c r="Q1942" s="8">
        <f t="shared" si="7"/>
        <v>10.4</v>
      </c>
    </row>
    <row r="1943">
      <c r="A1943" s="1">
        <v>544912.0</v>
      </c>
      <c r="B1943" s="1" t="str">
        <f t="shared" si="1"/>
        <v>544912</v>
      </c>
      <c r="C1943" s="1" t="str">
        <f t="shared" si="2"/>
        <v>Sale</v>
      </c>
      <c r="D1943" s="1">
        <v>22332.0</v>
      </c>
      <c r="E1943" s="1" t="str">
        <f>IFERROR(__xludf.DUMMYFUNCTION("IF(LEN(D1943)&gt;4, IFERROR(REGEXEXTRACT(TO_TEXT(D1943),""\d+""),""""),"""")"),"22332")</f>
        <v>22332</v>
      </c>
      <c r="F1943" s="6" t="str">
        <f t="shared" si="3"/>
        <v>Product</v>
      </c>
      <c r="G1943" s="1" t="s">
        <v>1012</v>
      </c>
      <c r="H1943" s="6" t="str">
        <f>IFERROR(__xludf.DUMMYFUNCTION("IF(REGEXMATCH(LOWER(G1943), ""^(\?)+\s*(missing)?\s*(\?)*$""), """", PROPER(SUBSTITUTE(SUBSTITUTE(G1943, ""?"", """"), ""*"", """")))"),"Skulls Party Bag + Sticker Set")</f>
        <v>Skulls Party Bag + Sticker Set</v>
      </c>
      <c r="I1943" s="3">
        <v>8.0</v>
      </c>
      <c r="J1943" s="7">
        <v>40598.63333333333</v>
      </c>
      <c r="K1943" s="8" t="str">
        <f t="shared" si="4"/>
        <v>2011-02</v>
      </c>
      <c r="L1943" s="5">
        <v>1.65</v>
      </c>
      <c r="M1943" s="3">
        <v>18198.0</v>
      </c>
      <c r="N1943" s="1" t="str">
        <f t="shared" si="5"/>
        <v>Registered</v>
      </c>
      <c r="O1943" s="1" t="s">
        <v>19</v>
      </c>
      <c r="P1943" s="9" t="str">
        <f t="shared" si="6"/>
        <v>UK</v>
      </c>
      <c r="Q1943" s="8">
        <f t="shared" si="7"/>
        <v>13.2</v>
      </c>
    </row>
    <row r="1944">
      <c r="A1944" s="1">
        <v>544912.0</v>
      </c>
      <c r="B1944" s="1" t="str">
        <f t="shared" si="1"/>
        <v>544912</v>
      </c>
      <c r="C1944" s="1" t="str">
        <f t="shared" si="2"/>
        <v>Sale</v>
      </c>
      <c r="D1944" s="1">
        <v>21213.0</v>
      </c>
      <c r="E1944" s="1" t="str">
        <f>IFERROR(__xludf.DUMMYFUNCTION("IF(LEN(D1944)&gt;4, IFERROR(REGEXEXTRACT(TO_TEXT(D1944),""\d+""),""""),"""")"),"21213")</f>
        <v>21213</v>
      </c>
      <c r="F1944" s="6" t="str">
        <f t="shared" si="3"/>
        <v>Product</v>
      </c>
      <c r="G1944" s="1" t="s">
        <v>352</v>
      </c>
      <c r="H1944" s="6" t="str">
        <f>IFERROR(__xludf.DUMMYFUNCTION("IF(REGEXMATCH(LOWER(G1944), ""^(\?)+\s*(missing)?\s*(\?)*$""), """", PROPER(SUBSTITUTE(SUBSTITUTE(G1944, ""?"", """"), ""*"", """")))"),"Pack Of 72 Skull Cake Cases")</f>
        <v>Pack Of 72 Skull Cake Cases</v>
      </c>
      <c r="I1944" s="3">
        <v>24.0</v>
      </c>
      <c r="J1944" s="7">
        <v>40598.63333333333</v>
      </c>
      <c r="K1944" s="8" t="str">
        <f t="shared" si="4"/>
        <v>2011-02</v>
      </c>
      <c r="L1944" s="5">
        <v>0.55</v>
      </c>
      <c r="M1944" s="3">
        <v>18198.0</v>
      </c>
      <c r="N1944" s="1" t="str">
        <f t="shared" si="5"/>
        <v>Registered</v>
      </c>
      <c r="O1944" s="1" t="s">
        <v>19</v>
      </c>
      <c r="P1944" s="9" t="str">
        <f t="shared" si="6"/>
        <v>UK</v>
      </c>
      <c r="Q1944" s="8">
        <f t="shared" si="7"/>
        <v>13.2</v>
      </c>
    </row>
    <row r="1945">
      <c r="A1945" s="1">
        <v>544912.0</v>
      </c>
      <c r="B1945" s="1" t="str">
        <f t="shared" si="1"/>
        <v>544912</v>
      </c>
      <c r="C1945" s="1" t="str">
        <f t="shared" si="2"/>
        <v>Sale</v>
      </c>
      <c r="D1945" s="1">
        <v>21988.0</v>
      </c>
      <c r="E1945" s="1" t="str">
        <f>IFERROR(__xludf.DUMMYFUNCTION("IF(LEN(D1945)&gt;4, IFERROR(REGEXEXTRACT(TO_TEXT(D1945),""\d+""),""""),"""")"),"21988")</f>
        <v>21988</v>
      </c>
      <c r="F1945" s="6" t="str">
        <f t="shared" si="3"/>
        <v>Product</v>
      </c>
      <c r="G1945" s="1" t="s">
        <v>972</v>
      </c>
      <c r="H1945" s="6" t="str">
        <f>IFERROR(__xludf.DUMMYFUNCTION("IF(REGEXMATCH(LOWER(G1945), ""^(\?)+\s*(missing)?\s*(\?)*$""), """", PROPER(SUBSTITUTE(SUBSTITUTE(G1945, ""?"", """"), ""*"", """")))"),"Pack Of 6 Skull Paper Plates")</f>
        <v>Pack Of 6 Skull Paper Plates</v>
      </c>
      <c r="I1945" s="3">
        <v>12.0</v>
      </c>
      <c r="J1945" s="7">
        <v>40598.63333333333</v>
      </c>
      <c r="K1945" s="8" t="str">
        <f t="shared" si="4"/>
        <v>2011-02</v>
      </c>
      <c r="L1945" s="5">
        <v>0.85</v>
      </c>
      <c r="M1945" s="3">
        <v>18198.0</v>
      </c>
      <c r="N1945" s="1" t="str">
        <f t="shared" si="5"/>
        <v>Registered</v>
      </c>
      <c r="O1945" s="1" t="s">
        <v>19</v>
      </c>
      <c r="P1945" s="9" t="str">
        <f t="shared" si="6"/>
        <v>UK</v>
      </c>
      <c r="Q1945" s="8">
        <f t="shared" si="7"/>
        <v>10.2</v>
      </c>
    </row>
    <row r="1946">
      <c r="A1946" s="1">
        <v>544912.0</v>
      </c>
      <c r="B1946" s="1" t="str">
        <f t="shared" si="1"/>
        <v>544912</v>
      </c>
      <c r="C1946" s="1" t="str">
        <f t="shared" si="2"/>
        <v>Sale</v>
      </c>
      <c r="D1946" s="1">
        <v>21989.0</v>
      </c>
      <c r="E1946" s="1" t="str">
        <f>IFERROR(__xludf.DUMMYFUNCTION("IF(LEN(D1946)&gt;4, IFERROR(REGEXEXTRACT(TO_TEXT(D1946),""\d+""),""""),"""")"),"21989")</f>
        <v>21989</v>
      </c>
      <c r="F1946" s="6" t="str">
        <f t="shared" si="3"/>
        <v>Product</v>
      </c>
      <c r="G1946" s="1" t="s">
        <v>1113</v>
      </c>
      <c r="H1946" s="6" t="str">
        <f>IFERROR(__xludf.DUMMYFUNCTION("IF(REGEXMATCH(LOWER(G1946), ""^(\?)+\s*(missing)?\s*(\?)*$""), """", PROPER(SUBSTITUTE(SUBSTITUTE(G1946, ""?"", """"), ""*"", """")))"),"Pack Of 20 Skull Paper Napkins")</f>
        <v>Pack Of 20 Skull Paper Napkins</v>
      </c>
      <c r="I1946" s="3">
        <v>12.0</v>
      </c>
      <c r="J1946" s="7">
        <v>40598.63333333333</v>
      </c>
      <c r="K1946" s="8" t="str">
        <f t="shared" si="4"/>
        <v>2011-02</v>
      </c>
      <c r="L1946" s="5">
        <v>0.85</v>
      </c>
      <c r="M1946" s="3">
        <v>18198.0</v>
      </c>
      <c r="N1946" s="1" t="str">
        <f t="shared" si="5"/>
        <v>Registered</v>
      </c>
      <c r="O1946" s="1" t="s">
        <v>19</v>
      </c>
      <c r="P1946" s="9" t="str">
        <f t="shared" si="6"/>
        <v>UK</v>
      </c>
      <c r="Q1946" s="8">
        <f t="shared" si="7"/>
        <v>10.2</v>
      </c>
    </row>
    <row r="1947">
      <c r="A1947" s="1">
        <v>544912.0</v>
      </c>
      <c r="B1947" s="1" t="str">
        <f t="shared" si="1"/>
        <v>544912</v>
      </c>
      <c r="C1947" s="1" t="str">
        <f t="shared" si="2"/>
        <v>Sale</v>
      </c>
      <c r="D1947" s="1">
        <v>21987.0</v>
      </c>
      <c r="E1947" s="1" t="str">
        <f>IFERROR(__xludf.DUMMYFUNCTION("IF(LEN(D1947)&gt;4, IFERROR(REGEXEXTRACT(TO_TEXT(D1947),""\d+""),""""),"""")"),"21987")</f>
        <v>21987</v>
      </c>
      <c r="F1947" s="6" t="str">
        <f t="shared" si="3"/>
        <v>Product</v>
      </c>
      <c r="G1947" s="1" t="s">
        <v>976</v>
      </c>
      <c r="H1947" s="6" t="str">
        <f>IFERROR(__xludf.DUMMYFUNCTION("IF(REGEXMATCH(LOWER(G1947), ""^(\?)+\s*(missing)?\s*(\?)*$""), """", PROPER(SUBSTITUTE(SUBSTITUTE(G1947, ""?"", """"), ""*"", """")))"),"Pack Of 6 Skull Paper Cups")</f>
        <v>Pack Of 6 Skull Paper Cups</v>
      </c>
      <c r="I1947" s="3">
        <v>12.0</v>
      </c>
      <c r="J1947" s="7">
        <v>40598.63333333333</v>
      </c>
      <c r="K1947" s="8" t="str">
        <f t="shared" si="4"/>
        <v>2011-02</v>
      </c>
      <c r="L1947" s="5">
        <v>0.65</v>
      </c>
      <c r="M1947" s="3">
        <v>18198.0</v>
      </c>
      <c r="N1947" s="1" t="str">
        <f t="shared" si="5"/>
        <v>Registered</v>
      </c>
      <c r="O1947" s="1" t="s">
        <v>19</v>
      </c>
      <c r="P1947" s="9" t="str">
        <f t="shared" si="6"/>
        <v>UK</v>
      </c>
      <c r="Q1947" s="8">
        <f t="shared" si="7"/>
        <v>7.8</v>
      </c>
    </row>
    <row r="1948">
      <c r="A1948" s="1">
        <v>544912.0</v>
      </c>
      <c r="B1948" s="1" t="str">
        <f t="shared" si="1"/>
        <v>544912</v>
      </c>
      <c r="C1948" s="1" t="str">
        <f t="shared" si="2"/>
        <v>Sale</v>
      </c>
      <c r="D1948" s="1">
        <v>22437.0</v>
      </c>
      <c r="E1948" s="1" t="str">
        <f>IFERROR(__xludf.DUMMYFUNCTION("IF(LEN(D1948)&gt;4, IFERROR(REGEXEXTRACT(TO_TEXT(D1948),""\d+""),""""),"""")"),"22437")</f>
        <v>22437</v>
      </c>
      <c r="F1948" s="6" t="str">
        <f t="shared" si="3"/>
        <v>Product</v>
      </c>
      <c r="G1948" s="1" t="s">
        <v>1114</v>
      </c>
      <c r="H1948" s="6" t="str">
        <f>IFERROR(__xludf.DUMMYFUNCTION("IF(REGEXMATCH(LOWER(G1948), ""^(\?)+\s*(missing)?\s*(\?)*$""), """", PROPER(SUBSTITUTE(SUBSTITUTE(G1948, ""?"", """"), ""*"", """")))"),"Set Of 9 Black Skull Balloons")</f>
        <v>Set Of 9 Black Skull Balloons</v>
      </c>
      <c r="I1948" s="3">
        <v>20.0</v>
      </c>
      <c r="J1948" s="7">
        <v>40598.63333333333</v>
      </c>
      <c r="K1948" s="8" t="str">
        <f t="shared" si="4"/>
        <v>2011-02</v>
      </c>
      <c r="L1948" s="5">
        <v>0.85</v>
      </c>
      <c r="M1948" s="3">
        <v>18198.0</v>
      </c>
      <c r="N1948" s="1" t="str">
        <f t="shared" si="5"/>
        <v>Registered</v>
      </c>
      <c r="O1948" s="1" t="s">
        <v>19</v>
      </c>
      <c r="P1948" s="9" t="str">
        <f t="shared" si="6"/>
        <v>UK</v>
      </c>
      <c r="Q1948" s="8">
        <f t="shared" si="7"/>
        <v>17</v>
      </c>
    </row>
    <row r="1949">
      <c r="A1949" s="1">
        <v>544912.0</v>
      </c>
      <c r="B1949" s="1" t="str">
        <f t="shared" si="1"/>
        <v>544912</v>
      </c>
      <c r="C1949" s="1" t="str">
        <f t="shared" si="2"/>
        <v>Sale</v>
      </c>
      <c r="D1949" s="1">
        <v>22087.0</v>
      </c>
      <c r="E1949" s="1" t="str">
        <f>IFERROR(__xludf.DUMMYFUNCTION("IF(LEN(D1949)&gt;4, IFERROR(REGEXEXTRACT(TO_TEXT(D1949),""\d+""),""""),"""")"),"22087")</f>
        <v>22087</v>
      </c>
      <c r="F1949" s="6" t="str">
        <f t="shared" si="3"/>
        <v>Product</v>
      </c>
      <c r="G1949" s="1" t="s">
        <v>626</v>
      </c>
      <c r="H1949" s="6" t="str">
        <f>IFERROR(__xludf.DUMMYFUNCTION("IF(REGEXMATCH(LOWER(G1949), ""^(\?)+\s*(missing)?\s*(\?)*$""), """", PROPER(SUBSTITUTE(SUBSTITUTE(G1949, ""?"", """"), ""*"", """")))"),"Paper Bunting White Lace")</f>
        <v>Paper Bunting White Lace</v>
      </c>
      <c r="I1949" s="3">
        <v>6.0</v>
      </c>
      <c r="J1949" s="7">
        <v>40598.63333333333</v>
      </c>
      <c r="K1949" s="8" t="str">
        <f t="shared" si="4"/>
        <v>2011-02</v>
      </c>
      <c r="L1949" s="5">
        <v>2.95</v>
      </c>
      <c r="M1949" s="3">
        <v>18198.0</v>
      </c>
      <c r="N1949" s="1" t="str">
        <f t="shared" si="5"/>
        <v>Registered</v>
      </c>
      <c r="O1949" s="1" t="s">
        <v>19</v>
      </c>
      <c r="P1949" s="9" t="str">
        <f t="shared" si="6"/>
        <v>UK</v>
      </c>
      <c r="Q1949" s="8">
        <f t="shared" si="7"/>
        <v>17.7</v>
      </c>
    </row>
    <row r="1950">
      <c r="A1950" s="1">
        <v>544913.0</v>
      </c>
      <c r="B1950" s="1" t="str">
        <f t="shared" si="1"/>
        <v>544913</v>
      </c>
      <c r="C1950" s="1" t="str">
        <f t="shared" si="2"/>
        <v>Sale</v>
      </c>
      <c r="D1950" s="1">
        <v>22353.0</v>
      </c>
      <c r="E1950" s="1" t="str">
        <f>IFERROR(__xludf.DUMMYFUNCTION("IF(LEN(D1950)&gt;4, IFERROR(REGEXEXTRACT(TO_TEXT(D1950),""\d+""),""""),"""")"),"22353")</f>
        <v>22353</v>
      </c>
      <c r="F1950" s="6" t="str">
        <f t="shared" si="3"/>
        <v>Product</v>
      </c>
      <c r="G1950" s="1" t="s">
        <v>1115</v>
      </c>
      <c r="H1950" s="6" t="str">
        <f>IFERROR(__xludf.DUMMYFUNCTION("IF(REGEXMATCH(LOWER(G1950), ""^(\?)+\s*(missing)?\s*(\?)*$""), """", PROPER(SUBSTITUTE(SUBSTITUTE(G1950, ""?"", """"), ""*"", """")))"),"Lunch Box With Cutlery Fairy Cakes")</f>
        <v>Lunch Box With Cutlery Fairy Cakes</v>
      </c>
      <c r="I1950" s="3">
        <v>1.0</v>
      </c>
      <c r="J1950" s="7">
        <v>40598.643055555556</v>
      </c>
      <c r="K1950" s="8" t="str">
        <f t="shared" si="4"/>
        <v>2011-02</v>
      </c>
      <c r="L1950" s="5">
        <v>2.55</v>
      </c>
      <c r="M1950" s="3">
        <v>15543.0</v>
      </c>
      <c r="N1950" s="1" t="str">
        <f t="shared" si="5"/>
        <v>Registered</v>
      </c>
      <c r="O1950" s="1" t="s">
        <v>19</v>
      </c>
      <c r="P1950" s="9" t="str">
        <f t="shared" si="6"/>
        <v>UK</v>
      </c>
      <c r="Q1950" s="8">
        <f t="shared" si="7"/>
        <v>2.55</v>
      </c>
    </row>
    <row r="1951">
      <c r="A1951" s="1">
        <v>544913.0</v>
      </c>
      <c r="B1951" s="1" t="str">
        <f t="shared" si="1"/>
        <v>544913</v>
      </c>
      <c r="C1951" s="1" t="str">
        <f t="shared" si="2"/>
        <v>Sale</v>
      </c>
      <c r="D1951" s="1">
        <v>22131.0</v>
      </c>
      <c r="E1951" s="1" t="str">
        <f>IFERROR(__xludf.DUMMYFUNCTION("IF(LEN(D1951)&gt;4, IFERROR(REGEXEXTRACT(TO_TEXT(D1951),""\d+""),""""),"""")"),"22131")</f>
        <v>22131</v>
      </c>
      <c r="F1951" s="6" t="str">
        <f t="shared" si="3"/>
        <v>Product</v>
      </c>
      <c r="G1951" s="1" t="s">
        <v>1116</v>
      </c>
      <c r="H1951" s="6" t="str">
        <f>IFERROR(__xludf.DUMMYFUNCTION("IF(REGEXMATCH(LOWER(G1951), ""^(\?)+\s*(missing)?\s*(\?)*$""), """", PROPER(SUBSTITUTE(SUBSTITUTE(G1951, ""?"", """"), ""*"", """")))"),"Food Container Set 3 Love Heart")</f>
        <v>Food Container Set 3 Love Heart</v>
      </c>
      <c r="I1951" s="3">
        <v>1.0</v>
      </c>
      <c r="J1951" s="7">
        <v>40598.643055555556</v>
      </c>
      <c r="K1951" s="8" t="str">
        <f t="shared" si="4"/>
        <v>2011-02</v>
      </c>
      <c r="L1951" s="5">
        <v>1.95</v>
      </c>
      <c r="M1951" s="3">
        <v>15543.0</v>
      </c>
      <c r="N1951" s="1" t="str">
        <f t="shared" si="5"/>
        <v>Registered</v>
      </c>
      <c r="O1951" s="1" t="s">
        <v>19</v>
      </c>
      <c r="P1951" s="9" t="str">
        <f t="shared" si="6"/>
        <v>UK</v>
      </c>
      <c r="Q1951" s="8">
        <f t="shared" si="7"/>
        <v>1.95</v>
      </c>
    </row>
    <row r="1952">
      <c r="A1952" s="1">
        <v>544913.0</v>
      </c>
      <c r="B1952" s="1" t="str">
        <f t="shared" si="1"/>
        <v>544913</v>
      </c>
      <c r="C1952" s="1" t="str">
        <f t="shared" si="2"/>
        <v>Sale</v>
      </c>
      <c r="D1952" s="1" t="s">
        <v>1117</v>
      </c>
      <c r="E1952" s="1" t="str">
        <f>IFERROR(__xludf.DUMMYFUNCTION("IF(LEN(D1952)&gt;4, IFERROR(REGEXEXTRACT(TO_TEXT(D1952),""\d+""),""""),"""")"),"84997")</f>
        <v>84997</v>
      </c>
      <c r="F1952" s="6" t="str">
        <f t="shared" si="3"/>
        <v>Product</v>
      </c>
      <c r="G1952" s="1" t="s">
        <v>1118</v>
      </c>
      <c r="H1952" s="6" t="str">
        <f>IFERROR(__xludf.DUMMYFUNCTION("IF(REGEXMATCH(LOWER(G1952), ""^(\?)+\s*(missing)?\s*(\?)*$""), """", PROPER(SUBSTITUTE(SUBSTITUTE(G1952, ""?"", """"), ""*"", """")))"),"Childrens Cutlery Polkadot Pink")</f>
        <v>Childrens Cutlery Polkadot Pink</v>
      </c>
      <c r="I1952" s="3">
        <v>1.0</v>
      </c>
      <c r="J1952" s="7">
        <v>40598.643055555556</v>
      </c>
      <c r="K1952" s="8" t="str">
        <f t="shared" si="4"/>
        <v>2011-02</v>
      </c>
      <c r="L1952" s="5">
        <v>4.15</v>
      </c>
      <c r="M1952" s="3">
        <v>15543.0</v>
      </c>
      <c r="N1952" s="1" t="str">
        <f t="shared" si="5"/>
        <v>Registered</v>
      </c>
      <c r="O1952" s="1" t="s">
        <v>19</v>
      </c>
      <c r="P1952" s="9" t="str">
        <f t="shared" si="6"/>
        <v>UK</v>
      </c>
      <c r="Q1952" s="8">
        <f t="shared" si="7"/>
        <v>4.15</v>
      </c>
    </row>
    <row r="1953">
      <c r="A1953" s="1">
        <v>544913.0</v>
      </c>
      <c r="B1953" s="1" t="str">
        <f t="shared" si="1"/>
        <v>544913</v>
      </c>
      <c r="C1953" s="1" t="str">
        <f t="shared" si="2"/>
        <v>Sale</v>
      </c>
      <c r="D1953" s="1">
        <v>21985.0</v>
      </c>
      <c r="E1953" s="1" t="str">
        <f>IFERROR(__xludf.DUMMYFUNCTION("IF(LEN(D1953)&gt;4, IFERROR(REGEXEXTRACT(TO_TEXT(D1953),""\d+""),""""),"""")"),"21985")</f>
        <v>21985</v>
      </c>
      <c r="F1953" s="6" t="str">
        <f t="shared" si="3"/>
        <v>Product</v>
      </c>
      <c r="G1953" s="1" t="s">
        <v>579</v>
      </c>
      <c r="H1953" s="6" t="str">
        <f>IFERROR(__xludf.DUMMYFUNCTION("IF(REGEXMATCH(LOWER(G1953), ""^(\?)+\s*(missing)?\s*(\?)*$""), """", PROPER(SUBSTITUTE(SUBSTITUTE(G1953, ""?"", """"), ""*"", """")))"),"Pack Of 12 Hearts Design Tissues")</f>
        <v>Pack Of 12 Hearts Design Tissues</v>
      </c>
      <c r="I1953" s="3">
        <v>12.0</v>
      </c>
      <c r="J1953" s="7">
        <v>40598.643055555556</v>
      </c>
      <c r="K1953" s="8" t="str">
        <f t="shared" si="4"/>
        <v>2011-02</v>
      </c>
      <c r="L1953" s="5">
        <v>0.29</v>
      </c>
      <c r="M1953" s="3">
        <v>15543.0</v>
      </c>
      <c r="N1953" s="1" t="str">
        <f t="shared" si="5"/>
        <v>Registered</v>
      </c>
      <c r="O1953" s="1" t="s">
        <v>19</v>
      </c>
      <c r="P1953" s="9" t="str">
        <f t="shared" si="6"/>
        <v>UK</v>
      </c>
      <c r="Q1953" s="8">
        <f t="shared" si="7"/>
        <v>3.48</v>
      </c>
    </row>
    <row r="1954">
      <c r="A1954" s="1">
        <v>544913.0</v>
      </c>
      <c r="B1954" s="1" t="str">
        <f t="shared" si="1"/>
        <v>544913</v>
      </c>
      <c r="C1954" s="1" t="str">
        <f t="shared" si="2"/>
        <v>Sale</v>
      </c>
      <c r="D1954" s="1">
        <v>22907.0</v>
      </c>
      <c r="E1954" s="1" t="str">
        <f>IFERROR(__xludf.DUMMYFUNCTION("IF(LEN(D1954)&gt;4, IFERROR(REGEXEXTRACT(TO_TEXT(D1954),""\d+""),""""),"""")"),"22907")</f>
        <v>22907</v>
      </c>
      <c r="F1954" s="6" t="str">
        <f t="shared" si="3"/>
        <v>Product</v>
      </c>
      <c r="G1954" s="1" t="s">
        <v>691</v>
      </c>
      <c r="H1954" s="6" t="str">
        <f>IFERROR(__xludf.DUMMYFUNCTION("IF(REGEXMATCH(LOWER(G1954), ""^(\?)+\s*(missing)?\s*(\?)*$""), """", PROPER(SUBSTITUTE(SUBSTITUTE(G1954, ""?"", """"), ""*"", """")))"),"Pack Of 20 Napkins Pantry Design")</f>
        <v>Pack Of 20 Napkins Pantry Design</v>
      </c>
      <c r="I1954" s="3">
        <v>6.0</v>
      </c>
      <c r="J1954" s="7">
        <v>40598.643055555556</v>
      </c>
      <c r="K1954" s="8" t="str">
        <f t="shared" si="4"/>
        <v>2011-02</v>
      </c>
      <c r="L1954" s="5">
        <v>0.85</v>
      </c>
      <c r="M1954" s="3">
        <v>15543.0</v>
      </c>
      <c r="N1954" s="1" t="str">
        <f t="shared" si="5"/>
        <v>Registered</v>
      </c>
      <c r="O1954" s="1" t="s">
        <v>19</v>
      </c>
      <c r="P1954" s="9" t="str">
        <f t="shared" si="6"/>
        <v>UK</v>
      </c>
      <c r="Q1954" s="8">
        <f t="shared" si="7"/>
        <v>5.1</v>
      </c>
    </row>
    <row r="1955">
      <c r="A1955" s="1">
        <v>544913.0</v>
      </c>
      <c r="B1955" s="1" t="str">
        <f t="shared" si="1"/>
        <v>544913</v>
      </c>
      <c r="C1955" s="1" t="str">
        <f t="shared" si="2"/>
        <v>Sale</v>
      </c>
      <c r="D1955" s="1">
        <v>22851.0</v>
      </c>
      <c r="E1955" s="1" t="str">
        <f>IFERROR(__xludf.DUMMYFUNCTION("IF(LEN(D1955)&gt;4, IFERROR(REGEXEXTRACT(TO_TEXT(D1955),""\d+""),""""),"""")"),"22851")</f>
        <v>22851</v>
      </c>
      <c r="F1955" s="6" t="str">
        <f t="shared" si="3"/>
        <v>Product</v>
      </c>
      <c r="G1955" s="1" t="s">
        <v>303</v>
      </c>
      <c r="H1955" s="6" t="str">
        <f>IFERROR(__xludf.DUMMYFUNCTION("IF(REGEXMATCH(LOWER(G1955), ""^(\?)+\s*(missing)?\s*(\?)*$""), """", PROPER(SUBSTITUTE(SUBSTITUTE(G1955, ""?"", """"), ""*"", """")))"),"Set 20 Napkins Fairy Cakes Design")</f>
        <v>Set 20 Napkins Fairy Cakes Design</v>
      </c>
      <c r="I1955" s="3">
        <v>4.0</v>
      </c>
      <c r="J1955" s="7">
        <v>40598.643055555556</v>
      </c>
      <c r="K1955" s="8" t="str">
        <f t="shared" si="4"/>
        <v>2011-02</v>
      </c>
      <c r="L1955" s="5">
        <v>0.85</v>
      </c>
      <c r="M1955" s="3">
        <v>15543.0</v>
      </c>
      <c r="N1955" s="1" t="str">
        <f t="shared" si="5"/>
        <v>Registered</v>
      </c>
      <c r="O1955" s="1" t="s">
        <v>19</v>
      </c>
      <c r="P1955" s="9" t="str">
        <f t="shared" si="6"/>
        <v>UK</v>
      </c>
      <c r="Q1955" s="8">
        <f t="shared" si="7"/>
        <v>3.4</v>
      </c>
    </row>
    <row r="1956">
      <c r="A1956" s="1">
        <v>544913.0</v>
      </c>
      <c r="B1956" s="1" t="str">
        <f t="shared" si="1"/>
        <v>544913</v>
      </c>
      <c r="C1956" s="1" t="str">
        <f t="shared" si="2"/>
        <v>Sale</v>
      </c>
      <c r="D1956" s="1" t="s">
        <v>1119</v>
      </c>
      <c r="E1956" s="1" t="str">
        <f>IFERROR(__xludf.DUMMYFUNCTION("IF(LEN(D1956)&gt;4, IFERROR(REGEXEXTRACT(TO_TEXT(D1956),""\d+""),""""),"""")"),"84520")</f>
        <v>84520</v>
      </c>
      <c r="F1956" s="6" t="str">
        <f t="shared" si="3"/>
        <v>Product</v>
      </c>
      <c r="G1956" s="1" t="s">
        <v>1120</v>
      </c>
      <c r="H1956" s="6" t="str">
        <f>IFERROR(__xludf.DUMMYFUNCTION("IF(REGEXMATCH(LOWER(G1956), ""^(\?)+\s*(missing)?\s*(\?)*$""), """", PROPER(SUBSTITUTE(SUBSTITUTE(G1956, ""?"", """"), ""*"", """")))"),"Pack 20 English Rose Paper Napkins")</f>
        <v>Pack 20 English Rose Paper Napkins</v>
      </c>
      <c r="I1956" s="3">
        <v>4.0</v>
      </c>
      <c r="J1956" s="7">
        <v>40598.643055555556</v>
      </c>
      <c r="K1956" s="8" t="str">
        <f t="shared" si="4"/>
        <v>2011-02</v>
      </c>
      <c r="L1956" s="5">
        <v>0.85</v>
      </c>
      <c r="M1956" s="3">
        <v>15543.0</v>
      </c>
      <c r="N1956" s="1" t="str">
        <f t="shared" si="5"/>
        <v>Registered</v>
      </c>
      <c r="O1956" s="1" t="s">
        <v>19</v>
      </c>
      <c r="P1956" s="9" t="str">
        <f t="shared" si="6"/>
        <v>UK</v>
      </c>
      <c r="Q1956" s="8">
        <f t="shared" si="7"/>
        <v>3.4</v>
      </c>
    </row>
    <row r="1957">
      <c r="A1957" s="1">
        <v>544913.0</v>
      </c>
      <c r="B1957" s="1" t="str">
        <f t="shared" si="1"/>
        <v>544913</v>
      </c>
      <c r="C1957" s="1" t="str">
        <f t="shared" si="2"/>
        <v>Sale</v>
      </c>
      <c r="D1957" s="1">
        <v>21078.0</v>
      </c>
      <c r="E1957" s="1" t="str">
        <f>IFERROR(__xludf.DUMMYFUNCTION("IF(LEN(D1957)&gt;4, IFERROR(REGEXEXTRACT(TO_TEXT(D1957),""\d+""),""""),"""")"),"21078")</f>
        <v>21078</v>
      </c>
      <c r="F1957" s="6" t="str">
        <f t="shared" si="3"/>
        <v>Product</v>
      </c>
      <c r="G1957" s="1" t="s">
        <v>1121</v>
      </c>
      <c r="H1957" s="6" t="str">
        <f>IFERROR(__xludf.DUMMYFUNCTION("IF(REGEXMATCH(LOWER(G1957), ""^(\?)+\s*(missing)?\s*(\?)*$""), """", PROPER(SUBSTITUTE(SUBSTITUTE(G1957, ""?"", """"), ""*"", """")))"),"Set/20 Strawberry Paper Napkins")</f>
        <v>Set/20 Strawberry Paper Napkins</v>
      </c>
      <c r="I1957" s="3">
        <v>4.0</v>
      </c>
      <c r="J1957" s="7">
        <v>40598.643055555556</v>
      </c>
      <c r="K1957" s="8" t="str">
        <f t="shared" si="4"/>
        <v>2011-02</v>
      </c>
      <c r="L1957" s="5">
        <v>0.85</v>
      </c>
      <c r="M1957" s="3">
        <v>15543.0</v>
      </c>
      <c r="N1957" s="1" t="str">
        <f t="shared" si="5"/>
        <v>Registered</v>
      </c>
      <c r="O1957" s="1" t="s">
        <v>19</v>
      </c>
      <c r="P1957" s="9" t="str">
        <f t="shared" si="6"/>
        <v>UK</v>
      </c>
      <c r="Q1957" s="8">
        <f t="shared" si="7"/>
        <v>3.4</v>
      </c>
    </row>
    <row r="1958">
      <c r="A1958" s="1">
        <v>544913.0</v>
      </c>
      <c r="B1958" s="1" t="str">
        <f t="shared" si="1"/>
        <v>544913</v>
      </c>
      <c r="C1958" s="1" t="str">
        <f t="shared" si="2"/>
        <v>Sale</v>
      </c>
      <c r="D1958" s="1">
        <v>22906.0</v>
      </c>
      <c r="E1958" s="1" t="str">
        <f>IFERROR(__xludf.DUMMYFUNCTION("IF(LEN(D1958)&gt;4, IFERROR(REGEXEXTRACT(TO_TEXT(D1958),""\d+""),""""),"""")"),"22906")</f>
        <v>22906</v>
      </c>
      <c r="F1958" s="6" t="str">
        <f t="shared" si="3"/>
        <v>Product</v>
      </c>
      <c r="G1958" s="1" t="s">
        <v>662</v>
      </c>
      <c r="H1958" s="6" t="str">
        <f>IFERROR(__xludf.DUMMYFUNCTION("IF(REGEXMATCH(LOWER(G1958), ""^(\?)+\s*(missing)?\s*(\?)*$""), """", PROPER(SUBSTITUTE(SUBSTITUTE(G1958, ""?"", """"), ""*"", """")))"),"12 Message Cards With Envelopes")</f>
        <v>12 Message Cards With Envelopes</v>
      </c>
      <c r="I1958" s="3">
        <v>6.0</v>
      </c>
      <c r="J1958" s="7">
        <v>40598.643055555556</v>
      </c>
      <c r="K1958" s="8" t="str">
        <f t="shared" si="4"/>
        <v>2011-02</v>
      </c>
      <c r="L1958" s="5">
        <v>1.65</v>
      </c>
      <c r="M1958" s="3">
        <v>15543.0</v>
      </c>
      <c r="N1958" s="1" t="str">
        <f t="shared" si="5"/>
        <v>Registered</v>
      </c>
      <c r="O1958" s="1" t="s">
        <v>19</v>
      </c>
      <c r="P1958" s="9" t="str">
        <f t="shared" si="6"/>
        <v>UK</v>
      </c>
      <c r="Q1958" s="8">
        <f t="shared" si="7"/>
        <v>9.9</v>
      </c>
    </row>
    <row r="1959">
      <c r="A1959" s="1">
        <v>544913.0</v>
      </c>
      <c r="B1959" s="1" t="str">
        <f t="shared" si="1"/>
        <v>544913</v>
      </c>
      <c r="C1959" s="1" t="str">
        <f t="shared" si="2"/>
        <v>Sale</v>
      </c>
      <c r="D1959" s="1">
        <v>22907.0</v>
      </c>
      <c r="E1959" s="1" t="str">
        <f>IFERROR(__xludf.DUMMYFUNCTION("IF(LEN(D1959)&gt;4, IFERROR(REGEXEXTRACT(TO_TEXT(D1959),""\d+""),""""),"""")"),"22907")</f>
        <v>22907</v>
      </c>
      <c r="F1959" s="6" t="str">
        <f t="shared" si="3"/>
        <v>Product</v>
      </c>
      <c r="G1959" s="1" t="s">
        <v>691</v>
      </c>
      <c r="H1959" s="6" t="str">
        <f>IFERROR(__xludf.DUMMYFUNCTION("IF(REGEXMATCH(LOWER(G1959), ""^(\?)+\s*(missing)?\s*(\?)*$""), """", PROPER(SUBSTITUTE(SUBSTITUTE(G1959, ""?"", """"), ""*"", """")))"),"Pack Of 20 Napkins Pantry Design")</f>
        <v>Pack Of 20 Napkins Pantry Design</v>
      </c>
      <c r="I1959" s="3">
        <v>1.0</v>
      </c>
      <c r="J1959" s="7">
        <v>40598.643055555556</v>
      </c>
      <c r="K1959" s="8" t="str">
        <f t="shared" si="4"/>
        <v>2011-02</v>
      </c>
      <c r="L1959" s="5">
        <v>0.85</v>
      </c>
      <c r="M1959" s="3">
        <v>15543.0</v>
      </c>
      <c r="N1959" s="1" t="str">
        <f t="shared" si="5"/>
        <v>Registered</v>
      </c>
      <c r="O1959" s="1" t="s">
        <v>19</v>
      </c>
      <c r="P1959" s="9" t="str">
        <f t="shared" si="6"/>
        <v>UK</v>
      </c>
      <c r="Q1959" s="8">
        <f t="shared" si="7"/>
        <v>0.85</v>
      </c>
    </row>
    <row r="1960">
      <c r="A1960" s="1">
        <v>544913.0</v>
      </c>
      <c r="B1960" s="1" t="str">
        <f t="shared" si="1"/>
        <v>544913</v>
      </c>
      <c r="C1960" s="1" t="str">
        <f t="shared" si="2"/>
        <v>Sale</v>
      </c>
      <c r="D1960" s="1" t="s">
        <v>1119</v>
      </c>
      <c r="E1960" s="1" t="str">
        <f>IFERROR(__xludf.DUMMYFUNCTION("IF(LEN(D1960)&gt;4, IFERROR(REGEXEXTRACT(TO_TEXT(D1960),""\d+""),""""),"""")"),"84520")</f>
        <v>84520</v>
      </c>
      <c r="F1960" s="6" t="str">
        <f t="shared" si="3"/>
        <v>Product</v>
      </c>
      <c r="G1960" s="1" t="s">
        <v>1120</v>
      </c>
      <c r="H1960" s="6" t="str">
        <f>IFERROR(__xludf.DUMMYFUNCTION("IF(REGEXMATCH(LOWER(G1960), ""^(\?)+\s*(missing)?\s*(\?)*$""), """", PROPER(SUBSTITUTE(SUBSTITUTE(G1960, ""?"", """"), ""*"", """")))"),"Pack 20 English Rose Paper Napkins")</f>
        <v>Pack 20 English Rose Paper Napkins</v>
      </c>
      <c r="I1960" s="3">
        <v>1.0</v>
      </c>
      <c r="J1960" s="7">
        <v>40598.643055555556</v>
      </c>
      <c r="K1960" s="8" t="str">
        <f t="shared" si="4"/>
        <v>2011-02</v>
      </c>
      <c r="L1960" s="5">
        <v>0.85</v>
      </c>
      <c r="M1960" s="3">
        <v>15543.0</v>
      </c>
      <c r="N1960" s="1" t="str">
        <f t="shared" si="5"/>
        <v>Registered</v>
      </c>
      <c r="O1960" s="1" t="s">
        <v>19</v>
      </c>
      <c r="P1960" s="9" t="str">
        <f t="shared" si="6"/>
        <v>UK</v>
      </c>
      <c r="Q1960" s="8">
        <f t="shared" si="7"/>
        <v>0.85</v>
      </c>
    </row>
    <row r="1961">
      <c r="A1961" s="1">
        <v>544913.0</v>
      </c>
      <c r="B1961" s="1" t="str">
        <f t="shared" si="1"/>
        <v>544913</v>
      </c>
      <c r="C1961" s="1" t="str">
        <f t="shared" si="2"/>
        <v>Sale</v>
      </c>
      <c r="D1961" s="1">
        <v>22221.0</v>
      </c>
      <c r="E1961" s="1" t="str">
        <f>IFERROR(__xludf.DUMMYFUNCTION("IF(LEN(D1961)&gt;4, IFERROR(REGEXEXTRACT(TO_TEXT(D1961),""\d+""),""""),"""")"),"22221")</f>
        <v>22221</v>
      </c>
      <c r="F1961" s="6" t="str">
        <f t="shared" si="3"/>
        <v>Product</v>
      </c>
      <c r="G1961" s="1" t="s">
        <v>846</v>
      </c>
      <c r="H1961" s="6" t="str">
        <f>IFERROR(__xludf.DUMMYFUNCTION("IF(REGEXMATCH(LOWER(G1961), ""^(\?)+\s*(missing)?\s*(\?)*$""), """", PROPER(SUBSTITUTE(SUBSTITUTE(G1961, ""?"", """"), ""*"", """")))"),"Cake Stand Lovebird 2 Tier Pink")</f>
        <v>Cake Stand Lovebird 2 Tier Pink</v>
      </c>
      <c r="I1961" s="3">
        <v>1.0</v>
      </c>
      <c r="J1961" s="7">
        <v>40598.643055555556</v>
      </c>
      <c r="K1961" s="8" t="str">
        <f t="shared" si="4"/>
        <v>2011-02</v>
      </c>
      <c r="L1961" s="5">
        <v>9.95</v>
      </c>
      <c r="M1961" s="3">
        <v>15543.0</v>
      </c>
      <c r="N1961" s="1" t="str">
        <f t="shared" si="5"/>
        <v>Registered</v>
      </c>
      <c r="O1961" s="1" t="s">
        <v>19</v>
      </c>
      <c r="P1961" s="9" t="str">
        <f t="shared" si="6"/>
        <v>UK</v>
      </c>
      <c r="Q1961" s="8">
        <f t="shared" si="7"/>
        <v>9.95</v>
      </c>
    </row>
    <row r="1962">
      <c r="A1962" s="1">
        <v>544913.0</v>
      </c>
      <c r="B1962" s="1" t="str">
        <f t="shared" si="1"/>
        <v>544913</v>
      </c>
      <c r="C1962" s="1" t="str">
        <f t="shared" si="2"/>
        <v>Sale</v>
      </c>
      <c r="D1962" s="1">
        <v>22223.0</v>
      </c>
      <c r="E1962" s="1" t="str">
        <f>IFERROR(__xludf.DUMMYFUNCTION("IF(LEN(D1962)&gt;4, IFERROR(REGEXEXTRACT(TO_TEXT(D1962),""\d+""),""""),"""")"),"22223")</f>
        <v>22223</v>
      </c>
      <c r="F1962" s="6" t="str">
        <f t="shared" si="3"/>
        <v>Product</v>
      </c>
      <c r="G1962" s="1" t="s">
        <v>1087</v>
      </c>
      <c r="H1962" s="6" t="str">
        <f>IFERROR(__xludf.DUMMYFUNCTION("IF(REGEXMATCH(LOWER(G1962), ""^(\?)+\s*(missing)?\s*(\?)*$""), """", PROPER(SUBSTITUTE(SUBSTITUTE(G1962, ""?"", """"), ""*"", """")))"),"Cake Plate Lovebird Pink")</f>
        <v>Cake Plate Lovebird Pink</v>
      </c>
      <c r="I1962" s="3">
        <v>1.0</v>
      </c>
      <c r="J1962" s="7">
        <v>40598.643055555556</v>
      </c>
      <c r="K1962" s="8" t="str">
        <f t="shared" si="4"/>
        <v>2011-02</v>
      </c>
      <c r="L1962" s="5">
        <v>4.95</v>
      </c>
      <c r="M1962" s="3">
        <v>15543.0</v>
      </c>
      <c r="N1962" s="1" t="str">
        <f t="shared" si="5"/>
        <v>Registered</v>
      </c>
      <c r="O1962" s="1" t="s">
        <v>19</v>
      </c>
      <c r="P1962" s="9" t="str">
        <f t="shared" si="6"/>
        <v>UK</v>
      </c>
      <c r="Q1962" s="8">
        <f t="shared" si="7"/>
        <v>4.95</v>
      </c>
    </row>
    <row r="1963">
      <c r="A1963" s="1">
        <v>544913.0</v>
      </c>
      <c r="B1963" s="1" t="str">
        <f t="shared" si="1"/>
        <v>544913</v>
      </c>
      <c r="C1963" s="1" t="str">
        <f t="shared" si="2"/>
        <v>Sale</v>
      </c>
      <c r="D1963" s="1">
        <v>21986.0</v>
      </c>
      <c r="E1963" s="1" t="str">
        <f>IFERROR(__xludf.DUMMYFUNCTION("IF(LEN(D1963)&gt;4, IFERROR(REGEXEXTRACT(TO_TEXT(D1963),""\d+""),""""),"""")"),"21986")</f>
        <v>21986</v>
      </c>
      <c r="F1963" s="6" t="str">
        <f t="shared" si="3"/>
        <v>Product</v>
      </c>
      <c r="G1963" s="1" t="s">
        <v>483</v>
      </c>
      <c r="H1963" s="6" t="str">
        <f>IFERROR(__xludf.DUMMYFUNCTION("IF(REGEXMATCH(LOWER(G1963), ""^(\?)+\s*(missing)?\s*(\?)*$""), """", PROPER(SUBSTITUTE(SUBSTITUTE(G1963, ""?"", """"), ""*"", """")))"),"Pack Of 12 Pink Polkadot Tissues")</f>
        <v>Pack Of 12 Pink Polkadot Tissues</v>
      </c>
      <c r="I1963" s="3">
        <v>12.0</v>
      </c>
      <c r="J1963" s="7">
        <v>40598.643055555556</v>
      </c>
      <c r="K1963" s="8" t="str">
        <f t="shared" si="4"/>
        <v>2011-02</v>
      </c>
      <c r="L1963" s="5">
        <v>0.29</v>
      </c>
      <c r="M1963" s="3">
        <v>15543.0</v>
      </c>
      <c r="N1963" s="1" t="str">
        <f t="shared" si="5"/>
        <v>Registered</v>
      </c>
      <c r="O1963" s="1" t="s">
        <v>19</v>
      </c>
      <c r="P1963" s="9" t="str">
        <f t="shared" si="6"/>
        <v>UK</v>
      </c>
      <c r="Q1963" s="8">
        <f t="shared" si="7"/>
        <v>3.48</v>
      </c>
    </row>
    <row r="1964">
      <c r="A1964" s="1">
        <v>544913.0</v>
      </c>
      <c r="B1964" s="1" t="str">
        <f t="shared" si="1"/>
        <v>544913</v>
      </c>
      <c r="C1964" s="1" t="str">
        <f t="shared" si="2"/>
        <v>Sale</v>
      </c>
      <c r="D1964" s="1" t="s">
        <v>342</v>
      </c>
      <c r="E1964" s="1" t="str">
        <f>IFERROR(__xludf.DUMMYFUNCTION("IF(LEN(D1964)&gt;4, IFERROR(REGEXEXTRACT(TO_TEXT(D1964),""\d+""),""""),"""")"),"85049")</f>
        <v>85049</v>
      </c>
      <c r="F1964" s="6" t="str">
        <f t="shared" si="3"/>
        <v>Product</v>
      </c>
      <c r="G1964" s="1" t="s">
        <v>343</v>
      </c>
      <c r="H1964" s="6" t="str">
        <f>IFERROR(__xludf.DUMMYFUNCTION("IF(REGEXMATCH(LOWER(G1964), ""^(\?)+\s*(missing)?\s*(\?)*$""), """", PROPER(SUBSTITUTE(SUBSTITUTE(G1964, ""?"", """"), ""*"", """")))"),"Bright Blues Ribbons")</f>
        <v>Bright Blues Ribbons</v>
      </c>
      <c r="I1964" s="3">
        <v>2.0</v>
      </c>
      <c r="J1964" s="7">
        <v>40598.643055555556</v>
      </c>
      <c r="K1964" s="8" t="str">
        <f t="shared" si="4"/>
        <v>2011-02</v>
      </c>
      <c r="L1964" s="5">
        <v>1.25</v>
      </c>
      <c r="M1964" s="3">
        <v>15543.0</v>
      </c>
      <c r="N1964" s="1" t="str">
        <f t="shared" si="5"/>
        <v>Registered</v>
      </c>
      <c r="O1964" s="1" t="s">
        <v>19</v>
      </c>
      <c r="P1964" s="9" t="str">
        <f t="shared" si="6"/>
        <v>UK</v>
      </c>
      <c r="Q1964" s="8">
        <f t="shared" si="7"/>
        <v>2.5</v>
      </c>
    </row>
    <row r="1965">
      <c r="A1965" s="1">
        <v>544913.0</v>
      </c>
      <c r="B1965" s="1" t="str">
        <f t="shared" si="1"/>
        <v>544913</v>
      </c>
      <c r="C1965" s="1" t="str">
        <f t="shared" si="2"/>
        <v>Sale</v>
      </c>
      <c r="D1965" s="1" t="s">
        <v>340</v>
      </c>
      <c r="E1965" s="1" t="str">
        <f>IFERROR(__xludf.DUMMYFUNCTION("IF(LEN(D1965)&gt;4, IFERROR(REGEXEXTRACT(TO_TEXT(D1965),""\d+""),""""),"""")"),"85049")</f>
        <v>85049</v>
      </c>
      <c r="F1965" s="6" t="str">
        <f t="shared" si="3"/>
        <v>Product</v>
      </c>
      <c r="G1965" s="1" t="s">
        <v>341</v>
      </c>
      <c r="H1965" s="6" t="str">
        <f>IFERROR(__xludf.DUMMYFUNCTION("IF(REGEXMATCH(LOWER(G1965), ""^(\?)+\s*(missing)?\s*(\?)*$""), """", PROPER(SUBSTITUTE(SUBSTITUTE(G1965, ""?"", """"), ""*"", """")))"),"Romantic Pinks Ribbons")</f>
        <v>Romantic Pinks Ribbons</v>
      </c>
      <c r="I1965" s="3">
        <v>2.0</v>
      </c>
      <c r="J1965" s="7">
        <v>40598.643055555556</v>
      </c>
      <c r="K1965" s="8" t="str">
        <f t="shared" si="4"/>
        <v>2011-02</v>
      </c>
      <c r="L1965" s="5">
        <v>1.25</v>
      </c>
      <c r="M1965" s="3">
        <v>15543.0</v>
      </c>
      <c r="N1965" s="1" t="str">
        <f t="shared" si="5"/>
        <v>Registered</v>
      </c>
      <c r="O1965" s="1" t="s">
        <v>19</v>
      </c>
      <c r="P1965" s="9" t="str">
        <f t="shared" si="6"/>
        <v>UK</v>
      </c>
      <c r="Q1965" s="8">
        <f t="shared" si="7"/>
        <v>2.5</v>
      </c>
    </row>
    <row r="1966">
      <c r="A1966" s="1">
        <v>544913.0</v>
      </c>
      <c r="B1966" s="1" t="str">
        <f t="shared" si="1"/>
        <v>544913</v>
      </c>
      <c r="C1966" s="1" t="str">
        <f t="shared" si="2"/>
        <v>Sale</v>
      </c>
      <c r="D1966" s="1">
        <v>21445.0</v>
      </c>
      <c r="E1966" s="1" t="str">
        <f>IFERROR(__xludf.DUMMYFUNCTION("IF(LEN(D1966)&gt;4, IFERROR(REGEXEXTRACT(TO_TEXT(D1966),""\d+""),""""),"""")"),"21445")</f>
        <v>21445</v>
      </c>
      <c r="F1966" s="6" t="str">
        <f t="shared" si="3"/>
        <v>Product</v>
      </c>
      <c r="G1966" s="1" t="s">
        <v>1122</v>
      </c>
      <c r="H1966" s="6" t="str">
        <f>IFERROR(__xludf.DUMMYFUNCTION("IF(REGEXMATCH(LOWER(G1966), ""^(\?)+\s*(missing)?\s*(\?)*$""), """", PROPER(SUBSTITUTE(SUBSTITUTE(G1966, ""?"", """"), ""*"", """")))"),"12 Pink Rose Peg Place Settings")</f>
        <v>12 Pink Rose Peg Place Settings</v>
      </c>
      <c r="I1966" s="3">
        <v>1.0</v>
      </c>
      <c r="J1966" s="7">
        <v>40598.643055555556</v>
      </c>
      <c r="K1966" s="8" t="str">
        <f t="shared" si="4"/>
        <v>2011-02</v>
      </c>
      <c r="L1966" s="5">
        <v>1.25</v>
      </c>
      <c r="M1966" s="3">
        <v>15543.0</v>
      </c>
      <c r="N1966" s="1" t="str">
        <f t="shared" si="5"/>
        <v>Registered</v>
      </c>
      <c r="O1966" s="1" t="s">
        <v>19</v>
      </c>
      <c r="P1966" s="9" t="str">
        <f t="shared" si="6"/>
        <v>UK</v>
      </c>
      <c r="Q1966" s="8">
        <f t="shared" si="7"/>
        <v>1.25</v>
      </c>
    </row>
    <row r="1967">
      <c r="A1967" s="1">
        <v>544913.0</v>
      </c>
      <c r="B1967" s="1" t="str">
        <f t="shared" si="1"/>
        <v>544913</v>
      </c>
      <c r="C1967" s="1" t="str">
        <f t="shared" si="2"/>
        <v>Sale</v>
      </c>
      <c r="D1967" s="1">
        <v>21974.0</v>
      </c>
      <c r="E1967" s="1" t="str">
        <f>IFERROR(__xludf.DUMMYFUNCTION("IF(LEN(D1967)&gt;4, IFERROR(REGEXEXTRACT(TO_TEXT(D1967),""\d+""),""""),"""")"),"21974")</f>
        <v>21974</v>
      </c>
      <c r="F1967" s="6" t="str">
        <f t="shared" si="3"/>
        <v>Product</v>
      </c>
      <c r="G1967" s="1" t="s">
        <v>862</v>
      </c>
      <c r="H1967" s="6" t="str">
        <f>IFERROR(__xludf.DUMMYFUNCTION("IF(REGEXMATCH(LOWER(G1967), ""^(\?)+\s*(missing)?\s*(\?)*$""), """", PROPER(SUBSTITUTE(SUBSTITUTE(G1967, ""?"", """"), ""*"", """")))"),"Set Of 36 Paisley Flower Doilies")</f>
        <v>Set Of 36 Paisley Flower Doilies</v>
      </c>
      <c r="I1967" s="3">
        <v>1.0</v>
      </c>
      <c r="J1967" s="7">
        <v>40598.643055555556</v>
      </c>
      <c r="K1967" s="8" t="str">
        <f t="shared" si="4"/>
        <v>2011-02</v>
      </c>
      <c r="L1967" s="5">
        <v>1.45</v>
      </c>
      <c r="M1967" s="3">
        <v>15543.0</v>
      </c>
      <c r="N1967" s="1" t="str">
        <f t="shared" si="5"/>
        <v>Registered</v>
      </c>
      <c r="O1967" s="1" t="s">
        <v>19</v>
      </c>
      <c r="P1967" s="9" t="str">
        <f t="shared" si="6"/>
        <v>UK</v>
      </c>
      <c r="Q1967" s="8">
        <f t="shared" si="7"/>
        <v>1.45</v>
      </c>
    </row>
    <row r="1968">
      <c r="A1968" s="1">
        <v>544913.0</v>
      </c>
      <c r="B1968" s="1" t="str">
        <f t="shared" si="1"/>
        <v>544913</v>
      </c>
      <c r="C1968" s="1" t="str">
        <f t="shared" si="2"/>
        <v>Sale</v>
      </c>
      <c r="D1968" s="1">
        <v>84380.0</v>
      </c>
      <c r="E1968" s="1" t="str">
        <f>IFERROR(__xludf.DUMMYFUNCTION("IF(LEN(D1968)&gt;4, IFERROR(REGEXEXTRACT(TO_TEXT(D1968),""\d+""),""""),"""")"),"84380")</f>
        <v>84380</v>
      </c>
      <c r="F1968" s="6" t="str">
        <f t="shared" si="3"/>
        <v>Product</v>
      </c>
      <c r="G1968" s="1" t="s">
        <v>349</v>
      </c>
      <c r="H1968" s="6" t="str">
        <f>IFERROR(__xludf.DUMMYFUNCTION("IF(REGEXMATCH(LOWER(G1968), ""^(\?)+\s*(missing)?\s*(\?)*$""), """", PROPER(SUBSTITUTE(SUBSTITUTE(G1968, ""?"", """"), ""*"", """")))"),"Set Of 3 Butterfly Cookie Cutters")</f>
        <v>Set Of 3 Butterfly Cookie Cutters</v>
      </c>
      <c r="I1968" s="3">
        <v>1.0</v>
      </c>
      <c r="J1968" s="7">
        <v>40598.643055555556</v>
      </c>
      <c r="K1968" s="8" t="str">
        <f t="shared" si="4"/>
        <v>2011-02</v>
      </c>
      <c r="L1968" s="5">
        <v>1.25</v>
      </c>
      <c r="M1968" s="3">
        <v>15543.0</v>
      </c>
      <c r="N1968" s="1" t="str">
        <f t="shared" si="5"/>
        <v>Registered</v>
      </c>
      <c r="O1968" s="1" t="s">
        <v>19</v>
      </c>
      <c r="P1968" s="9" t="str">
        <f t="shared" si="6"/>
        <v>UK</v>
      </c>
      <c r="Q1968" s="8">
        <f t="shared" si="7"/>
        <v>1.25</v>
      </c>
    </row>
    <row r="1969">
      <c r="A1969" s="1">
        <v>544913.0</v>
      </c>
      <c r="B1969" s="1" t="str">
        <f t="shared" si="1"/>
        <v>544913</v>
      </c>
      <c r="C1969" s="1" t="str">
        <f t="shared" si="2"/>
        <v>Sale</v>
      </c>
      <c r="D1969" s="1">
        <v>21122.0</v>
      </c>
      <c r="E1969" s="1" t="str">
        <f>IFERROR(__xludf.DUMMYFUNCTION("IF(LEN(D1969)&gt;4, IFERROR(REGEXEXTRACT(TO_TEXT(D1969),""\d+""),""""),"""")"),"21122")</f>
        <v>21122</v>
      </c>
      <c r="F1969" s="6" t="str">
        <f t="shared" si="3"/>
        <v>Product</v>
      </c>
      <c r="G1969" s="1" t="s">
        <v>302</v>
      </c>
      <c r="H1969" s="6" t="str">
        <f>IFERROR(__xludf.DUMMYFUNCTION("IF(REGEXMATCH(LOWER(G1969), ""^(\?)+\s*(missing)?\s*(\?)*$""), """", PROPER(SUBSTITUTE(SUBSTITUTE(G1969, ""?"", """"), ""*"", """")))"),"Set/10 Pink Polkadot Party Candles")</f>
        <v>Set/10 Pink Polkadot Party Candles</v>
      </c>
      <c r="I1969" s="3">
        <v>3.0</v>
      </c>
      <c r="J1969" s="7">
        <v>40598.643055555556</v>
      </c>
      <c r="K1969" s="8" t="str">
        <f t="shared" si="4"/>
        <v>2011-02</v>
      </c>
      <c r="L1969" s="5">
        <v>1.25</v>
      </c>
      <c r="M1969" s="3">
        <v>15543.0</v>
      </c>
      <c r="N1969" s="1" t="str">
        <f t="shared" si="5"/>
        <v>Registered</v>
      </c>
      <c r="O1969" s="1" t="s">
        <v>19</v>
      </c>
      <c r="P1969" s="9" t="str">
        <f t="shared" si="6"/>
        <v>UK</v>
      </c>
      <c r="Q1969" s="8">
        <f t="shared" si="7"/>
        <v>3.75</v>
      </c>
    </row>
    <row r="1970">
      <c r="A1970" s="1">
        <v>544913.0</v>
      </c>
      <c r="B1970" s="1" t="str">
        <f t="shared" si="1"/>
        <v>544913</v>
      </c>
      <c r="C1970" s="1" t="str">
        <f t="shared" si="2"/>
        <v>Sale</v>
      </c>
      <c r="D1970" s="1">
        <v>84821.0</v>
      </c>
      <c r="E1970" s="1" t="str">
        <f>IFERROR(__xludf.DUMMYFUNCTION("IF(LEN(D1970)&gt;4, IFERROR(REGEXEXTRACT(TO_TEXT(D1970),""\d+""),""""),"""")"),"84821")</f>
        <v>84821</v>
      </c>
      <c r="F1970" s="6" t="str">
        <f t="shared" si="3"/>
        <v>Product</v>
      </c>
      <c r="G1970" s="1" t="s">
        <v>1123</v>
      </c>
      <c r="H1970" s="6" t="str">
        <f>IFERROR(__xludf.DUMMYFUNCTION("IF(REGEXMATCH(LOWER(G1970), ""^(\?)+\s*(missing)?\s*(\?)*$""), """", PROPER(SUBSTITUTE(SUBSTITUTE(G1970, ""?"", """"), ""*"", """")))"),"Danish Rose Deluxe Coaster")</f>
        <v>Danish Rose Deluxe Coaster</v>
      </c>
      <c r="I1970" s="3">
        <v>2.0</v>
      </c>
      <c r="J1970" s="7">
        <v>40598.643055555556</v>
      </c>
      <c r="K1970" s="8" t="str">
        <f t="shared" si="4"/>
        <v>2011-02</v>
      </c>
      <c r="L1970" s="5">
        <v>0.85</v>
      </c>
      <c r="M1970" s="3">
        <v>15543.0</v>
      </c>
      <c r="N1970" s="1" t="str">
        <f t="shared" si="5"/>
        <v>Registered</v>
      </c>
      <c r="O1970" s="1" t="s">
        <v>19</v>
      </c>
      <c r="P1970" s="9" t="str">
        <f t="shared" si="6"/>
        <v>UK</v>
      </c>
      <c r="Q1970" s="8">
        <f t="shared" si="7"/>
        <v>1.7</v>
      </c>
    </row>
    <row r="1971">
      <c r="A1971" s="1">
        <v>544913.0</v>
      </c>
      <c r="B1971" s="1" t="str">
        <f t="shared" si="1"/>
        <v>544913</v>
      </c>
      <c r="C1971" s="1" t="str">
        <f t="shared" si="2"/>
        <v>Sale</v>
      </c>
      <c r="D1971" s="1">
        <v>84820.0</v>
      </c>
      <c r="E1971" s="1" t="str">
        <f>IFERROR(__xludf.DUMMYFUNCTION("IF(LEN(D1971)&gt;4, IFERROR(REGEXEXTRACT(TO_TEXT(D1971),""\d+""),""""),"""")"),"84820")</f>
        <v>84820</v>
      </c>
      <c r="F1971" s="6" t="str">
        <f t="shared" si="3"/>
        <v>Product</v>
      </c>
      <c r="G1971" s="1" t="s">
        <v>1124</v>
      </c>
      <c r="H1971" s="6" t="str">
        <f>IFERROR(__xludf.DUMMYFUNCTION("IF(REGEXMATCH(LOWER(G1971), ""^(\?)+\s*(missing)?\s*(\?)*$""), """", PROPER(SUBSTITUTE(SUBSTITUTE(G1971, ""?"", """"), ""*"", """")))"),"Danish Rose Trinket Trays")</f>
        <v>Danish Rose Trinket Trays</v>
      </c>
      <c r="I1971" s="3">
        <v>1.0</v>
      </c>
      <c r="J1971" s="7">
        <v>40598.643055555556</v>
      </c>
      <c r="K1971" s="8" t="str">
        <f t="shared" si="4"/>
        <v>2011-02</v>
      </c>
      <c r="L1971" s="5">
        <v>5.95</v>
      </c>
      <c r="M1971" s="3">
        <v>15543.0</v>
      </c>
      <c r="N1971" s="1" t="str">
        <f t="shared" si="5"/>
        <v>Registered</v>
      </c>
      <c r="O1971" s="1" t="s">
        <v>19</v>
      </c>
      <c r="P1971" s="9" t="str">
        <f t="shared" si="6"/>
        <v>UK</v>
      </c>
      <c r="Q1971" s="8">
        <f t="shared" si="7"/>
        <v>5.95</v>
      </c>
    </row>
    <row r="1972">
      <c r="A1972" s="1">
        <v>544913.0</v>
      </c>
      <c r="B1972" s="1" t="str">
        <f t="shared" si="1"/>
        <v>544913</v>
      </c>
      <c r="C1972" s="1" t="str">
        <f t="shared" si="2"/>
        <v>Sale</v>
      </c>
      <c r="D1972" s="1">
        <v>84819.0</v>
      </c>
      <c r="E1972" s="1" t="str">
        <f>IFERROR(__xludf.DUMMYFUNCTION("IF(LEN(D1972)&gt;4, IFERROR(REGEXEXTRACT(TO_TEXT(D1972),""\d+""),""""),"""")"),"84819")</f>
        <v>84819</v>
      </c>
      <c r="F1972" s="6" t="str">
        <f t="shared" si="3"/>
        <v>Product</v>
      </c>
      <c r="G1972" s="1" t="s">
        <v>1125</v>
      </c>
      <c r="H1972" s="6" t="str">
        <f>IFERROR(__xludf.DUMMYFUNCTION("IF(REGEXMATCH(LOWER(G1972), ""^(\?)+\s*(missing)?\s*(\?)*$""), """", PROPER(SUBSTITUTE(SUBSTITUTE(G1972, ""?"", """"), ""*"", """")))"),"Danish Rose Round Sewing Box")</f>
        <v>Danish Rose Round Sewing Box</v>
      </c>
      <c r="I1972" s="3">
        <v>2.0</v>
      </c>
      <c r="J1972" s="7">
        <v>40598.643055555556</v>
      </c>
      <c r="K1972" s="8" t="str">
        <f t="shared" si="4"/>
        <v>2011-02</v>
      </c>
      <c r="L1972" s="5">
        <v>4.25</v>
      </c>
      <c r="M1972" s="3">
        <v>15543.0</v>
      </c>
      <c r="N1972" s="1" t="str">
        <f t="shared" si="5"/>
        <v>Registered</v>
      </c>
      <c r="O1972" s="1" t="s">
        <v>19</v>
      </c>
      <c r="P1972" s="9" t="str">
        <f t="shared" si="6"/>
        <v>UK</v>
      </c>
      <c r="Q1972" s="8">
        <f t="shared" si="7"/>
        <v>8.5</v>
      </c>
    </row>
    <row r="1973">
      <c r="A1973" s="1">
        <v>544913.0</v>
      </c>
      <c r="B1973" s="1" t="str">
        <f t="shared" si="1"/>
        <v>544913</v>
      </c>
      <c r="C1973" s="1" t="str">
        <f t="shared" si="2"/>
        <v>Sale</v>
      </c>
      <c r="D1973" s="1">
        <v>22055.0</v>
      </c>
      <c r="E1973" s="1" t="str">
        <f>IFERROR(__xludf.DUMMYFUNCTION("IF(LEN(D1973)&gt;4, IFERROR(REGEXEXTRACT(TO_TEXT(D1973),""\d+""),""""),"""")"),"22055")</f>
        <v>22055</v>
      </c>
      <c r="F1973" s="6" t="str">
        <f t="shared" si="3"/>
        <v>Product</v>
      </c>
      <c r="G1973" s="1" t="s">
        <v>1126</v>
      </c>
      <c r="H1973" s="6" t="str">
        <f>IFERROR(__xludf.DUMMYFUNCTION("IF(REGEXMATCH(LOWER(G1973), ""^(\?)+\s*(missing)?\s*(\?)*$""), """", PROPER(SUBSTITUTE(SUBSTITUTE(G1973, ""?"", """"), ""*"", """")))"),"Mini Cake Stand Hanging Strawbery")</f>
        <v>Mini Cake Stand Hanging Strawbery</v>
      </c>
      <c r="I1973" s="3">
        <v>2.0</v>
      </c>
      <c r="J1973" s="7">
        <v>40598.643055555556</v>
      </c>
      <c r="K1973" s="8" t="str">
        <f t="shared" si="4"/>
        <v>2011-02</v>
      </c>
      <c r="L1973" s="5">
        <v>1.65</v>
      </c>
      <c r="M1973" s="3">
        <v>15543.0</v>
      </c>
      <c r="N1973" s="1" t="str">
        <f t="shared" si="5"/>
        <v>Registered</v>
      </c>
      <c r="O1973" s="1" t="s">
        <v>19</v>
      </c>
      <c r="P1973" s="9" t="str">
        <f t="shared" si="6"/>
        <v>UK</v>
      </c>
      <c r="Q1973" s="8">
        <f t="shared" si="7"/>
        <v>3.3</v>
      </c>
    </row>
    <row r="1974">
      <c r="A1974" s="1">
        <v>544913.0</v>
      </c>
      <c r="B1974" s="1" t="str">
        <f t="shared" si="1"/>
        <v>544913</v>
      </c>
      <c r="C1974" s="1" t="str">
        <f t="shared" si="2"/>
        <v>Sale</v>
      </c>
      <c r="D1974" s="1">
        <v>37446.0</v>
      </c>
      <c r="E1974" s="1" t="str">
        <f>IFERROR(__xludf.DUMMYFUNCTION("IF(LEN(D1974)&gt;4, IFERROR(REGEXEXTRACT(TO_TEXT(D1974),""\d+""),""""),"""")"),"37446")</f>
        <v>37446</v>
      </c>
      <c r="F1974" s="6" t="str">
        <f t="shared" si="3"/>
        <v>Product</v>
      </c>
      <c r="G1974" s="1" t="s">
        <v>1127</v>
      </c>
      <c r="H1974" s="6" t="str">
        <f>IFERROR(__xludf.DUMMYFUNCTION("IF(REGEXMATCH(LOWER(G1974), ""^(\?)+\s*(missing)?\s*(\?)*$""), """", PROPER(SUBSTITUTE(SUBSTITUTE(G1974, ""?"", """"), ""*"", """")))"),"Mini Cake Stand With Hanging Cakes")</f>
        <v>Mini Cake Stand With Hanging Cakes</v>
      </c>
      <c r="I1974" s="3">
        <v>2.0</v>
      </c>
      <c r="J1974" s="7">
        <v>40598.643055555556</v>
      </c>
      <c r="K1974" s="8" t="str">
        <f t="shared" si="4"/>
        <v>2011-02</v>
      </c>
      <c r="L1974" s="5">
        <v>1.45</v>
      </c>
      <c r="M1974" s="3">
        <v>15543.0</v>
      </c>
      <c r="N1974" s="1" t="str">
        <f t="shared" si="5"/>
        <v>Registered</v>
      </c>
      <c r="O1974" s="1" t="s">
        <v>19</v>
      </c>
      <c r="P1974" s="9" t="str">
        <f t="shared" si="6"/>
        <v>UK</v>
      </c>
      <c r="Q1974" s="8">
        <f t="shared" si="7"/>
        <v>2.9</v>
      </c>
    </row>
    <row r="1975">
      <c r="A1975" s="1">
        <v>544913.0</v>
      </c>
      <c r="B1975" s="1" t="str">
        <f t="shared" si="1"/>
        <v>544913</v>
      </c>
      <c r="C1975" s="1" t="str">
        <f t="shared" si="2"/>
        <v>Sale</v>
      </c>
      <c r="D1975" s="1">
        <v>22699.0</v>
      </c>
      <c r="E1975" s="1" t="str">
        <f>IFERROR(__xludf.DUMMYFUNCTION("IF(LEN(D1975)&gt;4, IFERROR(REGEXEXTRACT(TO_TEXT(D1975),""\d+""),""""),"""")"),"22699")</f>
        <v>22699</v>
      </c>
      <c r="F1975" s="6" t="str">
        <f t="shared" si="3"/>
        <v>Product</v>
      </c>
      <c r="G1975" s="1" t="s">
        <v>684</v>
      </c>
      <c r="H1975" s="6" t="str">
        <f>IFERROR(__xludf.DUMMYFUNCTION("IF(REGEXMATCH(LOWER(G1975), ""^(\?)+\s*(missing)?\s*(\?)*$""), """", PROPER(SUBSTITUTE(SUBSTITUTE(G1975, ""?"", """"), ""*"", """")))"),"Roses Regency Teacup And Saucer")</f>
        <v>Roses Regency Teacup And Saucer</v>
      </c>
      <c r="I1975" s="3">
        <v>4.0</v>
      </c>
      <c r="J1975" s="7">
        <v>40598.643055555556</v>
      </c>
      <c r="K1975" s="8" t="str">
        <f t="shared" si="4"/>
        <v>2011-02</v>
      </c>
      <c r="L1975" s="5">
        <v>2.95</v>
      </c>
      <c r="M1975" s="3">
        <v>15543.0</v>
      </c>
      <c r="N1975" s="1" t="str">
        <f t="shared" si="5"/>
        <v>Registered</v>
      </c>
      <c r="O1975" s="1" t="s">
        <v>19</v>
      </c>
      <c r="P1975" s="9" t="str">
        <f t="shared" si="6"/>
        <v>UK</v>
      </c>
      <c r="Q1975" s="8">
        <f t="shared" si="7"/>
        <v>11.8</v>
      </c>
    </row>
    <row r="1976">
      <c r="A1976" s="1">
        <v>544913.0</v>
      </c>
      <c r="B1976" s="1" t="str">
        <f t="shared" si="1"/>
        <v>544913</v>
      </c>
      <c r="C1976" s="1" t="str">
        <f t="shared" si="2"/>
        <v>Sale</v>
      </c>
      <c r="D1976" s="1">
        <v>22697.0</v>
      </c>
      <c r="E1976" s="1" t="str">
        <f>IFERROR(__xludf.DUMMYFUNCTION("IF(LEN(D1976)&gt;4, IFERROR(REGEXEXTRACT(TO_TEXT(D1976),""\d+""),""""),"""")"),"22697")</f>
        <v>22697</v>
      </c>
      <c r="F1976" s="6" t="str">
        <f t="shared" si="3"/>
        <v>Product</v>
      </c>
      <c r="G1976" s="1" t="s">
        <v>682</v>
      </c>
      <c r="H1976" s="6" t="str">
        <f>IFERROR(__xludf.DUMMYFUNCTION("IF(REGEXMATCH(LOWER(G1976), ""^(\?)+\s*(missing)?\s*(\?)*$""), """", PROPER(SUBSTITUTE(SUBSTITUTE(G1976, ""?"", """"), ""*"", """")))"),"Green Regency Teacup And Saucer")</f>
        <v>Green Regency Teacup And Saucer</v>
      </c>
      <c r="I1976" s="3">
        <v>4.0</v>
      </c>
      <c r="J1976" s="7">
        <v>40598.643055555556</v>
      </c>
      <c r="K1976" s="8" t="str">
        <f t="shared" si="4"/>
        <v>2011-02</v>
      </c>
      <c r="L1976" s="5">
        <v>2.95</v>
      </c>
      <c r="M1976" s="3">
        <v>15543.0</v>
      </c>
      <c r="N1976" s="1" t="str">
        <f t="shared" si="5"/>
        <v>Registered</v>
      </c>
      <c r="O1976" s="1" t="s">
        <v>19</v>
      </c>
      <c r="P1976" s="9" t="str">
        <f t="shared" si="6"/>
        <v>UK</v>
      </c>
      <c r="Q1976" s="8">
        <f t="shared" si="7"/>
        <v>11.8</v>
      </c>
    </row>
    <row r="1977">
      <c r="A1977" s="1">
        <v>544913.0</v>
      </c>
      <c r="B1977" s="1" t="str">
        <f t="shared" si="1"/>
        <v>544913</v>
      </c>
      <c r="C1977" s="1" t="str">
        <f t="shared" si="2"/>
        <v>Sale</v>
      </c>
      <c r="D1977" s="1">
        <v>22698.0</v>
      </c>
      <c r="E1977" s="1" t="str">
        <f>IFERROR(__xludf.DUMMYFUNCTION("IF(LEN(D1977)&gt;4, IFERROR(REGEXEXTRACT(TO_TEXT(D1977),""\d+""),""""),"""")"),"22698")</f>
        <v>22698</v>
      </c>
      <c r="F1977" s="6" t="str">
        <f t="shared" si="3"/>
        <v>Product</v>
      </c>
      <c r="G1977" s="1" t="s">
        <v>683</v>
      </c>
      <c r="H1977" s="6" t="str">
        <f>IFERROR(__xludf.DUMMYFUNCTION("IF(REGEXMATCH(LOWER(G1977), ""^(\?)+\s*(missing)?\s*(\?)*$""), """", PROPER(SUBSTITUTE(SUBSTITUTE(G1977, ""?"", """"), ""*"", """")))"),"Pink Regency Teacup And Saucer")</f>
        <v>Pink Regency Teacup And Saucer</v>
      </c>
      <c r="I1977" s="3">
        <v>4.0</v>
      </c>
      <c r="J1977" s="7">
        <v>40598.643055555556</v>
      </c>
      <c r="K1977" s="8" t="str">
        <f t="shared" si="4"/>
        <v>2011-02</v>
      </c>
      <c r="L1977" s="5">
        <v>2.95</v>
      </c>
      <c r="M1977" s="3">
        <v>15543.0</v>
      </c>
      <c r="N1977" s="1" t="str">
        <f t="shared" si="5"/>
        <v>Registered</v>
      </c>
      <c r="O1977" s="1" t="s">
        <v>19</v>
      </c>
      <c r="P1977" s="9" t="str">
        <f t="shared" si="6"/>
        <v>UK</v>
      </c>
      <c r="Q1977" s="8">
        <f t="shared" si="7"/>
        <v>11.8</v>
      </c>
    </row>
    <row r="1978">
      <c r="A1978" s="1">
        <v>544914.0</v>
      </c>
      <c r="B1978" s="1" t="str">
        <f t="shared" si="1"/>
        <v>544914</v>
      </c>
      <c r="C1978" s="1" t="str">
        <f t="shared" si="2"/>
        <v>Sale</v>
      </c>
      <c r="D1978" s="1">
        <v>21495.0</v>
      </c>
      <c r="E1978" s="1" t="str">
        <f>IFERROR(__xludf.DUMMYFUNCTION("IF(LEN(D1978)&gt;4, IFERROR(REGEXEXTRACT(TO_TEXT(D1978),""\d+""),""""),"""")"),"21495")</f>
        <v>21495</v>
      </c>
      <c r="F1978" s="6" t="str">
        <f t="shared" si="3"/>
        <v>Product</v>
      </c>
      <c r="G1978" s="1" t="s">
        <v>1128</v>
      </c>
      <c r="H1978" s="6" t="str">
        <f>IFERROR(__xludf.DUMMYFUNCTION("IF(REGEXMATCH(LOWER(G1978), ""^(\?)+\s*(missing)?\s*(\?)*$""), """", PROPER(SUBSTITUTE(SUBSTITUTE(G1978, ""?"", """"), ""*"", """")))"),"Skulls And Crossbones Wrap")</f>
        <v>Skulls And Crossbones Wrap</v>
      </c>
      <c r="I1978" s="3">
        <v>25.0</v>
      </c>
      <c r="J1978" s="7">
        <v>40598.652083333334</v>
      </c>
      <c r="K1978" s="8" t="str">
        <f t="shared" si="4"/>
        <v>2011-02</v>
      </c>
      <c r="L1978" s="5">
        <v>0.42</v>
      </c>
      <c r="M1978" s="3">
        <v>16722.0</v>
      </c>
      <c r="N1978" s="1" t="str">
        <f t="shared" si="5"/>
        <v>Registered</v>
      </c>
      <c r="O1978" s="1" t="s">
        <v>19</v>
      </c>
      <c r="P1978" s="9" t="str">
        <f t="shared" si="6"/>
        <v>UK</v>
      </c>
      <c r="Q1978" s="8">
        <f t="shared" si="7"/>
        <v>10.5</v>
      </c>
    </row>
    <row r="1979">
      <c r="A1979" s="1">
        <v>544914.0</v>
      </c>
      <c r="B1979" s="1" t="str">
        <f t="shared" si="1"/>
        <v>544914</v>
      </c>
      <c r="C1979" s="1" t="str">
        <f t="shared" si="2"/>
        <v>Sale</v>
      </c>
      <c r="D1979" s="1">
        <v>22437.0</v>
      </c>
      <c r="E1979" s="1" t="str">
        <f>IFERROR(__xludf.DUMMYFUNCTION("IF(LEN(D1979)&gt;4, IFERROR(REGEXEXTRACT(TO_TEXT(D1979),""\d+""),""""),"""")"),"22437")</f>
        <v>22437</v>
      </c>
      <c r="F1979" s="6" t="str">
        <f t="shared" si="3"/>
        <v>Product</v>
      </c>
      <c r="G1979" s="1" t="s">
        <v>1114</v>
      </c>
      <c r="H1979" s="6" t="str">
        <f>IFERROR(__xludf.DUMMYFUNCTION("IF(REGEXMATCH(LOWER(G1979), ""^(\?)+\s*(missing)?\s*(\?)*$""), """", PROPER(SUBSTITUTE(SUBSTITUTE(G1979, ""?"", """"), ""*"", """")))"),"Set Of 9 Black Skull Balloons")</f>
        <v>Set Of 9 Black Skull Balloons</v>
      </c>
      <c r="I1979" s="3">
        <v>20.0</v>
      </c>
      <c r="J1979" s="7">
        <v>40598.652083333334</v>
      </c>
      <c r="K1979" s="8" t="str">
        <f t="shared" si="4"/>
        <v>2011-02</v>
      </c>
      <c r="L1979" s="5">
        <v>0.85</v>
      </c>
      <c r="M1979" s="3">
        <v>16722.0</v>
      </c>
      <c r="N1979" s="1" t="str">
        <f t="shared" si="5"/>
        <v>Registered</v>
      </c>
      <c r="O1979" s="1" t="s">
        <v>19</v>
      </c>
      <c r="P1979" s="9" t="str">
        <f t="shared" si="6"/>
        <v>UK</v>
      </c>
      <c r="Q1979" s="8">
        <f t="shared" si="7"/>
        <v>17</v>
      </c>
    </row>
    <row r="1980">
      <c r="A1980" s="1">
        <v>544914.0</v>
      </c>
      <c r="B1980" s="1" t="str">
        <f t="shared" si="1"/>
        <v>544914</v>
      </c>
      <c r="C1980" s="1" t="str">
        <f t="shared" si="2"/>
        <v>Sale</v>
      </c>
      <c r="D1980" s="1">
        <v>21930.0</v>
      </c>
      <c r="E1980" s="1" t="str">
        <f>IFERROR(__xludf.DUMMYFUNCTION("IF(LEN(D1980)&gt;4, IFERROR(REGEXEXTRACT(TO_TEXT(D1980),""\d+""),""""),"""")"),"21930")</f>
        <v>21930</v>
      </c>
      <c r="F1980" s="6" t="str">
        <f t="shared" si="3"/>
        <v>Product</v>
      </c>
      <c r="G1980" s="1" t="s">
        <v>805</v>
      </c>
      <c r="H1980" s="6" t="str">
        <f>IFERROR(__xludf.DUMMYFUNCTION("IF(REGEXMATCH(LOWER(G1980), ""^(\?)+\s*(missing)?\s*(\?)*$""), """", PROPER(SUBSTITUTE(SUBSTITUTE(G1980, ""?"", """"), ""*"", """")))"),"Jumbo Storage Bag Skulls")</f>
        <v>Jumbo Storage Bag Skulls</v>
      </c>
      <c r="I1980" s="3">
        <v>10.0</v>
      </c>
      <c r="J1980" s="7">
        <v>40598.652083333334</v>
      </c>
      <c r="K1980" s="8" t="str">
        <f t="shared" si="4"/>
        <v>2011-02</v>
      </c>
      <c r="L1980" s="5">
        <v>1.95</v>
      </c>
      <c r="M1980" s="3">
        <v>16722.0</v>
      </c>
      <c r="N1980" s="1" t="str">
        <f t="shared" si="5"/>
        <v>Registered</v>
      </c>
      <c r="O1980" s="1" t="s">
        <v>19</v>
      </c>
      <c r="P1980" s="9" t="str">
        <f t="shared" si="6"/>
        <v>UK</v>
      </c>
      <c r="Q1980" s="8">
        <f t="shared" si="7"/>
        <v>19.5</v>
      </c>
    </row>
    <row r="1981">
      <c r="A1981" s="1">
        <v>544914.0</v>
      </c>
      <c r="B1981" s="1" t="str">
        <f t="shared" si="1"/>
        <v>544914</v>
      </c>
      <c r="C1981" s="1" t="str">
        <f t="shared" si="2"/>
        <v>Sale</v>
      </c>
      <c r="D1981" s="1">
        <v>21934.0</v>
      </c>
      <c r="E1981" s="1" t="str">
        <f>IFERROR(__xludf.DUMMYFUNCTION("IF(LEN(D1981)&gt;4, IFERROR(REGEXEXTRACT(TO_TEXT(D1981),""\d+""),""""),"""")"),"21934")</f>
        <v>21934</v>
      </c>
      <c r="F1981" s="6" t="str">
        <f t="shared" si="3"/>
        <v>Product</v>
      </c>
      <c r="G1981" s="1" t="s">
        <v>120</v>
      </c>
      <c r="H1981" s="6" t="str">
        <f>IFERROR(__xludf.DUMMYFUNCTION("IF(REGEXMATCH(LOWER(G1981), ""^(\?)+\s*(missing)?\s*(\?)*$""), """", PROPER(SUBSTITUTE(SUBSTITUTE(G1981, ""?"", """"), ""*"", """")))"),"Skull Shoulder Bag")</f>
        <v>Skull Shoulder Bag</v>
      </c>
      <c r="I1981" s="3">
        <v>20.0</v>
      </c>
      <c r="J1981" s="7">
        <v>40598.652083333334</v>
      </c>
      <c r="K1981" s="8" t="str">
        <f t="shared" si="4"/>
        <v>2011-02</v>
      </c>
      <c r="L1981" s="5">
        <v>1.65</v>
      </c>
      <c r="M1981" s="3">
        <v>16722.0</v>
      </c>
      <c r="N1981" s="1" t="str">
        <f t="shared" si="5"/>
        <v>Registered</v>
      </c>
      <c r="O1981" s="1" t="s">
        <v>19</v>
      </c>
      <c r="P1981" s="9" t="str">
        <f t="shared" si="6"/>
        <v>UK</v>
      </c>
      <c r="Q1981" s="8">
        <f t="shared" si="7"/>
        <v>33</v>
      </c>
    </row>
    <row r="1982">
      <c r="A1982" s="1">
        <v>544914.0</v>
      </c>
      <c r="B1982" s="1" t="str">
        <f t="shared" si="1"/>
        <v>544914</v>
      </c>
      <c r="C1982" s="1" t="str">
        <f t="shared" si="2"/>
        <v>Sale</v>
      </c>
      <c r="D1982" s="1">
        <v>20727.0</v>
      </c>
      <c r="E1982" s="1" t="str">
        <f>IFERROR(__xludf.DUMMYFUNCTION("IF(LEN(D1982)&gt;4, IFERROR(REGEXEXTRACT(TO_TEXT(D1982),""\d+""),""""),"""")"),"20727")</f>
        <v>20727</v>
      </c>
      <c r="F1982" s="6" t="str">
        <f t="shared" si="3"/>
        <v>Product</v>
      </c>
      <c r="G1982" s="1" t="s">
        <v>357</v>
      </c>
      <c r="H1982" s="6" t="str">
        <f>IFERROR(__xludf.DUMMYFUNCTION("IF(REGEXMATCH(LOWER(G1982), ""^(\?)+\s*(missing)?\s*(\?)*$""), """", PROPER(SUBSTITUTE(SUBSTITUTE(G1982, ""?"", """"), ""*"", """")))"),"Lunch Bag Black Skull.")</f>
        <v>Lunch Bag Black Skull.</v>
      </c>
      <c r="I1982" s="3">
        <v>10.0</v>
      </c>
      <c r="J1982" s="7">
        <v>40598.652083333334</v>
      </c>
      <c r="K1982" s="8" t="str">
        <f t="shared" si="4"/>
        <v>2011-02</v>
      </c>
      <c r="L1982" s="5">
        <v>1.65</v>
      </c>
      <c r="M1982" s="3">
        <v>16722.0</v>
      </c>
      <c r="N1982" s="1" t="str">
        <f t="shared" si="5"/>
        <v>Registered</v>
      </c>
      <c r="O1982" s="1" t="s">
        <v>19</v>
      </c>
      <c r="P1982" s="9" t="str">
        <f t="shared" si="6"/>
        <v>UK</v>
      </c>
      <c r="Q1982" s="8">
        <f t="shared" si="7"/>
        <v>16.5</v>
      </c>
    </row>
    <row r="1983">
      <c r="A1983" s="1">
        <v>544914.0</v>
      </c>
      <c r="B1983" s="1" t="str">
        <f t="shared" si="1"/>
        <v>544914</v>
      </c>
      <c r="C1983" s="1" t="str">
        <f t="shared" si="2"/>
        <v>Sale</v>
      </c>
      <c r="D1983" s="1">
        <v>20725.0</v>
      </c>
      <c r="E1983" s="1" t="str">
        <f>IFERROR(__xludf.DUMMYFUNCTION("IF(LEN(D1983)&gt;4, IFERROR(REGEXEXTRACT(TO_TEXT(D1983),""\d+""),""""),"""")"),"20725")</f>
        <v>20725</v>
      </c>
      <c r="F1983" s="6" t="str">
        <f t="shared" si="3"/>
        <v>Product</v>
      </c>
      <c r="G1983" s="1" t="s">
        <v>94</v>
      </c>
      <c r="H1983" s="6" t="str">
        <f>IFERROR(__xludf.DUMMYFUNCTION("IF(REGEXMATCH(LOWER(G1983), ""^(\?)+\s*(missing)?\s*(\?)*$""), """", PROPER(SUBSTITUTE(SUBSTITUTE(G1983, ""?"", """"), ""*"", """")))"),"Lunch Bag Red Retrospot")</f>
        <v>Lunch Bag Red Retrospot</v>
      </c>
      <c r="I1983" s="3">
        <v>10.0</v>
      </c>
      <c r="J1983" s="7">
        <v>40598.652083333334</v>
      </c>
      <c r="K1983" s="8" t="str">
        <f t="shared" si="4"/>
        <v>2011-02</v>
      </c>
      <c r="L1983" s="5">
        <v>1.65</v>
      </c>
      <c r="M1983" s="3">
        <v>16722.0</v>
      </c>
      <c r="N1983" s="1" t="str">
        <f t="shared" si="5"/>
        <v>Registered</v>
      </c>
      <c r="O1983" s="1" t="s">
        <v>19</v>
      </c>
      <c r="P1983" s="9" t="str">
        <f t="shared" si="6"/>
        <v>UK</v>
      </c>
      <c r="Q1983" s="8">
        <f t="shared" si="7"/>
        <v>16.5</v>
      </c>
    </row>
    <row r="1984">
      <c r="A1984" s="1">
        <v>544914.0</v>
      </c>
      <c r="B1984" s="1" t="str">
        <f t="shared" si="1"/>
        <v>544914</v>
      </c>
      <c r="C1984" s="1" t="str">
        <f t="shared" si="2"/>
        <v>Sale</v>
      </c>
      <c r="D1984" s="1">
        <v>20726.0</v>
      </c>
      <c r="E1984" s="1" t="str">
        <f>IFERROR(__xludf.DUMMYFUNCTION("IF(LEN(D1984)&gt;4, IFERROR(REGEXEXTRACT(TO_TEXT(D1984),""\d+""),""""),"""")"),"20726")</f>
        <v>20726</v>
      </c>
      <c r="F1984" s="6" t="str">
        <f t="shared" si="3"/>
        <v>Product</v>
      </c>
      <c r="G1984" s="1" t="s">
        <v>321</v>
      </c>
      <c r="H1984" s="6" t="str">
        <f>IFERROR(__xludf.DUMMYFUNCTION("IF(REGEXMATCH(LOWER(G1984), ""^(\?)+\s*(missing)?\s*(\?)*$""), """", PROPER(SUBSTITUTE(SUBSTITUTE(G1984, ""?"", """"), ""*"", """")))"),"Lunch Bag Woodland")</f>
        <v>Lunch Bag Woodland</v>
      </c>
      <c r="I1984" s="3">
        <v>10.0</v>
      </c>
      <c r="J1984" s="7">
        <v>40598.652083333334</v>
      </c>
      <c r="K1984" s="8" t="str">
        <f t="shared" si="4"/>
        <v>2011-02</v>
      </c>
      <c r="L1984" s="5">
        <v>1.65</v>
      </c>
      <c r="M1984" s="3">
        <v>16722.0</v>
      </c>
      <c r="N1984" s="1" t="str">
        <f t="shared" si="5"/>
        <v>Registered</v>
      </c>
      <c r="O1984" s="1" t="s">
        <v>19</v>
      </c>
      <c r="P1984" s="9" t="str">
        <f t="shared" si="6"/>
        <v>UK</v>
      </c>
      <c r="Q1984" s="8">
        <f t="shared" si="7"/>
        <v>16.5</v>
      </c>
    </row>
    <row r="1985">
      <c r="A1985" s="1">
        <v>544914.0</v>
      </c>
      <c r="B1985" s="1" t="str">
        <f t="shared" si="1"/>
        <v>544914</v>
      </c>
      <c r="C1985" s="1" t="str">
        <f t="shared" si="2"/>
        <v>Sale</v>
      </c>
      <c r="D1985" s="1">
        <v>22383.0</v>
      </c>
      <c r="E1985" s="1" t="str">
        <f>IFERROR(__xludf.DUMMYFUNCTION("IF(LEN(D1985)&gt;4, IFERROR(REGEXEXTRACT(TO_TEXT(D1985),""\d+""),""""),"""")"),"22383")</f>
        <v>22383</v>
      </c>
      <c r="F1985" s="6" t="str">
        <f t="shared" si="3"/>
        <v>Product</v>
      </c>
      <c r="G1985" s="1" t="s">
        <v>355</v>
      </c>
      <c r="H1985" s="6" t="str">
        <f>IFERROR(__xludf.DUMMYFUNCTION("IF(REGEXMATCH(LOWER(G1985), ""^(\?)+\s*(missing)?\s*(\?)*$""), """", PROPER(SUBSTITUTE(SUBSTITUTE(G1985, ""?"", """"), ""*"", """")))"),"Lunch Bag Suki Design")</f>
        <v>Lunch Bag Suki Design</v>
      </c>
      <c r="I1985" s="3">
        <v>10.0</v>
      </c>
      <c r="J1985" s="7">
        <v>40598.652083333334</v>
      </c>
      <c r="K1985" s="8" t="str">
        <f t="shared" si="4"/>
        <v>2011-02</v>
      </c>
      <c r="L1985" s="5">
        <v>1.65</v>
      </c>
      <c r="M1985" s="3">
        <v>16722.0</v>
      </c>
      <c r="N1985" s="1" t="str">
        <f t="shared" si="5"/>
        <v>Registered</v>
      </c>
      <c r="O1985" s="1" t="s">
        <v>19</v>
      </c>
      <c r="P1985" s="9" t="str">
        <f t="shared" si="6"/>
        <v>UK</v>
      </c>
      <c r="Q1985" s="8">
        <f t="shared" si="7"/>
        <v>16.5</v>
      </c>
    </row>
    <row r="1986">
      <c r="A1986" s="1">
        <v>544914.0</v>
      </c>
      <c r="B1986" s="1" t="str">
        <f t="shared" si="1"/>
        <v>544914</v>
      </c>
      <c r="C1986" s="1" t="str">
        <f t="shared" si="2"/>
        <v>Sale</v>
      </c>
      <c r="D1986" s="1">
        <v>22382.0</v>
      </c>
      <c r="E1986" s="1" t="str">
        <f>IFERROR(__xludf.DUMMYFUNCTION("IF(LEN(D1986)&gt;4, IFERROR(REGEXEXTRACT(TO_TEXT(D1986),""\d+""),""""),"""")"),"22382")</f>
        <v>22382</v>
      </c>
      <c r="F1986" s="6" t="str">
        <f t="shared" si="3"/>
        <v>Product</v>
      </c>
      <c r="G1986" s="1" t="s">
        <v>320</v>
      </c>
      <c r="H1986" s="6" t="str">
        <f>IFERROR(__xludf.DUMMYFUNCTION("IF(REGEXMATCH(LOWER(G1986), ""^(\?)+\s*(missing)?\s*(\?)*$""), """", PROPER(SUBSTITUTE(SUBSTITUTE(G1986, ""?"", """"), ""*"", """")))"),"Lunch Bag Spaceboy Design")</f>
        <v>Lunch Bag Spaceboy Design</v>
      </c>
      <c r="I1986" s="3">
        <v>10.0</v>
      </c>
      <c r="J1986" s="7">
        <v>40598.652083333334</v>
      </c>
      <c r="K1986" s="8" t="str">
        <f t="shared" si="4"/>
        <v>2011-02</v>
      </c>
      <c r="L1986" s="5">
        <v>1.65</v>
      </c>
      <c r="M1986" s="3">
        <v>16722.0</v>
      </c>
      <c r="N1986" s="1" t="str">
        <f t="shared" si="5"/>
        <v>Registered</v>
      </c>
      <c r="O1986" s="1" t="s">
        <v>19</v>
      </c>
      <c r="P1986" s="9" t="str">
        <f t="shared" si="6"/>
        <v>UK</v>
      </c>
      <c r="Q1986" s="8">
        <f t="shared" si="7"/>
        <v>16.5</v>
      </c>
    </row>
    <row r="1987">
      <c r="A1987" s="1">
        <v>544914.0</v>
      </c>
      <c r="B1987" s="1" t="str">
        <f t="shared" si="1"/>
        <v>544914</v>
      </c>
      <c r="C1987" s="1" t="str">
        <f t="shared" si="2"/>
        <v>Sale</v>
      </c>
      <c r="D1987" s="1">
        <v>20728.0</v>
      </c>
      <c r="E1987" s="1" t="str">
        <f>IFERROR(__xludf.DUMMYFUNCTION("IF(LEN(D1987)&gt;4, IFERROR(REGEXEXTRACT(TO_TEXT(D1987),""\d+""),""""),"""")"),"20728")</f>
        <v>20728</v>
      </c>
      <c r="F1987" s="6" t="str">
        <f t="shared" si="3"/>
        <v>Product</v>
      </c>
      <c r="G1987" s="1" t="s">
        <v>356</v>
      </c>
      <c r="H1987" s="6" t="str">
        <f>IFERROR(__xludf.DUMMYFUNCTION("IF(REGEXMATCH(LOWER(G1987), ""^(\?)+\s*(missing)?\s*(\?)*$""), """", PROPER(SUBSTITUTE(SUBSTITUTE(G1987, ""?"", """"), ""*"", """")))"),"Lunch Bag Cars Blue")</f>
        <v>Lunch Bag Cars Blue</v>
      </c>
      <c r="I1987" s="3">
        <v>10.0</v>
      </c>
      <c r="J1987" s="7">
        <v>40598.652083333334</v>
      </c>
      <c r="K1987" s="8" t="str">
        <f t="shared" si="4"/>
        <v>2011-02</v>
      </c>
      <c r="L1987" s="5">
        <v>1.65</v>
      </c>
      <c r="M1987" s="3">
        <v>16722.0</v>
      </c>
      <c r="N1987" s="1" t="str">
        <f t="shared" si="5"/>
        <v>Registered</v>
      </c>
      <c r="O1987" s="1" t="s">
        <v>19</v>
      </c>
      <c r="P1987" s="9" t="str">
        <f t="shared" si="6"/>
        <v>UK</v>
      </c>
      <c r="Q1987" s="8">
        <f t="shared" si="7"/>
        <v>16.5</v>
      </c>
    </row>
    <row r="1988">
      <c r="A1988" s="1">
        <v>544914.0</v>
      </c>
      <c r="B1988" s="1" t="str">
        <f t="shared" si="1"/>
        <v>544914</v>
      </c>
      <c r="C1988" s="1" t="str">
        <f t="shared" si="2"/>
        <v>Sale</v>
      </c>
      <c r="D1988" s="1">
        <v>22662.0</v>
      </c>
      <c r="E1988" s="1" t="str">
        <f>IFERROR(__xludf.DUMMYFUNCTION("IF(LEN(D1988)&gt;4, IFERROR(REGEXEXTRACT(TO_TEXT(D1988),""\d+""),""""),"""")"),"22662")</f>
        <v>22662</v>
      </c>
      <c r="F1988" s="6" t="str">
        <f t="shared" si="3"/>
        <v>Product</v>
      </c>
      <c r="G1988" s="1" t="s">
        <v>179</v>
      </c>
      <c r="H1988" s="6" t="str">
        <f>IFERROR(__xludf.DUMMYFUNCTION("IF(REGEXMATCH(LOWER(G1988), ""^(\?)+\s*(missing)?\s*(\?)*$""), """", PROPER(SUBSTITUTE(SUBSTITUTE(G1988, ""?"", """"), ""*"", """")))"),"Lunch Bag Dolly Girl Design")</f>
        <v>Lunch Bag Dolly Girl Design</v>
      </c>
      <c r="I1988" s="3">
        <v>10.0</v>
      </c>
      <c r="J1988" s="7">
        <v>40598.652083333334</v>
      </c>
      <c r="K1988" s="8" t="str">
        <f t="shared" si="4"/>
        <v>2011-02</v>
      </c>
      <c r="L1988" s="5">
        <v>1.65</v>
      </c>
      <c r="M1988" s="3">
        <v>16722.0</v>
      </c>
      <c r="N1988" s="1" t="str">
        <f t="shared" si="5"/>
        <v>Registered</v>
      </c>
      <c r="O1988" s="1" t="s">
        <v>19</v>
      </c>
      <c r="P1988" s="9" t="str">
        <f t="shared" si="6"/>
        <v>UK</v>
      </c>
      <c r="Q1988" s="8">
        <f t="shared" si="7"/>
        <v>16.5</v>
      </c>
    </row>
    <row r="1989">
      <c r="A1989" s="1">
        <v>544914.0</v>
      </c>
      <c r="B1989" s="1" t="str">
        <f t="shared" si="1"/>
        <v>544914</v>
      </c>
      <c r="C1989" s="1" t="str">
        <f t="shared" si="2"/>
        <v>Sale</v>
      </c>
      <c r="D1989" s="1">
        <v>22384.0</v>
      </c>
      <c r="E1989" s="1" t="str">
        <f>IFERROR(__xludf.DUMMYFUNCTION("IF(LEN(D1989)&gt;4, IFERROR(REGEXEXTRACT(TO_TEXT(D1989),""\d+""),""""),"""")"),"22384")</f>
        <v>22384</v>
      </c>
      <c r="F1989" s="6" t="str">
        <f t="shared" si="3"/>
        <v>Product</v>
      </c>
      <c r="G1989" s="1" t="s">
        <v>322</v>
      </c>
      <c r="H1989" s="6" t="str">
        <f>IFERROR(__xludf.DUMMYFUNCTION("IF(REGEXMATCH(LOWER(G1989), ""^(\?)+\s*(missing)?\s*(\?)*$""), """", PROPER(SUBSTITUTE(SUBSTITUTE(G1989, ""?"", """"), ""*"", """")))"),"Lunch Bag Pink Polkadot")</f>
        <v>Lunch Bag Pink Polkadot</v>
      </c>
      <c r="I1989" s="3">
        <v>10.0</v>
      </c>
      <c r="J1989" s="7">
        <v>40598.652083333334</v>
      </c>
      <c r="K1989" s="8" t="str">
        <f t="shared" si="4"/>
        <v>2011-02</v>
      </c>
      <c r="L1989" s="5">
        <v>1.65</v>
      </c>
      <c r="M1989" s="3">
        <v>16722.0</v>
      </c>
      <c r="N1989" s="1" t="str">
        <f t="shared" si="5"/>
        <v>Registered</v>
      </c>
      <c r="O1989" s="1" t="s">
        <v>19</v>
      </c>
      <c r="P1989" s="9" t="str">
        <f t="shared" si="6"/>
        <v>UK</v>
      </c>
      <c r="Q1989" s="8">
        <f t="shared" si="7"/>
        <v>16.5</v>
      </c>
    </row>
    <row r="1990">
      <c r="A1990" s="1">
        <v>544914.0</v>
      </c>
      <c r="B1990" s="1" t="str">
        <f t="shared" si="1"/>
        <v>544914</v>
      </c>
      <c r="C1990" s="1" t="str">
        <f t="shared" si="2"/>
        <v>Sale</v>
      </c>
      <c r="D1990" s="1">
        <v>23230.0</v>
      </c>
      <c r="E1990" s="1" t="str">
        <f>IFERROR(__xludf.DUMMYFUNCTION("IF(LEN(D1990)&gt;4, IFERROR(REGEXEXTRACT(TO_TEXT(D1990),""\d+""),""""),"""")"),"23230")</f>
        <v>23230</v>
      </c>
      <c r="F1990" s="6" t="str">
        <f t="shared" si="3"/>
        <v>Product</v>
      </c>
      <c r="G1990" s="1" t="s">
        <v>1129</v>
      </c>
      <c r="H1990" s="6" t="str">
        <f>IFERROR(__xludf.DUMMYFUNCTION("IF(REGEXMATCH(LOWER(G1990), ""^(\?)+\s*(missing)?\s*(\?)*$""), """", PROPER(SUBSTITUTE(SUBSTITUTE(G1990, ""?"", """"), ""*"", """")))"),"Wrap Alphabet Design")</f>
        <v>Wrap Alphabet Design</v>
      </c>
      <c r="I1990" s="3">
        <v>25.0</v>
      </c>
      <c r="J1990" s="7">
        <v>40598.652083333334</v>
      </c>
      <c r="K1990" s="8" t="str">
        <f t="shared" si="4"/>
        <v>2011-02</v>
      </c>
      <c r="L1990" s="5">
        <v>0.42</v>
      </c>
      <c r="M1990" s="3">
        <v>16722.0</v>
      </c>
      <c r="N1990" s="1" t="str">
        <f t="shared" si="5"/>
        <v>Registered</v>
      </c>
      <c r="O1990" s="1" t="s">
        <v>19</v>
      </c>
      <c r="P1990" s="9" t="str">
        <f t="shared" si="6"/>
        <v>UK</v>
      </c>
      <c r="Q1990" s="8">
        <f t="shared" si="7"/>
        <v>10.5</v>
      </c>
    </row>
    <row r="1991">
      <c r="A1991" s="1">
        <v>544914.0</v>
      </c>
      <c r="B1991" s="1" t="str">
        <f t="shared" si="1"/>
        <v>544914</v>
      </c>
      <c r="C1991" s="1" t="str">
        <f t="shared" si="2"/>
        <v>Sale</v>
      </c>
      <c r="D1991" s="1">
        <v>22045.0</v>
      </c>
      <c r="E1991" s="1" t="str">
        <f>IFERROR(__xludf.DUMMYFUNCTION("IF(LEN(D1991)&gt;4, IFERROR(REGEXEXTRACT(TO_TEXT(D1991),""\d+""),""""),"""")"),"22045")</f>
        <v>22045</v>
      </c>
      <c r="F1991" s="6" t="str">
        <f t="shared" si="3"/>
        <v>Product</v>
      </c>
      <c r="G1991" s="1" t="s">
        <v>1130</v>
      </c>
      <c r="H1991" s="6" t="str">
        <f>IFERROR(__xludf.DUMMYFUNCTION("IF(REGEXMATCH(LOWER(G1991), ""^(\?)+\s*(missing)?\s*(\?)*$""), """", PROPER(SUBSTITUTE(SUBSTITUTE(G1991, ""?"", """"), ""*"", """")))"),"Spaceboy Gift Wrap")</f>
        <v>Spaceboy Gift Wrap</v>
      </c>
      <c r="I1991" s="3">
        <v>25.0</v>
      </c>
      <c r="J1991" s="7">
        <v>40598.652083333334</v>
      </c>
      <c r="K1991" s="8" t="str">
        <f t="shared" si="4"/>
        <v>2011-02</v>
      </c>
      <c r="L1991" s="5">
        <v>0.42</v>
      </c>
      <c r="M1991" s="3">
        <v>16722.0</v>
      </c>
      <c r="N1991" s="1" t="str">
        <f t="shared" si="5"/>
        <v>Registered</v>
      </c>
      <c r="O1991" s="1" t="s">
        <v>19</v>
      </c>
      <c r="P1991" s="9" t="str">
        <f t="shared" si="6"/>
        <v>UK</v>
      </c>
      <c r="Q1991" s="8">
        <f t="shared" si="7"/>
        <v>10.5</v>
      </c>
    </row>
    <row r="1992">
      <c r="A1992" s="1">
        <v>544914.0</v>
      </c>
      <c r="B1992" s="1" t="str">
        <f t="shared" si="1"/>
        <v>544914</v>
      </c>
      <c r="C1992" s="1" t="str">
        <f t="shared" si="2"/>
        <v>Sale</v>
      </c>
      <c r="D1992" s="1">
        <v>22569.0</v>
      </c>
      <c r="E1992" s="1" t="str">
        <f>IFERROR(__xludf.DUMMYFUNCTION("IF(LEN(D1992)&gt;4, IFERROR(REGEXEXTRACT(TO_TEXT(D1992),""\d+""),""""),"""")"),"22569")</f>
        <v>22569</v>
      </c>
      <c r="F1992" s="6" t="str">
        <f t="shared" si="3"/>
        <v>Product</v>
      </c>
      <c r="G1992" s="1" t="s">
        <v>454</v>
      </c>
      <c r="H1992" s="6" t="str">
        <f>IFERROR(__xludf.DUMMYFUNCTION("IF(REGEXMATCH(LOWER(G1992), ""^(\?)+\s*(missing)?\s*(\?)*$""), """", PROPER(SUBSTITUTE(SUBSTITUTE(G1992, ""?"", """"), ""*"", """")))"),"Feltcraft Cushion Butterfly")</f>
        <v>Feltcraft Cushion Butterfly</v>
      </c>
      <c r="I1992" s="3">
        <v>24.0</v>
      </c>
      <c r="J1992" s="7">
        <v>40598.652083333334</v>
      </c>
      <c r="K1992" s="8" t="str">
        <f t="shared" si="4"/>
        <v>2011-02</v>
      </c>
      <c r="L1992" s="5">
        <v>3.39</v>
      </c>
      <c r="M1992" s="3">
        <v>16722.0</v>
      </c>
      <c r="N1992" s="1" t="str">
        <f t="shared" si="5"/>
        <v>Registered</v>
      </c>
      <c r="O1992" s="1" t="s">
        <v>19</v>
      </c>
      <c r="P1992" s="9" t="str">
        <f t="shared" si="6"/>
        <v>UK</v>
      </c>
      <c r="Q1992" s="8">
        <f t="shared" si="7"/>
        <v>81.36</v>
      </c>
    </row>
    <row r="1993">
      <c r="A1993" s="1">
        <v>544915.0</v>
      </c>
      <c r="B1993" s="1" t="str">
        <f t="shared" si="1"/>
        <v>544915</v>
      </c>
      <c r="C1993" s="1" t="str">
        <f t="shared" si="2"/>
        <v>Sale</v>
      </c>
      <c r="D1993" s="1">
        <v>21232.0</v>
      </c>
      <c r="E1993" s="1" t="str">
        <f>IFERROR(__xludf.DUMMYFUNCTION("IF(LEN(D1993)&gt;4, IFERROR(REGEXEXTRACT(TO_TEXT(D1993),""\d+""),""""),"""")"),"21232")</f>
        <v>21232</v>
      </c>
      <c r="F1993" s="6" t="str">
        <f t="shared" si="3"/>
        <v>Product</v>
      </c>
      <c r="G1993" s="1" t="s">
        <v>264</v>
      </c>
      <c r="H1993" s="6" t="str">
        <f>IFERROR(__xludf.DUMMYFUNCTION("IF(REGEXMATCH(LOWER(G1993), ""^(\?)+\s*(missing)?\s*(\?)*$""), """", PROPER(SUBSTITUTE(SUBSTITUTE(G1993, ""?"", """"), ""*"", """")))"),"Strawberry Ceramic Trinket Box")</f>
        <v>Strawberry Ceramic Trinket Box</v>
      </c>
      <c r="I1993" s="3">
        <v>24.0</v>
      </c>
      <c r="J1993" s="7">
        <v>40598.65347222222</v>
      </c>
      <c r="K1993" s="8" t="str">
        <f t="shared" si="4"/>
        <v>2011-02</v>
      </c>
      <c r="L1993" s="5">
        <v>1.06</v>
      </c>
      <c r="M1993" s="3">
        <v>13777.0</v>
      </c>
      <c r="N1993" s="1" t="str">
        <f t="shared" si="5"/>
        <v>Registered</v>
      </c>
      <c r="O1993" s="1" t="s">
        <v>19</v>
      </c>
      <c r="P1993" s="9" t="str">
        <f t="shared" si="6"/>
        <v>UK</v>
      </c>
      <c r="Q1993" s="8">
        <f t="shared" si="7"/>
        <v>25.44</v>
      </c>
    </row>
    <row r="1994">
      <c r="A1994" s="1">
        <v>544915.0</v>
      </c>
      <c r="B1994" s="1" t="str">
        <f t="shared" si="1"/>
        <v>544915</v>
      </c>
      <c r="C1994" s="1" t="str">
        <f t="shared" si="2"/>
        <v>Sale</v>
      </c>
      <c r="D1994" s="1">
        <v>22041.0</v>
      </c>
      <c r="E1994" s="1" t="str">
        <f>IFERROR(__xludf.DUMMYFUNCTION("IF(LEN(D1994)&gt;4, IFERROR(REGEXEXTRACT(TO_TEXT(D1994),""\d+""),""""),"""")"),"22041")</f>
        <v>22041</v>
      </c>
      <c r="F1994" s="6" t="str">
        <f t="shared" si="3"/>
        <v>Product</v>
      </c>
      <c r="G1994" s="1" t="s">
        <v>615</v>
      </c>
      <c r="H1994" s="6" t="str">
        <f>IFERROR(__xludf.DUMMYFUNCTION("IF(REGEXMATCH(LOWER(G1994), ""^(\?)+\s*(missing)?\s*(\?)*$""), """", PROPER(SUBSTITUTE(SUBSTITUTE(G1994, ""?"", """"), ""*"", """")))"),"Record Frame 7"" Single Size")</f>
        <v>Record Frame 7" Single Size</v>
      </c>
      <c r="I1994" s="3">
        <v>18.0</v>
      </c>
      <c r="J1994" s="7">
        <v>40598.65347222222</v>
      </c>
      <c r="K1994" s="8" t="str">
        <f t="shared" si="4"/>
        <v>2011-02</v>
      </c>
      <c r="L1994" s="5">
        <v>2.1</v>
      </c>
      <c r="M1994" s="3">
        <v>13777.0</v>
      </c>
      <c r="N1994" s="1" t="str">
        <f t="shared" si="5"/>
        <v>Registered</v>
      </c>
      <c r="O1994" s="1" t="s">
        <v>19</v>
      </c>
      <c r="P1994" s="9" t="str">
        <f t="shared" si="6"/>
        <v>UK</v>
      </c>
      <c r="Q1994" s="8">
        <f t="shared" si="7"/>
        <v>37.8</v>
      </c>
    </row>
    <row r="1995">
      <c r="A1995" s="1">
        <v>544915.0</v>
      </c>
      <c r="B1995" s="1" t="str">
        <f t="shared" si="1"/>
        <v>544915</v>
      </c>
      <c r="C1995" s="1" t="str">
        <f t="shared" si="2"/>
        <v>Sale</v>
      </c>
      <c r="D1995" s="1">
        <v>84050.0</v>
      </c>
      <c r="E1995" s="1" t="str">
        <f>IFERROR(__xludf.DUMMYFUNCTION("IF(LEN(D1995)&gt;4, IFERROR(REGEXEXTRACT(TO_TEXT(D1995),""\d+""),""""),"""")"),"84050")</f>
        <v>84050</v>
      </c>
      <c r="F1995" s="6" t="str">
        <f t="shared" si="3"/>
        <v>Product</v>
      </c>
      <c r="G1995" s="1" t="s">
        <v>1131</v>
      </c>
      <c r="H1995" s="6" t="str">
        <f>IFERROR(__xludf.DUMMYFUNCTION("IF(REGEXMATCH(LOWER(G1995), ""^(\?)+\s*(missing)?\s*(\?)*$""), """", PROPER(SUBSTITUTE(SUBSTITUTE(G1995, ""?"", """"), ""*"", """")))"),"Pink Heart Shape Egg Frying Pan")</f>
        <v>Pink Heart Shape Egg Frying Pan</v>
      </c>
      <c r="I1995" s="3">
        <v>24.0</v>
      </c>
      <c r="J1995" s="7">
        <v>40598.65347222222</v>
      </c>
      <c r="K1995" s="8" t="str">
        <f t="shared" si="4"/>
        <v>2011-02</v>
      </c>
      <c r="L1995" s="5">
        <v>1.25</v>
      </c>
      <c r="M1995" s="3">
        <v>13777.0</v>
      </c>
      <c r="N1995" s="1" t="str">
        <f t="shared" si="5"/>
        <v>Registered</v>
      </c>
      <c r="O1995" s="1" t="s">
        <v>19</v>
      </c>
      <c r="P1995" s="9" t="str">
        <f t="shared" si="6"/>
        <v>UK</v>
      </c>
      <c r="Q1995" s="8">
        <f t="shared" si="7"/>
        <v>30</v>
      </c>
    </row>
    <row r="1996">
      <c r="A1996" s="1">
        <v>544915.0</v>
      </c>
      <c r="B1996" s="1" t="str">
        <f t="shared" si="1"/>
        <v>544915</v>
      </c>
      <c r="C1996" s="1" t="str">
        <f t="shared" si="2"/>
        <v>Sale</v>
      </c>
      <c r="D1996" s="1" t="s">
        <v>17</v>
      </c>
      <c r="E1996" s="1" t="str">
        <f>IFERROR(__xludf.DUMMYFUNCTION("IF(LEN(D1996)&gt;4, IFERROR(REGEXEXTRACT(TO_TEXT(D1996),""\d+""),""""),"""")"),"85123")</f>
        <v>85123</v>
      </c>
      <c r="F1996" s="6" t="str">
        <f t="shared" si="3"/>
        <v>Product</v>
      </c>
      <c r="G1996" s="1" t="s">
        <v>18</v>
      </c>
      <c r="H1996" s="6" t="str">
        <f>IFERROR(__xludf.DUMMYFUNCTION("IF(REGEXMATCH(LOWER(G1996), ""^(\?)+\s*(missing)?\s*(\?)*$""), """", PROPER(SUBSTITUTE(SUBSTITUTE(G1996, ""?"", """"), ""*"", """")))"),"White Hanging Heart T-Light Holder")</f>
        <v>White Hanging Heart T-Light Holder</v>
      </c>
      <c r="I1996" s="3">
        <v>12.0</v>
      </c>
      <c r="J1996" s="7">
        <v>40598.65347222222</v>
      </c>
      <c r="K1996" s="8" t="str">
        <f t="shared" si="4"/>
        <v>2011-02</v>
      </c>
      <c r="L1996" s="5">
        <v>2.55</v>
      </c>
      <c r="M1996" s="3">
        <v>13777.0</v>
      </c>
      <c r="N1996" s="1" t="str">
        <f t="shared" si="5"/>
        <v>Registered</v>
      </c>
      <c r="O1996" s="1" t="s">
        <v>19</v>
      </c>
      <c r="P1996" s="9" t="str">
        <f t="shared" si="6"/>
        <v>UK</v>
      </c>
      <c r="Q1996" s="8">
        <f t="shared" si="7"/>
        <v>30.6</v>
      </c>
    </row>
    <row r="1997">
      <c r="A1997" s="1">
        <v>544915.0</v>
      </c>
      <c r="B1997" s="1" t="str">
        <f t="shared" si="1"/>
        <v>544915</v>
      </c>
      <c r="C1997" s="1" t="str">
        <f t="shared" si="2"/>
        <v>Sale</v>
      </c>
      <c r="D1997" s="1">
        <v>20679.0</v>
      </c>
      <c r="E1997" s="1" t="str">
        <f>IFERROR(__xludf.DUMMYFUNCTION("IF(LEN(D1997)&gt;4, IFERROR(REGEXEXTRACT(TO_TEXT(D1997),""\d+""),""""),"""")"),"20679")</f>
        <v>20679</v>
      </c>
      <c r="F1997" s="6" t="str">
        <f t="shared" si="3"/>
        <v>Product</v>
      </c>
      <c r="G1997" s="1" t="s">
        <v>71</v>
      </c>
      <c r="H1997" s="6" t="str">
        <f>IFERROR(__xludf.DUMMYFUNCTION("IF(REGEXMATCH(LOWER(G1997), ""^(\?)+\s*(missing)?\s*(\?)*$""), """", PROPER(SUBSTITUTE(SUBSTITUTE(G1997, ""?"", """"), ""*"", """")))"),"Edwardian Parasol Red")</f>
        <v>Edwardian Parasol Red</v>
      </c>
      <c r="I1997" s="3">
        <v>12.0</v>
      </c>
      <c r="J1997" s="7">
        <v>40598.65347222222</v>
      </c>
      <c r="K1997" s="8" t="str">
        <f t="shared" si="4"/>
        <v>2011-02</v>
      </c>
      <c r="L1997" s="5">
        <v>4.6</v>
      </c>
      <c r="M1997" s="3">
        <v>13777.0</v>
      </c>
      <c r="N1997" s="1" t="str">
        <f t="shared" si="5"/>
        <v>Registered</v>
      </c>
      <c r="O1997" s="1" t="s">
        <v>19</v>
      </c>
      <c r="P1997" s="9" t="str">
        <f t="shared" si="6"/>
        <v>UK</v>
      </c>
      <c r="Q1997" s="8">
        <f t="shared" si="7"/>
        <v>55.2</v>
      </c>
    </row>
    <row r="1998">
      <c r="A1998" s="1">
        <v>544916.0</v>
      </c>
      <c r="B1998" s="1" t="str">
        <f t="shared" si="1"/>
        <v>544916</v>
      </c>
      <c r="C1998" s="1" t="str">
        <f t="shared" si="2"/>
        <v>Sale</v>
      </c>
      <c r="D1998" s="1">
        <v>22994.0</v>
      </c>
      <c r="E1998" s="1" t="str">
        <f>IFERROR(__xludf.DUMMYFUNCTION("IF(LEN(D1998)&gt;4, IFERROR(REGEXEXTRACT(TO_TEXT(D1998),""\d+""),""""),"""")"),"22994")</f>
        <v>22994</v>
      </c>
      <c r="F1998" s="6" t="str">
        <f t="shared" si="3"/>
        <v>Product</v>
      </c>
      <c r="G1998" s="1" t="s">
        <v>997</v>
      </c>
      <c r="H1998" s="6" t="str">
        <f>IFERROR(__xludf.DUMMYFUNCTION("IF(REGEXMATCH(LOWER(G1998), ""^(\?)+\s*(missing)?\s*(\?)*$""), """", PROPER(SUBSTITUTE(SUBSTITUTE(G1998, ""?"", """"), ""*"", """")))"),"Travel Card Wallet Retrospot")</f>
        <v>Travel Card Wallet Retrospot</v>
      </c>
      <c r="I1998" s="3">
        <v>10.0</v>
      </c>
      <c r="J1998" s="7">
        <v>40598.65416666667</v>
      </c>
      <c r="K1998" s="8" t="str">
        <f t="shared" si="4"/>
        <v>2011-02</v>
      </c>
      <c r="L1998" s="5">
        <v>0.42</v>
      </c>
      <c r="M1998" s="3">
        <v>17377.0</v>
      </c>
      <c r="N1998" s="1" t="str">
        <f t="shared" si="5"/>
        <v>Registered</v>
      </c>
      <c r="O1998" s="1" t="s">
        <v>19</v>
      </c>
      <c r="P1998" s="9" t="str">
        <f t="shared" si="6"/>
        <v>UK</v>
      </c>
      <c r="Q1998" s="8">
        <f t="shared" si="7"/>
        <v>4.2</v>
      </c>
    </row>
    <row r="1999">
      <c r="A1999" s="1">
        <v>544916.0</v>
      </c>
      <c r="B1999" s="1" t="str">
        <f t="shared" si="1"/>
        <v>544916</v>
      </c>
      <c r="C1999" s="1" t="str">
        <f t="shared" si="2"/>
        <v>Sale</v>
      </c>
      <c r="D1999" s="1">
        <v>22998.0</v>
      </c>
      <c r="E1999" s="1" t="str">
        <f>IFERROR(__xludf.DUMMYFUNCTION("IF(LEN(D1999)&gt;4, IFERROR(REGEXEXTRACT(TO_TEXT(D1999),""\d+""),""""),"""")"),"22998")</f>
        <v>22998</v>
      </c>
      <c r="F1999" s="6" t="str">
        <f t="shared" si="3"/>
        <v>Product</v>
      </c>
      <c r="G1999" s="1" t="s">
        <v>712</v>
      </c>
      <c r="H1999" s="6" t="str">
        <f>IFERROR(__xludf.DUMMYFUNCTION("IF(REGEXMATCH(LOWER(G1999), ""^(\?)+\s*(missing)?\s*(\?)*$""), """", PROPER(SUBSTITUTE(SUBSTITUTE(G1999, ""?"", """"), ""*"", """")))"),"Travel Card Wallet Keep Calm")</f>
        <v>Travel Card Wallet Keep Calm</v>
      </c>
      <c r="I1999" s="3">
        <v>10.0</v>
      </c>
      <c r="J1999" s="7">
        <v>40598.65416666667</v>
      </c>
      <c r="K1999" s="8" t="str">
        <f t="shared" si="4"/>
        <v>2011-02</v>
      </c>
      <c r="L1999" s="5">
        <v>0.42</v>
      </c>
      <c r="M1999" s="3">
        <v>17377.0</v>
      </c>
      <c r="N1999" s="1" t="str">
        <f t="shared" si="5"/>
        <v>Registered</v>
      </c>
      <c r="O1999" s="1" t="s">
        <v>19</v>
      </c>
      <c r="P1999" s="9" t="str">
        <f t="shared" si="6"/>
        <v>UK</v>
      </c>
      <c r="Q1999" s="8">
        <f t="shared" si="7"/>
        <v>4.2</v>
      </c>
    </row>
    <row r="2000">
      <c r="A2000" s="1">
        <v>544916.0</v>
      </c>
      <c r="B2000" s="1" t="str">
        <f t="shared" si="1"/>
        <v>544916</v>
      </c>
      <c r="C2000" s="1" t="str">
        <f t="shared" si="2"/>
        <v>Sale</v>
      </c>
      <c r="D2000" s="1" t="s">
        <v>1132</v>
      </c>
      <c r="E2000" s="1" t="str">
        <f>IFERROR(__xludf.DUMMYFUNCTION("IF(LEN(D2000)&gt;4, IFERROR(REGEXEXTRACT(TO_TEXT(D2000),""\d+""),""""),"""")"),"84279")</f>
        <v>84279</v>
      </c>
      <c r="F2000" s="6" t="str">
        <f t="shared" si="3"/>
        <v>Product</v>
      </c>
      <c r="G2000" s="1" t="s">
        <v>849</v>
      </c>
      <c r="H2000" s="6" t="str">
        <f>IFERROR(__xludf.DUMMYFUNCTION("IF(REGEXMATCH(LOWER(G2000), ""^(\?)+\s*(missing)?\s*(\?)*$""), """", PROPER(SUBSTITUTE(SUBSTITUTE(G2000, ""?"", """"), ""*"", """")))"),"Cherry Blossom Decorative Flask")</f>
        <v>Cherry Blossom Decorative Flask</v>
      </c>
      <c r="I2000" s="3">
        <v>1.0</v>
      </c>
      <c r="J2000" s="7">
        <v>40598.65416666667</v>
      </c>
      <c r="K2000" s="8" t="str">
        <f t="shared" si="4"/>
        <v>2011-02</v>
      </c>
      <c r="L2000" s="5">
        <v>3.75</v>
      </c>
      <c r="M2000" s="3">
        <v>17377.0</v>
      </c>
      <c r="N2000" s="1" t="str">
        <f t="shared" si="5"/>
        <v>Registered</v>
      </c>
      <c r="O2000" s="1" t="s">
        <v>19</v>
      </c>
      <c r="P2000" s="9" t="str">
        <f t="shared" si="6"/>
        <v>UK</v>
      </c>
      <c r="Q2000" s="8">
        <f t="shared" si="7"/>
        <v>3.75</v>
      </c>
    </row>
    <row r="2001">
      <c r="A2001" s="1">
        <v>544916.0</v>
      </c>
      <c r="B2001" s="1" t="str">
        <f t="shared" si="1"/>
        <v>544916</v>
      </c>
      <c r="C2001" s="1" t="str">
        <f t="shared" si="2"/>
        <v>Sale</v>
      </c>
      <c r="D2001" s="1" t="s">
        <v>848</v>
      </c>
      <c r="E2001" s="1" t="str">
        <f>IFERROR(__xludf.DUMMYFUNCTION("IF(LEN(D2001)&gt;4, IFERROR(REGEXEXTRACT(TO_TEXT(D2001),""\d+""),""""),"""")"),"84279")</f>
        <v>84279</v>
      </c>
      <c r="F2001" s="6" t="str">
        <f t="shared" si="3"/>
        <v>Product</v>
      </c>
      <c r="G2001" s="1" t="s">
        <v>849</v>
      </c>
      <c r="H2001" s="6" t="str">
        <f>IFERROR(__xludf.DUMMYFUNCTION("IF(REGEXMATCH(LOWER(G2001), ""^(\?)+\s*(missing)?\s*(\?)*$""), """", PROPER(SUBSTITUTE(SUBSTITUTE(G2001, ""?"", """"), ""*"", """")))"),"Cherry Blossom Decorative Flask")</f>
        <v>Cherry Blossom Decorative Flask</v>
      </c>
      <c r="I2001" s="3">
        <v>1.0</v>
      </c>
      <c r="J2001" s="7">
        <v>40598.65416666667</v>
      </c>
      <c r="K2001" s="8" t="str">
        <f t="shared" si="4"/>
        <v>2011-02</v>
      </c>
      <c r="L2001" s="5">
        <v>3.75</v>
      </c>
      <c r="M2001" s="3">
        <v>17377.0</v>
      </c>
      <c r="N2001" s="1" t="str">
        <f t="shared" si="5"/>
        <v>Registered</v>
      </c>
      <c r="O2001" s="1" t="s">
        <v>19</v>
      </c>
      <c r="P2001" s="9" t="str">
        <f t="shared" si="6"/>
        <v>UK</v>
      </c>
      <c r="Q2001" s="8">
        <f t="shared" si="7"/>
        <v>3.75</v>
      </c>
    </row>
    <row r="2002">
      <c r="A2002" s="1">
        <v>544916.0</v>
      </c>
      <c r="B2002" s="1" t="str">
        <f t="shared" si="1"/>
        <v>544916</v>
      </c>
      <c r="C2002" s="1" t="str">
        <f t="shared" si="2"/>
        <v>Sale</v>
      </c>
      <c r="D2002" s="1" t="s">
        <v>1133</v>
      </c>
      <c r="E2002" s="1" t="str">
        <f>IFERROR(__xludf.DUMMYFUNCTION("IF(LEN(D2002)&gt;4, IFERROR(REGEXEXTRACT(TO_TEXT(D2002),""\d+""),""""),"""")"),"35809")</f>
        <v>35809</v>
      </c>
      <c r="F2002" s="6" t="str">
        <f t="shared" si="3"/>
        <v>Product</v>
      </c>
      <c r="G2002" s="1" t="s">
        <v>1134</v>
      </c>
      <c r="H2002" s="6" t="str">
        <f>IFERROR(__xludf.DUMMYFUNCTION("IF(REGEXMATCH(LOWER(G2002), ""^(\?)+\s*(missing)?\s*(\?)*$""), """", PROPER(SUBSTITUTE(SUBSTITUTE(G2002, ""?"", """"), ""*"", """")))"),"Enamel Pink Tea Container")</f>
        <v>Enamel Pink Tea Container</v>
      </c>
      <c r="I2002" s="3">
        <v>1.0</v>
      </c>
      <c r="J2002" s="7">
        <v>40598.65416666667</v>
      </c>
      <c r="K2002" s="8" t="str">
        <f t="shared" si="4"/>
        <v>2011-02</v>
      </c>
      <c r="L2002" s="5">
        <v>2.1</v>
      </c>
      <c r="M2002" s="3">
        <v>17377.0</v>
      </c>
      <c r="N2002" s="1" t="str">
        <f t="shared" si="5"/>
        <v>Registered</v>
      </c>
      <c r="O2002" s="1" t="s">
        <v>19</v>
      </c>
      <c r="P2002" s="9" t="str">
        <f t="shared" si="6"/>
        <v>UK</v>
      </c>
      <c r="Q2002" s="8">
        <f t="shared" si="7"/>
        <v>2.1</v>
      </c>
    </row>
    <row r="2003">
      <c r="A2003" s="1">
        <v>544916.0</v>
      </c>
      <c r="B2003" s="1" t="str">
        <f t="shared" si="1"/>
        <v>544916</v>
      </c>
      <c r="C2003" s="1" t="str">
        <f t="shared" si="2"/>
        <v>Sale</v>
      </c>
      <c r="D2003" s="1" t="s">
        <v>1135</v>
      </c>
      <c r="E2003" s="1" t="str">
        <f>IFERROR(__xludf.DUMMYFUNCTION("IF(LEN(D2003)&gt;4, IFERROR(REGEXEXTRACT(TO_TEXT(D2003),""\d+""),""""),"""")"),"35810")</f>
        <v>35810</v>
      </c>
      <c r="F2003" s="6" t="str">
        <f t="shared" si="3"/>
        <v>Product</v>
      </c>
      <c r="G2003" s="1" t="s">
        <v>1136</v>
      </c>
      <c r="H2003" s="6" t="str">
        <f>IFERROR(__xludf.DUMMYFUNCTION("IF(REGEXMATCH(LOWER(G2003), ""^(\?)+\s*(missing)?\s*(\?)*$""), """", PROPER(SUBSTITUTE(SUBSTITUTE(G2003, ""?"", """"), ""*"", """")))"),"Enamel Pink Coffee Container")</f>
        <v>Enamel Pink Coffee Container</v>
      </c>
      <c r="I2003" s="3">
        <v>1.0</v>
      </c>
      <c r="J2003" s="7">
        <v>40598.65416666667</v>
      </c>
      <c r="K2003" s="8" t="str">
        <f t="shared" si="4"/>
        <v>2011-02</v>
      </c>
      <c r="L2003" s="5">
        <v>2.1</v>
      </c>
      <c r="M2003" s="3">
        <v>17377.0</v>
      </c>
      <c r="N2003" s="1" t="str">
        <f t="shared" si="5"/>
        <v>Registered</v>
      </c>
      <c r="O2003" s="1" t="s">
        <v>19</v>
      </c>
      <c r="P2003" s="9" t="str">
        <f t="shared" si="6"/>
        <v>UK</v>
      </c>
      <c r="Q2003" s="8">
        <f t="shared" si="7"/>
        <v>2.1</v>
      </c>
    </row>
    <row r="2004">
      <c r="A2004" s="1">
        <v>544916.0</v>
      </c>
      <c r="B2004" s="1" t="str">
        <f t="shared" si="1"/>
        <v>544916</v>
      </c>
      <c r="C2004" s="1" t="str">
        <f t="shared" si="2"/>
        <v>Sale</v>
      </c>
      <c r="D2004" s="1">
        <v>21755.0</v>
      </c>
      <c r="E2004" s="1" t="str">
        <f>IFERROR(__xludf.DUMMYFUNCTION("IF(LEN(D2004)&gt;4, IFERROR(REGEXEXTRACT(TO_TEXT(D2004),""\d+""),""""),"""")"),"21755")</f>
        <v>21755</v>
      </c>
      <c r="F2004" s="6" t="str">
        <f t="shared" si="3"/>
        <v>Product</v>
      </c>
      <c r="G2004" s="1" t="s">
        <v>40</v>
      </c>
      <c r="H2004" s="6" t="str">
        <f>IFERROR(__xludf.DUMMYFUNCTION("IF(REGEXMATCH(LOWER(G2004), ""^(\?)+\s*(missing)?\s*(\?)*$""), """", PROPER(SUBSTITUTE(SUBSTITUTE(G2004, ""?"", """"), ""*"", """")))"),"Love Building Block Word")</f>
        <v>Love Building Block Word</v>
      </c>
      <c r="I2004" s="3">
        <v>2.0</v>
      </c>
      <c r="J2004" s="7">
        <v>40598.65416666667</v>
      </c>
      <c r="K2004" s="8" t="str">
        <f t="shared" si="4"/>
        <v>2011-02</v>
      </c>
      <c r="L2004" s="5">
        <v>5.95</v>
      </c>
      <c r="M2004" s="3">
        <v>17377.0</v>
      </c>
      <c r="N2004" s="1" t="str">
        <f t="shared" si="5"/>
        <v>Registered</v>
      </c>
      <c r="O2004" s="1" t="s">
        <v>19</v>
      </c>
      <c r="P2004" s="9" t="str">
        <f t="shared" si="6"/>
        <v>UK</v>
      </c>
      <c r="Q2004" s="8">
        <f t="shared" si="7"/>
        <v>11.9</v>
      </c>
    </row>
    <row r="2005">
      <c r="A2005" s="1">
        <v>544916.0</v>
      </c>
      <c r="B2005" s="1" t="str">
        <f t="shared" si="1"/>
        <v>544916</v>
      </c>
      <c r="C2005" s="1" t="str">
        <f t="shared" si="2"/>
        <v>Sale</v>
      </c>
      <c r="D2005" s="1">
        <v>21754.0</v>
      </c>
      <c r="E2005" s="1" t="str">
        <f>IFERROR(__xludf.DUMMYFUNCTION("IF(LEN(D2005)&gt;4, IFERROR(REGEXEXTRACT(TO_TEXT(D2005),""\d+""),""""),"""")"),"21754")</f>
        <v>21754</v>
      </c>
      <c r="F2005" s="6" t="str">
        <f t="shared" si="3"/>
        <v>Product</v>
      </c>
      <c r="G2005" s="1" t="s">
        <v>39</v>
      </c>
      <c r="H2005" s="6" t="str">
        <f>IFERROR(__xludf.DUMMYFUNCTION("IF(REGEXMATCH(LOWER(G2005), ""^(\?)+\s*(missing)?\s*(\?)*$""), """", PROPER(SUBSTITUTE(SUBSTITUTE(G2005, ""?"", """"), ""*"", """")))"),"Home Building Block Word")</f>
        <v>Home Building Block Word</v>
      </c>
      <c r="I2005" s="3">
        <v>2.0</v>
      </c>
      <c r="J2005" s="7">
        <v>40598.65416666667</v>
      </c>
      <c r="K2005" s="8" t="str">
        <f t="shared" si="4"/>
        <v>2011-02</v>
      </c>
      <c r="L2005" s="5">
        <v>5.95</v>
      </c>
      <c r="M2005" s="3">
        <v>17377.0</v>
      </c>
      <c r="N2005" s="1" t="str">
        <f t="shared" si="5"/>
        <v>Registered</v>
      </c>
      <c r="O2005" s="1" t="s">
        <v>19</v>
      </c>
      <c r="P2005" s="9" t="str">
        <f t="shared" si="6"/>
        <v>UK</v>
      </c>
      <c r="Q2005" s="8">
        <f t="shared" si="7"/>
        <v>11.9</v>
      </c>
    </row>
    <row r="2006">
      <c r="A2006" s="1">
        <v>544916.0</v>
      </c>
      <c r="B2006" s="1" t="str">
        <f t="shared" si="1"/>
        <v>544916</v>
      </c>
      <c r="C2006" s="1" t="str">
        <f t="shared" si="2"/>
        <v>Sale</v>
      </c>
      <c r="D2006" s="1">
        <v>22353.0</v>
      </c>
      <c r="E2006" s="1" t="str">
        <f>IFERROR(__xludf.DUMMYFUNCTION("IF(LEN(D2006)&gt;4, IFERROR(REGEXEXTRACT(TO_TEXT(D2006),""\d+""),""""),"""")"),"22353")</f>
        <v>22353</v>
      </c>
      <c r="F2006" s="6" t="str">
        <f t="shared" si="3"/>
        <v>Product</v>
      </c>
      <c r="G2006" s="1" t="s">
        <v>1115</v>
      </c>
      <c r="H2006" s="6" t="str">
        <f>IFERROR(__xludf.DUMMYFUNCTION("IF(REGEXMATCH(LOWER(G2006), ""^(\?)+\s*(missing)?\s*(\?)*$""), """", PROPER(SUBSTITUTE(SUBSTITUTE(G2006, ""?"", """"), ""*"", """")))"),"Lunch Box With Cutlery Fairy Cakes")</f>
        <v>Lunch Box With Cutlery Fairy Cakes</v>
      </c>
      <c r="I2006" s="3">
        <v>2.0</v>
      </c>
      <c r="J2006" s="7">
        <v>40598.65416666667</v>
      </c>
      <c r="K2006" s="8" t="str">
        <f t="shared" si="4"/>
        <v>2011-02</v>
      </c>
      <c r="L2006" s="5">
        <v>2.55</v>
      </c>
      <c r="M2006" s="3">
        <v>17377.0</v>
      </c>
      <c r="N2006" s="1" t="str">
        <f t="shared" si="5"/>
        <v>Registered</v>
      </c>
      <c r="O2006" s="1" t="s">
        <v>19</v>
      </c>
      <c r="P2006" s="9" t="str">
        <f t="shared" si="6"/>
        <v>UK</v>
      </c>
      <c r="Q2006" s="8">
        <f t="shared" si="7"/>
        <v>5.1</v>
      </c>
    </row>
    <row r="2007">
      <c r="A2007" s="1">
        <v>544916.0</v>
      </c>
      <c r="B2007" s="1" t="str">
        <f t="shared" si="1"/>
        <v>544916</v>
      </c>
      <c r="C2007" s="1" t="str">
        <f t="shared" si="2"/>
        <v>Sale</v>
      </c>
      <c r="D2007" s="1">
        <v>21559.0</v>
      </c>
      <c r="E2007" s="1" t="str">
        <f>IFERROR(__xludf.DUMMYFUNCTION("IF(LEN(D2007)&gt;4, IFERROR(REGEXEXTRACT(TO_TEXT(D2007),""\d+""),""""),"""")"),"21559")</f>
        <v>21559</v>
      </c>
      <c r="F2007" s="6" t="str">
        <f t="shared" si="3"/>
        <v>Product</v>
      </c>
      <c r="G2007" s="1" t="s">
        <v>95</v>
      </c>
      <c r="H2007" s="6" t="str">
        <f>IFERROR(__xludf.DUMMYFUNCTION("IF(REGEXMATCH(LOWER(G2007), ""^(\?)+\s*(missing)?\s*(\?)*$""), """", PROPER(SUBSTITUTE(SUBSTITUTE(G2007, ""?"", """"), ""*"", """")))"),"Strawberry Lunch Box With Cutlery")</f>
        <v>Strawberry Lunch Box With Cutlery</v>
      </c>
      <c r="I2007" s="3">
        <v>2.0</v>
      </c>
      <c r="J2007" s="7">
        <v>40598.65416666667</v>
      </c>
      <c r="K2007" s="8" t="str">
        <f t="shared" si="4"/>
        <v>2011-02</v>
      </c>
      <c r="L2007" s="5">
        <v>2.55</v>
      </c>
      <c r="M2007" s="3">
        <v>17377.0</v>
      </c>
      <c r="N2007" s="1" t="str">
        <f t="shared" si="5"/>
        <v>Registered</v>
      </c>
      <c r="O2007" s="1" t="s">
        <v>19</v>
      </c>
      <c r="P2007" s="9" t="str">
        <f t="shared" si="6"/>
        <v>UK</v>
      </c>
      <c r="Q2007" s="8">
        <f t="shared" si="7"/>
        <v>5.1</v>
      </c>
    </row>
    <row r="2008">
      <c r="A2008" s="1">
        <v>544916.0</v>
      </c>
      <c r="B2008" s="1" t="str">
        <f t="shared" si="1"/>
        <v>544916</v>
      </c>
      <c r="C2008" s="1" t="str">
        <f t="shared" si="2"/>
        <v>Sale</v>
      </c>
      <c r="D2008" s="1">
        <v>22352.0</v>
      </c>
      <c r="E2008" s="1" t="str">
        <f>IFERROR(__xludf.DUMMYFUNCTION("IF(LEN(D2008)&gt;4, IFERROR(REGEXEXTRACT(TO_TEXT(D2008),""\d+""),""""),"""")"),"22352")</f>
        <v>22352</v>
      </c>
      <c r="F2008" s="6" t="str">
        <f t="shared" si="3"/>
        <v>Product</v>
      </c>
      <c r="G2008" s="1" t="s">
        <v>96</v>
      </c>
      <c r="H2008" s="6" t="str">
        <f>IFERROR(__xludf.DUMMYFUNCTION("IF(REGEXMATCH(LOWER(G2008), ""^(\?)+\s*(missing)?\s*(\?)*$""), """", PROPER(SUBSTITUTE(SUBSTITUTE(G2008, ""?"", """"), ""*"", """")))"),"Lunch Box With Cutlery Retrospot")</f>
        <v>Lunch Box With Cutlery Retrospot</v>
      </c>
      <c r="I2008" s="3">
        <v>2.0</v>
      </c>
      <c r="J2008" s="7">
        <v>40598.65416666667</v>
      </c>
      <c r="K2008" s="8" t="str">
        <f t="shared" si="4"/>
        <v>2011-02</v>
      </c>
      <c r="L2008" s="5">
        <v>2.55</v>
      </c>
      <c r="M2008" s="3">
        <v>17377.0</v>
      </c>
      <c r="N2008" s="1" t="str">
        <f t="shared" si="5"/>
        <v>Registered</v>
      </c>
      <c r="O2008" s="1" t="s">
        <v>19</v>
      </c>
      <c r="P2008" s="9" t="str">
        <f t="shared" si="6"/>
        <v>UK</v>
      </c>
      <c r="Q2008" s="8">
        <f t="shared" si="7"/>
        <v>5.1</v>
      </c>
    </row>
    <row r="2009">
      <c r="A2009" s="1">
        <v>544916.0</v>
      </c>
      <c r="B2009" s="1" t="str">
        <f t="shared" si="1"/>
        <v>544916</v>
      </c>
      <c r="C2009" s="1" t="str">
        <f t="shared" si="2"/>
        <v>Sale</v>
      </c>
      <c r="D2009" s="1">
        <v>22983.0</v>
      </c>
      <c r="E2009" s="1" t="str">
        <f>IFERROR(__xludf.DUMMYFUNCTION("IF(LEN(D2009)&gt;4, IFERROR(REGEXEXTRACT(TO_TEXT(D2009),""\d+""),""""),"""")"),"22983")</f>
        <v>22983</v>
      </c>
      <c r="F2009" s="6" t="str">
        <f t="shared" si="3"/>
        <v>Product</v>
      </c>
      <c r="G2009" s="1" t="s">
        <v>640</v>
      </c>
      <c r="H2009" s="6" t="str">
        <f>IFERROR(__xludf.DUMMYFUNCTION("IF(REGEXMATCH(LOWER(G2009), ""^(\?)+\s*(missing)?\s*(\?)*$""), """", PROPER(SUBSTITUTE(SUBSTITUTE(G2009, ""?"", """"), ""*"", """")))"),"Card Billboard Font")</f>
        <v>Card Billboard Font</v>
      </c>
      <c r="I2009" s="3">
        <v>12.0</v>
      </c>
      <c r="J2009" s="7">
        <v>40598.65416666667</v>
      </c>
      <c r="K2009" s="8" t="str">
        <f t="shared" si="4"/>
        <v>2011-02</v>
      </c>
      <c r="L2009" s="5">
        <v>0.42</v>
      </c>
      <c r="M2009" s="3">
        <v>17377.0</v>
      </c>
      <c r="N2009" s="1" t="str">
        <f t="shared" si="5"/>
        <v>Registered</v>
      </c>
      <c r="O2009" s="1" t="s">
        <v>19</v>
      </c>
      <c r="P2009" s="9" t="str">
        <f t="shared" si="6"/>
        <v>UK</v>
      </c>
      <c r="Q2009" s="8">
        <f t="shared" si="7"/>
        <v>5.04</v>
      </c>
    </row>
    <row r="2010">
      <c r="A2010" s="1">
        <v>544916.0</v>
      </c>
      <c r="B2010" s="1" t="str">
        <f t="shared" si="1"/>
        <v>544916</v>
      </c>
      <c r="C2010" s="1" t="str">
        <f t="shared" si="2"/>
        <v>Sale</v>
      </c>
      <c r="D2010" s="1">
        <v>21507.0</v>
      </c>
      <c r="E2010" s="1" t="str">
        <f>IFERROR(__xludf.DUMMYFUNCTION("IF(LEN(D2010)&gt;4, IFERROR(REGEXEXTRACT(TO_TEXT(D2010),""\d+""),""""),"""")"),"21507")</f>
        <v>21507</v>
      </c>
      <c r="F2010" s="6" t="str">
        <f t="shared" si="3"/>
        <v>Product</v>
      </c>
      <c r="G2010" s="1" t="s">
        <v>1137</v>
      </c>
      <c r="H2010" s="6" t="str">
        <f>IFERROR(__xludf.DUMMYFUNCTION("IF(REGEXMATCH(LOWER(G2010), ""^(\?)+\s*(missing)?\s*(\?)*$""), """", PROPER(SUBSTITUTE(SUBSTITUTE(G2010, ""?"", """"), ""*"", """")))"),"Elephant, Birthday Card,")</f>
        <v>Elephant, Birthday Card,</v>
      </c>
      <c r="I2010" s="3">
        <v>12.0</v>
      </c>
      <c r="J2010" s="7">
        <v>40598.65416666667</v>
      </c>
      <c r="K2010" s="8" t="str">
        <f t="shared" si="4"/>
        <v>2011-02</v>
      </c>
      <c r="L2010" s="5">
        <v>0.42</v>
      </c>
      <c r="M2010" s="3">
        <v>17377.0</v>
      </c>
      <c r="N2010" s="1" t="str">
        <f t="shared" si="5"/>
        <v>Registered</v>
      </c>
      <c r="O2010" s="1" t="s">
        <v>19</v>
      </c>
      <c r="P2010" s="9" t="str">
        <f t="shared" si="6"/>
        <v>UK</v>
      </c>
      <c r="Q2010" s="8">
        <f t="shared" si="7"/>
        <v>5.04</v>
      </c>
    </row>
    <row r="2011">
      <c r="A2011" s="1">
        <v>544916.0</v>
      </c>
      <c r="B2011" s="1" t="str">
        <f t="shared" si="1"/>
        <v>544916</v>
      </c>
      <c r="C2011" s="1" t="str">
        <f t="shared" si="2"/>
        <v>Sale</v>
      </c>
      <c r="D2011" s="1">
        <v>21509.0</v>
      </c>
      <c r="E2011" s="1" t="str">
        <f>IFERROR(__xludf.DUMMYFUNCTION("IF(LEN(D2011)&gt;4, IFERROR(REGEXEXTRACT(TO_TEXT(D2011),""\d+""),""""),"""")"),"21509")</f>
        <v>21509</v>
      </c>
      <c r="F2011" s="6" t="str">
        <f t="shared" si="3"/>
        <v>Product</v>
      </c>
      <c r="G2011" s="1" t="s">
        <v>740</v>
      </c>
      <c r="H2011" s="6" t="str">
        <f>IFERROR(__xludf.DUMMYFUNCTION("IF(REGEXMATCH(LOWER(G2011), ""^(\?)+\s*(missing)?\s*(\?)*$""), """", PROPER(SUBSTITUTE(SUBSTITUTE(G2011, ""?"", """"), ""*"", """")))"),"Cowboys And Indians Birthday Card")</f>
        <v>Cowboys And Indians Birthday Card</v>
      </c>
      <c r="I2011" s="3">
        <v>12.0</v>
      </c>
      <c r="J2011" s="7">
        <v>40598.65416666667</v>
      </c>
      <c r="K2011" s="8" t="str">
        <f t="shared" si="4"/>
        <v>2011-02</v>
      </c>
      <c r="L2011" s="5">
        <v>0.42</v>
      </c>
      <c r="M2011" s="3">
        <v>17377.0</v>
      </c>
      <c r="N2011" s="1" t="str">
        <f t="shared" si="5"/>
        <v>Registered</v>
      </c>
      <c r="O2011" s="1" t="s">
        <v>19</v>
      </c>
      <c r="P2011" s="9" t="str">
        <f t="shared" si="6"/>
        <v>UK</v>
      </c>
      <c r="Q2011" s="8">
        <f t="shared" si="7"/>
        <v>5.04</v>
      </c>
    </row>
    <row r="2012">
      <c r="A2012" s="1">
        <v>544916.0</v>
      </c>
      <c r="B2012" s="1" t="str">
        <f t="shared" si="1"/>
        <v>544916</v>
      </c>
      <c r="C2012" s="1" t="str">
        <f t="shared" si="2"/>
        <v>Sale</v>
      </c>
      <c r="D2012" s="1">
        <v>22358.0</v>
      </c>
      <c r="E2012" s="1" t="str">
        <f>IFERROR(__xludf.DUMMYFUNCTION("IF(LEN(D2012)&gt;4, IFERROR(REGEXEXTRACT(TO_TEXT(D2012),""\d+""),""""),"""")"),"22358")</f>
        <v>22358</v>
      </c>
      <c r="F2012" s="6" t="str">
        <f t="shared" si="3"/>
        <v>Product</v>
      </c>
      <c r="G2012" s="1" t="s">
        <v>516</v>
      </c>
      <c r="H2012" s="6" t="str">
        <f>IFERROR(__xludf.DUMMYFUNCTION("IF(REGEXMATCH(LOWER(G2012), ""^(\?)+\s*(missing)?\s*(\?)*$""), """", PROPER(SUBSTITUTE(SUBSTITUTE(G2012, ""?"", """"), ""*"", """")))"),"Kings Choice Tea Caddy")</f>
        <v>Kings Choice Tea Caddy</v>
      </c>
      <c r="I2012" s="3">
        <v>2.0</v>
      </c>
      <c r="J2012" s="7">
        <v>40598.65416666667</v>
      </c>
      <c r="K2012" s="8" t="str">
        <f t="shared" si="4"/>
        <v>2011-02</v>
      </c>
      <c r="L2012" s="5">
        <v>2.95</v>
      </c>
      <c r="M2012" s="3">
        <v>17377.0</v>
      </c>
      <c r="N2012" s="1" t="str">
        <f t="shared" si="5"/>
        <v>Registered</v>
      </c>
      <c r="O2012" s="1" t="s">
        <v>19</v>
      </c>
      <c r="P2012" s="9" t="str">
        <f t="shared" si="6"/>
        <v>UK</v>
      </c>
      <c r="Q2012" s="8">
        <f t="shared" si="7"/>
        <v>5.9</v>
      </c>
    </row>
    <row r="2013">
      <c r="A2013" s="1">
        <v>544916.0</v>
      </c>
      <c r="B2013" s="1" t="str">
        <f t="shared" si="1"/>
        <v>544916</v>
      </c>
      <c r="C2013" s="1" t="str">
        <f t="shared" si="2"/>
        <v>Sale</v>
      </c>
      <c r="D2013" s="1">
        <v>21071.0</v>
      </c>
      <c r="E2013" s="1" t="str">
        <f>IFERROR(__xludf.DUMMYFUNCTION("IF(LEN(D2013)&gt;4, IFERROR(REGEXEXTRACT(TO_TEXT(D2013),""\d+""),""""),"""")"),"21071")</f>
        <v>21071</v>
      </c>
      <c r="F2013" s="6" t="str">
        <f t="shared" si="3"/>
        <v>Product</v>
      </c>
      <c r="G2013" s="1" t="s">
        <v>74</v>
      </c>
      <c r="H2013" s="6" t="str">
        <f>IFERROR(__xludf.DUMMYFUNCTION("IF(REGEXMATCH(LOWER(G2013), ""^(\?)+\s*(missing)?\s*(\?)*$""), """", PROPER(SUBSTITUTE(SUBSTITUTE(G2013, ""?"", """"), ""*"", """")))"),"Vintage Billboard Drink Me Mug")</f>
        <v>Vintage Billboard Drink Me Mug</v>
      </c>
      <c r="I2013" s="3">
        <v>3.0</v>
      </c>
      <c r="J2013" s="7">
        <v>40598.65416666667</v>
      </c>
      <c r="K2013" s="8" t="str">
        <f t="shared" si="4"/>
        <v>2011-02</v>
      </c>
      <c r="L2013" s="5">
        <v>1.25</v>
      </c>
      <c r="M2013" s="3">
        <v>17377.0</v>
      </c>
      <c r="N2013" s="1" t="str">
        <f t="shared" si="5"/>
        <v>Registered</v>
      </c>
      <c r="O2013" s="1" t="s">
        <v>19</v>
      </c>
      <c r="P2013" s="9" t="str">
        <f t="shared" si="6"/>
        <v>UK</v>
      </c>
      <c r="Q2013" s="8">
        <f t="shared" si="7"/>
        <v>3.75</v>
      </c>
    </row>
    <row r="2014">
      <c r="A2014" s="1">
        <v>544916.0</v>
      </c>
      <c r="B2014" s="1" t="str">
        <f t="shared" si="1"/>
        <v>544916</v>
      </c>
      <c r="C2014" s="1" t="str">
        <f t="shared" si="2"/>
        <v>Sale</v>
      </c>
      <c r="D2014" s="1">
        <v>21070.0</v>
      </c>
      <c r="E2014" s="1" t="str">
        <f>IFERROR(__xludf.DUMMYFUNCTION("IF(LEN(D2014)&gt;4, IFERROR(REGEXEXTRACT(TO_TEXT(D2014),""\d+""),""""),"""")"),"21070")</f>
        <v>21070</v>
      </c>
      <c r="F2014" s="6" t="str">
        <f t="shared" si="3"/>
        <v>Product</v>
      </c>
      <c r="G2014" s="1" t="s">
        <v>1138</v>
      </c>
      <c r="H2014" s="6" t="str">
        <f>IFERROR(__xludf.DUMMYFUNCTION("IF(REGEXMATCH(LOWER(G2014), ""^(\?)+\s*(missing)?\s*(\?)*$""), """", PROPER(SUBSTITUTE(SUBSTITUTE(G2014, ""?"", """"), ""*"", """")))"),"Vintage Billboard Mug")</f>
        <v>Vintage Billboard Mug</v>
      </c>
      <c r="I2014" s="3">
        <v>3.0</v>
      </c>
      <c r="J2014" s="7">
        <v>40598.65416666667</v>
      </c>
      <c r="K2014" s="8" t="str">
        <f t="shared" si="4"/>
        <v>2011-02</v>
      </c>
      <c r="L2014" s="5">
        <v>1.25</v>
      </c>
      <c r="M2014" s="3">
        <v>17377.0</v>
      </c>
      <c r="N2014" s="1" t="str">
        <f t="shared" si="5"/>
        <v>Registered</v>
      </c>
      <c r="O2014" s="1" t="s">
        <v>19</v>
      </c>
      <c r="P2014" s="9" t="str">
        <f t="shared" si="6"/>
        <v>UK</v>
      </c>
      <c r="Q2014" s="8">
        <f t="shared" si="7"/>
        <v>3.75</v>
      </c>
    </row>
    <row r="2015">
      <c r="A2015" s="1">
        <v>544916.0</v>
      </c>
      <c r="B2015" s="1" t="str">
        <f t="shared" si="1"/>
        <v>544916</v>
      </c>
      <c r="C2015" s="1" t="str">
        <f t="shared" si="2"/>
        <v>Sale</v>
      </c>
      <c r="D2015" s="1">
        <v>21622.0</v>
      </c>
      <c r="E2015" s="1" t="str">
        <f>IFERROR(__xludf.DUMMYFUNCTION("IF(LEN(D2015)&gt;4, IFERROR(REGEXEXTRACT(TO_TEXT(D2015),""\d+""),""""),"""")"),"21622")</f>
        <v>21622</v>
      </c>
      <c r="F2015" s="6" t="str">
        <f t="shared" si="3"/>
        <v>Product</v>
      </c>
      <c r="G2015" s="1" t="s">
        <v>198</v>
      </c>
      <c r="H2015" s="6" t="str">
        <f>IFERROR(__xludf.DUMMYFUNCTION("IF(REGEXMATCH(LOWER(G2015), ""^(\?)+\s*(missing)?\s*(\?)*$""), """", PROPER(SUBSTITUTE(SUBSTITUTE(G2015, ""?"", """"), ""*"", """")))"),"Vintage Union Jack Cushion Cover")</f>
        <v>Vintage Union Jack Cushion Cover</v>
      </c>
      <c r="I2015" s="3">
        <v>6.0</v>
      </c>
      <c r="J2015" s="7">
        <v>40598.65416666667</v>
      </c>
      <c r="K2015" s="8" t="str">
        <f t="shared" si="4"/>
        <v>2011-02</v>
      </c>
      <c r="L2015" s="5">
        <v>4.95</v>
      </c>
      <c r="M2015" s="3">
        <v>17377.0</v>
      </c>
      <c r="N2015" s="1" t="str">
        <f t="shared" si="5"/>
        <v>Registered</v>
      </c>
      <c r="O2015" s="1" t="s">
        <v>19</v>
      </c>
      <c r="P2015" s="9" t="str">
        <f t="shared" si="6"/>
        <v>UK</v>
      </c>
      <c r="Q2015" s="8">
        <f t="shared" si="7"/>
        <v>29.7</v>
      </c>
    </row>
    <row r="2016">
      <c r="A2016" s="1">
        <v>544916.0</v>
      </c>
      <c r="B2016" s="1" t="str">
        <f t="shared" si="1"/>
        <v>544916</v>
      </c>
      <c r="C2016" s="1" t="str">
        <f t="shared" si="2"/>
        <v>Sale</v>
      </c>
      <c r="D2016" s="1">
        <v>22900.0</v>
      </c>
      <c r="E2016" s="1" t="str">
        <f>IFERROR(__xludf.DUMMYFUNCTION("IF(LEN(D2016)&gt;4, IFERROR(REGEXEXTRACT(TO_TEXT(D2016),""\d+""),""""),"""")"),"22900")</f>
        <v>22900</v>
      </c>
      <c r="F2016" s="6" t="str">
        <f t="shared" si="3"/>
        <v>Product</v>
      </c>
      <c r="G2016" s="1" t="s">
        <v>63</v>
      </c>
      <c r="H2016" s="6" t="str">
        <f>IFERROR(__xludf.DUMMYFUNCTION("IF(REGEXMATCH(LOWER(G2016), ""^(\?)+\s*(missing)?\s*(\?)*$""), """", PROPER(SUBSTITUTE(SUBSTITUTE(G2016, ""?"", """"), ""*"", """")))"),"Set 2 Tea Towels I Love London")</f>
        <v>Set 2 Tea Towels I Love London</v>
      </c>
      <c r="I2016" s="3">
        <v>5.0</v>
      </c>
      <c r="J2016" s="7">
        <v>40598.65416666667</v>
      </c>
      <c r="K2016" s="8" t="str">
        <f t="shared" si="4"/>
        <v>2011-02</v>
      </c>
      <c r="L2016" s="5">
        <v>2.95</v>
      </c>
      <c r="M2016" s="3">
        <v>17377.0</v>
      </c>
      <c r="N2016" s="1" t="str">
        <f t="shared" si="5"/>
        <v>Registered</v>
      </c>
      <c r="O2016" s="1" t="s">
        <v>19</v>
      </c>
      <c r="P2016" s="9" t="str">
        <f t="shared" si="6"/>
        <v>UK</v>
      </c>
      <c r="Q2016" s="8">
        <f t="shared" si="7"/>
        <v>14.75</v>
      </c>
    </row>
    <row r="2017">
      <c r="A2017" s="1">
        <v>544917.0</v>
      </c>
      <c r="B2017" s="1" t="str">
        <f t="shared" si="1"/>
        <v>544917</v>
      </c>
      <c r="C2017" s="1" t="str">
        <f t="shared" si="2"/>
        <v>Sale</v>
      </c>
      <c r="D2017" s="1" t="s">
        <v>181</v>
      </c>
      <c r="E2017" s="1" t="str">
        <f>IFERROR(__xludf.DUMMYFUNCTION("IF(LEN(D2017)&gt;4, IFERROR(REGEXEXTRACT(TO_TEXT(D2017),""\d+""),""""),"""")"),"85099")</f>
        <v>85099</v>
      </c>
      <c r="F2017" s="6" t="str">
        <f t="shared" si="3"/>
        <v>Product</v>
      </c>
      <c r="G2017" s="1" t="s">
        <v>182</v>
      </c>
      <c r="H2017" s="6" t="str">
        <f>IFERROR(__xludf.DUMMYFUNCTION("IF(REGEXMATCH(LOWER(G2017), ""^(\?)+\s*(missing)?\s*(\?)*$""), """", PROPER(SUBSTITUTE(SUBSTITUTE(G2017, ""?"", """"), ""*"", """")))"),"Jumbo Bag Red Retrospot")</f>
        <v>Jumbo Bag Red Retrospot</v>
      </c>
      <c r="I2017" s="3">
        <v>100.0</v>
      </c>
      <c r="J2017" s="7">
        <v>40598.66388888889</v>
      </c>
      <c r="K2017" s="8" t="str">
        <f t="shared" si="4"/>
        <v>2011-02</v>
      </c>
      <c r="L2017" s="5">
        <v>1.65</v>
      </c>
      <c r="M2017" s="3">
        <v>13751.0</v>
      </c>
      <c r="N2017" s="1" t="str">
        <f t="shared" si="5"/>
        <v>Registered</v>
      </c>
      <c r="O2017" s="1" t="s">
        <v>19</v>
      </c>
      <c r="P2017" s="9" t="str">
        <f t="shared" si="6"/>
        <v>UK</v>
      </c>
      <c r="Q2017" s="8">
        <f t="shared" si="7"/>
        <v>165</v>
      </c>
    </row>
    <row r="2018">
      <c r="A2018" s="1">
        <v>544917.0</v>
      </c>
      <c r="B2018" s="1" t="str">
        <f t="shared" si="1"/>
        <v>544917</v>
      </c>
      <c r="C2018" s="1" t="str">
        <f t="shared" si="2"/>
        <v>Sale</v>
      </c>
      <c r="D2018" s="1" t="s">
        <v>1139</v>
      </c>
      <c r="E2018" s="1" t="str">
        <f>IFERROR(__xludf.DUMMYFUNCTION("IF(LEN(D2018)&gt;4, IFERROR(REGEXEXTRACT(TO_TEXT(D2018),""\d+""),""""),"""")"),"85136")</f>
        <v>85136</v>
      </c>
      <c r="F2018" s="6" t="str">
        <f t="shared" si="3"/>
        <v>Product</v>
      </c>
      <c r="G2018" s="1" t="s">
        <v>1140</v>
      </c>
      <c r="H2018" s="6" t="str">
        <f>IFERROR(__xludf.DUMMYFUNCTION("IF(REGEXMATCH(LOWER(G2018), ""^(\?)+\s*(missing)?\s*(\?)*$""), """", PROPER(SUBSTITUTE(SUBSTITUTE(G2018, ""?"", """"), ""*"", """")))"),"Yellow Shark Helicopter")</f>
        <v>Yellow Shark Helicopter</v>
      </c>
      <c r="I2018" s="3">
        <v>1.0</v>
      </c>
      <c r="J2018" s="7">
        <v>40598.66388888889</v>
      </c>
      <c r="K2018" s="8" t="str">
        <f t="shared" si="4"/>
        <v>2011-02</v>
      </c>
      <c r="L2018" s="5">
        <v>7.95</v>
      </c>
      <c r="M2018" s="3">
        <v>13751.0</v>
      </c>
      <c r="N2018" s="1" t="str">
        <f t="shared" si="5"/>
        <v>Registered</v>
      </c>
      <c r="O2018" s="1" t="s">
        <v>19</v>
      </c>
      <c r="P2018" s="9" t="str">
        <f t="shared" si="6"/>
        <v>UK</v>
      </c>
      <c r="Q2018" s="8">
        <f t="shared" si="7"/>
        <v>7.95</v>
      </c>
    </row>
    <row r="2019">
      <c r="A2019" s="1">
        <v>544917.0</v>
      </c>
      <c r="B2019" s="1" t="str">
        <f t="shared" si="1"/>
        <v>544917</v>
      </c>
      <c r="C2019" s="1" t="str">
        <f t="shared" si="2"/>
        <v>Sale</v>
      </c>
      <c r="D2019" s="1">
        <v>82484.0</v>
      </c>
      <c r="E2019" s="1" t="str">
        <f>IFERROR(__xludf.DUMMYFUNCTION("IF(LEN(D2019)&gt;4, IFERROR(REGEXEXTRACT(TO_TEXT(D2019),""\d+""),""""),"""")"),"82484")</f>
        <v>82484</v>
      </c>
      <c r="F2019" s="6" t="str">
        <f t="shared" si="3"/>
        <v>Product</v>
      </c>
      <c r="G2019" s="1" t="s">
        <v>162</v>
      </c>
      <c r="H2019" s="6" t="str">
        <f>IFERROR(__xludf.DUMMYFUNCTION("IF(REGEXMATCH(LOWER(G2019), ""^(\?)+\s*(missing)?\s*(\?)*$""), """", PROPER(SUBSTITUTE(SUBSTITUTE(G2019, ""?"", """"), ""*"", """")))"),"Wood Black Board Ant White Finish")</f>
        <v>Wood Black Board Ant White Finish</v>
      </c>
      <c r="I2019" s="3">
        <v>6.0</v>
      </c>
      <c r="J2019" s="7">
        <v>40598.66388888889</v>
      </c>
      <c r="K2019" s="8" t="str">
        <f t="shared" si="4"/>
        <v>2011-02</v>
      </c>
      <c r="L2019" s="5">
        <v>7.95</v>
      </c>
      <c r="M2019" s="3">
        <v>13751.0</v>
      </c>
      <c r="N2019" s="1" t="str">
        <f t="shared" si="5"/>
        <v>Registered</v>
      </c>
      <c r="O2019" s="1" t="s">
        <v>19</v>
      </c>
      <c r="P2019" s="9" t="str">
        <f t="shared" si="6"/>
        <v>UK</v>
      </c>
      <c r="Q2019" s="8">
        <f t="shared" si="7"/>
        <v>47.7</v>
      </c>
    </row>
    <row r="2020">
      <c r="A2020" s="1">
        <v>544917.0</v>
      </c>
      <c r="B2020" s="1" t="str">
        <f t="shared" si="1"/>
        <v>544917</v>
      </c>
      <c r="C2020" s="1" t="str">
        <f t="shared" si="2"/>
        <v>Sale</v>
      </c>
      <c r="D2020" s="1">
        <v>85053.0</v>
      </c>
      <c r="E2020" s="1" t="str">
        <f>IFERROR(__xludf.DUMMYFUNCTION("IF(LEN(D2020)&gt;4, IFERROR(REGEXEXTRACT(TO_TEXT(D2020),""\d+""),""""),"""")"),"85053")</f>
        <v>85053</v>
      </c>
      <c r="F2020" s="6" t="str">
        <f t="shared" si="3"/>
        <v>Product</v>
      </c>
      <c r="G2020" s="1" t="s">
        <v>922</v>
      </c>
      <c r="H2020" s="6" t="str">
        <f>IFERROR(__xludf.DUMMYFUNCTION("IF(REGEXMATCH(LOWER(G2020), ""^(\?)+\s*(missing)?\s*(\?)*$""), """", PROPER(SUBSTITUTE(SUBSTITUTE(G2020, ""?"", """"), ""*"", """")))"),"French Enamel Candleholder")</f>
        <v>French Enamel Candleholder</v>
      </c>
      <c r="I2020" s="3">
        <v>2.0</v>
      </c>
      <c r="J2020" s="7">
        <v>40598.66388888889</v>
      </c>
      <c r="K2020" s="8" t="str">
        <f t="shared" si="4"/>
        <v>2011-02</v>
      </c>
      <c r="L2020" s="5">
        <v>2.1</v>
      </c>
      <c r="M2020" s="3">
        <v>13751.0</v>
      </c>
      <c r="N2020" s="1" t="str">
        <f t="shared" si="5"/>
        <v>Registered</v>
      </c>
      <c r="O2020" s="1" t="s">
        <v>19</v>
      </c>
      <c r="P2020" s="9" t="str">
        <f t="shared" si="6"/>
        <v>UK</v>
      </c>
      <c r="Q2020" s="8">
        <f t="shared" si="7"/>
        <v>4.2</v>
      </c>
    </row>
    <row r="2021">
      <c r="A2021" s="1">
        <v>544917.0</v>
      </c>
      <c r="B2021" s="1" t="str">
        <f t="shared" si="1"/>
        <v>544917</v>
      </c>
      <c r="C2021" s="1" t="str">
        <f t="shared" si="2"/>
        <v>Sale</v>
      </c>
      <c r="D2021" s="1">
        <v>22173.0</v>
      </c>
      <c r="E2021" s="1" t="str">
        <f>IFERROR(__xludf.DUMMYFUNCTION("IF(LEN(D2021)&gt;4, IFERROR(REGEXEXTRACT(TO_TEXT(D2021),""\d+""),""""),"""")"),"22173")</f>
        <v>22173</v>
      </c>
      <c r="F2021" s="6" t="str">
        <f t="shared" si="3"/>
        <v>Product</v>
      </c>
      <c r="G2021" s="1" t="s">
        <v>717</v>
      </c>
      <c r="H2021" s="6" t="str">
        <f>IFERROR(__xludf.DUMMYFUNCTION("IF(REGEXMATCH(LOWER(G2021), ""^(\?)+\s*(missing)?\s*(\?)*$""), """", PROPER(SUBSTITUTE(SUBSTITUTE(G2021, ""?"", """"), ""*"", """")))"),"Metal 4 Hook Hanger French Chateau")</f>
        <v>Metal 4 Hook Hanger French Chateau</v>
      </c>
      <c r="I2021" s="3">
        <v>8.0</v>
      </c>
      <c r="J2021" s="7">
        <v>40598.66388888889</v>
      </c>
      <c r="K2021" s="8" t="str">
        <f t="shared" si="4"/>
        <v>2011-02</v>
      </c>
      <c r="L2021" s="5">
        <v>2.95</v>
      </c>
      <c r="M2021" s="3">
        <v>13751.0</v>
      </c>
      <c r="N2021" s="1" t="str">
        <f t="shared" si="5"/>
        <v>Registered</v>
      </c>
      <c r="O2021" s="1" t="s">
        <v>19</v>
      </c>
      <c r="P2021" s="9" t="str">
        <f t="shared" si="6"/>
        <v>UK</v>
      </c>
      <c r="Q2021" s="8">
        <f t="shared" si="7"/>
        <v>23.6</v>
      </c>
    </row>
    <row r="2022">
      <c r="A2022" s="1">
        <v>544917.0</v>
      </c>
      <c r="B2022" s="1" t="str">
        <f t="shared" si="1"/>
        <v>544917</v>
      </c>
      <c r="C2022" s="1" t="str">
        <f t="shared" si="2"/>
        <v>Sale</v>
      </c>
      <c r="D2022" s="1">
        <v>22719.0</v>
      </c>
      <c r="E2022" s="1" t="str">
        <f>IFERROR(__xludf.DUMMYFUNCTION("IF(LEN(D2022)&gt;4, IFERROR(REGEXEXTRACT(TO_TEXT(D2022),""\d+""),""""),"""")"),"22719")</f>
        <v>22719</v>
      </c>
      <c r="F2022" s="6" t="str">
        <f t="shared" si="3"/>
        <v>Product</v>
      </c>
      <c r="G2022" s="1" t="s">
        <v>145</v>
      </c>
      <c r="H2022" s="6" t="str">
        <f>IFERROR(__xludf.DUMMYFUNCTION("IF(REGEXMATCH(LOWER(G2022), ""^(\?)+\s*(missing)?\s*(\?)*$""), """", PROPER(SUBSTITUTE(SUBSTITUTE(G2022, ""?"", """"), ""*"", """")))"),"Gumball Monochrome Coat Rack")</f>
        <v>Gumball Monochrome Coat Rack</v>
      </c>
      <c r="I2022" s="3">
        <v>2.0</v>
      </c>
      <c r="J2022" s="7">
        <v>40598.66388888889</v>
      </c>
      <c r="K2022" s="8" t="str">
        <f t="shared" si="4"/>
        <v>2011-02</v>
      </c>
      <c r="L2022" s="5">
        <v>1.25</v>
      </c>
      <c r="M2022" s="3">
        <v>13751.0</v>
      </c>
      <c r="N2022" s="1" t="str">
        <f t="shared" si="5"/>
        <v>Registered</v>
      </c>
      <c r="O2022" s="1" t="s">
        <v>19</v>
      </c>
      <c r="P2022" s="9" t="str">
        <f t="shared" si="6"/>
        <v>UK</v>
      </c>
      <c r="Q2022" s="8">
        <f t="shared" si="7"/>
        <v>2.5</v>
      </c>
    </row>
    <row r="2023">
      <c r="A2023" s="1">
        <v>544917.0</v>
      </c>
      <c r="B2023" s="1" t="str">
        <f t="shared" si="1"/>
        <v>544917</v>
      </c>
      <c r="C2023" s="1" t="str">
        <f t="shared" si="2"/>
        <v>Sale</v>
      </c>
      <c r="D2023" s="1">
        <v>22467.0</v>
      </c>
      <c r="E2023" s="1" t="str">
        <f>IFERROR(__xludf.DUMMYFUNCTION("IF(LEN(D2023)&gt;4, IFERROR(REGEXEXTRACT(TO_TEXT(D2023),""\d+""),""""),"""")"),"22467")</f>
        <v>22467</v>
      </c>
      <c r="F2023" s="6" t="str">
        <f t="shared" si="3"/>
        <v>Product</v>
      </c>
      <c r="G2023" s="1" t="s">
        <v>323</v>
      </c>
      <c r="H2023" s="6" t="str">
        <f>IFERROR(__xludf.DUMMYFUNCTION("IF(REGEXMATCH(LOWER(G2023), ""^(\?)+\s*(missing)?\s*(\?)*$""), """", PROPER(SUBSTITUTE(SUBSTITUTE(G2023, ""?"", """"), ""*"", """")))"),"Gumball Coat Rack")</f>
        <v>Gumball Coat Rack</v>
      </c>
      <c r="I2023" s="3">
        <v>2.0</v>
      </c>
      <c r="J2023" s="7">
        <v>40598.66388888889</v>
      </c>
      <c r="K2023" s="8" t="str">
        <f t="shared" si="4"/>
        <v>2011-02</v>
      </c>
      <c r="L2023" s="5">
        <v>2.55</v>
      </c>
      <c r="M2023" s="3">
        <v>13751.0</v>
      </c>
      <c r="N2023" s="1" t="str">
        <f t="shared" si="5"/>
        <v>Registered</v>
      </c>
      <c r="O2023" s="1" t="s">
        <v>19</v>
      </c>
      <c r="P2023" s="9" t="str">
        <f t="shared" si="6"/>
        <v>UK</v>
      </c>
      <c r="Q2023" s="8">
        <f t="shared" si="7"/>
        <v>5.1</v>
      </c>
    </row>
    <row r="2024">
      <c r="A2024" s="1">
        <v>544917.0</v>
      </c>
      <c r="B2024" s="1" t="str">
        <f t="shared" si="1"/>
        <v>544917</v>
      </c>
      <c r="C2024" s="1" t="str">
        <f t="shared" si="2"/>
        <v>Sale</v>
      </c>
      <c r="D2024" s="1">
        <v>22507.0</v>
      </c>
      <c r="E2024" s="1" t="str">
        <f>IFERROR(__xludf.DUMMYFUNCTION("IF(LEN(D2024)&gt;4, IFERROR(REGEXEXTRACT(TO_TEXT(D2024),""\d+""),""""),"""")"),"22507")</f>
        <v>22507</v>
      </c>
      <c r="F2024" s="6" t="str">
        <f t="shared" si="3"/>
        <v>Product</v>
      </c>
      <c r="G2024" s="1" t="s">
        <v>812</v>
      </c>
      <c r="H2024" s="6" t="str">
        <f>IFERROR(__xludf.DUMMYFUNCTION("IF(REGEXMATCH(LOWER(G2024), ""^(\?)+\s*(missing)?\s*(\?)*$""), """", PROPER(SUBSTITUTE(SUBSTITUTE(G2024, ""?"", """"), ""*"", """")))"),"Memo Board Retrospot Design")</f>
        <v>Memo Board Retrospot Design</v>
      </c>
      <c r="I2024" s="3">
        <v>6.0</v>
      </c>
      <c r="J2024" s="7">
        <v>40598.66388888889</v>
      </c>
      <c r="K2024" s="8" t="str">
        <f t="shared" si="4"/>
        <v>2011-02</v>
      </c>
      <c r="L2024" s="5">
        <v>4.95</v>
      </c>
      <c r="M2024" s="3">
        <v>13751.0</v>
      </c>
      <c r="N2024" s="1" t="str">
        <f t="shared" si="5"/>
        <v>Registered</v>
      </c>
      <c r="O2024" s="1" t="s">
        <v>19</v>
      </c>
      <c r="P2024" s="9" t="str">
        <f t="shared" si="6"/>
        <v>UK</v>
      </c>
      <c r="Q2024" s="8">
        <f t="shared" si="7"/>
        <v>29.7</v>
      </c>
    </row>
    <row r="2025">
      <c r="A2025" s="1">
        <v>544917.0</v>
      </c>
      <c r="B2025" s="1" t="str">
        <f t="shared" si="1"/>
        <v>544917</v>
      </c>
      <c r="C2025" s="1" t="str">
        <f t="shared" si="2"/>
        <v>Sale</v>
      </c>
      <c r="D2025" s="1">
        <v>21498.0</v>
      </c>
      <c r="E2025" s="1" t="str">
        <f>IFERROR(__xludf.DUMMYFUNCTION("IF(LEN(D2025)&gt;4, IFERROR(REGEXEXTRACT(TO_TEXT(D2025),""\d+""),""""),"""")"),"21498")</f>
        <v>21498</v>
      </c>
      <c r="F2025" s="6" t="str">
        <f t="shared" si="3"/>
        <v>Product</v>
      </c>
      <c r="G2025" s="1" t="s">
        <v>931</v>
      </c>
      <c r="H2025" s="6" t="str">
        <f>IFERROR(__xludf.DUMMYFUNCTION("IF(REGEXMATCH(LOWER(G2025), ""^(\?)+\s*(missing)?\s*(\?)*$""), """", PROPER(SUBSTITUTE(SUBSTITUTE(G2025, ""?"", """"), ""*"", """")))"),"Red Retrospot Wrap")</f>
        <v>Red Retrospot Wrap</v>
      </c>
      <c r="I2025" s="3">
        <v>25.0</v>
      </c>
      <c r="J2025" s="7">
        <v>40598.66388888889</v>
      </c>
      <c r="K2025" s="8" t="str">
        <f t="shared" si="4"/>
        <v>2011-02</v>
      </c>
      <c r="L2025" s="5">
        <v>0.42</v>
      </c>
      <c r="M2025" s="3">
        <v>13751.0</v>
      </c>
      <c r="N2025" s="1" t="str">
        <f t="shared" si="5"/>
        <v>Registered</v>
      </c>
      <c r="O2025" s="1" t="s">
        <v>19</v>
      </c>
      <c r="P2025" s="9" t="str">
        <f t="shared" si="6"/>
        <v>UK</v>
      </c>
      <c r="Q2025" s="8">
        <f t="shared" si="7"/>
        <v>10.5</v>
      </c>
    </row>
    <row r="2026">
      <c r="A2026" s="1">
        <v>544918.0</v>
      </c>
      <c r="B2026" s="1" t="str">
        <f t="shared" si="1"/>
        <v>544918</v>
      </c>
      <c r="C2026" s="1" t="str">
        <f t="shared" si="2"/>
        <v>Sale</v>
      </c>
      <c r="D2026" s="1">
        <v>22799.0</v>
      </c>
      <c r="E2026" s="1" t="str">
        <f>IFERROR(__xludf.DUMMYFUNCTION("IF(LEN(D2026)&gt;4, IFERROR(REGEXEXTRACT(TO_TEXT(D2026),""\d+""),""""),"""")"),"22799")</f>
        <v>22799</v>
      </c>
      <c r="F2026" s="6" t="str">
        <f t="shared" si="3"/>
        <v>Product</v>
      </c>
      <c r="G2026" s="1" t="s">
        <v>1055</v>
      </c>
      <c r="H2026" s="6" t="str">
        <f>IFERROR(__xludf.DUMMYFUNCTION("IF(REGEXMATCH(LOWER(G2026), ""^(\?)+\s*(missing)?\s*(\?)*$""), """", PROPER(SUBSTITUTE(SUBSTITUTE(G2026, ""?"", """"), ""*"", """")))"),"Sweetheart Wire Fruit Bowl")</f>
        <v>Sweetheart Wire Fruit Bowl</v>
      </c>
      <c r="I2026" s="3">
        <v>2.0</v>
      </c>
      <c r="J2026" s="7">
        <v>40598.6875</v>
      </c>
      <c r="K2026" s="8" t="str">
        <f t="shared" si="4"/>
        <v>2011-02</v>
      </c>
      <c r="L2026" s="5">
        <v>8.5</v>
      </c>
      <c r="M2026" s="3">
        <v>13081.0</v>
      </c>
      <c r="N2026" s="1" t="str">
        <f t="shared" si="5"/>
        <v>Registered</v>
      </c>
      <c r="O2026" s="1" t="s">
        <v>19</v>
      </c>
      <c r="P2026" s="9" t="str">
        <f t="shared" si="6"/>
        <v>UK</v>
      </c>
      <c r="Q2026" s="8">
        <f t="shared" si="7"/>
        <v>17</v>
      </c>
    </row>
    <row r="2027">
      <c r="A2027" s="1">
        <v>544918.0</v>
      </c>
      <c r="B2027" s="1" t="str">
        <f t="shared" si="1"/>
        <v>544918</v>
      </c>
      <c r="C2027" s="1" t="str">
        <f t="shared" si="2"/>
        <v>Sale</v>
      </c>
      <c r="D2027" s="1">
        <v>22666.0</v>
      </c>
      <c r="E2027" s="1" t="str">
        <f>IFERROR(__xludf.DUMMYFUNCTION("IF(LEN(D2027)&gt;4, IFERROR(REGEXEXTRACT(TO_TEXT(D2027),""\d+""),""""),"""")"),"22666")</f>
        <v>22666</v>
      </c>
      <c r="F2027" s="6" t="str">
        <f t="shared" si="3"/>
        <v>Product</v>
      </c>
      <c r="G2027" s="1" t="s">
        <v>781</v>
      </c>
      <c r="H2027" s="6" t="str">
        <f>IFERROR(__xludf.DUMMYFUNCTION("IF(REGEXMATCH(LOWER(G2027), ""^(\?)+\s*(missing)?\s*(\?)*$""), """", PROPER(SUBSTITUTE(SUBSTITUTE(G2027, ""?"", """"), ""*"", """")))"),"Recipe Box Pantry Yellow Design")</f>
        <v>Recipe Box Pantry Yellow Design</v>
      </c>
      <c r="I2027" s="3">
        <v>6.0</v>
      </c>
      <c r="J2027" s="7">
        <v>40598.6875</v>
      </c>
      <c r="K2027" s="8" t="str">
        <f t="shared" si="4"/>
        <v>2011-02</v>
      </c>
      <c r="L2027" s="5">
        <v>2.95</v>
      </c>
      <c r="M2027" s="3">
        <v>13081.0</v>
      </c>
      <c r="N2027" s="1" t="str">
        <f t="shared" si="5"/>
        <v>Registered</v>
      </c>
      <c r="O2027" s="1" t="s">
        <v>19</v>
      </c>
      <c r="P2027" s="9" t="str">
        <f t="shared" si="6"/>
        <v>UK</v>
      </c>
      <c r="Q2027" s="8">
        <f t="shared" si="7"/>
        <v>17.7</v>
      </c>
    </row>
    <row r="2028">
      <c r="A2028" s="1">
        <v>544918.0</v>
      </c>
      <c r="B2028" s="1" t="str">
        <f t="shared" si="1"/>
        <v>544918</v>
      </c>
      <c r="C2028" s="1" t="str">
        <f t="shared" si="2"/>
        <v>Sale</v>
      </c>
      <c r="D2028" s="1">
        <v>22993.0</v>
      </c>
      <c r="E2028" s="1" t="str">
        <f>IFERROR(__xludf.DUMMYFUNCTION("IF(LEN(D2028)&gt;4, IFERROR(REGEXEXTRACT(TO_TEXT(D2028),""\d+""),""""),"""")"),"22993")</f>
        <v>22993</v>
      </c>
      <c r="F2028" s="6" t="str">
        <f t="shared" si="3"/>
        <v>Product</v>
      </c>
      <c r="G2028" s="1" t="s">
        <v>709</v>
      </c>
      <c r="H2028" s="6" t="str">
        <f>IFERROR(__xludf.DUMMYFUNCTION("IF(REGEXMATCH(LOWER(G2028), ""^(\?)+\s*(missing)?\s*(\?)*$""), """", PROPER(SUBSTITUTE(SUBSTITUTE(G2028, ""?"", """"), ""*"", """")))"),"Set Of 4 Pantry Jelly Moulds")</f>
        <v>Set Of 4 Pantry Jelly Moulds</v>
      </c>
      <c r="I2028" s="3">
        <v>12.0</v>
      </c>
      <c r="J2028" s="7">
        <v>40598.6875</v>
      </c>
      <c r="K2028" s="8" t="str">
        <f t="shared" si="4"/>
        <v>2011-02</v>
      </c>
      <c r="L2028" s="5">
        <v>1.25</v>
      </c>
      <c r="M2028" s="3">
        <v>13081.0</v>
      </c>
      <c r="N2028" s="1" t="str">
        <f t="shared" si="5"/>
        <v>Registered</v>
      </c>
      <c r="O2028" s="1" t="s">
        <v>19</v>
      </c>
      <c r="P2028" s="9" t="str">
        <f t="shared" si="6"/>
        <v>UK</v>
      </c>
      <c r="Q2028" s="8">
        <f t="shared" si="7"/>
        <v>15</v>
      </c>
    </row>
    <row r="2029">
      <c r="A2029" s="1">
        <v>544918.0</v>
      </c>
      <c r="B2029" s="1" t="str">
        <f t="shared" si="1"/>
        <v>544918</v>
      </c>
      <c r="C2029" s="1" t="str">
        <f t="shared" si="2"/>
        <v>Sale</v>
      </c>
      <c r="D2029" s="1">
        <v>22667.0</v>
      </c>
      <c r="E2029" s="1" t="str">
        <f>IFERROR(__xludf.DUMMYFUNCTION("IF(LEN(D2029)&gt;4, IFERROR(REGEXEXTRACT(TO_TEXT(D2029),""\d+""),""""),"""")"),"22667")</f>
        <v>22667</v>
      </c>
      <c r="F2029" s="6" t="str">
        <f t="shared" si="3"/>
        <v>Product</v>
      </c>
      <c r="G2029" s="1" t="s">
        <v>1004</v>
      </c>
      <c r="H2029" s="6" t="str">
        <f>IFERROR(__xludf.DUMMYFUNCTION("IF(REGEXMATCH(LOWER(G2029), ""^(\?)+\s*(missing)?\s*(\?)*$""), """", PROPER(SUBSTITUTE(SUBSTITUTE(G2029, ""?"", """"), ""*"", """")))"),"Recipe Box Retrospot")</f>
        <v>Recipe Box Retrospot</v>
      </c>
      <c r="I2029" s="3">
        <v>6.0</v>
      </c>
      <c r="J2029" s="7">
        <v>40598.6875</v>
      </c>
      <c r="K2029" s="8" t="str">
        <f t="shared" si="4"/>
        <v>2011-02</v>
      </c>
      <c r="L2029" s="5">
        <v>2.95</v>
      </c>
      <c r="M2029" s="3">
        <v>13081.0</v>
      </c>
      <c r="N2029" s="1" t="str">
        <f t="shared" si="5"/>
        <v>Registered</v>
      </c>
      <c r="O2029" s="1" t="s">
        <v>19</v>
      </c>
      <c r="P2029" s="9" t="str">
        <f t="shared" si="6"/>
        <v>UK</v>
      </c>
      <c r="Q2029" s="8">
        <f t="shared" si="7"/>
        <v>17.7</v>
      </c>
    </row>
    <row r="2030">
      <c r="A2030" s="1">
        <v>544918.0</v>
      </c>
      <c r="B2030" s="1" t="str">
        <f t="shared" si="1"/>
        <v>544918</v>
      </c>
      <c r="C2030" s="1" t="str">
        <f t="shared" si="2"/>
        <v>Sale</v>
      </c>
      <c r="D2030" s="1">
        <v>20679.0</v>
      </c>
      <c r="E2030" s="1" t="str">
        <f>IFERROR(__xludf.DUMMYFUNCTION("IF(LEN(D2030)&gt;4, IFERROR(REGEXEXTRACT(TO_TEXT(D2030),""\d+""),""""),"""")"),"20679")</f>
        <v>20679</v>
      </c>
      <c r="F2030" s="6" t="str">
        <f t="shared" si="3"/>
        <v>Product</v>
      </c>
      <c r="G2030" s="1" t="s">
        <v>71</v>
      </c>
      <c r="H2030" s="6" t="str">
        <f>IFERROR(__xludf.DUMMYFUNCTION("IF(REGEXMATCH(LOWER(G2030), ""^(\?)+\s*(missing)?\s*(\?)*$""), """", PROPER(SUBSTITUTE(SUBSTITUTE(G2030, ""?"", """"), ""*"", """")))"),"Edwardian Parasol Red")</f>
        <v>Edwardian Parasol Red</v>
      </c>
      <c r="I2030" s="3">
        <v>3.0</v>
      </c>
      <c r="J2030" s="7">
        <v>40598.6875</v>
      </c>
      <c r="K2030" s="8" t="str">
        <f t="shared" si="4"/>
        <v>2011-02</v>
      </c>
      <c r="L2030" s="5">
        <v>5.95</v>
      </c>
      <c r="M2030" s="3">
        <v>13081.0</v>
      </c>
      <c r="N2030" s="1" t="str">
        <f t="shared" si="5"/>
        <v>Registered</v>
      </c>
      <c r="O2030" s="1" t="s">
        <v>19</v>
      </c>
      <c r="P2030" s="9" t="str">
        <f t="shared" si="6"/>
        <v>UK</v>
      </c>
      <c r="Q2030" s="8">
        <f t="shared" si="7"/>
        <v>17.85</v>
      </c>
    </row>
    <row r="2031">
      <c r="A2031" s="1">
        <v>544918.0</v>
      </c>
      <c r="B2031" s="1" t="str">
        <f t="shared" si="1"/>
        <v>544918</v>
      </c>
      <c r="C2031" s="1" t="str">
        <f t="shared" si="2"/>
        <v>Sale</v>
      </c>
      <c r="D2031" s="1">
        <v>21747.0</v>
      </c>
      <c r="E2031" s="1" t="str">
        <f>IFERROR(__xludf.DUMMYFUNCTION("IF(LEN(D2031)&gt;4, IFERROR(REGEXEXTRACT(TO_TEXT(D2031),""\d+""),""""),"""")"),"21747")</f>
        <v>21747</v>
      </c>
      <c r="F2031" s="6" t="str">
        <f t="shared" si="3"/>
        <v>Product</v>
      </c>
      <c r="G2031" s="1" t="s">
        <v>1141</v>
      </c>
      <c r="H2031" s="6" t="str">
        <f>IFERROR(__xludf.DUMMYFUNCTION("IF(REGEXMATCH(LOWER(G2031), ""^(\?)+\s*(missing)?\s*(\?)*$""), """", PROPER(SUBSTITUTE(SUBSTITUTE(G2031, ""?"", """"), ""*"", """")))"),"Small Skull Windmill")</f>
        <v>Small Skull Windmill</v>
      </c>
      <c r="I2031" s="3">
        <v>12.0</v>
      </c>
      <c r="J2031" s="7">
        <v>40598.6875</v>
      </c>
      <c r="K2031" s="8" t="str">
        <f t="shared" si="4"/>
        <v>2011-02</v>
      </c>
      <c r="L2031" s="5">
        <v>1.25</v>
      </c>
      <c r="M2031" s="3">
        <v>13081.0</v>
      </c>
      <c r="N2031" s="1" t="str">
        <f t="shared" si="5"/>
        <v>Registered</v>
      </c>
      <c r="O2031" s="1" t="s">
        <v>19</v>
      </c>
      <c r="P2031" s="9" t="str">
        <f t="shared" si="6"/>
        <v>UK</v>
      </c>
      <c r="Q2031" s="8">
        <f t="shared" si="7"/>
        <v>15</v>
      </c>
    </row>
    <row r="2032">
      <c r="A2032" s="1">
        <v>544918.0</v>
      </c>
      <c r="B2032" s="1" t="str">
        <f t="shared" si="1"/>
        <v>544918</v>
      </c>
      <c r="C2032" s="1" t="str">
        <f t="shared" si="2"/>
        <v>Sale</v>
      </c>
      <c r="D2032" s="1">
        <v>22859.0</v>
      </c>
      <c r="E2032" s="1" t="str">
        <f>IFERROR(__xludf.DUMMYFUNCTION("IF(LEN(D2032)&gt;4, IFERROR(REGEXEXTRACT(TO_TEXT(D2032),""\d+""),""""),"""")"),"22859")</f>
        <v>22859</v>
      </c>
      <c r="F2032" s="6" t="str">
        <f t="shared" si="3"/>
        <v>Product</v>
      </c>
      <c r="G2032" s="1" t="s">
        <v>901</v>
      </c>
      <c r="H2032" s="6" t="str">
        <f>IFERROR(__xludf.DUMMYFUNCTION("IF(REGEXMATCH(LOWER(G2032), ""^(\?)+\s*(missing)?\s*(\?)*$""), """", PROPER(SUBSTITUTE(SUBSTITUTE(G2032, ""?"", """"), ""*"", """")))"),"Easter Tin Bunny Bouquet")</f>
        <v>Easter Tin Bunny Bouquet</v>
      </c>
      <c r="I2032" s="3">
        <v>6.0</v>
      </c>
      <c r="J2032" s="7">
        <v>40598.6875</v>
      </c>
      <c r="K2032" s="8" t="str">
        <f t="shared" si="4"/>
        <v>2011-02</v>
      </c>
      <c r="L2032" s="5">
        <v>1.65</v>
      </c>
      <c r="M2032" s="3">
        <v>13081.0</v>
      </c>
      <c r="N2032" s="1" t="str">
        <f t="shared" si="5"/>
        <v>Registered</v>
      </c>
      <c r="O2032" s="1" t="s">
        <v>19</v>
      </c>
      <c r="P2032" s="9" t="str">
        <f t="shared" si="6"/>
        <v>UK</v>
      </c>
      <c r="Q2032" s="8">
        <f t="shared" si="7"/>
        <v>9.9</v>
      </c>
    </row>
    <row r="2033">
      <c r="A2033" s="1">
        <v>544918.0</v>
      </c>
      <c r="B2033" s="1" t="str">
        <f t="shared" si="1"/>
        <v>544918</v>
      </c>
      <c r="C2033" s="1" t="str">
        <f t="shared" si="2"/>
        <v>Sale</v>
      </c>
      <c r="D2033" s="1">
        <v>22957.0</v>
      </c>
      <c r="E2033" s="1" t="str">
        <f>IFERROR(__xludf.DUMMYFUNCTION("IF(LEN(D2033)&gt;4, IFERROR(REGEXEXTRACT(TO_TEXT(D2033),""\d+""),""""),"""")"),"22957")</f>
        <v>22957</v>
      </c>
      <c r="F2033" s="6" t="str">
        <f t="shared" si="3"/>
        <v>Product</v>
      </c>
      <c r="G2033" s="1" t="s">
        <v>909</v>
      </c>
      <c r="H2033" s="6" t="str">
        <f>IFERROR(__xludf.DUMMYFUNCTION("IF(REGEXMATCH(LOWER(G2033), ""^(\?)+\s*(missing)?\s*(\?)*$""), """", PROPER(SUBSTITUTE(SUBSTITUTE(G2033, ""?"", """"), ""*"", """")))"),"Set 3 Paper Vintage Chick Paper Egg")</f>
        <v>Set 3 Paper Vintage Chick Paper Egg</v>
      </c>
      <c r="I2033" s="3">
        <v>6.0</v>
      </c>
      <c r="J2033" s="7">
        <v>40598.6875</v>
      </c>
      <c r="K2033" s="8" t="str">
        <f t="shared" si="4"/>
        <v>2011-02</v>
      </c>
      <c r="L2033" s="5">
        <v>2.95</v>
      </c>
      <c r="M2033" s="3">
        <v>13081.0</v>
      </c>
      <c r="N2033" s="1" t="str">
        <f t="shared" si="5"/>
        <v>Registered</v>
      </c>
      <c r="O2033" s="1" t="s">
        <v>19</v>
      </c>
      <c r="P2033" s="9" t="str">
        <f t="shared" si="6"/>
        <v>UK</v>
      </c>
      <c r="Q2033" s="8">
        <f t="shared" si="7"/>
        <v>17.7</v>
      </c>
    </row>
    <row r="2034">
      <c r="A2034" s="1">
        <v>544918.0</v>
      </c>
      <c r="B2034" s="1" t="str">
        <f t="shared" si="1"/>
        <v>544918</v>
      </c>
      <c r="C2034" s="1" t="str">
        <f t="shared" si="2"/>
        <v>Sale</v>
      </c>
      <c r="D2034" s="1">
        <v>22967.0</v>
      </c>
      <c r="E2034" s="1" t="str">
        <f>IFERROR(__xludf.DUMMYFUNCTION("IF(LEN(D2034)&gt;4, IFERROR(REGEXEXTRACT(TO_TEXT(D2034),""\d+""),""""),"""")"),"22967")</f>
        <v>22967</v>
      </c>
      <c r="F2034" s="6" t="str">
        <f t="shared" si="3"/>
        <v>Product</v>
      </c>
      <c r="G2034" s="1" t="s">
        <v>1013</v>
      </c>
      <c r="H2034" s="6" t="str">
        <f>IFERROR(__xludf.DUMMYFUNCTION("IF(REGEXMATCH(LOWER(G2034), ""^(\?)+\s*(missing)?\s*(\?)*$""), """", PROPER(SUBSTITUTE(SUBSTITUTE(G2034, ""?"", """"), ""*"", """")))"),"Set 3 Song Bird Paper Eggs Assorted")</f>
        <v>Set 3 Song Bird Paper Eggs Assorted</v>
      </c>
      <c r="I2034" s="3">
        <v>6.0</v>
      </c>
      <c r="J2034" s="7">
        <v>40598.6875</v>
      </c>
      <c r="K2034" s="8" t="str">
        <f t="shared" si="4"/>
        <v>2011-02</v>
      </c>
      <c r="L2034" s="5">
        <v>2.95</v>
      </c>
      <c r="M2034" s="3">
        <v>13081.0</v>
      </c>
      <c r="N2034" s="1" t="str">
        <f t="shared" si="5"/>
        <v>Registered</v>
      </c>
      <c r="O2034" s="1" t="s">
        <v>19</v>
      </c>
      <c r="P2034" s="9" t="str">
        <f t="shared" si="6"/>
        <v>UK</v>
      </c>
      <c r="Q2034" s="8">
        <f t="shared" si="7"/>
        <v>17.7</v>
      </c>
    </row>
    <row r="2035">
      <c r="A2035" s="1">
        <v>544918.0</v>
      </c>
      <c r="B2035" s="1" t="str">
        <f t="shared" si="1"/>
        <v>544918</v>
      </c>
      <c r="C2035" s="1" t="str">
        <f t="shared" si="2"/>
        <v>Sale</v>
      </c>
      <c r="D2035" s="1">
        <v>21061.0</v>
      </c>
      <c r="E2035" s="1" t="str">
        <f>IFERROR(__xludf.DUMMYFUNCTION("IF(LEN(D2035)&gt;4, IFERROR(REGEXEXTRACT(TO_TEXT(D2035),""\d+""),""""),"""")"),"21061")</f>
        <v>21061</v>
      </c>
      <c r="F2035" s="6" t="str">
        <f t="shared" si="3"/>
        <v>Product</v>
      </c>
      <c r="G2035" s="1" t="s">
        <v>346</v>
      </c>
      <c r="H2035" s="6" t="str">
        <f>IFERROR(__xludf.DUMMYFUNCTION("IF(REGEXMATCH(LOWER(G2035), ""^(\?)+\s*(missing)?\s*(\?)*$""), """", PROPER(SUBSTITUTE(SUBSTITUTE(G2035, ""?"", """"), ""*"", """")))"),"Party Invites Football")</f>
        <v>Party Invites Football</v>
      </c>
      <c r="I2035" s="3">
        <v>12.0</v>
      </c>
      <c r="J2035" s="7">
        <v>40598.6875</v>
      </c>
      <c r="K2035" s="8" t="str">
        <f t="shared" si="4"/>
        <v>2011-02</v>
      </c>
      <c r="L2035" s="5">
        <v>0.85</v>
      </c>
      <c r="M2035" s="3">
        <v>13081.0</v>
      </c>
      <c r="N2035" s="1" t="str">
        <f t="shared" si="5"/>
        <v>Registered</v>
      </c>
      <c r="O2035" s="1" t="s">
        <v>19</v>
      </c>
      <c r="P2035" s="9" t="str">
        <f t="shared" si="6"/>
        <v>UK</v>
      </c>
      <c r="Q2035" s="8">
        <f t="shared" si="7"/>
        <v>10.2</v>
      </c>
    </row>
    <row r="2036">
      <c r="A2036" s="1">
        <v>544918.0</v>
      </c>
      <c r="B2036" s="1" t="str">
        <f t="shared" si="1"/>
        <v>544918</v>
      </c>
      <c r="C2036" s="1" t="str">
        <f t="shared" si="2"/>
        <v>Sale</v>
      </c>
      <c r="D2036" s="1">
        <v>21244.0</v>
      </c>
      <c r="E2036" s="1" t="str">
        <f>IFERROR(__xludf.DUMMYFUNCTION("IF(LEN(D2036)&gt;4, IFERROR(REGEXEXTRACT(TO_TEXT(D2036),""\d+""),""""),"""")"),"21244")</f>
        <v>21244</v>
      </c>
      <c r="F2036" s="6" t="str">
        <f t="shared" si="3"/>
        <v>Product</v>
      </c>
      <c r="G2036" s="1" t="s">
        <v>435</v>
      </c>
      <c r="H2036" s="6" t="str">
        <f>IFERROR(__xludf.DUMMYFUNCTION("IF(REGEXMATCH(LOWER(G2036), ""^(\?)+\s*(missing)?\s*(\?)*$""), """", PROPER(SUBSTITUTE(SUBSTITUTE(G2036, ""?"", """"), ""*"", """")))"),"Blue Polkadot Plate")</f>
        <v>Blue Polkadot Plate</v>
      </c>
      <c r="I2036" s="3">
        <v>8.0</v>
      </c>
      <c r="J2036" s="7">
        <v>40598.6875</v>
      </c>
      <c r="K2036" s="8" t="str">
        <f t="shared" si="4"/>
        <v>2011-02</v>
      </c>
      <c r="L2036" s="5">
        <v>1.69</v>
      </c>
      <c r="M2036" s="3">
        <v>13081.0</v>
      </c>
      <c r="N2036" s="1" t="str">
        <f t="shared" si="5"/>
        <v>Registered</v>
      </c>
      <c r="O2036" s="1" t="s">
        <v>19</v>
      </c>
      <c r="P2036" s="9" t="str">
        <f t="shared" si="6"/>
        <v>UK</v>
      </c>
      <c r="Q2036" s="8">
        <f t="shared" si="7"/>
        <v>13.52</v>
      </c>
    </row>
    <row r="2037">
      <c r="A2037" s="1">
        <v>544918.0</v>
      </c>
      <c r="B2037" s="1" t="str">
        <f t="shared" si="1"/>
        <v>544918</v>
      </c>
      <c r="C2037" s="1" t="str">
        <f t="shared" si="2"/>
        <v>Sale</v>
      </c>
      <c r="D2037" s="1">
        <v>21243.0</v>
      </c>
      <c r="E2037" s="1" t="str">
        <f>IFERROR(__xludf.DUMMYFUNCTION("IF(LEN(D2037)&gt;4, IFERROR(REGEXEXTRACT(TO_TEXT(D2037),""\d+""),""""),"""")"),"21243")</f>
        <v>21243</v>
      </c>
      <c r="F2037" s="6" t="str">
        <f t="shared" si="3"/>
        <v>Product</v>
      </c>
      <c r="G2037" s="1" t="s">
        <v>437</v>
      </c>
      <c r="H2037" s="6" t="str">
        <f>IFERROR(__xludf.DUMMYFUNCTION("IF(REGEXMATCH(LOWER(G2037), ""^(\?)+\s*(missing)?\s*(\?)*$""), """", PROPER(SUBSTITUTE(SUBSTITUTE(G2037, ""?"", """"), ""*"", """")))"),"Pink Polkadot Plate")</f>
        <v>Pink Polkadot Plate</v>
      </c>
      <c r="I2037" s="3">
        <v>8.0</v>
      </c>
      <c r="J2037" s="7">
        <v>40598.6875</v>
      </c>
      <c r="K2037" s="8" t="str">
        <f t="shared" si="4"/>
        <v>2011-02</v>
      </c>
      <c r="L2037" s="5">
        <v>1.69</v>
      </c>
      <c r="M2037" s="3">
        <v>13081.0</v>
      </c>
      <c r="N2037" s="1" t="str">
        <f t="shared" si="5"/>
        <v>Registered</v>
      </c>
      <c r="O2037" s="1" t="s">
        <v>19</v>
      </c>
      <c r="P2037" s="9" t="str">
        <f t="shared" si="6"/>
        <v>UK</v>
      </c>
      <c r="Q2037" s="8">
        <f t="shared" si="7"/>
        <v>13.52</v>
      </c>
    </row>
    <row r="2038">
      <c r="A2038" s="1">
        <v>544918.0</v>
      </c>
      <c r="B2038" s="1" t="str">
        <f t="shared" si="1"/>
        <v>544918</v>
      </c>
      <c r="C2038" s="1" t="str">
        <f t="shared" si="2"/>
        <v>Sale</v>
      </c>
      <c r="D2038" s="1" t="s">
        <v>89</v>
      </c>
      <c r="E2038" s="1" t="str">
        <f>IFERROR(__xludf.DUMMYFUNCTION("IF(LEN(D2038)&gt;4, IFERROR(REGEXEXTRACT(TO_TEXT(D2038),""\d+""),""""),"""")"),"84997")</f>
        <v>84997</v>
      </c>
      <c r="F2038" s="6" t="str">
        <f t="shared" si="3"/>
        <v>Product</v>
      </c>
      <c r="G2038" s="1" t="s">
        <v>90</v>
      </c>
      <c r="H2038" s="6" t="str">
        <f>IFERROR(__xludf.DUMMYFUNCTION("IF(REGEXMATCH(LOWER(G2038), ""^(\?)+\s*(missing)?\s*(\?)*$""), """", PROPER(SUBSTITUTE(SUBSTITUTE(G2038, ""?"", """"), ""*"", """")))"),"Red 3 Piece Retrospot Cutlery Set")</f>
        <v>Red 3 Piece Retrospot Cutlery Set</v>
      </c>
      <c r="I2038" s="3">
        <v>8.0</v>
      </c>
      <c r="J2038" s="7">
        <v>40598.6875</v>
      </c>
      <c r="K2038" s="8" t="str">
        <f t="shared" si="4"/>
        <v>2011-02</v>
      </c>
      <c r="L2038" s="5">
        <v>4.15</v>
      </c>
      <c r="M2038" s="3">
        <v>13081.0</v>
      </c>
      <c r="N2038" s="1" t="str">
        <f t="shared" si="5"/>
        <v>Registered</v>
      </c>
      <c r="O2038" s="1" t="s">
        <v>19</v>
      </c>
      <c r="P2038" s="9" t="str">
        <f t="shared" si="6"/>
        <v>UK</v>
      </c>
      <c r="Q2038" s="8">
        <f t="shared" si="7"/>
        <v>33.2</v>
      </c>
    </row>
    <row r="2039">
      <c r="A2039" s="1">
        <v>544918.0</v>
      </c>
      <c r="B2039" s="1" t="str">
        <f t="shared" si="1"/>
        <v>544918</v>
      </c>
      <c r="C2039" s="1" t="str">
        <f t="shared" si="2"/>
        <v>Sale</v>
      </c>
      <c r="D2039" s="1">
        <v>22352.0</v>
      </c>
      <c r="E2039" s="1" t="str">
        <f>IFERROR(__xludf.DUMMYFUNCTION("IF(LEN(D2039)&gt;4, IFERROR(REGEXEXTRACT(TO_TEXT(D2039),""\d+""),""""),"""")"),"22352")</f>
        <v>22352</v>
      </c>
      <c r="F2039" s="6" t="str">
        <f t="shared" si="3"/>
        <v>Product</v>
      </c>
      <c r="G2039" s="1" t="s">
        <v>96</v>
      </c>
      <c r="H2039" s="6" t="str">
        <f>IFERROR(__xludf.DUMMYFUNCTION("IF(REGEXMATCH(LOWER(G2039), ""^(\?)+\s*(missing)?\s*(\?)*$""), """", PROPER(SUBSTITUTE(SUBSTITUTE(G2039, ""?"", """"), ""*"", """")))"),"Lunch Box With Cutlery Retrospot")</f>
        <v>Lunch Box With Cutlery Retrospot</v>
      </c>
      <c r="I2039" s="3">
        <v>12.0</v>
      </c>
      <c r="J2039" s="7">
        <v>40598.6875</v>
      </c>
      <c r="K2039" s="8" t="str">
        <f t="shared" si="4"/>
        <v>2011-02</v>
      </c>
      <c r="L2039" s="5">
        <v>2.55</v>
      </c>
      <c r="M2039" s="3">
        <v>13081.0</v>
      </c>
      <c r="N2039" s="1" t="str">
        <f t="shared" si="5"/>
        <v>Registered</v>
      </c>
      <c r="O2039" s="1" t="s">
        <v>19</v>
      </c>
      <c r="P2039" s="9" t="str">
        <f t="shared" si="6"/>
        <v>UK</v>
      </c>
      <c r="Q2039" s="8">
        <f t="shared" si="7"/>
        <v>30.6</v>
      </c>
    </row>
    <row r="2040">
      <c r="A2040" s="1">
        <v>544918.0</v>
      </c>
      <c r="B2040" s="1" t="str">
        <f t="shared" si="1"/>
        <v>544918</v>
      </c>
      <c r="C2040" s="1" t="str">
        <f t="shared" si="2"/>
        <v>Sale</v>
      </c>
      <c r="D2040" s="1">
        <v>21245.0</v>
      </c>
      <c r="E2040" s="1" t="str">
        <f>IFERROR(__xludf.DUMMYFUNCTION("IF(LEN(D2040)&gt;4, IFERROR(REGEXEXTRACT(TO_TEXT(D2040),""\d+""),""""),"""")"),"21245")</f>
        <v>21245</v>
      </c>
      <c r="F2040" s="6" t="str">
        <f t="shared" si="3"/>
        <v>Product</v>
      </c>
      <c r="G2040" s="1" t="s">
        <v>434</v>
      </c>
      <c r="H2040" s="6" t="str">
        <f>IFERROR(__xludf.DUMMYFUNCTION("IF(REGEXMATCH(LOWER(G2040), ""^(\?)+\s*(missing)?\s*(\?)*$""), """", PROPER(SUBSTITUTE(SUBSTITUTE(G2040, ""?"", """"), ""*"", """")))"),"Green Polkadot Plate")</f>
        <v>Green Polkadot Plate</v>
      </c>
      <c r="I2040" s="3">
        <v>8.0</v>
      </c>
      <c r="J2040" s="7">
        <v>40598.6875</v>
      </c>
      <c r="K2040" s="8" t="str">
        <f t="shared" si="4"/>
        <v>2011-02</v>
      </c>
      <c r="L2040" s="5">
        <v>1.69</v>
      </c>
      <c r="M2040" s="3">
        <v>13081.0</v>
      </c>
      <c r="N2040" s="1" t="str">
        <f t="shared" si="5"/>
        <v>Registered</v>
      </c>
      <c r="O2040" s="1" t="s">
        <v>19</v>
      </c>
      <c r="P2040" s="9" t="str">
        <f t="shared" si="6"/>
        <v>UK</v>
      </c>
      <c r="Q2040" s="8">
        <f t="shared" si="7"/>
        <v>13.52</v>
      </c>
    </row>
    <row r="2041">
      <c r="A2041" s="1">
        <v>544918.0</v>
      </c>
      <c r="B2041" s="1" t="str">
        <f t="shared" si="1"/>
        <v>544918</v>
      </c>
      <c r="C2041" s="1" t="str">
        <f t="shared" si="2"/>
        <v>Sale</v>
      </c>
      <c r="D2041" s="1">
        <v>22630.0</v>
      </c>
      <c r="E2041" s="1" t="str">
        <f>IFERROR(__xludf.DUMMYFUNCTION("IF(LEN(D2041)&gt;4, IFERROR(REGEXEXTRACT(TO_TEXT(D2041),""\d+""),""""),"""")"),"22630")</f>
        <v>22630</v>
      </c>
      <c r="F2041" s="6" t="str">
        <f t="shared" si="3"/>
        <v>Product</v>
      </c>
      <c r="G2041" s="1" t="s">
        <v>433</v>
      </c>
      <c r="H2041" s="6" t="str">
        <f>IFERROR(__xludf.DUMMYFUNCTION("IF(REGEXMATCH(LOWER(G2041), ""^(\?)+\s*(missing)?\s*(\?)*$""), """", PROPER(SUBSTITUTE(SUBSTITUTE(G2041, ""?"", """"), ""*"", """")))"),"Dolly Girl Lunch Box")</f>
        <v>Dolly Girl Lunch Box</v>
      </c>
      <c r="I2041" s="3">
        <v>12.0</v>
      </c>
      <c r="J2041" s="7">
        <v>40598.6875</v>
      </c>
      <c r="K2041" s="8" t="str">
        <f t="shared" si="4"/>
        <v>2011-02</v>
      </c>
      <c r="L2041" s="5">
        <v>1.95</v>
      </c>
      <c r="M2041" s="3">
        <v>13081.0</v>
      </c>
      <c r="N2041" s="1" t="str">
        <f t="shared" si="5"/>
        <v>Registered</v>
      </c>
      <c r="O2041" s="1" t="s">
        <v>19</v>
      </c>
      <c r="P2041" s="9" t="str">
        <f t="shared" si="6"/>
        <v>UK</v>
      </c>
      <c r="Q2041" s="8">
        <f t="shared" si="7"/>
        <v>23.4</v>
      </c>
    </row>
    <row r="2042">
      <c r="A2042" s="1">
        <v>544918.0</v>
      </c>
      <c r="B2042" s="1" t="str">
        <f t="shared" si="1"/>
        <v>544918</v>
      </c>
      <c r="C2042" s="1" t="str">
        <f t="shared" si="2"/>
        <v>Sale</v>
      </c>
      <c r="D2042" s="1">
        <v>22219.0</v>
      </c>
      <c r="E2042" s="1" t="str">
        <f>IFERROR(__xludf.DUMMYFUNCTION("IF(LEN(D2042)&gt;4, IFERROR(REGEXEXTRACT(TO_TEXT(D2042),""\d+""),""""),"""")"),"22219")</f>
        <v>22219</v>
      </c>
      <c r="F2042" s="6" t="str">
        <f t="shared" si="3"/>
        <v>Product</v>
      </c>
      <c r="G2042" s="1" t="s">
        <v>377</v>
      </c>
      <c r="H2042" s="6" t="str">
        <f>IFERROR(__xludf.DUMMYFUNCTION("IF(REGEXMATCH(LOWER(G2042), ""^(\?)+\s*(missing)?\s*(\?)*$""), """", PROPER(SUBSTITUTE(SUBSTITUTE(G2042, ""?"", """"), ""*"", """")))"),"Lovebird Hanging Decoration White")</f>
        <v>Lovebird Hanging Decoration White</v>
      </c>
      <c r="I2042" s="3">
        <v>12.0</v>
      </c>
      <c r="J2042" s="7">
        <v>40598.6875</v>
      </c>
      <c r="K2042" s="8" t="str">
        <f t="shared" si="4"/>
        <v>2011-02</v>
      </c>
      <c r="L2042" s="5">
        <v>0.85</v>
      </c>
      <c r="M2042" s="3">
        <v>13081.0</v>
      </c>
      <c r="N2042" s="1" t="str">
        <f t="shared" si="5"/>
        <v>Registered</v>
      </c>
      <c r="O2042" s="1" t="s">
        <v>19</v>
      </c>
      <c r="P2042" s="9" t="str">
        <f t="shared" si="6"/>
        <v>UK</v>
      </c>
      <c r="Q2042" s="8">
        <f t="shared" si="7"/>
        <v>10.2</v>
      </c>
    </row>
    <row r="2043">
      <c r="A2043" s="1">
        <v>544918.0</v>
      </c>
      <c r="B2043" s="1" t="str">
        <f t="shared" si="1"/>
        <v>544918</v>
      </c>
      <c r="C2043" s="1" t="str">
        <f t="shared" si="2"/>
        <v>Sale</v>
      </c>
      <c r="D2043" s="1">
        <v>20674.0</v>
      </c>
      <c r="E2043" s="1" t="str">
        <f>IFERROR(__xludf.DUMMYFUNCTION("IF(LEN(D2043)&gt;4, IFERROR(REGEXEXTRACT(TO_TEXT(D2043),""\d+""),""""),"""")"),"20674")</f>
        <v>20674</v>
      </c>
      <c r="F2043" s="6" t="str">
        <f t="shared" si="3"/>
        <v>Product</v>
      </c>
      <c r="G2043" s="1" t="s">
        <v>1142</v>
      </c>
      <c r="H2043" s="6" t="str">
        <f>IFERROR(__xludf.DUMMYFUNCTION("IF(REGEXMATCH(LOWER(G2043), ""^(\?)+\s*(missing)?\s*(\?)*$""), """", PROPER(SUBSTITUTE(SUBSTITUTE(G2043, ""?"", """"), ""*"", """")))"),"Green Polkadot Bowl")</f>
        <v>Green Polkadot Bowl</v>
      </c>
      <c r="I2043" s="3">
        <v>8.0</v>
      </c>
      <c r="J2043" s="7">
        <v>40598.6875</v>
      </c>
      <c r="K2043" s="8" t="str">
        <f t="shared" si="4"/>
        <v>2011-02</v>
      </c>
      <c r="L2043" s="5">
        <v>1.25</v>
      </c>
      <c r="M2043" s="3">
        <v>13081.0</v>
      </c>
      <c r="N2043" s="1" t="str">
        <f t="shared" si="5"/>
        <v>Registered</v>
      </c>
      <c r="O2043" s="1" t="s">
        <v>19</v>
      </c>
      <c r="P2043" s="9" t="str">
        <f t="shared" si="6"/>
        <v>UK</v>
      </c>
      <c r="Q2043" s="8">
        <f t="shared" si="7"/>
        <v>10</v>
      </c>
    </row>
    <row r="2044">
      <c r="A2044" s="1">
        <v>544918.0</v>
      </c>
      <c r="B2044" s="1" t="str">
        <f t="shared" si="1"/>
        <v>544918</v>
      </c>
      <c r="C2044" s="1" t="str">
        <f t="shared" si="2"/>
        <v>Sale</v>
      </c>
      <c r="D2044" s="1">
        <v>21240.0</v>
      </c>
      <c r="E2044" s="1" t="str">
        <f>IFERROR(__xludf.DUMMYFUNCTION("IF(LEN(D2044)&gt;4, IFERROR(REGEXEXTRACT(TO_TEXT(D2044),""\d+""),""""),"""")"),"21240")</f>
        <v>21240</v>
      </c>
      <c r="F2044" s="6" t="str">
        <f t="shared" si="3"/>
        <v>Product</v>
      </c>
      <c r="G2044" s="1" t="s">
        <v>954</v>
      </c>
      <c r="H2044" s="6" t="str">
        <f>IFERROR(__xludf.DUMMYFUNCTION("IF(REGEXMATCH(LOWER(G2044), ""^(\?)+\s*(missing)?\s*(\?)*$""), """", PROPER(SUBSTITUTE(SUBSTITUTE(G2044, ""?"", """"), ""*"", """")))"),"Blue Polkadot Cup")</f>
        <v>Blue Polkadot Cup</v>
      </c>
      <c r="I2044" s="3">
        <v>8.0</v>
      </c>
      <c r="J2044" s="7">
        <v>40598.6875</v>
      </c>
      <c r="K2044" s="8" t="str">
        <f t="shared" si="4"/>
        <v>2011-02</v>
      </c>
      <c r="L2044" s="5">
        <v>0.85</v>
      </c>
      <c r="M2044" s="3">
        <v>13081.0</v>
      </c>
      <c r="N2044" s="1" t="str">
        <f t="shared" si="5"/>
        <v>Registered</v>
      </c>
      <c r="O2044" s="1" t="s">
        <v>19</v>
      </c>
      <c r="P2044" s="9" t="str">
        <f t="shared" si="6"/>
        <v>UK</v>
      </c>
      <c r="Q2044" s="8">
        <f t="shared" si="7"/>
        <v>6.8</v>
      </c>
    </row>
    <row r="2045">
      <c r="A2045" s="1">
        <v>544918.0</v>
      </c>
      <c r="B2045" s="1" t="str">
        <f t="shared" si="1"/>
        <v>544918</v>
      </c>
      <c r="C2045" s="1" t="str">
        <f t="shared" si="2"/>
        <v>Sale</v>
      </c>
      <c r="D2045" s="1">
        <v>21242.0</v>
      </c>
      <c r="E2045" s="1" t="str">
        <f>IFERROR(__xludf.DUMMYFUNCTION("IF(LEN(D2045)&gt;4, IFERROR(REGEXEXTRACT(TO_TEXT(D2045),""\d+""),""""),"""")"),"21242")</f>
        <v>21242</v>
      </c>
      <c r="F2045" s="6" t="str">
        <f t="shared" si="3"/>
        <v>Product</v>
      </c>
      <c r="G2045" s="1" t="s">
        <v>436</v>
      </c>
      <c r="H2045" s="6" t="str">
        <f>IFERROR(__xludf.DUMMYFUNCTION("IF(REGEXMATCH(LOWER(G2045), ""^(\?)+\s*(missing)?\s*(\?)*$""), """", PROPER(SUBSTITUTE(SUBSTITUTE(G2045, ""?"", """"), ""*"", """")))"),"Red Retrospot Plate")</f>
        <v>Red Retrospot Plate</v>
      </c>
      <c r="I2045" s="3">
        <v>16.0</v>
      </c>
      <c r="J2045" s="7">
        <v>40598.6875</v>
      </c>
      <c r="K2045" s="8" t="str">
        <f t="shared" si="4"/>
        <v>2011-02</v>
      </c>
      <c r="L2045" s="5">
        <v>1.69</v>
      </c>
      <c r="M2045" s="3">
        <v>13081.0</v>
      </c>
      <c r="N2045" s="1" t="str">
        <f t="shared" si="5"/>
        <v>Registered</v>
      </c>
      <c r="O2045" s="1" t="s">
        <v>19</v>
      </c>
      <c r="P2045" s="9" t="str">
        <f t="shared" si="6"/>
        <v>UK</v>
      </c>
      <c r="Q2045" s="8">
        <f t="shared" si="7"/>
        <v>27.04</v>
      </c>
    </row>
    <row r="2046">
      <c r="A2046" s="1">
        <v>544918.0</v>
      </c>
      <c r="B2046" s="1" t="str">
        <f t="shared" si="1"/>
        <v>544918</v>
      </c>
      <c r="C2046" s="1" t="str">
        <f t="shared" si="2"/>
        <v>Sale</v>
      </c>
      <c r="D2046" s="1">
        <v>21058.0</v>
      </c>
      <c r="E2046" s="1" t="str">
        <f>IFERROR(__xludf.DUMMYFUNCTION("IF(LEN(D2046)&gt;4, IFERROR(REGEXEXTRACT(TO_TEXT(D2046),""\d+""),""""),"""")"),"21058")</f>
        <v>21058</v>
      </c>
      <c r="F2046" s="6" t="str">
        <f t="shared" si="3"/>
        <v>Product</v>
      </c>
      <c r="G2046" s="1" t="s">
        <v>979</v>
      </c>
      <c r="H2046" s="6" t="str">
        <f>IFERROR(__xludf.DUMMYFUNCTION("IF(REGEXMATCH(LOWER(G2046), ""^(\?)+\s*(missing)?\s*(\?)*$""), """", PROPER(SUBSTITUTE(SUBSTITUTE(G2046, ""?"", """"), ""*"", """")))"),"Party Invites Woodland")</f>
        <v>Party Invites Woodland</v>
      </c>
      <c r="I2046" s="3">
        <v>12.0</v>
      </c>
      <c r="J2046" s="7">
        <v>40598.6875</v>
      </c>
      <c r="K2046" s="8" t="str">
        <f t="shared" si="4"/>
        <v>2011-02</v>
      </c>
      <c r="L2046" s="5">
        <v>0.85</v>
      </c>
      <c r="M2046" s="3">
        <v>13081.0</v>
      </c>
      <c r="N2046" s="1" t="str">
        <f t="shared" si="5"/>
        <v>Registered</v>
      </c>
      <c r="O2046" s="1" t="s">
        <v>19</v>
      </c>
      <c r="P2046" s="9" t="str">
        <f t="shared" si="6"/>
        <v>UK</v>
      </c>
      <c r="Q2046" s="8">
        <f t="shared" si="7"/>
        <v>10.2</v>
      </c>
    </row>
    <row r="2047">
      <c r="A2047" s="1">
        <v>544918.0</v>
      </c>
      <c r="B2047" s="1" t="str">
        <f t="shared" si="1"/>
        <v>544918</v>
      </c>
      <c r="C2047" s="1" t="str">
        <f t="shared" si="2"/>
        <v>Sale</v>
      </c>
      <c r="D2047" s="1" t="s">
        <v>201</v>
      </c>
      <c r="E2047" s="1" t="str">
        <f>IFERROR(__xludf.DUMMYFUNCTION("IF(LEN(D2047)&gt;4, IFERROR(REGEXEXTRACT(TO_TEXT(D2047),""\d+""),""""),"""")"),"85014")</f>
        <v>85014</v>
      </c>
      <c r="F2047" s="6" t="str">
        <f t="shared" si="3"/>
        <v>Product</v>
      </c>
      <c r="G2047" s="1" t="s">
        <v>202</v>
      </c>
      <c r="H2047" s="6" t="str">
        <f>IFERROR(__xludf.DUMMYFUNCTION("IF(REGEXMATCH(LOWER(G2047), ""^(\?)+\s*(missing)?\s*(\?)*$""), """", PROPER(SUBSTITUTE(SUBSTITUTE(G2047, ""?"", """"), ""*"", """")))"),"Red Retrospot Umbrella")</f>
        <v>Red Retrospot Umbrella</v>
      </c>
      <c r="I2047" s="3">
        <v>3.0</v>
      </c>
      <c r="J2047" s="7">
        <v>40598.6875</v>
      </c>
      <c r="K2047" s="8" t="str">
        <f t="shared" si="4"/>
        <v>2011-02</v>
      </c>
      <c r="L2047" s="5">
        <v>5.95</v>
      </c>
      <c r="M2047" s="3">
        <v>13081.0</v>
      </c>
      <c r="N2047" s="1" t="str">
        <f t="shared" si="5"/>
        <v>Registered</v>
      </c>
      <c r="O2047" s="1" t="s">
        <v>19</v>
      </c>
      <c r="P2047" s="9" t="str">
        <f t="shared" si="6"/>
        <v>UK</v>
      </c>
      <c r="Q2047" s="8">
        <f t="shared" si="7"/>
        <v>17.85</v>
      </c>
    </row>
    <row r="2048">
      <c r="A2048" s="1">
        <v>544918.0</v>
      </c>
      <c r="B2048" s="1" t="str">
        <f t="shared" si="1"/>
        <v>544918</v>
      </c>
      <c r="C2048" s="1" t="str">
        <f t="shared" si="2"/>
        <v>Sale</v>
      </c>
      <c r="D2048" s="1">
        <v>21675.0</v>
      </c>
      <c r="E2048" s="1" t="str">
        <f>IFERROR(__xludf.DUMMYFUNCTION("IF(LEN(D2048)&gt;4, IFERROR(REGEXEXTRACT(TO_TEXT(D2048),""\d+""),""""),"""")"),"21675")</f>
        <v>21675</v>
      </c>
      <c r="F2048" s="6" t="str">
        <f t="shared" si="3"/>
        <v>Product</v>
      </c>
      <c r="G2048" s="1" t="s">
        <v>1143</v>
      </c>
      <c r="H2048" s="6" t="str">
        <f>IFERROR(__xludf.DUMMYFUNCTION("IF(REGEXMATCH(LOWER(G2048), ""^(\?)+\s*(missing)?\s*(\?)*$""), """", PROPER(SUBSTITUTE(SUBSTITUTE(G2048, ""?"", """"), ""*"", """")))"),"Butterflies Stickers")</f>
        <v>Butterflies Stickers</v>
      </c>
      <c r="I2048" s="3">
        <v>12.0</v>
      </c>
      <c r="J2048" s="7">
        <v>40598.6875</v>
      </c>
      <c r="K2048" s="8" t="str">
        <f t="shared" si="4"/>
        <v>2011-02</v>
      </c>
      <c r="L2048" s="5">
        <v>0.85</v>
      </c>
      <c r="M2048" s="3">
        <v>13081.0</v>
      </c>
      <c r="N2048" s="1" t="str">
        <f t="shared" si="5"/>
        <v>Registered</v>
      </c>
      <c r="O2048" s="1" t="s">
        <v>19</v>
      </c>
      <c r="P2048" s="9" t="str">
        <f t="shared" si="6"/>
        <v>UK</v>
      </c>
      <c r="Q2048" s="8">
        <f t="shared" si="7"/>
        <v>10.2</v>
      </c>
    </row>
    <row r="2049">
      <c r="A2049" s="1">
        <v>544918.0</v>
      </c>
      <c r="B2049" s="1" t="str">
        <f t="shared" si="1"/>
        <v>544918</v>
      </c>
      <c r="C2049" s="1" t="str">
        <f t="shared" si="2"/>
        <v>Sale</v>
      </c>
      <c r="D2049" s="1">
        <v>20677.0</v>
      </c>
      <c r="E2049" s="1" t="str">
        <f>IFERROR(__xludf.DUMMYFUNCTION("IF(LEN(D2049)&gt;4, IFERROR(REGEXEXTRACT(TO_TEXT(D2049),""\d+""),""""),"""")"),"20677")</f>
        <v>20677</v>
      </c>
      <c r="F2049" s="6" t="str">
        <f t="shared" si="3"/>
        <v>Product</v>
      </c>
      <c r="G2049" s="1" t="s">
        <v>956</v>
      </c>
      <c r="H2049" s="6" t="str">
        <f>IFERROR(__xludf.DUMMYFUNCTION("IF(REGEXMATCH(LOWER(G2049), ""^(\?)+\s*(missing)?\s*(\?)*$""), """", PROPER(SUBSTITUTE(SUBSTITUTE(G2049, ""?"", """"), ""*"", """")))"),"Pink Polkadot Bowl")</f>
        <v>Pink Polkadot Bowl</v>
      </c>
      <c r="I2049" s="3">
        <v>16.0</v>
      </c>
      <c r="J2049" s="7">
        <v>40598.6875</v>
      </c>
      <c r="K2049" s="8" t="str">
        <f t="shared" si="4"/>
        <v>2011-02</v>
      </c>
      <c r="L2049" s="5">
        <v>1.25</v>
      </c>
      <c r="M2049" s="3">
        <v>13081.0</v>
      </c>
      <c r="N2049" s="1" t="str">
        <f t="shared" si="5"/>
        <v>Registered</v>
      </c>
      <c r="O2049" s="1" t="s">
        <v>19</v>
      </c>
      <c r="P2049" s="9" t="str">
        <f t="shared" si="6"/>
        <v>UK</v>
      </c>
      <c r="Q2049" s="8">
        <f t="shared" si="7"/>
        <v>20</v>
      </c>
    </row>
    <row r="2050">
      <c r="A2050" s="1">
        <v>544918.0</v>
      </c>
      <c r="B2050" s="1" t="str">
        <f t="shared" si="1"/>
        <v>544918</v>
      </c>
      <c r="C2050" s="1" t="str">
        <f t="shared" si="2"/>
        <v>Sale</v>
      </c>
      <c r="D2050" s="1">
        <v>22432.0</v>
      </c>
      <c r="E2050" s="1" t="str">
        <f>IFERROR(__xludf.DUMMYFUNCTION("IF(LEN(D2050)&gt;4, IFERROR(REGEXEXTRACT(TO_TEXT(D2050),""\d+""),""""),"""")"),"22432")</f>
        <v>22432</v>
      </c>
      <c r="F2050" s="6" t="str">
        <f t="shared" si="3"/>
        <v>Product</v>
      </c>
      <c r="G2050" s="1" t="s">
        <v>1144</v>
      </c>
      <c r="H2050" s="6" t="str">
        <f>IFERROR(__xludf.DUMMYFUNCTION("IF(REGEXMATCH(LOWER(G2050), ""^(\?)+\s*(missing)?\s*(\?)*$""), """", PROPER(SUBSTITUTE(SUBSTITUTE(G2050, ""?"", """"), ""*"", """")))"),"Watering Can Pink Bunny")</f>
        <v>Watering Can Pink Bunny</v>
      </c>
      <c r="I2050" s="3">
        <v>6.0</v>
      </c>
      <c r="J2050" s="7">
        <v>40598.6875</v>
      </c>
      <c r="K2050" s="8" t="str">
        <f t="shared" si="4"/>
        <v>2011-02</v>
      </c>
      <c r="L2050" s="5">
        <v>1.95</v>
      </c>
      <c r="M2050" s="3">
        <v>13081.0</v>
      </c>
      <c r="N2050" s="1" t="str">
        <f t="shared" si="5"/>
        <v>Registered</v>
      </c>
      <c r="O2050" s="1" t="s">
        <v>19</v>
      </c>
      <c r="P2050" s="9" t="str">
        <f t="shared" si="6"/>
        <v>UK</v>
      </c>
      <c r="Q2050" s="8">
        <f t="shared" si="7"/>
        <v>11.7</v>
      </c>
    </row>
    <row r="2051">
      <c r="A2051" s="1">
        <v>544918.0</v>
      </c>
      <c r="B2051" s="1" t="str">
        <f t="shared" si="1"/>
        <v>544918</v>
      </c>
      <c r="C2051" s="1" t="str">
        <f t="shared" si="2"/>
        <v>Sale</v>
      </c>
      <c r="D2051" s="1">
        <v>21866.0</v>
      </c>
      <c r="E2051" s="1" t="str">
        <f>IFERROR(__xludf.DUMMYFUNCTION("IF(LEN(D2051)&gt;4, IFERROR(REGEXEXTRACT(TO_TEXT(D2051),""\d+""),""""),"""")"),"21866")</f>
        <v>21866</v>
      </c>
      <c r="F2051" s="6" t="str">
        <f t="shared" si="3"/>
        <v>Product</v>
      </c>
      <c r="G2051" s="1" t="s">
        <v>399</v>
      </c>
      <c r="H2051" s="6" t="str">
        <f>IFERROR(__xludf.DUMMYFUNCTION("IF(REGEXMATCH(LOWER(G2051), ""^(\?)+\s*(missing)?\s*(\?)*$""), """", PROPER(SUBSTITUTE(SUBSTITUTE(G2051, ""?"", """"), ""*"", """")))"),"Union Jack Flag Luggage Tag")</f>
        <v>Union Jack Flag Luggage Tag</v>
      </c>
      <c r="I2051" s="3">
        <v>12.0</v>
      </c>
      <c r="J2051" s="7">
        <v>40598.6875</v>
      </c>
      <c r="K2051" s="8" t="str">
        <f t="shared" si="4"/>
        <v>2011-02</v>
      </c>
      <c r="L2051" s="5">
        <v>1.25</v>
      </c>
      <c r="M2051" s="3">
        <v>13081.0</v>
      </c>
      <c r="N2051" s="1" t="str">
        <f t="shared" si="5"/>
        <v>Registered</v>
      </c>
      <c r="O2051" s="1" t="s">
        <v>19</v>
      </c>
      <c r="P2051" s="9" t="str">
        <f t="shared" si="6"/>
        <v>UK</v>
      </c>
      <c r="Q2051" s="8">
        <f t="shared" si="7"/>
        <v>15</v>
      </c>
    </row>
    <row r="2052">
      <c r="A2052" s="1">
        <v>544918.0</v>
      </c>
      <c r="B2052" s="1" t="str">
        <f t="shared" si="1"/>
        <v>544918</v>
      </c>
      <c r="C2052" s="1" t="str">
        <f t="shared" si="2"/>
        <v>Sale</v>
      </c>
      <c r="D2052" s="1">
        <v>22585.0</v>
      </c>
      <c r="E2052" s="1" t="str">
        <f>IFERROR(__xludf.DUMMYFUNCTION("IF(LEN(D2052)&gt;4, IFERROR(REGEXEXTRACT(TO_TEXT(D2052),""\d+""),""""),"""")"),"22585")</f>
        <v>22585</v>
      </c>
      <c r="F2052" s="6" t="str">
        <f t="shared" si="3"/>
        <v>Product</v>
      </c>
      <c r="G2052" s="1" t="s">
        <v>520</v>
      </c>
      <c r="H2052" s="6" t="str">
        <f>IFERROR(__xludf.DUMMYFUNCTION("IF(REGEXMATCH(LOWER(G2052), ""^(\?)+\s*(missing)?\s*(\?)*$""), """", PROPER(SUBSTITUTE(SUBSTITUTE(G2052, ""?"", """"), ""*"", """")))"),"Pack Of 6 Birdy Gift Tags")</f>
        <v>Pack Of 6 Birdy Gift Tags</v>
      </c>
      <c r="I2052" s="3">
        <v>12.0</v>
      </c>
      <c r="J2052" s="7">
        <v>40598.6875</v>
      </c>
      <c r="K2052" s="8" t="str">
        <f t="shared" si="4"/>
        <v>2011-02</v>
      </c>
      <c r="L2052" s="5">
        <v>1.25</v>
      </c>
      <c r="M2052" s="3">
        <v>13081.0</v>
      </c>
      <c r="N2052" s="1" t="str">
        <f t="shared" si="5"/>
        <v>Registered</v>
      </c>
      <c r="O2052" s="1" t="s">
        <v>19</v>
      </c>
      <c r="P2052" s="9" t="str">
        <f t="shared" si="6"/>
        <v>UK</v>
      </c>
      <c r="Q2052" s="8">
        <f t="shared" si="7"/>
        <v>15</v>
      </c>
    </row>
    <row r="2053">
      <c r="A2053" s="1">
        <v>544918.0</v>
      </c>
      <c r="B2053" s="1" t="str">
        <f t="shared" si="1"/>
        <v>544918</v>
      </c>
      <c r="C2053" s="1" t="str">
        <f t="shared" si="2"/>
        <v>Sale</v>
      </c>
      <c r="D2053" s="1">
        <v>21949.0</v>
      </c>
      <c r="E2053" s="1" t="str">
        <f>IFERROR(__xludf.DUMMYFUNCTION("IF(LEN(D2053)&gt;4, IFERROR(REGEXEXTRACT(TO_TEXT(D2053),""\d+""),""""),"""")"),"21949")</f>
        <v>21949</v>
      </c>
      <c r="F2053" s="6" t="str">
        <f t="shared" si="3"/>
        <v>Product</v>
      </c>
      <c r="G2053" s="1" t="s">
        <v>1145</v>
      </c>
      <c r="H2053" s="6" t="str">
        <f>IFERROR(__xludf.DUMMYFUNCTION("IF(REGEXMATCH(LOWER(G2053), ""^(\?)+\s*(missing)?\s*(\?)*$""), """", PROPER(SUBSTITUTE(SUBSTITUTE(G2053, ""?"", """"), ""*"", """")))"),"Set Of 6 Strawberry Chopsticks")</f>
        <v>Set Of 6 Strawberry Chopsticks</v>
      </c>
      <c r="I2053" s="3">
        <v>12.0</v>
      </c>
      <c r="J2053" s="7">
        <v>40598.6875</v>
      </c>
      <c r="K2053" s="8" t="str">
        <f t="shared" si="4"/>
        <v>2011-02</v>
      </c>
      <c r="L2053" s="5">
        <v>1.25</v>
      </c>
      <c r="M2053" s="3">
        <v>13081.0</v>
      </c>
      <c r="N2053" s="1" t="str">
        <f t="shared" si="5"/>
        <v>Registered</v>
      </c>
      <c r="O2053" s="1" t="s">
        <v>19</v>
      </c>
      <c r="P2053" s="9" t="str">
        <f t="shared" si="6"/>
        <v>UK</v>
      </c>
      <c r="Q2053" s="8">
        <f t="shared" si="7"/>
        <v>15</v>
      </c>
    </row>
    <row r="2054">
      <c r="A2054" s="1">
        <v>544918.0</v>
      </c>
      <c r="B2054" s="1" t="str">
        <f t="shared" si="1"/>
        <v>544918</v>
      </c>
      <c r="C2054" s="1" t="str">
        <f t="shared" si="2"/>
        <v>Sale</v>
      </c>
      <c r="D2054" s="1">
        <v>20675.0</v>
      </c>
      <c r="E2054" s="1" t="str">
        <f>IFERROR(__xludf.DUMMYFUNCTION("IF(LEN(D2054)&gt;4, IFERROR(REGEXEXTRACT(TO_TEXT(D2054),""\d+""),""""),"""")"),"20675")</f>
        <v>20675</v>
      </c>
      <c r="F2054" s="6" t="str">
        <f t="shared" si="3"/>
        <v>Product</v>
      </c>
      <c r="G2054" s="1" t="s">
        <v>955</v>
      </c>
      <c r="H2054" s="6" t="str">
        <f>IFERROR(__xludf.DUMMYFUNCTION("IF(REGEXMATCH(LOWER(G2054), ""^(\?)+\s*(missing)?\s*(\?)*$""), """", PROPER(SUBSTITUTE(SUBSTITUTE(G2054, ""?"", """"), ""*"", """")))"),"Blue Polkadot Bowl")</f>
        <v>Blue Polkadot Bowl</v>
      </c>
      <c r="I2054" s="3">
        <v>16.0</v>
      </c>
      <c r="J2054" s="7">
        <v>40598.6875</v>
      </c>
      <c r="K2054" s="8" t="str">
        <f t="shared" si="4"/>
        <v>2011-02</v>
      </c>
      <c r="L2054" s="5">
        <v>1.25</v>
      </c>
      <c r="M2054" s="3">
        <v>13081.0</v>
      </c>
      <c r="N2054" s="1" t="str">
        <f t="shared" si="5"/>
        <v>Registered</v>
      </c>
      <c r="O2054" s="1" t="s">
        <v>19</v>
      </c>
      <c r="P2054" s="9" t="str">
        <f t="shared" si="6"/>
        <v>UK</v>
      </c>
      <c r="Q2054" s="8">
        <f t="shared" si="7"/>
        <v>20</v>
      </c>
    </row>
    <row r="2055">
      <c r="A2055" s="1">
        <v>544918.0</v>
      </c>
      <c r="B2055" s="1" t="str">
        <f t="shared" si="1"/>
        <v>544918</v>
      </c>
      <c r="C2055" s="1" t="str">
        <f t="shared" si="2"/>
        <v>Sale</v>
      </c>
      <c r="D2055" s="1">
        <v>21559.0</v>
      </c>
      <c r="E2055" s="1" t="str">
        <f>IFERROR(__xludf.DUMMYFUNCTION("IF(LEN(D2055)&gt;4, IFERROR(REGEXEXTRACT(TO_TEXT(D2055),""\d+""),""""),"""")"),"21559")</f>
        <v>21559</v>
      </c>
      <c r="F2055" s="6" t="str">
        <f t="shared" si="3"/>
        <v>Product</v>
      </c>
      <c r="G2055" s="1" t="s">
        <v>95</v>
      </c>
      <c r="H2055" s="6" t="str">
        <f>IFERROR(__xludf.DUMMYFUNCTION("IF(REGEXMATCH(LOWER(G2055), ""^(\?)+\s*(missing)?\s*(\?)*$""), """", PROPER(SUBSTITUTE(SUBSTITUTE(G2055, ""?"", """"), ""*"", """")))"),"Strawberry Lunch Box With Cutlery")</f>
        <v>Strawberry Lunch Box With Cutlery</v>
      </c>
      <c r="I2055" s="3">
        <v>12.0</v>
      </c>
      <c r="J2055" s="7">
        <v>40598.6875</v>
      </c>
      <c r="K2055" s="8" t="str">
        <f t="shared" si="4"/>
        <v>2011-02</v>
      </c>
      <c r="L2055" s="5">
        <v>2.55</v>
      </c>
      <c r="M2055" s="3">
        <v>13081.0</v>
      </c>
      <c r="N2055" s="1" t="str">
        <f t="shared" si="5"/>
        <v>Registered</v>
      </c>
      <c r="O2055" s="1" t="s">
        <v>19</v>
      </c>
      <c r="P2055" s="9" t="str">
        <f t="shared" si="6"/>
        <v>UK</v>
      </c>
      <c r="Q2055" s="8">
        <f t="shared" si="7"/>
        <v>30.6</v>
      </c>
    </row>
    <row r="2056">
      <c r="A2056" s="1">
        <v>544918.0</v>
      </c>
      <c r="B2056" s="1" t="str">
        <f t="shared" si="1"/>
        <v>544918</v>
      </c>
      <c r="C2056" s="1" t="str">
        <f t="shared" si="2"/>
        <v>Sale</v>
      </c>
      <c r="D2056" s="1">
        <v>21060.0</v>
      </c>
      <c r="E2056" s="1" t="str">
        <f>IFERROR(__xludf.DUMMYFUNCTION("IF(LEN(D2056)&gt;4, IFERROR(REGEXEXTRACT(TO_TEXT(D2056),""\d+""),""""),"""")"),"21060")</f>
        <v>21060</v>
      </c>
      <c r="F2056" s="6" t="str">
        <f t="shared" si="3"/>
        <v>Product</v>
      </c>
      <c r="G2056" s="1" t="s">
        <v>980</v>
      </c>
      <c r="H2056" s="6" t="str">
        <f>IFERROR(__xludf.DUMMYFUNCTION("IF(REGEXMATCH(LOWER(G2056), ""^(\?)+\s*(missing)?\s*(\?)*$""), """", PROPER(SUBSTITUTE(SUBSTITUTE(G2056, ""?"", """"), ""*"", """")))"),"Party Invites Balloon Girl")</f>
        <v>Party Invites Balloon Girl</v>
      </c>
      <c r="I2056" s="3">
        <v>12.0</v>
      </c>
      <c r="J2056" s="7">
        <v>40598.6875</v>
      </c>
      <c r="K2056" s="8" t="str">
        <f t="shared" si="4"/>
        <v>2011-02</v>
      </c>
      <c r="L2056" s="5">
        <v>0.85</v>
      </c>
      <c r="M2056" s="3">
        <v>13081.0</v>
      </c>
      <c r="N2056" s="1" t="str">
        <f t="shared" si="5"/>
        <v>Registered</v>
      </c>
      <c r="O2056" s="1" t="s">
        <v>19</v>
      </c>
      <c r="P2056" s="9" t="str">
        <f t="shared" si="6"/>
        <v>UK</v>
      </c>
      <c r="Q2056" s="8">
        <f t="shared" si="7"/>
        <v>10.2</v>
      </c>
    </row>
    <row r="2057">
      <c r="A2057" s="1">
        <v>544918.0</v>
      </c>
      <c r="B2057" s="1" t="str">
        <f t="shared" si="1"/>
        <v>544918</v>
      </c>
      <c r="C2057" s="1" t="str">
        <f t="shared" si="2"/>
        <v>Sale</v>
      </c>
      <c r="D2057" s="1">
        <v>21063.0</v>
      </c>
      <c r="E2057" s="1" t="str">
        <f>IFERROR(__xludf.DUMMYFUNCTION("IF(LEN(D2057)&gt;4, IFERROR(REGEXEXTRACT(TO_TEXT(D2057),""\d+""),""""),"""")"),"21063")</f>
        <v>21063</v>
      </c>
      <c r="F2057" s="6" t="str">
        <f t="shared" si="3"/>
        <v>Product</v>
      </c>
      <c r="G2057" s="1" t="s">
        <v>347</v>
      </c>
      <c r="H2057" s="6" t="str">
        <f>IFERROR(__xludf.DUMMYFUNCTION("IF(REGEXMATCH(LOWER(G2057), ""^(\?)+\s*(missing)?\s*(\?)*$""), """", PROPER(SUBSTITUTE(SUBSTITUTE(G2057, ""?"", """"), ""*"", """")))"),"Party Invites Jazz Hearts")</f>
        <v>Party Invites Jazz Hearts</v>
      </c>
      <c r="I2057" s="3">
        <v>12.0</v>
      </c>
      <c r="J2057" s="7">
        <v>40598.6875</v>
      </c>
      <c r="K2057" s="8" t="str">
        <f t="shared" si="4"/>
        <v>2011-02</v>
      </c>
      <c r="L2057" s="5">
        <v>0.85</v>
      </c>
      <c r="M2057" s="3">
        <v>13081.0</v>
      </c>
      <c r="N2057" s="1" t="str">
        <f t="shared" si="5"/>
        <v>Registered</v>
      </c>
      <c r="O2057" s="1" t="s">
        <v>19</v>
      </c>
      <c r="P2057" s="9" t="str">
        <f t="shared" si="6"/>
        <v>UK</v>
      </c>
      <c r="Q2057" s="8">
        <f t="shared" si="7"/>
        <v>10.2</v>
      </c>
    </row>
    <row r="2058">
      <c r="A2058" s="1">
        <v>544918.0</v>
      </c>
      <c r="B2058" s="1" t="str">
        <f t="shared" si="1"/>
        <v>544918</v>
      </c>
      <c r="C2058" s="1" t="str">
        <f t="shared" si="2"/>
        <v>Sale</v>
      </c>
      <c r="D2058" s="1">
        <v>21238.0</v>
      </c>
      <c r="E2058" s="1" t="str">
        <f>IFERROR(__xludf.DUMMYFUNCTION("IF(LEN(D2058)&gt;4, IFERROR(REGEXEXTRACT(TO_TEXT(D2058),""\d+""),""""),"""")"),"21238")</f>
        <v>21238</v>
      </c>
      <c r="F2058" s="6" t="str">
        <f t="shared" si="3"/>
        <v>Product</v>
      </c>
      <c r="G2058" s="1" t="s">
        <v>951</v>
      </c>
      <c r="H2058" s="6" t="str">
        <f>IFERROR(__xludf.DUMMYFUNCTION("IF(REGEXMATCH(LOWER(G2058), ""^(\?)+\s*(missing)?\s*(\?)*$""), """", PROPER(SUBSTITUTE(SUBSTITUTE(G2058, ""?"", """"), ""*"", """")))"),"Red Retrospot Cup")</f>
        <v>Red Retrospot Cup</v>
      </c>
      <c r="I2058" s="3">
        <v>8.0</v>
      </c>
      <c r="J2058" s="7">
        <v>40598.6875</v>
      </c>
      <c r="K2058" s="8" t="str">
        <f t="shared" si="4"/>
        <v>2011-02</v>
      </c>
      <c r="L2058" s="5">
        <v>0.85</v>
      </c>
      <c r="M2058" s="3">
        <v>13081.0</v>
      </c>
      <c r="N2058" s="1" t="str">
        <f t="shared" si="5"/>
        <v>Registered</v>
      </c>
      <c r="O2058" s="1" t="s">
        <v>19</v>
      </c>
      <c r="P2058" s="9" t="str">
        <f t="shared" si="6"/>
        <v>UK</v>
      </c>
      <c r="Q2058" s="8">
        <f t="shared" si="7"/>
        <v>6.8</v>
      </c>
    </row>
    <row r="2059">
      <c r="A2059" s="1">
        <v>544918.0</v>
      </c>
      <c r="B2059" s="1" t="str">
        <f t="shared" si="1"/>
        <v>544918</v>
      </c>
      <c r="C2059" s="1" t="str">
        <f t="shared" si="2"/>
        <v>Sale</v>
      </c>
      <c r="D2059" s="1">
        <v>62018.0</v>
      </c>
      <c r="E2059" s="1" t="str">
        <f>IFERROR(__xludf.DUMMYFUNCTION("IF(LEN(D2059)&gt;4, IFERROR(REGEXEXTRACT(TO_TEXT(D2059),""\d+""),""""),"""")"),"62018")</f>
        <v>62018</v>
      </c>
      <c r="F2059" s="6" t="str">
        <f t="shared" si="3"/>
        <v>Product</v>
      </c>
      <c r="G2059" s="1" t="s">
        <v>1146</v>
      </c>
      <c r="H2059" s="6" t="str">
        <f>IFERROR(__xludf.DUMMYFUNCTION("IF(REGEXMATCH(LOWER(G2059), ""^(\?)+\s*(missing)?\s*(\?)*$""), """", PROPER(SUBSTITUTE(SUBSTITUTE(G2059, ""?"", """"), ""*"", """")))"),"Sombrero")</f>
        <v>Sombrero</v>
      </c>
      <c r="I2059" s="3">
        <v>6.0</v>
      </c>
      <c r="J2059" s="7">
        <v>40598.6875</v>
      </c>
      <c r="K2059" s="8" t="str">
        <f t="shared" si="4"/>
        <v>2011-02</v>
      </c>
      <c r="L2059" s="5">
        <v>1.95</v>
      </c>
      <c r="M2059" s="3">
        <v>13081.0</v>
      </c>
      <c r="N2059" s="1" t="str">
        <f t="shared" si="5"/>
        <v>Registered</v>
      </c>
      <c r="O2059" s="1" t="s">
        <v>19</v>
      </c>
      <c r="P2059" s="9" t="str">
        <f t="shared" si="6"/>
        <v>UK</v>
      </c>
      <c r="Q2059" s="8">
        <f t="shared" si="7"/>
        <v>11.7</v>
      </c>
    </row>
    <row r="2060">
      <c r="A2060" s="1">
        <v>544918.0</v>
      </c>
      <c r="B2060" s="1" t="str">
        <f t="shared" si="1"/>
        <v>544918</v>
      </c>
      <c r="C2060" s="1" t="str">
        <f t="shared" si="2"/>
        <v>Sale</v>
      </c>
      <c r="D2060" s="1">
        <v>22332.0</v>
      </c>
      <c r="E2060" s="1" t="str">
        <f>IFERROR(__xludf.DUMMYFUNCTION("IF(LEN(D2060)&gt;4, IFERROR(REGEXEXTRACT(TO_TEXT(D2060),""\d+""),""""),"""")"),"22332")</f>
        <v>22332</v>
      </c>
      <c r="F2060" s="6" t="str">
        <f t="shared" si="3"/>
        <v>Product</v>
      </c>
      <c r="G2060" s="1" t="s">
        <v>1012</v>
      </c>
      <c r="H2060" s="6" t="str">
        <f>IFERROR(__xludf.DUMMYFUNCTION("IF(REGEXMATCH(LOWER(G2060), ""^(\?)+\s*(missing)?\s*(\?)*$""), """", PROPER(SUBSTITUTE(SUBSTITUTE(G2060, ""?"", """"), ""*"", """")))"),"Skulls Party Bag + Sticker Set")</f>
        <v>Skulls Party Bag + Sticker Set</v>
      </c>
      <c r="I2060" s="3">
        <v>8.0</v>
      </c>
      <c r="J2060" s="7">
        <v>40598.6875</v>
      </c>
      <c r="K2060" s="8" t="str">
        <f t="shared" si="4"/>
        <v>2011-02</v>
      </c>
      <c r="L2060" s="5">
        <v>1.65</v>
      </c>
      <c r="M2060" s="3">
        <v>13081.0</v>
      </c>
      <c r="N2060" s="1" t="str">
        <f t="shared" si="5"/>
        <v>Registered</v>
      </c>
      <c r="O2060" s="1" t="s">
        <v>19</v>
      </c>
      <c r="P2060" s="9" t="str">
        <f t="shared" si="6"/>
        <v>UK</v>
      </c>
      <c r="Q2060" s="8">
        <f t="shared" si="7"/>
        <v>13.2</v>
      </c>
    </row>
    <row r="2061">
      <c r="A2061" s="1">
        <v>544918.0</v>
      </c>
      <c r="B2061" s="1" t="str">
        <f t="shared" si="1"/>
        <v>544918</v>
      </c>
      <c r="C2061" s="1" t="str">
        <f t="shared" si="2"/>
        <v>Sale</v>
      </c>
      <c r="D2061" s="1">
        <v>20676.0</v>
      </c>
      <c r="E2061" s="1" t="str">
        <f>IFERROR(__xludf.DUMMYFUNCTION("IF(LEN(D2061)&gt;4, IFERROR(REGEXEXTRACT(TO_TEXT(D2061),""\d+""),""""),"""")"),"20676")</f>
        <v>20676</v>
      </c>
      <c r="F2061" s="6" t="str">
        <f t="shared" si="3"/>
        <v>Product</v>
      </c>
      <c r="G2061" s="1" t="s">
        <v>736</v>
      </c>
      <c r="H2061" s="6" t="str">
        <f>IFERROR(__xludf.DUMMYFUNCTION("IF(REGEXMATCH(LOWER(G2061), ""^(\?)+\s*(missing)?\s*(\?)*$""), """", PROPER(SUBSTITUTE(SUBSTITUTE(G2061, ""?"", """"), ""*"", """")))"),"Red Retrospot Bowl")</f>
        <v>Red Retrospot Bowl</v>
      </c>
      <c r="I2061" s="3">
        <v>16.0</v>
      </c>
      <c r="J2061" s="7">
        <v>40598.6875</v>
      </c>
      <c r="K2061" s="8" t="str">
        <f t="shared" si="4"/>
        <v>2011-02</v>
      </c>
      <c r="L2061" s="5">
        <v>1.25</v>
      </c>
      <c r="M2061" s="3">
        <v>13081.0</v>
      </c>
      <c r="N2061" s="1" t="str">
        <f t="shared" si="5"/>
        <v>Registered</v>
      </c>
      <c r="O2061" s="1" t="s">
        <v>19</v>
      </c>
      <c r="P2061" s="9" t="str">
        <f t="shared" si="6"/>
        <v>UK</v>
      </c>
      <c r="Q2061" s="8">
        <f t="shared" si="7"/>
        <v>20</v>
      </c>
    </row>
    <row r="2062">
      <c r="A2062" s="1">
        <v>544918.0</v>
      </c>
      <c r="B2062" s="1" t="str">
        <f t="shared" si="1"/>
        <v>544918</v>
      </c>
      <c r="C2062" s="1" t="str">
        <f t="shared" si="2"/>
        <v>Sale</v>
      </c>
      <c r="D2062" s="1">
        <v>21239.0</v>
      </c>
      <c r="E2062" s="1" t="str">
        <f>IFERROR(__xludf.DUMMYFUNCTION("IF(LEN(D2062)&gt;4, IFERROR(REGEXEXTRACT(TO_TEXT(D2062),""\d+""),""""),"""")"),"21239")</f>
        <v>21239</v>
      </c>
      <c r="F2062" s="6" t="str">
        <f t="shared" si="3"/>
        <v>Product</v>
      </c>
      <c r="G2062" s="1" t="s">
        <v>953</v>
      </c>
      <c r="H2062" s="6" t="str">
        <f>IFERROR(__xludf.DUMMYFUNCTION("IF(REGEXMATCH(LOWER(G2062), ""^(\?)+\s*(missing)?\s*(\?)*$""), """", PROPER(SUBSTITUTE(SUBSTITUTE(G2062, ""?"", """"), ""*"", """")))"),"Pink Polkadot Cup")</f>
        <v>Pink Polkadot Cup</v>
      </c>
      <c r="I2062" s="3">
        <v>8.0</v>
      </c>
      <c r="J2062" s="7">
        <v>40598.6875</v>
      </c>
      <c r="K2062" s="8" t="str">
        <f t="shared" si="4"/>
        <v>2011-02</v>
      </c>
      <c r="L2062" s="5">
        <v>0.85</v>
      </c>
      <c r="M2062" s="3">
        <v>13081.0</v>
      </c>
      <c r="N2062" s="1" t="str">
        <f t="shared" si="5"/>
        <v>Registered</v>
      </c>
      <c r="O2062" s="1" t="s">
        <v>19</v>
      </c>
      <c r="P2062" s="9" t="str">
        <f t="shared" si="6"/>
        <v>UK</v>
      </c>
      <c r="Q2062" s="8">
        <f t="shared" si="7"/>
        <v>6.8</v>
      </c>
    </row>
    <row r="2063">
      <c r="A2063" s="1">
        <v>544918.0</v>
      </c>
      <c r="B2063" s="1" t="str">
        <f t="shared" si="1"/>
        <v>544918</v>
      </c>
      <c r="C2063" s="1" t="str">
        <f t="shared" si="2"/>
        <v>Sale</v>
      </c>
      <c r="D2063" s="1">
        <v>21988.0</v>
      </c>
      <c r="E2063" s="1" t="str">
        <f>IFERROR(__xludf.DUMMYFUNCTION("IF(LEN(D2063)&gt;4, IFERROR(REGEXEXTRACT(TO_TEXT(D2063),""\d+""),""""),"""")"),"21988")</f>
        <v>21988</v>
      </c>
      <c r="F2063" s="6" t="str">
        <f t="shared" si="3"/>
        <v>Product</v>
      </c>
      <c r="G2063" s="1" t="s">
        <v>972</v>
      </c>
      <c r="H2063" s="6" t="str">
        <f>IFERROR(__xludf.DUMMYFUNCTION("IF(REGEXMATCH(LOWER(G2063), ""^(\?)+\s*(missing)?\s*(\?)*$""), """", PROPER(SUBSTITUTE(SUBSTITUTE(G2063, ""?"", """"), ""*"", """")))"),"Pack Of 6 Skull Paper Plates")</f>
        <v>Pack Of 6 Skull Paper Plates</v>
      </c>
      <c r="I2063" s="3">
        <v>24.0</v>
      </c>
      <c r="J2063" s="7">
        <v>40598.6875</v>
      </c>
      <c r="K2063" s="8" t="str">
        <f t="shared" si="4"/>
        <v>2011-02</v>
      </c>
      <c r="L2063" s="5">
        <v>0.85</v>
      </c>
      <c r="M2063" s="3">
        <v>13081.0</v>
      </c>
      <c r="N2063" s="1" t="str">
        <f t="shared" si="5"/>
        <v>Registered</v>
      </c>
      <c r="O2063" s="1" t="s">
        <v>19</v>
      </c>
      <c r="P2063" s="9" t="str">
        <f t="shared" si="6"/>
        <v>UK</v>
      </c>
      <c r="Q2063" s="8">
        <f t="shared" si="7"/>
        <v>20.4</v>
      </c>
    </row>
    <row r="2064">
      <c r="A2064" s="1">
        <v>544918.0</v>
      </c>
      <c r="B2064" s="1" t="str">
        <f t="shared" si="1"/>
        <v>544918</v>
      </c>
      <c r="C2064" s="1" t="str">
        <f t="shared" si="2"/>
        <v>Sale</v>
      </c>
      <c r="D2064" s="1">
        <v>21989.0</v>
      </c>
      <c r="E2064" s="1" t="str">
        <f>IFERROR(__xludf.DUMMYFUNCTION("IF(LEN(D2064)&gt;4, IFERROR(REGEXEXTRACT(TO_TEXT(D2064),""\d+""),""""),"""")"),"21989")</f>
        <v>21989</v>
      </c>
      <c r="F2064" s="6" t="str">
        <f t="shared" si="3"/>
        <v>Product</v>
      </c>
      <c r="G2064" s="1" t="s">
        <v>1113</v>
      </c>
      <c r="H2064" s="6" t="str">
        <f>IFERROR(__xludf.DUMMYFUNCTION("IF(REGEXMATCH(LOWER(G2064), ""^(\?)+\s*(missing)?\s*(\?)*$""), """", PROPER(SUBSTITUTE(SUBSTITUTE(G2064, ""?"", """"), ""*"", """")))"),"Pack Of 20 Skull Paper Napkins")</f>
        <v>Pack Of 20 Skull Paper Napkins</v>
      </c>
      <c r="I2064" s="3">
        <v>12.0</v>
      </c>
      <c r="J2064" s="7">
        <v>40598.6875</v>
      </c>
      <c r="K2064" s="8" t="str">
        <f t="shared" si="4"/>
        <v>2011-02</v>
      </c>
      <c r="L2064" s="5">
        <v>0.85</v>
      </c>
      <c r="M2064" s="3">
        <v>13081.0</v>
      </c>
      <c r="N2064" s="1" t="str">
        <f t="shared" si="5"/>
        <v>Registered</v>
      </c>
      <c r="O2064" s="1" t="s">
        <v>19</v>
      </c>
      <c r="P2064" s="9" t="str">
        <f t="shared" si="6"/>
        <v>UK</v>
      </c>
      <c r="Q2064" s="8">
        <f t="shared" si="7"/>
        <v>10.2</v>
      </c>
    </row>
    <row r="2065">
      <c r="A2065" s="1">
        <v>544918.0</v>
      </c>
      <c r="B2065" s="1" t="str">
        <f t="shared" si="1"/>
        <v>544918</v>
      </c>
      <c r="C2065" s="1" t="str">
        <f t="shared" si="2"/>
        <v>Sale</v>
      </c>
      <c r="D2065" s="1">
        <v>22433.0</v>
      </c>
      <c r="E2065" s="1" t="str">
        <f>IFERROR(__xludf.DUMMYFUNCTION("IF(LEN(D2065)&gt;4, IFERROR(REGEXEXTRACT(TO_TEXT(D2065),""\d+""),""""),"""")"),"22433")</f>
        <v>22433</v>
      </c>
      <c r="F2065" s="6" t="str">
        <f t="shared" si="3"/>
        <v>Product</v>
      </c>
      <c r="G2065" s="1" t="s">
        <v>1147</v>
      </c>
      <c r="H2065" s="6" t="str">
        <f>IFERROR(__xludf.DUMMYFUNCTION("IF(REGEXMATCH(LOWER(G2065), ""^(\?)+\s*(missing)?\s*(\?)*$""), """", PROPER(SUBSTITUTE(SUBSTITUTE(G2065, ""?"", """"), ""*"", """")))"),"Watering Can Green Dinosaur")</f>
        <v>Watering Can Green Dinosaur</v>
      </c>
      <c r="I2065" s="3">
        <v>6.0</v>
      </c>
      <c r="J2065" s="7">
        <v>40598.6875</v>
      </c>
      <c r="K2065" s="8" t="str">
        <f t="shared" si="4"/>
        <v>2011-02</v>
      </c>
      <c r="L2065" s="5">
        <v>1.95</v>
      </c>
      <c r="M2065" s="3">
        <v>13081.0</v>
      </c>
      <c r="N2065" s="1" t="str">
        <f t="shared" si="5"/>
        <v>Registered</v>
      </c>
      <c r="O2065" s="1" t="s">
        <v>19</v>
      </c>
      <c r="P2065" s="9" t="str">
        <f t="shared" si="6"/>
        <v>UK</v>
      </c>
      <c r="Q2065" s="8">
        <f t="shared" si="7"/>
        <v>11.7</v>
      </c>
    </row>
    <row r="2066">
      <c r="A2066" s="1">
        <v>544918.0</v>
      </c>
      <c r="B2066" s="1" t="str">
        <f t="shared" si="1"/>
        <v>544918</v>
      </c>
      <c r="C2066" s="1" t="str">
        <f t="shared" si="2"/>
        <v>Sale</v>
      </c>
      <c r="D2066" s="1">
        <v>21644.0</v>
      </c>
      <c r="E2066" s="1" t="str">
        <f>IFERROR(__xludf.DUMMYFUNCTION("IF(LEN(D2066)&gt;4, IFERROR(REGEXEXTRACT(TO_TEXT(D2066),""\d+""),""""),"""")"),"21644")</f>
        <v>21644</v>
      </c>
      <c r="F2066" s="6" t="str">
        <f t="shared" si="3"/>
        <v>Product</v>
      </c>
      <c r="G2066" s="1" t="s">
        <v>1148</v>
      </c>
      <c r="H2066" s="6" t="str">
        <f>IFERROR(__xludf.DUMMYFUNCTION("IF(REGEXMATCH(LOWER(G2066), ""^(\?)+\s*(missing)?\s*(\?)*$""), """", PROPER(SUBSTITUTE(SUBSTITUTE(G2066, ""?"", """"), ""*"", """")))"),"Assorted Tutti Frutti Heart Box")</f>
        <v>Assorted Tutti Frutti Heart Box</v>
      </c>
      <c r="I2066" s="3">
        <v>12.0</v>
      </c>
      <c r="J2066" s="7">
        <v>40598.6875</v>
      </c>
      <c r="K2066" s="8" t="str">
        <f t="shared" si="4"/>
        <v>2011-02</v>
      </c>
      <c r="L2066" s="5">
        <v>1.25</v>
      </c>
      <c r="M2066" s="3">
        <v>13081.0</v>
      </c>
      <c r="N2066" s="1" t="str">
        <f t="shared" si="5"/>
        <v>Registered</v>
      </c>
      <c r="O2066" s="1" t="s">
        <v>19</v>
      </c>
      <c r="P2066" s="9" t="str">
        <f t="shared" si="6"/>
        <v>UK</v>
      </c>
      <c r="Q2066" s="8">
        <f t="shared" si="7"/>
        <v>15</v>
      </c>
    </row>
    <row r="2067">
      <c r="A2067" s="1">
        <v>544918.0</v>
      </c>
      <c r="B2067" s="1" t="str">
        <f t="shared" si="1"/>
        <v>544918</v>
      </c>
      <c r="C2067" s="1" t="str">
        <f t="shared" si="2"/>
        <v>Sale</v>
      </c>
      <c r="D2067" s="1">
        <v>21086.0</v>
      </c>
      <c r="E2067" s="1" t="str">
        <f>IFERROR(__xludf.DUMMYFUNCTION("IF(LEN(D2067)&gt;4, IFERROR(REGEXEXTRACT(TO_TEXT(D2067),""\d+""),""""),"""")"),"21086")</f>
        <v>21086</v>
      </c>
      <c r="F2067" s="6" t="str">
        <f t="shared" si="3"/>
        <v>Product</v>
      </c>
      <c r="G2067" s="1" t="s">
        <v>220</v>
      </c>
      <c r="H2067" s="6" t="str">
        <f>IFERROR(__xludf.DUMMYFUNCTION("IF(REGEXMATCH(LOWER(G2067), ""^(\?)+\s*(missing)?\s*(\?)*$""), """", PROPER(SUBSTITUTE(SUBSTITUTE(G2067, ""?"", """"), ""*"", """")))"),"Set/6 Red Spotty Paper Cups")</f>
        <v>Set/6 Red Spotty Paper Cups</v>
      </c>
      <c r="I2067" s="3">
        <v>24.0</v>
      </c>
      <c r="J2067" s="7">
        <v>40598.6875</v>
      </c>
      <c r="K2067" s="8" t="str">
        <f t="shared" si="4"/>
        <v>2011-02</v>
      </c>
      <c r="L2067" s="5">
        <v>0.65</v>
      </c>
      <c r="M2067" s="3">
        <v>13081.0</v>
      </c>
      <c r="N2067" s="1" t="str">
        <f t="shared" si="5"/>
        <v>Registered</v>
      </c>
      <c r="O2067" s="1" t="s">
        <v>19</v>
      </c>
      <c r="P2067" s="9" t="str">
        <f t="shared" si="6"/>
        <v>UK</v>
      </c>
      <c r="Q2067" s="8">
        <f t="shared" si="7"/>
        <v>15.6</v>
      </c>
    </row>
    <row r="2068">
      <c r="A2068" s="1">
        <v>544918.0</v>
      </c>
      <c r="B2068" s="1" t="str">
        <f t="shared" si="1"/>
        <v>544918</v>
      </c>
      <c r="C2068" s="1" t="str">
        <f t="shared" si="2"/>
        <v>Sale</v>
      </c>
      <c r="D2068" s="1">
        <v>21497.0</v>
      </c>
      <c r="E2068" s="1" t="str">
        <f>IFERROR(__xludf.DUMMYFUNCTION("IF(LEN(D2068)&gt;4, IFERROR(REGEXEXTRACT(TO_TEXT(D2068),""\d+""),""""),"""")"),"21497")</f>
        <v>21497</v>
      </c>
      <c r="F2068" s="6" t="str">
        <f t="shared" si="3"/>
        <v>Product</v>
      </c>
      <c r="G2068" s="1" t="s">
        <v>1149</v>
      </c>
      <c r="H2068" s="6" t="str">
        <f>IFERROR(__xludf.DUMMYFUNCTION("IF(REGEXMATCH(LOWER(G2068), ""^(\?)+\s*(missing)?\s*(\?)*$""), """", PROPER(SUBSTITUTE(SUBSTITUTE(G2068, ""?"", """"), ""*"", """")))"),"Fancy Fonts Birthday Wrap")</f>
        <v>Fancy Fonts Birthday Wrap</v>
      </c>
      <c r="I2068" s="3">
        <v>25.0</v>
      </c>
      <c r="J2068" s="7">
        <v>40598.6875</v>
      </c>
      <c r="K2068" s="8" t="str">
        <f t="shared" si="4"/>
        <v>2011-02</v>
      </c>
      <c r="L2068" s="5">
        <v>0.42</v>
      </c>
      <c r="M2068" s="3">
        <v>13081.0</v>
      </c>
      <c r="N2068" s="1" t="str">
        <f t="shared" si="5"/>
        <v>Registered</v>
      </c>
      <c r="O2068" s="1" t="s">
        <v>19</v>
      </c>
      <c r="P2068" s="9" t="str">
        <f t="shared" si="6"/>
        <v>UK</v>
      </c>
      <c r="Q2068" s="8">
        <f t="shared" si="7"/>
        <v>10.5</v>
      </c>
    </row>
    <row r="2069">
      <c r="A2069" s="1">
        <v>544918.0</v>
      </c>
      <c r="B2069" s="1" t="str">
        <f t="shared" si="1"/>
        <v>544918</v>
      </c>
      <c r="C2069" s="1" t="str">
        <f t="shared" si="2"/>
        <v>Sale</v>
      </c>
      <c r="D2069" s="1">
        <v>22431.0</v>
      </c>
      <c r="E2069" s="1" t="str">
        <f>IFERROR(__xludf.DUMMYFUNCTION("IF(LEN(D2069)&gt;4, IFERROR(REGEXEXTRACT(TO_TEXT(D2069),""\d+""),""""),"""")"),"22431")</f>
        <v>22431</v>
      </c>
      <c r="F2069" s="6" t="str">
        <f t="shared" si="3"/>
        <v>Product</v>
      </c>
      <c r="G2069" s="1" t="s">
        <v>1150</v>
      </c>
      <c r="H2069" s="6" t="str">
        <f>IFERROR(__xludf.DUMMYFUNCTION("IF(REGEXMATCH(LOWER(G2069), ""^(\?)+\s*(missing)?\s*(\?)*$""), """", PROPER(SUBSTITUTE(SUBSTITUTE(G2069, ""?"", """"), ""*"", """")))"),"Watering Can Blue Elephant")</f>
        <v>Watering Can Blue Elephant</v>
      </c>
      <c r="I2069" s="3">
        <v>24.0</v>
      </c>
      <c r="J2069" s="7">
        <v>40598.6875</v>
      </c>
      <c r="K2069" s="8" t="str">
        <f t="shared" si="4"/>
        <v>2011-02</v>
      </c>
      <c r="L2069" s="5">
        <v>1.95</v>
      </c>
      <c r="M2069" s="3">
        <v>13081.0</v>
      </c>
      <c r="N2069" s="1" t="str">
        <f t="shared" si="5"/>
        <v>Registered</v>
      </c>
      <c r="O2069" s="1" t="s">
        <v>19</v>
      </c>
      <c r="P2069" s="9" t="str">
        <f t="shared" si="6"/>
        <v>UK</v>
      </c>
      <c r="Q2069" s="8">
        <f t="shared" si="7"/>
        <v>46.8</v>
      </c>
    </row>
    <row r="2070">
      <c r="A2070" s="1">
        <v>544918.0</v>
      </c>
      <c r="B2070" s="1" t="str">
        <f t="shared" si="1"/>
        <v>544918</v>
      </c>
      <c r="C2070" s="1" t="str">
        <f t="shared" si="2"/>
        <v>Sale</v>
      </c>
      <c r="D2070" s="1">
        <v>21094.0</v>
      </c>
      <c r="E2070" s="1" t="str">
        <f>IFERROR(__xludf.DUMMYFUNCTION("IF(LEN(D2070)&gt;4, IFERROR(REGEXEXTRACT(TO_TEXT(D2070),""\d+""),""""),"""")"),"21094")</f>
        <v>21094</v>
      </c>
      <c r="F2070" s="6" t="str">
        <f t="shared" si="3"/>
        <v>Product</v>
      </c>
      <c r="G2070" s="1" t="s">
        <v>93</v>
      </c>
      <c r="H2070" s="6" t="str">
        <f>IFERROR(__xludf.DUMMYFUNCTION("IF(REGEXMATCH(LOWER(G2070), ""^(\?)+\s*(missing)?\s*(\?)*$""), """", PROPER(SUBSTITUTE(SUBSTITUTE(G2070, ""?"", """"), ""*"", """")))"),"Set/6 Red Spotty Paper Plates")</f>
        <v>Set/6 Red Spotty Paper Plates</v>
      </c>
      <c r="I2070" s="3">
        <v>24.0</v>
      </c>
      <c r="J2070" s="7">
        <v>40598.6875</v>
      </c>
      <c r="K2070" s="8" t="str">
        <f t="shared" si="4"/>
        <v>2011-02</v>
      </c>
      <c r="L2070" s="5">
        <v>0.85</v>
      </c>
      <c r="M2070" s="3">
        <v>13081.0</v>
      </c>
      <c r="N2070" s="1" t="str">
        <f t="shared" si="5"/>
        <v>Registered</v>
      </c>
      <c r="O2070" s="1" t="s">
        <v>19</v>
      </c>
      <c r="P2070" s="9" t="str">
        <f t="shared" si="6"/>
        <v>UK</v>
      </c>
      <c r="Q2070" s="8">
        <f t="shared" si="7"/>
        <v>20.4</v>
      </c>
    </row>
    <row r="2071">
      <c r="A2071" s="1">
        <v>544918.0</v>
      </c>
      <c r="B2071" s="1" t="str">
        <f t="shared" si="1"/>
        <v>544918</v>
      </c>
      <c r="C2071" s="1" t="str">
        <f t="shared" si="2"/>
        <v>Sale</v>
      </c>
      <c r="D2071" s="1">
        <v>71459.0</v>
      </c>
      <c r="E2071" s="1" t="str">
        <f>IFERROR(__xludf.DUMMYFUNCTION("IF(LEN(D2071)&gt;4, IFERROR(REGEXEXTRACT(TO_TEXT(D2071),""\d+""),""""),"""")"),"71459")</f>
        <v>71459</v>
      </c>
      <c r="F2071" s="6" t="str">
        <f t="shared" si="3"/>
        <v>Product</v>
      </c>
      <c r="G2071" s="1" t="s">
        <v>881</v>
      </c>
      <c r="H2071" s="6" t="str">
        <f>IFERROR(__xludf.DUMMYFUNCTION("IF(REGEXMATCH(LOWER(G2071), ""^(\?)+\s*(missing)?\s*(\?)*$""), """", PROPER(SUBSTITUTE(SUBSTITUTE(G2071, ""?"", """"), ""*"", """")))"),"Hanging Jam Jar T-Light Holder")</f>
        <v>Hanging Jam Jar T-Light Holder</v>
      </c>
      <c r="I2071" s="3">
        <v>24.0</v>
      </c>
      <c r="J2071" s="7">
        <v>40598.6875</v>
      </c>
      <c r="K2071" s="8" t="str">
        <f t="shared" si="4"/>
        <v>2011-02</v>
      </c>
      <c r="L2071" s="5">
        <v>0.85</v>
      </c>
      <c r="M2071" s="3">
        <v>13081.0</v>
      </c>
      <c r="N2071" s="1" t="str">
        <f t="shared" si="5"/>
        <v>Registered</v>
      </c>
      <c r="O2071" s="1" t="s">
        <v>19</v>
      </c>
      <c r="P2071" s="9" t="str">
        <f t="shared" si="6"/>
        <v>UK</v>
      </c>
      <c r="Q2071" s="8">
        <f t="shared" si="7"/>
        <v>20.4</v>
      </c>
    </row>
    <row r="2072">
      <c r="A2072" s="1">
        <v>544918.0</v>
      </c>
      <c r="B2072" s="1" t="str">
        <f t="shared" si="1"/>
        <v>544918</v>
      </c>
      <c r="C2072" s="1" t="str">
        <f t="shared" si="2"/>
        <v>Sale</v>
      </c>
      <c r="D2072" s="1">
        <v>84006.0</v>
      </c>
      <c r="E2072" s="1" t="str">
        <f>IFERROR(__xludf.DUMMYFUNCTION("IF(LEN(D2072)&gt;4, IFERROR(REGEXEXTRACT(TO_TEXT(D2072),""\d+""),""""),"""")"),"84006")</f>
        <v>84006</v>
      </c>
      <c r="F2072" s="6" t="str">
        <f t="shared" si="3"/>
        <v>Product</v>
      </c>
      <c r="G2072" s="1" t="s">
        <v>1151</v>
      </c>
      <c r="H2072" s="6" t="str">
        <f>IFERROR(__xludf.DUMMYFUNCTION("IF(REGEXMATCH(LOWER(G2072), ""^(\?)+\s*(missing)?\s*(\?)*$""), """", PROPER(SUBSTITUTE(SUBSTITUTE(G2072, ""?"", """"), ""*"", """")))"),"Magic Tree -Paper Flowers")</f>
        <v>Magic Tree -Paper Flowers</v>
      </c>
      <c r="I2072" s="3">
        <v>12.0</v>
      </c>
      <c r="J2072" s="7">
        <v>40598.6875</v>
      </c>
      <c r="K2072" s="8" t="str">
        <f t="shared" si="4"/>
        <v>2011-02</v>
      </c>
      <c r="L2072" s="5">
        <v>0.85</v>
      </c>
      <c r="M2072" s="3">
        <v>13081.0</v>
      </c>
      <c r="N2072" s="1" t="str">
        <f t="shared" si="5"/>
        <v>Registered</v>
      </c>
      <c r="O2072" s="1" t="s">
        <v>19</v>
      </c>
      <c r="P2072" s="9" t="str">
        <f t="shared" si="6"/>
        <v>UK</v>
      </c>
      <c r="Q2072" s="8">
        <f t="shared" si="7"/>
        <v>10.2</v>
      </c>
    </row>
    <row r="2073">
      <c r="A2073" s="1">
        <v>544918.0</v>
      </c>
      <c r="B2073" s="1" t="str">
        <f t="shared" si="1"/>
        <v>544918</v>
      </c>
      <c r="C2073" s="1" t="str">
        <f t="shared" si="2"/>
        <v>Sale</v>
      </c>
      <c r="D2073" s="1">
        <v>22029.0</v>
      </c>
      <c r="E2073" s="1" t="str">
        <f>IFERROR(__xludf.DUMMYFUNCTION("IF(LEN(D2073)&gt;4, IFERROR(REGEXEXTRACT(TO_TEXT(D2073),""\d+""),""""),"""")"),"22029")</f>
        <v>22029</v>
      </c>
      <c r="F2073" s="6" t="str">
        <f t="shared" si="3"/>
        <v>Product</v>
      </c>
      <c r="G2073" s="1" t="s">
        <v>900</v>
      </c>
      <c r="H2073" s="6" t="str">
        <f>IFERROR(__xludf.DUMMYFUNCTION("IF(REGEXMATCH(LOWER(G2073), ""^(\?)+\s*(missing)?\s*(\?)*$""), """", PROPER(SUBSTITUTE(SUBSTITUTE(G2073, ""?"", """"), ""*"", """")))"),"Spaceboy Birthday Card")</f>
        <v>Spaceboy Birthday Card</v>
      </c>
      <c r="I2073" s="3">
        <v>12.0</v>
      </c>
      <c r="J2073" s="7">
        <v>40598.6875</v>
      </c>
      <c r="K2073" s="8" t="str">
        <f t="shared" si="4"/>
        <v>2011-02</v>
      </c>
      <c r="L2073" s="5">
        <v>0.42</v>
      </c>
      <c r="M2073" s="3">
        <v>13081.0</v>
      </c>
      <c r="N2073" s="1" t="str">
        <f t="shared" si="5"/>
        <v>Registered</v>
      </c>
      <c r="O2073" s="1" t="s">
        <v>19</v>
      </c>
      <c r="P2073" s="9" t="str">
        <f t="shared" si="6"/>
        <v>UK</v>
      </c>
      <c r="Q2073" s="8">
        <f t="shared" si="7"/>
        <v>5.04</v>
      </c>
    </row>
    <row r="2074">
      <c r="A2074" s="1">
        <v>544918.0</v>
      </c>
      <c r="B2074" s="1" t="str">
        <f t="shared" si="1"/>
        <v>544918</v>
      </c>
      <c r="C2074" s="1" t="str">
        <f t="shared" si="2"/>
        <v>Sale</v>
      </c>
      <c r="D2074" s="1">
        <v>21621.0</v>
      </c>
      <c r="E2074" s="1" t="str">
        <f>IFERROR(__xludf.DUMMYFUNCTION("IF(LEN(D2074)&gt;4, IFERROR(REGEXEXTRACT(TO_TEXT(D2074),""\d+""),""""),"""")"),"21621")</f>
        <v>21621</v>
      </c>
      <c r="F2074" s="6" t="str">
        <f t="shared" si="3"/>
        <v>Product</v>
      </c>
      <c r="G2074" s="1" t="s">
        <v>620</v>
      </c>
      <c r="H2074" s="6" t="str">
        <f>IFERROR(__xludf.DUMMYFUNCTION("IF(REGEXMATCH(LOWER(G2074), ""^(\?)+\s*(missing)?\s*(\?)*$""), """", PROPER(SUBSTITUTE(SUBSTITUTE(G2074, ""?"", """"), ""*"", """")))"),"Vintage Union Jack Bunting")</f>
        <v>Vintage Union Jack Bunting</v>
      </c>
      <c r="I2074" s="3">
        <v>8.0</v>
      </c>
      <c r="J2074" s="7">
        <v>40598.6875</v>
      </c>
      <c r="K2074" s="8" t="str">
        <f t="shared" si="4"/>
        <v>2011-02</v>
      </c>
      <c r="L2074" s="5">
        <v>8.5</v>
      </c>
      <c r="M2074" s="3">
        <v>13081.0</v>
      </c>
      <c r="N2074" s="1" t="str">
        <f t="shared" si="5"/>
        <v>Registered</v>
      </c>
      <c r="O2074" s="1" t="s">
        <v>19</v>
      </c>
      <c r="P2074" s="9" t="str">
        <f t="shared" si="6"/>
        <v>UK</v>
      </c>
      <c r="Q2074" s="8">
        <f t="shared" si="7"/>
        <v>68</v>
      </c>
    </row>
    <row r="2075">
      <c r="A2075" s="1">
        <v>544919.0</v>
      </c>
      <c r="B2075" s="1" t="str">
        <f t="shared" si="1"/>
        <v>544919</v>
      </c>
      <c r="C2075" s="1" t="str">
        <f t="shared" si="2"/>
        <v>Sale</v>
      </c>
      <c r="D2075" s="1">
        <v>21470.0</v>
      </c>
      <c r="E2075" s="1" t="str">
        <f>IFERROR(__xludf.DUMMYFUNCTION("IF(LEN(D2075)&gt;4, IFERROR(REGEXEXTRACT(TO_TEXT(D2075),""\d+""),""""),"""")"),"21470")</f>
        <v>21470</v>
      </c>
      <c r="F2075" s="6" t="str">
        <f t="shared" si="3"/>
        <v>Product</v>
      </c>
      <c r="G2075" s="1" t="s">
        <v>1152</v>
      </c>
      <c r="H2075" s="6" t="str">
        <f>IFERROR(__xludf.DUMMYFUNCTION("IF(REGEXMATCH(LOWER(G2075), ""^(\?)+\s*(missing)?\s*(\?)*$""), """", PROPER(SUBSTITUTE(SUBSTITUTE(G2075, ""?"", """"), ""*"", """")))"),"Flower Vine Raffia Food Cover")</f>
        <v>Flower Vine Raffia Food Cover</v>
      </c>
      <c r="I2075" s="3">
        <v>6.0</v>
      </c>
      <c r="J2075" s="7">
        <v>40598.68819444445</v>
      </c>
      <c r="K2075" s="8" t="str">
        <f t="shared" si="4"/>
        <v>2011-02</v>
      </c>
      <c r="L2075" s="5">
        <v>3.75</v>
      </c>
      <c r="M2075" s="3">
        <v>13725.0</v>
      </c>
      <c r="N2075" s="1" t="str">
        <f t="shared" si="5"/>
        <v>Registered</v>
      </c>
      <c r="O2075" s="1" t="s">
        <v>19</v>
      </c>
      <c r="P2075" s="9" t="str">
        <f t="shared" si="6"/>
        <v>UK</v>
      </c>
      <c r="Q2075" s="8">
        <f t="shared" si="7"/>
        <v>22.5</v>
      </c>
    </row>
    <row r="2076">
      <c r="A2076" s="1">
        <v>544919.0</v>
      </c>
      <c r="B2076" s="1" t="str">
        <f t="shared" si="1"/>
        <v>544919</v>
      </c>
      <c r="C2076" s="1" t="str">
        <f t="shared" si="2"/>
        <v>Sale</v>
      </c>
      <c r="D2076" s="1">
        <v>21472.0</v>
      </c>
      <c r="E2076" s="1" t="str">
        <f>IFERROR(__xludf.DUMMYFUNCTION("IF(LEN(D2076)&gt;4, IFERROR(REGEXEXTRACT(TO_TEXT(D2076),""\d+""),""""),"""")"),"21472")</f>
        <v>21472</v>
      </c>
      <c r="F2076" s="6" t="str">
        <f t="shared" si="3"/>
        <v>Product</v>
      </c>
      <c r="G2076" s="1" t="s">
        <v>1153</v>
      </c>
      <c r="H2076" s="6" t="str">
        <f>IFERROR(__xludf.DUMMYFUNCTION("IF(REGEXMATCH(LOWER(G2076), ""^(\?)+\s*(missing)?\s*(\?)*$""), """", PROPER(SUBSTITUTE(SUBSTITUTE(G2076, ""?"", """"), ""*"", """")))"),"Ladybird + Bee Raffia Food Cover")</f>
        <v>Ladybird + Bee Raffia Food Cover</v>
      </c>
      <c r="I2076" s="3">
        <v>6.0</v>
      </c>
      <c r="J2076" s="7">
        <v>40598.68819444445</v>
      </c>
      <c r="K2076" s="8" t="str">
        <f t="shared" si="4"/>
        <v>2011-02</v>
      </c>
      <c r="L2076" s="5">
        <v>3.75</v>
      </c>
      <c r="M2076" s="3">
        <v>13725.0</v>
      </c>
      <c r="N2076" s="1" t="str">
        <f t="shared" si="5"/>
        <v>Registered</v>
      </c>
      <c r="O2076" s="1" t="s">
        <v>19</v>
      </c>
      <c r="P2076" s="9" t="str">
        <f t="shared" si="6"/>
        <v>UK</v>
      </c>
      <c r="Q2076" s="8">
        <f t="shared" si="7"/>
        <v>22.5</v>
      </c>
    </row>
    <row r="2077">
      <c r="A2077" s="1">
        <v>544919.0</v>
      </c>
      <c r="B2077" s="1" t="str">
        <f t="shared" si="1"/>
        <v>544919</v>
      </c>
      <c r="C2077" s="1" t="str">
        <f t="shared" si="2"/>
        <v>Sale</v>
      </c>
      <c r="D2077" s="1">
        <v>82580.0</v>
      </c>
      <c r="E2077" s="1" t="str">
        <f>IFERROR(__xludf.DUMMYFUNCTION("IF(LEN(D2077)&gt;4, IFERROR(REGEXEXTRACT(TO_TEXT(D2077),""\d+""),""""),"""")"),"82580")</f>
        <v>82580</v>
      </c>
      <c r="F2077" s="6" t="str">
        <f t="shared" si="3"/>
        <v>Product</v>
      </c>
      <c r="G2077" s="1" t="s">
        <v>296</v>
      </c>
      <c r="H2077" s="6" t="str">
        <f>IFERROR(__xludf.DUMMYFUNCTION("IF(REGEXMATCH(LOWER(G2077), ""^(\?)+\s*(missing)?\s*(\?)*$""), """", PROPER(SUBSTITUTE(SUBSTITUTE(G2077, ""?"", """"), ""*"", """")))"),"Bathroom Metal Sign")</f>
        <v>Bathroom Metal Sign</v>
      </c>
      <c r="I2077" s="3">
        <v>12.0</v>
      </c>
      <c r="J2077" s="7">
        <v>40598.68819444445</v>
      </c>
      <c r="K2077" s="8" t="str">
        <f t="shared" si="4"/>
        <v>2011-02</v>
      </c>
      <c r="L2077" s="5">
        <v>0.55</v>
      </c>
      <c r="M2077" s="3">
        <v>13725.0</v>
      </c>
      <c r="N2077" s="1" t="str">
        <f t="shared" si="5"/>
        <v>Registered</v>
      </c>
      <c r="O2077" s="1" t="s">
        <v>19</v>
      </c>
      <c r="P2077" s="9" t="str">
        <f t="shared" si="6"/>
        <v>UK</v>
      </c>
      <c r="Q2077" s="8">
        <f t="shared" si="7"/>
        <v>6.6</v>
      </c>
    </row>
    <row r="2078">
      <c r="A2078" s="1">
        <v>544919.0</v>
      </c>
      <c r="B2078" s="1" t="str">
        <f t="shared" si="1"/>
        <v>544919</v>
      </c>
      <c r="C2078" s="1" t="str">
        <f t="shared" si="2"/>
        <v>Sale</v>
      </c>
      <c r="D2078" s="1">
        <v>82581.0</v>
      </c>
      <c r="E2078" s="1" t="str">
        <f>IFERROR(__xludf.DUMMYFUNCTION("IF(LEN(D2078)&gt;4, IFERROR(REGEXEXTRACT(TO_TEXT(D2078),""\d+""),""""),"""")"),"82581")</f>
        <v>82581</v>
      </c>
      <c r="F2078" s="6" t="str">
        <f t="shared" si="3"/>
        <v>Product</v>
      </c>
      <c r="G2078" s="1" t="s">
        <v>298</v>
      </c>
      <c r="H2078" s="6" t="str">
        <f>IFERROR(__xludf.DUMMYFUNCTION("IF(REGEXMATCH(LOWER(G2078), ""^(\?)+\s*(missing)?\s*(\?)*$""), """", PROPER(SUBSTITUTE(SUBSTITUTE(G2078, ""?"", """"), ""*"", """")))"),"Toilet Metal Sign")</f>
        <v>Toilet Metal Sign</v>
      </c>
      <c r="I2078" s="3">
        <v>12.0</v>
      </c>
      <c r="J2078" s="7">
        <v>40598.68819444445</v>
      </c>
      <c r="K2078" s="8" t="str">
        <f t="shared" si="4"/>
        <v>2011-02</v>
      </c>
      <c r="L2078" s="5">
        <v>0.55</v>
      </c>
      <c r="M2078" s="3">
        <v>13725.0</v>
      </c>
      <c r="N2078" s="1" t="str">
        <f t="shared" si="5"/>
        <v>Registered</v>
      </c>
      <c r="O2078" s="1" t="s">
        <v>19</v>
      </c>
      <c r="P2078" s="9" t="str">
        <f t="shared" si="6"/>
        <v>UK</v>
      </c>
      <c r="Q2078" s="8">
        <f t="shared" si="7"/>
        <v>6.6</v>
      </c>
    </row>
    <row r="2079">
      <c r="A2079" s="1">
        <v>544919.0</v>
      </c>
      <c r="B2079" s="1" t="str">
        <f t="shared" si="1"/>
        <v>544919</v>
      </c>
      <c r="C2079" s="1" t="str">
        <f t="shared" si="2"/>
        <v>Sale</v>
      </c>
      <c r="D2079" s="1">
        <v>82578.0</v>
      </c>
      <c r="E2079" s="1" t="str">
        <f>IFERROR(__xludf.DUMMYFUNCTION("IF(LEN(D2079)&gt;4, IFERROR(REGEXEXTRACT(TO_TEXT(D2079),""\d+""),""""),"""")"),"82578")</f>
        <v>82578</v>
      </c>
      <c r="F2079" s="6" t="str">
        <f t="shared" si="3"/>
        <v>Product</v>
      </c>
      <c r="G2079" s="1" t="s">
        <v>297</v>
      </c>
      <c r="H2079" s="6" t="str">
        <f>IFERROR(__xludf.DUMMYFUNCTION("IF(REGEXMATCH(LOWER(G2079), ""^(\?)+\s*(missing)?\s*(\?)*$""), """", PROPER(SUBSTITUTE(SUBSTITUTE(G2079, ""?"", """"), ""*"", """")))"),"Kitchen Metal Sign")</f>
        <v>Kitchen Metal Sign</v>
      </c>
      <c r="I2079" s="3">
        <v>12.0</v>
      </c>
      <c r="J2079" s="7">
        <v>40598.68819444445</v>
      </c>
      <c r="K2079" s="8" t="str">
        <f t="shared" si="4"/>
        <v>2011-02</v>
      </c>
      <c r="L2079" s="5">
        <v>0.55</v>
      </c>
      <c r="M2079" s="3">
        <v>13725.0</v>
      </c>
      <c r="N2079" s="1" t="str">
        <f t="shared" si="5"/>
        <v>Registered</v>
      </c>
      <c r="O2079" s="1" t="s">
        <v>19</v>
      </c>
      <c r="P2079" s="9" t="str">
        <f t="shared" si="6"/>
        <v>UK</v>
      </c>
      <c r="Q2079" s="8">
        <f t="shared" si="7"/>
        <v>6.6</v>
      </c>
    </row>
    <row r="2080">
      <c r="A2080" s="1">
        <v>544919.0</v>
      </c>
      <c r="B2080" s="1" t="str">
        <f t="shared" si="1"/>
        <v>544919</v>
      </c>
      <c r="C2080" s="1" t="str">
        <f t="shared" si="2"/>
        <v>Sale</v>
      </c>
      <c r="D2080" s="1">
        <v>20725.0</v>
      </c>
      <c r="E2080" s="1" t="str">
        <f>IFERROR(__xludf.DUMMYFUNCTION("IF(LEN(D2080)&gt;4, IFERROR(REGEXEXTRACT(TO_TEXT(D2080),""\d+""),""""),"""")"),"20725")</f>
        <v>20725</v>
      </c>
      <c r="F2080" s="6" t="str">
        <f t="shared" si="3"/>
        <v>Product</v>
      </c>
      <c r="G2080" s="1" t="s">
        <v>94</v>
      </c>
      <c r="H2080" s="6" t="str">
        <f>IFERROR(__xludf.DUMMYFUNCTION("IF(REGEXMATCH(LOWER(G2080), ""^(\?)+\s*(missing)?\s*(\?)*$""), """", PROPER(SUBSTITUTE(SUBSTITUTE(G2080, ""?"", """"), ""*"", """")))"),"Lunch Bag Red Retrospot")</f>
        <v>Lunch Bag Red Retrospot</v>
      </c>
      <c r="I2080" s="3">
        <v>10.0</v>
      </c>
      <c r="J2080" s="7">
        <v>40598.68819444445</v>
      </c>
      <c r="K2080" s="8" t="str">
        <f t="shared" si="4"/>
        <v>2011-02</v>
      </c>
      <c r="L2080" s="5">
        <v>1.65</v>
      </c>
      <c r="M2080" s="3">
        <v>13725.0</v>
      </c>
      <c r="N2080" s="1" t="str">
        <f t="shared" si="5"/>
        <v>Registered</v>
      </c>
      <c r="O2080" s="1" t="s">
        <v>19</v>
      </c>
      <c r="P2080" s="9" t="str">
        <f t="shared" si="6"/>
        <v>UK</v>
      </c>
      <c r="Q2080" s="8">
        <f t="shared" si="7"/>
        <v>16.5</v>
      </c>
    </row>
    <row r="2081">
      <c r="A2081" s="1">
        <v>544919.0</v>
      </c>
      <c r="B2081" s="1" t="str">
        <f t="shared" si="1"/>
        <v>544919</v>
      </c>
      <c r="C2081" s="1" t="str">
        <f t="shared" si="2"/>
        <v>Sale</v>
      </c>
      <c r="D2081" s="1">
        <v>20726.0</v>
      </c>
      <c r="E2081" s="1" t="str">
        <f>IFERROR(__xludf.DUMMYFUNCTION("IF(LEN(D2081)&gt;4, IFERROR(REGEXEXTRACT(TO_TEXT(D2081),""\d+""),""""),"""")"),"20726")</f>
        <v>20726</v>
      </c>
      <c r="F2081" s="6" t="str">
        <f t="shared" si="3"/>
        <v>Product</v>
      </c>
      <c r="G2081" s="1" t="s">
        <v>321</v>
      </c>
      <c r="H2081" s="6" t="str">
        <f>IFERROR(__xludf.DUMMYFUNCTION("IF(REGEXMATCH(LOWER(G2081), ""^(\?)+\s*(missing)?\s*(\?)*$""), """", PROPER(SUBSTITUTE(SUBSTITUTE(G2081, ""?"", """"), ""*"", """")))"),"Lunch Bag Woodland")</f>
        <v>Lunch Bag Woodland</v>
      </c>
      <c r="I2081" s="3">
        <v>10.0</v>
      </c>
      <c r="J2081" s="7">
        <v>40598.68819444445</v>
      </c>
      <c r="K2081" s="8" t="str">
        <f t="shared" si="4"/>
        <v>2011-02</v>
      </c>
      <c r="L2081" s="5">
        <v>1.65</v>
      </c>
      <c r="M2081" s="3">
        <v>13725.0</v>
      </c>
      <c r="N2081" s="1" t="str">
        <f t="shared" si="5"/>
        <v>Registered</v>
      </c>
      <c r="O2081" s="1" t="s">
        <v>19</v>
      </c>
      <c r="P2081" s="9" t="str">
        <f t="shared" si="6"/>
        <v>UK</v>
      </c>
      <c r="Q2081" s="8">
        <f t="shared" si="7"/>
        <v>16.5</v>
      </c>
    </row>
    <row r="2082">
      <c r="A2082" s="1">
        <v>544919.0</v>
      </c>
      <c r="B2082" s="1" t="str">
        <f t="shared" si="1"/>
        <v>544919</v>
      </c>
      <c r="C2082" s="1" t="str">
        <f t="shared" si="2"/>
        <v>Sale</v>
      </c>
      <c r="D2082" s="1">
        <v>20728.0</v>
      </c>
      <c r="E2082" s="1" t="str">
        <f>IFERROR(__xludf.DUMMYFUNCTION("IF(LEN(D2082)&gt;4, IFERROR(REGEXEXTRACT(TO_TEXT(D2082),""\d+""),""""),"""")"),"20728")</f>
        <v>20728</v>
      </c>
      <c r="F2082" s="6" t="str">
        <f t="shared" si="3"/>
        <v>Product</v>
      </c>
      <c r="G2082" s="1" t="s">
        <v>356</v>
      </c>
      <c r="H2082" s="6" t="str">
        <f>IFERROR(__xludf.DUMMYFUNCTION("IF(REGEXMATCH(LOWER(G2082), ""^(\?)+\s*(missing)?\s*(\?)*$""), """", PROPER(SUBSTITUTE(SUBSTITUTE(G2082, ""?"", """"), ""*"", """")))"),"Lunch Bag Cars Blue")</f>
        <v>Lunch Bag Cars Blue</v>
      </c>
      <c r="I2082" s="3">
        <v>10.0</v>
      </c>
      <c r="J2082" s="7">
        <v>40598.68819444445</v>
      </c>
      <c r="K2082" s="8" t="str">
        <f t="shared" si="4"/>
        <v>2011-02</v>
      </c>
      <c r="L2082" s="5">
        <v>1.65</v>
      </c>
      <c r="M2082" s="3">
        <v>13725.0</v>
      </c>
      <c r="N2082" s="1" t="str">
        <f t="shared" si="5"/>
        <v>Registered</v>
      </c>
      <c r="O2082" s="1" t="s">
        <v>19</v>
      </c>
      <c r="P2082" s="9" t="str">
        <f t="shared" si="6"/>
        <v>UK</v>
      </c>
      <c r="Q2082" s="8">
        <f t="shared" si="7"/>
        <v>16.5</v>
      </c>
    </row>
    <row r="2083">
      <c r="A2083" s="1">
        <v>544919.0</v>
      </c>
      <c r="B2083" s="1" t="str">
        <f t="shared" si="1"/>
        <v>544919</v>
      </c>
      <c r="C2083" s="1" t="str">
        <f t="shared" si="2"/>
        <v>Sale</v>
      </c>
      <c r="D2083" s="1">
        <v>22384.0</v>
      </c>
      <c r="E2083" s="1" t="str">
        <f>IFERROR(__xludf.DUMMYFUNCTION("IF(LEN(D2083)&gt;4, IFERROR(REGEXEXTRACT(TO_TEXT(D2083),""\d+""),""""),"""")"),"22384")</f>
        <v>22384</v>
      </c>
      <c r="F2083" s="6" t="str">
        <f t="shared" si="3"/>
        <v>Product</v>
      </c>
      <c r="G2083" s="1" t="s">
        <v>322</v>
      </c>
      <c r="H2083" s="6" t="str">
        <f>IFERROR(__xludf.DUMMYFUNCTION("IF(REGEXMATCH(LOWER(G2083), ""^(\?)+\s*(missing)?\s*(\?)*$""), """", PROPER(SUBSTITUTE(SUBSTITUTE(G2083, ""?"", """"), ""*"", """")))"),"Lunch Bag Pink Polkadot")</f>
        <v>Lunch Bag Pink Polkadot</v>
      </c>
      <c r="I2083" s="3">
        <v>10.0</v>
      </c>
      <c r="J2083" s="7">
        <v>40598.68819444445</v>
      </c>
      <c r="K2083" s="8" t="str">
        <f t="shared" si="4"/>
        <v>2011-02</v>
      </c>
      <c r="L2083" s="5">
        <v>1.65</v>
      </c>
      <c r="M2083" s="3">
        <v>13725.0</v>
      </c>
      <c r="N2083" s="1" t="str">
        <f t="shared" si="5"/>
        <v>Registered</v>
      </c>
      <c r="O2083" s="1" t="s">
        <v>19</v>
      </c>
      <c r="P2083" s="9" t="str">
        <f t="shared" si="6"/>
        <v>UK</v>
      </c>
      <c r="Q2083" s="8">
        <f t="shared" si="7"/>
        <v>16.5</v>
      </c>
    </row>
    <row r="2084">
      <c r="A2084" s="1">
        <v>544919.0</v>
      </c>
      <c r="B2084" s="1" t="str">
        <f t="shared" si="1"/>
        <v>544919</v>
      </c>
      <c r="C2084" s="1" t="str">
        <f t="shared" si="2"/>
        <v>Sale</v>
      </c>
      <c r="D2084" s="1">
        <v>22382.0</v>
      </c>
      <c r="E2084" s="1" t="str">
        <f>IFERROR(__xludf.DUMMYFUNCTION("IF(LEN(D2084)&gt;4, IFERROR(REGEXEXTRACT(TO_TEXT(D2084),""\d+""),""""),"""")"),"22382")</f>
        <v>22382</v>
      </c>
      <c r="F2084" s="6" t="str">
        <f t="shared" si="3"/>
        <v>Product</v>
      </c>
      <c r="G2084" s="1" t="s">
        <v>320</v>
      </c>
      <c r="H2084" s="6" t="str">
        <f>IFERROR(__xludf.DUMMYFUNCTION("IF(REGEXMATCH(LOWER(G2084), ""^(\?)+\s*(missing)?\s*(\?)*$""), """", PROPER(SUBSTITUTE(SUBSTITUTE(G2084, ""?"", """"), ""*"", """")))"),"Lunch Bag Spaceboy Design")</f>
        <v>Lunch Bag Spaceboy Design</v>
      </c>
      <c r="I2084" s="3">
        <v>10.0</v>
      </c>
      <c r="J2084" s="7">
        <v>40598.68819444445</v>
      </c>
      <c r="K2084" s="8" t="str">
        <f t="shared" si="4"/>
        <v>2011-02</v>
      </c>
      <c r="L2084" s="5">
        <v>1.65</v>
      </c>
      <c r="M2084" s="3">
        <v>13725.0</v>
      </c>
      <c r="N2084" s="1" t="str">
        <f t="shared" si="5"/>
        <v>Registered</v>
      </c>
      <c r="O2084" s="1" t="s">
        <v>19</v>
      </c>
      <c r="P2084" s="9" t="str">
        <f t="shared" si="6"/>
        <v>UK</v>
      </c>
      <c r="Q2084" s="8">
        <f t="shared" si="7"/>
        <v>16.5</v>
      </c>
    </row>
    <row r="2085">
      <c r="A2085" s="1">
        <v>544920.0</v>
      </c>
      <c r="B2085" s="1" t="str">
        <f t="shared" si="1"/>
        <v>544920</v>
      </c>
      <c r="C2085" s="1" t="str">
        <f t="shared" si="2"/>
        <v>Sale</v>
      </c>
      <c r="D2085" s="1">
        <v>22840.0</v>
      </c>
      <c r="E2085" s="1" t="str">
        <f>IFERROR(__xludf.DUMMYFUNCTION("IF(LEN(D2085)&gt;4, IFERROR(REGEXEXTRACT(TO_TEXT(D2085),""\d+""),""""),"""")"),"22840")</f>
        <v>22840</v>
      </c>
      <c r="F2085" s="6" t="str">
        <f t="shared" si="3"/>
        <v>Product</v>
      </c>
      <c r="G2085" s="1" t="s">
        <v>782</v>
      </c>
      <c r="H2085" s="6" t="str">
        <f>IFERROR(__xludf.DUMMYFUNCTION("IF(REGEXMATCH(LOWER(G2085), ""^(\?)+\s*(missing)?\s*(\?)*$""), """", PROPER(SUBSTITUTE(SUBSTITUTE(G2085, ""?"", """"), ""*"", """")))"),"Round Cake Tin Vintage Red")</f>
        <v>Round Cake Tin Vintage Red</v>
      </c>
      <c r="I2085" s="3">
        <v>2.0</v>
      </c>
      <c r="J2085" s="7">
        <v>40598.68819444445</v>
      </c>
      <c r="K2085" s="8" t="str">
        <f t="shared" si="4"/>
        <v>2011-02</v>
      </c>
      <c r="L2085" s="5">
        <v>7.95</v>
      </c>
      <c r="M2085" s="3">
        <v>13081.0</v>
      </c>
      <c r="N2085" s="1" t="str">
        <f t="shared" si="5"/>
        <v>Registered</v>
      </c>
      <c r="O2085" s="1" t="s">
        <v>19</v>
      </c>
      <c r="P2085" s="9" t="str">
        <f t="shared" si="6"/>
        <v>UK</v>
      </c>
      <c r="Q2085" s="8">
        <f t="shared" si="7"/>
        <v>15.9</v>
      </c>
    </row>
    <row r="2086">
      <c r="A2086" s="1">
        <v>544920.0</v>
      </c>
      <c r="B2086" s="1" t="str">
        <f t="shared" si="1"/>
        <v>544920</v>
      </c>
      <c r="C2086" s="1" t="str">
        <f t="shared" si="2"/>
        <v>Sale</v>
      </c>
      <c r="D2086" s="1">
        <v>22842.0</v>
      </c>
      <c r="E2086" s="1" t="str">
        <f>IFERROR(__xludf.DUMMYFUNCTION("IF(LEN(D2086)&gt;4, IFERROR(REGEXEXTRACT(TO_TEXT(D2086),""\d+""),""""),"""")"),"22842")</f>
        <v>22842</v>
      </c>
      <c r="F2086" s="6" t="str">
        <f t="shared" si="3"/>
        <v>Product</v>
      </c>
      <c r="G2086" s="1" t="s">
        <v>783</v>
      </c>
      <c r="H2086" s="6" t="str">
        <f>IFERROR(__xludf.DUMMYFUNCTION("IF(REGEXMATCH(LOWER(G2086), ""^(\?)+\s*(missing)?\s*(\?)*$""), """", PROPER(SUBSTITUTE(SUBSTITUTE(G2086, ""?"", """"), ""*"", """")))"),"Biscuit Tin Vintage Red")</f>
        <v>Biscuit Tin Vintage Red</v>
      </c>
      <c r="I2086" s="3">
        <v>2.0</v>
      </c>
      <c r="J2086" s="7">
        <v>40598.68819444445</v>
      </c>
      <c r="K2086" s="8" t="str">
        <f t="shared" si="4"/>
        <v>2011-02</v>
      </c>
      <c r="L2086" s="5">
        <v>6.75</v>
      </c>
      <c r="M2086" s="3">
        <v>13081.0</v>
      </c>
      <c r="N2086" s="1" t="str">
        <f t="shared" si="5"/>
        <v>Registered</v>
      </c>
      <c r="O2086" s="1" t="s">
        <v>19</v>
      </c>
      <c r="P2086" s="9" t="str">
        <f t="shared" si="6"/>
        <v>UK</v>
      </c>
      <c r="Q2086" s="8">
        <f t="shared" si="7"/>
        <v>13.5</v>
      </c>
    </row>
    <row r="2087">
      <c r="A2087" s="1">
        <v>544920.0</v>
      </c>
      <c r="B2087" s="1" t="str">
        <f t="shared" si="1"/>
        <v>544920</v>
      </c>
      <c r="C2087" s="1" t="str">
        <f t="shared" si="2"/>
        <v>Sale</v>
      </c>
      <c r="D2087" s="1">
        <v>22841.0</v>
      </c>
      <c r="E2087" s="1" t="str">
        <f>IFERROR(__xludf.DUMMYFUNCTION("IF(LEN(D2087)&gt;4, IFERROR(REGEXEXTRACT(TO_TEXT(D2087),""\d+""),""""),"""")"),"22841")</f>
        <v>22841</v>
      </c>
      <c r="F2087" s="6" t="str">
        <f t="shared" si="3"/>
        <v>Product</v>
      </c>
      <c r="G2087" s="1" t="s">
        <v>1154</v>
      </c>
      <c r="H2087" s="6" t="str">
        <f>IFERROR(__xludf.DUMMYFUNCTION("IF(REGEXMATCH(LOWER(G2087), ""^(\?)+\s*(missing)?\s*(\?)*$""), """", PROPER(SUBSTITUTE(SUBSTITUTE(G2087, ""?"", """"), ""*"", """")))"),"Round Cake Tin Vintage Green")</f>
        <v>Round Cake Tin Vintage Green</v>
      </c>
      <c r="I2087" s="3">
        <v>2.0</v>
      </c>
      <c r="J2087" s="7">
        <v>40598.68819444445</v>
      </c>
      <c r="K2087" s="8" t="str">
        <f t="shared" si="4"/>
        <v>2011-02</v>
      </c>
      <c r="L2087" s="5">
        <v>7.95</v>
      </c>
      <c r="M2087" s="3">
        <v>13081.0</v>
      </c>
      <c r="N2087" s="1" t="str">
        <f t="shared" si="5"/>
        <v>Registered</v>
      </c>
      <c r="O2087" s="1" t="s">
        <v>19</v>
      </c>
      <c r="P2087" s="9" t="str">
        <f t="shared" si="6"/>
        <v>UK</v>
      </c>
      <c r="Q2087" s="8">
        <f t="shared" si="7"/>
        <v>15.9</v>
      </c>
    </row>
    <row r="2088">
      <c r="A2088" s="1">
        <v>544920.0</v>
      </c>
      <c r="B2088" s="1" t="str">
        <f t="shared" si="1"/>
        <v>544920</v>
      </c>
      <c r="C2088" s="1" t="str">
        <f t="shared" si="2"/>
        <v>Sale</v>
      </c>
      <c r="D2088" s="1">
        <v>22843.0</v>
      </c>
      <c r="E2088" s="1" t="str">
        <f>IFERROR(__xludf.DUMMYFUNCTION("IF(LEN(D2088)&gt;4, IFERROR(REGEXEXTRACT(TO_TEXT(D2088),""\d+""),""""),"""")"),"22843")</f>
        <v>22843</v>
      </c>
      <c r="F2088" s="6" t="str">
        <f t="shared" si="3"/>
        <v>Product</v>
      </c>
      <c r="G2088" s="1" t="s">
        <v>1155</v>
      </c>
      <c r="H2088" s="6" t="str">
        <f>IFERROR(__xludf.DUMMYFUNCTION("IF(REGEXMATCH(LOWER(G2088), ""^(\?)+\s*(missing)?\s*(\?)*$""), """", PROPER(SUBSTITUTE(SUBSTITUTE(G2088, ""?"", """"), ""*"", """")))"),"Biscuit Tin Vintage Green")</f>
        <v>Biscuit Tin Vintage Green</v>
      </c>
      <c r="I2088" s="3">
        <v>2.0</v>
      </c>
      <c r="J2088" s="7">
        <v>40598.68819444445</v>
      </c>
      <c r="K2088" s="8" t="str">
        <f t="shared" si="4"/>
        <v>2011-02</v>
      </c>
      <c r="L2088" s="5">
        <v>6.75</v>
      </c>
      <c r="M2088" s="3">
        <v>13081.0</v>
      </c>
      <c r="N2088" s="1" t="str">
        <f t="shared" si="5"/>
        <v>Registered</v>
      </c>
      <c r="O2088" s="1" t="s">
        <v>19</v>
      </c>
      <c r="P2088" s="9" t="str">
        <f t="shared" si="6"/>
        <v>UK</v>
      </c>
      <c r="Q2088" s="8">
        <f t="shared" si="7"/>
        <v>13.5</v>
      </c>
    </row>
    <row r="2089">
      <c r="A2089" s="1">
        <v>544920.0</v>
      </c>
      <c r="B2089" s="1" t="str">
        <f t="shared" si="1"/>
        <v>544920</v>
      </c>
      <c r="C2089" s="1" t="str">
        <f t="shared" si="2"/>
        <v>Sale</v>
      </c>
      <c r="D2089" s="1">
        <v>22897.0</v>
      </c>
      <c r="E2089" s="1" t="str">
        <f>IFERROR(__xludf.DUMMYFUNCTION("IF(LEN(D2089)&gt;4, IFERROR(REGEXEXTRACT(TO_TEXT(D2089),""\d+""),""""),"""")"),"22897")</f>
        <v>22897</v>
      </c>
      <c r="F2089" s="6" t="str">
        <f t="shared" si="3"/>
        <v>Product</v>
      </c>
      <c r="G2089" s="1" t="s">
        <v>1156</v>
      </c>
      <c r="H2089" s="6" t="str">
        <f>IFERROR(__xludf.DUMMYFUNCTION("IF(REGEXMATCH(LOWER(G2089), ""^(\?)+\s*(missing)?\s*(\?)*$""), """", PROPER(SUBSTITUTE(SUBSTITUTE(G2089, ""?"", """"), ""*"", """")))"),"Oven Mitt Apples Design")</f>
        <v>Oven Mitt Apples Design</v>
      </c>
      <c r="I2089" s="3">
        <v>10.0</v>
      </c>
      <c r="J2089" s="7">
        <v>40598.68819444445</v>
      </c>
      <c r="K2089" s="8" t="str">
        <f t="shared" si="4"/>
        <v>2011-02</v>
      </c>
      <c r="L2089" s="5">
        <v>1.45</v>
      </c>
      <c r="M2089" s="3">
        <v>13081.0</v>
      </c>
      <c r="N2089" s="1" t="str">
        <f t="shared" si="5"/>
        <v>Registered</v>
      </c>
      <c r="O2089" s="1" t="s">
        <v>19</v>
      </c>
      <c r="P2089" s="9" t="str">
        <f t="shared" si="6"/>
        <v>UK</v>
      </c>
      <c r="Q2089" s="8">
        <f t="shared" si="7"/>
        <v>14.5</v>
      </c>
    </row>
    <row r="2090">
      <c r="A2090" s="1">
        <v>544920.0</v>
      </c>
      <c r="B2090" s="1" t="str">
        <f t="shared" si="1"/>
        <v>544920</v>
      </c>
      <c r="C2090" s="1" t="str">
        <f t="shared" si="2"/>
        <v>Sale</v>
      </c>
      <c r="D2090" s="1">
        <v>22021.0</v>
      </c>
      <c r="E2090" s="1" t="str">
        <f>IFERROR(__xludf.DUMMYFUNCTION("IF(LEN(D2090)&gt;4, IFERROR(REGEXEXTRACT(TO_TEXT(D2090),""\d+""),""""),"""")"),"22021")</f>
        <v>22021</v>
      </c>
      <c r="F2090" s="6" t="str">
        <f t="shared" si="3"/>
        <v>Product</v>
      </c>
      <c r="G2090" s="1" t="s">
        <v>1157</v>
      </c>
      <c r="H2090" s="6" t="str">
        <f>IFERROR(__xludf.DUMMYFUNCTION("IF(REGEXMATCH(LOWER(G2090), ""^(\?)+\s*(missing)?\s*(\?)*$""), """", PROPER(SUBSTITUTE(SUBSTITUTE(G2090, ""?"", """"), ""*"", """")))"),"Blue Felt Easter Egg Basket")</f>
        <v>Blue Felt Easter Egg Basket</v>
      </c>
      <c r="I2090" s="3">
        <v>24.0</v>
      </c>
      <c r="J2090" s="7">
        <v>40598.68819444445</v>
      </c>
      <c r="K2090" s="8" t="str">
        <f t="shared" si="4"/>
        <v>2011-02</v>
      </c>
      <c r="L2090" s="5">
        <v>1.65</v>
      </c>
      <c r="M2090" s="3">
        <v>13081.0</v>
      </c>
      <c r="N2090" s="1" t="str">
        <f t="shared" si="5"/>
        <v>Registered</v>
      </c>
      <c r="O2090" s="1" t="s">
        <v>19</v>
      </c>
      <c r="P2090" s="9" t="str">
        <f t="shared" si="6"/>
        <v>UK</v>
      </c>
      <c r="Q2090" s="8">
        <f t="shared" si="7"/>
        <v>39.6</v>
      </c>
    </row>
    <row r="2091">
      <c r="A2091" s="1">
        <v>544920.0</v>
      </c>
      <c r="B2091" s="1" t="str">
        <f t="shared" si="1"/>
        <v>544920</v>
      </c>
      <c r="C2091" s="1" t="str">
        <f t="shared" si="2"/>
        <v>Sale</v>
      </c>
      <c r="D2091" s="1" t="s">
        <v>907</v>
      </c>
      <c r="E2091" s="1" t="str">
        <f>IFERROR(__xludf.DUMMYFUNCTION("IF(LEN(D2091)&gt;4, IFERROR(REGEXEXTRACT(TO_TEXT(D2091),""\d+""),""""),"""")"),"85206")</f>
        <v>85206</v>
      </c>
      <c r="F2091" s="6" t="str">
        <f t="shared" si="3"/>
        <v>Product</v>
      </c>
      <c r="G2091" s="1" t="s">
        <v>908</v>
      </c>
      <c r="H2091" s="6" t="str">
        <f>IFERROR(__xludf.DUMMYFUNCTION("IF(REGEXMATCH(LOWER(G2091), ""^(\?)+\s*(missing)?\s*(\?)*$""), """", PROPER(SUBSTITUTE(SUBSTITUTE(G2091, ""?"", """"), ""*"", """")))"),"Cream Felt Easter Egg Basket")</f>
        <v>Cream Felt Easter Egg Basket</v>
      </c>
      <c r="I2091" s="3">
        <v>24.0</v>
      </c>
      <c r="J2091" s="7">
        <v>40598.68819444445</v>
      </c>
      <c r="K2091" s="8" t="str">
        <f t="shared" si="4"/>
        <v>2011-02</v>
      </c>
      <c r="L2091" s="5">
        <v>1.65</v>
      </c>
      <c r="M2091" s="3">
        <v>13081.0</v>
      </c>
      <c r="N2091" s="1" t="str">
        <f t="shared" si="5"/>
        <v>Registered</v>
      </c>
      <c r="O2091" s="1" t="s">
        <v>19</v>
      </c>
      <c r="P2091" s="9" t="str">
        <f t="shared" si="6"/>
        <v>UK</v>
      </c>
      <c r="Q2091" s="8">
        <f t="shared" si="7"/>
        <v>39.6</v>
      </c>
    </row>
    <row r="2092">
      <c r="A2092" s="1">
        <v>544920.0</v>
      </c>
      <c r="B2092" s="1" t="str">
        <f t="shared" si="1"/>
        <v>544920</v>
      </c>
      <c r="C2092" s="1" t="str">
        <f t="shared" si="2"/>
        <v>Sale</v>
      </c>
      <c r="D2092" s="1">
        <v>22501.0</v>
      </c>
      <c r="E2092" s="1" t="str">
        <f>IFERROR(__xludf.DUMMYFUNCTION("IF(LEN(D2092)&gt;4, IFERROR(REGEXEXTRACT(TO_TEXT(D2092),""\d+""),""""),"""")"),"22501")</f>
        <v>22501</v>
      </c>
      <c r="F2092" s="6" t="str">
        <f t="shared" si="3"/>
        <v>Product</v>
      </c>
      <c r="G2092" s="1" t="s">
        <v>795</v>
      </c>
      <c r="H2092" s="6" t="str">
        <f>IFERROR(__xludf.DUMMYFUNCTION("IF(REGEXMATCH(LOWER(G2092), ""^(\?)+\s*(missing)?\s*(\?)*$""), """", PROPER(SUBSTITUTE(SUBSTITUTE(G2092, ""?"", """"), ""*"", """")))"),"Picnic Basket Wicker Large")</f>
        <v>Picnic Basket Wicker Large</v>
      </c>
      <c r="I2092" s="3">
        <v>8.0</v>
      </c>
      <c r="J2092" s="7">
        <v>40598.68819444445</v>
      </c>
      <c r="K2092" s="8" t="str">
        <f t="shared" si="4"/>
        <v>2011-02</v>
      </c>
      <c r="L2092" s="5">
        <v>9.95</v>
      </c>
      <c r="M2092" s="3">
        <v>13081.0</v>
      </c>
      <c r="N2092" s="1" t="str">
        <f t="shared" si="5"/>
        <v>Registered</v>
      </c>
      <c r="O2092" s="1" t="s">
        <v>19</v>
      </c>
      <c r="P2092" s="9" t="str">
        <f t="shared" si="6"/>
        <v>UK</v>
      </c>
      <c r="Q2092" s="8">
        <f t="shared" si="7"/>
        <v>79.6</v>
      </c>
    </row>
    <row r="2093">
      <c r="A2093" s="1">
        <v>544920.0</v>
      </c>
      <c r="B2093" s="1" t="str">
        <f t="shared" si="1"/>
        <v>544920</v>
      </c>
      <c r="C2093" s="1" t="str">
        <f t="shared" si="2"/>
        <v>Sale</v>
      </c>
      <c r="D2093" s="1">
        <v>22502.0</v>
      </c>
      <c r="E2093" s="1" t="str">
        <f>IFERROR(__xludf.DUMMYFUNCTION("IF(LEN(D2093)&gt;4, IFERROR(REGEXEXTRACT(TO_TEXT(D2093),""\d+""),""""),"""")"),"22502")</f>
        <v>22502</v>
      </c>
      <c r="F2093" s="6" t="str">
        <f t="shared" si="3"/>
        <v>Product</v>
      </c>
      <c r="G2093" s="1" t="s">
        <v>242</v>
      </c>
      <c r="H2093" s="6" t="str">
        <f>IFERROR(__xludf.DUMMYFUNCTION("IF(REGEXMATCH(LOWER(G2093), ""^(\?)+\s*(missing)?\s*(\?)*$""), """", PROPER(SUBSTITUTE(SUBSTITUTE(G2093, ""?"", """"), ""*"", """")))"),"Picnic Basket Wicker Small")</f>
        <v>Picnic Basket Wicker Small</v>
      </c>
      <c r="I2093" s="3">
        <v>8.0</v>
      </c>
      <c r="J2093" s="7">
        <v>40598.68819444445</v>
      </c>
      <c r="K2093" s="8" t="str">
        <f t="shared" si="4"/>
        <v>2011-02</v>
      </c>
      <c r="L2093" s="5">
        <v>5.95</v>
      </c>
      <c r="M2093" s="3">
        <v>13081.0</v>
      </c>
      <c r="N2093" s="1" t="str">
        <f t="shared" si="5"/>
        <v>Registered</v>
      </c>
      <c r="O2093" s="1" t="s">
        <v>19</v>
      </c>
      <c r="P2093" s="9" t="str">
        <f t="shared" si="6"/>
        <v>UK</v>
      </c>
      <c r="Q2093" s="8">
        <f t="shared" si="7"/>
        <v>47.6</v>
      </c>
    </row>
    <row r="2094">
      <c r="A2094" s="1">
        <v>544920.0</v>
      </c>
      <c r="B2094" s="1" t="str">
        <f t="shared" si="1"/>
        <v>544920</v>
      </c>
      <c r="C2094" s="1" t="str">
        <f t="shared" si="2"/>
        <v>Sale</v>
      </c>
      <c r="D2094" s="1">
        <v>84231.0</v>
      </c>
      <c r="E2094" s="1" t="str">
        <f>IFERROR(__xludf.DUMMYFUNCTION("IF(LEN(D2094)&gt;4, IFERROR(REGEXEXTRACT(TO_TEXT(D2094),""\d+""),""""),"""")"),"84231")</f>
        <v>84231</v>
      </c>
      <c r="F2094" s="6" t="str">
        <f t="shared" si="3"/>
        <v>Product</v>
      </c>
      <c r="G2094" s="1" t="s">
        <v>1158</v>
      </c>
      <c r="H2094" s="6" t="str">
        <f>IFERROR(__xludf.DUMMYFUNCTION("IF(REGEXMATCH(LOWER(G2094), ""^(\?)+\s*(missing)?\s*(\?)*$""), """", PROPER(SUBSTITUTE(SUBSTITUTE(G2094, ""?"", """"), ""*"", """")))"),"Easter Bunny With Basket On Back")</f>
        <v>Easter Bunny With Basket On Back</v>
      </c>
      <c r="I2094" s="3">
        <v>12.0</v>
      </c>
      <c r="J2094" s="7">
        <v>40598.68819444445</v>
      </c>
      <c r="K2094" s="8" t="str">
        <f t="shared" si="4"/>
        <v>2011-02</v>
      </c>
      <c r="L2094" s="5">
        <v>0.65</v>
      </c>
      <c r="M2094" s="3">
        <v>13081.0</v>
      </c>
      <c r="N2094" s="1" t="str">
        <f t="shared" si="5"/>
        <v>Registered</v>
      </c>
      <c r="O2094" s="1" t="s">
        <v>19</v>
      </c>
      <c r="P2094" s="9" t="str">
        <f t="shared" si="6"/>
        <v>UK</v>
      </c>
      <c r="Q2094" s="8">
        <f t="shared" si="7"/>
        <v>7.8</v>
      </c>
    </row>
    <row r="2095">
      <c r="A2095" s="1">
        <v>544920.0</v>
      </c>
      <c r="B2095" s="1" t="str">
        <f t="shared" si="1"/>
        <v>544920</v>
      </c>
      <c r="C2095" s="1" t="str">
        <f t="shared" si="2"/>
        <v>Sale</v>
      </c>
      <c r="D2095" s="1">
        <v>21155.0</v>
      </c>
      <c r="E2095" s="1" t="str">
        <f>IFERROR(__xludf.DUMMYFUNCTION("IF(LEN(D2095)&gt;4, IFERROR(REGEXEXTRACT(TO_TEXT(D2095),""\d+""),""""),"""")"),"21155")</f>
        <v>21155</v>
      </c>
      <c r="F2095" s="6" t="str">
        <f t="shared" si="3"/>
        <v>Product</v>
      </c>
      <c r="G2095" s="1" t="s">
        <v>1159</v>
      </c>
      <c r="H2095" s="6" t="str">
        <f>IFERROR(__xludf.DUMMYFUNCTION("IF(REGEXMATCH(LOWER(G2095), ""^(\?)+\s*(missing)?\s*(\?)*$""), """", PROPER(SUBSTITUTE(SUBSTITUTE(G2095, ""?"", """"), ""*"", """")))"),"Red Retrospot Peg Bag")</f>
        <v>Red Retrospot Peg Bag</v>
      </c>
      <c r="I2095" s="3">
        <v>18.0</v>
      </c>
      <c r="J2095" s="7">
        <v>40598.68819444445</v>
      </c>
      <c r="K2095" s="8" t="str">
        <f t="shared" si="4"/>
        <v>2011-02</v>
      </c>
      <c r="L2095" s="5">
        <v>2.55</v>
      </c>
      <c r="M2095" s="3">
        <v>13081.0</v>
      </c>
      <c r="N2095" s="1" t="str">
        <f t="shared" si="5"/>
        <v>Registered</v>
      </c>
      <c r="O2095" s="1" t="s">
        <v>19</v>
      </c>
      <c r="P2095" s="9" t="str">
        <f t="shared" si="6"/>
        <v>UK</v>
      </c>
      <c r="Q2095" s="8">
        <f t="shared" si="7"/>
        <v>45.9</v>
      </c>
    </row>
    <row r="2096">
      <c r="A2096" s="1">
        <v>544920.0</v>
      </c>
      <c r="B2096" s="1" t="str">
        <f t="shared" si="1"/>
        <v>544920</v>
      </c>
      <c r="C2096" s="1" t="str">
        <f t="shared" si="2"/>
        <v>Sale</v>
      </c>
      <c r="D2096" s="1">
        <v>21217.0</v>
      </c>
      <c r="E2096" s="1" t="str">
        <f>IFERROR(__xludf.DUMMYFUNCTION("IF(LEN(D2096)&gt;4, IFERROR(REGEXEXTRACT(TO_TEXT(D2096),""\d+""),""""),"""")"),"21217")</f>
        <v>21217</v>
      </c>
      <c r="F2096" s="6" t="str">
        <f t="shared" si="3"/>
        <v>Product</v>
      </c>
      <c r="G2096" s="1" t="s">
        <v>818</v>
      </c>
      <c r="H2096" s="6" t="str">
        <f>IFERROR(__xludf.DUMMYFUNCTION("IF(REGEXMATCH(LOWER(G2096), ""^(\?)+\s*(missing)?\s*(\?)*$""), """", PROPER(SUBSTITUTE(SUBSTITUTE(G2096, ""?"", """"), ""*"", """")))"),"Red Retrospot Round Cake Tins")</f>
        <v>Red Retrospot Round Cake Tins</v>
      </c>
      <c r="I2096" s="3">
        <v>4.0</v>
      </c>
      <c r="J2096" s="7">
        <v>40598.68819444445</v>
      </c>
      <c r="K2096" s="8" t="str">
        <f t="shared" si="4"/>
        <v>2011-02</v>
      </c>
      <c r="L2096" s="5">
        <v>9.95</v>
      </c>
      <c r="M2096" s="3">
        <v>13081.0</v>
      </c>
      <c r="N2096" s="1" t="str">
        <f t="shared" si="5"/>
        <v>Registered</v>
      </c>
      <c r="O2096" s="1" t="s">
        <v>19</v>
      </c>
      <c r="P2096" s="9" t="str">
        <f t="shared" si="6"/>
        <v>UK</v>
      </c>
      <c r="Q2096" s="8">
        <f t="shared" si="7"/>
        <v>39.8</v>
      </c>
    </row>
    <row r="2097">
      <c r="A2097" s="1">
        <v>544920.0</v>
      </c>
      <c r="B2097" s="1" t="str">
        <f t="shared" si="1"/>
        <v>544920</v>
      </c>
      <c r="C2097" s="1" t="str">
        <f t="shared" si="2"/>
        <v>Sale</v>
      </c>
      <c r="D2097" s="1">
        <v>22236.0</v>
      </c>
      <c r="E2097" s="1" t="str">
        <f>IFERROR(__xludf.DUMMYFUNCTION("IF(LEN(D2097)&gt;4, IFERROR(REGEXEXTRACT(TO_TEXT(D2097),""\d+""),""""),"""")"),"22236")</f>
        <v>22236</v>
      </c>
      <c r="F2097" s="6" t="str">
        <f t="shared" si="3"/>
        <v>Product</v>
      </c>
      <c r="G2097" s="1" t="s">
        <v>1160</v>
      </c>
      <c r="H2097" s="6" t="str">
        <f>IFERROR(__xludf.DUMMYFUNCTION("IF(REGEXMATCH(LOWER(G2097), ""^(\?)+\s*(missing)?\s*(\?)*$""), """", PROPER(SUBSTITUTE(SUBSTITUTE(G2097, ""?"", """"), ""*"", """")))"),"Cake Stand 3 Tier Magic Garden")</f>
        <v>Cake Stand 3 Tier Magic Garden</v>
      </c>
      <c r="I2097" s="3">
        <v>2.0</v>
      </c>
      <c r="J2097" s="7">
        <v>40598.68819444445</v>
      </c>
      <c r="K2097" s="8" t="str">
        <f t="shared" si="4"/>
        <v>2011-02</v>
      </c>
      <c r="L2097" s="5">
        <v>12.75</v>
      </c>
      <c r="M2097" s="3">
        <v>13081.0</v>
      </c>
      <c r="N2097" s="1" t="str">
        <f t="shared" si="5"/>
        <v>Registered</v>
      </c>
      <c r="O2097" s="1" t="s">
        <v>19</v>
      </c>
      <c r="P2097" s="9" t="str">
        <f t="shared" si="6"/>
        <v>UK</v>
      </c>
      <c r="Q2097" s="8">
        <f t="shared" si="7"/>
        <v>25.5</v>
      </c>
    </row>
    <row r="2098">
      <c r="A2098" s="1">
        <v>544920.0</v>
      </c>
      <c r="B2098" s="1" t="str">
        <f t="shared" si="1"/>
        <v>544920</v>
      </c>
      <c r="C2098" s="1" t="str">
        <f t="shared" si="2"/>
        <v>Sale</v>
      </c>
      <c r="D2098" s="1">
        <v>22183.0</v>
      </c>
      <c r="E2098" s="1" t="str">
        <f>IFERROR(__xludf.DUMMYFUNCTION("IF(LEN(D2098)&gt;4, IFERROR(REGEXEXTRACT(TO_TEXT(D2098),""\d+""),""""),"""")"),"22183")</f>
        <v>22183</v>
      </c>
      <c r="F2098" s="6" t="str">
        <f t="shared" si="3"/>
        <v>Product</v>
      </c>
      <c r="G2098" s="1" t="s">
        <v>411</v>
      </c>
      <c r="H2098" s="6" t="str">
        <f>IFERROR(__xludf.DUMMYFUNCTION("IF(REGEXMATCH(LOWER(G2098), ""^(\?)+\s*(missing)?\s*(\?)*$""), """", PROPER(SUBSTITUTE(SUBSTITUTE(G2098, ""?"", """"), ""*"", """")))"),"Cake Stand Victorian Filigree Med")</f>
        <v>Cake Stand Victorian Filigree Med</v>
      </c>
      <c r="I2098" s="3">
        <v>3.0</v>
      </c>
      <c r="J2098" s="7">
        <v>40598.68819444445</v>
      </c>
      <c r="K2098" s="8" t="str">
        <f t="shared" si="4"/>
        <v>2011-02</v>
      </c>
      <c r="L2098" s="5">
        <v>6.75</v>
      </c>
      <c r="M2098" s="3">
        <v>13081.0</v>
      </c>
      <c r="N2098" s="1" t="str">
        <f t="shared" si="5"/>
        <v>Registered</v>
      </c>
      <c r="O2098" s="1" t="s">
        <v>19</v>
      </c>
      <c r="P2098" s="9" t="str">
        <f t="shared" si="6"/>
        <v>UK</v>
      </c>
      <c r="Q2098" s="8">
        <f t="shared" si="7"/>
        <v>20.25</v>
      </c>
    </row>
    <row r="2099">
      <c r="A2099" s="1">
        <v>544920.0</v>
      </c>
      <c r="B2099" s="1" t="str">
        <f t="shared" si="1"/>
        <v>544920</v>
      </c>
      <c r="C2099" s="1" t="str">
        <f t="shared" si="2"/>
        <v>Sale</v>
      </c>
      <c r="D2099" s="1">
        <v>22699.0</v>
      </c>
      <c r="E2099" s="1" t="str">
        <f>IFERROR(__xludf.DUMMYFUNCTION("IF(LEN(D2099)&gt;4, IFERROR(REGEXEXTRACT(TO_TEXT(D2099),""\d+""),""""),"""")"),"22699")</f>
        <v>22699</v>
      </c>
      <c r="F2099" s="6" t="str">
        <f t="shared" si="3"/>
        <v>Product</v>
      </c>
      <c r="G2099" s="1" t="s">
        <v>684</v>
      </c>
      <c r="H2099" s="6" t="str">
        <f>IFERROR(__xludf.DUMMYFUNCTION("IF(REGEXMATCH(LOWER(G2099), ""^(\?)+\s*(missing)?\s*(\?)*$""), """", PROPER(SUBSTITUTE(SUBSTITUTE(G2099, ""?"", """"), ""*"", """")))"),"Roses Regency Teacup And Saucer")</f>
        <v>Roses Regency Teacup And Saucer</v>
      </c>
      <c r="I2099" s="3">
        <v>12.0</v>
      </c>
      <c r="J2099" s="7">
        <v>40598.68819444445</v>
      </c>
      <c r="K2099" s="8" t="str">
        <f t="shared" si="4"/>
        <v>2011-02</v>
      </c>
      <c r="L2099" s="5">
        <v>2.95</v>
      </c>
      <c r="M2099" s="3">
        <v>13081.0</v>
      </c>
      <c r="N2099" s="1" t="str">
        <f t="shared" si="5"/>
        <v>Registered</v>
      </c>
      <c r="O2099" s="1" t="s">
        <v>19</v>
      </c>
      <c r="P2099" s="9" t="str">
        <f t="shared" si="6"/>
        <v>UK</v>
      </c>
      <c r="Q2099" s="8">
        <f t="shared" si="7"/>
        <v>35.4</v>
      </c>
    </row>
    <row r="2100">
      <c r="A2100" s="1">
        <v>544920.0</v>
      </c>
      <c r="B2100" s="1" t="str">
        <f t="shared" si="1"/>
        <v>544920</v>
      </c>
      <c r="C2100" s="1" t="str">
        <f t="shared" si="2"/>
        <v>Sale</v>
      </c>
      <c r="D2100" s="1">
        <v>22698.0</v>
      </c>
      <c r="E2100" s="1" t="str">
        <f>IFERROR(__xludf.DUMMYFUNCTION("IF(LEN(D2100)&gt;4, IFERROR(REGEXEXTRACT(TO_TEXT(D2100),""\d+""),""""),"""")"),"22698")</f>
        <v>22698</v>
      </c>
      <c r="F2100" s="6" t="str">
        <f t="shared" si="3"/>
        <v>Product</v>
      </c>
      <c r="G2100" s="1" t="s">
        <v>683</v>
      </c>
      <c r="H2100" s="6" t="str">
        <f>IFERROR(__xludf.DUMMYFUNCTION("IF(REGEXMATCH(LOWER(G2100), ""^(\?)+\s*(missing)?\s*(\?)*$""), """", PROPER(SUBSTITUTE(SUBSTITUTE(G2100, ""?"", """"), ""*"", """")))"),"Pink Regency Teacup And Saucer")</f>
        <v>Pink Regency Teacup And Saucer</v>
      </c>
      <c r="I2100" s="3">
        <v>12.0</v>
      </c>
      <c r="J2100" s="7">
        <v>40598.68819444445</v>
      </c>
      <c r="K2100" s="8" t="str">
        <f t="shared" si="4"/>
        <v>2011-02</v>
      </c>
      <c r="L2100" s="5">
        <v>2.95</v>
      </c>
      <c r="M2100" s="3">
        <v>13081.0</v>
      </c>
      <c r="N2100" s="1" t="str">
        <f t="shared" si="5"/>
        <v>Registered</v>
      </c>
      <c r="O2100" s="1" t="s">
        <v>19</v>
      </c>
      <c r="P2100" s="9" t="str">
        <f t="shared" si="6"/>
        <v>UK</v>
      </c>
      <c r="Q2100" s="8">
        <f t="shared" si="7"/>
        <v>35.4</v>
      </c>
    </row>
    <row r="2101">
      <c r="A2101" s="1">
        <v>544920.0</v>
      </c>
      <c r="B2101" s="1" t="str">
        <f t="shared" si="1"/>
        <v>544920</v>
      </c>
      <c r="C2101" s="1" t="str">
        <f t="shared" si="2"/>
        <v>Sale</v>
      </c>
      <c r="D2101" s="1">
        <v>22697.0</v>
      </c>
      <c r="E2101" s="1" t="str">
        <f>IFERROR(__xludf.DUMMYFUNCTION("IF(LEN(D2101)&gt;4, IFERROR(REGEXEXTRACT(TO_TEXT(D2101),""\d+""),""""),"""")"),"22697")</f>
        <v>22697</v>
      </c>
      <c r="F2101" s="6" t="str">
        <f t="shared" si="3"/>
        <v>Product</v>
      </c>
      <c r="G2101" s="1" t="s">
        <v>682</v>
      </c>
      <c r="H2101" s="6" t="str">
        <f>IFERROR(__xludf.DUMMYFUNCTION("IF(REGEXMATCH(LOWER(G2101), ""^(\?)+\s*(missing)?\s*(\?)*$""), """", PROPER(SUBSTITUTE(SUBSTITUTE(G2101, ""?"", """"), ""*"", """")))"),"Green Regency Teacup And Saucer")</f>
        <v>Green Regency Teacup And Saucer</v>
      </c>
      <c r="I2101" s="3">
        <v>6.0</v>
      </c>
      <c r="J2101" s="7">
        <v>40598.68819444445</v>
      </c>
      <c r="K2101" s="8" t="str">
        <f t="shared" si="4"/>
        <v>2011-02</v>
      </c>
      <c r="L2101" s="5">
        <v>2.95</v>
      </c>
      <c r="M2101" s="3">
        <v>13081.0</v>
      </c>
      <c r="N2101" s="1" t="str">
        <f t="shared" si="5"/>
        <v>Registered</v>
      </c>
      <c r="O2101" s="1" t="s">
        <v>19</v>
      </c>
      <c r="P2101" s="9" t="str">
        <f t="shared" si="6"/>
        <v>UK</v>
      </c>
      <c r="Q2101" s="8">
        <f t="shared" si="7"/>
        <v>17.7</v>
      </c>
    </row>
    <row r="2102">
      <c r="A2102" s="1">
        <v>544920.0</v>
      </c>
      <c r="B2102" s="1" t="str">
        <f t="shared" si="1"/>
        <v>544920</v>
      </c>
      <c r="C2102" s="1" t="str">
        <f t="shared" si="2"/>
        <v>Sale</v>
      </c>
      <c r="D2102" s="1">
        <v>22960.0</v>
      </c>
      <c r="E2102" s="1" t="str">
        <f>IFERROR(__xludf.DUMMYFUNCTION("IF(LEN(D2102)&gt;4, IFERROR(REGEXEXTRACT(TO_TEXT(D2102),""\d+""),""""),"""")"),"22960")</f>
        <v>22960</v>
      </c>
      <c r="F2102" s="6" t="str">
        <f t="shared" si="3"/>
        <v>Product</v>
      </c>
      <c r="G2102" s="1" t="s">
        <v>43</v>
      </c>
      <c r="H2102" s="6" t="str">
        <f>IFERROR(__xludf.DUMMYFUNCTION("IF(REGEXMATCH(LOWER(G2102), ""^(\?)+\s*(missing)?\s*(\?)*$""), """", PROPER(SUBSTITUTE(SUBSTITUTE(G2102, ""?"", """"), ""*"", """")))"),"Jam Making Set With Jars")</f>
        <v>Jam Making Set With Jars</v>
      </c>
      <c r="I2102" s="3">
        <v>6.0</v>
      </c>
      <c r="J2102" s="7">
        <v>40598.68819444445</v>
      </c>
      <c r="K2102" s="8" t="str">
        <f t="shared" si="4"/>
        <v>2011-02</v>
      </c>
      <c r="L2102" s="5">
        <v>4.25</v>
      </c>
      <c r="M2102" s="3">
        <v>13081.0</v>
      </c>
      <c r="N2102" s="1" t="str">
        <f t="shared" si="5"/>
        <v>Registered</v>
      </c>
      <c r="O2102" s="1" t="s">
        <v>19</v>
      </c>
      <c r="P2102" s="9" t="str">
        <f t="shared" si="6"/>
        <v>UK</v>
      </c>
      <c r="Q2102" s="8">
        <f t="shared" si="7"/>
        <v>25.5</v>
      </c>
    </row>
    <row r="2103">
      <c r="A2103" s="1">
        <v>544920.0</v>
      </c>
      <c r="B2103" s="1" t="str">
        <f t="shared" si="1"/>
        <v>544920</v>
      </c>
      <c r="C2103" s="1" t="str">
        <f t="shared" si="2"/>
        <v>Sale</v>
      </c>
      <c r="D2103" s="1">
        <v>37500.0</v>
      </c>
      <c r="E2103" s="1" t="str">
        <f>IFERROR(__xludf.DUMMYFUNCTION("IF(LEN(D2103)&gt;4, IFERROR(REGEXEXTRACT(TO_TEXT(D2103),""\d+""),""""),"""")"),"37500")</f>
        <v>37500</v>
      </c>
      <c r="F2103" s="6" t="str">
        <f t="shared" si="3"/>
        <v>Product</v>
      </c>
      <c r="G2103" s="1" t="s">
        <v>1161</v>
      </c>
      <c r="H2103" s="6" t="str">
        <f>IFERROR(__xludf.DUMMYFUNCTION("IF(REGEXMATCH(LOWER(G2103), ""^(\?)+\s*(missing)?\s*(\?)*$""), """", PROPER(SUBSTITUTE(SUBSTITUTE(G2103, ""?"", """"), ""*"", """")))"),"Tea Time Teapot In Gift Box")</f>
        <v>Tea Time Teapot In Gift Box</v>
      </c>
      <c r="I2103" s="3">
        <v>6.0</v>
      </c>
      <c r="J2103" s="7">
        <v>40598.68819444445</v>
      </c>
      <c r="K2103" s="8" t="str">
        <f t="shared" si="4"/>
        <v>2011-02</v>
      </c>
      <c r="L2103" s="5">
        <v>9.95</v>
      </c>
      <c r="M2103" s="3">
        <v>13081.0</v>
      </c>
      <c r="N2103" s="1" t="str">
        <f t="shared" si="5"/>
        <v>Registered</v>
      </c>
      <c r="O2103" s="1" t="s">
        <v>19</v>
      </c>
      <c r="P2103" s="9" t="str">
        <f t="shared" si="6"/>
        <v>UK</v>
      </c>
      <c r="Q2103" s="8">
        <f t="shared" si="7"/>
        <v>59.7</v>
      </c>
    </row>
    <row r="2104">
      <c r="A2104" s="1">
        <v>544920.0</v>
      </c>
      <c r="B2104" s="1" t="str">
        <f t="shared" si="1"/>
        <v>544920</v>
      </c>
      <c r="C2104" s="1" t="str">
        <f t="shared" si="2"/>
        <v>Sale</v>
      </c>
      <c r="D2104" s="1" t="s">
        <v>1162</v>
      </c>
      <c r="E2104" s="1" t="str">
        <f>IFERROR(__xludf.DUMMYFUNCTION("IF(LEN(D2104)&gt;4, IFERROR(REGEXEXTRACT(TO_TEXT(D2104),""\d+""),""""),"""")"),"47566")</f>
        <v>47566</v>
      </c>
      <c r="F2104" s="6" t="str">
        <f t="shared" si="3"/>
        <v>Product</v>
      </c>
      <c r="G2104" s="1" t="s">
        <v>1163</v>
      </c>
      <c r="H2104" s="6" t="str">
        <f>IFERROR(__xludf.DUMMYFUNCTION("IF(REGEXMATCH(LOWER(G2104), ""^(\?)+\s*(missing)?\s*(\?)*$""), """", PROPER(SUBSTITUTE(SUBSTITUTE(G2104, ""?"", """"), ""*"", """")))"),"Tea Time Party Bunting")</f>
        <v>Tea Time Party Bunting</v>
      </c>
      <c r="I2104" s="3">
        <v>12.0</v>
      </c>
      <c r="J2104" s="7">
        <v>40598.68819444445</v>
      </c>
      <c r="K2104" s="8" t="str">
        <f t="shared" si="4"/>
        <v>2011-02</v>
      </c>
      <c r="L2104" s="5">
        <v>4.95</v>
      </c>
      <c r="M2104" s="3">
        <v>13081.0</v>
      </c>
      <c r="N2104" s="1" t="str">
        <f t="shared" si="5"/>
        <v>Registered</v>
      </c>
      <c r="O2104" s="1" t="s">
        <v>19</v>
      </c>
      <c r="P2104" s="9" t="str">
        <f t="shared" si="6"/>
        <v>UK</v>
      </c>
      <c r="Q2104" s="8">
        <f t="shared" si="7"/>
        <v>59.4</v>
      </c>
    </row>
    <row r="2105">
      <c r="A2105" s="1">
        <v>544920.0</v>
      </c>
      <c r="B2105" s="1" t="str">
        <f t="shared" si="1"/>
        <v>544920</v>
      </c>
      <c r="C2105" s="1" t="str">
        <f t="shared" si="2"/>
        <v>Sale</v>
      </c>
      <c r="D2105" s="1">
        <v>22907.0</v>
      </c>
      <c r="E2105" s="1" t="str">
        <f>IFERROR(__xludf.DUMMYFUNCTION("IF(LEN(D2105)&gt;4, IFERROR(REGEXEXTRACT(TO_TEXT(D2105),""\d+""),""""),"""")"),"22907")</f>
        <v>22907</v>
      </c>
      <c r="F2105" s="6" t="str">
        <f t="shared" si="3"/>
        <v>Product</v>
      </c>
      <c r="G2105" s="1" t="s">
        <v>691</v>
      </c>
      <c r="H2105" s="6" t="str">
        <f>IFERROR(__xludf.DUMMYFUNCTION("IF(REGEXMATCH(LOWER(G2105), ""^(\?)+\s*(missing)?\s*(\?)*$""), """", PROPER(SUBSTITUTE(SUBSTITUTE(G2105, ""?"", """"), ""*"", """")))"),"Pack Of 20 Napkins Pantry Design")</f>
        <v>Pack Of 20 Napkins Pantry Design</v>
      </c>
      <c r="I2105" s="3">
        <v>24.0</v>
      </c>
      <c r="J2105" s="7">
        <v>40598.68819444445</v>
      </c>
      <c r="K2105" s="8" t="str">
        <f t="shared" si="4"/>
        <v>2011-02</v>
      </c>
      <c r="L2105" s="5">
        <v>0.85</v>
      </c>
      <c r="M2105" s="3">
        <v>13081.0</v>
      </c>
      <c r="N2105" s="1" t="str">
        <f t="shared" si="5"/>
        <v>Registered</v>
      </c>
      <c r="O2105" s="1" t="s">
        <v>19</v>
      </c>
      <c r="P2105" s="9" t="str">
        <f t="shared" si="6"/>
        <v>UK</v>
      </c>
      <c r="Q2105" s="8">
        <f t="shared" si="7"/>
        <v>20.4</v>
      </c>
    </row>
    <row r="2106">
      <c r="A2106" s="1">
        <v>544920.0</v>
      </c>
      <c r="B2106" s="1" t="str">
        <f t="shared" si="1"/>
        <v>544920</v>
      </c>
      <c r="C2106" s="1" t="str">
        <f t="shared" si="2"/>
        <v>Sale</v>
      </c>
      <c r="D2106" s="1">
        <v>22990.0</v>
      </c>
      <c r="E2106" s="1" t="str">
        <f>IFERROR(__xludf.DUMMYFUNCTION("IF(LEN(D2106)&gt;4, IFERROR(REGEXEXTRACT(TO_TEXT(D2106),""\d+""),""""),"""")"),"22990")</f>
        <v>22990</v>
      </c>
      <c r="F2106" s="6" t="str">
        <f t="shared" si="3"/>
        <v>Product</v>
      </c>
      <c r="G2106" s="1" t="s">
        <v>1164</v>
      </c>
      <c r="H2106" s="6" t="str">
        <f>IFERROR(__xludf.DUMMYFUNCTION("IF(REGEXMATCH(LOWER(G2106), ""^(\?)+\s*(missing)?\s*(\?)*$""), """", PROPER(SUBSTITUTE(SUBSTITUTE(G2106, ""?"", """"), ""*"", """")))"),"Cotton Apron Pantry Design")</f>
        <v>Cotton Apron Pantry Design</v>
      </c>
      <c r="I2106" s="3">
        <v>6.0</v>
      </c>
      <c r="J2106" s="7">
        <v>40598.68819444445</v>
      </c>
      <c r="K2106" s="8" t="str">
        <f t="shared" si="4"/>
        <v>2011-02</v>
      </c>
      <c r="L2106" s="5">
        <v>4.95</v>
      </c>
      <c r="M2106" s="3">
        <v>13081.0</v>
      </c>
      <c r="N2106" s="1" t="str">
        <f t="shared" si="5"/>
        <v>Registered</v>
      </c>
      <c r="O2106" s="1" t="s">
        <v>19</v>
      </c>
      <c r="P2106" s="9" t="str">
        <f t="shared" si="6"/>
        <v>UK</v>
      </c>
      <c r="Q2106" s="8">
        <f t="shared" si="7"/>
        <v>29.7</v>
      </c>
    </row>
    <row r="2107">
      <c r="A2107" s="1">
        <v>544920.0</v>
      </c>
      <c r="B2107" s="1" t="str">
        <f t="shared" si="1"/>
        <v>544920</v>
      </c>
      <c r="C2107" s="1" t="str">
        <f t="shared" si="2"/>
        <v>Sale</v>
      </c>
      <c r="D2107" s="1">
        <v>22966.0</v>
      </c>
      <c r="E2107" s="1" t="str">
        <f>IFERROR(__xludf.DUMMYFUNCTION("IF(LEN(D2107)&gt;4, IFERROR(REGEXEXTRACT(TO_TEXT(D2107),""\d+""),""""),"""")"),"22966")</f>
        <v>22966</v>
      </c>
      <c r="F2107" s="6" t="str">
        <f t="shared" si="3"/>
        <v>Product</v>
      </c>
      <c r="G2107" s="1" t="s">
        <v>779</v>
      </c>
      <c r="H2107" s="6" t="str">
        <f>IFERROR(__xludf.DUMMYFUNCTION("IF(REGEXMATCH(LOWER(G2107), ""^(\?)+\s*(missing)?\s*(\?)*$""), """", PROPER(SUBSTITUTE(SUBSTITUTE(G2107, ""?"", """"), ""*"", """")))"),"Gingerbread Man Cookie Cutter")</f>
        <v>Gingerbread Man Cookie Cutter</v>
      </c>
      <c r="I2107" s="3">
        <v>12.0</v>
      </c>
      <c r="J2107" s="7">
        <v>40598.68819444445</v>
      </c>
      <c r="K2107" s="8" t="str">
        <f t="shared" si="4"/>
        <v>2011-02</v>
      </c>
      <c r="L2107" s="5">
        <v>1.25</v>
      </c>
      <c r="M2107" s="3">
        <v>13081.0</v>
      </c>
      <c r="N2107" s="1" t="str">
        <f t="shared" si="5"/>
        <v>Registered</v>
      </c>
      <c r="O2107" s="1" t="s">
        <v>19</v>
      </c>
      <c r="P2107" s="9" t="str">
        <f t="shared" si="6"/>
        <v>UK</v>
      </c>
      <c r="Q2107" s="8">
        <f t="shared" si="7"/>
        <v>15</v>
      </c>
    </row>
    <row r="2108">
      <c r="A2108" s="1">
        <v>544920.0</v>
      </c>
      <c r="B2108" s="1" t="str">
        <f t="shared" si="1"/>
        <v>544920</v>
      </c>
      <c r="C2108" s="1" t="str">
        <f t="shared" si="2"/>
        <v>Sale</v>
      </c>
      <c r="D2108" s="1">
        <v>22939.0</v>
      </c>
      <c r="E2108" s="1" t="str">
        <f>IFERROR(__xludf.DUMMYFUNCTION("IF(LEN(D2108)&gt;4, IFERROR(REGEXEXTRACT(TO_TEXT(D2108),""\d+""),""""),"""")"),"22939")</f>
        <v>22939</v>
      </c>
      <c r="F2108" s="6" t="str">
        <f t="shared" si="3"/>
        <v>Product</v>
      </c>
      <c r="G2108" s="1" t="s">
        <v>823</v>
      </c>
      <c r="H2108" s="6" t="str">
        <f>IFERROR(__xludf.DUMMYFUNCTION("IF(REGEXMATCH(LOWER(G2108), ""^(\?)+\s*(missing)?\s*(\?)*$""), """", PROPER(SUBSTITUTE(SUBSTITUTE(G2108, ""?"", """"), ""*"", """")))"),"Apron Apple Delight")</f>
        <v>Apron Apple Delight</v>
      </c>
      <c r="I2108" s="3">
        <v>4.0</v>
      </c>
      <c r="J2108" s="7">
        <v>40598.68819444445</v>
      </c>
      <c r="K2108" s="8" t="str">
        <f t="shared" si="4"/>
        <v>2011-02</v>
      </c>
      <c r="L2108" s="5">
        <v>4.95</v>
      </c>
      <c r="M2108" s="3">
        <v>13081.0</v>
      </c>
      <c r="N2108" s="1" t="str">
        <f t="shared" si="5"/>
        <v>Registered</v>
      </c>
      <c r="O2108" s="1" t="s">
        <v>19</v>
      </c>
      <c r="P2108" s="9" t="str">
        <f t="shared" si="6"/>
        <v>UK</v>
      </c>
      <c r="Q2108" s="8">
        <f t="shared" si="7"/>
        <v>19.8</v>
      </c>
    </row>
    <row r="2109">
      <c r="A2109" s="1">
        <v>544921.0</v>
      </c>
      <c r="B2109" s="1" t="str">
        <f t="shared" si="1"/>
        <v>544921</v>
      </c>
      <c r="C2109" s="1" t="str">
        <f t="shared" si="2"/>
        <v>Sale</v>
      </c>
      <c r="D2109" s="1">
        <v>22636.0</v>
      </c>
      <c r="E2109" s="1" t="str">
        <f>IFERROR(__xludf.DUMMYFUNCTION("IF(LEN(D2109)&gt;4, IFERROR(REGEXEXTRACT(TO_TEXT(D2109),""\d+""),""""),"""")"),"22636")</f>
        <v>22636</v>
      </c>
      <c r="F2109" s="6" t="str">
        <f t="shared" si="3"/>
        <v>Product</v>
      </c>
      <c r="G2109" s="1" t="s">
        <v>1165</v>
      </c>
      <c r="H2109" s="6" t="str">
        <f>IFERROR(__xludf.DUMMYFUNCTION("IF(REGEXMATCH(LOWER(G2109), ""^(\?)+\s*(missing)?\s*(\?)*$""), """", PROPER(SUBSTITUTE(SUBSTITUTE(G2109, ""?"", """"), ""*"", """")))"),"Childs Breakfast Set Circus Parade")</f>
        <v>Childs Breakfast Set Circus Parade</v>
      </c>
      <c r="I2109" s="3">
        <v>12.0</v>
      </c>
      <c r="J2109" s="7">
        <v>40598.69097222222</v>
      </c>
      <c r="K2109" s="8" t="str">
        <f t="shared" si="4"/>
        <v>2011-02</v>
      </c>
      <c r="L2109" s="5">
        <v>7.65</v>
      </c>
      <c r="M2109" s="3">
        <v>17090.0</v>
      </c>
      <c r="N2109" s="1" t="str">
        <f t="shared" si="5"/>
        <v>Registered</v>
      </c>
      <c r="O2109" s="1" t="s">
        <v>19</v>
      </c>
      <c r="P2109" s="9" t="str">
        <f t="shared" si="6"/>
        <v>UK</v>
      </c>
      <c r="Q2109" s="8">
        <f t="shared" si="7"/>
        <v>91.8</v>
      </c>
    </row>
    <row r="2110">
      <c r="A2110" s="1">
        <v>544921.0</v>
      </c>
      <c r="B2110" s="1" t="str">
        <f t="shared" si="1"/>
        <v>544921</v>
      </c>
      <c r="C2110" s="1" t="str">
        <f t="shared" si="2"/>
        <v>Sale</v>
      </c>
      <c r="D2110" s="1">
        <v>22440.0</v>
      </c>
      <c r="E2110" s="1" t="str">
        <f>IFERROR(__xludf.DUMMYFUNCTION("IF(LEN(D2110)&gt;4, IFERROR(REGEXEXTRACT(TO_TEXT(D2110),""\d+""),""""),"""")"),"22440")</f>
        <v>22440</v>
      </c>
      <c r="F2110" s="6" t="str">
        <f t="shared" si="3"/>
        <v>Product</v>
      </c>
      <c r="G2110" s="1" t="s">
        <v>1166</v>
      </c>
      <c r="H2110" s="6" t="str">
        <f>IFERROR(__xludf.DUMMYFUNCTION("IF(REGEXMATCH(LOWER(G2110), ""^(\?)+\s*(missing)?\s*(\?)*$""), """", PROPER(SUBSTITUTE(SUBSTITUTE(G2110, ""?"", """"), ""*"", """")))"),"Balloon Water Bomb Pack Of 35")</f>
        <v>Balloon Water Bomb Pack Of 35</v>
      </c>
      <c r="I2110" s="3">
        <v>40.0</v>
      </c>
      <c r="J2110" s="7">
        <v>40598.69097222222</v>
      </c>
      <c r="K2110" s="8" t="str">
        <f t="shared" si="4"/>
        <v>2011-02</v>
      </c>
      <c r="L2110" s="5">
        <v>0.42</v>
      </c>
      <c r="M2110" s="3">
        <v>17090.0</v>
      </c>
      <c r="N2110" s="1" t="str">
        <f t="shared" si="5"/>
        <v>Registered</v>
      </c>
      <c r="O2110" s="1" t="s">
        <v>19</v>
      </c>
      <c r="P2110" s="9" t="str">
        <f t="shared" si="6"/>
        <v>UK</v>
      </c>
      <c r="Q2110" s="8">
        <f t="shared" si="7"/>
        <v>16.8</v>
      </c>
    </row>
    <row r="2111">
      <c r="A2111" s="1">
        <v>544921.0</v>
      </c>
      <c r="B2111" s="1" t="str">
        <f t="shared" si="1"/>
        <v>544921</v>
      </c>
      <c r="C2111" s="1" t="str">
        <f t="shared" si="2"/>
        <v>Sale</v>
      </c>
      <c r="D2111" s="1">
        <v>21891.0</v>
      </c>
      <c r="E2111" s="1" t="str">
        <f>IFERROR(__xludf.DUMMYFUNCTION("IF(LEN(D2111)&gt;4, IFERROR(REGEXEXTRACT(TO_TEXT(D2111),""\d+""),""""),"""")"),"21891")</f>
        <v>21891</v>
      </c>
      <c r="F2111" s="6" t="str">
        <f t="shared" si="3"/>
        <v>Product</v>
      </c>
      <c r="G2111" s="1" t="s">
        <v>237</v>
      </c>
      <c r="H2111" s="6" t="str">
        <f>IFERROR(__xludf.DUMMYFUNCTION("IF(REGEXMATCH(LOWER(G2111), ""^(\?)+\s*(missing)?\s*(\?)*$""), """", PROPER(SUBSTITUTE(SUBSTITUTE(G2111, ""?"", """"), ""*"", """")))"),"Traditional Wooden Skipping Rope")</f>
        <v>Traditional Wooden Skipping Rope</v>
      </c>
      <c r="I2111" s="3">
        <v>24.0</v>
      </c>
      <c r="J2111" s="7">
        <v>40598.69097222222</v>
      </c>
      <c r="K2111" s="8" t="str">
        <f t="shared" si="4"/>
        <v>2011-02</v>
      </c>
      <c r="L2111" s="5">
        <v>1.25</v>
      </c>
      <c r="M2111" s="3">
        <v>17090.0</v>
      </c>
      <c r="N2111" s="1" t="str">
        <f t="shared" si="5"/>
        <v>Registered</v>
      </c>
      <c r="O2111" s="1" t="s">
        <v>19</v>
      </c>
      <c r="P2111" s="9" t="str">
        <f t="shared" si="6"/>
        <v>UK</v>
      </c>
      <c r="Q2111" s="8">
        <f t="shared" si="7"/>
        <v>30</v>
      </c>
    </row>
    <row r="2112">
      <c r="A2112" s="1">
        <v>544921.0</v>
      </c>
      <c r="B2112" s="1" t="str">
        <f t="shared" si="1"/>
        <v>544921</v>
      </c>
      <c r="C2112" s="1" t="str">
        <f t="shared" si="2"/>
        <v>Sale</v>
      </c>
      <c r="D2112" s="1">
        <v>21912.0</v>
      </c>
      <c r="E2112" s="1" t="str">
        <f>IFERROR(__xludf.DUMMYFUNCTION("IF(LEN(D2112)&gt;4, IFERROR(REGEXEXTRACT(TO_TEXT(D2112),""\d+""),""""),"""")"),"21912")</f>
        <v>21912</v>
      </c>
      <c r="F2112" s="6" t="str">
        <f t="shared" si="3"/>
        <v>Product</v>
      </c>
      <c r="G2112" s="1" t="s">
        <v>150</v>
      </c>
      <c r="H2112" s="6" t="str">
        <f>IFERROR(__xludf.DUMMYFUNCTION("IF(REGEXMATCH(LOWER(G2112), ""^(\?)+\s*(missing)?\s*(\?)*$""), """", PROPER(SUBSTITUTE(SUBSTITUTE(G2112, ""?"", """"), ""*"", """")))"),"Vintage Snakes &amp; Ladders")</f>
        <v>Vintage Snakes &amp; Ladders</v>
      </c>
      <c r="I2112" s="3">
        <v>24.0</v>
      </c>
      <c r="J2112" s="7">
        <v>40598.69097222222</v>
      </c>
      <c r="K2112" s="8" t="str">
        <f t="shared" si="4"/>
        <v>2011-02</v>
      </c>
      <c r="L2112" s="5">
        <v>3.75</v>
      </c>
      <c r="M2112" s="3">
        <v>17090.0</v>
      </c>
      <c r="N2112" s="1" t="str">
        <f t="shared" si="5"/>
        <v>Registered</v>
      </c>
      <c r="O2112" s="1" t="s">
        <v>19</v>
      </c>
      <c r="P2112" s="9" t="str">
        <f t="shared" si="6"/>
        <v>UK</v>
      </c>
      <c r="Q2112" s="8">
        <f t="shared" si="7"/>
        <v>90</v>
      </c>
    </row>
    <row r="2113">
      <c r="A2113" s="1">
        <v>544921.0</v>
      </c>
      <c r="B2113" s="1" t="str">
        <f t="shared" si="1"/>
        <v>544921</v>
      </c>
      <c r="C2113" s="1" t="str">
        <f t="shared" si="2"/>
        <v>Sale</v>
      </c>
      <c r="D2113" s="1">
        <v>21892.0</v>
      </c>
      <c r="E2113" s="1" t="str">
        <f>IFERROR(__xludf.DUMMYFUNCTION("IF(LEN(D2113)&gt;4, IFERROR(REGEXEXTRACT(TO_TEXT(D2113),""\d+""),""""),"""")"),"21892")</f>
        <v>21892</v>
      </c>
      <c r="F2113" s="6" t="str">
        <f t="shared" si="3"/>
        <v>Product</v>
      </c>
      <c r="G2113" s="1" t="s">
        <v>510</v>
      </c>
      <c r="H2113" s="6" t="str">
        <f>IFERROR(__xludf.DUMMYFUNCTION("IF(REGEXMATCH(LOWER(G2113), ""^(\?)+\s*(missing)?\s*(\?)*$""), """", PROPER(SUBSTITUTE(SUBSTITUTE(G2113, ""?"", """"), ""*"", """")))"),"Traditional Wooden Catch Cup Game")</f>
        <v>Traditional Wooden Catch Cup Game</v>
      </c>
      <c r="I2113" s="3">
        <v>24.0</v>
      </c>
      <c r="J2113" s="7">
        <v>40598.69097222222</v>
      </c>
      <c r="K2113" s="8" t="str">
        <f t="shared" si="4"/>
        <v>2011-02</v>
      </c>
      <c r="L2113" s="5">
        <v>1.25</v>
      </c>
      <c r="M2113" s="3">
        <v>17090.0</v>
      </c>
      <c r="N2113" s="1" t="str">
        <f t="shared" si="5"/>
        <v>Registered</v>
      </c>
      <c r="O2113" s="1" t="s">
        <v>19</v>
      </c>
      <c r="P2113" s="9" t="str">
        <f t="shared" si="6"/>
        <v>UK</v>
      </c>
      <c r="Q2113" s="8">
        <f t="shared" si="7"/>
        <v>30</v>
      </c>
    </row>
    <row r="2114">
      <c r="A2114" s="1">
        <v>544921.0</v>
      </c>
      <c r="B2114" s="1" t="str">
        <f t="shared" si="1"/>
        <v>544921</v>
      </c>
      <c r="C2114" s="1" t="str">
        <f t="shared" si="2"/>
        <v>Sale</v>
      </c>
      <c r="D2114" s="1">
        <v>22548.0</v>
      </c>
      <c r="E2114" s="1" t="str">
        <f>IFERROR(__xludf.DUMMYFUNCTION("IF(LEN(D2114)&gt;4, IFERROR(REGEXEXTRACT(TO_TEXT(D2114),""\d+""),""""),"""")"),"22548")</f>
        <v>22548</v>
      </c>
      <c r="F2114" s="6" t="str">
        <f t="shared" si="3"/>
        <v>Product</v>
      </c>
      <c r="G2114" s="1" t="s">
        <v>1167</v>
      </c>
      <c r="H2114" s="6" t="str">
        <f>IFERROR(__xludf.DUMMYFUNCTION("IF(REGEXMATCH(LOWER(G2114), ""^(\?)+\s*(missing)?\s*(\?)*$""), """", PROPER(SUBSTITUTE(SUBSTITUTE(G2114, ""?"", """"), ""*"", """")))"),"Heads And Tails Sporting Fun")</f>
        <v>Heads And Tails Sporting Fun</v>
      </c>
      <c r="I2114" s="3">
        <v>12.0</v>
      </c>
      <c r="J2114" s="7">
        <v>40598.69097222222</v>
      </c>
      <c r="K2114" s="8" t="str">
        <f t="shared" si="4"/>
        <v>2011-02</v>
      </c>
      <c r="L2114" s="5">
        <v>1.25</v>
      </c>
      <c r="M2114" s="3">
        <v>17090.0</v>
      </c>
      <c r="N2114" s="1" t="str">
        <f t="shared" si="5"/>
        <v>Registered</v>
      </c>
      <c r="O2114" s="1" t="s">
        <v>19</v>
      </c>
      <c r="P2114" s="9" t="str">
        <f t="shared" si="6"/>
        <v>UK</v>
      </c>
      <c r="Q2114" s="8">
        <f t="shared" si="7"/>
        <v>15</v>
      </c>
    </row>
    <row r="2115">
      <c r="A2115" s="1">
        <v>544921.0</v>
      </c>
      <c r="B2115" s="1" t="str">
        <f t="shared" si="1"/>
        <v>544921</v>
      </c>
      <c r="C2115" s="1" t="str">
        <f t="shared" si="2"/>
        <v>Sale</v>
      </c>
      <c r="D2115" s="1">
        <v>21381.0</v>
      </c>
      <c r="E2115" s="1" t="str">
        <f>IFERROR(__xludf.DUMMYFUNCTION("IF(LEN(D2115)&gt;4, IFERROR(REGEXEXTRACT(TO_TEXT(D2115),""\d+""),""""),"""")"),"21381")</f>
        <v>21381</v>
      </c>
      <c r="F2115" s="6" t="str">
        <f t="shared" si="3"/>
        <v>Product</v>
      </c>
      <c r="G2115" s="1" t="s">
        <v>1168</v>
      </c>
      <c r="H2115" s="6" t="str">
        <f>IFERROR(__xludf.DUMMYFUNCTION("IF(REGEXMATCH(LOWER(G2115), ""^(\?)+\s*(missing)?\s*(\?)*$""), """", PROPER(SUBSTITUTE(SUBSTITUTE(G2115, ""?"", """"), ""*"", """")))"),"Mini Wooden Happy Birthday Garland")</f>
        <v>Mini Wooden Happy Birthday Garland</v>
      </c>
      <c r="I2115" s="3">
        <v>12.0</v>
      </c>
      <c r="J2115" s="7">
        <v>40598.69097222222</v>
      </c>
      <c r="K2115" s="8" t="str">
        <f t="shared" si="4"/>
        <v>2011-02</v>
      </c>
      <c r="L2115" s="5">
        <v>1.69</v>
      </c>
      <c r="M2115" s="3">
        <v>17090.0</v>
      </c>
      <c r="N2115" s="1" t="str">
        <f t="shared" si="5"/>
        <v>Registered</v>
      </c>
      <c r="O2115" s="1" t="s">
        <v>19</v>
      </c>
      <c r="P2115" s="9" t="str">
        <f t="shared" si="6"/>
        <v>UK</v>
      </c>
      <c r="Q2115" s="8">
        <f t="shared" si="7"/>
        <v>20.28</v>
      </c>
    </row>
    <row r="2116">
      <c r="A2116" s="1">
        <v>544921.0</v>
      </c>
      <c r="B2116" s="1" t="str">
        <f t="shared" si="1"/>
        <v>544921</v>
      </c>
      <c r="C2116" s="1" t="str">
        <f t="shared" si="2"/>
        <v>Sale</v>
      </c>
      <c r="D2116" s="1">
        <v>22438.0</v>
      </c>
      <c r="E2116" s="1" t="str">
        <f>IFERROR(__xludf.DUMMYFUNCTION("IF(LEN(D2116)&gt;4, IFERROR(REGEXEXTRACT(TO_TEXT(D2116),""\d+""),""""),"""")"),"22438")</f>
        <v>22438</v>
      </c>
      <c r="F2116" s="6" t="str">
        <f t="shared" si="3"/>
        <v>Product</v>
      </c>
      <c r="G2116" s="1" t="s">
        <v>143</v>
      </c>
      <c r="H2116" s="6" t="str">
        <f>IFERROR(__xludf.DUMMYFUNCTION("IF(REGEXMATCH(LOWER(G2116), ""^(\?)+\s*(missing)?\s*(\?)*$""), """", PROPER(SUBSTITUTE(SUBSTITUTE(G2116, ""?"", """"), ""*"", """")))"),"Balloon Art Make Your Own Flowers")</f>
        <v>Balloon Art Make Your Own Flowers</v>
      </c>
      <c r="I2116" s="3">
        <v>20.0</v>
      </c>
      <c r="J2116" s="7">
        <v>40598.69097222222</v>
      </c>
      <c r="K2116" s="8" t="str">
        <f t="shared" si="4"/>
        <v>2011-02</v>
      </c>
      <c r="L2116" s="5">
        <v>1.95</v>
      </c>
      <c r="M2116" s="3">
        <v>17090.0</v>
      </c>
      <c r="N2116" s="1" t="str">
        <f t="shared" si="5"/>
        <v>Registered</v>
      </c>
      <c r="O2116" s="1" t="s">
        <v>19</v>
      </c>
      <c r="P2116" s="9" t="str">
        <f t="shared" si="6"/>
        <v>UK</v>
      </c>
      <c r="Q2116" s="8">
        <f t="shared" si="7"/>
        <v>39</v>
      </c>
    </row>
    <row r="2117">
      <c r="A2117" s="1">
        <v>544921.0</v>
      </c>
      <c r="B2117" s="1" t="str">
        <f t="shared" si="1"/>
        <v>544921</v>
      </c>
      <c r="C2117" s="1" t="str">
        <f t="shared" si="2"/>
        <v>Sale</v>
      </c>
      <c r="D2117" s="1">
        <v>85172.0</v>
      </c>
      <c r="E2117" s="1" t="str">
        <f>IFERROR(__xludf.DUMMYFUNCTION("IF(LEN(D2117)&gt;4, IFERROR(REGEXEXTRACT(TO_TEXT(D2117),""\d+""),""""),"""")"),"85172")</f>
        <v>85172</v>
      </c>
      <c r="F2117" s="6" t="str">
        <f t="shared" si="3"/>
        <v>Product</v>
      </c>
      <c r="G2117" s="1" t="s">
        <v>531</v>
      </c>
      <c r="H2117" s="6" t="str">
        <f>IFERROR(__xludf.DUMMYFUNCTION("IF(REGEXMATCH(LOWER(G2117), ""^(\?)+\s*(missing)?\s*(\?)*$""), """", PROPER(SUBSTITUTE(SUBSTITUTE(G2117, ""?"", """"), ""*"", """")))"),"Hyacinth Bulb T-Light Candles")</f>
        <v>Hyacinth Bulb T-Light Candles</v>
      </c>
      <c r="I2117" s="3">
        <v>16.0</v>
      </c>
      <c r="J2117" s="7">
        <v>40598.69097222222</v>
      </c>
      <c r="K2117" s="8" t="str">
        <f t="shared" si="4"/>
        <v>2011-02</v>
      </c>
      <c r="L2117" s="5">
        <v>0.42</v>
      </c>
      <c r="M2117" s="3">
        <v>17090.0</v>
      </c>
      <c r="N2117" s="1" t="str">
        <f t="shared" si="5"/>
        <v>Registered</v>
      </c>
      <c r="O2117" s="1" t="s">
        <v>19</v>
      </c>
      <c r="P2117" s="9" t="str">
        <f t="shared" si="6"/>
        <v>UK</v>
      </c>
      <c r="Q2117" s="8">
        <f t="shared" si="7"/>
        <v>6.72</v>
      </c>
    </row>
    <row r="2118">
      <c r="A2118" s="1">
        <v>544921.0</v>
      </c>
      <c r="B2118" s="1" t="str">
        <f t="shared" si="1"/>
        <v>544921</v>
      </c>
      <c r="C2118" s="1" t="str">
        <f t="shared" si="2"/>
        <v>Sale</v>
      </c>
      <c r="D2118" s="1">
        <v>22302.0</v>
      </c>
      <c r="E2118" s="1" t="str">
        <f>IFERROR(__xludf.DUMMYFUNCTION("IF(LEN(D2118)&gt;4, IFERROR(REGEXEXTRACT(TO_TEXT(D2118),""\d+""),""""),"""")"),"22302")</f>
        <v>22302</v>
      </c>
      <c r="F2118" s="6" t="str">
        <f t="shared" si="3"/>
        <v>Product</v>
      </c>
      <c r="G2118" s="1" t="s">
        <v>820</v>
      </c>
      <c r="H2118" s="6" t="str">
        <f>IFERROR(__xludf.DUMMYFUNCTION("IF(REGEXMATCH(LOWER(G2118), ""^(\?)+\s*(missing)?\s*(\?)*$""), """", PROPER(SUBSTITUTE(SUBSTITUTE(G2118, ""?"", """"), ""*"", """")))"),"Coffee Mug Pears Design")</f>
        <v>Coffee Mug Pears Design</v>
      </c>
      <c r="I2118" s="3">
        <v>12.0</v>
      </c>
      <c r="J2118" s="7">
        <v>40598.69097222222</v>
      </c>
      <c r="K2118" s="8" t="str">
        <f t="shared" si="4"/>
        <v>2011-02</v>
      </c>
      <c r="L2118" s="5">
        <v>2.55</v>
      </c>
      <c r="M2118" s="3">
        <v>17090.0</v>
      </c>
      <c r="N2118" s="1" t="str">
        <f t="shared" si="5"/>
        <v>Registered</v>
      </c>
      <c r="O2118" s="1" t="s">
        <v>19</v>
      </c>
      <c r="P2118" s="9" t="str">
        <f t="shared" si="6"/>
        <v>UK</v>
      </c>
      <c r="Q2118" s="8">
        <f t="shared" si="7"/>
        <v>30.6</v>
      </c>
    </row>
    <row r="2119">
      <c r="A2119" s="1">
        <v>544921.0</v>
      </c>
      <c r="B2119" s="1" t="str">
        <f t="shared" si="1"/>
        <v>544921</v>
      </c>
      <c r="C2119" s="1" t="str">
        <f t="shared" si="2"/>
        <v>Sale</v>
      </c>
      <c r="D2119" s="1">
        <v>22303.0</v>
      </c>
      <c r="E2119" s="1" t="str">
        <f>IFERROR(__xludf.DUMMYFUNCTION("IF(LEN(D2119)&gt;4, IFERROR(REGEXEXTRACT(TO_TEXT(D2119),""\d+""),""""),"""")"),"22303")</f>
        <v>22303</v>
      </c>
      <c r="F2119" s="6" t="str">
        <f t="shared" si="3"/>
        <v>Product</v>
      </c>
      <c r="G2119" s="1" t="s">
        <v>821</v>
      </c>
      <c r="H2119" s="6" t="str">
        <f>IFERROR(__xludf.DUMMYFUNCTION("IF(REGEXMATCH(LOWER(G2119), ""^(\?)+\s*(missing)?\s*(\?)*$""), """", PROPER(SUBSTITUTE(SUBSTITUTE(G2119, ""?"", """"), ""*"", """")))"),"Coffee Mug Apples Design")</f>
        <v>Coffee Mug Apples Design</v>
      </c>
      <c r="I2119" s="3">
        <v>12.0</v>
      </c>
      <c r="J2119" s="7">
        <v>40598.69097222222</v>
      </c>
      <c r="K2119" s="8" t="str">
        <f t="shared" si="4"/>
        <v>2011-02</v>
      </c>
      <c r="L2119" s="5">
        <v>2.55</v>
      </c>
      <c r="M2119" s="3">
        <v>17090.0</v>
      </c>
      <c r="N2119" s="1" t="str">
        <f t="shared" si="5"/>
        <v>Registered</v>
      </c>
      <c r="O2119" s="1" t="s">
        <v>19</v>
      </c>
      <c r="P2119" s="9" t="str">
        <f t="shared" si="6"/>
        <v>UK</v>
      </c>
      <c r="Q2119" s="8">
        <f t="shared" si="7"/>
        <v>30.6</v>
      </c>
    </row>
    <row r="2120">
      <c r="A2120" s="1">
        <v>544922.0</v>
      </c>
      <c r="B2120" s="1" t="str">
        <f t="shared" si="1"/>
        <v>544922</v>
      </c>
      <c r="C2120" s="1" t="str">
        <f t="shared" si="2"/>
        <v>Sale</v>
      </c>
      <c r="D2120" s="1">
        <v>22356.0</v>
      </c>
      <c r="E2120" s="1" t="str">
        <f>IFERROR(__xludf.DUMMYFUNCTION("IF(LEN(D2120)&gt;4, IFERROR(REGEXEXTRACT(TO_TEXT(D2120),""\d+""),""""),"""")"),"22356")</f>
        <v>22356</v>
      </c>
      <c r="F2120" s="6" t="str">
        <f t="shared" si="3"/>
        <v>Product</v>
      </c>
      <c r="G2120" s="1" t="s">
        <v>808</v>
      </c>
      <c r="H2120" s="6" t="str">
        <f>IFERROR(__xludf.DUMMYFUNCTION("IF(REGEXMATCH(LOWER(G2120), ""^(\?)+\s*(missing)?\s*(\?)*$""), """", PROPER(SUBSTITUTE(SUBSTITUTE(G2120, ""?"", """"), ""*"", """")))"),"Charlotte Bag Pink Polkadot")</f>
        <v>Charlotte Bag Pink Polkadot</v>
      </c>
      <c r="I2120" s="3">
        <v>10.0</v>
      </c>
      <c r="J2120" s="7">
        <v>40598.69861111111</v>
      </c>
      <c r="K2120" s="8" t="str">
        <f t="shared" si="4"/>
        <v>2011-02</v>
      </c>
      <c r="L2120" s="5">
        <v>0.85</v>
      </c>
      <c r="M2120" s="3">
        <v>15847.0</v>
      </c>
      <c r="N2120" s="1" t="str">
        <f t="shared" si="5"/>
        <v>Registered</v>
      </c>
      <c r="O2120" s="1" t="s">
        <v>19</v>
      </c>
      <c r="P2120" s="9" t="str">
        <f t="shared" si="6"/>
        <v>UK</v>
      </c>
      <c r="Q2120" s="8">
        <f t="shared" si="7"/>
        <v>8.5</v>
      </c>
    </row>
    <row r="2121">
      <c r="A2121" s="1">
        <v>544922.0</v>
      </c>
      <c r="B2121" s="1" t="str">
        <f t="shared" si="1"/>
        <v>544922</v>
      </c>
      <c r="C2121" s="1" t="str">
        <f t="shared" si="2"/>
        <v>Sale</v>
      </c>
      <c r="D2121" s="1">
        <v>22355.0</v>
      </c>
      <c r="E2121" s="1" t="str">
        <f>IFERROR(__xludf.DUMMYFUNCTION("IF(LEN(D2121)&gt;4, IFERROR(REGEXEXTRACT(TO_TEXT(D2121),""\d+""),""""),"""")"),"22355")</f>
        <v>22355</v>
      </c>
      <c r="F2121" s="6" t="str">
        <f t="shared" si="3"/>
        <v>Product</v>
      </c>
      <c r="G2121" s="1" t="s">
        <v>1169</v>
      </c>
      <c r="H2121" s="6" t="str">
        <f>IFERROR(__xludf.DUMMYFUNCTION("IF(REGEXMATCH(LOWER(G2121), ""^(\?)+\s*(missing)?\s*(\?)*$""), """", PROPER(SUBSTITUTE(SUBSTITUTE(G2121, ""?"", """"), ""*"", """")))"),"Charlotte Bag Suki Design")</f>
        <v>Charlotte Bag Suki Design</v>
      </c>
      <c r="I2121" s="3">
        <v>10.0</v>
      </c>
      <c r="J2121" s="7">
        <v>40598.69861111111</v>
      </c>
      <c r="K2121" s="8" t="str">
        <f t="shared" si="4"/>
        <v>2011-02</v>
      </c>
      <c r="L2121" s="5">
        <v>0.85</v>
      </c>
      <c r="M2121" s="3">
        <v>15847.0</v>
      </c>
      <c r="N2121" s="1" t="str">
        <f t="shared" si="5"/>
        <v>Registered</v>
      </c>
      <c r="O2121" s="1" t="s">
        <v>19</v>
      </c>
      <c r="P2121" s="9" t="str">
        <f t="shared" si="6"/>
        <v>UK</v>
      </c>
      <c r="Q2121" s="8">
        <f t="shared" si="7"/>
        <v>8.5</v>
      </c>
    </row>
    <row r="2122">
      <c r="A2122" s="1">
        <v>544922.0</v>
      </c>
      <c r="B2122" s="1" t="str">
        <f t="shared" si="1"/>
        <v>544922</v>
      </c>
      <c r="C2122" s="1" t="str">
        <f t="shared" si="2"/>
        <v>Sale</v>
      </c>
      <c r="D2122" s="1">
        <v>22113.0</v>
      </c>
      <c r="E2122" s="1" t="str">
        <f>IFERROR(__xludf.DUMMYFUNCTION("IF(LEN(D2122)&gt;4, IFERROR(REGEXEXTRACT(TO_TEXT(D2122),""\d+""),""""),"""")"),"22113")</f>
        <v>22113</v>
      </c>
      <c r="F2122" s="6" t="str">
        <f t="shared" si="3"/>
        <v>Product</v>
      </c>
      <c r="G2122" s="1" t="s">
        <v>515</v>
      </c>
      <c r="H2122" s="6" t="str">
        <f>IFERROR(__xludf.DUMMYFUNCTION("IF(REGEXMATCH(LOWER(G2122), ""^(\?)+\s*(missing)?\s*(\?)*$""), """", PROPER(SUBSTITUTE(SUBSTITUTE(G2122, ""?"", """"), ""*"", """")))"),"Grey Heart Hot Water Bottle")</f>
        <v>Grey Heart Hot Water Bottle</v>
      </c>
      <c r="I2122" s="3">
        <v>4.0</v>
      </c>
      <c r="J2122" s="7">
        <v>40598.69861111111</v>
      </c>
      <c r="K2122" s="8" t="str">
        <f t="shared" si="4"/>
        <v>2011-02</v>
      </c>
      <c r="L2122" s="5">
        <v>3.75</v>
      </c>
      <c r="M2122" s="3">
        <v>15847.0</v>
      </c>
      <c r="N2122" s="1" t="str">
        <f t="shared" si="5"/>
        <v>Registered</v>
      </c>
      <c r="O2122" s="1" t="s">
        <v>19</v>
      </c>
      <c r="P2122" s="9" t="str">
        <f t="shared" si="6"/>
        <v>UK</v>
      </c>
      <c r="Q2122" s="8">
        <f t="shared" si="7"/>
        <v>15</v>
      </c>
    </row>
    <row r="2123">
      <c r="A2123" s="1">
        <v>544922.0</v>
      </c>
      <c r="B2123" s="1" t="str">
        <f t="shared" si="1"/>
        <v>544922</v>
      </c>
      <c r="C2123" s="1" t="str">
        <f t="shared" si="2"/>
        <v>Sale</v>
      </c>
      <c r="D2123" s="1">
        <v>22111.0</v>
      </c>
      <c r="E2123" s="1" t="str">
        <f>IFERROR(__xludf.DUMMYFUNCTION("IF(LEN(D2123)&gt;4, IFERROR(REGEXEXTRACT(TO_TEXT(D2123),""\d+""),""""),"""")"),"22111")</f>
        <v>22111</v>
      </c>
      <c r="F2123" s="6" t="str">
        <f t="shared" si="3"/>
        <v>Product</v>
      </c>
      <c r="G2123" s="1" t="s">
        <v>270</v>
      </c>
      <c r="H2123" s="6" t="str">
        <f>IFERROR(__xludf.DUMMYFUNCTION("IF(REGEXMATCH(LOWER(G2123), ""^(\?)+\s*(missing)?\s*(\?)*$""), """", PROPER(SUBSTITUTE(SUBSTITUTE(G2123, ""?"", """"), ""*"", """")))"),"Scottie Dog Hot Water Bottle")</f>
        <v>Scottie Dog Hot Water Bottle</v>
      </c>
      <c r="I2123" s="3">
        <v>3.0</v>
      </c>
      <c r="J2123" s="7">
        <v>40598.69861111111</v>
      </c>
      <c r="K2123" s="8" t="str">
        <f t="shared" si="4"/>
        <v>2011-02</v>
      </c>
      <c r="L2123" s="5">
        <v>4.95</v>
      </c>
      <c r="M2123" s="3">
        <v>15847.0</v>
      </c>
      <c r="N2123" s="1" t="str">
        <f t="shared" si="5"/>
        <v>Registered</v>
      </c>
      <c r="O2123" s="1" t="s">
        <v>19</v>
      </c>
      <c r="P2123" s="9" t="str">
        <f t="shared" si="6"/>
        <v>UK</v>
      </c>
      <c r="Q2123" s="8">
        <f t="shared" si="7"/>
        <v>14.85</v>
      </c>
    </row>
    <row r="2124">
      <c r="A2124" s="1">
        <v>544922.0</v>
      </c>
      <c r="B2124" s="1" t="str">
        <f t="shared" si="1"/>
        <v>544922</v>
      </c>
      <c r="C2124" s="1" t="str">
        <f t="shared" si="2"/>
        <v>Sale</v>
      </c>
      <c r="D2124" s="1">
        <v>22258.0</v>
      </c>
      <c r="E2124" s="1" t="str">
        <f>IFERROR(__xludf.DUMMYFUNCTION("IF(LEN(D2124)&gt;4, IFERROR(REGEXEXTRACT(TO_TEXT(D2124),""\d+""),""""),"""")"),"22258")</f>
        <v>22258</v>
      </c>
      <c r="F2124" s="6" t="str">
        <f t="shared" si="3"/>
        <v>Product</v>
      </c>
      <c r="G2124" s="1" t="s">
        <v>1170</v>
      </c>
      <c r="H2124" s="6" t="str">
        <f>IFERROR(__xludf.DUMMYFUNCTION("IF(REGEXMATCH(LOWER(G2124), ""^(\?)+\s*(missing)?\s*(\?)*$""), """", PROPER(SUBSTITUTE(SUBSTITUTE(G2124, ""?"", """"), ""*"", """")))"),"Felt Farm Animal Rabbit")</f>
        <v>Felt Farm Animal Rabbit</v>
      </c>
      <c r="I2124" s="3">
        <v>12.0</v>
      </c>
      <c r="J2124" s="7">
        <v>40598.69861111111</v>
      </c>
      <c r="K2124" s="8" t="str">
        <f t="shared" si="4"/>
        <v>2011-02</v>
      </c>
      <c r="L2124" s="5">
        <v>1.25</v>
      </c>
      <c r="M2124" s="3">
        <v>15847.0</v>
      </c>
      <c r="N2124" s="1" t="str">
        <f t="shared" si="5"/>
        <v>Registered</v>
      </c>
      <c r="O2124" s="1" t="s">
        <v>19</v>
      </c>
      <c r="P2124" s="9" t="str">
        <f t="shared" si="6"/>
        <v>UK</v>
      </c>
      <c r="Q2124" s="8">
        <f t="shared" si="7"/>
        <v>15</v>
      </c>
    </row>
    <row r="2125">
      <c r="A2125" s="1">
        <v>544922.0</v>
      </c>
      <c r="B2125" s="1" t="str">
        <f t="shared" si="1"/>
        <v>544922</v>
      </c>
      <c r="C2125" s="1" t="str">
        <f t="shared" si="2"/>
        <v>Sale</v>
      </c>
      <c r="D2125" s="1">
        <v>84568.0</v>
      </c>
      <c r="E2125" s="1" t="str">
        <f>IFERROR(__xludf.DUMMYFUNCTION("IF(LEN(D2125)&gt;4, IFERROR(REGEXEXTRACT(TO_TEXT(D2125),""\d+""),""""),"""")"),"84568")</f>
        <v>84568</v>
      </c>
      <c r="F2125" s="6" t="str">
        <f t="shared" si="3"/>
        <v>Product</v>
      </c>
      <c r="G2125" s="1" t="s">
        <v>1171</v>
      </c>
      <c r="H2125" s="6" t="str">
        <f>IFERROR(__xludf.DUMMYFUNCTION("IF(REGEXMATCH(LOWER(G2125), ""^(\?)+\s*(missing)?\s*(\?)*$""), """", PROPER(SUBSTITUTE(SUBSTITUTE(G2125, ""?"", """"), ""*"", """")))"),"Girls Alphabet Iron On Patches")</f>
        <v>Girls Alphabet Iron On Patches</v>
      </c>
      <c r="I2125" s="3">
        <v>288.0</v>
      </c>
      <c r="J2125" s="7">
        <v>40598.69861111111</v>
      </c>
      <c r="K2125" s="8" t="str">
        <f t="shared" si="4"/>
        <v>2011-02</v>
      </c>
      <c r="L2125" s="5">
        <v>0.21</v>
      </c>
      <c r="M2125" s="3">
        <v>15847.0</v>
      </c>
      <c r="N2125" s="1" t="str">
        <f t="shared" si="5"/>
        <v>Registered</v>
      </c>
      <c r="O2125" s="1" t="s">
        <v>19</v>
      </c>
      <c r="P2125" s="9" t="str">
        <f t="shared" si="6"/>
        <v>UK</v>
      </c>
      <c r="Q2125" s="8">
        <f t="shared" si="7"/>
        <v>60.48</v>
      </c>
    </row>
    <row r="2126">
      <c r="A2126" s="1">
        <v>544922.0</v>
      </c>
      <c r="B2126" s="1" t="str">
        <f t="shared" si="1"/>
        <v>544922</v>
      </c>
      <c r="C2126" s="1" t="str">
        <f t="shared" si="2"/>
        <v>Sale</v>
      </c>
      <c r="D2126" s="1">
        <v>21106.0</v>
      </c>
      <c r="E2126" s="1" t="str">
        <f>IFERROR(__xludf.DUMMYFUNCTION("IF(LEN(D2126)&gt;4, IFERROR(REGEXEXTRACT(TO_TEXT(D2126),""\d+""),""""),"""")"),"21106")</f>
        <v>21106</v>
      </c>
      <c r="F2126" s="6" t="str">
        <f t="shared" si="3"/>
        <v>Product</v>
      </c>
      <c r="G2126" s="1" t="s">
        <v>1172</v>
      </c>
      <c r="H2126" s="6" t="str">
        <f>IFERROR(__xludf.DUMMYFUNCTION("IF(REGEXMATCH(LOWER(G2126), ""^(\?)+\s*(missing)?\s*(\?)*$""), """", PROPER(SUBSTITUTE(SUBSTITUTE(G2126, ""?"", """"), ""*"", """")))"),"Cream Slice Flannel Chocolate Spot")</f>
        <v>Cream Slice Flannel Chocolate Spot</v>
      </c>
      <c r="I2126" s="3">
        <v>6.0</v>
      </c>
      <c r="J2126" s="7">
        <v>40598.69861111111</v>
      </c>
      <c r="K2126" s="8" t="str">
        <f t="shared" si="4"/>
        <v>2011-02</v>
      </c>
      <c r="L2126" s="5">
        <v>2.95</v>
      </c>
      <c r="M2126" s="3">
        <v>15847.0</v>
      </c>
      <c r="N2126" s="1" t="str">
        <f t="shared" si="5"/>
        <v>Registered</v>
      </c>
      <c r="O2126" s="1" t="s">
        <v>19</v>
      </c>
      <c r="P2126" s="9" t="str">
        <f t="shared" si="6"/>
        <v>UK</v>
      </c>
      <c r="Q2126" s="8">
        <f t="shared" si="7"/>
        <v>17.7</v>
      </c>
    </row>
    <row r="2127">
      <c r="A2127" s="1">
        <v>544922.0</v>
      </c>
      <c r="B2127" s="1" t="str">
        <f t="shared" si="1"/>
        <v>544922</v>
      </c>
      <c r="C2127" s="1" t="str">
        <f t="shared" si="2"/>
        <v>Sale</v>
      </c>
      <c r="D2127" s="1">
        <v>21107.0</v>
      </c>
      <c r="E2127" s="1" t="str">
        <f>IFERROR(__xludf.DUMMYFUNCTION("IF(LEN(D2127)&gt;4, IFERROR(REGEXEXTRACT(TO_TEXT(D2127),""\d+""),""""),"""")"),"21107")</f>
        <v>21107</v>
      </c>
      <c r="F2127" s="6" t="str">
        <f t="shared" si="3"/>
        <v>Product</v>
      </c>
      <c r="G2127" s="1" t="s">
        <v>1173</v>
      </c>
      <c r="H2127" s="6" t="str">
        <f>IFERROR(__xludf.DUMMYFUNCTION("IF(REGEXMATCH(LOWER(G2127), ""^(\?)+\s*(missing)?\s*(\?)*$""), """", PROPER(SUBSTITUTE(SUBSTITUTE(G2127, ""?"", """"), ""*"", """")))"),"Cream Slice Flannel Pink Spot")</f>
        <v>Cream Slice Flannel Pink Spot</v>
      </c>
      <c r="I2127" s="3">
        <v>6.0</v>
      </c>
      <c r="J2127" s="7">
        <v>40598.69861111111</v>
      </c>
      <c r="K2127" s="8" t="str">
        <f t="shared" si="4"/>
        <v>2011-02</v>
      </c>
      <c r="L2127" s="5">
        <v>2.95</v>
      </c>
      <c r="M2127" s="3">
        <v>15847.0</v>
      </c>
      <c r="N2127" s="1" t="str">
        <f t="shared" si="5"/>
        <v>Registered</v>
      </c>
      <c r="O2127" s="1" t="s">
        <v>19</v>
      </c>
      <c r="P2127" s="9" t="str">
        <f t="shared" si="6"/>
        <v>UK</v>
      </c>
      <c r="Q2127" s="8">
        <f t="shared" si="7"/>
        <v>17.7</v>
      </c>
    </row>
    <row r="2128">
      <c r="A2128" s="1">
        <v>544922.0</v>
      </c>
      <c r="B2128" s="1" t="str">
        <f t="shared" si="1"/>
        <v>544922</v>
      </c>
      <c r="C2128" s="1" t="str">
        <f t="shared" si="2"/>
        <v>Sale</v>
      </c>
      <c r="D2128" s="1">
        <v>21108.0</v>
      </c>
      <c r="E2128" s="1" t="str">
        <f>IFERROR(__xludf.DUMMYFUNCTION("IF(LEN(D2128)&gt;4, IFERROR(REGEXEXTRACT(TO_TEXT(D2128),""\d+""),""""),"""")"),"21108")</f>
        <v>21108</v>
      </c>
      <c r="F2128" s="6" t="str">
        <f t="shared" si="3"/>
        <v>Product</v>
      </c>
      <c r="G2128" s="1" t="s">
        <v>328</v>
      </c>
      <c r="H2128" s="6" t="str">
        <f>IFERROR(__xludf.DUMMYFUNCTION("IF(REGEXMATCH(LOWER(G2128), ""^(\?)+\s*(missing)?\s*(\?)*$""), """", PROPER(SUBSTITUTE(SUBSTITUTE(G2128, ""?"", """"), ""*"", """")))"),"Fairy Cake Flannel Assorted Colour")</f>
        <v>Fairy Cake Flannel Assorted Colour</v>
      </c>
      <c r="I2128" s="3">
        <v>9.0</v>
      </c>
      <c r="J2128" s="7">
        <v>40598.69861111111</v>
      </c>
      <c r="K2128" s="8" t="str">
        <f t="shared" si="4"/>
        <v>2011-02</v>
      </c>
      <c r="L2128" s="5">
        <v>2.55</v>
      </c>
      <c r="M2128" s="3">
        <v>15847.0</v>
      </c>
      <c r="N2128" s="1" t="str">
        <f t="shared" si="5"/>
        <v>Registered</v>
      </c>
      <c r="O2128" s="1" t="s">
        <v>19</v>
      </c>
      <c r="P2128" s="9" t="str">
        <f t="shared" si="6"/>
        <v>UK</v>
      </c>
      <c r="Q2128" s="8">
        <f t="shared" si="7"/>
        <v>22.95</v>
      </c>
    </row>
    <row r="2129">
      <c r="A2129" s="1">
        <v>544923.0</v>
      </c>
      <c r="B2129" s="1" t="str">
        <f t="shared" si="1"/>
        <v>544923</v>
      </c>
      <c r="C2129" s="1" t="str">
        <f t="shared" si="2"/>
        <v>Sale</v>
      </c>
      <c r="D2129" s="1">
        <v>22502.0</v>
      </c>
      <c r="E2129" s="1" t="str">
        <f>IFERROR(__xludf.DUMMYFUNCTION("IF(LEN(D2129)&gt;4, IFERROR(REGEXEXTRACT(TO_TEXT(D2129),""\d+""),""""),"""")"),"22502")</f>
        <v>22502</v>
      </c>
      <c r="F2129" s="6" t="str">
        <f t="shared" si="3"/>
        <v>Product</v>
      </c>
      <c r="G2129" s="1" t="s">
        <v>242</v>
      </c>
      <c r="H2129" s="6" t="str">
        <f>IFERROR(__xludf.DUMMYFUNCTION("IF(REGEXMATCH(LOWER(G2129), ""^(\?)+\s*(missing)?\s*(\?)*$""), """", PROPER(SUBSTITUTE(SUBSTITUTE(G2129, ""?"", """"), ""*"", """")))"),"Picnic Basket Wicker Small")</f>
        <v>Picnic Basket Wicker Small</v>
      </c>
      <c r="I2129" s="3">
        <v>16.0</v>
      </c>
      <c r="J2129" s="7">
        <v>40598.71805555555</v>
      </c>
      <c r="K2129" s="8" t="str">
        <f t="shared" si="4"/>
        <v>2011-02</v>
      </c>
      <c r="L2129" s="5">
        <v>4.95</v>
      </c>
      <c r="M2129" s="3">
        <v>12877.0</v>
      </c>
      <c r="N2129" s="1" t="str">
        <f t="shared" si="5"/>
        <v>Registered</v>
      </c>
      <c r="O2129" s="1" t="s">
        <v>19</v>
      </c>
      <c r="P2129" s="9" t="str">
        <f t="shared" si="6"/>
        <v>UK</v>
      </c>
      <c r="Q2129" s="8">
        <f t="shared" si="7"/>
        <v>79.2</v>
      </c>
    </row>
    <row r="2130">
      <c r="A2130" s="1">
        <v>544924.0</v>
      </c>
      <c r="B2130" s="1" t="str">
        <f t="shared" si="1"/>
        <v>544924</v>
      </c>
      <c r="C2130" s="1" t="str">
        <f t="shared" si="2"/>
        <v>Sale</v>
      </c>
      <c r="D2130" s="1">
        <v>21378.0</v>
      </c>
      <c r="E2130" s="1" t="str">
        <f>IFERROR(__xludf.DUMMYFUNCTION("IF(LEN(D2130)&gt;4, IFERROR(REGEXEXTRACT(TO_TEXT(D2130),""\d+""),""""),"""")"),"21378")</f>
        <v>21378</v>
      </c>
      <c r="F2130" s="6" t="str">
        <f t="shared" si="3"/>
        <v>Product</v>
      </c>
      <c r="G2130" s="1" t="s">
        <v>1174</v>
      </c>
      <c r="H2130" s="6" t="str">
        <f>IFERROR(__xludf.DUMMYFUNCTION("IF(REGEXMATCH(LOWER(G2130), ""^(\?)+\s*(missing)?\s*(\?)*$""), """", PROPER(SUBSTITUTE(SUBSTITUTE(G2130, ""?"", """"), ""*"", """")))"),"Small Tall Camphor Wood Toadstool")</f>
        <v>Small Tall Camphor Wood Toadstool</v>
      </c>
      <c r="I2130" s="3">
        <v>6.0</v>
      </c>
      <c r="J2130" s="7">
        <v>40598.72083333333</v>
      </c>
      <c r="K2130" s="8" t="str">
        <f t="shared" si="4"/>
        <v>2011-02</v>
      </c>
      <c r="L2130" s="5">
        <v>1.65</v>
      </c>
      <c r="M2130" s="3">
        <v>13851.0</v>
      </c>
      <c r="N2130" s="1" t="str">
        <f t="shared" si="5"/>
        <v>Registered</v>
      </c>
      <c r="O2130" s="1" t="s">
        <v>19</v>
      </c>
      <c r="P2130" s="9" t="str">
        <f t="shared" si="6"/>
        <v>UK</v>
      </c>
      <c r="Q2130" s="8">
        <f t="shared" si="7"/>
        <v>9.9</v>
      </c>
    </row>
    <row r="2131">
      <c r="A2131" s="1">
        <v>544924.0</v>
      </c>
      <c r="B2131" s="1" t="str">
        <f t="shared" si="1"/>
        <v>544924</v>
      </c>
      <c r="C2131" s="1" t="str">
        <f t="shared" si="2"/>
        <v>Sale</v>
      </c>
      <c r="D2131" s="1">
        <v>21379.0</v>
      </c>
      <c r="E2131" s="1" t="str">
        <f>IFERROR(__xludf.DUMMYFUNCTION("IF(LEN(D2131)&gt;4, IFERROR(REGEXEXTRACT(TO_TEXT(D2131),""\d+""),""""),"""")"),"21379")</f>
        <v>21379</v>
      </c>
      <c r="F2131" s="6" t="str">
        <f t="shared" si="3"/>
        <v>Product</v>
      </c>
      <c r="G2131" s="1" t="s">
        <v>1175</v>
      </c>
      <c r="H2131" s="6" t="str">
        <f>IFERROR(__xludf.DUMMYFUNCTION("IF(REGEXMATCH(LOWER(G2131), ""^(\?)+\s*(missing)?\s*(\?)*$""), """", PROPER(SUBSTITUTE(SUBSTITUTE(G2131, ""?"", """"), ""*"", """")))"),"Camphor Wood Portobello Mushroom")</f>
        <v>Camphor Wood Portobello Mushroom</v>
      </c>
      <c r="I2131" s="3">
        <v>6.0</v>
      </c>
      <c r="J2131" s="7">
        <v>40598.72083333333</v>
      </c>
      <c r="K2131" s="8" t="str">
        <f t="shared" si="4"/>
        <v>2011-02</v>
      </c>
      <c r="L2131" s="5">
        <v>1.25</v>
      </c>
      <c r="M2131" s="3">
        <v>13851.0</v>
      </c>
      <c r="N2131" s="1" t="str">
        <f t="shared" si="5"/>
        <v>Registered</v>
      </c>
      <c r="O2131" s="1" t="s">
        <v>19</v>
      </c>
      <c r="P2131" s="9" t="str">
        <f t="shared" si="6"/>
        <v>UK</v>
      </c>
      <c r="Q2131" s="8">
        <f t="shared" si="7"/>
        <v>7.5</v>
      </c>
    </row>
    <row r="2132">
      <c r="A2132" s="1">
        <v>544924.0</v>
      </c>
      <c r="B2132" s="1" t="str">
        <f t="shared" si="1"/>
        <v>544924</v>
      </c>
      <c r="C2132" s="1" t="str">
        <f t="shared" si="2"/>
        <v>Sale</v>
      </c>
      <c r="D2132" s="1">
        <v>21714.0</v>
      </c>
      <c r="E2132" s="1" t="str">
        <f>IFERROR(__xludf.DUMMYFUNCTION("IF(LEN(D2132)&gt;4, IFERROR(REGEXEXTRACT(TO_TEXT(D2132),""\d+""),""""),"""")"),"21714")</f>
        <v>21714</v>
      </c>
      <c r="F2132" s="6" t="str">
        <f t="shared" si="3"/>
        <v>Product</v>
      </c>
      <c r="G2132" s="1" t="s">
        <v>1176</v>
      </c>
      <c r="H2132" s="6" t="str">
        <f>IFERROR(__xludf.DUMMYFUNCTION("IF(REGEXMATCH(LOWER(G2132), ""^(\?)+\s*(missing)?\s*(\?)*$""), """", PROPER(SUBSTITUTE(SUBSTITUTE(G2132, ""?"", """"), ""*"", """")))"),"Citronella Candle Garden Pot")</f>
        <v>Citronella Candle Garden Pot</v>
      </c>
      <c r="I2132" s="3">
        <v>12.0</v>
      </c>
      <c r="J2132" s="7">
        <v>40598.72083333333</v>
      </c>
      <c r="K2132" s="8" t="str">
        <f t="shared" si="4"/>
        <v>2011-02</v>
      </c>
      <c r="L2132" s="5">
        <v>1.25</v>
      </c>
      <c r="M2132" s="3">
        <v>13851.0</v>
      </c>
      <c r="N2132" s="1" t="str">
        <f t="shared" si="5"/>
        <v>Registered</v>
      </c>
      <c r="O2132" s="1" t="s">
        <v>19</v>
      </c>
      <c r="P2132" s="9" t="str">
        <f t="shared" si="6"/>
        <v>UK</v>
      </c>
      <c r="Q2132" s="8">
        <f t="shared" si="7"/>
        <v>15</v>
      </c>
    </row>
    <row r="2133">
      <c r="A2133" s="1">
        <v>544924.0</v>
      </c>
      <c r="B2133" s="1" t="str">
        <f t="shared" si="1"/>
        <v>544924</v>
      </c>
      <c r="C2133" s="1" t="str">
        <f t="shared" si="2"/>
        <v>Sale</v>
      </c>
      <c r="D2133" s="1">
        <v>82482.0</v>
      </c>
      <c r="E2133" s="1" t="str">
        <f>IFERROR(__xludf.DUMMYFUNCTION("IF(LEN(D2133)&gt;4, IFERROR(REGEXEXTRACT(TO_TEXT(D2133),""\d+""),""""),"""")"),"82482")</f>
        <v>82482</v>
      </c>
      <c r="F2133" s="6" t="str">
        <f t="shared" si="3"/>
        <v>Product</v>
      </c>
      <c r="G2133" s="1" t="s">
        <v>78</v>
      </c>
      <c r="H2133" s="6" t="str">
        <f>IFERROR(__xludf.DUMMYFUNCTION("IF(REGEXMATCH(LOWER(G2133), ""^(\?)+\s*(missing)?\s*(\?)*$""), """", PROPER(SUBSTITUTE(SUBSTITUTE(G2133, ""?"", """"), ""*"", """")))"),"Wooden Picture Frame White Finish")</f>
        <v>Wooden Picture Frame White Finish</v>
      </c>
      <c r="I2133" s="3">
        <v>6.0</v>
      </c>
      <c r="J2133" s="7">
        <v>40598.72083333333</v>
      </c>
      <c r="K2133" s="8" t="str">
        <f t="shared" si="4"/>
        <v>2011-02</v>
      </c>
      <c r="L2133" s="5">
        <v>2.55</v>
      </c>
      <c r="M2133" s="3">
        <v>13851.0</v>
      </c>
      <c r="N2133" s="1" t="str">
        <f t="shared" si="5"/>
        <v>Registered</v>
      </c>
      <c r="O2133" s="1" t="s">
        <v>19</v>
      </c>
      <c r="P2133" s="9" t="str">
        <f t="shared" si="6"/>
        <v>UK</v>
      </c>
      <c r="Q2133" s="8">
        <f t="shared" si="7"/>
        <v>15.3</v>
      </c>
    </row>
    <row r="2134">
      <c r="A2134" s="1">
        <v>544924.0</v>
      </c>
      <c r="B2134" s="1" t="str">
        <f t="shared" si="1"/>
        <v>544924</v>
      </c>
      <c r="C2134" s="1" t="str">
        <f t="shared" si="2"/>
        <v>Sale</v>
      </c>
      <c r="D2134" s="1">
        <v>22766.0</v>
      </c>
      <c r="E2134" s="1" t="str">
        <f>IFERROR(__xludf.DUMMYFUNCTION("IF(LEN(D2134)&gt;4, IFERROR(REGEXEXTRACT(TO_TEXT(D2134),""\d+""),""""),"""")"),"22766")</f>
        <v>22766</v>
      </c>
      <c r="F2134" s="6" t="str">
        <f t="shared" si="3"/>
        <v>Product</v>
      </c>
      <c r="G2134" s="1" t="s">
        <v>274</v>
      </c>
      <c r="H2134" s="6" t="str">
        <f>IFERROR(__xludf.DUMMYFUNCTION("IF(REGEXMATCH(LOWER(G2134), ""^(\?)+\s*(missing)?\s*(\?)*$""), """", PROPER(SUBSTITUTE(SUBSTITUTE(G2134, ""?"", """"), ""*"", """")))"),"Photo Frame Cornice")</f>
        <v>Photo Frame Cornice</v>
      </c>
      <c r="I2134" s="3">
        <v>8.0</v>
      </c>
      <c r="J2134" s="7">
        <v>40598.72083333333</v>
      </c>
      <c r="K2134" s="8" t="str">
        <f t="shared" si="4"/>
        <v>2011-02</v>
      </c>
      <c r="L2134" s="5">
        <v>2.95</v>
      </c>
      <c r="M2134" s="3">
        <v>13851.0</v>
      </c>
      <c r="N2134" s="1" t="str">
        <f t="shared" si="5"/>
        <v>Registered</v>
      </c>
      <c r="O2134" s="1" t="s">
        <v>19</v>
      </c>
      <c r="P2134" s="9" t="str">
        <f t="shared" si="6"/>
        <v>UK</v>
      </c>
      <c r="Q2134" s="8">
        <f t="shared" si="7"/>
        <v>23.6</v>
      </c>
    </row>
    <row r="2135">
      <c r="A2135" s="1">
        <v>544924.0</v>
      </c>
      <c r="B2135" s="1" t="str">
        <f t="shared" si="1"/>
        <v>544924</v>
      </c>
      <c r="C2135" s="1" t="str">
        <f t="shared" si="2"/>
        <v>Sale</v>
      </c>
      <c r="D2135" s="1">
        <v>21983.0</v>
      </c>
      <c r="E2135" s="1" t="str">
        <f>IFERROR(__xludf.DUMMYFUNCTION("IF(LEN(D2135)&gt;4, IFERROR(REGEXEXTRACT(TO_TEXT(D2135),""\d+""),""""),"""")"),"21983")</f>
        <v>21983</v>
      </c>
      <c r="F2135" s="6" t="str">
        <f t="shared" si="3"/>
        <v>Product</v>
      </c>
      <c r="G2135" s="1" t="s">
        <v>230</v>
      </c>
      <c r="H2135" s="6" t="str">
        <f>IFERROR(__xludf.DUMMYFUNCTION("IF(REGEXMATCH(LOWER(G2135), ""^(\?)+\s*(missing)?\s*(\?)*$""), """", PROPER(SUBSTITUTE(SUBSTITUTE(G2135, ""?"", """"), ""*"", """")))"),"Pack Of 12 Blue Paisley Tissues")</f>
        <v>Pack Of 12 Blue Paisley Tissues</v>
      </c>
      <c r="I2135" s="3">
        <v>24.0</v>
      </c>
      <c r="J2135" s="7">
        <v>40598.72083333333</v>
      </c>
      <c r="K2135" s="8" t="str">
        <f t="shared" si="4"/>
        <v>2011-02</v>
      </c>
      <c r="L2135" s="5">
        <v>0.29</v>
      </c>
      <c r="M2135" s="3">
        <v>13851.0</v>
      </c>
      <c r="N2135" s="1" t="str">
        <f t="shared" si="5"/>
        <v>Registered</v>
      </c>
      <c r="O2135" s="1" t="s">
        <v>19</v>
      </c>
      <c r="P2135" s="9" t="str">
        <f t="shared" si="6"/>
        <v>UK</v>
      </c>
      <c r="Q2135" s="8">
        <f t="shared" si="7"/>
        <v>6.96</v>
      </c>
    </row>
    <row r="2136">
      <c r="A2136" s="1">
        <v>544924.0</v>
      </c>
      <c r="B2136" s="1" t="str">
        <f t="shared" si="1"/>
        <v>544924</v>
      </c>
      <c r="C2136" s="1" t="str">
        <f t="shared" si="2"/>
        <v>Sale</v>
      </c>
      <c r="D2136" s="1">
        <v>21980.0</v>
      </c>
      <c r="E2136" s="1" t="str">
        <f>IFERROR(__xludf.DUMMYFUNCTION("IF(LEN(D2136)&gt;4, IFERROR(REGEXEXTRACT(TO_TEXT(D2136),""\d+""),""""),"""")"),"21980")</f>
        <v>21980</v>
      </c>
      <c r="F2136" s="6" t="str">
        <f t="shared" si="3"/>
        <v>Product</v>
      </c>
      <c r="G2136" s="1" t="s">
        <v>231</v>
      </c>
      <c r="H2136" s="6" t="str">
        <f>IFERROR(__xludf.DUMMYFUNCTION("IF(REGEXMATCH(LOWER(G2136), ""^(\?)+\s*(missing)?\s*(\?)*$""), """", PROPER(SUBSTITUTE(SUBSTITUTE(G2136, ""?"", """"), ""*"", """")))"),"Pack Of 12 Red Retrospot Tissues")</f>
        <v>Pack Of 12 Red Retrospot Tissues</v>
      </c>
      <c r="I2136" s="3">
        <v>24.0</v>
      </c>
      <c r="J2136" s="7">
        <v>40598.72083333333</v>
      </c>
      <c r="K2136" s="8" t="str">
        <f t="shared" si="4"/>
        <v>2011-02</v>
      </c>
      <c r="L2136" s="5">
        <v>0.29</v>
      </c>
      <c r="M2136" s="3">
        <v>13851.0</v>
      </c>
      <c r="N2136" s="1" t="str">
        <f t="shared" si="5"/>
        <v>Registered</v>
      </c>
      <c r="O2136" s="1" t="s">
        <v>19</v>
      </c>
      <c r="P2136" s="9" t="str">
        <f t="shared" si="6"/>
        <v>UK</v>
      </c>
      <c r="Q2136" s="8">
        <f t="shared" si="7"/>
        <v>6.96</v>
      </c>
    </row>
    <row r="2137">
      <c r="A2137" s="1">
        <v>544924.0</v>
      </c>
      <c r="B2137" s="1" t="str">
        <f t="shared" si="1"/>
        <v>544924</v>
      </c>
      <c r="C2137" s="1" t="str">
        <f t="shared" si="2"/>
        <v>Sale</v>
      </c>
      <c r="D2137" s="1">
        <v>22441.0</v>
      </c>
      <c r="E2137" s="1" t="str">
        <f>IFERROR(__xludf.DUMMYFUNCTION("IF(LEN(D2137)&gt;4, IFERROR(REGEXEXTRACT(TO_TEXT(D2137),""\d+""),""""),"""")"),"22441")</f>
        <v>22441</v>
      </c>
      <c r="F2137" s="6" t="str">
        <f t="shared" si="3"/>
        <v>Product</v>
      </c>
      <c r="G2137" s="1" t="s">
        <v>301</v>
      </c>
      <c r="H2137" s="6" t="str">
        <f>IFERROR(__xludf.DUMMYFUNCTION("IF(REGEXMATCH(LOWER(G2137), ""^(\?)+\s*(missing)?\s*(\?)*$""), """", PROPER(SUBSTITUTE(SUBSTITUTE(G2137, ""?"", """"), ""*"", """")))"),"Grow Your Own Basil In Enamel Mug")</f>
        <v>Grow Your Own Basil In Enamel Mug</v>
      </c>
      <c r="I2137" s="3">
        <v>8.0</v>
      </c>
      <c r="J2137" s="7">
        <v>40598.72083333333</v>
      </c>
      <c r="K2137" s="8" t="str">
        <f t="shared" si="4"/>
        <v>2011-02</v>
      </c>
      <c r="L2137" s="5">
        <v>2.1</v>
      </c>
      <c r="M2137" s="3">
        <v>13851.0</v>
      </c>
      <c r="N2137" s="1" t="str">
        <f t="shared" si="5"/>
        <v>Registered</v>
      </c>
      <c r="O2137" s="1" t="s">
        <v>19</v>
      </c>
      <c r="P2137" s="9" t="str">
        <f t="shared" si="6"/>
        <v>UK</v>
      </c>
      <c r="Q2137" s="8">
        <f t="shared" si="7"/>
        <v>16.8</v>
      </c>
    </row>
    <row r="2138">
      <c r="A2138" s="1">
        <v>544924.0</v>
      </c>
      <c r="B2138" s="1" t="str">
        <f t="shared" si="1"/>
        <v>544924</v>
      </c>
      <c r="C2138" s="1" t="str">
        <f t="shared" si="2"/>
        <v>Sale</v>
      </c>
      <c r="D2138" s="1">
        <v>22652.0</v>
      </c>
      <c r="E2138" s="1" t="str">
        <f>IFERROR(__xludf.DUMMYFUNCTION("IF(LEN(D2138)&gt;4, IFERROR(REGEXEXTRACT(TO_TEXT(D2138),""\d+""),""""),"""")"),"22652")</f>
        <v>22652</v>
      </c>
      <c r="F2138" s="6" t="str">
        <f t="shared" si="3"/>
        <v>Product</v>
      </c>
      <c r="G2138" s="1" t="s">
        <v>252</v>
      </c>
      <c r="H2138" s="6" t="str">
        <f>IFERROR(__xludf.DUMMYFUNCTION("IF(REGEXMATCH(LOWER(G2138), ""^(\?)+\s*(missing)?\s*(\?)*$""), """", PROPER(SUBSTITUTE(SUBSTITUTE(G2138, ""?"", """"), ""*"", """")))"),"Travel Sewing Kit")</f>
        <v>Travel Sewing Kit</v>
      </c>
      <c r="I2138" s="3">
        <v>10.0</v>
      </c>
      <c r="J2138" s="7">
        <v>40598.72083333333</v>
      </c>
      <c r="K2138" s="8" t="str">
        <f t="shared" si="4"/>
        <v>2011-02</v>
      </c>
      <c r="L2138" s="5">
        <v>1.65</v>
      </c>
      <c r="M2138" s="3">
        <v>13851.0</v>
      </c>
      <c r="N2138" s="1" t="str">
        <f t="shared" si="5"/>
        <v>Registered</v>
      </c>
      <c r="O2138" s="1" t="s">
        <v>19</v>
      </c>
      <c r="P2138" s="9" t="str">
        <f t="shared" si="6"/>
        <v>UK</v>
      </c>
      <c r="Q2138" s="8">
        <f t="shared" si="7"/>
        <v>16.5</v>
      </c>
    </row>
    <row r="2139">
      <c r="A2139" s="1">
        <v>544924.0</v>
      </c>
      <c r="B2139" s="1" t="str">
        <f t="shared" si="1"/>
        <v>544924</v>
      </c>
      <c r="C2139" s="1" t="str">
        <f t="shared" si="2"/>
        <v>Sale</v>
      </c>
      <c r="D2139" s="1">
        <v>20972.0</v>
      </c>
      <c r="E2139" s="1" t="str">
        <f>IFERROR(__xludf.DUMMYFUNCTION("IF(LEN(D2139)&gt;4, IFERROR(REGEXEXTRACT(TO_TEXT(D2139),""\d+""),""""),"""")"),"20972")</f>
        <v>20972</v>
      </c>
      <c r="F2139" s="6" t="str">
        <f t="shared" si="3"/>
        <v>Product</v>
      </c>
      <c r="G2139" s="1" t="s">
        <v>759</v>
      </c>
      <c r="H2139" s="6" t="str">
        <f>IFERROR(__xludf.DUMMYFUNCTION("IF(REGEXMATCH(LOWER(G2139), ""^(\?)+\s*(missing)?\s*(\?)*$""), """", PROPER(SUBSTITUTE(SUBSTITUTE(G2139, ""?"", """"), ""*"", """")))"),"Pink Cream Felt Craft Trinket Box")</f>
        <v>Pink Cream Felt Craft Trinket Box</v>
      </c>
      <c r="I2139" s="3">
        <v>12.0</v>
      </c>
      <c r="J2139" s="7">
        <v>40598.72083333333</v>
      </c>
      <c r="K2139" s="8" t="str">
        <f t="shared" si="4"/>
        <v>2011-02</v>
      </c>
      <c r="L2139" s="5">
        <v>1.25</v>
      </c>
      <c r="M2139" s="3">
        <v>13851.0</v>
      </c>
      <c r="N2139" s="1" t="str">
        <f t="shared" si="5"/>
        <v>Registered</v>
      </c>
      <c r="O2139" s="1" t="s">
        <v>19</v>
      </c>
      <c r="P2139" s="9" t="str">
        <f t="shared" si="6"/>
        <v>UK</v>
      </c>
      <c r="Q2139" s="8">
        <f t="shared" si="7"/>
        <v>15</v>
      </c>
    </row>
    <row r="2140">
      <c r="A2140" s="1">
        <v>544924.0</v>
      </c>
      <c r="B2140" s="1" t="str">
        <f t="shared" si="1"/>
        <v>544924</v>
      </c>
      <c r="C2140" s="1" t="str">
        <f t="shared" si="2"/>
        <v>Sale</v>
      </c>
      <c r="D2140" s="1">
        <v>22149.0</v>
      </c>
      <c r="E2140" s="1" t="str">
        <f>IFERROR(__xludf.DUMMYFUNCTION("IF(LEN(D2140)&gt;4, IFERROR(REGEXEXTRACT(TO_TEXT(D2140),""\d+""),""""),"""")"),"22149")</f>
        <v>22149</v>
      </c>
      <c r="F2140" s="6" t="str">
        <f t="shared" si="3"/>
        <v>Product</v>
      </c>
      <c r="G2140" s="1" t="s">
        <v>478</v>
      </c>
      <c r="H2140" s="6" t="str">
        <f>IFERROR(__xludf.DUMMYFUNCTION("IF(REGEXMATCH(LOWER(G2140), ""^(\?)+\s*(missing)?\s*(\?)*$""), """", PROPER(SUBSTITUTE(SUBSTITUTE(G2140, ""?"", """"), ""*"", """")))"),"Feltcraft 6 Flower Friends")</f>
        <v>Feltcraft 6 Flower Friends</v>
      </c>
      <c r="I2140" s="3">
        <v>6.0</v>
      </c>
      <c r="J2140" s="7">
        <v>40598.72083333333</v>
      </c>
      <c r="K2140" s="8" t="str">
        <f t="shared" si="4"/>
        <v>2011-02</v>
      </c>
      <c r="L2140" s="5">
        <v>2.1</v>
      </c>
      <c r="M2140" s="3">
        <v>13851.0</v>
      </c>
      <c r="N2140" s="1" t="str">
        <f t="shared" si="5"/>
        <v>Registered</v>
      </c>
      <c r="O2140" s="1" t="s">
        <v>19</v>
      </c>
      <c r="P2140" s="9" t="str">
        <f t="shared" si="6"/>
        <v>UK</v>
      </c>
      <c r="Q2140" s="8">
        <f t="shared" si="7"/>
        <v>12.6</v>
      </c>
    </row>
    <row r="2141">
      <c r="A2141" s="1">
        <v>544924.0</v>
      </c>
      <c r="B2141" s="1" t="str">
        <f t="shared" si="1"/>
        <v>544924</v>
      </c>
      <c r="C2141" s="1" t="str">
        <f t="shared" si="2"/>
        <v>Sale</v>
      </c>
      <c r="D2141" s="1">
        <v>22271.0</v>
      </c>
      <c r="E2141" s="1" t="str">
        <f>IFERROR(__xludf.DUMMYFUNCTION("IF(LEN(D2141)&gt;4, IFERROR(REGEXEXTRACT(TO_TEXT(D2141),""\d+""),""""),"""")"),"22271")</f>
        <v>22271</v>
      </c>
      <c r="F2141" s="6" t="str">
        <f t="shared" si="3"/>
        <v>Product</v>
      </c>
      <c r="G2141" s="1" t="s">
        <v>449</v>
      </c>
      <c r="H2141" s="6" t="str">
        <f>IFERROR(__xludf.DUMMYFUNCTION("IF(REGEXMATCH(LOWER(G2141), ""^(\?)+\s*(missing)?\s*(\?)*$""), """", PROPER(SUBSTITUTE(SUBSTITUTE(G2141, ""?"", """"), ""*"", """")))"),"Feltcraft Doll Rosie")</f>
        <v>Feltcraft Doll Rosie</v>
      </c>
      <c r="I2141" s="3">
        <v>6.0</v>
      </c>
      <c r="J2141" s="7">
        <v>40598.72083333333</v>
      </c>
      <c r="K2141" s="8" t="str">
        <f t="shared" si="4"/>
        <v>2011-02</v>
      </c>
      <c r="L2141" s="5">
        <v>2.95</v>
      </c>
      <c r="M2141" s="3">
        <v>13851.0</v>
      </c>
      <c r="N2141" s="1" t="str">
        <f t="shared" si="5"/>
        <v>Registered</v>
      </c>
      <c r="O2141" s="1" t="s">
        <v>19</v>
      </c>
      <c r="P2141" s="9" t="str">
        <f t="shared" si="6"/>
        <v>UK</v>
      </c>
      <c r="Q2141" s="8">
        <f t="shared" si="7"/>
        <v>17.7</v>
      </c>
    </row>
    <row r="2142">
      <c r="A2142" s="1">
        <v>544924.0</v>
      </c>
      <c r="B2142" s="1" t="str">
        <f t="shared" si="1"/>
        <v>544924</v>
      </c>
      <c r="C2142" s="1" t="str">
        <f t="shared" si="2"/>
        <v>Sale</v>
      </c>
      <c r="D2142" s="1">
        <v>22568.0</v>
      </c>
      <c r="E2142" s="1" t="str">
        <f>IFERROR(__xludf.DUMMYFUNCTION("IF(LEN(D2142)&gt;4, IFERROR(REGEXEXTRACT(TO_TEXT(D2142),""\d+""),""""),"""")"),"22568")</f>
        <v>22568</v>
      </c>
      <c r="F2142" s="6" t="str">
        <f t="shared" si="3"/>
        <v>Product</v>
      </c>
      <c r="G2142" s="1" t="s">
        <v>395</v>
      </c>
      <c r="H2142" s="6" t="str">
        <f>IFERROR(__xludf.DUMMYFUNCTION("IF(REGEXMATCH(LOWER(G2142), ""^(\?)+\s*(missing)?\s*(\?)*$""), """", PROPER(SUBSTITUTE(SUBSTITUTE(G2142, ""?"", """"), ""*"", """")))"),"Feltcraft Cushion Owl")</f>
        <v>Feltcraft Cushion Owl</v>
      </c>
      <c r="I2142" s="3">
        <v>4.0</v>
      </c>
      <c r="J2142" s="7">
        <v>40598.72083333333</v>
      </c>
      <c r="K2142" s="8" t="str">
        <f t="shared" si="4"/>
        <v>2011-02</v>
      </c>
      <c r="L2142" s="5">
        <v>3.75</v>
      </c>
      <c r="M2142" s="3">
        <v>13851.0</v>
      </c>
      <c r="N2142" s="1" t="str">
        <f t="shared" si="5"/>
        <v>Registered</v>
      </c>
      <c r="O2142" s="1" t="s">
        <v>19</v>
      </c>
      <c r="P2142" s="9" t="str">
        <f t="shared" si="6"/>
        <v>UK</v>
      </c>
      <c r="Q2142" s="8">
        <f t="shared" si="7"/>
        <v>15</v>
      </c>
    </row>
    <row r="2143">
      <c r="A2143" s="1">
        <v>544924.0</v>
      </c>
      <c r="B2143" s="1" t="str">
        <f t="shared" si="1"/>
        <v>544924</v>
      </c>
      <c r="C2143" s="1" t="str">
        <f t="shared" si="2"/>
        <v>Sale</v>
      </c>
      <c r="D2143" s="1">
        <v>22273.0</v>
      </c>
      <c r="E2143" s="1" t="str">
        <f>IFERROR(__xludf.DUMMYFUNCTION("IF(LEN(D2143)&gt;4, IFERROR(REGEXEXTRACT(TO_TEXT(D2143),""\d+""),""""),"""")"),"22273")</f>
        <v>22273</v>
      </c>
      <c r="F2143" s="6" t="str">
        <f t="shared" si="3"/>
        <v>Product</v>
      </c>
      <c r="G2143" s="1" t="s">
        <v>438</v>
      </c>
      <c r="H2143" s="6" t="str">
        <f>IFERROR(__xludf.DUMMYFUNCTION("IF(REGEXMATCH(LOWER(G2143), ""^(\?)+\s*(missing)?\s*(\?)*$""), """", PROPER(SUBSTITUTE(SUBSTITUTE(G2143, ""?"", """"), ""*"", """")))"),"Feltcraft Doll Molly")</f>
        <v>Feltcraft Doll Molly</v>
      </c>
      <c r="I2143" s="3">
        <v>6.0</v>
      </c>
      <c r="J2143" s="7">
        <v>40598.72083333333</v>
      </c>
      <c r="K2143" s="8" t="str">
        <f t="shared" si="4"/>
        <v>2011-02</v>
      </c>
      <c r="L2143" s="5">
        <v>2.95</v>
      </c>
      <c r="M2143" s="3">
        <v>13851.0</v>
      </c>
      <c r="N2143" s="1" t="str">
        <f t="shared" si="5"/>
        <v>Registered</v>
      </c>
      <c r="O2143" s="1" t="s">
        <v>19</v>
      </c>
      <c r="P2143" s="9" t="str">
        <f t="shared" si="6"/>
        <v>UK</v>
      </c>
      <c r="Q2143" s="8">
        <f t="shared" si="7"/>
        <v>17.7</v>
      </c>
    </row>
    <row r="2144">
      <c r="A2144" s="1">
        <v>544924.0</v>
      </c>
      <c r="B2144" s="1" t="str">
        <f t="shared" si="1"/>
        <v>544924</v>
      </c>
      <c r="C2144" s="1" t="str">
        <f t="shared" si="2"/>
        <v>Sale</v>
      </c>
      <c r="D2144" s="1">
        <v>22570.0</v>
      </c>
      <c r="E2144" s="1" t="str">
        <f>IFERROR(__xludf.DUMMYFUNCTION("IF(LEN(D2144)&gt;4, IFERROR(REGEXEXTRACT(TO_TEXT(D2144),""\d+""),""""),"""")"),"22570")</f>
        <v>22570</v>
      </c>
      <c r="F2144" s="6" t="str">
        <f t="shared" si="3"/>
        <v>Product</v>
      </c>
      <c r="G2144" s="1" t="s">
        <v>453</v>
      </c>
      <c r="H2144" s="6" t="str">
        <f>IFERROR(__xludf.DUMMYFUNCTION("IF(REGEXMATCH(LOWER(G2144), ""^(\?)+\s*(missing)?\s*(\?)*$""), """", PROPER(SUBSTITUTE(SUBSTITUTE(G2144, ""?"", """"), ""*"", """")))"),"Feltcraft Cushion Rabbit")</f>
        <v>Feltcraft Cushion Rabbit</v>
      </c>
      <c r="I2144" s="3">
        <v>4.0</v>
      </c>
      <c r="J2144" s="7">
        <v>40598.72083333333</v>
      </c>
      <c r="K2144" s="8" t="str">
        <f t="shared" si="4"/>
        <v>2011-02</v>
      </c>
      <c r="L2144" s="5">
        <v>3.75</v>
      </c>
      <c r="M2144" s="3">
        <v>13851.0</v>
      </c>
      <c r="N2144" s="1" t="str">
        <f t="shared" si="5"/>
        <v>Registered</v>
      </c>
      <c r="O2144" s="1" t="s">
        <v>19</v>
      </c>
      <c r="P2144" s="9" t="str">
        <f t="shared" si="6"/>
        <v>UK</v>
      </c>
      <c r="Q2144" s="8">
        <f t="shared" si="7"/>
        <v>15</v>
      </c>
    </row>
    <row r="2145">
      <c r="A2145" s="1">
        <v>544924.0</v>
      </c>
      <c r="B2145" s="1" t="str">
        <f t="shared" si="1"/>
        <v>544924</v>
      </c>
      <c r="C2145" s="1" t="str">
        <f t="shared" si="2"/>
        <v>Sale</v>
      </c>
      <c r="D2145" s="1">
        <v>22749.0</v>
      </c>
      <c r="E2145" s="1" t="str">
        <f>IFERROR(__xludf.DUMMYFUNCTION("IF(LEN(D2145)&gt;4, IFERROR(REGEXEXTRACT(TO_TEXT(D2145),""\d+""),""""),"""")"),"22749")</f>
        <v>22749</v>
      </c>
      <c r="F2145" s="6" t="str">
        <f t="shared" si="3"/>
        <v>Product</v>
      </c>
      <c r="G2145" s="1" t="s">
        <v>34</v>
      </c>
      <c r="H2145" s="6" t="str">
        <f>IFERROR(__xludf.DUMMYFUNCTION("IF(REGEXMATCH(LOWER(G2145), ""^(\?)+\s*(missing)?\s*(\?)*$""), """", PROPER(SUBSTITUTE(SUBSTITUTE(G2145, ""?"", """"), ""*"", """")))"),"Feltcraft Princess Charlotte Doll")</f>
        <v>Feltcraft Princess Charlotte Doll</v>
      </c>
      <c r="I2145" s="3">
        <v>4.0</v>
      </c>
      <c r="J2145" s="7">
        <v>40598.72083333333</v>
      </c>
      <c r="K2145" s="8" t="str">
        <f t="shared" si="4"/>
        <v>2011-02</v>
      </c>
      <c r="L2145" s="5">
        <v>3.75</v>
      </c>
      <c r="M2145" s="3">
        <v>13851.0</v>
      </c>
      <c r="N2145" s="1" t="str">
        <f t="shared" si="5"/>
        <v>Registered</v>
      </c>
      <c r="O2145" s="1" t="s">
        <v>19</v>
      </c>
      <c r="P2145" s="9" t="str">
        <f t="shared" si="6"/>
        <v>UK</v>
      </c>
      <c r="Q2145" s="8">
        <f t="shared" si="7"/>
        <v>15</v>
      </c>
    </row>
    <row r="2146">
      <c r="A2146" s="1">
        <v>544924.0</v>
      </c>
      <c r="B2146" s="1" t="str">
        <f t="shared" si="1"/>
        <v>544924</v>
      </c>
      <c r="C2146" s="1" t="str">
        <f t="shared" si="2"/>
        <v>Sale</v>
      </c>
      <c r="D2146" s="1">
        <v>47566.0</v>
      </c>
      <c r="E2146" s="1" t="str">
        <f>IFERROR(__xludf.DUMMYFUNCTION("IF(LEN(D2146)&gt;4, IFERROR(REGEXEXTRACT(TO_TEXT(D2146),""\d+""),""""),"""")"),"47566")</f>
        <v>47566</v>
      </c>
      <c r="F2146" s="6" t="str">
        <f t="shared" si="3"/>
        <v>Product</v>
      </c>
      <c r="G2146" s="1" t="s">
        <v>1002</v>
      </c>
      <c r="H2146" s="6" t="str">
        <f>IFERROR(__xludf.DUMMYFUNCTION("IF(REGEXMATCH(LOWER(G2146), ""^(\?)+\s*(missing)?\s*(\?)*$""), """", PROPER(SUBSTITUTE(SUBSTITUTE(G2146, ""?"", """"), ""*"", """")))"),"Party Bunting")</f>
        <v>Party Bunting</v>
      </c>
      <c r="I2146" s="3">
        <v>4.0</v>
      </c>
      <c r="J2146" s="7">
        <v>40598.72083333333</v>
      </c>
      <c r="K2146" s="8" t="str">
        <f t="shared" si="4"/>
        <v>2011-02</v>
      </c>
      <c r="L2146" s="5">
        <v>4.95</v>
      </c>
      <c r="M2146" s="3">
        <v>13851.0</v>
      </c>
      <c r="N2146" s="1" t="str">
        <f t="shared" si="5"/>
        <v>Registered</v>
      </c>
      <c r="O2146" s="1" t="s">
        <v>19</v>
      </c>
      <c r="P2146" s="9" t="str">
        <f t="shared" si="6"/>
        <v>UK</v>
      </c>
      <c r="Q2146" s="8">
        <f t="shared" si="7"/>
        <v>19.8</v>
      </c>
    </row>
    <row r="2147">
      <c r="A2147" s="1">
        <v>544925.0</v>
      </c>
      <c r="B2147" s="1" t="str">
        <f t="shared" si="1"/>
        <v>544925</v>
      </c>
      <c r="C2147" s="1" t="str">
        <f t="shared" si="2"/>
        <v>Sale</v>
      </c>
      <c r="D2147" s="1" t="s">
        <v>181</v>
      </c>
      <c r="E2147" s="1" t="str">
        <f>IFERROR(__xludf.DUMMYFUNCTION("IF(LEN(D2147)&gt;4, IFERROR(REGEXEXTRACT(TO_TEXT(D2147),""\d+""),""""),"""")"),"85099")</f>
        <v>85099</v>
      </c>
      <c r="F2147" s="6" t="str">
        <f t="shared" si="3"/>
        <v>Product</v>
      </c>
      <c r="G2147" s="1" t="s">
        <v>182</v>
      </c>
      <c r="H2147" s="6" t="str">
        <f>IFERROR(__xludf.DUMMYFUNCTION("IF(REGEXMATCH(LOWER(G2147), ""^(\?)+\s*(missing)?\s*(\?)*$""), """", PROPER(SUBSTITUTE(SUBSTITUTE(G2147, ""?"", """"), ""*"", """")))"),"Jumbo Bag Red Retrospot")</f>
        <v>Jumbo Bag Red Retrospot</v>
      </c>
      <c r="I2147" s="3">
        <v>20.0</v>
      </c>
      <c r="J2147" s="7">
        <v>40598.72777777778</v>
      </c>
      <c r="K2147" s="8" t="str">
        <f t="shared" si="4"/>
        <v>2011-02</v>
      </c>
      <c r="L2147" s="5">
        <v>1.95</v>
      </c>
      <c r="M2147" s="3">
        <v>16997.0</v>
      </c>
      <c r="N2147" s="1" t="str">
        <f t="shared" si="5"/>
        <v>Registered</v>
      </c>
      <c r="O2147" s="1" t="s">
        <v>19</v>
      </c>
      <c r="P2147" s="9" t="str">
        <f t="shared" si="6"/>
        <v>UK</v>
      </c>
      <c r="Q2147" s="8">
        <f t="shared" si="7"/>
        <v>39</v>
      </c>
    </row>
    <row r="2148">
      <c r="A2148" s="1">
        <v>544925.0</v>
      </c>
      <c r="B2148" s="1" t="str">
        <f t="shared" si="1"/>
        <v>544925</v>
      </c>
      <c r="C2148" s="1" t="str">
        <f t="shared" si="2"/>
        <v>Sale</v>
      </c>
      <c r="D2148" s="1">
        <v>21928.0</v>
      </c>
      <c r="E2148" s="1" t="str">
        <f>IFERROR(__xludf.DUMMYFUNCTION("IF(LEN(D2148)&gt;4, IFERROR(REGEXEXTRACT(TO_TEXT(D2148),""\d+""),""""),"""")"),"21928")</f>
        <v>21928</v>
      </c>
      <c r="F2148" s="6" t="str">
        <f t="shared" si="3"/>
        <v>Product</v>
      </c>
      <c r="G2148" s="1" t="s">
        <v>1177</v>
      </c>
      <c r="H2148" s="6" t="str">
        <f>IFERROR(__xludf.DUMMYFUNCTION("IF(REGEXMATCH(LOWER(G2148), ""^(\?)+\s*(missing)?\s*(\?)*$""), """", PROPER(SUBSTITUTE(SUBSTITUTE(G2148, ""?"", """"), ""*"", """")))"),"Jumbo Bag Scandinavian Blue Paisley")</f>
        <v>Jumbo Bag Scandinavian Blue Paisley</v>
      </c>
      <c r="I2148" s="3">
        <v>40.0</v>
      </c>
      <c r="J2148" s="7">
        <v>40598.72777777778</v>
      </c>
      <c r="K2148" s="8" t="str">
        <f t="shared" si="4"/>
        <v>2011-02</v>
      </c>
      <c r="L2148" s="5">
        <v>1.95</v>
      </c>
      <c r="M2148" s="3">
        <v>16997.0</v>
      </c>
      <c r="N2148" s="1" t="str">
        <f t="shared" si="5"/>
        <v>Registered</v>
      </c>
      <c r="O2148" s="1" t="s">
        <v>19</v>
      </c>
      <c r="P2148" s="9" t="str">
        <f t="shared" si="6"/>
        <v>UK</v>
      </c>
      <c r="Q2148" s="8">
        <f t="shared" si="7"/>
        <v>78</v>
      </c>
    </row>
    <row r="2149">
      <c r="A2149" s="1">
        <v>544925.0</v>
      </c>
      <c r="B2149" s="1" t="str">
        <f t="shared" si="1"/>
        <v>544925</v>
      </c>
      <c r="C2149" s="1" t="str">
        <f t="shared" si="2"/>
        <v>Sale</v>
      </c>
      <c r="D2149" s="1">
        <v>21929.0</v>
      </c>
      <c r="E2149" s="1" t="str">
        <f>IFERROR(__xludf.DUMMYFUNCTION("IF(LEN(D2149)&gt;4, IFERROR(REGEXEXTRACT(TO_TEXT(D2149),""\d+""),""""),"""")"),"21929")</f>
        <v>21929</v>
      </c>
      <c r="F2149" s="6" t="str">
        <f t="shared" si="3"/>
        <v>Product</v>
      </c>
      <c r="G2149" s="1" t="s">
        <v>108</v>
      </c>
      <c r="H2149" s="6" t="str">
        <f>IFERROR(__xludf.DUMMYFUNCTION("IF(REGEXMATCH(LOWER(G2149), ""^(\?)+\s*(missing)?\s*(\?)*$""), """", PROPER(SUBSTITUTE(SUBSTITUTE(G2149, ""?"", """"), ""*"", """")))"),"Jumbo Bag Pink Vintage Paisley")</f>
        <v>Jumbo Bag Pink Vintage Paisley</v>
      </c>
      <c r="I2149" s="3">
        <v>30.0</v>
      </c>
      <c r="J2149" s="7">
        <v>40598.72777777778</v>
      </c>
      <c r="K2149" s="8" t="str">
        <f t="shared" si="4"/>
        <v>2011-02</v>
      </c>
      <c r="L2149" s="5">
        <v>1.95</v>
      </c>
      <c r="M2149" s="3">
        <v>16997.0</v>
      </c>
      <c r="N2149" s="1" t="str">
        <f t="shared" si="5"/>
        <v>Registered</v>
      </c>
      <c r="O2149" s="1" t="s">
        <v>19</v>
      </c>
      <c r="P2149" s="9" t="str">
        <f t="shared" si="6"/>
        <v>UK</v>
      </c>
      <c r="Q2149" s="8">
        <f t="shared" si="7"/>
        <v>58.5</v>
      </c>
    </row>
    <row r="2150">
      <c r="A2150" s="1">
        <v>544925.0</v>
      </c>
      <c r="B2150" s="1" t="str">
        <f t="shared" si="1"/>
        <v>544925</v>
      </c>
      <c r="C2150" s="1" t="str">
        <f t="shared" si="2"/>
        <v>Sale</v>
      </c>
      <c r="D2150" s="1">
        <v>20712.0</v>
      </c>
      <c r="E2150" s="1" t="str">
        <f>IFERROR(__xludf.DUMMYFUNCTION("IF(LEN(D2150)&gt;4, IFERROR(REGEXEXTRACT(TO_TEXT(D2150),""\d+""),""""),"""")"),"20712")</f>
        <v>20712</v>
      </c>
      <c r="F2150" s="6" t="str">
        <f t="shared" si="3"/>
        <v>Product</v>
      </c>
      <c r="G2150" s="1" t="s">
        <v>698</v>
      </c>
      <c r="H2150" s="6" t="str">
        <f>IFERROR(__xludf.DUMMYFUNCTION("IF(REGEXMATCH(LOWER(G2150), ""^(\?)+\s*(missing)?\s*(\?)*$""), """", PROPER(SUBSTITUTE(SUBSTITUTE(G2150, ""?"", """"), ""*"", """")))"),"Jumbo Bag Woodland Animals")</f>
        <v>Jumbo Bag Woodland Animals</v>
      </c>
      <c r="I2150" s="3">
        <v>30.0</v>
      </c>
      <c r="J2150" s="7">
        <v>40598.72777777778</v>
      </c>
      <c r="K2150" s="8" t="str">
        <f t="shared" si="4"/>
        <v>2011-02</v>
      </c>
      <c r="L2150" s="5">
        <v>1.95</v>
      </c>
      <c r="M2150" s="3">
        <v>16997.0</v>
      </c>
      <c r="N2150" s="1" t="str">
        <f t="shared" si="5"/>
        <v>Registered</v>
      </c>
      <c r="O2150" s="1" t="s">
        <v>19</v>
      </c>
      <c r="P2150" s="9" t="str">
        <f t="shared" si="6"/>
        <v>UK</v>
      </c>
      <c r="Q2150" s="8">
        <f t="shared" si="7"/>
        <v>58.5</v>
      </c>
    </row>
    <row r="2151">
      <c r="A2151" s="1">
        <v>544926.0</v>
      </c>
      <c r="B2151" s="1" t="str">
        <f t="shared" si="1"/>
        <v>544926</v>
      </c>
      <c r="C2151" s="1" t="str">
        <f t="shared" si="2"/>
        <v>Sale</v>
      </c>
      <c r="D2151" s="1">
        <v>37450.0</v>
      </c>
      <c r="E2151" s="1" t="str">
        <f>IFERROR(__xludf.DUMMYFUNCTION("IF(LEN(D2151)&gt;4, IFERROR(REGEXEXTRACT(TO_TEXT(D2151),""\d+""),""""),"""")"),"37450")</f>
        <v>37450</v>
      </c>
      <c r="F2151" s="6" t="str">
        <f t="shared" si="3"/>
        <v>Product</v>
      </c>
      <c r="G2151" s="1" t="s">
        <v>1178</v>
      </c>
      <c r="H2151" s="6" t="str">
        <f>IFERROR(__xludf.DUMMYFUNCTION("IF(REGEXMATCH(LOWER(G2151), ""^(\?)+\s*(missing)?\s*(\?)*$""), """", PROPER(SUBSTITUTE(SUBSTITUTE(G2151, ""?"", """"), ""*"", """")))"),"Ceramic Cake Bowl + Hanging Cakes")</f>
        <v>Ceramic Cake Bowl + Hanging Cakes</v>
      </c>
      <c r="I2151" s="3">
        <v>6.0</v>
      </c>
      <c r="J2151" s="7">
        <v>40598.743055555555</v>
      </c>
      <c r="K2151" s="8" t="str">
        <f t="shared" si="4"/>
        <v>2011-02</v>
      </c>
      <c r="L2151" s="5">
        <v>2.95</v>
      </c>
      <c r="M2151" s="3">
        <v>13468.0</v>
      </c>
      <c r="N2151" s="1" t="str">
        <f t="shared" si="5"/>
        <v>Registered</v>
      </c>
      <c r="O2151" s="1" t="s">
        <v>19</v>
      </c>
      <c r="P2151" s="9" t="str">
        <f t="shared" si="6"/>
        <v>UK</v>
      </c>
      <c r="Q2151" s="8">
        <f t="shared" si="7"/>
        <v>17.7</v>
      </c>
    </row>
    <row r="2152">
      <c r="A2152" s="1">
        <v>544926.0</v>
      </c>
      <c r="B2152" s="1" t="str">
        <f t="shared" si="1"/>
        <v>544926</v>
      </c>
      <c r="C2152" s="1" t="str">
        <f t="shared" si="2"/>
        <v>Sale</v>
      </c>
      <c r="D2152" s="1">
        <v>79321.0</v>
      </c>
      <c r="E2152" s="1" t="str">
        <f>IFERROR(__xludf.DUMMYFUNCTION("IF(LEN(D2152)&gt;4, IFERROR(REGEXEXTRACT(TO_TEXT(D2152),""\d+""),""""),"""")"),"79321")</f>
        <v>79321</v>
      </c>
      <c r="F2152" s="6" t="str">
        <f t="shared" si="3"/>
        <v>Product</v>
      </c>
      <c r="G2152" s="1" t="s">
        <v>183</v>
      </c>
      <c r="H2152" s="6" t="str">
        <f>IFERROR(__xludf.DUMMYFUNCTION("IF(REGEXMATCH(LOWER(G2152), ""^(\?)+\s*(missing)?\s*(\?)*$""), """", PROPER(SUBSTITUTE(SUBSTITUTE(G2152, ""?"", """"), ""*"", """")))"),"Chilli Lights")</f>
        <v>Chilli Lights</v>
      </c>
      <c r="I2152" s="3">
        <v>4.0</v>
      </c>
      <c r="J2152" s="7">
        <v>40598.743055555555</v>
      </c>
      <c r="K2152" s="8" t="str">
        <f t="shared" si="4"/>
        <v>2011-02</v>
      </c>
      <c r="L2152" s="5">
        <v>5.75</v>
      </c>
      <c r="M2152" s="3">
        <v>13468.0</v>
      </c>
      <c r="N2152" s="1" t="str">
        <f t="shared" si="5"/>
        <v>Registered</v>
      </c>
      <c r="O2152" s="1" t="s">
        <v>19</v>
      </c>
      <c r="P2152" s="9" t="str">
        <f t="shared" si="6"/>
        <v>UK</v>
      </c>
      <c r="Q2152" s="8">
        <f t="shared" si="7"/>
        <v>23</v>
      </c>
    </row>
    <row r="2153">
      <c r="A2153" s="1">
        <v>544926.0</v>
      </c>
      <c r="B2153" s="1" t="str">
        <f t="shared" si="1"/>
        <v>544926</v>
      </c>
      <c r="C2153" s="1" t="str">
        <f t="shared" si="2"/>
        <v>Sale</v>
      </c>
      <c r="D2153" s="1" t="s">
        <v>17</v>
      </c>
      <c r="E2153" s="1" t="str">
        <f>IFERROR(__xludf.DUMMYFUNCTION("IF(LEN(D2153)&gt;4, IFERROR(REGEXEXTRACT(TO_TEXT(D2153),""\d+""),""""),"""")"),"85123")</f>
        <v>85123</v>
      </c>
      <c r="F2153" s="6" t="str">
        <f t="shared" si="3"/>
        <v>Product</v>
      </c>
      <c r="G2153" s="1" t="s">
        <v>18</v>
      </c>
      <c r="H2153" s="6" t="str">
        <f>IFERROR(__xludf.DUMMYFUNCTION("IF(REGEXMATCH(LOWER(G2153), ""^(\?)+\s*(missing)?\s*(\?)*$""), """", PROPER(SUBSTITUTE(SUBSTITUTE(G2153, ""?"", """"), ""*"", """")))"),"White Hanging Heart T-Light Holder")</f>
        <v>White Hanging Heart T-Light Holder</v>
      </c>
      <c r="I2153" s="3">
        <v>6.0</v>
      </c>
      <c r="J2153" s="7">
        <v>40598.743055555555</v>
      </c>
      <c r="K2153" s="8" t="str">
        <f t="shared" si="4"/>
        <v>2011-02</v>
      </c>
      <c r="L2153" s="5">
        <v>2.95</v>
      </c>
      <c r="M2153" s="3">
        <v>13468.0</v>
      </c>
      <c r="N2153" s="1" t="str">
        <f t="shared" si="5"/>
        <v>Registered</v>
      </c>
      <c r="O2153" s="1" t="s">
        <v>19</v>
      </c>
      <c r="P2153" s="9" t="str">
        <f t="shared" si="6"/>
        <v>UK</v>
      </c>
      <c r="Q2153" s="8">
        <f t="shared" si="7"/>
        <v>17.7</v>
      </c>
    </row>
    <row r="2154">
      <c r="A2154" s="1">
        <v>544926.0</v>
      </c>
      <c r="B2154" s="1" t="str">
        <f t="shared" si="1"/>
        <v>544926</v>
      </c>
      <c r="C2154" s="1" t="str">
        <f t="shared" si="2"/>
        <v>Sale</v>
      </c>
      <c r="D2154" s="1">
        <v>22993.0</v>
      </c>
      <c r="E2154" s="1" t="str">
        <f>IFERROR(__xludf.DUMMYFUNCTION("IF(LEN(D2154)&gt;4, IFERROR(REGEXEXTRACT(TO_TEXT(D2154),""\d+""),""""),"""")"),"22993")</f>
        <v>22993</v>
      </c>
      <c r="F2154" s="6" t="str">
        <f t="shared" si="3"/>
        <v>Product</v>
      </c>
      <c r="G2154" s="1" t="s">
        <v>709</v>
      </c>
      <c r="H2154" s="6" t="str">
        <f>IFERROR(__xludf.DUMMYFUNCTION("IF(REGEXMATCH(LOWER(G2154), ""^(\?)+\s*(missing)?\s*(\?)*$""), """", PROPER(SUBSTITUTE(SUBSTITUTE(G2154, ""?"", """"), ""*"", """")))"),"Set Of 4 Pantry Jelly Moulds")</f>
        <v>Set Of 4 Pantry Jelly Moulds</v>
      </c>
      <c r="I2154" s="3">
        <v>12.0</v>
      </c>
      <c r="J2154" s="7">
        <v>40598.743055555555</v>
      </c>
      <c r="K2154" s="8" t="str">
        <f t="shared" si="4"/>
        <v>2011-02</v>
      </c>
      <c r="L2154" s="5">
        <v>1.25</v>
      </c>
      <c r="M2154" s="3">
        <v>13468.0</v>
      </c>
      <c r="N2154" s="1" t="str">
        <f t="shared" si="5"/>
        <v>Registered</v>
      </c>
      <c r="O2154" s="1" t="s">
        <v>19</v>
      </c>
      <c r="P2154" s="9" t="str">
        <f t="shared" si="6"/>
        <v>UK</v>
      </c>
      <c r="Q2154" s="8">
        <f t="shared" si="7"/>
        <v>15</v>
      </c>
    </row>
    <row r="2155">
      <c r="A2155" s="1">
        <v>544926.0</v>
      </c>
      <c r="B2155" s="1" t="str">
        <f t="shared" si="1"/>
        <v>544926</v>
      </c>
      <c r="C2155" s="1" t="str">
        <f t="shared" si="2"/>
        <v>Sale</v>
      </c>
      <c r="D2155" s="1">
        <v>48184.0</v>
      </c>
      <c r="E2155" s="1" t="str">
        <f>IFERROR(__xludf.DUMMYFUNCTION("IF(LEN(D2155)&gt;4, IFERROR(REGEXEXTRACT(TO_TEXT(D2155),""\d+""),""""),"""")"),"48184")</f>
        <v>48184</v>
      </c>
      <c r="F2155" s="6" t="str">
        <f t="shared" si="3"/>
        <v>Product</v>
      </c>
      <c r="G2155" s="1" t="s">
        <v>1179</v>
      </c>
      <c r="H2155" s="6" t="str">
        <f>IFERROR(__xludf.DUMMYFUNCTION("IF(REGEXMATCH(LOWER(G2155), ""^(\?)+\s*(missing)?\s*(\?)*$""), """", PROPER(SUBSTITUTE(SUBSTITUTE(G2155, ""?"", """"), ""*"", """")))"),"Doormat English Rose")</f>
        <v>Doormat English Rose</v>
      </c>
      <c r="I2155" s="3">
        <v>2.0</v>
      </c>
      <c r="J2155" s="7">
        <v>40598.743055555555</v>
      </c>
      <c r="K2155" s="8" t="str">
        <f t="shared" si="4"/>
        <v>2011-02</v>
      </c>
      <c r="L2155" s="5">
        <v>7.95</v>
      </c>
      <c r="M2155" s="3">
        <v>13468.0</v>
      </c>
      <c r="N2155" s="1" t="str">
        <f t="shared" si="5"/>
        <v>Registered</v>
      </c>
      <c r="O2155" s="1" t="s">
        <v>19</v>
      </c>
      <c r="P2155" s="9" t="str">
        <f t="shared" si="6"/>
        <v>UK</v>
      </c>
      <c r="Q2155" s="8">
        <f t="shared" si="7"/>
        <v>15.9</v>
      </c>
    </row>
    <row r="2156">
      <c r="A2156" s="1">
        <v>544926.0</v>
      </c>
      <c r="B2156" s="1" t="str">
        <f t="shared" si="1"/>
        <v>544926</v>
      </c>
      <c r="C2156" s="1" t="str">
        <f t="shared" si="2"/>
        <v>Sale</v>
      </c>
      <c r="D2156" s="1">
        <v>48185.0</v>
      </c>
      <c r="E2156" s="1" t="str">
        <f>IFERROR(__xludf.DUMMYFUNCTION("IF(LEN(D2156)&gt;4, IFERROR(REGEXEXTRACT(TO_TEXT(D2156),""\d+""),""""),"""")"),"48185")</f>
        <v>48185</v>
      </c>
      <c r="F2156" s="6" t="str">
        <f t="shared" si="3"/>
        <v>Product</v>
      </c>
      <c r="G2156" s="1" t="s">
        <v>263</v>
      </c>
      <c r="H2156" s="6" t="str">
        <f>IFERROR(__xludf.DUMMYFUNCTION("IF(REGEXMATCH(LOWER(G2156), ""^(\?)+\s*(missing)?\s*(\?)*$""), """", PROPER(SUBSTITUTE(SUBSTITUTE(G2156, ""?"", """"), ""*"", """")))"),"Doormat Fairy Cake")</f>
        <v>Doormat Fairy Cake</v>
      </c>
      <c r="I2156" s="3">
        <v>2.0</v>
      </c>
      <c r="J2156" s="7">
        <v>40598.74375</v>
      </c>
      <c r="K2156" s="8" t="str">
        <f t="shared" si="4"/>
        <v>2011-02</v>
      </c>
      <c r="L2156" s="5">
        <v>7.95</v>
      </c>
      <c r="M2156" s="3">
        <v>13468.0</v>
      </c>
      <c r="N2156" s="1" t="str">
        <f t="shared" si="5"/>
        <v>Registered</v>
      </c>
      <c r="O2156" s="1" t="s">
        <v>19</v>
      </c>
      <c r="P2156" s="9" t="str">
        <f t="shared" si="6"/>
        <v>UK</v>
      </c>
      <c r="Q2156" s="8">
        <f t="shared" si="7"/>
        <v>15.9</v>
      </c>
    </row>
    <row r="2157">
      <c r="A2157" s="1">
        <v>544927.0</v>
      </c>
      <c r="B2157" s="1" t="str">
        <f t="shared" si="1"/>
        <v>544927</v>
      </c>
      <c r="C2157" s="1" t="str">
        <f t="shared" si="2"/>
        <v>Sale</v>
      </c>
      <c r="D2157" s="1" t="s">
        <v>1180</v>
      </c>
      <c r="E2157" s="1" t="str">
        <f>IFERROR(__xludf.DUMMYFUNCTION("IF(LEN(D2157)&gt;4, IFERROR(REGEXEXTRACT(TO_TEXT(D2157),""\d+""),""""),"""")"),"44092")</f>
        <v>44092</v>
      </c>
      <c r="F2157" s="6" t="str">
        <f t="shared" si="3"/>
        <v>Product</v>
      </c>
      <c r="G2157" s="1" t="s">
        <v>1181</v>
      </c>
      <c r="H2157" s="6" t="str">
        <f>IFERROR(__xludf.DUMMYFUNCTION("IF(REGEXMATCH(LOWER(G2157), ""^(\?)+\s*(missing)?\s*(\?)*$""), """", PROPER(SUBSTITUTE(SUBSTITUTE(G2157, ""?"", """"), ""*"", """")))"),"Purple/Copper Hanging Lampshade")</f>
        <v>Purple/Copper Hanging Lampshade</v>
      </c>
      <c r="I2157" s="3">
        <v>1.0</v>
      </c>
      <c r="J2157" s="7">
        <v>40598.751388888886</v>
      </c>
      <c r="K2157" s="8" t="str">
        <f t="shared" si="4"/>
        <v>2011-02</v>
      </c>
      <c r="L2157" s="5">
        <v>0.85</v>
      </c>
      <c r="M2157" s="10"/>
      <c r="N2157" s="1" t="str">
        <f t="shared" si="5"/>
        <v>Guest</v>
      </c>
      <c r="O2157" s="1" t="s">
        <v>19</v>
      </c>
      <c r="P2157" s="9" t="str">
        <f t="shared" si="6"/>
        <v>UK</v>
      </c>
      <c r="Q2157" s="8">
        <f t="shared" si="7"/>
        <v>0.85</v>
      </c>
    </row>
    <row r="2158">
      <c r="A2158" s="1">
        <v>544928.0</v>
      </c>
      <c r="B2158" s="1" t="str">
        <f t="shared" si="1"/>
        <v>544928</v>
      </c>
      <c r="C2158" s="1" t="str">
        <f t="shared" si="2"/>
        <v>Sale</v>
      </c>
      <c r="D2158" s="1">
        <v>20979.0</v>
      </c>
      <c r="E2158" s="1" t="str">
        <f>IFERROR(__xludf.DUMMYFUNCTION("IF(LEN(D2158)&gt;4, IFERROR(REGEXEXTRACT(TO_TEXT(D2158),""\d+""),""""),"""")"),"20979")</f>
        <v>20979</v>
      </c>
      <c r="F2158" s="6" t="str">
        <f t="shared" si="3"/>
        <v>Product</v>
      </c>
      <c r="G2158" s="1" t="s">
        <v>616</v>
      </c>
      <c r="H2158" s="6" t="str">
        <f>IFERROR(__xludf.DUMMYFUNCTION("IF(REGEXMATCH(LOWER(G2158), ""^(\?)+\s*(missing)?\s*(\?)*$""), """", PROPER(SUBSTITUTE(SUBSTITUTE(G2158, ""?"", """"), ""*"", """")))"),"36 Pencils Tube Red Retrospot")</f>
        <v>36 Pencils Tube Red Retrospot</v>
      </c>
      <c r="I2158" s="3">
        <v>1.0</v>
      </c>
      <c r="J2158" s="7">
        <v>40598.75486111111</v>
      </c>
      <c r="K2158" s="8" t="str">
        <f t="shared" si="4"/>
        <v>2011-02</v>
      </c>
      <c r="L2158" s="5">
        <v>2.46</v>
      </c>
      <c r="M2158" s="10"/>
      <c r="N2158" s="1" t="str">
        <f t="shared" si="5"/>
        <v>Guest</v>
      </c>
      <c r="O2158" s="1" t="s">
        <v>19</v>
      </c>
      <c r="P2158" s="9" t="str">
        <f t="shared" si="6"/>
        <v>UK</v>
      </c>
      <c r="Q2158" s="8">
        <f t="shared" si="7"/>
        <v>2.46</v>
      </c>
    </row>
    <row r="2159">
      <c r="A2159" s="1">
        <v>544928.0</v>
      </c>
      <c r="B2159" s="1" t="str">
        <f t="shared" si="1"/>
        <v>544928</v>
      </c>
      <c r="C2159" s="1" t="str">
        <f t="shared" si="2"/>
        <v>Sale</v>
      </c>
      <c r="D2159" s="1">
        <v>21002.0</v>
      </c>
      <c r="E2159" s="1" t="str">
        <f>IFERROR(__xludf.DUMMYFUNCTION("IF(LEN(D2159)&gt;4, IFERROR(REGEXEXTRACT(TO_TEXT(D2159),""\d+""),""""),"""")"),"21002")</f>
        <v>21002</v>
      </c>
      <c r="F2159" s="6" t="str">
        <f t="shared" si="3"/>
        <v>Product</v>
      </c>
      <c r="G2159" s="1" t="s">
        <v>1182</v>
      </c>
      <c r="H2159" s="6" t="str">
        <f>IFERROR(__xludf.DUMMYFUNCTION("IF(REGEXMATCH(LOWER(G2159), ""^(\?)+\s*(missing)?\s*(\?)*$""), """", PROPER(SUBSTITUTE(SUBSTITUTE(G2159, ""?"", """"), ""*"", """")))"),"Rose Du Sud Drawstring Bag")</f>
        <v>Rose Du Sud Drawstring Bag</v>
      </c>
      <c r="I2159" s="3">
        <v>2.0</v>
      </c>
      <c r="J2159" s="7">
        <v>40598.75486111111</v>
      </c>
      <c r="K2159" s="8" t="str">
        <f t="shared" si="4"/>
        <v>2011-02</v>
      </c>
      <c r="L2159" s="5">
        <v>3.29</v>
      </c>
      <c r="M2159" s="10"/>
      <c r="N2159" s="1" t="str">
        <f t="shared" si="5"/>
        <v>Guest</v>
      </c>
      <c r="O2159" s="1" t="s">
        <v>19</v>
      </c>
      <c r="P2159" s="9" t="str">
        <f t="shared" si="6"/>
        <v>UK</v>
      </c>
      <c r="Q2159" s="8">
        <f t="shared" si="7"/>
        <v>6.58</v>
      </c>
    </row>
    <row r="2160">
      <c r="A2160" s="1">
        <v>544928.0</v>
      </c>
      <c r="B2160" s="1" t="str">
        <f t="shared" si="1"/>
        <v>544928</v>
      </c>
      <c r="C2160" s="1" t="str">
        <f t="shared" si="2"/>
        <v>Sale</v>
      </c>
      <c r="D2160" s="1">
        <v>21071.0</v>
      </c>
      <c r="E2160" s="1" t="str">
        <f>IFERROR(__xludf.DUMMYFUNCTION("IF(LEN(D2160)&gt;4, IFERROR(REGEXEXTRACT(TO_TEXT(D2160),""\d+""),""""),"""")"),"21071")</f>
        <v>21071</v>
      </c>
      <c r="F2160" s="6" t="str">
        <f t="shared" si="3"/>
        <v>Product</v>
      </c>
      <c r="G2160" s="1" t="s">
        <v>74</v>
      </c>
      <c r="H2160" s="6" t="str">
        <f>IFERROR(__xludf.DUMMYFUNCTION("IF(REGEXMATCH(LOWER(G2160), ""^(\?)+\s*(missing)?\s*(\?)*$""), """", PROPER(SUBSTITUTE(SUBSTITUTE(G2160, ""?"", """"), ""*"", """")))"),"Vintage Billboard Drink Me Mug")</f>
        <v>Vintage Billboard Drink Me Mug</v>
      </c>
      <c r="I2160" s="3">
        <v>1.0</v>
      </c>
      <c r="J2160" s="7">
        <v>40598.75486111111</v>
      </c>
      <c r="K2160" s="8" t="str">
        <f t="shared" si="4"/>
        <v>2011-02</v>
      </c>
      <c r="L2160" s="5">
        <v>2.46</v>
      </c>
      <c r="M2160" s="10"/>
      <c r="N2160" s="1" t="str">
        <f t="shared" si="5"/>
        <v>Guest</v>
      </c>
      <c r="O2160" s="1" t="s">
        <v>19</v>
      </c>
      <c r="P2160" s="9" t="str">
        <f t="shared" si="6"/>
        <v>UK</v>
      </c>
      <c r="Q2160" s="8">
        <f t="shared" si="7"/>
        <v>2.46</v>
      </c>
    </row>
    <row r="2161">
      <c r="A2161" s="1">
        <v>544928.0</v>
      </c>
      <c r="B2161" s="1" t="str">
        <f t="shared" si="1"/>
        <v>544928</v>
      </c>
      <c r="C2161" s="1" t="str">
        <f t="shared" si="2"/>
        <v>Sale</v>
      </c>
      <c r="D2161" s="1">
        <v>21080.0</v>
      </c>
      <c r="E2161" s="1" t="str">
        <f>IFERROR(__xludf.DUMMYFUNCTION("IF(LEN(D2161)&gt;4, IFERROR(REGEXEXTRACT(TO_TEXT(D2161),""\d+""),""""),"""")"),"21080")</f>
        <v>21080</v>
      </c>
      <c r="F2161" s="6" t="str">
        <f t="shared" si="3"/>
        <v>Product</v>
      </c>
      <c r="G2161" s="1" t="s">
        <v>219</v>
      </c>
      <c r="H2161" s="6" t="str">
        <f>IFERROR(__xludf.DUMMYFUNCTION("IF(REGEXMATCH(LOWER(G2161), ""^(\?)+\s*(missing)?\s*(\?)*$""), """", PROPER(SUBSTITUTE(SUBSTITUTE(G2161, ""?"", """"), ""*"", """")))"),"Set/20 Red Retrospot Paper Napkins")</f>
        <v>Set/20 Red Retrospot Paper Napkins</v>
      </c>
      <c r="I2161" s="3">
        <v>2.0</v>
      </c>
      <c r="J2161" s="7">
        <v>40598.75486111111</v>
      </c>
      <c r="K2161" s="8" t="str">
        <f t="shared" si="4"/>
        <v>2011-02</v>
      </c>
      <c r="L2161" s="5">
        <v>1.63</v>
      </c>
      <c r="M2161" s="10"/>
      <c r="N2161" s="1" t="str">
        <f t="shared" si="5"/>
        <v>Guest</v>
      </c>
      <c r="O2161" s="1" t="s">
        <v>19</v>
      </c>
      <c r="P2161" s="9" t="str">
        <f t="shared" si="6"/>
        <v>UK</v>
      </c>
      <c r="Q2161" s="8">
        <f t="shared" si="7"/>
        <v>3.26</v>
      </c>
    </row>
    <row r="2162">
      <c r="A2162" s="1">
        <v>544928.0</v>
      </c>
      <c r="B2162" s="1" t="str">
        <f t="shared" si="1"/>
        <v>544928</v>
      </c>
      <c r="C2162" s="1" t="str">
        <f t="shared" si="2"/>
        <v>Sale</v>
      </c>
      <c r="D2162" s="1">
        <v>21094.0</v>
      </c>
      <c r="E2162" s="1" t="str">
        <f>IFERROR(__xludf.DUMMYFUNCTION("IF(LEN(D2162)&gt;4, IFERROR(REGEXEXTRACT(TO_TEXT(D2162),""\d+""),""""),"""")"),"21094")</f>
        <v>21094</v>
      </c>
      <c r="F2162" s="6" t="str">
        <f t="shared" si="3"/>
        <v>Product</v>
      </c>
      <c r="G2162" s="1" t="s">
        <v>93</v>
      </c>
      <c r="H2162" s="6" t="str">
        <f>IFERROR(__xludf.DUMMYFUNCTION("IF(REGEXMATCH(LOWER(G2162), ""^(\?)+\s*(missing)?\s*(\?)*$""), """", PROPER(SUBSTITUTE(SUBSTITUTE(G2162, ""?"", """"), ""*"", """")))"),"Set/6 Red Spotty Paper Plates")</f>
        <v>Set/6 Red Spotty Paper Plates</v>
      </c>
      <c r="I2162" s="3">
        <v>6.0</v>
      </c>
      <c r="J2162" s="7">
        <v>40598.75486111111</v>
      </c>
      <c r="K2162" s="8" t="str">
        <f t="shared" si="4"/>
        <v>2011-02</v>
      </c>
      <c r="L2162" s="5">
        <v>0.83</v>
      </c>
      <c r="M2162" s="10"/>
      <c r="N2162" s="1" t="str">
        <f t="shared" si="5"/>
        <v>Guest</v>
      </c>
      <c r="O2162" s="1" t="s">
        <v>19</v>
      </c>
      <c r="P2162" s="9" t="str">
        <f t="shared" si="6"/>
        <v>UK</v>
      </c>
      <c r="Q2162" s="8">
        <f t="shared" si="7"/>
        <v>4.98</v>
      </c>
    </row>
    <row r="2163">
      <c r="A2163" s="1">
        <v>544928.0</v>
      </c>
      <c r="B2163" s="1" t="str">
        <f t="shared" si="1"/>
        <v>544928</v>
      </c>
      <c r="C2163" s="1" t="str">
        <f t="shared" si="2"/>
        <v>Sale</v>
      </c>
      <c r="D2163" s="1">
        <v>21121.0</v>
      </c>
      <c r="E2163" s="1" t="str">
        <f>IFERROR(__xludf.DUMMYFUNCTION("IF(LEN(D2163)&gt;4, IFERROR(REGEXEXTRACT(TO_TEXT(D2163),""\d+""),""""),"""")"),"21121")</f>
        <v>21121</v>
      </c>
      <c r="F2163" s="6" t="str">
        <f t="shared" si="3"/>
        <v>Product</v>
      </c>
      <c r="G2163" s="1" t="s">
        <v>558</v>
      </c>
      <c r="H2163" s="6" t="str">
        <f>IFERROR(__xludf.DUMMYFUNCTION("IF(REGEXMATCH(LOWER(G2163), ""^(\?)+\s*(missing)?\s*(\?)*$""), """", PROPER(SUBSTITUTE(SUBSTITUTE(G2163, ""?"", """"), ""*"", """")))"),"Set/10 Red Polkadot Party Candles")</f>
        <v>Set/10 Red Polkadot Party Candles</v>
      </c>
      <c r="I2163" s="3">
        <v>1.0</v>
      </c>
      <c r="J2163" s="7">
        <v>40598.75486111111</v>
      </c>
      <c r="K2163" s="8" t="str">
        <f t="shared" si="4"/>
        <v>2011-02</v>
      </c>
      <c r="L2163" s="5">
        <v>2.46</v>
      </c>
      <c r="M2163" s="10"/>
      <c r="N2163" s="1" t="str">
        <f t="shared" si="5"/>
        <v>Guest</v>
      </c>
      <c r="O2163" s="1" t="s">
        <v>19</v>
      </c>
      <c r="P2163" s="9" t="str">
        <f t="shared" si="6"/>
        <v>UK</v>
      </c>
      <c r="Q2163" s="8">
        <f t="shared" si="7"/>
        <v>2.46</v>
      </c>
    </row>
    <row r="2164">
      <c r="A2164" s="1">
        <v>544928.0</v>
      </c>
      <c r="B2164" s="1" t="str">
        <f t="shared" si="1"/>
        <v>544928</v>
      </c>
      <c r="C2164" s="1" t="str">
        <f t="shared" si="2"/>
        <v>Sale</v>
      </c>
      <c r="D2164" s="1">
        <v>21154.0</v>
      </c>
      <c r="E2164" s="1" t="str">
        <f>IFERROR(__xludf.DUMMYFUNCTION("IF(LEN(D2164)&gt;4, IFERROR(REGEXEXTRACT(TO_TEXT(D2164),""\d+""),""""),"""")"),"21154")</f>
        <v>21154</v>
      </c>
      <c r="F2164" s="6" t="str">
        <f t="shared" si="3"/>
        <v>Product</v>
      </c>
      <c r="G2164" s="1" t="s">
        <v>527</v>
      </c>
      <c r="H2164" s="6" t="str">
        <f>IFERROR(__xludf.DUMMYFUNCTION("IF(REGEXMATCH(LOWER(G2164), ""^(\?)+\s*(missing)?\s*(\?)*$""), """", PROPER(SUBSTITUTE(SUBSTITUTE(G2164, ""?"", """"), ""*"", """")))"),"Red Retrospot Oven Glove")</f>
        <v>Red Retrospot Oven Glove</v>
      </c>
      <c r="I2164" s="3">
        <v>3.0</v>
      </c>
      <c r="J2164" s="7">
        <v>40598.75486111111</v>
      </c>
      <c r="K2164" s="8" t="str">
        <f t="shared" si="4"/>
        <v>2011-02</v>
      </c>
      <c r="L2164" s="5">
        <v>2.46</v>
      </c>
      <c r="M2164" s="10"/>
      <c r="N2164" s="1" t="str">
        <f t="shared" si="5"/>
        <v>Guest</v>
      </c>
      <c r="O2164" s="1" t="s">
        <v>19</v>
      </c>
      <c r="P2164" s="9" t="str">
        <f t="shared" si="6"/>
        <v>UK</v>
      </c>
      <c r="Q2164" s="8">
        <f t="shared" si="7"/>
        <v>7.38</v>
      </c>
    </row>
    <row r="2165">
      <c r="A2165" s="1">
        <v>544928.0</v>
      </c>
      <c r="B2165" s="1" t="str">
        <f t="shared" si="1"/>
        <v>544928</v>
      </c>
      <c r="C2165" s="1" t="str">
        <f t="shared" si="2"/>
        <v>Sale</v>
      </c>
      <c r="D2165" s="1">
        <v>21165.0</v>
      </c>
      <c r="E2165" s="1" t="str">
        <f>IFERROR(__xludf.DUMMYFUNCTION("IF(LEN(D2165)&gt;4, IFERROR(REGEXEXTRACT(TO_TEXT(D2165),""\d+""),""""),"""")"),"21165")</f>
        <v>21165</v>
      </c>
      <c r="F2165" s="6" t="str">
        <f t="shared" si="3"/>
        <v>Product</v>
      </c>
      <c r="G2165" s="1" t="s">
        <v>1003</v>
      </c>
      <c r="H2165" s="6" t="str">
        <f>IFERROR(__xludf.DUMMYFUNCTION("IF(REGEXMATCH(LOWER(G2165), ""^(\?)+\s*(missing)?\s*(\?)*$""), """", PROPER(SUBSTITUTE(SUBSTITUTE(G2165, ""?"", """"), ""*"", """")))"),"Beware Of The Cat Metal Sign")</f>
        <v>Beware Of The Cat Metal Sign</v>
      </c>
      <c r="I2165" s="3">
        <v>1.0</v>
      </c>
      <c r="J2165" s="7">
        <v>40598.75486111111</v>
      </c>
      <c r="K2165" s="8" t="str">
        <f t="shared" si="4"/>
        <v>2011-02</v>
      </c>
      <c r="L2165" s="5">
        <v>4.13</v>
      </c>
      <c r="M2165" s="10"/>
      <c r="N2165" s="1" t="str">
        <f t="shared" si="5"/>
        <v>Guest</v>
      </c>
      <c r="O2165" s="1" t="s">
        <v>19</v>
      </c>
      <c r="P2165" s="9" t="str">
        <f t="shared" si="6"/>
        <v>UK</v>
      </c>
      <c r="Q2165" s="8">
        <f t="shared" si="7"/>
        <v>4.13</v>
      </c>
    </row>
    <row r="2166">
      <c r="A2166" s="1">
        <v>544928.0</v>
      </c>
      <c r="B2166" s="1" t="str">
        <f t="shared" si="1"/>
        <v>544928</v>
      </c>
      <c r="C2166" s="1" t="str">
        <f t="shared" si="2"/>
        <v>Sale</v>
      </c>
      <c r="D2166" s="1">
        <v>21219.0</v>
      </c>
      <c r="E2166" s="1" t="str">
        <f>IFERROR(__xludf.DUMMYFUNCTION("IF(LEN(D2166)&gt;4, IFERROR(REGEXEXTRACT(TO_TEXT(D2166),""\d+""),""""),"""")"),"21219")</f>
        <v>21219</v>
      </c>
      <c r="F2166" s="6" t="str">
        <f t="shared" si="3"/>
        <v>Product</v>
      </c>
      <c r="G2166" s="1" t="s">
        <v>1183</v>
      </c>
      <c r="H2166" s="6" t="str">
        <f>IFERROR(__xludf.DUMMYFUNCTION("IF(REGEXMATCH(LOWER(G2166), ""^(\?)+\s*(missing)?\s*(\?)*$""), """", PROPER(SUBSTITUTE(SUBSTITUTE(G2166, ""?"", """"), ""*"", """")))"),"Set/4 Badges Balloon Girl")</f>
        <v>Set/4 Badges Balloon Girl</v>
      </c>
      <c r="I2166" s="3">
        <v>2.0</v>
      </c>
      <c r="J2166" s="7">
        <v>40598.75486111111</v>
      </c>
      <c r="K2166" s="8" t="str">
        <f t="shared" si="4"/>
        <v>2011-02</v>
      </c>
      <c r="L2166" s="5">
        <v>2.46</v>
      </c>
      <c r="M2166" s="10"/>
      <c r="N2166" s="1" t="str">
        <f t="shared" si="5"/>
        <v>Guest</v>
      </c>
      <c r="O2166" s="1" t="s">
        <v>19</v>
      </c>
      <c r="P2166" s="9" t="str">
        <f t="shared" si="6"/>
        <v>UK</v>
      </c>
      <c r="Q2166" s="8">
        <f t="shared" si="7"/>
        <v>4.92</v>
      </c>
    </row>
    <row r="2167">
      <c r="A2167" s="1">
        <v>544928.0</v>
      </c>
      <c r="B2167" s="1" t="str">
        <f t="shared" si="1"/>
        <v>544928</v>
      </c>
      <c r="C2167" s="1" t="str">
        <f t="shared" si="2"/>
        <v>Sale</v>
      </c>
      <c r="D2167" s="1">
        <v>21253.0</v>
      </c>
      <c r="E2167" s="1" t="str">
        <f>IFERROR(__xludf.DUMMYFUNCTION("IF(LEN(D2167)&gt;4, IFERROR(REGEXEXTRACT(TO_TEXT(D2167),""\d+""),""""),"""")"),"21253")</f>
        <v>21253</v>
      </c>
      <c r="F2167" s="6" t="str">
        <f t="shared" si="3"/>
        <v>Product</v>
      </c>
      <c r="G2167" s="1" t="s">
        <v>1184</v>
      </c>
      <c r="H2167" s="6" t="str">
        <f>IFERROR(__xludf.DUMMYFUNCTION("IF(REGEXMATCH(LOWER(G2167), ""^(\?)+\s*(missing)?\s*(\?)*$""), """", PROPER(SUBSTITUTE(SUBSTITUTE(G2167, ""?"", """"), ""*"", """")))"),"Set Of Picture Frame Stickers")</f>
        <v>Set Of Picture Frame Stickers</v>
      </c>
      <c r="I2167" s="3">
        <v>3.0</v>
      </c>
      <c r="J2167" s="7">
        <v>40598.75486111111</v>
      </c>
      <c r="K2167" s="8" t="str">
        <f t="shared" si="4"/>
        <v>2011-02</v>
      </c>
      <c r="L2167" s="5">
        <v>5.79</v>
      </c>
      <c r="M2167" s="10"/>
      <c r="N2167" s="1" t="str">
        <f t="shared" si="5"/>
        <v>Guest</v>
      </c>
      <c r="O2167" s="1" t="s">
        <v>19</v>
      </c>
      <c r="P2167" s="9" t="str">
        <f t="shared" si="6"/>
        <v>UK</v>
      </c>
      <c r="Q2167" s="8">
        <f t="shared" si="7"/>
        <v>17.37</v>
      </c>
    </row>
    <row r="2168">
      <c r="A2168" s="1">
        <v>544928.0</v>
      </c>
      <c r="B2168" s="1" t="str">
        <f t="shared" si="1"/>
        <v>544928</v>
      </c>
      <c r="C2168" s="1" t="str">
        <f t="shared" si="2"/>
        <v>Sale</v>
      </c>
      <c r="D2168" s="1">
        <v>21285.0</v>
      </c>
      <c r="E2168" s="1" t="str">
        <f>IFERROR(__xludf.DUMMYFUNCTION("IF(LEN(D2168)&gt;4, IFERROR(REGEXEXTRACT(TO_TEXT(D2168),""\d+""),""""),"""")"),"21285")</f>
        <v>21285</v>
      </c>
      <c r="F2168" s="6" t="str">
        <f t="shared" si="3"/>
        <v>Product</v>
      </c>
      <c r="G2168" s="1" t="s">
        <v>1185</v>
      </c>
      <c r="H2168" s="6" t="str">
        <f>IFERROR(__xludf.DUMMYFUNCTION("IF(REGEXMATCH(LOWER(G2168), ""^(\?)+\s*(missing)?\s*(\?)*$""), """", PROPER(SUBSTITUTE(SUBSTITUTE(G2168, ""?"", """"), ""*"", """")))"),"Retrospot Candle Medium")</f>
        <v>Retrospot Candle Medium</v>
      </c>
      <c r="I2168" s="3">
        <v>1.0</v>
      </c>
      <c r="J2168" s="7">
        <v>40598.75486111111</v>
      </c>
      <c r="K2168" s="8" t="str">
        <f t="shared" si="4"/>
        <v>2011-02</v>
      </c>
      <c r="L2168" s="5">
        <v>4.13</v>
      </c>
      <c r="M2168" s="10"/>
      <c r="N2168" s="1" t="str">
        <f t="shared" si="5"/>
        <v>Guest</v>
      </c>
      <c r="O2168" s="1" t="s">
        <v>19</v>
      </c>
      <c r="P2168" s="9" t="str">
        <f t="shared" si="6"/>
        <v>UK</v>
      </c>
      <c r="Q2168" s="8">
        <f t="shared" si="7"/>
        <v>4.13</v>
      </c>
    </row>
    <row r="2169">
      <c r="A2169" s="1">
        <v>544928.0</v>
      </c>
      <c r="B2169" s="1" t="str">
        <f t="shared" si="1"/>
        <v>544928</v>
      </c>
      <c r="C2169" s="1" t="str">
        <f t="shared" si="2"/>
        <v>Sale</v>
      </c>
      <c r="D2169" s="1">
        <v>21314.0</v>
      </c>
      <c r="E2169" s="1" t="str">
        <f>IFERROR(__xludf.DUMMYFUNCTION("IF(LEN(D2169)&gt;4, IFERROR(REGEXEXTRACT(TO_TEXT(D2169),""\d+""),""""),"""")"),"21314")</f>
        <v>21314</v>
      </c>
      <c r="F2169" s="6" t="str">
        <f t="shared" si="3"/>
        <v>Product</v>
      </c>
      <c r="G2169" s="1" t="s">
        <v>254</v>
      </c>
      <c r="H2169" s="6" t="str">
        <f>IFERROR(__xludf.DUMMYFUNCTION("IF(REGEXMATCH(LOWER(G2169), ""^(\?)+\s*(missing)?\s*(\?)*$""), """", PROPER(SUBSTITUTE(SUBSTITUTE(G2169, ""?"", """"), ""*"", """")))"),"Small Glass Heart Trinket Pot")</f>
        <v>Small Glass Heart Trinket Pot</v>
      </c>
      <c r="I2169" s="3">
        <v>1.0</v>
      </c>
      <c r="J2169" s="7">
        <v>40598.75486111111</v>
      </c>
      <c r="K2169" s="8" t="str">
        <f t="shared" si="4"/>
        <v>2011-02</v>
      </c>
      <c r="L2169" s="5">
        <v>4.13</v>
      </c>
      <c r="M2169" s="10"/>
      <c r="N2169" s="1" t="str">
        <f t="shared" si="5"/>
        <v>Guest</v>
      </c>
      <c r="O2169" s="1" t="s">
        <v>19</v>
      </c>
      <c r="P2169" s="9" t="str">
        <f t="shared" si="6"/>
        <v>UK</v>
      </c>
      <c r="Q2169" s="8">
        <f t="shared" si="7"/>
        <v>4.13</v>
      </c>
    </row>
    <row r="2170">
      <c r="A2170" s="1">
        <v>544928.0</v>
      </c>
      <c r="B2170" s="1" t="str">
        <f t="shared" si="1"/>
        <v>544928</v>
      </c>
      <c r="C2170" s="1" t="str">
        <f t="shared" si="2"/>
        <v>Sale</v>
      </c>
      <c r="D2170" s="1">
        <v>21422.0</v>
      </c>
      <c r="E2170" s="1" t="str">
        <f>IFERROR(__xludf.DUMMYFUNCTION("IF(LEN(D2170)&gt;4, IFERROR(REGEXEXTRACT(TO_TEXT(D2170),""\d+""),""""),"""")"),"21422")</f>
        <v>21422</v>
      </c>
      <c r="F2170" s="6" t="str">
        <f t="shared" si="3"/>
        <v>Product</v>
      </c>
      <c r="G2170" s="1" t="s">
        <v>1186</v>
      </c>
      <c r="H2170" s="6" t="str">
        <f>IFERROR(__xludf.DUMMYFUNCTION("IF(REGEXMATCH(LOWER(G2170), ""^(\?)+\s*(missing)?\s*(\?)*$""), """", PROPER(SUBSTITUTE(SUBSTITUTE(G2170, ""?"", """"), ""*"", """")))"),"Porcelain Rose Small")</f>
        <v>Porcelain Rose Small</v>
      </c>
      <c r="I2170" s="3">
        <v>1.0</v>
      </c>
      <c r="J2170" s="7">
        <v>40598.75486111111</v>
      </c>
      <c r="K2170" s="8" t="str">
        <f t="shared" si="4"/>
        <v>2011-02</v>
      </c>
      <c r="L2170" s="5">
        <v>1.63</v>
      </c>
      <c r="M2170" s="10"/>
      <c r="N2170" s="1" t="str">
        <f t="shared" si="5"/>
        <v>Guest</v>
      </c>
      <c r="O2170" s="1" t="s">
        <v>19</v>
      </c>
      <c r="P2170" s="9" t="str">
        <f t="shared" si="6"/>
        <v>UK</v>
      </c>
      <c r="Q2170" s="8">
        <f t="shared" si="7"/>
        <v>1.63</v>
      </c>
    </row>
    <row r="2171">
      <c r="A2171" s="1">
        <v>544928.0</v>
      </c>
      <c r="B2171" s="1" t="str">
        <f t="shared" si="1"/>
        <v>544928</v>
      </c>
      <c r="C2171" s="1" t="str">
        <f t="shared" si="2"/>
        <v>Sale</v>
      </c>
      <c r="D2171" s="1">
        <v>21470.0</v>
      </c>
      <c r="E2171" s="1" t="str">
        <f>IFERROR(__xludf.DUMMYFUNCTION("IF(LEN(D2171)&gt;4, IFERROR(REGEXEXTRACT(TO_TEXT(D2171),""\d+""),""""),"""")"),"21470")</f>
        <v>21470</v>
      </c>
      <c r="F2171" s="6" t="str">
        <f t="shared" si="3"/>
        <v>Product</v>
      </c>
      <c r="G2171" s="1" t="s">
        <v>1152</v>
      </c>
      <c r="H2171" s="6" t="str">
        <f>IFERROR(__xludf.DUMMYFUNCTION("IF(REGEXMATCH(LOWER(G2171), ""^(\?)+\s*(missing)?\s*(\?)*$""), """", PROPER(SUBSTITUTE(SUBSTITUTE(G2171, ""?"", """"), ""*"", """")))"),"Flower Vine Raffia Food Cover")</f>
        <v>Flower Vine Raffia Food Cover</v>
      </c>
      <c r="I2171" s="3">
        <v>1.0</v>
      </c>
      <c r="J2171" s="7">
        <v>40598.75486111111</v>
      </c>
      <c r="K2171" s="8" t="str">
        <f t="shared" si="4"/>
        <v>2011-02</v>
      </c>
      <c r="L2171" s="5">
        <v>7.46</v>
      </c>
      <c r="M2171" s="10"/>
      <c r="N2171" s="1" t="str">
        <f t="shared" si="5"/>
        <v>Guest</v>
      </c>
      <c r="O2171" s="1" t="s">
        <v>19</v>
      </c>
      <c r="P2171" s="9" t="str">
        <f t="shared" si="6"/>
        <v>UK</v>
      </c>
      <c r="Q2171" s="8">
        <f t="shared" si="7"/>
        <v>7.46</v>
      </c>
    </row>
    <row r="2172">
      <c r="A2172" s="1">
        <v>544928.0</v>
      </c>
      <c r="B2172" s="1" t="str">
        <f t="shared" si="1"/>
        <v>544928</v>
      </c>
      <c r="C2172" s="1" t="str">
        <f t="shared" si="2"/>
        <v>Sale</v>
      </c>
      <c r="D2172" s="1">
        <v>21481.0</v>
      </c>
      <c r="E2172" s="1" t="str">
        <f>IFERROR(__xludf.DUMMYFUNCTION("IF(LEN(D2172)&gt;4, IFERROR(REGEXEXTRACT(TO_TEXT(D2172),""\d+""),""""),"""")"),"21481")</f>
        <v>21481</v>
      </c>
      <c r="F2172" s="6" t="str">
        <f t="shared" si="3"/>
        <v>Product</v>
      </c>
      <c r="G2172" s="1" t="s">
        <v>519</v>
      </c>
      <c r="H2172" s="6" t="str">
        <f>IFERROR(__xludf.DUMMYFUNCTION("IF(REGEXMATCH(LOWER(G2172), ""^(\?)+\s*(missing)?\s*(\?)*$""), """", PROPER(SUBSTITUTE(SUBSTITUTE(G2172, ""?"", """"), ""*"", """")))"),"Fawn Blue Hot Water Bottle")</f>
        <v>Fawn Blue Hot Water Bottle</v>
      </c>
      <c r="I2172" s="3">
        <v>1.0</v>
      </c>
      <c r="J2172" s="7">
        <v>40598.75486111111</v>
      </c>
      <c r="K2172" s="8" t="str">
        <f t="shared" si="4"/>
        <v>2011-02</v>
      </c>
      <c r="L2172" s="5">
        <v>5.79</v>
      </c>
      <c r="M2172" s="10"/>
      <c r="N2172" s="1" t="str">
        <f t="shared" si="5"/>
        <v>Guest</v>
      </c>
      <c r="O2172" s="1" t="s">
        <v>19</v>
      </c>
      <c r="P2172" s="9" t="str">
        <f t="shared" si="6"/>
        <v>UK</v>
      </c>
      <c r="Q2172" s="8">
        <f t="shared" si="7"/>
        <v>5.79</v>
      </c>
    </row>
    <row r="2173">
      <c r="A2173" s="1">
        <v>544928.0</v>
      </c>
      <c r="B2173" s="1" t="str">
        <f t="shared" si="1"/>
        <v>544928</v>
      </c>
      <c r="C2173" s="1" t="str">
        <f t="shared" si="2"/>
        <v>Sale</v>
      </c>
      <c r="D2173" s="1">
        <v>21531.0</v>
      </c>
      <c r="E2173" s="1" t="str">
        <f>IFERROR(__xludf.DUMMYFUNCTION("IF(LEN(D2173)&gt;4, IFERROR(REGEXEXTRACT(TO_TEXT(D2173),""\d+""),""""),"""")"),"21531")</f>
        <v>21531</v>
      </c>
      <c r="F2173" s="6" t="str">
        <f t="shared" si="3"/>
        <v>Product</v>
      </c>
      <c r="G2173" s="1" t="s">
        <v>950</v>
      </c>
      <c r="H2173" s="6" t="str">
        <f>IFERROR(__xludf.DUMMYFUNCTION("IF(REGEXMATCH(LOWER(G2173), ""^(\?)+\s*(missing)?\s*(\?)*$""), """", PROPER(SUBSTITUTE(SUBSTITUTE(G2173, ""?"", """"), ""*"", """")))"),"Red Retrospot Sugar Jam Bowl")</f>
        <v>Red Retrospot Sugar Jam Bowl</v>
      </c>
      <c r="I2173" s="3">
        <v>1.0</v>
      </c>
      <c r="J2173" s="7">
        <v>40598.75486111111</v>
      </c>
      <c r="K2173" s="8" t="str">
        <f t="shared" si="4"/>
        <v>2011-02</v>
      </c>
      <c r="L2173" s="5">
        <v>4.96</v>
      </c>
      <c r="M2173" s="10"/>
      <c r="N2173" s="1" t="str">
        <f t="shared" si="5"/>
        <v>Guest</v>
      </c>
      <c r="O2173" s="1" t="s">
        <v>19</v>
      </c>
      <c r="P2173" s="9" t="str">
        <f t="shared" si="6"/>
        <v>UK</v>
      </c>
      <c r="Q2173" s="8">
        <f t="shared" si="7"/>
        <v>4.96</v>
      </c>
    </row>
    <row r="2174">
      <c r="A2174" s="1">
        <v>544928.0</v>
      </c>
      <c r="B2174" s="1" t="str">
        <f t="shared" si="1"/>
        <v>544928</v>
      </c>
      <c r="C2174" s="1" t="str">
        <f t="shared" si="2"/>
        <v>Sale</v>
      </c>
      <c r="D2174" s="1">
        <v>21641.0</v>
      </c>
      <c r="E2174" s="1" t="str">
        <f>IFERROR(__xludf.DUMMYFUNCTION("IF(LEN(D2174)&gt;4, IFERROR(REGEXEXTRACT(TO_TEXT(D2174),""\d+""),""""),"""")"),"21641")</f>
        <v>21641</v>
      </c>
      <c r="F2174" s="6" t="str">
        <f t="shared" si="3"/>
        <v>Product</v>
      </c>
      <c r="G2174" s="1" t="s">
        <v>1187</v>
      </c>
      <c r="H2174" s="6" t="str">
        <f>IFERROR(__xludf.DUMMYFUNCTION("IF(REGEXMATCH(LOWER(G2174), ""^(\?)+\s*(missing)?\s*(\?)*$""), """", PROPER(SUBSTITUTE(SUBSTITUTE(G2174, ""?"", """"), ""*"", """")))"),"Assorted Tutti Frutti Keyring Ball")</f>
        <v>Assorted Tutti Frutti Keyring Ball</v>
      </c>
      <c r="I2174" s="3">
        <v>1.0</v>
      </c>
      <c r="J2174" s="7">
        <v>40598.75486111111</v>
      </c>
      <c r="K2174" s="8" t="str">
        <f t="shared" si="4"/>
        <v>2011-02</v>
      </c>
      <c r="L2174" s="5">
        <v>1.63</v>
      </c>
      <c r="M2174" s="10"/>
      <c r="N2174" s="1" t="str">
        <f t="shared" si="5"/>
        <v>Guest</v>
      </c>
      <c r="O2174" s="1" t="s">
        <v>19</v>
      </c>
      <c r="P2174" s="9" t="str">
        <f t="shared" si="6"/>
        <v>UK</v>
      </c>
      <c r="Q2174" s="8">
        <f t="shared" si="7"/>
        <v>1.63</v>
      </c>
    </row>
    <row r="2175">
      <c r="A2175" s="1">
        <v>544928.0</v>
      </c>
      <c r="B2175" s="1" t="str">
        <f t="shared" si="1"/>
        <v>544928</v>
      </c>
      <c r="C2175" s="1" t="str">
        <f t="shared" si="2"/>
        <v>Sale</v>
      </c>
      <c r="D2175" s="1">
        <v>21643.0</v>
      </c>
      <c r="E2175" s="1" t="str">
        <f>IFERROR(__xludf.DUMMYFUNCTION("IF(LEN(D2175)&gt;4, IFERROR(REGEXEXTRACT(TO_TEXT(D2175),""\d+""),""""),"""")"),"21643")</f>
        <v>21643</v>
      </c>
      <c r="F2175" s="6" t="str">
        <f t="shared" si="3"/>
        <v>Product</v>
      </c>
      <c r="G2175" s="1" t="s">
        <v>1188</v>
      </c>
      <c r="H2175" s="6" t="str">
        <f>IFERROR(__xludf.DUMMYFUNCTION("IF(REGEXMATCH(LOWER(G2175), ""^(\?)+\s*(missing)?\s*(\?)*$""), """", PROPER(SUBSTITUTE(SUBSTITUTE(G2175, ""?"", """"), ""*"", """")))"),"Assorted Tutti Frutti Mirror")</f>
        <v>Assorted Tutti Frutti Mirror</v>
      </c>
      <c r="I2175" s="3">
        <v>1.0</v>
      </c>
      <c r="J2175" s="7">
        <v>40598.75486111111</v>
      </c>
      <c r="K2175" s="8" t="str">
        <f t="shared" si="4"/>
        <v>2011-02</v>
      </c>
      <c r="L2175" s="5">
        <v>2.46</v>
      </c>
      <c r="M2175" s="10"/>
      <c r="N2175" s="1" t="str">
        <f t="shared" si="5"/>
        <v>Guest</v>
      </c>
      <c r="O2175" s="1" t="s">
        <v>19</v>
      </c>
      <c r="P2175" s="9" t="str">
        <f t="shared" si="6"/>
        <v>UK</v>
      </c>
      <c r="Q2175" s="8">
        <f t="shared" si="7"/>
        <v>2.46</v>
      </c>
    </row>
    <row r="2176">
      <c r="A2176" s="1">
        <v>544928.0</v>
      </c>
      <c r="B2176" s="1" t="str">
        <f t="shared" si="1"/>
        <v>544928</v>
      </c>
      <c r="C2176" s="1" t="str">
        <f t="shared" si="2"/>
        <v>Sale</v>
      </c>
      <c r="D2176" s="1">
        <v>21673.0</v>
      </c>
      <c r="E2176" s="1" t="str">
        <f>IFERROR(__xludf.DUMMYFUNCTION("IF(LEN(D2176)&gt;4, IFERROR(REGEXEXTRACT(TO_TEXT(D2176),""\d+""),""""),"""")"),"21673")</f>
        <v>21673</v>
      </c>
      <c r="F2176" s="6" t="str">
        <f t="shared" si="3"/>
        <v>Product</v>
      </c>
      <c r="G2176" s="1" t="s">
        <v>767</v>
      </c>
      <c r="H2176" s="6" t="str">
        <f>IFERROR(__xludf.DUMMYFUNCTION("IF(REGEXMATCH(LOWER(G2176), ""^(\?)+\s*(missing)?\s*(\?)*$""), """", PROPER(SUBSTITUTE(SUBSTITUTE(G2176, ""?"", """"), ""*"", """")))"),"White Spot Blue Ceramic Drawer Knob")</f>
        <v>White Spot Blue Ceramic Drawer Knob</v>
      </c>
      <c r="I2176" s="3">
        <v>2.0</v>
      </c>
      <c r="J2176" s="7">
        <v>40598.75486111111</v>
      </c>
      <c r="K2176" s="8" t="str">
        <f t="shared" si="4"/>
        <v>2011-02</v>
      </c>
      <c r="L2176" s="5">
        <v>3.33</v>
      </c>
      <c r="M2176" s="10"/>
      <c r="N2176" s="1" t="str">
        <f t="shared" si="5"/>
        <v>Guest</v>
      </c>
      <c r="O2176" s="1" t="s">
        <v>19</v>
      </c>
      <c r="P2176" s="9" t="str">
        <f t="shared" si="6"/>
        <v>UK</v>
      </c>
      <c r="Q2176" s="8">
        <f t="shared" si="7"/>
        <v>6.66</v>
      </c>
    </row>
    <row r="2177">
      <c r="A2177" s="1">
        <v>544928.0</v>
      </c>
      <c r="B2177" s="1" t="str">
        <f t="shared" si="1"/>
        <v>544928</v>
      </c>
      <c r="C2177" s="1" t="str">
        <f t="shared" si="2"/>
        <v>Sale</v>
      </c>
      <c r="D2177" s="1">
        <v>21733.0</v>
      </c>
      <c r="E2177" s="1" t="str">
        <f>IFERROR(__xludf.DUMMYFUNCTION("IF(LEN(D2177)&gt;4, IFERROR(REGEXEXTRACT(TO_TEXT(D2177),""\d+""),""""),"""")"),"21733")</f>
        <v>21733</v>
      </c>
      <c r="F2177" s="6" t="str">
        <f t="shared" si="3"/>
        <v>Product</v>
      </c>
      <c r="G2177" s="1" t="s">
        <v>83</v>
      </c>
      <c r="H2177" s="6" t="str">
        <f>IFERROR(__xludf.DUMMYFUNCTION("IF(REGEXMATCH(LOWER(G2177), ""^(\?)+\s*(missing)?\s*(\?)*$""), """", PROPER(SUBSTITUTE(SUBSTITUTE(G2177, ""?"", """"), ""*"", """")))"),"Red Hanging Heart T-Light Holder")</f>
        <v>Red Hanging Heart T-Light Holder</v>
      </c>
      <c r="I2177" s="3">
        <v>1.0</v>
      </c>
      <c r="J2177" s="7">
        <v>40598.75486111111</v>
      </c>
      <c r="K2177" s="8" t="str">
        <f t="shared" si="4"/>
        <v>2011-02</v>
      </c>
      <c r="L2177" s="5">
        <v>5.79</v>
      </c>
      <c r="M2177" s="10"/>
      <c r="N2177" s="1" t="str">
        <f t="shared" si="5"/>
        <v>Guest</v>
      </c>
      <c r="O2177" s="1" t="s">
        <v>19</v>
      </c>
      <c r="P2177" s="9" t="str">
        <f t="shared" si="6"/>
        <v>UK</v>
      </c>
      <c r="Q2177" s="8">
        <f t="shared" si="7"/>
        <v>5.79</v>
      </c>
    </row>
    <row r="2178">
      <c r="A2178" s="1">
        <v>544928.0</v>
      </c>
      <c r="B2178" s="1" t="str">
        <f t="shared" si="1"/>
        <v>544928</v>
      </c>
      <c r="C2178" s="1" t="str">
        <f t="shared" si="2"/>
        <v>Sale</v>
      </c>
      <c r="D2178" s="1">
        <v>21755.0</v>
      </c>
      <c r="E2178" s="1" t="str">
        <f>IFERROR(__xludf.DUMMYFUNCTION("IF(LEN(D2178)&gt;4, IFERROR(REGEXEXTRACT(TO_TEXT(D2178),""\d+""),""""),"""")"),"21755")</f>
        <v>21755</v>
      </c>
      <c r="F2178" s="6" t="str">
        <f t="shared" si="3"/>
        <v>Product</v>
      </c>
      <c r="G2178" s="1" t="s">
        <v>40</v>
      </c>
      <c r="H2178" s="6" t="str">
        <f>IFERROR(__xludf.DUMMYFUNCTION("IF(REGEXMATCH(LOWER(G2178), ""^(\?)+\s*(missing)?\s*(\?)*$""), """", PROPER(SUBSTITUTE(SUBSTITUTE(G2178, ""?"", """"), ""*"", """")))"),"Love Building Block Word")</f>
        <v>Love Building Block Word</v>
      </c>
      <c r="I2178" s="3">
        <v>1.0</v>
      </c>
      <c r="J2178" s="7">
        <v>40598.75486111111</v>
      </c>
      <c r="K2178" s="8" t="str">
        <f t="shared" si="4"/>
        <v>2011-02</v>
      </c>
      <c r="L2178" s="5">
        <v>11.63</v>
      </c>
      <c r="M2178" s="10"/>
      <c r="N2178" s="1" t="str">
        <f t="shared" si="5"/>
        <v>Guest</v>
      </c>
      <c r="O2178" s="1" t="s">
        <v>19</v>
      </c>
      <c r="P2178" s="9" t="str">
        <f t="shared" si="6"/>
        <v>UK</v>
      </c>
      <c r="Q2178" s="8">
        <f t="shared" si="7"/>
        <v>11.63</v>
      </c>
    </row>
    <row r="2179">
      <c r="A2179" s="1">
        <v>544928.0</v>
      </c>
      <c r="B2179" s="1" t="str">
        <f t="shared" si="1"/>
        <v>544928</v>
      </c>
      <c r="C2179" s="1" t="str">
        <f t="shared" si="2"/>
        <v>Sale</v>
      </c>
      <c r="D2179" s="1">
        <v>21791.0</v>
      </c>
      <c r="E2179" s="1" t="str">
        <f>IFERROR(__xludf.DUMMYFUNCTION("IF(LEN(D2179)&gt;4, IFERROR(REGEXEXTRACT(TO_TEXT(D2179),""\d+""),""""),"""")"),"21791")</f>
        <v>21791</v>
      </c>
      <c r="F2179" s="6" t="str">
        <f t="shared" si="3"/>
        <v>Product</v>
      </c>
      <c r="G2179" s="1" t="s">
        <v>55</v>
      </c>
      <c r="H2179" s="6" t="str">
        <f>IFERROR(__xludf.DUMMYFUNCTION("IF(REGEXMATCH(LOWER(G2179), ""^(\?)+\s*(missing)?\s*(\?)*$""), """", PROPER(SUBSTITUTE(SUBSTITUTE(G2179, ""?"", """"), ""*"", """")))"),"Vintage Heads And Tails Card Game")</f>
        <v>Vintage Heads And Tails Card Game</v>
      </c>
      <c r="I2179" s="3">
        <v>1.0</v>
      </c>
      <c r="J2179" s="7">
        <v>40598.75486111111</v>
      </c>
      <c r="K2179" s="8" t="str">
        <f t="shared" si="4"/>
        <v>2011-02</v>
      </c>
      <c r="L2179" s="5">
        <v>2.46</v>
      </c>
      <c r="M2179" s="10"/>
      <c r="N2179" s="1" t="str">
        <f t="shared" si="5"/>
        <v>Guest</v>
      </c>
      <c r="O2179" s="1" t="s">
        <v>19</v>
      </c>
      <c r="P2179" s="9" t="str">
        <f t="shared" si="6"/>
        <v>UK</v>
      </c>
      <c r="Q2179" s="8">
        <f t="shared" si="7"/>
        <v>2.46</v>
      </c>
    </row>
    <row r="2180">
      <c r="A2180" s="1">
        <v>544928.0</v>
      </c>
      <c r="B2180" s="1" t="str">
        <f t="shared" si="1"/>
        <v>544928</v>
      </c>
      <c r="C2180" s="1" t="str">
        <f t="shared" si="2"/>
        <v>Sale</v>
      </c>
      <c r="D2180" s="1">
        <v>21833.0</v>
      </c>
      <c r="E2180" s="1" t="str">
        <f>IFERROR(__xludf.DUMMYFUNCTION("IF(LEN(D2180)&gt;4, IFERROR(REGEXEXTRACT(TO_TEXT(D2180),""\d+""),""""),"""")"),"21833")</f>
        <v>21833</v>
      </c>
      <c r="F2180" s="6" t="str">
        <f t="shared" si="3"/>
        <v>Product</v>
      </c>
      <c r="G2180" s="1" t="s">
        <v>1189</v>
      </c>
      <c r="H2180" s="6" t="str">
        <f>IFERROR(__xludf.DUMMYFUNCTION("IF(REGEXMATCH(LOWER(G2180), ""^(\?)+\s*(missing)?\s*(\?)*$""), """", PROPER(SUBSTITUTE(SUBSTITUTE(G2180, ""?"", """"), ""*"", """")))"),"Camouflage Led Torch")</f>
        <v>Camouflage Led Torch</v>
      </c>
      <c r="I2180" s="3">
        <v>21.0</v>
      </c>
      <c r="J2180" s="7">
        <v>40598.75486111111</v>
      </c>
      <c r="K2180" s="8" t="str">
        <f t="shared" si="4"/>
        <v>2011-02</v>
      </c>
      <c r="L2180" s="5">
        <v>3.29</v>
      </c>
      <c r="M2180" s="10"/>
      <c r="N2180" s="1" t="str">
        <f t="shared" si="5"/>
        <v>Guest</v>
      </c>
      <c r="O2180" s="1" t="s">
        <v>19</v>
      </c>
      <c r="P2180" s="9" t="str">
        <f t="shared" si="6"/>
        <v>UK</v>
      </c>
      <c r="Q2180" s="8">
        <f t="shared" si="7"/>
        <v>69.09</v>
      </c>
    </row>
    <row r="2181">
      <c r="A2181" s="1">
        <v>544928.0</v>
      </c>
      <c r="B2181" s="1" t="str">
        <f t="shared" si="1"/>
        <v>544928</v>
      </c>
      <c r="C2181" s="1" t="str">
        <f t="shared" si="2"/>
        <v>Sale</v>
      </c>
      <c r="D2181" s="1">
        <v>21864.0</v>
      </c>
      <c r="E2181" s="1" t="str">
        <f>IFERROR(__xludf.DUMMYFUNCTION("IF(LEN(D2181)&gt;4, IFERROR(REGEXEXTRACT(TO_TEXT(D2181),""\d+""),""""),"""")"),"21864")</f>
        <v>21864</v>
      </c>
      <c r="F2181" s="6" t="str">
        <f t="shared" si="3"/>
        <v>Product</v>
      </c>
      <c r="G2181" s="1" t="s">
        <v>1029</v>
      </c>
      <c r="H2181" s="6" t="str">
        <f>IFERROR(__xludf.DUMMYFUNCTION("IF(REGEXMATCH(LOWER(G2181), ""^(\?)+\s*(missing)?\s*(\?)*$""), """", PROPER(SUBSTITUTE(SUBSTITUTE(G2181, ""?"", """"), ""*"", """")))"),"Union Jack Flag Passport Cover")</f>
        <v>Union Jack Flag Passport Cover</v>
      </c>
      <c r="I2181" s="3">
        <v>1.0</v>
      </c>
      <c r="J2181" s="7">
        <v>40598.75486111111</v>
      </c>
      <c r="K2181" s="8" t="str">
        <f t="shared" si="4"/>
        <v>2011-02</v>
      </c>
      <c r="L2181" s="5">
        <v>4.13</v>
      </c>
      <c r="M2181" s="10"/>
      <c r="N2181" s="1" t="str">
        <f t="shared" si="5"/>
        <v>Guest</v>
      </c>
      <c r="O2181" s="1" t="s">
        <v>19</v>
      </c>
      <c r="P2181" s="9" t="str">
        <f t="shared" si="6"/>
        <v>UK</v>
      </c>
      <c r="Q2181" s="8">
        <f t="shared" si="7"/>
        <v>4.13</v>
      </c>
    </row>
    <row r="2182">
      <c r="A2182" s="1">
        <v>544928.0</v>
      </c>
      <c r="B2182" s="1" t="str">
        <f t="shared" si="1"/>
        <v>544928</v>
      </c>
      <c r="C2182" s="1" t="str">
        <f t="shared" si="2"/>
        <v>Sale</v>
      </c>
      <c r="D2182" s="1">
        <v>21880.0</v>
      </c>
      <c r="E2182" s="1" t="str">
        <f>IFERROR(__xludf.DUMMYFUNCTION("IF(LEN(D2182)&gt;4, IFERROR(REGEXEXTRACT(TO_TEXT(D2182),""\d+""),""""),"""")"),"21880")</f>
        <v>21880</v>
      </c>
      <c r="F2182" s="6" t="str">
        <f t="shared" si="3"/>
        <v>Product</v>
      </c>
      <c r="G2182" s="1" t="s">
        <v>441</v>
      </c>
      <c r="H2182" s="6" t="str">
        <f>IFERROR(__xludf.DUMMYFUNCTION("IF(REGEXMATCH(LOWER(G2182), ""^(\?)+\s*(missing)?\s*(\?)*$""), """", PROPER(SUBSTITUTE(SUBSTITUTE(G2182, ""?"", """"), ""*"", """")))"),"Red Retrospot Tape")</f>
        <v>Red Retrospot Tape</v>
      </c>
      <c r="I2182" s="3">
        <v>1.0</v>
      </c>
      <c r="J2182" s="7">
        <v>40598.75486111111</v>
      </c>
      <c r="K2182" s="8" t="str">
        <f t="shared" si="4"/>
        <v>2011-02</v>
      </c>
      <c r="L2182" s="5">
        <v>0.42</v>
      </c>
      <c r="M2182" s="10"/>
      <c r="N2182" s="1" t="str">
        <f t="shared" si="5"/>
        <v>Guest</v>
      </c>
      <c r="O2182" s="1" t="s">
        <v>19</v>
      </c>
      <c r="P2182" s="9" t="str">
        <f t="shared" si="6"/>
        <v>UK</v>
      </c>
      <c r="Q2182" s="8">
        <f t="shared" si="7"/>
        <v>0.42</v>
      </c>
    </row>
    <row r="2183">
      <c r="A2183" s="1">
        <v>544928.0</v>
      </c>
      <c r="B2183" s="1" t="str">
        <f t="shared" si="1"/>
        <v>544928</v>
      </c>
      <c r="C2183" s="1" t="str">
        <f t="shared" si="2"/>
        <v>Sale</v>
      </c>
      <c r="D2183" s="1">
        <v>21905.0</v>
      </c>
      <c r="E2183" s="1" t="str">
        <f>IFERROR(__xludf.DUMMYFUNCTION("IF(LEN(D2183)&gt;4, IFERROR(REGEXEXTRACT(TO_TEXT(D2183),""\d+""),""""),"""")"),"21905")</f>
        <v>21905</v>
      </c>
      <c r="F2183" s="6" t="str">
        <f t="shared" si="3"/>
        <v>Product</v>
      </c>
      <c r="G2183" s="1" t="s">
        <v>1190</v>
      </c>
      <c r="H2183" s="6" t="str">
        <f>IFERROR(__xludf.DUMMYFUNCTION("IF(REGEXMATCH(LOWER(G2183), ""^(\?)+\s*(missing)?\s*(\?)*$""), """", PROPER(SUBSTITUTE(SUBSTITUTE(G2183, ""?"", """"), ""*"", """")))"),"More Butter Metal Sign")</f>
        <v>More Butter Metal Sign</v>
      </c>
      <c r="I2183" s="3">
        <v>4.0</v>
      </c>
      <c r="J2183" s="7">
        <v>40598.75486111111</v>
      </c>
      <c r="K2183" s="8" t="str">
        <f t="shared" si="4"/>
        <v>2011-02</v>
      </c>
      <c r="L2183" s="5">
        <v>1.63</v>
      </c>
      <c r="M2183" s="10"/>
      <c r="N2183" s="1" t="str">
        <f t="shared" si="5"/>
        <v>Guest</v>
      </c>
      <c r="O2183" s="1" t="s">
        <v>19</v>
      </c>
      <c r="P2183" s="9" t="str">
        <f t="shared" si="6"/>
        <v>UK</v>
      </c>
      <c r="Q2183" s="8">
        <f t="shared" si="7"/>
        <v>6.52</v>
      </c>
    </row>
    <row r="2184">
      <c r="A2184" s="1">
        <v>544928.0</v>
      </c>
      <c r="B2184" s="1" t="str">
        <f t="shared" si="1"/>
        <v>544928</v>
      </c>
      <c r="C2184" s="1" t="str">
        <f t="shared" si="2"/>
        <v>Sale</v>
      </c>
      <c r="D2184" s="1">
        <v>21931.0</v>
      </c>
      <c r="E2184" s="1" t="str">
        <f>IFERROR(__xludf.DUMMYFUNCTION("IF(LEN(D2184)&gt;4, IFERROR(REGEXEXTRACT(TO_TEXT(D2184),""\d+""),""""),"""")"),"21931")</f>
        <v>21931</v>
      </c>
      <c r="F2184" s="6" t="str">
        <f t="shared" si="3"/>
        <v>Product</v>
      </c>
      <c r="G2184" s="1" t="s">
        <v>107</v>
      </c>
      <c r="H2184" s="6" t="str">
        <f>IFERROR(__xludf.DUMMYFUNCTION("IF(REGEXMATCH(LOWER(G2184), ""^(\?)+\s*(missing)?\s*(\?)*$""), """", PROPER(SUBSTITUTE(SUBSTITUTE(G2184, ""?"", """"), ""*"", """")))"),"Jumbo Storage Bag Suki")</f>
        <v>Jumbo Storage Bag Suki</v>
      </c>
      <c r="I2184" s="3">
        <v>1.0</v>
      </c>
      <c r="J2184" s="7">
        <v>40598.75486111111</v>
      </c>
      <c r="K2184" s="8" t="str">
        <f t="shared" si="4"/>
        <v>2011-02</v>
      </c>
      <c r="L2184" s="5">
        <v>4.13</v>
      </c>
      <c r="M2184" s="10"/>
      <c r="N2184" s="1" t="str">
        <f t="shared" si="5"/>
        <v>Guest</v>
      </c>
      <c r="O2184" s="1" t="s">
        <v>19</v>
      </c>
      <c r="P2184" s="9" t="str">
        <f t="shared" si="6"/>
        <v>UK</v>
      </c>
      <c r="Q2184" s="8">
        <f t="shared" si="7"/>
        <v>4.13</v>
      </c>
    </row>
    <row r="2185">
      <c r="A2185" s="1">
        <v>544928.0</v>
      </c>
      <c r="B2185" s="1" t="str">
        <f t="shared" si="1"/>
        <v>544928</v>
      </c>
      <c r="C2185" s="1" t="str">
        <f t="shared" si="2"/>
        <v>Sale</v>
      </c>
      <c r="D2185" s="1">
        <v>21955.0</v>
      </c>
      <c r="E2185" s="1" t="str">
        <f>IFERROR(__xludf.DUMMYFUNCTION("IF(LEN(D2185)&gt;4, IFERROR(REGEXEXTRACT(TO_TEXT(D2185),""\d+""),""""),"""")"),"21955")</f>
        <v>21955</v>
      </c>
      <c r="F2185" s="6" t="str">
        <f t="shared" si="3"/>
        <v>Product</v>
      </c>
      <c r="G2185" s="1" t="s">
        <v>405</v>
      </c>
      <c r="H2185" s="6" t="str">
        <f>IFERROR(__xludf.DUMMYFUNCTION("IF(REGEXMATCH(LOWER(G2185), ""^(\?)+\s*(missing)?\s*(\?)*$""), """", PROPER(SUBSTITUTE(SUBSTITUTE(G2185, ""?"", """"), ""*"", """")))"),"Doormat Union Jack Guns And Roses")</f>
        <v>Doormat Union Jack Guns And Roses</v>
      </c>
      <c r="I2185" s="3">
        <v>1.0</v>
      </c>
      <c r="J2185" s="7">
        <v>40598.75486111111</v>
      </c>
      <c r="K2185" s="8" t="str">
        <f t="shared" si="4"/>
        <v>2011-02</v>
      </c>
      <c r="L2185" s="5">
        <v>15.79</v>
      </c>
      <c r="M2185" s="10"/>
      <c r="N2185" s="1" t="str">
        <f t="shared" si="5"/>
        <v>Guest</v>
      </c>
      <c r="O2185" s="1" t="s">
        <v>19</v>
      </c>
      <c r="P2185" s="9" t="str">
        <f t="shared" si="6"/>
        <v>UK</v>
      </c>
      <c r="Q2185" s="8">
        <f t="shared" si="7"/>
        <v>15.79</v>
      </c>
    </row>
    <row r="2186">
      <c r="A2186" s="1">
        <v>544928.0</v>
      </c>
      <c r="B2186" s="1" t="str">
        <f t="shared" si="1"/>
        <v>544928</v>
      </c>
      <c r="C2186" s="1" t="str">
        <f t="shared" si="2"/>
        <v>Sale</v>
      </c>
      <c r="D2186" s="1">
        <v>21985.0</v>
      </c>
      <c r="E2186" s="1" t="str">
        <f>IFERROR(__xludf.DUMMYFUNCTION("IF(LEN(D2186)&gt;4, IFERROR(REGEXEXTRACT(TO_TEXT(D2186),""\d+""),""""),"""")"),"21985")</f>
        <v>21985</v>
      </c>
      <c r="F2186" s="6" t="str">
        <f t="shared" si="3"/>
        <v>Product</v>
      </c>
      <c r="G2186" s="1" t="s">
        <v>579</v>
      </c>
      <c r="H2186" s="6" t="str">
        <f>IFERROR(__xludf.DUMMYFUNCTION("IF(REGEXMATCH(LOWER(G2186), ""^(\?)+\s*(missing)?\s*(\?)*$""), """", PROPER(SUBSTITUTE(SUBSTITUTE(G2186, ""?"", """"), ""*"", """")))"),"Pack Of 12 Hearts Design Tissues")</f>
        <v>Pack Of 12 Hearts Design Tissues</v>
      </c>
      <c r="I2186" s="3">
        <v>1.0</v>
      </c>
      <c r="J2186" s="7">
        <v>40598.75486111111</v>
      </c>
      <c r="K2186" s="8" t="str">
        <f t="shared" si="4"/>
        <v>2011-02</v>
      </c>
      <c r="L2186" s="5">
        <v>0.83</v>
      </c>
      <c r="M2186" s="10"/>
      <c r="N2186" s="1" t="str">
        <f t="shared" si="5"/>
        <v>Guest</v>
      </c>
      <c r="O2186" s="1" t="s">
        <v>19</v>
      </c>
      <c r="P2186" s="9" t="str">
        <f t="shared" si="6"/>
        <v>UK</v>
      </c>
      <c r="Q2186" s="8">
        <f t="shared" si="7"/>
        <v>0.83</v>
      </c>
    </row>
    <row r="2187">
      <c r="A2187" s="1">
        <v>544928.0</v>
      </c>
      <c r="B2187" s="1" t="str">
        <f t="shared" si="1"/>
        <v>544928</v>
      </c>
      <c r="C2187" s="1" t="str">
        <f t="shared" si="2"/>
        <v>Sale</v>
      </c>
      <c r="D2187" s="1">
        <v>21991.0</v>
      </c>
      <c r="E2187" s="1" t="str">
        <f>IFERROR(__xludf.DUMMYFUNCTION("IF(LEN(D2187)&gt;4, IFERROR(REGEXEXTRACT(TO_TEXT(D2187),""\d+""),""""),"""")"),"21991")</f>
        <v>21991</v>
      </c>
      <c r="F2187" s="6" t="str">
        <f t="shared" si="3"/>
        <v>Product</v>
      </c>
      <c r="G2187" s="1" t="s">
        <v>1191</v>
      </c>
      <c r="H2187" s="6" t="str">
        <f>IFERROR(__xludf.DUMMYFUNCTION("IF(REGEXMATCH(LOWER(G2187), ""^(\?)+\s*(missing)?\s*(\?)*$""), """", PROPER(SUBSTITUTE(SUBSTITUTE(G2187, ""?"", """"), ""*"", """")))"),"Bohemian Collage Stationery Set")</f>
        <v>Bohemian Collage Stationery Set</v>
      </c>
      <c r="I2187" s="3">
        <v>1.0</v>
      </c>
      <c r="J2187" s="7">
        <v>40598.75486111111</v>
      </c>
      <c r="K2187" s="8" t="str">
        <f t="shared" si="4"/>
        <v>2011-02</v>
      </c>
      <c r="L2187" s="5">
        <v>2.46</v>
      </c>
      <c r="M2187" s="10"/>
      <c r="N2187" s="1" t="str">
        <f t="shared" si="5"/>
        <v>Guest</v>
      </c>
      <c r="O2187" s="1" t="s">
        <v>19</v>
      </c>
      <c r="P2187" s="9" t="str">
        <f t="shared" si="6"/>
        <v>UK</v>
      </c>
      <c r="Q2187" s="8">
        <f t="shared" si="7"/>
        <v>2.46</v>
      </c>
    </row>
    <row r="2188">
      <c r="A2188" s="1">
        <v>544928.0</v>
      </c>
      <c r="B2188" s="1" t="str">
        <f t="shared" si="1"/>
        <v>544928</v>
      </c>
      <c r="C2188" s="1" t="str">
        <f t="shared" si="2"/>
        <v>Sale</v>
      </c>
      <c r="D2188" s="1">
        <v>21992.0</v>
      </c>
      <c r="E2188" s="1" t="str">
        <f>IFERROR(__xludf.DUMMYFUNCTION("IF(LEN(D2188)&gt;4, IFERROR(REGEXEXTRACT(TO_TEXT(D2188),""\d+""),""""),"""")"),"21992")</f>
        <v>21992</v>
      </c>
      <c r="F2188" s="6" t="str">
        <f t="shared" si="3"/>
        <v>Product</v>
      </c>
      <c r="G2188" s="1" t="s">
        <v>583</v>
      </c>
      <c r="H2188" s="6" t="str">
        <f>IFERROR(__xludf.DUMMYFUNCTION("IF(REGEXMATCH(LOWER(G2188), ""^(\?)+\s*(missing)?\s*(\?)*$""), """", PROPER(SUBSTITUTE(SUBSTITUTE(G2188, ""?"", """"), ""*"", """")))"),"Vintage Paisley Stationery Set")</f>
        <v>Vintage Paisley Stationery Set</v>
      </c>
      <c r="I2188" s="3">
        <v>4.0</v>
      </c>
      <c r="J2188" s="7">
        <v>40598.75486111111</v>
      </c>
      <c r="K2188" s="8" t="str">
        <f t="shared" si="4"/>
        <v>2011-02</v>
      </c>
      <c r="L2188" s="5">
        <v>2.46</v>
      </c>
      <c r="M2188" s="10"/>
      <c r="N2188" s="1" t="str">
        <f t="shared" si="5"/>
        <v>Guest</v>
      </c>
      <c r="O2188" s="1" t="s">
        <v>19</v>
      </c>
      <c r="P2188" s="9" t="str">
        <f t="shared" si="6"/>
        <v>UK</v>
      </c>
      <c r="Q2188" s="8">
        <f t="shared" si="7"/>
        <v>9.84</v>
      </c>
    </row>
    <row r="2189">
      <c r="A2189" s="1">
        <v>544928.0</v>
      </c>
      <c r="B2189" s="1" t="str">
        <f t="shared" si="1"/>
        <v>544928</v>
      </c>
      <c r="C2189" s="1" t="str">
        <f t="shared" si="2"/>
        <v>Sale</v>
      </c>
      <c r="D2189" s="1">
        <v>21993.0</v>
      </c>
      <c r="E2189" s="1" t="str">
        <f>IFERROR(__xludf.DUMMYFUNCTION("IF(LEN(D2189)&gt;4, IFERROR(REGEXEXTRACT(TO_TEXT(D2189),""\d+""),""""),"""")"),"21993")</f>
        <v>21993</v>
      </c>
      <c r="F2189" s="6" t="str">
        <f t="shared" si="3"/>
        <v>Product</v>
      </c>
      <c r="G2189" s="1" t="s">
        <v>1192</v>
      </c>
      <c r="H2189" s="6" t="str">
        <f>IFERROR(__xludf.DUMMYFUNCTION("IF(REGEXMATCH(LOWER(G2189), ""^(\?)+\s*(missing)?\s*(\?)*$""), """", PROPER(SUBSTITUTE(SUBSTITUTE(G2189, ""?"", """"), ""*"", """")))"),"Floral Folk Stationery Set")</f>
        <v>Floral Folk Stationery Set</v>
      </c>
      <c r="I2189" s="3">
        <v>1.0</v>
      </c>
      <c r="J2189" s="7">
        <v>40598.75486111111</v>
      </c>
      <c r="K2189" s="8" t="str">
        <f t="shared" si="4"/>
        <v>2011-02</v>
      </c>
      <c r="L2189" s="5">
        <v>2.46</v>
      </c>
      <c r="M2189" s="10"/>
      <c r="N2189" s="1" t="str">
        <f t="shared" si="5"/>
        <v>Guest</v>
      </c>
      <c r="O2189" s="1" t="s">
        <v>19</v>
      </c>
      <c r="P2189" s="9" t="str">
        <f t="shared" si="6"/>
        <v>UK</v>
      </c>
      <c r="Q2189" s="8">
        <f t="shared" si="7"/>
        <v>2.46</v>
      </c>
    </row>
    <row r="2190">
      <c r="A2190" s="1">
        <v>544928.0</v>
      </c>
      <c r="B2190" s="1" t="str">
        <f t="shared" si="1"/>
        <v>544928</v>
      </c>
      <c r="C2190" s="1" t="str">
        <f t="shared" si="2"/>
        <v>Sale</v>
      </c>
      <c r="D2190" s="1">
        <v>22055.0</v>
      </c>
      <c r="E2190" s="1" t="str">
        <f>IFERROR(__xludf.DUMMYFUNCTION("IF(LEN(D2190)&gt;4, IFERROR(REGEXEXTRACT(TO_TEXT(D2190),""\d+""),""""),"""")"),"22055")</f>
        <v>22055</v>
      </c>
      <c r="F2190" s="6" t="str">
        <f t="shared" si="3"/>
        <v>Product</v>
      </c>
      <c r="G2190" s="1" t="s">
        <v>1126</v>
      </c>
      <c r="H2190" s="6" t="str">
        <f>IFERROR(__xludf.DUMMYFUNCTION("IF(REGEXMATCH(LOWER(G2190), ""^(\?)+\s*(missing)?\s*(\?)*$""), """", PROPER(SUBSTITUTE(SUBSTITUTE(G2190, ""?"", """"), ""*"", """")))"),"Mini Cake Stand Hanging Strawbery")</f>
        <v>Mini Cake Stand Hanging Strawbery</v>
      </c>
      <c r="I2190" s="3">
        <v>2.0</v>
      </c>
      <c r="J2190" s="7">
        <v>40598.75486111111</v>
      </c>
      <c r="K2190" s="8" t="str">
        <f t="shared" si="4"/>
        <v>2011-02</v>
      </c>
      <c r="L2190" s="5">
        <v>3.29</v>
      </c>
      <c r="M2190" s="10"/>
      <c r="N2190" s="1" t="str">
        <f t="shared" si="5"/>
        <v>Guest</v>
      </c>
      <c r="O2190" s="1" t="s">
        <v>19</v>
      </c>
      <c r="P2190" s="9" t="str">
        <f t="shared" si="6"/>
        <v>UK</v>
      </c>
      <c r="Q2190" s="8">
        <f t="shared" si="7"/>
        <v>6.58</v>
      </c>
    </row>
    <row r="2191">
      <c r="A2191" s="1">
        <v>544928.0</v>
      </c>
      <c r="B2191" s="1" t="str">
        <f t="shared" si="1"/>
        <v>544928</v>
      </c>
      <c r="C2191" s="1" t="str">
        <f t="shared" si="2"/>
        <v>Sale</v>
      </c>
      <c r="D2191" s="1">
        <v>22064.0</v>
      </c>
      <c r="E2191" s="1" t="str">
        <f>IFERROR(__xludf.DUMMYFUNCTION("IF(LEN(D2191)&gt;4, IFERROR(REGEXEXTRACT(TO_TEXT(D2191),""\d+""),""""),"""")"),"22064")</f>
        <v>22064</v>
      </c>
      <c r="F2191" s="6" t="str">
        <f t="shared" si="3"/>
        <v>Product</v>
      </c>
      <c r="G2191" s="1" t="s">
        <v>265</v>
      </c>
      <c r="H2191" s="6" t="str">
        <f>IFERROR(__xludf.DUMMYFUNCTION("IF(REGEXMATCH(LOWER(G2191), ""^(\?)+\s*(missing)?\s*(\?)*$""), """", PROPER(SUBSTITUTE(SUBSTITUTE(G2191, ""?"", """"), ""*"", """")))"),"Pink Doughnut Trinket Pot")</f>
        <v>Pink Doughnut Trinket Pot</v>
      </c>
      <c r="I2191" s="3">
        <v>3.0</v>
      </c>
      <c r="J2191" s="7">
        <v>40598.75486111111</v>
      </c>
      <c r="K2191" s="8" t="str">
        <f t="shared" si="4"/>
        <v>2011-02</v>
      </c>
      <c r="L2191" s="5">
        <v>3.29</v>
      </c>
      <c r="M2191" s="10"/>
      <c r="N2191" s="1" t="str">
        <f t="shared" si="5"/>
        <v>Guest</v>
      </c>
      <c r="O2191" s="1" t="s">
        <v>19</v>
      </c>
      <c r="P2191" s="9" t="str">
        <f t="shared" si="6"/>
        <v>UK</v>
      </c>
      <c r="Q2191" s="8">
        <f t="shared" si="7"/>
        <v>9.87</v>
      </c>
    </row>
    <row r="2192">
      <c r="A2192" s="1">
        <v>544928.0</v>
      </c>
      <c r="B2192" s="1" t="str">
        <f t="shared" si="1"/>
        <v>544928</v>
      </c>
      <c r="C2192" s="1" t="str">
        <f t="shared" si="2"/>
        <v>Sale</v>
      </c>
      <c r="D2192" s="1">
        <v>22090.0</v>
      </c>
      <c r="E2192" s="1" t="str">
        <f>IFERROR(__xludf.DUMMYFUNCTION("IF(LEN(D2192)&gt;4, IFERROR(REGEXEXTRACT(TO_TEXT(D2192),""\d+""),""""),"""")"),"22090")</f>
        <v>22090</v>
      </c>
      <c r="F2192" s="6" t="str">
        <f t="shared" si="3"/>
        <v>Product</v>
      </c>
      <c r="G2192" s="1" t="s">
        <v>1015</v>
      </c>
      <c r="H2192" s="6" t="str">
        <f>IFERROR(__xludf.DUMMYFUNCTION("IF(REGEXMATCH(LOWER(G2192), ""^(\?)+\s*(missing)?\s*(\?)*$""), """", PROPER(SUBSTITUTE(SUBSTITUTE(G2192, ""?"", """"), ""*"", """")))"),"Paper Bunting Retrospot")</f>
        <v>Paper Bunting Retrospot</v>
      </c>
      <c r="I2192" s="3">
        <v>2.0</v>
      </c>
      <c r="J2192" s="7">
        <v>40598.75486111111</v>
      </c>
      <c r="K2192" s="8" t="str">
        <f t="shared" si="4"/>
        <v>2011-02</v>
      </c>
      <c r="L2192" s="5">
        <v>5.79</v>
      </c>
      <c r="M2192" s="10"/>
      <c r="N2192" s="1" t="str">
        <f t="shared" si="5"/>
        <v>Guest</v>
      </c>
      <c r="O2192" s="1" t="s">
        <v>19</v>
      </c>
      <c r="P2192" s="9" t="str">
        <f t="shared" si="6"/>
        <v>UK</v>
      </c>
      <c r="Q2192" s="8">
        <f t="shared" si="7"/>
        <v>11.58</v>
      </c>
    </row>
    <row r="2193">
      <c r="A2193" s="1">
        <v>544928.0</v>
      </c>
      <c r="B2193" s="1" t="str">
        <f t="shared" si="1"/>
        <v>544928</v>
      </c>
      <c r="C2193" s="1" t="str">
        <f t="shared" si="2"/>
        <v>Sale</v>
      </c>
      <c r="D2193" s="1">
        <v>22123.0</v>
      </c>
      <c r="E2193" s="1" t="str">
        <f>IFERROR(__xludf.DUMMYFUNCTION("IF(LEN(D2193)&gt;4, IFERROR(REGEXEXTRACT(TO_TEXT(D2193),""\d+""),""""),"""")"),"22123")</f>
        <v>22123</v>
      </c>
      <c r="F2193" s="6" t="str">
        <f t="shared" si="3"/>
        <v>Product</v>
      </c>
      <c r="G2193" s="1" t="s">
        <v>1193</v>
      </c>
      <c r="H2193" s="6" t="str">
        <f>IFERROR(__xludf.DUMMYFUNCTION("IF(REGEXMATCH(LOWER(G2193), ""^(\?)+\s*(missing)?\s*(\?)*$""), """", PROPER(SUBSTITUTE(SUBSTITUTE(G2193, ""?"", """"), ""*"", """")))"),"Ping Microwave Apron")</f>
        <v>Ping Microwave Apron</v>
      </c>
      <c r="I2193" s="3">
        <v>2.0</v>
      </c>
      <c r="J2193" s="7">
        <v>40598.75486111111</v>
      </c>
      <c r="K2193" s="8" t="str">
        <f t="shared" si="4"/>
        <v>2011-02</v>
      </c>
      <c r="L2193" s="5">
        <v>4.96</v>
      </c>
      <c r="M2193" s="10"/>
      <c r="N2193" s="1" t="str">
        <f t="shared" si="5"/>
        <v>Guest</v>
      </c>
      <c r="O2193" s="1" t="s">
        <v>19</v>
      </c>
      <c r="P2193" s="9" t="str">
        <f t="shared" si="6"/>
        <v>UK</v>
      </c>
      <c r="Q2193" s="8">
        <f t="shared" si="7"/>
        <v>9.92</v>
      </c>
    </row>
    <row r="2194">
      <c r="A2194" s="1">
        <v>544928.0</v>
      </c>
      <c r="B2194" s="1" t="str">
        <f t="shared" si="1"/>
        <v>544928</v>
      </c>
      <c r="C2194" s="1" t="str">
        <f t="shared" si="2"/>
        <v>Sale</v>
      </c>
      <c r="D2194" s="1">
        <v>22174.0</v>
      </c>
      <c r="E2194" s="1" t="str">
        <f>IFERROR(__xludf.DUMMYFUNCTION("IF(LEN(D2194)&gt;4, IFERROR(REGEXEXTRACT(TO_TEXT(D2194),""\d+""),""""),"""")"),"22174")</f>
        <v>22174</v>
      </c>
      <c r="F2194" s="6" t="str">
        <f t="shared" si="3"/>
        <v>Product</v>
      </c>
      <c r="G2194" s="1" t="s">
        <v>226</v>
      </c>
      <c r="H2194" s="6" t="str">
        <f>IFERROR(__xludf.DUMMYFUNCTION("IF(REGEXMATCH(LOWER(G2194), ""^(\?)+\s*(missing)?\s*(\?)*$""), """", PROPER(SUBSTITUTE(SUBSTITUTE(G2194, ""?"", """"), ""*"", """")))"),"Photo Cube")</f>
        <v>Photo Cube</v>
      </c>
      <c r="I2194" s="3">
        <v>1.0</v>
      </c>
      <c r="J2194" s="7">
        <v>40598.75486111111</v>
      </c>
      <c r="K2194" s="8" t="str">
        <f t="shared" si="4"/>
        <v>2011-02</v>
      </c>
      <c r="L2194" s="5">
        <v>3.29</v>
      </c>
      <c r="M2194" s="10"/>
      <c r="N2194" s="1" t="str">
        <f t="shared" si="5"/>
        <v>Guest</v>
      </c>
      <c r="O2194" s="1" t="s">
        <v>19</v>
      </c>
      <c r="P2194" s="9" t="str">
        <f t="shared" si="6"/>
        <v>UK</v>
      </c>
      <c r="Q2194" s="8">
        <f t="shared" si="7"/>
        <v>3.29</v>
      </c>
    </row>
    <row r="2195">
      <c r="A2195" s="1">
        <v>544928.0</v>
      </c>
      <c r="B2195" s="1" t="str">
        <f t="shared" si="1"/>
        <v>544928</v>
      </c>
      <c r="C2195" s="1" t="str">
        <f t="shared" si="2"/>
        <v>Sale</v>
      </c>
      <c r="D2195" s="1">
        <v>22180.0</v>
      </c>
      <c r="E2195" s="1" t="str">
        <f>IFERROR(__xludf.DUMMYFUNCTION("IF(LEN(D2195)&gt;4, IFERROR(REGEXEXTRACT(TO_TEXT(D2195),""\d+""),""""),"""")"),"22180")</f>
        <v>22180</v>
      </c>
      <c r="F2195" s="6" t="str">
        <f t="shared" si="3"/>
        <v>Product</v>
      </c>
      <c r="G2195" s="1" t="s">
        <v>244</v>
      </c>
      <c r="H2195" s="6" t="str">
        <f>IFERROR(__xludf.DUMMYFUNCTION("IF(REGEXMATCH(LOWER(G2195), ""^(\?)+\s*(missing)?\s*(\?)*$""), """", PROPER(SUBSTITUTE(SUBSTITUTE(G2195, ""?"", """"), ""*"", """")))"),"Retrospot Lamp")</f>
        <v>Retrospot Lamp</v>
      </c>
      <c r="I2195" s="3">
        <v>1.0</v>
      </c>
      <c r="J2195" s="7">
        <v>40598.75486111111</v>
      </c>
      <c r="K2195" s="8" t="str">
        <f t="shared" si="4"/>
        <v>2011-02</v>
      </c>
      <c r="L2195" s="5">
        <v>20.79</v>
      </c>
      <c r="M2195" s="10"/>
      <c r="N2195" s="1" t="str">
        <f t="shared" si="5"/>
        <v>Guest</v>
      </c>
      <c r="O2195" s="1" t="s">
        <v>19</v>
      </c>
      <c r="P2195" s="9" t="str">
        <f t="shared" si="6"/>
        <v>UK</v>
      </c>
      <c r="Q2195" s="8">
        <f t="shared" si="7"/>
        <v>20.79</v>
      </c>
    </row>
    <row r="2196">
      <c r="A2196" s="1">
        <v>544928.0</v>
      </c>
      <c r="B2196" s="1" t="str">
        <f t="shared" si="1"/>
        <v>544928</v>
      </c>
      <c r="C2196" s="1" t="str">
        <f t="shared" si="2"/>
        <v>Sale</v>
      </c>
      <c r="D2196" s="1">
        <v>22183.0</v>
      </c>
      <c r="E2196" s="1" t="str">
        <f>IFERROR(__xludf.DUMMYFUNCTION("IF(LEN(D2196)&gt;4, IFERROR(REGEXEXTRACT(TO_TEXT(D2196),""\d+""),""""),"""")"),"22183")</f>
        <v>22183</v>
      </c>
      <c r="F2196" s="6" t="str">
        <f t="shared" si="3"/>
        <v>Product</v>
      </c>
      <c r="G2196" s="1" t="s">
        <v>411</v>
      </c>
      <c r="H2196" s="6" t="str">
        <f>IFERROR(__xludf.DUMMYFUNCTION("IF(REGEXMATCH(LOWER(G2196), ""^(\?)+\s*(missing)?\s*(\?)*$""), """", PROPER(SUBSTITUTE(SUBSTITUTE(G2196, ""?"", """"), ""*"", """")))"),"Cake Stand Victorian Filigree Med")</f>
        <v>Cake Stand Victorian Filigree Med</v>
      </c>
      <c r="I2196" s="3">
        <v>1.0</v>
      </c>
      <c r="J2196" s="7">
        <v>40598.75486111111</v>
      </c>
      <c r="K2196" s="8" t="str">
        <f t="shared" si="4"/>
        <v>2011-02</v>
      </c>
      <c r="L2196" s="5">
        <v>5.79</v>
      </c>
      <c r="M2196" s="10"/>
      <c r="N2196" s="1" t="str">
        <f t="shared" si="5"/>
        <v>Guest</v>
      </c>
      <c r="O2196" s="1" t="s">
        <v>19</v>
      </c>
      <c r="P2196" s="9" t="str">
        <f t="shared" si="6"/>
        <v>UK</v>
      </c>
      <c r="Q2196" s="8">
        <f t="shared" si="7"/>
        <v>5.79</v>
      </c>
    </row>
    <row r="2197">
      <c r="A2197" s="1">
        <v>544928.0</v>
      </c>
      <c r="B2197" s="1" t="str">
        <f t="shared" si="1"/>
        <v>544928</v>
      </c>
      <c r="C2197" s="1" t="str">
        <f t="shared" si="2"/>
        <v>Sale</v>
      </c>
      <c r="D2197" s="1">
        <v>22245.0</v>
      </c>
      <c r="E2197" s="1" t="str">
        <f>IFERROR(__xludf.DUMMYFUNCTION("IF(LEN(D2197)&gt;4, IFERROR(REGEXEXTRACT(TO_TEXT(D2197),""\d+""),""""),"""")"),"22245")</f>
        <v>22245</v>
      </c>
      <c r="F2197" s="6" t="str">
        <f t="shared" si="3"/>
        <v>Product</v>
      </c>
      <c r="G2197" s="1" t="s">
        <v>885</v>
      </c>
      <c r="H2197" s="6" t="str">
        <f>IFERROR(__xludf.DUMMYFUNCTION("IF(REGEXMATCH(LOWER(G2197), ""^(\?)+\s*(missing)?\s*(\?)*$""), """", PROPER(SUBSTITUTE(SUBSTITUTE(G2197, ""?"", """"), ""*"", """")))"),"Hook, 1 Hanger ,Magic Garden")</f>
        <v>Hook, 1 Hanger ,Magic Garden</v>
      </c>
      <c r="I2197" s="3">
        <v>2.0</v>
      </c>
      <c r="J2197" s="7">
        <v>40598.75486111111</v>
      </c>
      <c r="K2197" s="8" t="str">
        <f t="shared" si="4"/>
        <v>2011-02</v>
      </c>
      <c r="L2197" s="5">
        <v>1.63</v>
      </c>
      <c r="M2197" s="10"/>
      <c r="N2197" s="1" t="str">
        <f t="shared" si="5"/>
        <v>Guest</v>
      </c>
      <c r="O2197" s="1" t="s">
        <v>19</v>
      </c>
      <c r="P2197" s="9" t="str">
        <f t="shared" si="6"/>
        <v>UK</v>
      </c>
      <c r="Q2197" s="8">
        <f t="shared" si="7"/>
        <v>3.26</v>
      </c>
    </row>
    <row r="2198">
      <c r="A2198" s="1">
        <v>544928.0</v>
      </c>
      <c r="B2198" s="1" t="str">
        <f t="shared" si="1"/>
        <v>544928</v>
      </c>
      <c r="C2198" s="1" t="str">
        <f t="shared" si="2"/>
        <v>Sale</v>
      </c>
      <c r="D2198" s="1">
        <v>22268.0</v>
      </c>
      <c r="E2198" s="1" t="str">
        <f>IFERROR(__xludf.DUMMYFUNCTION("IF(LEN(D2198)&gt;4, IFERROR(REGEXEXTRACT(TO_TEXT(D2198),""\d+""),""""),"""")"),"22268")</f>
        <v>22268</v>
      </c>
      <c r="F2198" s="6" t="str">
        <f t="shared" si="3"/>
        <v>Product</v>
      </c>
      <c r="G2198" s="1" t="s">
        <v>1194</v>
      </c>
      <c r="H2198" s="6" t="str">
        <f>IFERROR(__xludf.DUMMYFUNCTION("IF(REGEXMATCH(LOWER(G2198), ""^(\?)+\s*(missing)?\s*(\?)*$""), """", PROPER(SUBSTITUTE(SUBSTITUTE(G2198, ""?"", """"), ""*"", """")))"),"Easter Decoration Sitting Bunny")</f>
        <v>Easter Decoration Sitting Bunny</v>
      </c>
      <c r="I2198" s="3">
        <v>1.0</v>
      </c>
      <c r="J2198" s="7">
        <v>40598.75486111111</v>
      </c>
      <c r="K2198" s="8" t="str">
        <f t="shared" si="4"/>
        <v>2011-02</v>
      </c>
      <c r="L2198" s="5">
        <v>1.63</v>
      </c>
      <c r="M2198" s="10"/>
      <c r="N2198" s="1" t="str">
        <f t="shared" si="5"/>
        <v>Guest</v>
      </c>
      <c r="O2198" s="1" t="s">
        <v>19</v>
      </c>
      <c r="P2198" s="9" t="str">
        <f t="shared" si="6"/>
        <v>UK</v>
      </c>
      <c r="Q2198" s="8">
        <f t="shared" si="7"/>
        <v>1.63</v>
      </c>
    </row>
    <row r="2199">
      <c r="A2199" s="1">
        <v>544928.0</v>
      </c>
      <c r="B2199" s="1" t="str">
        <f t="shared" si="1"/>
        <v>544928</v>
      </c>
      <c r="C2199" s="1" t="str">
        <f t="shared" si="2"/>
        <v>Sale</v>
      </c>
      <c r="D2199" s="1">
        <v>22329.0</v>
      </c>
      <c r="E2199" s="1" t="str">
        <f>IFERROR(__xludf.DUMMYFUNCTION("IF(LEN(D2199)&gt;4, IFERROR(REGEXEXTRACT(TO_TEXT(D2199),""\d+""),""""),"""")"),"22329")</f>
        <v>22329</v>
      </c>
      <c r="F2199" s="6" t="str">
        <f t="shared" si="3"/>
        <v>Product</v>
      </c>
      <c r="G2199" s="1" t="s">
        <v>977</v>
      </c>
      <c r="H2199" s="6" t="str">
        <f>IFERROR(__xludf.DUMMYFUNCTION("IF(REGEXMATCH(LOWER(G2199), ""^(\?)+\s*(missing)?\s*(\?)*$""), """", PROPER(SUBSTITUTE(SUBSTITUTE(G2199, ""?"", """"), ""*"", """")))"),"Round Container Set Of 5 Retrospot")</f>
        <v>Round Container Set Of 5 Retrospot</v>
      </c>
      <c r="I2199" s="3">
        <v>1.0</v>
      </c>
      <c r="J2199" s="7">
        <v>40598.75486111111</v>
      </c>
      <c r="K2199" s="8" t="str">
        <f t="shared" si="4"/>
        <v>2011-02</v>
      </c>
      <c r="L2199" s="5">
        <v>3.29</v>
      </c>
      <c r="M2199" s="10"/>
      <c r="N2199" s="1" t="str">
        <f t="shared" si="5"/>
        <v>Guest</v>
      </c>
      <c r="O2199" s="1" t="s">
        <v>19</v>
      </c>
      <c r="P2199" s="9" t="str">
        <f t="shared" si="6"/>
        <v>UK</v>
      </c>
      <c r="Q2199" s="8">
        <f t="shared" si="7"/>
        <v>3.29</v>
      </c>
    </row>
    <row r="2200">
      <c r="A2200" s="1">
        <v>544928.0</v>
      </c>
      <c r="B2200" s="1" t="str">
        <f t="shared" si="1"/>
        <v>544928</v>
      </c>
      <c r="C2200" s="1" t="str">
        <f t="shared" si="2"/>
        <v>Sale</v>
      </c>
      <c r="D2200" s="1">
        <v>22349.0</v>
      </c>
      <c r="E2200" s="1" t="str">
        <f>IFERROR(__xludf.DUMMYFUNCTION("IF(LEN(D2200)&gt;4, IFERROR(REGEXEXTRACT(TO_TEXT(D2200),""\d+""),""""),"""")"),"22349")</f>
        <v>22349</v>
      </c>
      <c r="F2200" s="6" t="str">
        <f t="shared" si="3"/>
        <v>Product</v>
      </c>
      <c r="G2200" s="1" t="s">
        <v>249</v>
      </c>
      <c r="H2200" s="6" t="str">
        <f>IFERROR(__xludf.DUMMYFUNCTION("IF(REGEXMATCH(LOWER(G2200), ""^(\?)+\s*(missing)?\s*(\?)*$""), """", PROPER(SUBSTITUTE(SUBSTITUTE(G2200, ""?"", """"), ""*"", """")))"),"Dog Bowl Chasing Ball Design")</f>
        <v>Dog Bowl Chasing Ball Design</v>
      </c>
      <c r="I2200" s="3">
        <v>1.0</v>
      </c>
      <c r="J2200" s="7">
        <v>40598.75486111111</v>
      </c>
      <c r="K2200" s="8" t="str">
        <f t="shared" si="4"/>
        <v>2011-02</v>
      </c>
      <c r="L2200" s="5">
        <v>7.46</v>
      </c>
      <c r="M2200" s="10"/>
      <c r="N2200" s="1" t="str">
        <f t="shared" si="5"/>
        <v>Guest</v>
      </c>
      <c r="O2200" s="1" t="s">
        <v>19</v>
      </c>
      <c r="P2200" s="9" t="str">
        <f t="shared" si="6"/>
        <v>UK</v>
      </c>
      <c r="Q2200" s="8">
        <f t="shared" si="7"/>
        <v>7.46</v>
      </c>
    </row>
    <row r="2201">
      <c r="A2201" s="1">
        <v>544928.0</v>
      </c>
      <c r="B2201" s="1" t="str">
        <f t="shared" si="1"/>
        <v>544928</v>
      </c>
      <c r="C2201" s="1" t="str">
        <f t="shared" si="2"/>
        <v>Sale</v>
      </c>
      <c r="D2201" s="1">
        <v>22356.0</v>
      </c>
      <c r="E2201" s="1" t="str">
        <f>IFERROR(__xludf.DUMMYFUNCTION("IF(LEN(D2201)&gt;4, IFERROR(REGEXEXTRACT(TO_TEXT(D2201),""\d+""),""""),"""")"),"22356")</f>
        <v>22356</v>
      </c>
      <c r="F2201" s="6" t="str">
        <f t="shared" si="3"/>
        <v>Product</v>
      </c>
      <c r="G2201" s="1" t="s">
        <v>808</v>
      </c>
      <c r="H2201" s="6" t="str">
        <f>IFERROR(__xludf.DUMMYFUNCTION("IF(REGEXMATCH(LOWER(G2201), ""^(\?)+\s*(missing)?\s*(\?)*$""), """", PROPER(SUBSTITUTE(SUBSTITUTE(G2201, ""?"", """"), ""*"", """")))"),"Charlotte Bag Pink Polkadot")</f>
        <v>Charlotte Bag Pink Polkadot</v>
      </c>
      <c r="I2201" s="3">
        <v>1.0</v>
      </c>
      <c r="J2201" s="7">
        <v>40598.75486111111</v>
      </c>
      <c r="K2201" s="8" t="str">
        <f t="shared" si="4"/>
        <v>2011-02</v>
      </c>
      <c r="L2201" s="5">
        <v>1.63</v>
      </c>
      <c r="M2201" s="10"/>
      <c r="N2201" s="1" t="str">
        <f t="shared" si="5"/>
        <v>Guest</v>
      </c>
      <c r="O2201" s="1" t="s">
        <v>19</v>
      </c>
      <c r="P2201" s="9" t="str">
        <f t="shared" si="6"/>
        <v>UK</v>
      </c>
      <c r="Q2201" s="8">
        <f t="shared" si="7"/>
        <v>1.63</v>
      </c>
    </row>
    <row r="2202">
      <c r="A2202" s="1">
        <v>544928.0</v>
      </c>
      <c r="B2202" s="1" t="str">
        <f t="shared" si="1"/>
        <v>544928</v>
      </c>
      <c r="C2202" s="1" t="str">
        <f t="shared" si="2"/>
        <v>Sale</v>
      </c>
      <c r="D2202" s="1">
        <v>22378.0</v>
      </c>
      <c r="E2202" s="1" t="str">
        <f>IFERROR(__xludf.DUMMYFUNCTION("IF(LEN(D2202)&gt;4, IFERROR(REGEXEXTRACT(TO_TEXT(D2202),""\d+""),""""),"""")"),"22378")</f>
        <v>22378</v>
      </c>
      <c r="F2202" s="6" t="str">
        <f t="shared" si="3"/>
        <v>Product</v>
      </c>
      <c r="G2202" s="1" t="s">
        <v>1078</v>
      </c>
      <c r="H2202" s="6" t="str">
        <f>IFERROR(__xludf.DUMMYFUNCTION("IF(REGEXMATCH(LOWER(G2202), ""^(\?)+\s*(missing)?\s*(\?)*$""), """", PROPER(SUBSTITUTE(SUBSTITUTE(G2202, ""?"", """"), ""*"", """")))"),"Wall Tidy Retrospot")</f>
        <v>Wall Tidy Retrospot</v>
      </c>
      <c r="I2202" s="3">
        <v>1.0</v>
      </c>
      <c r="J2202" s="7">
        <v>40598.75486111111</v>
      </c>
      <c r="K2202" s="8" t="str">
        <f t="shared" si="4"/>
        <v>2011-02</v>
      </c>
      <c r="L2202" s="5">
        <v>4.13</v>
      </c>
      <c r="M2202" s="10"/>
      <c r="N2202" s="1" t="str">
        <f t="shared" si="5"/>
        <v>Guest</v>
      </c>
      <c r="O2202" s="1" t="s">
        <v>19</v>
      </c>
      <c r="P2202" s="9" t="str">
        <f t="shared" si="6"/>
        <v>UK</v>
      </c>
      <c r="Q2202" s="8">
        <f t="shared" si="7"/>
        <v>4.13</v>
      </c>
    </row>
    <row r="2203">
      <c r="A2203" s="1">
        <v>544928.0</v>
      </c>
      <c r="B2203" s="1" t="str">
        <f t="shared" si="1"/>
        <v>544928</v>
      </c>
      <c r="C2203" s="1" t="str">
        <f t="shared" si="2"/>
        <v>Sale</v>
      </c>
      <c r="D2203" s="1">
        <v>22393.0</v>
      </c>
      <c r="E2203" s="1" t="str">
        <f>IFERROR(__xludf.DUMMYFUNCTION("IF(LEN(D2203)&gt;4, IFERROR(REGEXEXTRACT(TO_TEXT(D2203),""\d+""),""""),"""")"),"22393")</f>
        <v>22393</v>
      </c>
      <c r="F2203" s="6" t="str">
        <f t="shared" si="3"/>
        <v>Product</v>
      </c>
      <c r="G2203" s="1" t="s">
        <v>1195</v>
      </c>
      <c r="H2203" s="6" t="str">
        <f>IFERROR(__xludf.DUMMYFUNCTION("IF(REGEXMATCH(LOWER(G2203), ""^(\?)+\s*(missing)?\s*(\?)*$""), """", PROPER(SUBSTITUTE(SUBSTITUTE(G2203, ""?"", """"), ""*"", """")))"),"Paperweight Vintage Collage")</f>
        <v>Paperweight Vintage Collage</v>
      </c>
      <c r="I2203" s="3">
        <v>1.0</v>
      </c>
      <c r="J2203" s="7">
        <v>40598.75486111111</v>
      </c>
      <c r="K2203" s="8" t="str">
        <f t="shared" si="4"/>
        <v>2011-02</v>
      </c>
      <c r="L2203" s="5">
        <v>4.96</v>
      </c>
      <c r="M2203" s="10"/>
      <c r="N2203" s="1" t="str">
        <f t="shared" si="5"/>
        <v>Guest</v>
      </c>
      <c r="O2203" s="1" t="s">
        <v>19</v>
      </c>
      <c r="P2203" s="9" t="str">
        <f t="shared" si="6"/>
        <v>UK</v>
      </c>
      <c r="Q2203" s="8">
        <f t="shared" si="7"/>
        <v>4.96</v>
      </c>
    </row>
    <row r="2204">
      <c r="A2204" s="1">
        <v>544928.0</v>
      </c>
      <c r="B2204" s="1" t="str">
        <f t="shared" si="1"/>
        <v>544928</v>
      </c>
      <c r="C2204" s="1" t="str">
        <f t="shared" si="2"/>
        <v>Sale</v>
      </c>
      <c r="D2204" s="1">
        <v>22395.0</v>
      </c>
      <c r="E2204" s="1" t="str">
        <f>IFERROR(__xludf.DUMMYFUNCTION("IF(LEN(D2204)&gt;4, IFERROR(REGEXEXTRACT(TO_TEXT(D2204),""\d+""),""""),"""")"),"22395")</f>
        <v>22395</v>
      </c>
      <c r="F2204" s="6" t="str">
        <f t="shared" si="3"/>
        <v>Product</v>
      </c>
      <c r="G2204" s="1" t="s">
        <v>1196</v>
      </c>
      <c r="H2204" s="6" t="str">
        <f>IFERROR(__xludf.DUMMYFUNCTION("IF(REGEXMATCH(LOWER(G2204), ""^(\?)+\s*(missing)?\s*(\?)*$""), """", PROPER(SUBSTITUTE(SUBSTITUTE(G2204, ""?"", """"), ""*"", """")))"),"Paperweight Vintage Paisley")</f>
        <v>Paperweight Vintage Paisley</v>
      </c>
      <c r="I2204" s="3">
        <v>1.0</v>
      </c>
      <c r="J2204" s="7">
        <v>40598.75486111111</v>
      </c>
      <c r="K2204" s="8" t="str">
        <f t="shared" si="4"/>
        <v>2011-02</v>
      </c>
      <c r="L2204" s="5">
        <v>4.96</v>
      </c>
      <c r="M2204" s="10"/>
      <c r="N2204" s="1" t="str">
        <f t="shared" si="5"/>
        <v>Guest</v>
      </c>
      <c r="O2204" s="1" t="s">
        <v>19</v>
      </c>
      <c r="P2204" s="9" t="str">
        <f t="shared" si="6"/>
        <v>UK</v>
      </c>
      <c r="Q2204" s="8">
        <f t="shared" si="7"/>
        <v>4.96</v>
      </c>
    </row>
    <row r="2205">
      <c r="A2205" s="1">
        <v>544928.0</v>
      </c>
      <c r="B2205" s="1" t="str">
        <f t="shared" si="1"/>
        <v>544928</v>
      </c>
      <c r="C2205" s="1" t="str">
        <f t="shared" si="2"/>
        <v>Sale</v>
      </c>
      <c r="D2205" s="1">
        <v>22409.0</v>
      </c>
      <c r="E2205" s="1" t="str">
        <f>IFERROR(__xludf.DUMMYFUNCTION("IF(LEN(D2205)&gt;4, IFERROR(REGEXEXTRACT(TO_TEXT(D2205),""\d+""),""""),"""")"),"22409")</f>
        <v>22409</v>
      </c>
      <c r="F2205" s="6" t="str">
        <f t="shared" si="3"/>
        <v>Product</v>
      </c>
      <c r="G2205" s="1" t="s">
        <v>1197</v>
      </c>
      <c r="H2205" s="6" t="str">
        <f>IFERROR(__xludf.DUMMYFUNCTION("IF(REGEXMATCH(LOWER(G2205), ""^(\?)+\s*(missing)?\s*(\?)*$""), """", PROPER(SUBSTITUTE(SUBSTITUTE(G2205, ""?"", """"), ""*"", """")))"),"Money Box Biscuits Design")</f>
        <v>Money Box Biscuits Design</v>
      </c>
      <c r="I2205" s="3">
        <v>1.0</v>
      </c>
      <c r="J2205" s="7">
        <v>40598.75486111111</v>
      </c>
      <c r="K2205" s="8" t="str">
        <f t="shared" si="4"/>
        <v>2011-02</v>
      </c>
      <c r="L2205" s="5">
        <v>2.46</v>
      </c>
      <c r="M2205" s="10"/>
      <c r="N2205" s="1" t="str">
        <f t="shared" si="5"/>
        <v>Guest</v>
      </c>
      <c r="O2205" s="1" t="s">
        <v>19</v>
      </c>
      <c r="P2205" s="9" t="str">
        <f t="shared" si="6"/>
        <v>UK</v>
      </c>
      <c r="Q2205" s="8">
        <f t="shared" si="7"/>
        <v>2.46</v>
      </c>
    </row>
    <row r="2206">
      <c r="A2206" s="1">
        <v>544928.0</v>
      </c>
      <c r="B2206" s="1" t="str">
        <f t="shared" si="1"/>
        <v>544928</v>
      </c>
      <c r="C2206" s="1" t="str">
        <f t="shared" si="2"/>
        <v>Sale</v>
      </c>
      <c r="D2206" s="1">
        <v>22441.0</v>
      </c>
      <c r="E2206" s="1" t="str">
        <f>IFERROR(__xludf.DUMMYFUNCTION("IF(LEN(D2206)&gt;4, IFERROR(REGEXEXTRACT(TO_TEXT(D2206),""\d+""),""""),"""")"),"22441")</f>
        <v>22441</v>
      </c>
      <c r="F2206" s="6" t="str">
        <f t="shared" si="3"/>
        <v>Product</v>
      </c>
      <c r="G2206" s="1" t="s">
        <v>301</v>
      </c>
      <c r="H2206" s="6" t="str">
        <f>IFERROR(__xludf.DUMMYFUNCTION("IF(REGEXMATCH(LOWER(G2206), ""^(\?)+\s*(missing)?\s*(\?)*$""), """", PROPER(SUBSTITUTE(SUBSTITUTE(G2206, ""?"", """"), ""*"", """")))"),"Grow Your Own Basil In Enamel Mug")</f>
        <v>Grow Your Own Basil In Enamel Mug</v>
      </c>
      <c r="I2206" s="3">
        <v>1.0</v>
      </c>
      <c r="J2206" s="7">
        <v>40598.75486111111</v>
      </c>
      <c r="K2206" s="8" t="str">
        <f t="shared" si="4"/>
        <v>2011-02</v>
      </c>
      <c r="L2206" s="5">
        <v>4.13</v>
      </c>
      <c r="M2206" s="10"/>
      <c r="N2206" s="1" t="str">
        <f t="shared" si="5"/>
        <v>Guest</v>
      </c>
      <c r="O2206" s="1" t="s">
        <v>19</v>
      </c>
      <c r="P2206" s="9" t="str">
        <f t="shared" si="6"/>
        <v>UK</v>
      </c>
      <c r="Q2206" s="8">
        <f t="shared" si="7"/>
        <v>4.13</v>
      </c>
    </row>
    <row r="2207">
      <c r="A2207" s="1">
        <v>544928.0</v>
      </c>
      <c r="B2207" s="1" t="str">
        <f t="shared" si="1"/>
        <v>544928</v>
      </c>
      <c r="C2207" s="1" t="str">
        <f t="shared" si="2"/>
        <v>Sale</v>
      </c>
      <c r="D2207" s="1">
        <v>22457.0</v>
      </c>
      <c r="E2207" s="1" t="str">
        <f>IFERROR(__xludf.DUMMYFUNCTION("IF(LEN(D2207)&gt;4, IFERROR(REGEXEXTRACT(TO_TEXT(D2207),""\d+""),""""),"""")"),"22457")</f>
        <v>22457</v>
      </c>
      <c r="F2207" s="6" t="str">
        <f t="shared" si="3"/>
        <v>Product</v>
      </c>
      <c r="G2207" s="1" t="s">
        <v>166</v>
      </c>
      <c r="H2207" s="6" t="str">
        <f>IFERROR(__xludf.DUMMYFUNCTION("IF(REGEXMATCH(LOWER(G2207), ""^(\?)+\s*(missing)?\s*(\?)*$""), """", PROPER(SUBSTITUTE(SUBSTITUTE(G2207, ""?"", """"), ""*"", """")))"),"Natural Slate Heart Chalkboard")</f>
        <v>Natural Slate Heart Chalkboard</v>
      </c>
      <c r="I2207" s="3">
        <v>2.0</v>
      </c>
      <c r="J2207" s="7">
        <v>40598.75486111111</v>
      </c>
      <c r="K2207" s="8" t="str">
        <f t="shared" si="4"/>
        <v>2011-02</v>
      </c>
      <c r="L2207" s="5">
        <v>5.79</v>
      </c>
      <c r="M2207" s="10"/>
      <c r="N2207" s="1" t="str">
        <f t="shared" si="5"/>
        <v>Guest</v>
      </c>
      <c r="O2207" s="1" t="s">
        <v>19</v>
      </c>
      <c r="P2207" s="9" t="str">
        <f t="shared" si="6"/>
        <v>UK</v>
      </c>
      <c r="Q2207" s="8">
        <f t="shared" si="7"/>
        <v>11.58</v>
      </c>
    </row>
    <row r="2208">
      <c r="A2208" s="1">
        <v>544928.0</v>
      </c>
      <c r="B2208" s="1" t="str">
        <f t="shared" si="1"/>
        <v>544928</v>
      </c>
      <c r="C2208" s="1" t="str">
        <f t="shared" si="2"/>
        <v>Sale</v>
      </c>
      <c r="D2208" s="1">
        <v>22470.0</v>
      </c>
      <c r="E2208" s="1" t="str">
        <f>IFERROR(__xludf.DUMMYFUNCTION("IF(LEN(D2208)&gt;4, IFERROR(REGEXEXTRACT(TO_TEXT(D2208),""\d+""),""""),"""")"),"22470")</f>
        <v>22470</v>
      </c>
      <c r="F2208" s="6" t="str">
        <f t="shared" si="3"/>
        <v>Product</v>
      </c>
      <c r="G2208" s="1" t="s">
        <v>168</v>
      </c>
      <c r="H2208" s="6" t="str">
        <f>IFERROR(__xludf.DUMMYFUNCTION("IF(REGEXMATCH(LOWER(G2208), ""^(\?)+\s*(missing)?\s*(\?)*$""), """", PROPER(SUBSTITUTE(SUBSTITUTE(G2208, ""?"", """"), ""*"", """")))"),"Heart Of Wicker Large")</f>
        <v>Heart Of Wicker Large</v>
      </c>
      <c r="I2208" s="3">
        <v>1.0</v>
      </c>
      <c r="J2208" s="7">
        <v>40598.75486111111</v>
      </c>
      <c r="K2208" s="8" t="str">
        <f t="shared" si="4"/>
        <v>2011-02</v>
      </c>
      <c r="L2208" s="5">
        <v>5.79</v>
      </c>
      <c r="M2208" s="10"/>
      <c r="N2208" s="1" t="str">
        <f t="shared" si="5"/>
        <v>Guest</v>
      </c>
      <c r="O2208" s="1" t="s">
        <v>19</v>
      </c>
      <c r="P2208" s="9" t="str">
        <f t="shared" si="6"/>
        <v>UK</v>
      </c>
      <c r="Q2208" s="8">
        <f t="shared" si="7"/>
        <v>5.79</v>
      </c>
    </row>
    <row r="2209">
      <c r="A2209" s="1">
        <v>544928.0</v>
      </c>
      <c r="B2209" s="1" t="str">
        <f t="shared" si="1"/>
        <v>544928</v>
      </c>
      <c r="C2209" s="1" t="str">
        <f t="shared" si="2"/>
        <v>Sale</v>
      </c>
      <c r="D2209" s="1">
        <v>22494.0</v>
      </c>
      <c r="E2209" s="1" t="str">
        <f>IFERROR(__xludf.DUMMYFUNCTION("IF(LEN(D2209)&gt;4, IFERROR(REGEXEXTRACT(TO_TEXT(D2209),""\d+""),""""),"""")"),"22494")</f>
        <v>22494</v>
      </c>
      <c r="F2209" s="6" t="str">
        <f t="shared" si="3"/>
        <v>Product</v>
      </c>
      <c r="G2209" s="1" t="s">
        <v>1198</v>
      </c>
      <c r="H2209" s="6" t="str">
        <f>IFERROR(__xludf.DUMMYFUNCTION("IF(REGEXMATCH(LOWER(G2209), ""^(\?)+\s*(missing)?\s*(\?)*$""), """", PROPER(SUBSTITUTE(SUBSTITUTE(G2209, ""?"", """"), ""*"", """")))"),"Emergency First Aid Tin")</f>
        <v>Emergency First Aid Tin</v>
      </c>
      <c r="I2209" s="3">
        <v>1.0</v>
      </c>
      <c r="J2209" s="7">
        <v>40598.75486111111</v>
      </c>
      <c r="K2209" s="8" t="str">
        <f t="shared" si="4"/>
        <v>2011-02</v>
      </c>
      <c r="L2209" s="5">
        <v>2.46</v>
      </c>
      <c r="M2209" s="10"/>
      <c r="N2209" s="1" t="str">
        <f t="shared" si="5"/>
        <v>Guest</v>
      </c>
      <c r="O2209" s="1" t="s">
        <v>19</v>
      </c>
      <c r="P2209" s="9" t="str">
        <f t="shared" si="6"/>
        <v>UK</v>
      </c>
      <c r="Q2209" s="8">
        <f t="shared" si="7"/>
        <v>2.46</v>
      </c>
    </row>
    <row r="2210">
      <c r="A2210" s="1">
        <v>544928.0</v>
      </c>
      <c r="B2210" s="1" t="str">
        <f t="shared" si="1"/>
        <v>544928</v>
      </c>
      <c r="C2210" s="1" t="str">
        <f t="shared" si="2"/>
        <v>Sale</v>
      </c>
      <c r="D2210" s="1">
        <v>22501.0</v>
      </c>
      <c r="E2210" s="1" t="str">
        <f>IFERROR(__xludf.DUMMYFUNCTION("IF(LEN(D2210)&gt;4, IFERROR(REGEXEXTRACT(TO_TEXT(D2210),""\d+""),""""),"""")"),"22501")</f>
        <v>22501</v>
      </c>
      <c r="F2210" s="6" t="str">
        <f t="shared" si="3"/>
        <v>Product</v>
      </c>
      <c r="G2210" s="1" t="s">
        <v>795</v>
      </c>
      <c r="H2210" s="6" t="str">
        <f>IFERROR(__xludf.DUMMYFUNCTION("IF(REGEXMATCH(LOWER(G2210), ""^(\?)+\s*(missing)?\s*(\?)*$""), """", PROPER(SUBSTITUTE(SUBSTITUTE(G2210, ""?"", """"), ""*"", """")))"),"Picnic Basket Wicker Large")</f>
        <v>Picnic Basket Wicker Large</v>
      </c>
      <c r="I2210" s="3">
        <v>1.0</v>
      </c>
      <c r="J2210" s="7">
        <v>40598.75486111111</v>
      </c>
      <c r="K2210" s="8" t="str">
        <f t="shared" si="4"/>
        <v>2011-02</v>
      </c>
      <c r="L2210" s="5">
        <v>20.79</v>
      </c>
      <c r="M2210" s="10"/>
      <c r="N2210" s="1" t="str">
        <f t="shared" si="5"/>
        <v>Guest</v>
      </c>
      <c r="O2210" s="1" t="s">
        <v>19</v>
      </c>
      <c r="P2210" s="9" t="str">
        <f t="shared" si="6"/>
        <v>UK</v>
      </c>
      <c r="Q2210" s="8">
        <f t="shared" si="7"/>
        <v>20.79</v>
      </c>
    </row>
    <row r="2211">
      <c r="A2211" s="1">
        <v>544928.0</v>
      </c>
      <c r="B2211" s="1" t="str">
        <f t="shared" si="1"/>
        <v>544928</v>
      </c>
      <c r="C2211" s="1" t="str">
        <f t="shared" si="2"/>
        <v>Sale</v>
      </c>
      <c r="D2211" s="1">
        <v>22502.0</v>
      </c>
      <c r="E2211" s="1" t="str">
        <f>IFERROR(__xludf.DUMMYFUNCTION("IF(LEN(D2211)&gt;4, IFERROR(REGEXEXTRACT(TO_TEXT(D2211),""\d+""),""""),"""")"),"22502")</f>
        <v>22502</v>
      </c>
      <c r="F2211" s="6" t="str">
        <f t="shared" si="3"/>
        <v>Product</v>
      </c>
      <c r="G2211" s="1" t="s">
        <v>242</v>
      </c>
      <c r="H2211" s="6" t="str">
        <f>IFERROR(__xludf.DUMMYFUNCTION("IF(REGEXMATCH(LOWER(G2211), ""^(\?)+\s*(missing)?\s*(\?)*$""), """", PROPER(SUBSTITUTE(SUBSTITUTE(G2211, ""?"", """"), ""*"", """")))"),"Picnic Basket Wicker Small")</f>
        <v>Picnic Basket Wicker Small</v>
      </c>
      <c r="I2211" s="3">
        <v>1.0</v>
      </c>
      <c r="J2211" s="7">
        <v>40598.75486111111</v>
      </c>
      <c r="K2211" s="8" t="str">
        <f t="shared" si="4"/>
        <v>2011-02</v>
      </c>
      <c r="L2211" s="5">
        <v>8.29</v>
      </c>
      <c r="M2211" s="10"/>
      <c r="N2211" s="1" t="str">
        <f t="shared" si="5"/>
        <v>Guest</v>
      </c>
      <c r="O2211" s="1" t="s">
        <v>19</v>
      </c>
      <c r="P2211" s="9" t="str">
        <f t="shared" si="6"/>
        <v>UK</v>
      </c>
      <c r="Q2211" s="8">
        <f t="shared" si="7"/>
        <v>8.29</v>
      </c>
    </row>
    <row r="2212">
      <c r="A2212" s="1">
        <v>544928.0</v>
      </c>
      <c r="B2212" s="1" t="str">
        <f t="shared" si="1"/>
        <v>544928</v>
      </c>
      <c r="C2212" s="1" t="str">
        <f t="shared" si="2"/>
        <v>Sale</v>
      </c>
      <c r="D2212" s="1">
        <v>22551.0</v>
      </c>
      <c r="E2212" s="1" t="str">
        <f>IFERROR(__xludf.DUMMYFUNCTION("IF(LEN(D2212)&gt;4, IFERROR(REGEXEXTRACT(TO_TEXT(D2212),""\d+""),""""),"""")"),"22551")</f>
        <v>22551</v>
      </c>
      <c r="F2212" s="6" t="str">
        <f t="shared" si="3"/>
        <v>Product</v>
      </c>
      <c r="G2212" s="1" t="s">
        <v>498</v>
      </c>
      <c r="H2212" s="6" t="str">
        <f>IFERROR(__xludf.DUMMYFUNCTION("IF(REGEXMATCH(LOWER(G2212), ""^(\?)+\s*(missing)?\s*(\?)*$""), """", PROPER(SUBSTITUTE(SUBSTITUTE(G2212, ""?"", """"), ""*"", """")))"),"Plasters In Tin Spaceboy")</f>
        <v>Plasters In Tin Spaceboy</v>
      </c>
      <c r="I2212" s="3">
        <v>1.0</v>
      </c>
      <c r="J2212" s="7">
        <v>40598.75486111111</v>
      </c>
      <c r="K2212" s="8" t="str">
        <f t="shared" si="4"/>
        <v>2011-02</v>
      </c>
      <c r="L2212" s="5">
        <v>3.29</v>
      </c>
      <c r="M2212" s="10"/>
      <c r="N2212" s="1" t="str">
        <f t="shared" si="5"/>
        <v>Guest</v>
      </c>
      <c r="O2212" s="1" t="s">
        <v>19</v>
      </c>
      <c r="P2212" s="9" t="str">
        <f t="shared" si="6"/>
        <v>UK</v>
      </c>
      <c r="Q2212" s="8">
        <f t="shared" si="7"/>
        <v>3.29</v>
      </c>
    </row>
    <row r="2213">
      <c r="A2213" s="1">
        <v>544928.0</v>
      </c>
      <c r="B2213" s="1" t="str">
        <f t="shared" si="1"/>
        <v>544928</v>
      </c>
      <c r="C2213" s="1" t="str">
        <f t="shared" si="2"/>
        <v>Sale</v>
      </c>
      <c r="D2213" s="1">
        <v>22557.0</v>
      </c>
      <c r="E2213" s="1" t="str">
        <f>IFERROR(__xludf.DUMMYFUNCTION("IF(LEN(D2213)&gt;4, IFERROR(REGEXEXTRACT(TO_TEXT(D2213),""\d+""),""""),"""")"),"22557")</f>
        <v>22557</v>
      </c>
      <c r="F2213" s="6" t="str">
        <f t="shared" si="3"/>
        <v>Product</v>
      </c>
      <c r="G2213" s="1" t="s">
        <v>233</v>
      </c>
      <c r="H2213" s="6" t="str">
        <f>IFERROR(__xludf.DUMMYFUNCTION("IF(REGEXMATCH(LOWER(G2213), ""^(\?)+\s*(missing)?\s*(\?)*$""), """", PROPER(SUBSTITUTE(SUBSTITUTE(G2213, ""?"", """"), ""*"", """")))"),"Plasters In Tin Vintage Paisley")</f>
        <v>Plasters In Tin Vintage Paisley</v>
      </c>
      <c r="I2213" s="3">
        <v>1.0</v>
      </c>
      <c r="J2213" s="7">
        <v>40598.75486111111</v>
      </c>
      <c r="K2213" s="8" t="str">
        <f t="shared" si="4"/>
        <v>2011-02</v>
      </c>
      <c r="L2213" s="5">
        <v>3.29</v>
      </c>
      <c r="M2213" s="10"/>
      <c r="N2213" s="1" t="str">
        <f t="shared" si="5"/>
        <v>Guest</v>
      </c>
      <c r="O2213" s="1" t="s">
        <v>19</v>
      </c>
      <c r="P2213" s="9" t="str">
        <f t="shared" si="6"/>
        <v>UK</v>
      </c>
      <c r="Q2213" s="8">
        <f t="shared" si="7"/>
        <v>3.29</v>
      </c>
    </row>
    <row r="2214">
      <c r="A2214" s="1">
        <v>544928.0</v>
      </c>
      <c r="B2214" s="1" t="str">
        <f t="shared" si="1"/>
        <v>544928</v>
      </c>
      <c r="C2214" s="1" t="str">
        <f t="shared" si="2"/>
        <v>Sale</v>
      </c>
      <c r="D2214" s="1">
        <v>22558.0</v>
      </c>
      <c r="E2214" s="1" t="str">
        <f>IFERROR(__xludf.DUMMYFUNCTION("IF(LEN(D2214)&gt;4, IFERROR(REGEXEXTRACT(TO_TEXT(D2214),""\d+""),""""),"""")"),"22558")</f>
        <v>22558</v>
      </c>
      <c r="F2214" s="6" t="str">
        <f t="shared" si="3"/>
        <v>Product</v>
      </c>
      <c r="G2214" s="1" t="s">
        <v>250</v>
      </c>
      <c r="H2214" s="6" t="str">
        <f>IFERROR(__xludf.DUMMYFUNCTION("IF(REGEXMATCH(LOWER(G2214), ""^(\?)+\s*(missing)?\s*(\?)*$""), """", PROPER(SUBSTITUTE(SUBSTITUTE(G2214, ""?"", """"), ""*"", """")))"),"Clothes Pegs Retrospot Pack 24")</f>
        <v>Clothes Pegs Retrospot Pack 24</v>
      </c>
      <c r="I2214" s="3">
        <v>1.0</v>
      </c>
      <c r="J2214" s="7">
        <v>40598.75486111111</v>
      </c>
      <c r="K2214" s="8" t="str">
        <f t="shared" si="4"/>
        <v>2011-02</v>
      </c>
      <c r="L2214" s="5">
        <v>2.46</v>
      </c>
      <c r="M2214" s="10"/>
      <c r="N2214" s="1" t="str">
        <f t="shared" si="5"/>
        <v>Guest</v>
      </c>
      <c r="O2214" s="1" t="s">
        <v>19</v>
      </c>
      <c r="P2214" s="9" t="str">
        <f t="shared" si="6"/>
        <v>UK</v>
      </c>
      <c r="Q2214" s="8">
        <f t="shared" si="7"/>
        <v>2.46</v>
      </c>
    </row>
    <row r="2215">
      <c r="A2215" s="1">
        <v>544928.0</v>
      </c>
      <c r="B2215" s="1" t="str">
        <f t="shared" si="1"/>
        <v>544928</v>
      </c>
      <c r="C2215" s="1" t="str">
        <f t="shared" si="2"/>
        <v>Sale</v>
      </c>
      <c r="D2215" s="1">
        <v>22616.0</v>
      </c>
      <c r="E2215" s="1" t="str">
        <f>IFERROR(__xludf.DUMMYFUNCTION("IF(LEN(D2215)&gt;4, IFERROR(REGEXEXTRACT(TO_TEXT(D2215),""\d+""),""""),"""")"),"22616")</f>
        <v>22616</v>
      </c>
      <c r="F2215" s="6" t="str">
        <f t="shared" si="3"/>
        <v>Product</v>
      </c>
      <c r="G2215" s="1" t="s">
        <v>485</v>
      </c>
      <c r="H2215" s="6" t="str">
        <f>IFERROR(__xludf.DUMMYFUNCTION("IF(REGEXMATCH(LOWER(G2215), ""^(\?)+\s*(missing)?\s*(\?)*$""), """", PROPER(SUBSTITUTE(SUBSTITUTE(G2215, ""?"", """"), ""*"", """")))"),"Pack Of 12 London Tissues")</f>
        <v>Pack Of 12 London Tissues</v>
      </c>
      <c r="I2215" s="3">
        <v>1.0</v>
      </c>
      <c r="J2215" s="7">
        <v>40598.75486111111</v>
      </c>
      <c r="K2215" s="8" t="str">
        <f t="shared" si="4"/>
        <v>2011-02</v>
      </c>
      <c r="L2215" s="5">
        <v>0.83</v>
      </c>
      <c r="M2215" s="10"/>
      <c r="N2215" s="1" t="str">
        <f t="shared" si="5"/>
        <v>Guest</v>
      </c>
      <c r="O2215" s="1" t="s">
        <v>19</v>
      </c>
      <c r="P2215" s="9" t="str">
        <f t="shared" si="6"/>
        <v>UK</v>
      </c>
      <c r="Q2215" s="8">
        <f t="shared" si="7"/>
        <v>0.83</v>
      </c>
    </row>
    <row r="2216">
      <c r="A2216" s="1">
        <v>544928.0</v>
      </c>
      <c r="B2216" s="1" t="str">
        <f t="shared" si="1"/>
        <v>544928</v>
      </c>
      <c r="C2216" s="1" t="str">
        <f t="shared" si="2"/>
        <v>Sale</v>
      </c>
      <c r="D2216" s="1">
        <v>22630.0</v>
      </c>
      <c r="E2216" s="1" t="str">
        <f>IFERROR(__xludf.DUMMYFUNCTION("IF(LEN(D2216)&gt;4, IFERROR(REGEXEXTRACT(TO_TEXT(D2216),""\d+""),""""),"""")"),"22630")</f>
        <v>22630</v>
      </c>
      <c r="F2216" s="6" t="str">
        <f t="shared" si="3"/>
        <v>Product</v>
      </c>
      <c r="G2216" s="1" t="s">
        <v>433</v>
      </c>
      <c r="H2216" s="6" t="str">
        <f>IFERROR(__xludf.DUMMYFUNCTION("IF(REGEXMATCH(LOWER(G2216), ""^(\?)+\s*(missing)?\s*(\?)*$""), """", PROPER(SUBSTITUTE(SUBSTITUTE(G2216, ""?"", """"), ""*"", """")))"),"Dolly Girl Lunch Box")</f>
        <v>Dolly Girl Lunch Box</v>
      </c>
      <c r="I2216" s="3">
        <v>2.0</v>
      </c>
      <c r="J2216" s="7">
        <v>40598.75486111111</v>
      </c>
      <c r="K2216" s="8" t="str">
        <f t="shared" si="4"/>
        <v>2011-02</v>
      </c>
      <c r="L2216" s="5">
        <v>4.13</v>
      </c>
      <c r="M2216" s="10"/>
      <c r="N2216" s="1" t="str">
        <f t="shared" si="5"/>
        <v>Guest</v>
      </c>
      <c r="O2216" s="1" t="s">
        <v>19</v>
      </c>
      <c r="P2216" s="9" t="str">
        <f t="shared" si="6"/>
        <v>UK</v>
      </c>
      <c r="Q2216" s="8">
        <f t="shared" si="7"/>
        <v>8.26</v>
      </c>
    </row>
    <row r="2217">
      <c r="A2217" s="1">
        <v>544928.0</v>
      </c>
      <c r="B2217" s="1" t="str">
        <f t="shared" si="1"/>
        <v>544928</v>
      </c>
      <c r="C2217" s="1" t="str">
        <f t="shared" si="2"/>
        <v>Sale</v>
      </c>
      <c r="D2217" s="1">
        <v>22659.0</v>
      </c>
      <c r="E2217" s="1" t="str">
        <f>IFERROR(__xludf.DUMMYFUNCTION("IF(LEN(D2217)&gt;4, IFERROR(REGEXEXTRACT(TO_TEXT(D2217),""\d+""),""""),"""")"),"22659")</f>
        <v>22659</v>
      </c>
      <c r="F2217" s="6" t="str">
        <f t="shared" si="3"/>
        <v>Product</v>
      </c>
      <c r="G2217" s="1" t="s">
        <v>59</v>
      </c>
      <c r="H2217" s="6" t="str">
        <f>IFERROR(__xludf.DUMMYFUNCTION("IF(REGEXMATCH(LOWER(G2217), ""^(\?)+\s*(missing)?\s*(\?)*$""), """", PROPER(SUBSTITUTE(SUBSTITUTE(G2217, ""?"", """"), ""*"", """")))"),"Lunch Box I Love London")</f>
        <v>Lunch Box I Love London</v>
      </c>
      <c r="I2217" s="3">
        <v>1.0</v>
      </c>
      <c r="J2217" s="7">
        <v>40598.75486111111</v>
      </c>
      <c r="K2217" s="8" t="str">
        <f t="shared" si="4"/>
        <v>2011-02</v>
      </c>
      <c r="L2217" s="5">
        <v>4.13</v>
      </c>
      <c r="M2217" s="10"/>
      <c r="N2217" s="1" t="str">
        <f t="shared" si="5"/>
        <v>Guest</v>
      </c>
      <c r="O2217" s="1" t="s">
        <v>19</v>
      </c>
      <c r="P2217" s="9" t="str">
        <f t="shared" si="6"/>
        <v>UK</v>
      </c>
      <c r="Q2217" s="8">
        <f t="shared" si="7"/>
        <v>4.13</v>
      </c>
    </row>
    <row r="2218">
      <c r="A2218" s="1">
        <v>544928.0</v>
      </c>
      <c r="B2218" s="1" t="str">
        <f t="shared" si="1"/>
        <v>544928</v>
      </c>
      <c r="C2218" s="1" t="str">
        <f t="shared" si="2"/>
        <v>Sale</v>
      </c>
      <c r="D2218" s="1">
        <v>22666.0</v>
      </c>
      <c r="E2218" s="1" t="str">
        <f>IFERROR(__xludf.DUMMYFUNCTION("IF(LEN(D2218)&gt;4, IFERROR(REGEXEXTRACT(TO_TEXT(D2218),""\d+""),""""),"""")"),"22666")</f>
        <v>22666</v>
      </c>
      <c r="F2218" s="6" t="str">
        <f t="shared" si="3"/>
        <v>Product</v>
      </c>
      <c r="G2218" s="1" t="s">
        <v>781</v>
      </c>
      <c r="H2218" s="6" t="str">
        <f>IFERROR(__xludf.DUMMYFUNCTION("IF(REGEXMATCH(LOWER(G2218), ""^(\?)+\s*(missing)?\s*(\?)*$""), """", PROPER(SUBSTITUTE(SUBSTITUTE(G2218, ""?"", """"), ""*"", """")))"),"Recipe Box Pantry Yellow Design")</f>
        <v>Recipe Box Pantry Yellow Design</v>
      </c>
      <c r="I2218" s="3">
        <v>2.0</v>
      </c>
      <c r="J2218" s="7">
        <v>40598.75486111111</v>
      </c>
      <c r="K2218" s="8" t="str">
        <f t="shared" si="4"/>
        <v>2011-02</v>
      </c>
      <c r="L2218" s="5">
        <v>5.79</v>
      </c>
      <c r="M2218" s="10"/>
      <c r="N2218" s="1" t="str">
        <f t="shared" si="5"/>
        <v>Guest</v>
      </c>
      <c r="O2218" s="1" t="s">
        <v>19</v>
      </c>
      <c r="P2218" s="9" t="str">
        <f t="shared" si="6"/>
        <v>UK</v>
      </c>
      <c r="Q2218" s="8">
        <f t="shared" si="7"/>
        <v>11.58</v>
      </c>
    </row>
    <row r="2219">
      <c r="A2219" s="1">
        <v>544928.0</v>
      </c>
      <c r="B2219" s="1" t="str">
        <f t="shared" si="1"/>
        <v>544928</v>
      </c>
      <c r="C2219" s="1" t="str">
        <f t="shared" si="2"/>
        <v>Sale</v>
      </c>
      <c r="D2219" s="1">
        <v>22674.0</v>
      </c>
      <c r="E2219" s="1" t="str">
        <f>IFERROR(__xludf.DUMMYFUNCTION("IF(LEN(D2219)&gt;4, IFERROR(REGEXEXTRACT(TO_TEXT(D2219),""\d+""),""""),"""")"),"22674")</f>
        <v>22674</v>
      </c>
      <c r="F2219" s="6" t="str">
        <f t="shared" si="3"/>
        <v>Product</v>
      </c>
      <c r="G2219" s="1" t="s">
        <v>1199</v>
      </c>
      <c r="H2219" s="6" t="str">
        <f>IFERROR(__xludf.DUMMYFUNCTION("IF(REGEXMATCH(LOWER(G2219), ""^(\?)+\s*(missing)?\s*(\?)*$""), """", PROPER(SUBSTITUTE(SUBSTITUTE(G2219, ""?"", """"), ""*"", """")))"),"French Toilet Sign Blue Metal")</f>
        <v>French Toilet Sign Blue Metal</v>
      </c>
      <c r="I2219" s="3">
        <v>1.0</v>
      </c>
      <c r="J2219" s="7">
        <v>40598.75486111111</v>
      </c>
      <c r="K2219" s="8" t="str">
        <f t="shared" si="4"/>
        <v>2011-02</v>
      </c>
      <c r="L2219" s="5">
        <v>2.46</v>
      </c>
      <c r="M2219" s="10"/>
      <c r="N2219" s="1" t="str">
        <f t="shared" si="5"/>
        <v>Guest</v>
      </c>
      <c r="O2219" s="1" t="s">
        <v>19</v>
      </c>
      <c r="P2219" s="9" t="str">
        <f t="shared" si="6"/>
        <v>UK</v>
      </c>
      <c r="Q2219" s="8">
        <f t="shared" si="7"/>
        <v>2.46</v>
      </c>
    </row>
    <row r="2220">
      <c r="A2220" s="1">
        <v>544928.0</v>
      </c>
      <c r="B2220" s="1" t="str">
        <f t="shared" si="1"/>
        <v>544928</v>
      </c>
      <c r="C2220" s="1" t="str">
        <f t="shared" si="2"/>
        <v>Sale</v>
      </c>
      <c r="D2220" s="1">
        <v>22697.0</v>
      </c>
      <c r="E2220" s="1" t="str">
        <f>IFERROR(__xludf.DUMMYFUNCTION("IF(LEN(D2220)&gt;4, IFERROR(REGEXEXTRACT(TO_TEXT(D2220),""\d+""),""""),"""")"),"22697")</f>
        <v>22697</v>
      </c>
      <c r="F2220" s="6" t="str">
        <f t="shared" si="3"/>
        <v>Product</v>
      </c>
      <c r="G2220" s="1" t="s">
        <v>682</v>
      </c>
      <c r="H2220" s="6" t="str">
        <f>IFERROR(__xludf.DUMMYFUNCTION("IF(REGEXMATCH(LOWER(G2220), ""^(\?)+\s*(missing)?\s*(\?)*$""), """", PROPER(SUBSTITUTE(SUBSTITUTE(G2220, ""?"", """"), ""*"", """")))"),"Green Regency Teacup And Saucer")</f>
        <v>Green Regency Teacup And Saucer</v>
      </c>
      <c r="I2220" s="3">
        <v>2.0</v>
      </c>
      <c r="J2220" s="7">
        <v>40598.75486111111</v>
      </c>
      <c r="K2220" s="8" t="str">
        <f t="shared" si="4"/>
        <v>2011-02</v>
      </c>
      <c r="L2220" s="5">
        <v>5.79</v>
      </c>
      <c r="M2220" s="10"/>
      <c r="N2220" s="1" t="str">
        <f t="shared" si="5"/>
        <v>Guest</v>
      </c>
      <c r="O2220" s="1" t="s">
        <v>19</v>
      </c>
      <c r="P2220" s="9" t="str">
        <f t="shared" si="6"/>
        <v>UK</v>
      </c>
      <c r="Q2220" s="8">
        <f t="shared" si="7"/>
        <v>11.58</v>
      </c>
    </row>
    <row r="2221">
      <c r="A2221" s="1">
        <v>544928.0</v>
      </c>
      <c r="B2221" s="1" t="str">
        <f t="shared" si="1"/>
        <v>544928</v>
      </c>
      <c r="C2221" s="1" t="str">
        <f t="shared" si="2"/>
        <v>Sale</v>
      </c>
      <c r="D2221" s="1">
        <v>22698.0</v>
      </c>
      <c r="E2221" s="1" t="str">
        <f>IFERROR(__xludf.DUMMYFUNCTION("IF(LEN(D2221)&gt;4, IFERROR(REGEXEXTRACT(TO_TEXT(D2221),""\d+""),""""),"""")"),"22698")</f>
        <v>22698</v>
      </c>
      <c r="F2221" s="6" t="str">
        <f t="shared" si="3"/>
        <v>Product</v>
      </c>
      <c r="G2221" s="1" t="s">
        <v>683</v>
      </c>
      <c r="H2221" s="6" t="str">
        <f>IFERROR(__xludf.DUMMYFUNCTION("IF(REGEXMATCH(LOWER(G2221), ""^(\?)+\s*(missing)?\s*(\?)*$""), """", PROPER(SUBSTITUTE(SUBSTITUTE(G2221, ""?"", """"), ""*"", """")))"),"Pink Regency Teacup And Saucer")</f>
        <v>Pink Regency Teacup And Saucer</v>
      </c>
      <c r="I2221" s="3">
        <v>2.0</v>
      </c>
      <c r="J2221" s="7">
        <v>40598.75486111111</v>
      </c>
      <c r="K2221" s="8" t="str">
        <f t="shared" si="4"/>
        <v>2011-02</v>
      </c>
      <c r="L2221" s="5">
        <v>5.79</v>
      </c>
      <c r="M2221" s="10"/>
      <c r="N2221" s="1" t="str">
        <f t="shared" si="5"/>
        <v>Guest</v>
      </c>
      <c r="O2221" s="1" t="s">
        <v>19</v>
      </c>
      <c r="P2221" s="9" t="str">
        <f t="shared" si="6"/>
        <v>UK</v>
      </c>
      <c r="Q2221" s="8">
        <f t="shared" si="7"/>
        <v>11.58</v>
      </c>
    </row>
    <row r="2222">
      <c r="A2222" s="1">
        <v>544928.0</v>
      </c>
      <c r="B2222" s="1" t="str">
        <f t="shared" si="1"/>
        <v>544928</v>
      </c>
      <c r="C2222" s="1" t="str">
        <f t="shared" si="2"/>
        <v>Sale</v>
      </c>
      <c r="D2222" s="1">
        <v>22699.0</v>
      </c>
      <c r="E2222" s="1" t="str">
        <f>IFERROR(__xludf.DUMMYFUNCTION("IF(LEN(D2222)&gt;4, IFERROR(REGEXEXTRACT(TO_TEXT(D2222),""\d+""),""""),"""")"),"22699")</f>
        <v>22699</v>
      </c>
      <c r="F2222" s="6" t="str">
        <f t="shared" si="3"/>
        <v>Product</v>
      </c>
      <c r="G2222" s="1" t="s">
        <v>684</v>
      </c>
      <c r="H2222" s="6" t="str">
        <f>IFERROR(__xludf.DUMMYFUNCTION("IF(REGEXMATCH(LOWER(G2222), ""^(\?)+\s*(missing)?\s*(\?)*$""), """", PROPER(SUBSTITUTE(SUBSTITUTE(G2222, ""?"", """"), ""*"", """")))"),"Roses Regency Teacup And Saucer")</f>
        <v>Roses Regency Teacup And Saucer</v>
      </c>
      <c r="I2222" s="3">
        <v>4.0</v>
      </c>
      <c r="J2222" s="7">
        <v>40598.75486111111</v>
      </c>
      <c r="K2222" s="8" t="str">
        <f t="shared" si="4"/>
        <v>2011-02</v>
      </c>
      <c r="L2222" s="5">
        <v>5.79</v>
      </c>
      <c r="M2222" s="10"/>
      <c r="N2222" s="1" t="str">
        <f t="shared" si="5"/>
        <v>Guest</v>
      </c>
      <c r="O2222" s="1" t="s">
        <v>19</v>
      </c>
      <c r="P2222" s="9" t="str">
        <f t="shared" si="6"/>
        <v>UK</v>
      </c>
      <c r="Q2222" s="8">
        <f t="shared" si="7"/>
        <v>23.16</v>
      </c>
    </row>
    <row r="2223">
      <c r="A2223" s="1">
        <v>544928.0</v>
      </c>
      <c r="B2223" s="1" t="str">
        <f t="shared" si="1"/>
        <v>544928</v>
      </c>
      <c r="C2223" s="1" t="str">
        <f t="shared" si="2"/>
        <v>Sale</v>
      </c>
      <c r="D2223" s="1">
        <v>22713.0</v>
      </c>
      <c r="E2223" s="1" t="str">
        <f>IFERROR(__xludf.DUMMYFUNCTION("IF(LEN(D2223)&gt;4, IFERROR(REGEXEXTRACT(TO_TEXT(D2223),""\d+""),""""),"""")"),"22713")</f>
        <v>22713</v>
      </c>
      <c r="F2223" s="6" t="str">
        <f t="shared" si="3"/>
        <v>Product</v>
      </c>
      <c r="G2223" s="1" t="s">
        <v>628</v>
      </c>
      <c r="H2223" s="6" t="str">
        <f>IFERROR(__xludf.DUMMYFUNCTION("IF(REGEXMATCH(LOWER(G2223), ""^(\?)+\s*(missing)?\s*(\?)*$""), """", PROPER(SUBSTITUTE(SUBSTITUTE(G2223, ""?"", """"), ""*"", """")))"),"Card I Love London")</f>
        <v>Card I Love London</v>
      </c>
      <c r="I2223" s="3">
        <v>1.0</v>
      </c>
      <c r="J2223" s="7">
        <v>40598.75486111111</v>
      </c>
      <c r="K2223" s="8" t="str">
        <f t="shared" si="4"/>
        <v>2011-02</v>
      </c>
      <c r="L2223" s="5">
        <v>0.83</v>
      </c>
      <c r="M2223" s="10"/>
      <c r="N2223" s="1" t="str">
        <f t="shared" si="5"/>
        <v>Guest</v>
      </c>
      <c r="O2223" s="1" t="s">
        <v>19</v>
      </c>
      <c r="P2223" s="9" t="str">
        <f t="shared" si="6"/>
        <v>UK</v>
      </c>
      <c r="Q2223" s="8">
        <f t="shared" si="7"/>
        <v>0.83</v>
      </c>
    </row>
    <row r="2224">
      <c r="A2224" s="1">
        <v>544928.0</v>
      </c>
      <c r="B2224" s="1" t="str">
        <f t="shared" si="1"/>
        <v>544928</v>
      </c>
      <c r="C2224" s="1" t="str">
        <f t="shared" si="2"/>
        <v>Sale</v>
      </c>
      <c r="D2224" s="1">
        <v>22720.0</v>
      </c>
      <c r="E2224" s="1" t="str">
        <f>IFERROR(__xludf.DUMMYFUNCTION("IF(LEN(D2224)&gt;4, IFERROR(REGEXEXTRACT(TO_TEXT(D2224),""\d+""),""""),"""")"),"22720")</f>
        <v>22720</v>
      </c>
      <c r="F2224" s="6" t="str">
        <f t="shared" si="3"/>
        <v>Product</v>
      </c>
      <c r="G2224" s="1" t="s">
        <v>685</v>
      </c>
      <c r="H2224" s="6" t="str">
        <f>IFERROR(__xludf.DUMMYFUNCTION("IF(REGEXMATCH(LOWER(G2224), ""^(\?)+\s*(missing)?\s*(\?)*$""), """", PROPER(SUBSTITUTE(SUBSTITUTE(G2224, ""?"", """"), ""*"", """")))"),"Set Of 3 Cake Tins Pantry Design")</f>
        <v>Set Of 3 Cake Tins Pantry Design</v>
      </c>
      <c r="I2224" s="3">
        <v>1.0</v>
      </c>
      <c r="J2224" s="7">
        <v>40598.75486111111</v>
      </c>
      <c r="K2224" s="8" t="str">
        <f t="shared" si="4"/>
        <v>2011-02</v>
      </c>
      <c r="L2224" s="5">
        <v>10.79</v>
      </c>
      <c r="M2224" s="10"/>
      <c r="N2224" s="1" t="str">
        <f t="shared" si="5"/>
        <v>Guest</v>
      </c>
      <c r="O2224" s="1" t="s">
        <v>19</v>
      </c>
      <c r="P2224" s="9" t="str">
        <f t="shared" si="6"/>
        <v>UK</v>
      </c>
      <c r="Q2224" s="8">
        <f t="shared" si="7"/>
        <v>10.79</v>
      </c>
    </row>
    <row r="2225">
      <c r="A2225" s="1">
        <v>544928.0</v>
      </c>
      <c r="B2225" s="1" t="str">
        <f t="shared" si="1"/>
        <v>544928</v>
      </c>
      <c r="C2225" s="1" t="str">
        <f t="shared" si="2"/>
        <v>Sale</v>
      </c>
      <c r="D2225" s="1">
        <v>22722.0</v>
      </c>
      <c r="E2225" s="1" t="str">
        <f>IFERROR(__xludf.DUMMYFUNCTION("IF(LEN(D2225)&gt;4, IFERROR(REGEXEXTRACT(TO_TEXT(D2225),""\d+""),""""),"""")"),"22722")</f>
        <v>22722</v>
      </c>
      <c r="F2225" s="6" t="str">
        <f t="shared" si="3"/>
        <v>Product</v>
      </c>
      <c r="G2225" s="1" t="s">
        <v>686</v>
      </c>
      <c r="H2225" s="6" t="str">
        <f>IFERROR(__xludf.DUMMYFUNCTION("IF(REGEXMATCH(LOWER(G2225), ""^(\?)+\s*(missing)?\s*(\?)*$""), """", PROPER(SUBSTITUTE(SUBSTITUTE(G2225, ""?"", """"), ""*"", """")))"),"Set Of 6 Spice Tins Pantry Design")</f>
        <v>Set Of 6 Spice Tins Pantry Design</v>
      </c>
      <c r="I2225" s="3">
        <v>2.0</v>
      </c>
      <c r="J2225" s="7">
        <v>40598.75486111111</v>
      </c>
      <c r="K2225" s="8" t="str">
        <f t="shared" si="4"/>
        <v>2011-02</v>
      </c>
      <c r="L2225" s="5">
        <v>8.29</v>
      </c>
      <c r="M2225" s="10"/>
      <c r="N2225" s="1" t="str">
        <f t="shared" si="5"/>
        <v>Guest</v>
      </c>
      <c r="O2225" s="1" t="s">
        <v>19</v>
      </c>
      <c r="P2225" s="9" t="str">
        <f t="shared" si="6"/>
        <v>UK</v>
      </c>
      <c r="Q2225" s="8">
        <f t="shared" si="7"/>
        <v>16.58</v>
      </c>
    </row>
    <row r="2226">
      <c r="A2226" s="1">
        <v>544928.0</v>
      </c>
      <c r="B2226" s="1" t="str">
        <f t="shared" si="1"/>
        <v>544928</v>
      </c>
      <c r="C2226" s="1" t="str">
        <f t="shared" si="2"/>
        <v>Sale</v>
      </c>
      <c r="D2226" s="1">
        <v>22723.0</v>
      </c>
      <c r="E2226" s="1" t="str">
        <f>IFERROR(__xludf.DUMMYFUNCTION("IF(LEN(D2226)&gt;4, IFERROR(REGEXEXTRACT(TO_TEXT(D2226),""\d+""),""""),"""")"),"22723")</f>
        <v>22723</v>
      </c>
      <c r="F2226" s="6" t="str">
        <f t="shared" si="3"/>
        <v>Product</v>
      </c>
      <c r="G2226" s="1" t="s">
        <v>1200</v>
      </c>
      <c r="H2226" s="6" t="str">
        <f>IFERROR(__xludf.DUMMYFUNCTION("IF(REGEXMATCH(LOWER(G2226), ""^(\?)+\s*(missing)?\s*(\?)*$""), """", PROPER(SUBSTITUTE(SUBSTITUTE(G2226, ""?"", """"), ""*"", """")))"),"Set Of 6 Herb Tins Sketchbook")</f>
        <v>Set Of 6 Herb Tins Sketchbook</v>
      </c>
      <c r="I2226" s="3">
        <v>1.0</v>
      </c>
      <c r="J2226" s="7">
        <v>40598.75486111111</v>
      </c>
      <c r="K2226" s="8" t="str">
        <f t="shared" si="4"/>
        <v>2011-02</v>
      </c>
      <c r="L2226" s="5">
        <v>8.29</v>
      </c>
      <c r="M2226" s="10"/>
      <c r="N2226" s="1" t="str">
        <f t="shared" si="5"/>
        <v>Guest</v>
      </c>
      <c r="O2226" s="1" t="s">
        <v>19</v>
      </c>
      <c r="P2226" s="9" t="str">
        <f t="shared" si="6"/>
        <v>UK</v>
      </c>
      <c r="Q2226" s="8">
        <f t="shared" si="7"/>
        <v>8.29</v>
      </c>
    </row>
    <row r="2227">
      <c r="A2227" s="1">
        <v>544928.0</v>
      </c>
      <c r="B2227" s="1" t="str">
        <f t="shared" si="1"/>
        <v>544928</v>
      </c>
      <c r="C2227" s="1" t="str">
        <f t="shared" si="2"/>
        <v>Sale</v>
      </c>
      <c r="D2227" s="1">
        <v>22759.0</v>
      </c>
      <c r="E2227" s="1" t="str">
        <f>IFERROR(__xludf.DUMMYFUNCTION("IF(LEN(D2227)&gt;4, IFERROR(REGEXEXTRACT(TO_TEXT(D2227),""\d+""),""""),"""")"),"22759")</f>
        <v>22759</v>
      </c>
      <c r="F2227" s="6" t="str">
        <f t="shared" si="3"/>
        <v>Product</v>
      </c>
      <c r="G2227" s="1" t="s">
        <v>440</v>
      </c>
      <c r="H2227" s="6" t="str">
        <f>IFERROR(__xludf.DUMMYFUNCTION("IF(REGEXMATCH(LOWER(G2227), ""^(\?)+\s*(missing)?\s*(\?)*$""), """", PROPER(SUBSTITUTE(SUBSTITUTE(G2227, ""?"", """"), ""*"", """")))"),"Set Of 3 Notebooks In Parcel")</f>
        <v>Set Of 3 Notebooks In Parcel</v>
      </c>
      <c r="I2227" s="3">
        <v>2.0</v>
      </c>
      <c r="J2227" s="7">
        <v>40598.75486111111</v>
      </c>
      <c r="K2227" s="8" t="str">
        <f t="shared" si="4"/>
        <v>2011-02</v>
      </c>
      <c r="L2227" s="5">
        <v>3.29</v>
      </c>
      <c r="M2227" s="10"/>
      <c r="N2227" s="1" t="str">
        <f t="shared" si="5"/>
        <v>Guest</v>
      </c>
      <c r="O2227" s="1" t="s">
        <v>19</v>
      </c>
      <c r="P2227" s="9" t="str">
        <f t="shared" si="6"/>
        <v>UK</v>
      </c>
      <c r="Q2227" s="8">
        <f t="shared" si="7"/>
        <v>6.58</v>
      </c>
    </row>
    <row r="2228">
      <c r="A2228" s="1">
        <v>544928.0</v>
      </c>
      <c r="B2228" s="1" t="str">
        <f t="shared" si="1"/>
        <v>544928</v>
      </c>
      <c r="C2228" s="1" t="str">
        <f t="shared" si="2"/>
        <v>Sale</v>
      </c>
      <c r="D2228" s="1">
        <v>22771.0</v>
      </c>
      <c r="E2228" s="1" t="str">
        <f>IFERROR(__xludf.DUMMYFUNCTION("IF(LEN(D2228)&gt;4, IFERROR(REGEXEXTRACT(TO_TEXT(D2228),""\d+""),""""),"""")"),"22771")</f>
        <v>22771</v>
      </c>
      <c r="F2228" s="6" t="str">
        <f t="shared" si="3"/>
        <v>Product</v>
      </c>
      <c r="G2228" s="1" t="s">
        <v>116</v>
      </c>
      <c r="H2228" s="6" t="str">
        <f>IFERROR(__xludf.DUMMYFUNCTION("IF(REGEXMATCH(LOWER(G2228), ""^(\?)+\s*(missing)?\s*(\?)*$""), """", PROPER(SUBSTITUTE(SUBSTITUTE(G2228, ""?"", """"), ""*"", """")))"),"Clear Drawer Knob Acrylic Edwardian")</f>
        <v>Clear Drawer Knob Acrylic Edwardian</v>
      </c>
      <c r="I2228" s="3">
        <v>9.0</v>
      </c>
      <c r="J2228" s="7">
        <v>40598.75486111111</v>
      </c>
      <c r="K2228" s="8" t="str">
        <f t="shared" si="4"/>
        <v>2011-02</v>
      </c>
      <c r="L2228" s="5">
        <v>2.5</v>
      </c>
      <c r="M2228" s="10"/>
      <c r="N2228" s="1" t="str">
        <f t="shared" si="5"/>
        <v>Guest</v>
      </c>
      <c r="O2228" s="1" t="s">
        <v>19</v>
      </c>
      <c r="P2228" s="9" t="str">
        <f t="shared" si="6"/>
        <v>UK</v>
      </c>
      <c r="Q2228" s="8">
        <f t="shared" si="7"/>
        <v>22.5</v>
      </c>
    </row>
    <row r="2229">
      <c r="A2229" s="1">
        <v>544928.0</v>
      </c>
      <c r="B2229" s="1" t="str">
        <f t="shared" si="1"/>
        <v>544928</v>
      </c>
      <c r="C2229" s="1" t="str">
        <f t="shared" si="2"/>
        <v>Sale</v>
      </c>
      <c r="D2229" s="1">
        <v>22772.0</v>
      </c>
      <c r="E2229" s="1" t="str">
        <f>IFERROR(__xludf.DUMMYFUNCTION("IF(LEN(D2229)&gt;4, IFERROR(REGEXEXTRACT(TO_TEXT(D2229),""\d+""),""""),"""")"),"22772")</f>
        <v>22772</v>
      </c>
      <c r="F2229" s="6" t="str">
        <f t="shared" si="3"/>
        <v>Product</v>
      </c>
      <c r="G2229" s="1" t="s">
        <v>335</v>
      </c>
      <c r="H2229" s="6" t="str">
        <f>IFERROR(__xludf.DUMMYFUNCTION("IF(REGEXMATCH(LOWER(G2229), ""^(\?)+\s*(missing)?\s*(\?)*$""), """", PROPER(SUBSTITUTE(SUBSTITUTE(G2229, ""?"", """"), ""*"", """")))"),"Pink Drawer Knob Acrylic Edwardian")</f>
        <v>Pink Drawer Knob Acrylic Edwardian</v>
      </c>
      <c r="I2229" s="3">
        <v>7.0</v>
      </c>
      <c r="J2229" s="7">
        <v>40598.75486111111</v>
      </c>
      <c r="K2229" s="8" t="str">
        <f t="shared" si="4"/>
        <v>2011-02</v>
      </c>
      <c r="L2229" s="5">
        <v>2.5</v>
      </c>
      <c r="M2229" s="10"/>
      <c r="N2229" s="1" t="str">
        <f t="shared" si="5"/>
        <v>Guest</v>
      </c>
      <c r="O2229" s="1" t="s">
        <v>19</v>
      </c>
      <c r="P2229" s="9" t="str">
        <f t="shared" si="6"/>
        <v>UK</v>
      </c>
      <c r="Q2229" s="8">
        <f t="shared" si="7"/>
        <v>17.5</v>
      </c>
    </row>
    <row r="2230">
      <c r="A2230" s="1">
        <v>544928.0</v>
      </c>
      <c r="B2230" s="1" t="str">
        <f t="shared" si="1"/>
        <v>544928</v>
      </c>
      <c r="C2230" s="1" t="str">
        <f t="shared" si="2"/>
        <v>Sale</v>
      </c>
      <c r="D2230" s="1">
        <v>22774.0</v>
      </c>
      <c r="E2230" s="1" t="str">
        <f>IFERROR(__xludf.DUMMYFUNCTION("IF(LEN(D2230)&gt;4, IFERROR(REGEXEXTRACT(TO_TEXT(D2230),""\d+""),""""),"""")"),"22774")</f>
        <v>22774</v>
      </c>
      <c r="F2230" s="6" t="str">
        <f t="shared" si="3"/>
        <v>Product</v>
      </c>
      <c r="G2230" s="1" t="s">
        <v>115</v>
      </c>
      <c r="H2230" s="6" t="str">
        <f>IFERROR(__xludf.DUMMYFUNCTION("IF(REGEXMATCH(LOWER(G2230), ""^(\?)+\s*(missing)?\s*(\?)*$""), """", PROPER(SUBSTITUTE(SUBSTITUTE(G2230, ""?"", """"), ""*"", """")))"),"Red Drawer Knob Acrylic Edwardian")</f>
        <v>Red Drawer Knob Acrylic Edwardian</v>
      </c>
      <c r="I2230" s="3">
        <v>1.0</v>
      </c>
      <c r="J2230" s="7">
        <v>40598.75486111111</v>
      </c>
      <c r="K2230" s="8" t="str">
        <f t="shared" si="4"/>
        <v>2011-02</v>
      </c>
      <c r="L2230" s="5">
        <v>2.5</v>
      </c>
      <c r="M2230" s="10"/>
      <c r="N2230" s="1" t="str">
        <f t="shared" si="5"/>
        <v>Guest</v>
      </c>
      <c r="O2230" s="1" t="s">
        <v>19</v>
      </c>
      <c r="P2230" s="9" t="str">
        <f t="shared" si="6"/>
        <v>UK</v>
      </c>
      <c r="Q2230" s="8">
        <f t="shared" si="7"/>
        <v>2.5</v>
      </c>
    </row>
    <row r="2231">
      <c r="A2231" s="1">
        <v>544928.0</v>
      </c>
      <c r="B2231" s="1" t="str">
        <f t="shared" si="1"/>
        <v>544928</v>
      </c>
      <c r="C2231" s="1" t="str">
        <f t="shared" si="2"/>
        <v>Sale</v>
      </c>
      <c r="D2231" s="1">
        <v>22776.0</v>
      </c>
      <c r="E2231" s="1" t="str">
        <f>IFERROR(__xludf.DUMMYFUNCTION("IF(LEN(D2231)&gt;4, IFERROR(REGEXEXTRACT(TO_TEXT(D2231),""\d+""),""""),"""")"),"22776")</f>
        <v>22776</v>
      </c>
      <c r="F2231" s="6" t="str">
        <f t="shared" si="3"/>
        <v>Product</v>
      </c>
      <c r="G2231" s="1" t="s">
        <v>1052</v>
      </c>
      <c r="H2231" s="6" t="str">
        <f>IFERROR(__xludf.DUMMYFUNCTION("IF(REGEXMATCH(LOWER(G2231), ""^(\?)+\s*(missing)?\s*(\?)*$""), """", PROPER(SUBSTITUTE(SUBSTITUTE(G2231, ""?"", """"), ""*"", """")))"),"Sweetheart Cakestand 3 Tier")</f>
        <v>Sweetheart Cakestand 3 Tier</v>
      </c>
      <c r="I2231" s="3">
        <v>1.0</v>
      </c>
      <c r="J2231" s="7">
        <v>40598.75486111111</v>
      </c>
      <c r="K2231" s="8" t="str">
        <f t="shared" si="4"/>
        <v>2011-02</v>
      </c>
      <c r="L2231" s="5">
        <v>19.96</v>
      </c>
      <c r="M2231" s="10"/>
      <c r="N2231" s="1" t="str">
        <f t="shared" si="5"/>
        <v>Guest</v>
      </c>
      <c r="O2231" s="1" t="s">
        <v>19</v>
      </c>
      <c r="P2231" s="9" t="str">
        <f t="shared" si="6"/>
        <v>UK</v>
      </c>
      <c r="Q2231" s="8">
        <f t="shared" si="7"/>
        <v>19.96</v>
      </c>
    </row>
    <row r="2232">
      <c r="A2232" s="1">
        <v>544928.0</v>
      </c>
      <c r="B2232" s="1" t="str">
        <f t="shared" si="1"/>
        <v>544928</v>
      </c>
      <c r="C2232" s="1" t="str">
        <f t="shared" si="2"/>
        <v>Sale</v>
      </c>
      <c r="D2232" s="1">
        <v>22783.0</v>
      </c>
      <c r="E2232" s="1" t="str">
        <f>IFERROR(__xludf.DUMMYFUNCTION("IF(LEN(D2232)&gt;4, IFERROR(REGEXEXTRACT(TO_TEXT(D2232),""\d+""),""""),"""")"),"22783")</f>
        <v>22783</v>
      </c>
      <c r="F2232" s="6" t="str">
        <f t="shared" si="3"/>
        <v>Product</v>
      </c>
      <c r="G2232" s="1" t="s">
        <v>158</v>
      </c>
      <c r="H2232" s="6" t="str">
        <f>IFERROR(__xludf.DUMMYFUNCTION("IF(REGEXMATCH(LOWER(G2232), ""^(\?)+\s*(missing)?\s*(\?)*$""), """", PROPER(SUBSTITUTE(SUBSTITUTE(G2232, ""?"", """"), ""*"", """")))"),"Set 3 Wicker Oval Baskets W Lids")</f>
        <v>Set 3 Wicker Oval Baskets W Lids</v>
      </c>
      <c r="I2232" s="3">
        <v>1.0</v>
      </c>
      <c r="J2232" s="7">
        <v>40598.75486111111</v>
      </c>
      <c r="K2232" s="8" t="str">
        <f t="shared" si="4"/>
        <v>2011-02</v>
      </c>
      <c r="L2232" s="5">
        <v>39.13</v>
      </c>
      <c r="M2232" s="10"/>
      <c r="N2232" s="1" t="str">
        <f t="shared" si="5"/>
        <v>Guest</v>
      </c>
      <c r="O2232" s="1" t="s">
        <v>19</v>
      </c>
      <c r="P2232" s="9" t="str">
        <f t="shared" si="6"/>
        <v>UK</v>
      </c>
      <c r="Q2232" s="8">
        <f t="shared" si="7"/>
        <v>39.13</v>
      </c>
    </row>
    <row r="2233">
      <c r="A2233" s="1">
        <v>544928.0</v>
      </c>
      <c r="B2233" s="1" t="str">
        <f t="shared" si="1"/>
        <v>544928</v>
      </c>
      <c r="C2233" s="1" t="str">
        <f t="shared" si="2"/>
        <v>Sale</v>
      </c>
      <c r="D2233" s="1">
        <v>22792.0</v>
      </c>
      <c r="E2233" s="1" t="str">
        <f>IFERROR(__xludf.DUMMYFUNCTION("IF(LEN(D2233)&gt;4, IFERROR(REGEXEXTRACT(TO_TEXT(D2233),""\d+""),""""),"""")"),"22792")</f>
        <v>22792</v>
      </c>
      <c r="F2233" s="6" t="str">
        <f t="shared" si="3"/>
        <v>Product</v>
      </c>
      <c r="G2233" s="1" t="s">
        <v>1201</v>
      </c>
      <c r="H2233" s="6" t="str">
        <f>IFERROR(__xludf.DUMMYFUNCTION("IF(REGEXMATCH(LOWER(G2233), ""^(\?)+\s*(missing)?\s*(\?)*$""), """", PROPER(SUBSTITUTE(SUBSTITUTE(G2233, ""?"", """"), ""*"", """")))"),"Fluted Antique Candle Holder")</f>
        <v>Fluted Antique Candle Holder</v>
      </c>
      <c r="I2233" s="3">
        <v>6.0</v>
      </c>
      <c r="J2233" s="7">
        <v>40598.75486111111</v>
      </c>
      <c r="K2233" s="8" t="str">
        <f t="shared" si="4"/>
        <v>2011-02</v>
      </c>
      <c r="L2233" s="5">
        <v>1.63</v>
      </c>
      <c r="M2233" s="10"/>
      <c r="N2233" s="1" t="str">
        <f t="shared" si="5"/>
        <v>Guest</v>
      </c>
      <c r="O2233" s="1" t="s">
        <v>19</v>
      </c>
      <c r="P2233" s="9" t="str">
        <f t="shared" si="6"/>
        <v>UK</v>
      </c>
      <c r="Q2233" s="8">
        <f t="shared" si="7"/>
        <v>9.78</v>
      </c>
    </row>
    <row r="2234">
      <c r="A2234" s="1">
        <v>544928.0</v>
      </c>
      <c r="B2234" s="1" t="str">
        <f t="shared" si="1"/>
        <v>544928</v>
      </c>
      <c r="C2234" s="1" t="str">
        <f t="shared" si="2"/>
        <v>Sale</v>
      </c>
      <c r="D2234" s="1">
        <v>22805.0</v>
      </c>
      <c r="E2234" s="1" t="str">
        <f>IFERROR(__xludf.DUMMYFUNCTION("IF(LEN(D2234)&gt;4, IFERROR(REGEXEXTRACT(TO_TEXT(D2234),""\d+""),""""),"""")"),"22805")</f>
        <v>22805</v>
      </c>
      <c r="F2234" s="6" t="str">
        <f t="shared" si="3"/>
        <v>Product</v>
      </c>
      <c r="G2234" s="1" t="s">
        <v>337</v>
      </c>
      <c r="H2234" s="6" t="str">
        <f>IFERROR(__xludf.DUMMYFUNCTION("IF(REGEXMATCH(LOWER(G2234), ""^(\?)+\s*(missing)?\s*(\?)*$""), """", PROPER(SUBSTITUTE(SUBSTITUTE(G2234, ""?"", """"), ""*"", """")))"),"Blue Drawer Knob Acrylic Edwardian")</f>
        <v>Blue Drawer Knob Acrylic Edwardian</v>
      </c>
      <c r="I2234" s="3">
        <v>8.0</v>
      </c>
      <c r="J2234" s="7">
        <v>40598.75486111111</v>
      </c>
      <c r="K2234" s="8" t="str">
        <f t="shared" si="4"/>
        <v>2011-02</v>
      </c>
      <c r="L2234" s="5">
        <v>2.5</v>
      </c>
      <c r="M2234" s="10"/>
      <c r="N2234" s="1" t="str">
        <f t="shared" si="5"/>
        <v>Guest</v>
      </c>
      <c r="O2234" s="1" t="s">
        <v>19</v>
      </c>
      <c r="P2234" s="9" t="str">
        <f t="shared" si="6"/>
        <v>UK</v>
      </c>
      <c r="Q2234" s="8">
        <f t="shared" si="7"/>
        <v>20</v>
      </c>
    </row>
    <row r="2235">
      <c r="A2235" s="1">
        <v>544928.0</v>
      </c>
      <c r="B2235" s="1" t="str">
        <f t="shared" si="1"/>
        <v>544928</v>
      </c>
      <c r="C2235" s="1" t="str">
        <f t="shared" si="2"/>
        <v>Sale</v>
      </c>
      <c r="D2235" s="1">
        <v>22815.0</v>
      </c>
      <c r="E2235" s="1" t="str">
        <f>IFERROR(__xludf.DUMMYFUNCTION("IF(LEN(D2235)&gt;4, IFERROR(REGEXEXTRACT(TO_TEXT(D2235),""\d+""),""""),"""")"),"22815")</f>
        <v>22815</v>
      </c>
      <c r="F2235" s="6" t="str">
        <f t="shared" si="3"/>
        <v>Product</v>
      </c>
      <c r="G2235" s="1" t="s">
        <v>689</v>
      </c>
      <c r="H2235" s="6" t="str">
        <f>IFERROR(__xludf.DUMMYFUNCTION("IF(REGEXMATCH(LOWER(G2235), ""^(\?)+\s*(missing)?\s*(\?)*$""), """", PROPER(SUBSTITUTE(SUBSTITUTE(G2235, ""?"", """"), ""*"", """")))"),"Card Psychedelic Apples")</f>
        <v>Card Psychedelic Apples</v>
      </c>
      <c r="I2235" s="3">
        <v>1.0</v>
      </c>
      <c r="J2235" s="7">
        <v>40598.75486111111</v>
      </c>
      <c r="K2235" s="8" t="str">
        <f t="shared" si="4"/>
        <v>2011-02</v>
      </c>
      <c r="L2235" s="5">
        <v>0.83</v>
      </c>
      <c r="M2235" s="10"/>
      <c r="N2235" s="1" t="str">
        <f t="shared" si="5"/>
        <v>Guest</v>
      </c>
      <c r="O2235" s="1" t="s">
        <v>19</v>
      </c>
      <c r="P2235" s="9" t="str">
        <f t="shared" si="6"/>
        <v>UK</v>
      </c>
      <c r="Q2235" s="8">
        <f t="shared" si="7"/>
        <v>0.83</v>
      </c>
    </row>
    <row r="2236">
      <c r="A2236" s="1">
        <v>544928.0</v>
      </c>
      <c r="B2236" s="1" t="str">
        <f t="shared" si="1"/>
        <v>544928</v>
      </c>
      <c r="C2236" s="1" t="str">
        <f t="shared" si="2"/>
        <v>Sale</v>
      </c>
      <c r="D2236" s="1">
        <v>22893.0</v>
      </c>
      <c r="E2236" s="1" t="str">
        <f>IFERROR(__xludf.DUMMYFUNCTION("IF(LEN(D2236)&gt;4, IFERROR(REGEXEXTRACT(TO_TEXT(D2236),""\d+""),""""),"""")"),"22893")</f>
        <v>22893</v>
      </c>
      <c r="F2236" s="6" t="str">
        <f t="shared" si="3"/>
        <v>Product</v>
      </c>
      <c r="G2236" s="1" t="s">
        <v>744</v>
      </c>
      <c r="H2236" s="6" t="str">
        <f>IFERROR(__xludf.DUMMYFUNCTION("IF(REGEXMATCH(LOWER(G2236), ""^(\?)+\s*(missing)?\s*(\?)*$""), """", PROPER(SUBSTITUTE(SUBSTITUTE(G2236, ""?"", """"), ""*"", """")))"),"Mini Cake Stand T-Light Holder")</f>
        <v>Mini Cake Stand T-Light Holder</v>
      </c>
      <c r="I2236" s="3">
        <v>7.0</v>
      </c>
      <c r="J2236" s="7">
        <v>40598.75486111111</v>
      </c>
      <c r="K2236" s="8" t="str">
        <f t="shared" si="4"/>
        <v>2011-02</v>
      </c>
      <c r="L2236" s="5">
        <v>0.83</v>
      </c>
      <c r="M2236" s="10"/>
      <c r="N2236" s="1" t="str">
        <f t="shared" si="5"/>
        <v>Guest</v>
      </c>
      <c r="O2236" s="1" t="s">
        <v>19</v>
      </c>
      <c r="P2236" s="9" t="str">
        <f t="shared" si="6"/>
        <v>UK</v>
      </c>
      <c r="Q2236" s="8">
        <f t="shared" si="7"/>
        <v>5.81</v>
      </c>
    </row>
    <row r="2237">
      <c r="A2237" s="1">
        <v>544928.0</v>
      </c>
      <c r="B2237" s="1" t="str">
        <f t="shared" si="1"/>
        <v>544928</v>
      </c>
      <c r="C2237" s="1" t="str">
        <f t="shared" si="2"/>
        <v>Sale</v>
      </c>
      <c r="D2237" s="1">
        <v>22900.0</v>
      </c>
      <c r="E2237" s="1" t="str">
        <f>IFERROR(__xludf.DUMMYFUNCTION("IF(LEN(D2237)&gt;4, IFERROR(REGEXEXTRACT(TO_TEXT(D2237),""\d+""),""""),"""")"),"22900")</f>
        <v>22900</v>
      </c>
      <c r="F2237" s="6" t="str">
        <f t="shared" si="3"/>
        <v>Product</v>
      </c>
      <c r="G2237" s="1" t="s">
        <v>63</v>
      </c>
      <c r="H2237" s="6" t="str">
        <f>IFERROR(__xludf.DUMMYFUNCTION("IF(REGEXMATCH(LOWER(G2237), ""^(\?)+\s*(missing)?\s*(\?)*$""), """", PROPER(SUBSTITUTE(SUBSTITUTE(G2237, ""?"", """"), ""*"", """")))"),"Set 2 Tea Towels I Love London")</f>
        <v>Set 2 Tea Towels I Love London</v>
      </c>
      <c r="I2237" s="3">
        <v>1.0</v>
      </c>
      <c r="J2237" s="7">
        <v>40598.75486111111</v>
      </c>
      <c r="K2237" s="8" t="str">
        <f t="shared" si="4"/>
        <v>2011-02</v>
      </c>
      <c r="L2237" s="5">
        <v>5.79</v>
      </c>
      <c r="M2237" s="10"/>
      <c r="N2237" s="1" t="str">
        <f t="shared" si="5"/>
        <v>Guest</v>
      </c>
      <c r="O2237" s="1" t="s">
        <v>19</v>
      </c>
      <c r="P2237" s="9" t="str">
        <f t="shared" si="6"/>
        <v>UK</v>
      </c>
      <c r="Q2237" s="8">
        <f t="shared" si="7"/>
        <v>5.79</v>
      </c>
    </row>
    <row r="2238">
      <c r="A2238" s="1">
        <v>544928.0</v>
      </c>
      <c r="B2238" s="1" t="str">
        <f t="shared" si="1"/>
        <v>544928</v>
      </c>
      <c r="C2238" s="1" t="str">
        <f t="shared" si="2"/>
        <v>Sale</v>
      </c>
      <c r="D2238" s="1">
        <v>22915.0</v>
      </c>
      <c r="E2238" s="1" t="str">
        <f>IFERROR(__xludf.DUMMYFUNCTION("IF(LEN(D2238)&gt;4, IFERROR(REGEXEXTRACT(TO_TEXT(D2238),""\d+""),""""),"""")"),"22915")</f>
        <v>22915</v>
      </c>
      <c r="F2238" s="6" t="str">
        <f t="shared" si="3"/>
        <v>Product</v>
      </c>
      <c r="G2238" s="1" t="s">
        <v>190</v>
      </c>
      <c r="H2238" s="6" t="str">
        <f>IFERROR(__xludf.DUMMYFUNCTION("IF(REGEXMATCH(LOWER(G2238), ""^(\?)+\s*(missing)?\s*(\?)*$""), """", PROPER(SUBSTITUTE(SUBSTITUTE(G2238, ""?"", """"), ""*"", """")))"),"Assorted Bottle Top Magnets")</f>
        <v>Assorted Bottle Top Magnets</v>
      </c>
      <c r="I2238" s="3">
        <v>2.0</v>
      </c>
      <c r="J2238" s="7">
        <v>40598.75486111111</v>
      </c>
      <c r="K2238" s="8" t="str">
        <f t="shared" si="4"/>
        <v>2011-02</v>
      </c>
      <c r="L2238" s="5">
        <v>4.96</v>
      </c>
      <c r="M2238" s="10"/>
      <c r="N2238" s="1" t="str">
        <f t="shared" si="5"/>
        <v>Guest</v>
      </c>
      <c r="O2238" s="1" t="s">
        <v>19</v>
      </c>
      <c r="P2238" s="9" t="str">
        <f t="shared" si="6"/>
        <v>UK</v>
      </c>
      <c r="Q2238" s="8">
        <f t="shared" si="7"/>
        <v>9.92</v>
      </c>
    </row>
    <row r="2239">
      <c r="A2239" s="1">
        <v>544928.0</v>
      </c>
      <c r="B2239" s="1" t="str">
        <f t="shared" si="1"/>
        <v>544928</v>
      </c>
      <c r="C2239" s="1" t="str">
        <f t="shared" si="2"/>
        <v>Sale</v>
      </c>
      <c r="D2239" s="1">
        <v>22916.0</v>
      </c>
      <c r="E2239" s="1" t="str">
        <f>IFERROR(__xludf.DUMMYFUNCTION("IF(LEN(D2239)&gt;4, IFERROR(REGEXEXTRACT(TO_TEXT(D2239),""\d+""),""""),"""")"),"22916")</f>
        <v>22916</v>
      </c>
      <c r="F2239" s="6" t="str">
        <f t="shared" si="3"/>
        <v>Product</v>
      </c>
      <c r="G2239" s="1" t="s">
        <v>669</v>
      </c>
      <c r="H2239" s="6" t="str">
        <f>IFERROR(__xludf.DUMMYFUNCTION("IF(REGEXMATCH(LOWER(G2239), ""^(\?)+\s*(missing)?\s*(\?)*$""), """", PROPER(SUBSTITUTE(SUBSTITUTE(G2239, ""?"", """"), ""*"", """")))"),"Herb Marker Thyme")</f>
        <v>Herb Marker Thyme</v>
      </c>
      <c r="I2239" s="3">
        <v>1.0</v>
      </c>
      <c r="J2239" s="7">
        <v>40598.75486111111</v>
      </c>
      <c r="K2239" s="8" t="str">
        <f t="shared" si="4"/>
        <v>2011-02</v>
      </c>
      <c r="L2239" s="5">
        <v>1.63</v>
      </c>
      <c r="M2239" s="10"/>
      <c r="N2239" s="1" t="str">
        <f t="shared" si="5"/>
        <v>Guest</v>
      </c>
      <c r="O2239" s="1" t="s">
        <v>19</v>
      </c>
      <c r="P2239" s="9" t="str">
        <f t="shared" si="6"/>
        <v>UK</v>
      </c>
      <c r="Q2239" s="8">
        <f t="shared" si="7"/>
        <v>1.63</v>
      </c>
    </row>
    <row r="2240">
      <c r="A2240" s="1">
        <v>544928.0</v>
      </c>
      <c r="B2240" s="1" t="str">
        <f t="shared" si="1"/>
        <v>544928</v>
      </c>
      <c r="C2240" s="1" t="str">
        <f t="shared" si="2"/>
        <v>Sale</v>
      </c>
      <c r="D2240" s="1">
        <v>22917.0</v>
      </c>
      <c r="E2240" s="1" t="str">
        <f>IFERROR(__xludf.DUMMYFUNCTION("IF(LEN(D2240)&gt;4, IFERROR(REGEXEXTRACT(TO_TEXT(D2240),""\d+""),""""),"""")"),"22917")</f>
        <v>22917</v>
      </c>
      <c r="F2240" s="6" t="str">
        <f t="shared" si="3"/>
        <v>Product</v>
      </c>
      <c r="G2240" s="1" t="s">
        <v>665</v>
      </c>
      <c r="H2240" s="6" t="str">
        <f>IFERROR(__xludf.DUMMYFUNCTION("IF(REGEXMATCH(LOWER(G2240), ""^(\?)+\s*(missing)?\s*(\?)*$""), """", PROPER(SUBSTITUTE(SUBSTITUTE(G2240, ""?"", """"), ""*"", """")))"),"Herb Marker Rosemary")</f>
        <v>Herb Marker Rosemary</v>
      </c>
      <c r="I2240" s="3">
        <v>1.0</v>
      </c>
      <c r="J2240" s="7">
        <v>40598.75486111111</v>
      </c>
      <c r="K2240" s="8" t="str">
        <f t="shared" si="4"/>
        <v>2011-02</v>
      </c>
      <c r="L2240" s="5">
        <v>1.63</v>
      </c>
      <c r="M2240" s="10"/>
      <c r="N2240" s="1" t="str">
        <f t="shared" si="5"/>
        <v>Guest</v>
      </c>
      <c r="O2240" s="1" t="s">
        <v>19</v>
      </c>
      <c r="P2240" s="9" t="str">
        <f t="shared" si="6"/>
        <v>UK</v>
      </c>
      <c r="Q2240" s="8">
        <f t="shared" si="7"/>
        <v>1.63</v>
      </c>
    </row>
    <row r="2241">
      <c r="A2241" s="1">
        <v>544928.0</v>
      </c>
      <c r="B2241" s="1" t="str">
        <f t="shared" si="1"/>
        <v>544928</v>
      </c>
      <c r="C2241" s="1" t="str">
        <f t="shared" si="2"/>
        <v>Sale</v>
      </c>
      <c r="D2241" s="1">
        <v>22919.0</v>
      </c>
      <c r="E2241" s="1" t="str">
        <f>IFERROR(__xludf.DUMMYFUNCTION("IF(LEN(D2241)&gt;4, IFERROR(REGEXEXTRACT(TO_TEXT(D2241),""\d+""),""""),"""")"),"22919")</f>
        <v>22919</v>
      </c>
      <c r="F2241" s="6" t="str">
        <f t="shared" si="3"/>
        <v>Product</v>
      </c>
      <c r="G2241" s="1" t="s">
        <v>664</v>
      </c>
      <c r="H2241" s="6" t="str">
        <f>IFERROR(__xludf.DUMMYFUNCTION("IF(REGEXMATCH(LOWER(G2241), ""^(\?)+\s*(missing)?\s*(\?)*$""), """", PROPER(SUBSTITUTE(SUBSTITUTE(G2241, ""?"", """"), ""*"", """")))"),"Herb Marker Mint")</f>
        <v>Herb Marker Mint</v>
      </c>
      <c r="I2241" s="3">
        <v>1.0</v>
      </c>
      <c r="J2241" s="7">
        <v>40598.75486111111</v>
      </c>
      <c r="K2241" s="8" t="str">
        <f t="shared" si="4"/>
        <v>2011-02</v>
      </c>
      <c r="L2241" s="5">
        <v>1.63</v>
      </c>
      <c r="M2241" s="10"/>
      <c r="N2241" s="1" t="str">
        <f t="shared" si="5"/>
        <v>Guest</v>
      </c>
      <c r="O2241" s="1" t="s">
        <v>19</v>
      </c>
      <c r="P2241" s="9" t="str">
        <f t="shared" si="6"/>
        <v>UK</v>
      </c>
      <c r="Q2241" s="8">
        <f t="shared" si="7"/>
        <v>1.63</v>
      </c>
    </row>
    <row r="2242">
      <c r="A2242" s="1">
        <v>544928.0</v>
      </c>
      <c r="B2242" s="1" t="str">
        <f t="shared" si="1"/>
        <v>544928</v>
      </c>
      <c r="C2242" s="1" t="str">
        <f t="shared" si="2"/>
        <v>Sale</v>
      </c>
      <c r="D2242" s="1">
        <v>22920.0</v>
      </c>
      <c r="E2242" s="1" t="str">
        <f>IFERROR(__xludf.DUMMYFUNCTION("IF(LEN(D2242)&gt;4, IFERROR(REGEXEXTRACT(TO_TEXT(D2242),""\d+""),""""),"""")"),"22920")</f>
        <v>22920</v>
      </c>
      <c r="F2242" s="6" t="str">
        <f t="shared" si="3"/>
        <v>Product</v>
      </c>
      <c r="G2242" s="1" t="s">
        <v>666</v>
      </c>
      <c r="H2242" s="6" t="str">
        <f>IFERROR(__xludf.DUMMYFUNCTION("IF(REGEXMATCH(LOWER(G2242), ""^(\?)+\s*(missing)?\s*(\?)*$""), """", PROPER(SUBSTITUTE(SUBSTITUTE(G2242, ""?"", """"), ""*"", """")))"),"Herb Marker Basil")</f>
        <v>Herb Marker Basil</v>
      </c>
      <c r="I2242" s="3">
        <v>1.0</v>
      </c>
      <c r="J2242" s="7">
        <v>40598.75486111111</v>
      </c>
      <c r="K2242" s="8" t="str">
        <f t="shared" si="4"/>
        <v>2011-02</v>
      </c>
      <c r="L2242" s="5">
        <v>1.63</v>
      </c>
      <c r="M2242" s="10"/>
      <c r="N2242" s="1" t="str">
        <f t="shared" si="5"/>
        <v>Guest</v>
      </c>
      <c r="O2242" s="1" t="s">
        <v>19</v>
      </c>
      <c r="P2242" s="9" t="str">
        <f t="shared" si="6"/>
        <v>UK</v>
      </c>
      <c r="Q2242" s="8">
        <f t="shared" si="7"/>
        <v>1.63</v>
      </c>
    </row>
    <row r="2243">
      <c r="A2243" s="1">
        <v>544928.0</v>
      </c>
      <c r="B2243" s="1" t="str">
        <f t="shared" si="1"/>
        <v>544928</v>
      </c>
      <c r="C2243" s="1" t="str">
        <f t="shared" si="2"/>
        <v>Sale</v>
      </c>
      <c r="D2243" s="1">
        <v>22949.0</v>
      </c>
      <c r="E2243" s="1" t="str">
        <f>IFERROR(__xludf.DUMMYFUNCTION("IF(LEN(D2243)&gt;4, IFERROR(REGEXEXTRACT(TO_TEXT(D2243),""\d+""),""""),"""")"),"22949")</f>
        <v>22949</v>
      </c>
      <c r="F2243" s="6" t="str">
        <f t="shared" si="3"/>
        <v>Product</v>
      </c>
      <c r="G2243" s="1" t="s">
        <v>1202</v>
      </c>
      <c r="H2243" s="6" t="str">
        <f>IFERROR(__xludf.DUMMYFUNCTION("IF(REGEXMATCH(LOWER(G2243), ""^(\?)+\s*(missing)?\s*(\?)*$""), """", PROPER(SUBSTITUTE(SUBSTITUTE(G2243, ""?"", """"), ""*"", """")))"),"36 Doilies Dolly Girl")</f>
        <v>36 Doilies Dolly Girl</v>
      </c>
      <c r="I2243" s="3">
        <v>1.0</v>
      </c>
      <c r="J2243" s="7">
        <v>40598.75486111111</v>
      </c>
      <c r="K2243" s="8" t="str">
        <f t="shared" si="4"/>
        <v>2011-02</v>
      </c>
      <c r="L2243" s="5">
        <v>2.92</v>
      </c>
      <c r="M2243" s="10"/>
      <c r="N2243" s="1" t="str">
        <f t="shared" si="5"/>
        <v>Guest</v>
      </c>
      <c r="O2243" s="1" t="s">
        <v>19</v>
      </c>
      <c r="P2243" s="9" t="str">
        <f t="shared" si="6"/>
        <v>UK</v>
      </c>
      <c r="Q2243" s="8">
        <f t="shared" si="7"/>
        <v>2.92</v>
      </c>
    </row>
    <row r="2244">
      <c r="A2244" s="1">
        <v>544928.0</v>
      </c>
      <c r="B2244" s="1" t="str">
        <f t="shared" si="1"/>
        <v>544928</v>
      </c>
      <c r="C2244" s="1" t="str">
        <f t="shared" si="2"/>
        <v>Sale</v>
      </c>
      <c r="D2244" s="1">
        <v>22961.0</v>
      </c>
      <c r="E2244" s="1" t="str">
        <f>IFERROR(__xludf.DUMMYFUNCTION("IF(LEN(D2244)&gt;4, IFERROR(REGEXEXTRACT(TO_TEXT(D2244),""\d+""),""""),"""")"),"22961")</f>
        <v>22961</v>
      </c>
      <c r="F2244" s="6" t="str">
        <f t="shared" si="3"/>
        <v>Product</v>
      </c>
      <c r="G2244" s="1" t="s">
        <v>109</v>
      </c>
      <c r="H2244" s="6" t="str">
        <f>IFERROR(__xludf.DUMMYFUNCTION("IF(REGEXMATCH(LOWER(G2244), ""^(\?)+\s*(missing)?\s*(\?)*$""), """", PROPER(SUBSTITUTE(SUBSTITUTE(G2244, ""?"", """"), ""*"", """")))"),"Jam Making Set Printed")</f>
        <v>Jam Making Set Printed</v>
      </c>
      <c r="I2244" s="3">
        <v>4.0</v>
      </c>
      <c r="J2244" s="7">
        <v>40598.75486111111</v>
      </c>
      <c r="K2244" s="8" t="str">
        <f t="shared" si="4"/>
        <v>2011-02</v>
      </c>
      <c r="L2244" s="5">
        <v>3.29</v>
      </c>
      <c r="M2244" s="10"/>
      <c r="N2244" s="1" t="str">
        <f t="shared" si="5"/>
        <v>Guest</v>
      </c>
      <c r="O2244" s="1" t="s">
        <v>19</v>
      </c>
      <c r="P2244" s="9" t="str">
        <f t="shared" si="6"/>
        <v>UK</v>
      </c>
      <c r="Q2244" s="8">
        <f t="shared" si="7"/>
        <v>13.16</v>
      </c>
    </row>
    <row r="2245">
      <c r="A2245" s="1">
        <v>544928.0</v>
      </c>
      <c r="B2245" s="1" t="str">
        <f t="shared" si="1"/>
        <v>544928</v>
      </c>
      <c r="C2245" s="1" t="str">
        <f t="shared" si="2"/>
        <v>Sale</v>
      </c>
      <c r="D2245" s="1">
        <v>22980.0</v>
      </c>
      <c r="E2245" s="1" t="str">
        <f>IFERROR(__xludf.DUMMYFUNCTION("IF(LEN(D2245)&gt;4, IFERROR(REGEXEXTRACT(TO_TEXT(D2245),""\d+""),""""),"""")"),"22980")</f>
        <v>22980</v>
      </c>
      <c r="F2245" s="6" t="str">
        <f t="shared" si="3"/>
        <v>Product</v>
      </c>
      <c r="G2245" s="1" t="s">
        <v>777</v>
      </c>
      <c r="H2245" s="6" t="str">
        <f>IFERROR(__xludf.DUMMYFUNCTION("IF(REGEXMATCH(LOWER(G2245), ""^(\?)+\s*(missing)?\s*(\?)*$""), """", PROPER(SUBSTITUTE(SUBSTITUTE(G2245, ""?"", """"), ""*"", """")))"),"Pantry Scrubbing Brush")</f>
        <v>Pantry Scrubbing Brush</v>
      </c>
      <c r="I2245" s="3">
        <v>1.0</v>
      </c>
      <c r="J2245" s="7">
        <v>40598.75486111111</v>
      </c>
      <c r="K2245" s="8" t="str">
        <f t="shared" si="4"/>
        <v>2011-02</v>
      </c>
      <c r="L2245" s="5">
        <v>3.29</v>
      </c>
      <c r="M2245" s="10"/>
      <c r="N2245" s="1" t="str">
        <f t="shared" si="5"/>
        <v>Guest</v>
      </c>
      <c r="O2245" s="1" t="s">
        <v>19</v>
      </c>
      <c r="P2245" s="9" t="str">
        <f t="shared" si="6"/>
        <v>UK</v>
      </c>
      <c r="Q2245" s="8">
        <f t="shared" si="7"/>
        <v>3.29</v>
      </c>
    </row>
    <row r="2246">
      <c r="A2246" s="1">
        <v>544928.0</v>
      </c>
      <c r="B2246" s="1" t="str">
        <f t="shared" si="1"/>
        <v>544928</v>
      </c>
      <c r="C2246" s="1" t="str">
        <f t="shared" si="2"/>
        <v>Sale</v>
      </c>
      <c r="D2246" s="1">
        <v>22993.0</v>
      </c>
      <c r="E2246" s="1" t="str">
        <f>IFERROR(__xludf.DUMMYFUNCTION("IF(LEN(D2246)&gt;4, IFERROR(REGEXEXTRACT(TO_TEXT(D2246),""\d+""),""""),"""")"),"22993")</f>
        <v>22993</v>
      </c>
      <c r="F2246" s="6" t="str">
        <f t="shared" si="3"/>
        <v>Product</v>
      </c>
      <c r="G2246" s="1" t="s">
        <v>709</v>
      </c>
      <c r="H2246" s="6" t="str">
        <f>IFERROR(__xludf.DUMMYFUNCTION("IF(REGEXMATCH(LOWER(G2246), ""^(\?)+\s*(missing)?\s*(\?)*$""), """", PROPER(SUBSTITUTE(SUBSTITUTE(G2246, ""?"", """"), ""*"", """")))"),"Set Of 4 Pantry Jelly Moulds")</f>
        <v>Set Of 4 Pantry Jelly Moulds</v>
      </c>
      <c r="I2246" s="3">
        <v>2.0</v>
      </c>
      <c r="J2246" s="7">
        <v>40598.75486111111</v>
      </c>
      <c r="K2246" s="8" t="str">
        <f t="shared" si="4"/>
        <v>2011-02</v>
      </c>
      <c r="L2246" s="5">
        <v>2.5</v>
      </c>
      <c r="M2246" s="10"/>
      <c r="N2246" s="1" t="str">
        <f t="shared" si="5"/>
        <v>Guest</v>
      </c>
      <c r="O2246" s="1" t="s">
        <v>19</v>
      </c>
      <c r="P2246" s="9" t="str">
        <f t="shared" si="6"/>
        <v>UK</v>
      </c>
      <c r="Q2246" s="8">
        <f t="shared" si="7"/>
        <v>5</v>
      </c>
    </row>
    <row r="2247">
      <c r="A2247" s="1">
        <v>544928.0</v>
      </c>
      <c r="B2247" s="1" t="str">
        <f t="shared" si="1"/>
        <v>544928</v>
      </c>
      <c r="C2247" s="1" t="str">
        <f t="shared" si="2"/>
        <v>Sale</v>
      </c>
      <c r="D2247" s="1">
        <v>22994.0</v>
      </c>
      <c r="E2247" s="1" t="str">
        <f>IFERROR(__xludf.DUMMYFUNCTION("IF(LEN(D2247)&gt;4, IFERROR(REGEXEXTRACT(TO_TEXT(D2247),""\d+""),""""),"""")"),"22994")</f>
        <v>22994</v>
      </c>
      <c r="F2247" s="6" t="str">
        <f t="shared" si="3"/>
        <v>Product</v>
      </c>
      <c r="G2247" s="1" t="s">
        <v>997</v>
      </c>
      <c r="H2247" s="6" t="str">
        <f>IFERROR(__xludf.DUMMYFUNCTION("IF(REGEXMATCH(LOWER(G2247), ""^(\?)+\s*(missing)?\s*(\?)*$""), """", PROPER(SUBSTITUTE(SUBSTITUTE(G2247, ""?"", """"), ""*"", """")))"),"Travel Card Wallet Retrospot")</f>
        <v>Travel Card Wallet Retrospot</v>
      </c>
      <c r="I2247" s="3">
        <v>1.0</v>
      </c>
      <c r="J2247" s="7">
        <v>40598.75486111111</v>
      </c>
      <c r="K2247" s="8" t="str">
        <f t="shared" si="4"/>
        <v>2011-02</v>
      </c>
      <c r="L2247" s="5">
        <v>0.83</v>
      </c>
      <c r="M2247" s="10"/>
      <c r="N2247" s="1" t="str">
        <f t="shared" si="5"/>
        <v>Guest</v>
      </c>
      <c r="O2247" s="1" t="s">
        <v>19</v>
      </c>
      <c r="P2247" s="9" t="str">
        <f t="shared" si="6"/>
        <v>UK</v>
      </c>
      <c r="Q2247" s="8">
        <f t="shared" si="7"/>
        <v>0.83</v>
      </c>
    </row>
    <row r="2248">
      <c r="A2248" s="1">
        <v>544928.0</v>
      </c>
      <c r="B2248" s="1" t="str">
        <f t="shared" si="1"/>
        <v>544928</v>
      </c>
      <c r="C2248" s="1" t="str">
        <f t="shared" si="2"/>
        <v>Sale</v>
      </c>
      <c r="D2248" s="1">
        <v>22995.0</v>
      </c>
      <c r="E2248" s="1" t="str">
        <f>IFERROR(__xludf.DUMMYFUNCTION("IF(LEN(D2248)&gt;4, IFERROR(REGEXEXTRACT(TO_TEXT(D2248),""\d+""),""""),"""")"),"22995")</f>
        <v>22995</v>
      </c>
      <c r="F2248" s="6" t="str">
        <f t="shared" si="3"/>
        <v>Product</v>
      </c>
      <c r="G2248" s="1" t="s">
        <v>710</v>
      </c>
      <c r="H2248" s="6" t="str">
        <f>IFERROR(__xludf.DUMMYFUNCTION("IF(REGEXMATCH(LOWER(G2248), ""^(\?)+\s*(missing)?\s*(\?)*$""), """", PROPER(SUBSTITUTE(SUBSTITUTE(G2248, ""?"", """"), ""*"", """")))"),"Travel Card Wallet Suki")</f>
        <v>Travel Card Wallet Suki</v>
      </c>
      <c r="I2248" s="3">
        <v>2.0</v>
      </c>
      <c r="J2248" s="7">
        <v>40598.75486111111</v>
      </c>
      <c r="K2248" s="8" t="str">
        <f t="shared" si="4"/>
        <v>2011-02</v>
      </c>
      <c r="L2248" s="5">
        <v>0.83</v>
      </c>
      <c r="M2248" s="10"/>
      <c r="N2248" s="1" t="str">
        <f t="shared" si="5"/>
        <v>Guest</v>
      </c>
      <c r="O2248" s="1" t="s">
        <v>19</v>
      </c>
      <c r="P2248" s="9" t="str">
        <f t="shared" si="6"/>
        <v>UK</v>
      </c>
      <c r="Q2248" s="8">
        <f t="shared" si="7"/>
        <v>1.66</v>
      </c>
    </row>
    <row r="2249">
      <c r="A2249" s="1">
        <v>544928.0</v>
      </c>
      <c r="B2249" s="1" t="str">
        <f t="shared" si="1"/>
        <v>544928</v>
      </c>
      <c r="C2249" s="1" t="str">
        <f t="shared" si="2"/>
        <v>Sale</v>
      </c>
      <c r="D2249" s="1">
        <v>22996.0</v>
      </c>
      <c r="E2249" s="1" t="str">
        <f>IFERROR(__xludf.DUMMYFUNCTION("IF(LEN(D2249)&gt;4, IFERROR(REGEXEXTRACT(TO_TEXT(D2249),""\d+""),""""),"""")"),"22996")</f>
        <v>22996</v>
      </c>
      <c r="F2249" s="6" t="str">
        <f t="shared" si="3"/>
        <v>Product</v>
      </c>
      <c r="G2249" s="1" t="s">
        <v>711</v>
      </c>
      <c r="H2249" s="6" t="str">
        <f>IFERROR(__xludf.DUMMYFUNCTION("IF(REGEXMATCH(LOWER(G2249), ""^(\?)+\s*(missing)?\s*(\?)*$""), """", PROPER(SUBSTITUTE(SUBSTITUTE(G2249, ""?"", """"), ""*"", """")))"),"Travel Card Wallet Vintage Ticket")</f>
        <v>Travel Card Wallet Vintage Ticket</v>
      </c>
      <c r="I2249" s="3">
        <v>3.0</v>
      </c>
      <c r="J2249" s="7">
        <v>40598.75486111111</v>
      </c>
      <c r="K2249" s="8" t="str">
        <f t="shared" si="4"/>
        <v>2011-02</v>
      </c>
      <c r="L2249" s="5">
        <v>0.83</v>
      </c>
      <c r="M2249" s="10"/>
      <c r="N2249" s="1" t="str">
        <f t="shared" si="5"/>
        <v>Guest</v>
      </c>
      <c r="O2249" s="1" t="s">
        <v>19</v>
      </c>
      <c r="P2249" s="9" t="str">
        <f t="shared" si="6"/>
        <v>UK</v>
      </c>
      <c r="Q2249" s="8">
        <f t="shared" si="7"/>
        <v>2.49</v>
      </c>
    </row>
    <row r="2250">
      <c r="A2250" s="1">
        <v>544928.0</v>
      </c>
      <c r="B2250" s="1" t="str">
        <f t="shared" si="1"/>
        <v>544928</v>
      </c>
      <c r="C2250" s="1" t="str">
        <f t="shared" si="2"/>
        <v>Sale</v>
      </c>
      <c r="D2250" s="1">
        <v>22998.0</v>
      </c>
      <c r="E2250" s="1" t="str">
        <f>IFERROR(__xludf.DUMMYFUNCTION("IF(LEN(D2250)&gt;4, IFERROR(REGEXEXTRACT(TO_TEXT(D2250),""\d+""),""""),"""")"),"22998")</f>
        <v>22998</v>
      </c>
      <c r="F2250" s="6" t="str">
        <f t="shared" si="3"/>
        <v>Product</v>
      </c>
      <c r="G2250" s="1" t="s">
        <v>712</v>
      </c>
      <c r="H2250" s="6" t="str">
        <f>IFERROR(__xludf.DUMMYFUNCTION("IF(REGEXMATCH(LOWER(G2250), ""^(\?)+\s*(missing)?\s*(\?)*$""), """", PROPER(SUBSTITUTE(SUBSTITUTE(G2250, ""?"", """"), ""*"", """")))"),"Travel Card Wallet Keep Calm")</f>
        <v>Travel Card Wallet Keep Calm</v>
      </c>
      <c r="I2250" s="3">
        <v>1.0</v>
      </c>
      <c r="J2250" s="7">
        <v>40598.75486111111</v>
      </c>
      <c r="K2250" s="8" t="str">
        <f t="shared" si="4"/>
        <v>2011-02</v>
      </c>
      <c r="L2250" s="5">
        <v>0.83</v>
      </c>
      <c r="M2250" s="10"/>
      <c r="N2250" s="1" t="str">
        <f t="shared" si="5"/>
        <v>Guest</v>
      </c>
      <c r="O2250" s="1" t="s">
        <v>19</v>
      </c>
      <c r="P2250" s="9" t="str">
        <f t="shared" si="6"/>
        <v>UK</v>
      </c>
      <c r="Q2250" s="8">
        <f t="shared" si="7"/>
        <v>0.83</v>
      </c>
    </row>
    <row r="2251">
      <c r="A2251" s="1">
        <v>544928.0</v>
      </c>
      <c r="B2251" s="1" t="str">
        <f t="shared" si="1"/>
        <v>544928</v>
      </c>
      <c r="C2251" s="1" t="str">
        <f t="shared" si="2"/>
        <v>Sale</v>
      </c>
      <c r="D2251" s="1">
        <v>23000.0</v>
      </c>
      <c r="E2251" s="1" t="str">
        <f>IFERROR(__xludf.DUMMYFUNCTION("IF(LEN(D2251)&gt;4, IFERROR(REGEXEXTRACT(TO_TEXT(D2251),""\d+""),""""),"""")"),"23000")</f>
        <v>23000</v>
      </c>
      <c r="F2251" s="6" t="str">
        <f t="shared" si="3"/>
        <v>Product</v>
      </c>
      <c r="G2251" s="1" t="s">
        <v>714</v>
      </c>
      <c r="H2251" s="6" t="str">
        <f>IFERROR(__xludf.DUMMYFUNCTION("IF(REGEXMATCH(LOWER(G2251), ""^(\?)+\s*(missing)?\s*(\?)*$""), """", PROPER(SUBSTITUTE(SUBSTITUTE(G2251, ""?"", """"), ""*"", """")))"),"Travel Card Wallet Transport")</f>
        <v>Travel Card Wallet Transport</v>
      </c>
      <c r="I2251" s="3">
        <v>2.0</v>
      </c>
      <c r="J2251" s="7">
        <v>40598.75486111111</v>
      </c>
      <c r="K2251" s="8" t="str">
        <f t="shared" si="4"/>
        <v>2011-02</v>
      </c>
      <c r="L2251" s="5">
        <v>0.83</v>
      </c>
      <c r="M2251" s="10"/>
      <c r="N2251" s="1" t="str">
        <f t="shared" si="5"/>
        <v>Guest</v>
      </c>
      <c r="O2251" s="1" t="s">
        <v>19</v>
      </c>
      <c r="P2251" s="9" t="str">
        <f t="shared" si="6"/>
        <v>UK</v>
      </c>
      <c r="Q2251" s="8">
        <f t="shared" si="7"/>
        <v>1.66</v>
      </c>
    </row>
    <row r="2252">
      <c r="A2252" s="1">
        <v>544928.0</v>
      </c>
      <c r="B2252" s="1" t="str">
        <f t="shared" si="1"/>
        <v>544928</v>
      </c>
      <c r="C2252" s="1" t="str">
        <f t="shared" si="2"/>
        <v>Sale</v>
      </c>
      <c r="D2252" s="1">
        <v>23002.0</v>
      </c>
      <c r="E2252" s="1" t="str">
        <f>IFERROR(__xludf.DUMMYFUNCTION("IF(LEN(D2252)&gt;4, IFERROR(REGEXEXTRACT(TO_TEXT(D2252),""\d+""),""""),"""")"),"23002")</f>
        <v>23002</v>
      </c>
      <c r="F2252" s="6" t="str">
        <f t="shared" si="3"/>
        <v>Product</v>
      </c>
      <c r="G2252" s="1" t="s">
        <v>715</v>
      </c>
      <c r="H2252" s="6" t="str">
        <f>IFERROR(__xludf.DUMMYFUNCTION("IF(REGEXMATCH(LOWER(G2252), ""^(\?)+\s*(missing)?\s*(\?)*$""), """", PROPER(SUBSTITUTE(SUBSTITUTE(G2252, ""?"", """"), ""*"", """")))"),"Travel Card Wallet Skulls")</f>
        <v>Travel Card Wallet Skulls</v>
      </c>
      <c r="I2252" s="3">
        <v>1.0</v>
      </c>
      <c r="J2252" s="7">
        <v>40598.75486111111</v>
      </c>
      <c r="K2252" s="8" t="str">
        <f t="shared" si="4"/>
        <v>2011-02</v>
      </c>
      <c r="L2252" s="5">
        <v>0.83</v>
      </c>
      <c r="M2252" s="10"/>
      <c r="N2252" s="1" t="str">
        <f t="shared" si="5"/>
        <v>Guest</v>
      </c>
      <c r="O2252" s="1" t="s">
        <v>19</v>
      </c>
      <c r="P2252" s="9" t="str">
        <f t="shared" si="6"/>
        <v>UK</v>
      </c>
      <c r="Q2252" s="8">
        <f t="shared" si="7"/>
        <v>0.83</v>
      </c>
    </row>
    <row r="2253">
      <c r="A2253" s="1">
        <v>544928.0</v>
      </c>
      <c r="B2253" s="1" t="str">
        <f t="shared" si="1"/>
        <v>544928</v>
      </c>
      <c r="C2253" s="1" t="str">
        <f t="shared" si="2"/>
        <v>Sale</v>
      </c>
      <c r="D2253" s="1">
        <v>23004.0</v>
      </c>
      <c r="E2253" s="1" t="str">
        <f>IFERROR(__xludf.DUMMYFUNCTION("IF(LEN(D2253)&gt;4, IFERROR(REGEXEXTRACT(TO_TEXT(D2253),""\d+""),""""),"""")"),"23004")</f>
        <v>23004</v>
      </c>
      <c r="F2253" s="6" t="str">
        <f t="shared" si="3"/>
        <v>Product</v>
      </c>
      <c r="G2253" s="1" t="s">
        <v>734</v>
      </c>
      <c r="H2253" s="6" t="str">
        <f>IFERROR(__xludf.DUMMYFUNCTION("IF(REGEXMATCH(LOWER(G2253), ""^(\?)+\s*(missing)?\s*(\?)*$""), """", PROPER(SUBSTITUTE(SUBSTITUTE(G2253, ""?"", """"), ""*"", """")))"),"Travel Card Wallet Pantry")</f>
        <v>Travel Card Wallet Pantry</v>
      </c>
      <c r="I2253" s="3">
        <v>1.0</v>
      </c>
      <c r="J2253" s="7">
        <v>40598.75486111111</v>
      </c>
      <c r="K2253" s="8" t="str">
        <f t="shared" si="4"/>
        <v>2011-02</v>
      </c>
      <c r="L2253" s="5">
        <v>0.83</v>
      </c>
      <c r="M2253" s="10"/>
      <c r="N2253" s="1" t="str">
        <f t="shared" si="5"/>
        <v>Guest</v>
      </c>
      <c r="O2253" s="1" t="s">
        <v>19</v>
      </c>
      <c r="P2253" s="9" t="str">
        <f t="shared" si="6"/>
        <v>UK</v>
      </c>
      <c r="Q2253" s="8">
        <f t="shared" si="7"/>
        <v>0.83</v>
      </c>
    </row>
    <row r="2254">
      <c r="A2254" s="1">
        <v>544928.0</v>
      </c>
      <c r="B2254" s="1" t="str">
        <f t="shared" si="1"/>
        <v>544928</v>
      </c>
      <c r="C2254" s="1" t="str">
        <f t="shared" si="2"/>
        <v>Sale</v>
      </c>
      <c r="D2254" s="1">
        <v>35241.0</v>
      </c>
      <c r="E2254" s="1" t="str">
        <f>IFERROR(__xludf.DUMMYFUNCTION("IF(LEN(D2254)&gt;4, IFERROR(REGEXEXTRACT(TO_TEXT(D2254),""\d+""),""""),"""")"),"35241")</f>
        <v>35241</v>
      </c>
      <c r="F2254" s="6" t="str">
        <f t="shared" si="3"/>
        <v>Product</v>
      </c>
      <c r="G2254" s="1" t="s">
        <v>716</v>
      </c>
      <c r="H2254" s="6" t="str">
        <f>IFERROR(__xludf.DUMMYFUNCTION("IF(REGEXMATCH(LOWER(G2254), ""^(\?)+\s*(missing)?\s*(\?)*$""), """", PROPER(SUBSTITUTE(SUBSTITUTE(G2254, ""?"", """"), ""*"", """")))"),"Enamel Blue Rim Biscuit Bin")</f>
        <v>Enamel Blue Rim Biscuit Bin</v>
      </c>
      <c r="I2254" s="3">
        <v>1.0</v>
      </c>
      <c r="J2254" s="7">
        <v>40598.75486111111</v>
      </c>
      <c r="K2254" s="8" t="str">
        <f t="shared" si="4"/>
        <v>2011-02</v>
      </c>
      <c r="L2254" s="5">
        <v>9.96</v>
      </c>
      <c r="M2254" s="10"/>
      <c r="N2254" s="1" t="str">
        <f t="shared" si="5"/>
        <v>Guest</v>
      </c>
      <c r="O2254" s="1" t="s">
        <v>19</v>
      </c>
      <c r="P2254" s="9" t="str">
        <f t="shared" si="6"/>
        <v>UK</v>
      </c>
      <c r="Q2254" s="8">
        <f t="shared" si="7"/>
        <v>9.96</v>
      </c>
    </row>
    <row r="2255">
      <c r="A2255" s="1">
        <v>544928.0</v>
      </c>
      <c r="B2255" s="1" t="str">
        <f t="shared" si="1"/>
        <v>544928</v>
      </c>
      <c r="C2255" s="1" t="str">
        <f t="shared" si="2"/>
        <v>Sale</v>
      </c>
      <c r="D2255" s="1" t="s">
        <v>1133</v>
      </c>
      <c r="E2255" s="1" t="str">
        <f>IFERROR(__xludf.DUMMYFUNCTION("IF(LEN(D2255)&gt;4, IFERROR(REGEXEXTRACT(TO_TEXT(D2255),""\d+""),""""),"""")"),"35809")</f>
        <v>35809</v>
      </c>
      <c r="F2255" s="6" t="str">
        <f t="shared" si="3"/>
        <v>Product</v>
      </c>
      <c r="G2255" s="1" t="s">
        <v>1134</v>
      </c>
      <c r="H2255" s="6" t="str">
        <f>IFERROR(__xludf.DUMMYFUNCTION("IF(REGEXMATCH(LOWER(G2255), ""^(\?)+\s*(missing)?\s*(\?)*$""), """", PROPER(SUBSTITUTE(SUBSTITUTE(G2255, ""?"", """"), ""*"", """")))"),"Enamel Pink Tea Container")</f>
        <v>Enamel Pink Tea Container</v>
      </c>
      <c r="I2255" s="3">
        <v>2.0</v>
      </c>
      <c r="J2255" s="7">
        <v>40598.75486111111</v>
      </c>
      <c r="K2255" s="8" t="str">
        <f t="shared" si="4"/>
        <v>2011-02</v>
      </c>
      <c r="L2255" s="5">
        <v>4.13</v>
      </c>
      <c r="M2255" s="10"/>
      <c r="N2255" s="1" t="str">
        <f t="shared" si="5"/>
        <v>Guest</v>
      </c>
      <c r="O2255" s="1" t="s">
        <v>19</v>
      </c>
      <c r="P2255" s="9" t="str">
        <f t="shared" si="6"/>
        <v>UK</v>
      </c>
      <c r="Q2255" s="8">
        <f t="shared" si="7"/>
        <v>8.26</v>
      </c>
    </row>
    <row r="2256">
      <c r="A2256" s="1">
        <v>544928.0</v>
      </c>
      <c r="B2256" s="1" t="str">
        <f t="shared" si="1"/>
        <v>544928</v>
      </c>
      <c r="C2256" s="1" t="str">
        <f t="shared" si="2"/>
        <v>Sale</v>
      </c>
      <c r="D2256" s="1" t="s">
        <v>1135</v>
      </c>
      <c r="E2256" s="1" t="str">
        <f>IFERROR(__xludf.DUMMYFUNCTION("IF(LEN(D2256)&gt;4, IFERROR(REGEXEXTRACT(TO_TEXT(D2256),""\d+""),""""),"""")"),"35810")</f>
        <v>35810</v>
      </c>
      <c r="F2256" s="6" t="str">
        <f t="shared" si="3"/>
        <v>Product</v>
      </c>
      <c r="G2256" s="1" t="s">
        <v>1136</v>
      </c>
      <c r="H2256" s="6" t="str">
        <f>IFERROR(__xludf.DUMMYFUNCTION("IF(REGEXMATCH(LOWER(G2256), ""^(\?)+\s*(missing)?\s*(\?)*$""), """", PROPER(SUBSTITUTE(SUBSTITUTE(G2256, ""?"", """"), ""*"", """")))"),"Enamel Pink Coffee Container")</f>
        <v>Enamel Pink Coffee Container</v>
      </c>
      <c r="I2256" s="3">
        <v>2.0</v>
      </c>
      <c r="J2256" s="7">
        <v>40598.75486111111</v>
      </c>
      <c r="K2256" s="8" t="str">
        <f t="shared" si="4"/>
        <v>2011-02</v>
      </c>
      <c r="L2256" s="5">
        <v>4.13</v>
      </c>
      <c r="M2256" s="10"/>
      <c r="N2256" s="1" t="str">
        <f t="shared" si="5"/>
        <v>Guest</v>
      </c>
      <c r="O2256" s="1" t="s">
        <v>19</v>
      </c>
      <c r="P2256" s="9" t="str">
        <f t="shared" si="6"/>
        <v>UK</v>
      </c>
      <c r="Q2256" s="8">
        <f t="shared" si="7"/>
        <v>8.26</v>
      </c>
    </row>
    <row r="2257">
      <c r="A2257" s="1">
        <v>544928.0</v>
      </c>
      <c r="B2257" s="1" t="str">
        <f t="shared" si="1"/>
        <v>544928</v>
      </c>
      <c r="C2257" s="1" t="str">
        <f t="shared" si="2"/>
        <v>Sale</v>
      </c>
      <c r="D2257" s="1" t="s">
        <v>1203</v>
      </c>
      <c r="E2257" s="1" t="str">
        <f>IFERROR(__xludf.DUMMYFUNCTION("IF(LEN(D2257)&gt;4, IFERROR(REGEXEXTRACT(TO_TEXT(D2257),""\d+""),""""),"""")"),"35915")</f>
        <v>35915</v>
      </c>
      <c r="F2257" s="6" t="str">
        <f t="shared" si="3"/>
        <v>Product</v>
      </c>
      <c r="G2257" s="1" t="s">
        <v>1204</v>
      </c>
      <c r="H2257" s="6" t="str">
        <f>IFERROR(__xludf.DUMMYFUNCTION("IF(REGEXMATCH(LOWER(G2257), ""^(\?)+\s*(missing)?\s*(\?)*$""), """", PROPER(SUBSTITUTE(SUBSTITUTE(G2257, ""?"", """"), ""*"", """")))"),"Blue Knitted Hen")</f>
        <v>Blue Knitted Hen</v>
      </c>
      <c r="I2257" s="3">
        <v>4.0</v>
      </c>
      <c r="J2257" s="7">
        <v>40598.75486111111</v>
      </c>
      <c r="K2257" s="8" t="str">
        <f t="shared" si="4"/>
        <v>2011-02</v>
      </c>
      <c r="L2257" s="5">
        <v>0.83</v>
      </c>
      <c r="M2257" s="10"/>
      <c r="N2257" s="1" t="str">
        <f t="shared" si="5"/>
        <v>Guest</v>
      </c>
      <c r="O2257" s="1" t="s">
        <v>19</v>
      </c>
      <c r="P2257" s="9" t="str">
        <f t="shared" si="6"/>
        <v>UK</v>
      </c>
      <c r="Q2257" s="8">
        <f t="shared" si="7"/>
        <v>3.32</v>
      </c>
    </row>
    <row r="2258">
      <c r="A2258" s="1">
        <v>544928.0</v>
      </c>
      <c r="B2258" s="1" t="str">
        <f t="shared" si="1"/>
        <v>544928</v>
      </c>
      <c r="C2258" s="1" t="str">
        <f t="shared" si="2"/>
        <v>Sale</v>
      </c>
      <c r="D2258" s="1" t="s">
        <v>1205</v>
      </c>
      <c r="E2258" s="1" t="str">
        <f>IFERROR(__xludf.DUMMYFUNCTION("IF(LEN(D2258)&gt;4, IFERROR(REGEXEXTRACT(TO_TEXT(D2258),""\d+""),""""),"""")"),"35915")</f>
        <v>35915</v>
      </c>
      <c r="F2258" s="6" t="str">
        <f t="shared" si="3"/>
        <v>Product</v>
      </c>
      <c r="G2258" s="1" t="s">
        <v>1206</v>
      </c>
      <c r="H2258" s="6" t="str">
        <f>IFERROR(__xludf.DUMMYFUNCTION("IF(REGEXMATCH(LOWER(G2258), ""^(\?)+\s*(missing)?\s*(\?)*$""), """", PROPER(SUBSTITUTE(SUBSTITUTE(G2258, ""?"", """"), ""*"", """")))"),"Peach Knitted Hen")</f>
        <v>Peach Knitted Hen</v>
      </c>
      <c r="I2258" s="3">
        <v>8.0</v>
      </c>
      <c r="J2258" s="7">
        <v>40598.75486111111</v>
      </c>
      <c r="K2258" s="8" t="str">
        <f t="shared" si="4"/>
        <v>2011-02</v>
      </c>
      <c r="L2258" s="5">
        <v>0.83</v>
      </c>
      <c r="M2258" s="10"/>
      <c r="N2258" s="1" t="str">
        <f t="shared" si="5"/>
        <v>Guest</v>
      </c>
      <c r="O2258" s="1" t="s">
        <v>19</v>
      </c>
      <c r="P2258" s="9" t="str">
        <f t="shared" si="6"/>
        <v>UK</v>
      </c>
      <c r="Q2258" s="8">
        <f t="shared" si="7"/>
        <v>6.64</v>
      </c>
    </row>
    <row r="2259">
      <c r="A2259" s="1">
        <v>544928.0</v>
      </c>
      <c r="B2259" s="1" t="str">
        <f t="shared" si="1"/>
        <v>544928</v>
      </c>
      <c r="C2259" s="1" t="str">
        <f t="shared" si="2"/>
        <v>Sale</v>
      </c>
      <c r="D2259" s="1" t="s">
        <v>1207</v>
      </c>
      <c r="E2259" s="1" t="str">
        <f>IFERROR(__xludf.DUMMYFUNCTION("IF(LEN(D2259)&gt;4, IFERROR(REGEXEXTRACT(TO_TEXT(D2259),""\d+""),""""),"""")"),"47559")</f>
        <v>47559</v>
      </c>
      <c r="F2259" s="6" t="str">
        <f t="shared" si="3"/>
        <v>Product</v>
      </c>
      <c r="G2259" s="1" t="s">
        <v>1208</v>
      </c>
      <c r="H2259" s="6" t="str">
        <f>IFERROR(__xludf.DUMMYFUNCTION("IF(REGEXMATCH(LOWER(G2259), ""^(\?)+\s*(missing)?\s*(\?)*$""), """", PROPER(SUBSTITUTE(SUBSTITUTE(G2259, ""?"", """"), ""*"", """")))"),"Tea Time Oven Glove")</f>
        <v>Tea Time Oven Glove</v>
      </c>
      <c r="I2259" s="3">
        <v>3.0</v>
      </c>
      <c r="J2259" s="7">
        <v>40598.75486111111</v>
      </c>
      <c r="K2259" s="8" t="str">
        <f t="shared" si="4"/>
        <v>2011-02</v>
      </c>
      <c r="L2259" s="5">
        <v>2.46</v>
      </c>
      <c r="M2259" s="10"/>
      <c r="N2259" s="1" t="str">
        <f t="shared" si="5"/>
        <v>Guest</v>
      </c>
      <c r="O2259" s="1" t="s">
        <v>19</v>
      </c>
      <c r="P2259" s="9" t="str">
        <f t="shared" si="6"/>
        <v>UK</v>
      </c>
      <c r="Q2259" s="8">
        <f t="shared" si="7"/>
        <v>7.38</v>
      </c>
    </row>
    <row r="2260">
      <c r="A2260" s="1">
        <v>544928.0</v>
      </c>
      <c r="B2260" s="1" t="str">
        <f t="shared" si="1"/>
        <v>544928</v>
      </c>
      <c r="C2260" s="1" t="str">
        <f t="shared" si="2"/>
        <v>Sale</v>
      </c>
      <c r="D2260" s="1">
        <v>47566.0</v>
      </c>
      <c r="E2260" s="1" t="str">
        <f>IFERROR(__xludf.DUMMYFUNCTION("IF(LEN(D2260)&gt;4, IFERROR(REGEXEXTRACT(TO_TEXT(D2260),""\d+""),""""),"""")"),"47566")</f>
        <v>47566</v>
      </c>
      <c r="F2260" s="6" t="str">
        <f t="shared" si="3"/>
        <v>Product</v>
      </c>
      <c r="G2260" s="1" t="s">
        <v>1002</v>
      </c>
      <c r="H2260" s="6" t="str">
        <f>IFERROR(__xludf.DUMMYFUNCTION("IF(REGEXMATCH(LOWER(G2260), ""^(\?)+\s*(missing)?\s*(\?)*$""), """", PROPER(SUBSTITUTE(SUBSTITUTE(G2260, ""?"", """"), ""*"", """")))"),"Party Bunting")</f>
        <v>Party Bunting</v>
      </c>
      <c r="I2260" s="3">
        <v>1.0</v>
      </c>
      <c r="J2260" s="7">
        <v>40598.75486111111</v>
      </c>
      <c r="K2260" s="8" t="str">
        <f t="shared" si="4"/>
        <v>2011-02</v>
      </c>
      <c r="L2260" s="5">
        <v>10.79</v>
      </c>
      <c r="M2260" s="10"/>
      <c r="N2260" s="1" t="str">
        <f t="shared" si="5"/>
        <v>Guest</v>
      </c>
      <c r="O2260" s="1" t="s">
        <v>19</v>
      </c>
      <c r="P2260" s="9" t="str">
        <f t="shared" si="6"/>
        <v>UK</v>
      </c>
      <c r="Q2260" s="8">
        <f t="shared" si="7"/>
        <v>10.79</v>
      </c>
    </row>
    <row r="2261">
      <c r="A2261" s="1">
        <v>544928.0</v>
      </c>
      <c r="B2261" s="1" t="str">
        <f t="shared" si="1"/>
        <v>544928</v>
      </c>
      <c r="C2261" s="1" t="str">
        <f t="shared" si="2"/>
        <v>Sale</v>
      </c>
      <c r="D2261" s="1" t="s">
        <v>1209</v>
      </c>
      <c r="E2261" s="1" t="str">
        <f>IFERROR(__xludf.DUMMYFUNCTION("IF(LEN(D2261)&gt;4, IFERROR(REGEXEXTRACT(TO_TEXT(D2261),""\d+""),""""),"""")"),"47593")</f>
        <v>47593</v>
      </c>
      <c r="F2261" s="6" t="str">
        <f t="shared" si="3"/>
        <v>Product</v>
      </c>
      <c r="G2261" s="1" t="s">
        <v>1210</v>
      </c>
      <c r="H2261" s="6" t="str">
        <f>IFERROR(__xludf.DUMMYFUNCTION("IF(REGEXMATCH(LOWER(G2261), ""^(\?)+\s*(missing)?\s*(\?)*$""), """", PROPER(SUBSTITUTE(SUBSTITUTE(G2261, ""?"", """"), ""*"", """")))"),"Scottie Dogs Baby Bib")</f>
        <v>Scottie Dogs Baby Bib</v>
      </c>
      <c r="I2261" s="3">
        <v>4.0</v>
      </c>
      <c r="J2261" s="7">
        <v>40598.75486111111</v>
      </c>
      <c r="K2261" s="8" t="str">
        <f t="shared" si="4"/>
        <v>2011-02</v>
      </c>
      <c r="L2261" s="5">
        <v>0.83</v>
      </c>
      <c r="M2261" s="10"/>
      <c r="N2261" s="1" t="str">
        <f t="shared" si="5"/>
        <v>Guest</v>
      </c>
      <c r="O2261" s="1" t="s">
        <v>19</v>
      </c>
      <c r="P2261" s="9" t="str">
        <f t="shared" si="6"/>
        <v>UK</v>
      </c>
      <c r="Q2261" s="8">
        <f t="shared" si="7"/>
        <v>3.32</v>
      </c>
    </row>
    <row r="2262">
      <c r="A2262" s="1">
        <v>544928.0</v>
      </c>
      <c r="B2262" s="1" t="str">
        <f t="shared" si="1"/>
        <v>544928</v>
      </c>
      <c r="C2262" s="1" t="str">
        <f t="shared" si="2"/>
        <v>Sale</v>
      </c>
      <c r="D2262" s="1">
        <v>48111.0</v>
      </c>
      <c r="E2262" s="1" t="str">
        <f>IFERROR(__xludf.DUMMYFUNCTION("IF(LEN(D2262)&gt;4, IFERROR(REGEXEXTRACT(TO_TEXT(D2262),""\d+""),""""),"""")"),"48111")</f>
        <v>48111</v>
      </c>
      <c r="F2262" s="6" t="str">
        <f t="shared" si="3"/>
        <v>Product</v>
      </c>
      <c r="G2262" s="1" t="s">
        <v>798</v>
      </c>
      <c r="H2262" s="6" t="str">
        <f>IFERROR(__xludf.DUMMYFUNCTION("IF(REGEXMATCH(LOWER(G2262), ""^(\?)+\s*(missing)?\s*(\?)*$""), """", PROPER(SUBSTITUTE(SUBSTITUTE(G2262, ""?"", """"), ""*"", """")))"),"Doormat 3 Smiley Cats")</f>
        <v>Doormat 3 Smiley Cats</v>
      </c>
      <c r="I2262" s="3">
        <v>1.0</v>
      </c>
      <c r="J2262" s="7">
        <v>40598.75486111111</v>
      </c>
      <c r="K2262" s="8" t="str">
        <f t="shared" si="4"/>
        <v>2011-02</v>
      </c>
      <c r="L2262" s="5">
        <v>15.79</v>
      </c>
      <c r="M2262" s="10"/>
      <c r="N2262" s="1" t="str">
        <f t="shared" si="5"/>
        <v>Guest</v>
      </c>
      <c r="O2262" s="1" t="s">
        <v>19</v>
      </c>
      <c r="P2262" s="9" t="str">
        <f t="shared" si="6"/>
        <v>UK</v>
      </c>
      <c r="Q2262" s="8">
        <f t="shared" si="7"/>
        <v>15.79</v>
      </c>
    </row>
    <row r="2263">
      <c r="A2263" s="1">
        <v>544928.0</v>
      </c>
      <c r="B2263" s="1" t="str">
        <f t="shared" si="1"/>
        <v>544928</v>
      </c>
      <c r="C2263" s="1" t="str">
        <f t="shared" si="2"/>
        <v>Sale</v>
      </c>
      <c r="D2263" s="1">
        <v>48184.0</v>
      </c>
      <c r="E2263" s="1" t="str">
        <f>IFERROR(__xludf.DUMMYFUNCTION("IF(LEN(D2263)&gt;4, IFERROR(REGEXEXTRACT(TO_TEXT(D2263),""\d+""),""""),"""")"),"48184")</f>
        <v>48184</v>
      </c>
      <c r="F2263" s="6" t="str">
        <f t="shared" si="3"/>
        <v>Product</v>
      </c>
      <c r="G2263" s="1" t="s">
        <v>1179</v>
      </c>
      <c r="H2263" s="6" t="str">
        <f>IFERROR(__xludf.DUMMYFUNCTION("IF(REGEXMATCH(LOWER(G2263), ""^(\?)+\s*(missing)?\s*(\?)*$""), """", PROPER(SUBSTITUTE(SUBSTITUTE(G2263, ""?"", """"), ""*"", """")))"),"Doormat English Rose")</f>
        <v>Doormat English Rose</v>
      </c>
      <c r="I2263" s="3">
        <v>1.0</v>
      </c>
      <c r="J2263" s="7">
        <v>40598.75486111111</v>
      </c>
      <c r="K2263" s="8" t="str">
        <f t="shared" si="4"/>
        <v>2011-02</v>
      </c>
      <c r="L2263" s="5">
        <v>15.79</v>
      </c>
      <c r="M2263" s="10"/>
      <c r="N2263" s="1" t="str">
        <f t="shared" si="5"/>
        <v>Guest</v>
      </c>
      <c r="O2263" s="1" t="s">
        <v>19</v>
      </c>
      <c r="P2263" s="9" t="str">
        <f t="shared" si="6"/>
        <v>UK</v>
      </c>
      <c r="Q2263" s="8">
        <f t="shared" si="7"/>
        <v>15.79</v>
      </c>
    </row>
    <row r="2264">
      <c r="A2264" s="1">
        <v>544928.0</v>
      </c>
      <c r="B2264" s="1" t="str">
        <f t="shared" si="1"/>
        <v>544928</v>
      </c>
      <c r="C2264" s="1" t="str">
        <f t="shared" si="2"/>
        <v>Sale</v>
      </c>
      <c r="D2264" s="1" t="s">
        <v>1211</v>
      </c>
      <c r="E2264" s="1" t="str">
        <f>IFERROR(__xludf.DUMMYFUNCTION("IF(LEN(D2264)&gt;4, IFERROR(REGEXEXTRACT(TO_TEXT(D2264),""\d+""),""""),"""")"),"72051")</f>
        <v>72051</v>
      </c>
      <c r="F2264" s="6" t="str">
        <f t="shared" si="3"/>
        <v>Product</v>
      </c>
      <c r="G2264" s="1" t="s">
        <v>1212</v>
      </c>
      <c r="H2264" s="6" t="str">
        <f>IFERROR(__xludf.DUMMYFUNCTION("IF(REGEXMATCH(LOWER(G2264), ""^(\?)+\s*(missing)?\s*(\?)*$""), """", PROPER(SUBSTITUTE(SUBSTITUTE(G2264, ""?"", """"), ""*"", """")))"),"Bag Of Silver Stones")</f>
        <v>Bag Of Silver Stones</v>
      </c>
      <c r="I2264" s="3">
        <v>2.0</v>
      </c>
      <c r="J2264" s="7">
        <v>40598.75486111111</v>
      </c>
      <c r="K2264" s="8" t="str">
        <f t="shared" si="4"/>
        <v>2011-02</v>
      </c>
      <c r="L2264" s="5">
        <v>0.83</v>
      </c>
      <c r="M2264" s="10"/>
      <c r="N2264" s="1" t="str">
        <f t="shared" si="5"/>
        <v>Guest</v>
      </c>
      <c r="O2264" s="1" t="s">
        <v>19</v>
      </c>
      <c r="P2264" s="9" t="str">
        <f t="shared" si="6"/>
        <v>UK</v>
      </c>
      <c r="Q2264" s="8">
        <f t="shared" si="7"/>
        <v>1.66</v>
      </c>
    </row>
    <row r="2265">
      <c r="A2265" s="1">
        <v>544928.0</v>
      </c>
      <c r="B2265" s="1" t="str">
        <f t="shared" si="1"/>
        <v>544928</v>
      </c>
      <c r="C2265" s="1" t="str">
        <f t="shared" si="2"/>
        <v>Sale</v>
      </c>
      <c r="D2265" s="1" t="s">
        <v>1213</v>
      </c>
      <c r="E2265" s="1" t="str">
        <f>IFERROR(__xludf.DUMMYFUNCTION("IF(LEN(D2265)&gt;4, IFERROR(REGEXEXTRACT(TO_TEXT(D2265),""\d+""),""""),"""")"),"72369")</f>
        <v>72369</v>
      </c>
      <c r="F2265" s="6" t="str">
        <f t="shared" si="3"/>
        <v>Product</v>
      </c>
      <c r="G2265" s="1" t="s">
        <v>1214</v>
      </c>
      <c r="H2265" s="6" t="str">
        <f>IFERROR(__xludf.DUMMYFUNCTION("IF(REGEXMATCH(LOWER(G2265), ""^(\?)+\s*(missing)?\s*(\?)*$""), """", PROPER(SUBSTITUTE(SUBSTITUTE(G2265, ""?"", """"), ""*"", """")))"),"Pink Clear Glass Candle Plate")</f>
        <v>Pink Clear Glass Candle Plate</v>
      </c>
      <c r="I2265" s="3">
        <v>1.0</v>
      </c>
      <c r="J2265" s="7">
        <v>40598.75486111111</v>
      </c>
      <c r="K2265" s="8" t="str">
        <f t="shared" si="4"/>
        <v>2011-02</v>
      </c>
      <c r="L2265" s="5">
        <v>2.46</v>
      </c>
      <c r="M2265" s="10"/>
      <c r="N2265" s="1" t="str">
        <f t="shared" si="5"/>
        <v>Guest</v>
      </c>
      <c r="O2265" s="1" t="s">
        <v>19</v>
      </c>
      <c r="P2265" s="9" t="str">
        <f t="shared" si="6"/>
        <v>UK</v>
      </c>
      <c r="Q2265" s="8">
        <f t="shared" si="7"/>
        <v>2.46</v>
      </c>
    </row>
    <row r="2266">
      <c r="A2266" s="1">
        <v>544928.0</v>
      </c>
      <c r="B2266" s="1" t="str">
        <f t="shared" si="1"/>
        <v>544928</v>
      </c>
      <c r="C2266" s="1" t="str">
        <f t="shared" si="2"/>
        <v>Sale</v>
      </c>
      <c r="D2266" s="1">
        <v>82484.0</v>
      </c>
      <c r="E2266" s="1" t="str">
        <f>IFERROR(__xludf.DUMMYFUNCTION("IF(LEN(D2266)&gt;4, IFERROR(REGEXEXTRACT(TO_TEXT(D2266),""\d+""),""""),"""")"),"82484")</f>
        <v>82484</v>
      </c>
      <c r="F2266" s="6" t="str">
        <f t="shared" si="3"/>
        <v>Product</v>
      </c>
      <c r="G2266" s="1" t="s">
        <v>162</v>
      </c>
      <c r="H2266" s="6" t="str">
        <f>IFERROR(__xludf.DUMMYFUNCTION("IF(REGEXMATCH(LOWER(G2266), ""^(\?)+\s*(missing)?\s*(\?)*$""), """", PROPER(SUBSTITUTE(SUBSTITUTE(G2266, ""?"", """"), ""*"", """")))"),"Wood Black Board Ant White Finish")</f>
        <v>Wood Black Board Ant White Finish</v>
      </c>
      <c r="I2266" s="3">
        <v>1.0</v>
      </c>
      <c r="J2266" s="7">
        <v>40598.75486111111</v>
      </c>
      <c r="K2266" s="8" t="str">
        <f t="shared" si="4"/>
        <v>2011-02</v>
      </c>
      <c r="L2266" s="5">
        <v>16.63</v>
      </c>
      <c r="M2266" s="10"/>
      <c r="N2266" s="1" t="str">
        <f t="shared" si="5"/>
        <v>Guest</v>
      </c>
      <c r="O2266" s="1" t="s">
        <v>19</v>
      </c>
      <c r="P2266" s="9" t="str">
        <f t="shared" si="6"/>
        <v>UK</v>
      </c>
      <c r="Q2266" s="8">
        <f t="shared" si="7"/>
        <v>16.63</v>
      </c>
    </row>
    <row r="2267">
      <c r="A2267" s="1">
        <v>544928.0</v>
      </c>
      <c r="B2267" s="1" t="str">
        <f t="shared" si="1"/>
        <v>544928</v>
      </c>
      <c r="C2267" s="1" t="str">
        <f t="shared" si="2"/>
        <v>Sale</v>
      </c>
      <c r="D2267" s="1">
        <v>82567.0</v>
      </c>
      <c r="E2267" s="1" t="str">
        <f>IFERROR(__xludf.DUMMYFUNCTION("IF(LEN(D2267)&gt;4, IFERROR(REGEXEXTRACT(TO_TEXT(D2267),""\d+""),""""),"""")"),"82567")</f>
        <v>82567</v>
      </c>
      <c r="F2267" s="6" t="str">
        <f t="shared" si="3"/>
        <v>Product</v>
      </c>
      <c r="G2267" s="1" t="s">
        <v>113</v>
      </c>
      <c r="H2267" s="6" t="str">
        <f>IFERROR(__xludf.DUMMYFUNCTION("IF(REGEXMATCH(LOWER(G2267), ""^(\?)+\s*(missing)?\s*(\?)*$""), """", PROPER(SUBSTITUTE(SUBSTITUTE(G2267, ""?"", """"), ""*"", """")))"),"Airline Lounge,Metal Sign")</f>
        <v>Airline Lounge,Metal Sign</v>
      </c>
      <c r="I2267" s="3">
        <v>1.0</v>
      </c>
      <c r="J2267" s="7">
        <v>40598.75486111111</v>
      </c>
      <c r="K2267" s="8" t="str">
        <f t="shared" si="4"/>
        <v>2011-02</v>
      </c>
      <c r="L2267" s="5">
        <v>1.63</v>
      </c>
      <c r="M2267" s="10"/>
      <c r="N2267" s="1" t="str">
        <f t="shared" si="5"/>
        <v>Guest</v>
      </c>
      <c r="O2267" s="1" t="s">
        <v>19</v>
      </c>
      <c r="P2267" s="9" t="str">
        <f t="shared" si="6"/>
        <v>UK</v>
      </c>
      <c r="Q2267" s="8">
        <f t="shared" si="7"/>
        <v>1.63</v>
      </c>
    </row>
    <row r="2268">
      <c r="A2268" s="1">
        <v>544928.0</v>
      </c>
      <c r="B2268" s="1" t="str">
        <f t="shared" si="1"/>
        <v>544928</v>
      </c>
      <c r="C2268" s="1" t="str">
        <f t="shared" si="2"/>
        <v>Sale</v>
      </c>
      <c r="D2268" s="1">
        <v>82600.0</v>
      </c>
      <c r="E2268" s="1" t="str">
        <f>IFERROR(__xludf.DUMMYFUNCTION("IF(LEN(D2268)&gt;4, IFERROR(REGEXEXTRACT(TO_TEXT(D2268),""\d+""),""""),"""")"),"82600")</f>
        <v>82600</v>
      </c>
      <c r="F2268" s="6" t="str">
        <f t="shared" si="3"/>
        <v>Product</v>
      </c>
      <c r="G2268" s="1" t="s">
        <v>867</v>
      </c>
      <c r="H2268" s="6" t="str">
        <f>IFERROR(__xludf.DUMMYFUNCTION("IF(REGEXMATCH(LOWER(G2268), ""^(\?)+\s*(missing)?\s*(\?)*$""), """", PROPER(SUBSTITUTE(SUBSTITUTE(G2268, ""?"", """"), ""*"", """")))"),"No Singing Metal Sign")</f>
        <v>No Singing Metal Sign</v>
      </c>
      <c r="I2268" s="3">
        <v>1.0</v>
      </c>
      <c r="J2268" s="7">
        <v>40598.75486111111</v>
      </c>
      <c r="K2268" s="8" t="str">
        <f t="shared" si="4"/>
        <v>2011-02</v>
      </c>
      <c r="L2268" s="5">
        <v>4.13</v>
      </c>
      <c r="M2268" s="10"/>
      <c r="N2268" s="1" t="str">
        <f t="shared" si="5"/>
        <v>Guest</v>
      </c>
      <c r="O2268" s="1" t="s">
        <v>19</v>
      </c>
      <c r="P2268" s="9" t="str">
        <f t="shared" si="6"/>
        <v>UK</v>
      </c>
      <c r="Q2268" s="8">
        <f t="shared" si="7"/>
        <v>4.13</v>
      </c>
    </row>
    <row r="2269">
      <c r="A2269" s="1">
        <v>544928.0</v>
      </c>
      <c r="B2269" s="1" t="str">
        <f t="shared" si="1"/>
        <v>544928</v>
      </c>
      <c r="C2269" s="1" t="str">
        <f t="shared" si="2"/>
        <v>Sale</v>
      </c>
      <c r="D2269" s="1" t="s">
        <v>848</v>
      </c>
      <c r="E2269" s="1" t="str">
        <f>IFERROR(__xludf.DUMMYFUNCTION("IF(LEN(D2269)&gt;4, IFERROR(REGEXEXTRACT(TO_TEXT(D2269),""\d+""),""""),"""")"),"84279")</f>
        <v>84279</v>
      </c>
      <c r="F2269" s="6" t="str">
        <f t="shared" si="3"/>
        <v>Product</v>
      </c>
      <c r="G2269" s="1" t="s">
        <v>849</v>
      </c>
      <c r="H2269" s="6" t="str">
        <f>IFERROR(__xludf.DUMMYFUNCTION("IF(REGEXMATCH(LOWER(G2269), ""^(\?)+\s*(missing)?\s*(\?)*$""), """", PROPER(SUBSTITUTE(SUBSTITUTE(G2269, ""?"", """"), ""*"", """")))"),"Cherry Blossom Decorative Flask")</f>
        <v>Cherry Blossom Decorative Flask</v>
      </c>
      <c r="I2269" s="3">
        <v>1.0</v>
      </c>
      <c r="J2269" s="7">
        <v>40598.75486111111</v>
      </c>
      <c r="K2269" s="8" t="str">
        <f t="shared" si="4"/>
        <v>2011-02</v>
      </c>
      <c r="L2269" s="5">
        <v>8.29</v>
      </c>
      <c r="M2269" s="10"/>
      <c r="N2269" s="1" t="str">
        <f t="shared" si="5"/>
        <v>Guest</v>
      </c>
      <c r="O2269" s="1" t="s">
        <v>19</v>
      </c>
      <c r="P2269" s="9" t="str">
        <f t="shared" si="6"/>
        <v>UK</v>
      </c>
      <c r="Q2269" s="8">
        <f t="shared" si="7"/>
        <v>8.29</v>
      </c>
    </row>
    <row r="2270">
      <c r="A2270" s="1">
        <v>544928.0</v>
      </c>
      <c r="B2270" s="1" t="str">
        <f t="shared" si="1"/>
        <v>544928</v>
      </c>
      <c r="C2270" s="1" t="str">
        <f t="shared" si="2"/>
        <v>Sale</v>
      </c>
      <c r="D2270" s="1">
        <v>84356.0</v>
      </c>
      <c r="E2270" s="1" t="str">
        <f>IFERROR(__xludf.DUMMYFUNCTION("IF(LEN(D2270)&gt;4, IFERROR(REGEXEXTRACT(TO_TEXT(D2270),""\d+""),""""),"""")"),"84356")</f>
        <v>84356</v>
      </c>
      <c r="F2270" s="6" t="str">
        <f t="shared" si="3"/>
        <v>Product</v>
      </c>
      <c r="G2270" s="1" t="s">
        <v>1215</v>
      </c>
      <c r="H2270" s="6" t="str">
        <f>IFERROR(__xludf.DUMMYFUNCTION("IF(REGEXMATCH(LOWER(G2270), ""^(\?)+\s*(missing)?\s*(\?)*$""), """", PROPER(SUBSTITUTE(SUBSTITUTE(G2270, ""?"", """"), ""*"", """")))"),"Pompom Curtain")</f>
        <v>Pompom Curtain</v>
      </c>
      <c r="I2270" s="3">
        <v>1.0</v>
      </c>
      <c r="J2270" s="7">
        <v>40598.75486111111</v>
      </c>
      <c r="K2270" s="8" t="str">
        <f t="shared" si="4"/>
        <v>2011-02</v>
      </c>
      <c r="L2270" s="5">
        <v>19.96</v>
      </c>
      <c r="M2270" s="10"/>
      <c r="N2270" s="1" t="str">
        <f t="shared" si="5"/>
        <v>Guest</v>
      </c>
      <c r="O2270" s="1" t="s">
        <v>19</v>
      </c>
      <c r="P2270" s="9" t="str">
        <f t="shared" si="6"/>
        <v>UK</v>
      </c>
      <c r="Q2270" s="8">
        <f t="shared" si="7"/>
        <v>19.96</v>
      </c>
    </row>
    <row r="2271">
      <c r="A2271" s="1">
        <v>544928.0</v>
      </c>
      <c r="B2271" s="1" t="str">
        <f t="shared" si="1"/>
        <v>544928</v>
      </c>
      <c r="C2271" s="1" t="str">
        <f t="shared" si="2"/>
        <v>Sale</v>
      </c>
      <c r="D2271" s="1">
        <v>84378.0</v>
      </c>
      <c r="E2271" s="1" t="str">
        <f>IFERROR(__xludf.DUMMYFUNCTION("IF(LEN(D2271)&gt;4, IFERROR(REGEXEXTRACT(TO_TEXT(D2271),""\d+""),""""),"""")"),"84378")</f>
        <v>84378</v>
      </c>
      <c r="F2271" s="6" t="str">
        <f t="shared" si="3"/>
        <v>Product</v>
      </c>
      <c r="G2271" s="1" t="s">
        <v>350</v>
      </c>
      <c r="H2271" s="6" t="str">
        <f>IFERROR(__xludf.DUMMYFUNCTION("IF(REGEXMATCH(LOWER(G2271), ""^(\?)+\s*(missing)?\s*(\?)*$""), """", PROPER(SUBSTITUTE(SUBSTITUTE(G2271, ""?"", """"), ""*"", """")))"),"Set Of 3 Heart Cookie Cutters")</f>
        <v>Set Of 3 Heart Cookie Cutters</v>
      </c>
      <c r="I2271" s="3">
        <v>2.0</v>
      </c>
      <c r="J2271" s="7">
        <v>40598.75486111111</v>
      </c>
      <c r="K2271" s="8" t="str">
        <f t="shared" si="4"/>
        <v>2011-02</v>
      </c>
      <c r="L2271" s="5">
        <v>2.46</v>
      </c>
      <c r="M2271" s="10"/>
      <c r="N2271" s="1" t="str">
        <f t="shared" si="5"/>
        <v>Guest</v>
      </c>
      <c r="O2271" s="1" t="s">
        <v>19</v>
      </c>
      <c r="P2271" s="9" t="str">
        <f t="shared" si="6"/>
        <v>UK</v>
      </c>
      <c r="Q2271" s="8">
        <f t="shared" si="7"/>
        <v>4.92</v>
      </c>
    </row>
    <row r="2272">
      <c r="A2272" s="1">
        <v>544928.0</v>
      </c>
      <c r="B2272" s="1" t="str">
        <f t="shared" si="1"/>
        <v>544928</v>
      </c>
      <c r="C2272" s="1" t="str">
        <f t="shared" si="2"/>
        <v>Sale</v>
      </c>
      <c r="D2272" s="1" t="s">
        <v>1216</v>
      </c>
      <c r="E2272" s="1" t="str">
        <f>IFERROR(__xludf.DUMMYFUNCTION("IF(LEN(D2272)&gt;4, IFERROR(REGEXEXTRACT(TO_TEXT(D2272),""\d+""),""""),"""")"),"84509")</f>
        <v>84509</v>
      </c>
      <c r="F2272" s="6" t="str">
        <f t="shared" si="3"/>
        <v>Product</v>
      </c>
      <c r="G2272" s="1" t="s">
        <v>1217</v>
      </c>
      <c r="H2272" s="6" t="str">
        <f>IFERROR(__xludf.DUMMYFUNCTION("IF(REGEXMATCH(LOWER(G2272), ""^(\?)+\s*(missing)?\s*(\?)*$""), """", PROPER(SUBSTITUTE(SUBSTITUTE(G2272, ""?"", """"), ""*"", """")))"),"Set Of 4 Fairy Cake Placemats")</f>
        <v>Set Of 4 Fairy Cake Placemats</v>
      </c>
      <c r="I2272" s="3">
        <v>1.0</v>
      </c>
      <c r="J2272" s="7">
        <v>40598.75486111111</v>
      </c>
      <c r="K2272" s="8" t="str">
        <f t="shared" si="4"/>
        <v>2011-02</v>
      </c>
      <c r="L2272" s="5">
        <v>7.46</v>
      </c>
      <c r="M2272" s="10"/>
      <c r="N2272" s="1" t="str">
        <f t="shared" si="5"/>
        <v>Guest</v>
      </c>
      <c r="O2272" s="1" t="s">
        <v>19</v>
      </c>
      <c r="P2272" s="9" t="str">
        <f t="shared" si="6"/>
        <v>UK</v>
      </c>
      <c r="Q2272" s="8">
        <f t="shared" si="7"/>
        <v>7.46</v>
      </c>
    </row>
    <row r="2273">
      <c r="A2273" s="1">
        <v>544928.0</v>
      </c>
      <c r="B2273" s="1" t="str">
        <f t="shared" si="1"/>
        <v>544928</v>
      </c>
      <c r="C2273" s="1" t="str">
        <f t="shared" si="2"/>
        <v>Sale</v>
      </c>
      <c r="D2273" s="1">
        <v>84598.0</v>
      </c>
      <c r="E2273" s="1" t="str">
        <f>IFERROR(__xludf.DUMMYFUNCTION("IF(LEN(D2273)&gt;4, IFERROR(REGEXEXTRACT(TO_TEXT(D2273),""\d+""),""""),"""")"),"84598")</f>
        <v>84598</v>
      </c>
      <c r="F2273" s="6" t="str">
        <f t="shared" si="3"/>
        <v>Product</v>
      </c>
      <c r="G2273" s="1" t="s">
        <v>1218</v>
      </c>
      <c r="H2273" s="6" t="str">
        <f>IFERROR(__xludf.DUMMYFUNCTION("IF(REGEXMATCH(LOWER(G2273), ""^(\?)+\s*(missing)?\s*(\?)*$""), """", PROPER(SUBSTITUTE(SUBSTITUTE(G2273, ""?"", """"), ""*"", """")))"),"Boys Alphabet Iron On Patches")</f>
        <v>Boys Alphabet Iron On Patches</v>
      </c>
      <c r="I2273" s="3">
        <v>4.0</v>
      </c>
      <c r="J2273" s="7">
        <v>40598.75486111111</v>
      </c>
      <c r="K2273" s="8" t="str">
        <f t="shared" si="4"/>
        <v>2011-02</v>
      </c>
      <c r="L2273" s="5">
        <v>0.42</v>
      </c>
      <c r="M2273" s="10"/>
      <c r="N2273" s="1" t="str">
        <f t="shared" si="5"/>
        <v>Guest</v>
      </c>
      <c r="O2273" s="1" t="s">
        <v>19</v>
      </c>
      <c r="P2273" s="9" t="str">
        <f t="shared" si="6"/>
        <v>UK</v>
      </c>
      <c r="Q2273" s="8">
        <f t="shared" si="7"/>
        <v>1.68</v>
      </c>
    </row>
    <row r="2274">
      <c r="A2274" s="1">
        <v>544928.0</v>
      </c>
      <c r="B2274" s="1" t="str">
        <f t="shared" si="1"/>
        <v>544928</v>
      </c>
      <c r="C2274" s="1" t="str">
        <f t="shared" si="2"/>
        <v>Sale</v>
      </c>
      <c r="D2274" s="1">
        <v>84692.0</v>
      </c>
      <c r="E2274" s="1" t="str">
        <f>IFERROR(__xludf.DUMMYFUNCTION("IF(LEN(D2274)&gt;4, IFERROR(REGEXEXTRACT(TO_TEXT(D2274),""\d+""),""""),"""")"),"84692")</f>
        <v>84692</v>
      </c>
      <c r="F2274" s="6" t="str">
        <f t="shared" si="3"/>
        <v>Product</v>
      </c>
      <c r="G2274" s="1" t="s">
        <v>1219</v>
      </c>
      <c r="H2274" s="6" t="str">
        <f>IFERROR(__xludf.DUMMYFUNCTION("IF(REGEXMATCH(LOWER(G2274), ""^(\?)+\s*(missing)?\s*(\?)*$""), """", PROPER(SUBSTITUTE(SUBSTITUTE(G2274, ""?"", """"), ""*"", """")))"),"Box Of 24 Cocktail Parasols")</f>
        <v>Box Of 24 Cocktail Parasols</v>
      </c>
      <c r="I2274" s="3">
        <v>1.0</v>
      </c>
      <c r="J2274" s="7">
        <v>40598.75486111111</v>
      </c>
      <c r="K2274" s="8" t="str">
        <f t="shared" si="4"/>
        <v>2011-02</v>
      </c>
      <c r="L2274" s="5">
        <v>0.83</v>
      </c>
      <c r="M2274" s="10"/>
      <c r="N2274" s="1" t="str">
        <f t="shared" si="5"/>
        <v>Guest</v>
      </c>
      <c r="O2274" s="1" t="s">
        <v>19</v>
      </c>
      <c r="P2274" s="9" t="str">
        <f t="shared" si="6"/>
        <v>UK</v>
      </c>
      <c r="Q2274" s="8">
        <f t="shared" si="7"/>
        <v>0.83</v>
      </c>
    </row>
    <row r="2275">
      <c r="A2275" s="1">
        <v>544928.0</v>
      </c>
      <c r="B2275" s="1" t="str">
        <f t="shared" si="1"/>
        <v>544928</v>
      </c>
      <c r="C2275" s="1" t="str">
        <f t="shared" si="2"/>
        <v>Sale</v>
      </c>
      <c r="D2275" s="1" t="s">
        <v>1220</v>
      </c>
      <c r="E2275" s="1" t="str">
        <f>IFERROR(__xludf.DUMMYFUNCTION("IF(LEN(D2275)&gt;4, IFERROR(REGEXEXTRACT(TO_TEXT(D2275),""\d+""),""""),"""")"),"84796")</f>
        <v>84796</v>
      </c>
      <c r="F2275" s="6" t="str">
        <f t="shared" si="3"/>
        <v>Product</v>
      </c>
      <c r="G2275" s="1" t="s">
        <v>1221</v>
      </c>
      <c r="H2275" s="6" t="str">
        <f>IFERROR(__xludf.DUMMYFUNCTION("IF(REGEXMATCH(LOWER(G2275), ""^(\?)+\s*(missing)?\s*(\?)*$""), """", PROPER(SUBSTITUTE(SUBSTITUTE(G2275, ""?"", """"), ""*"", """")))"),"Pink Hawaiian Picnic Hamper For 2")</f>
        <v>Pink Hawaiian Picnic Hamper For 2</v>
      </c>
      <c r="I2275" s="3">
        <v>1.0</v>
      </c>
      <c r="J2275" s="7">
        <v>40598.75486111111</v>
      </c>
      <c r="K2275" s="8" t="str">
        <f t="shared" si="4"/>
        <v>2011-02</v>
      </c>
      <c r="L2275" s="5">
        <v>8.29</v>
      </c>
      <c r="M2275" s="10"/>
      <c r="N2275" s="1" t="str">
        <f t="shared" si="5"/>
        <v>Guest</v>
      </c>
      <c r="O2275" s="1" t="s">
        <v>19</v>
      </c>
      <c r="P2275" s="9" t="str">
        <f t="shared" si="6"/>
        <v>UK</v>
      </c>
      <c r="Q2275" s="8">
        <f t="shared" si="7"/>
        <v>8.29</v>
      </c>
    </row>
    <row r="2276">
      <c r="A2276" s="1">
        <v>544928.0</v>
      </c>
      <c r="B2276" s="1" t="str">
        <f t="shared" si="1"/>
        <v>544928</v>
      </c>
      <c r="C2276" s="1" t="str">
        <f t="shared" si="2"/>
        <v>Sale</v>
      </c>
      <c r="D2276" s="1" t="s">
        <v>1222</v>
      </c>
      <c r="E2276" s="1" t="str">
        <f>IFERROR(__xludf.DUMMYFUNCTION("IF(LEN(D2276)&gt;4, IFERROR(REGEXEXTRACT(TO_TEXT(D2276),""\d+""),""""),"""")"),"84796")</f>
        <v>84796</v>
      </c>
      <c r="F2276" s="6" t="str">
        <f t="shared" si="3"/>
        <v>Product</v>
      </c>
      <c r="G2276" s="1" t="s">
        <v>1223</v>
      </c>
      <c r="H2276" s="6" t="str">
        <f>IFERROR(__xludf.DUMMYFUNCTION("IF(REGEXMATCH(LOWER(G2276), ""^(\?)+\s*(missing)?\s*(\?)*$""), """", PROPER(SUBSTITUTE(SUBSTITUTE(G2276, ""?"", """"), ""*"", """")))"),"Blue Savannah Picnic Hamper For 2")</f>
        <v>Blue Savannah Picnic Hamper For 2</v>
      </c>
      <c r="I2276" s="3">
        <v>2.0</v>
      </c>
      <c r="J2276" s="7">
        <v>40598.75486111111</v>
      </c>
      <c r="K2276" s="8" t="str">
        <f t="shared" si="4"/>
        <v>2011-02</v>
      </c>
      <c r="L2276" s="5">
        <v>8.29</v>
      </c>
      <c r="M2276" s="10"/>
      <c r="N2276" s="1" t="str">
        <f t="shared" si="5"/>
        <v>Guest</v>
      </c>
      <c r="O2276" s="1" t="s">
        <v>19</v>
      </c>
      <c r="P2276" s="9" t="str">
        <f t="shared" si="6"/>
        <v>UK</v>
      </c>
      <c r="Q2276" s="8">
        <f t="shared" si="7"/>
        <v>16.58</v>
      </c>
    </row>
    <row r="2277">
      <c r="A2277" s="1">
        <v>544928.0</v>
      </c>
      <c r="B2277" s="1" t="str">
        <f t="shared" si="1"/>
        <v>544928</v>
      </c>
      <c r="C2277" s="1" t="str">
        <f t="shared" si="2"/>
        <v>Sale</v>
      </c>
      <c r="D2277" s="1" t="s">
        <v>1224</v>
      </c>
      <c r="E2277" s="1" t="str">
        <f>IFERROR(__xludf.DUMMYFUNCTION("IF(LEN(D2277)&gt;4, IFERROR(REGEXEXTRACT(TO_TEXT(D2277),""\d+""),""""),"""")"),"84872")</f>
        <v>84872</v>
      </c>
      <c r="F2277" s="6" t="str">
        <f t="shared" si="3"/>
        <v>Product</v>
      </c>
      <c r="G2277" s="1" t="s">
        <v>1225</v>
      </c>
      <c r="H2277" s="6" t="str">
        <f>IFERROR(__xludf.DUMMYFUNCTION("IF(REGEXMATCH(LOWER(G2277), ""^(\?)+\s*(missing)?\s*(\?)*$""), """", PROPER(SUBSTITUTE(SUBSTITUTE(G2277, ""?"", """"), ""*"", """")))"),"Teatime Funky Flower Backpack For 2")</f>
        <v>Teatime Funky Flower Backpack For 2</v>
      </c>
      <c r="I2277" s="3">
        <v>3.0</v>
      </c>
      <c r="J2277" s="7">
        <v>40598.75486111111</v>
      </c>
      <c r="K2277" s="8" t="str">
        <f t="shared" si="4"/>
        <v>2011-02</v>
      </c>
      <c r="L2277" s="5">
        <v>10.79</v>
      </c>
      <c r="M2277" s="10"/>
      <c r="N2277" s="1" t="str">
        <f t="shared" si="5"/>
        <v>Guest</v>
      </c>
      <c r="O2277" s="1" t="s">
        <v>19</v>
      </c>
      <c r="P2277" s="9" t="str">
        <f t="shared" si="6"/>
        <v>UK</v>
      </c>
      <c r="Q2277" s="8">
        <f t="shared" si="7"/>
        <v>32.37</v>
      </c>
    </row>
    <row r="2278">
      <c r="A2278" s="1">
        <v>544928.0</v>
      </c>
      <c r="B2278" s="1" t="str">
        <f t="shared" si="1"/>
        <v>544928</v>
      </c>
      <c r="C2278" s="1" t="str">
        <f t="shared" si="2"/>
        <v>Sale</v>
      </c>
      <c r="D2278" s="1" t="s">
        <v>1226</v>
      </c>
      <c r="E2278" s="1" t="str">
        <f>IFERROR(__xludf.DUMMYFUNCTION("IF(LEN(D2278)&gt;4, IFERROR(REGEXEXTRACT(TO_TEXT(D2278),""\d+""),""""),"""")"),"84913")</f>
        <v>84913</v>
      </c>
      <c r="F2278" s="6" t="str">
        <f t="shared" si="3"/>
        <v>Product</v>
      </c>
      <c r="G2278" s="1" t="s">
        <v>1227</v>
      </c>
      <c r="H2278" s="6" t="str">
        <f>IFERROR(__xludf.DUMMYFUNCTION("IF(REGEXMATCH(LOWER(G2278), ""^(\?)+\s*(missing)?\s*(\?)*$""), """", PROPER(SUBSTITUTE(SUBSTITUTE(G2278, ""?"", """"), ""*"", """")))"),"Soft Pink Rose Towel")</f>
        <v>Soft Pink Rose Towel</v>
      </c>
      <c r="I2278" s="3">
        <v>5.0</v>
      </c>
      <c r="J2278" s="7">
        <v>40598.75486111111</v>
      </c>
      <c r="K2278" s="8" t="str">
        <f t="shared" si="4"/>
        <v>2011-02</v>
      </c>
      <c r="L2278" s="5">
        <v>3.29</v>
      </c>
      <c r="M2278" s="10"/>
      <c r="N2278" s="1" t="str">
        <f t="shared" si="5"/>
        <v>Guest</v>
      </c>
      <c r="O2278" s="1" t="s">
        <v>19</v>
      </c>
      <c r="P2278" s="9" t="str">
        <f t="shared" si="6"/>
        <v>UK</v>
      </c>
      <c r="Q2278" s="8">
        <f t="shared" si="7"/>
        <v>16.45</v>
      </c>
    </row>
    <row r="2279">
      <c r="A2279" s="1">
        <v>544928.0</v>
      </c>
      <c r="B2279" s="1" t="str">
        <f t="shared" si="1"/>
        <v>544928</v>
      </c>
      <c r="C2279" s="1" t="str">
        <f t="shared" si="2"/>
        <v>Sale</v>
      </c>
      <c r="D2279" s="1" t="s">
        <v>1228</v>
      </c>
      <c r="E2279" s="1" t="str">
        <f>IFERROR(__xludf.DUMMYFUNCTION("IF(LEN(D2279)&gt;4, IFERROR(REGEXEXTRACT(TO_TEXT(D2279),""\d+""),""""),"""")"),"84913")</f>
        <v>84913</v>
      </c>
      <c r="F2279" s="6" t="str">
        <f t="shared" si="3"/>
        <v>Product</v>
      </c>
      <c r="G2279" s="1" t="s">
        <v>1229</v>
      </c>
      <c r="H2279" s="6" t="str">
        <f>IFERROR(__xludf.DUMMYFUNCTION("IF(REGEXMATCH(LOWER(G2279), ""^(\?)+\s*(missing)?\s*(\?)*$""), """", PROPER(SUBSTITUTE(SUBSTITUTE(G2279, ""?"", """"), ""*"", """")))"),"Mint Green Rose Towel")</f>
        <v>Mint Green Rose Towel</v>
      </c>
      <c r="I2279" s="3">
        <v>5.0</v>
      </c>
      <c r="J2279" s="7">
        <v>40598.75486111111</v>
      </c>
      <c r="K2279" s="8" t="str">
        <f t="shared" si="4"/>
        <v>2011-02</v>
      </c>
      <c r="L2279" s="5">
        <v>3.29</v>
      </c>
      <c r="M2279" s="10"/>
      <c r="N2279" s="1" t="str">
        <f t="shared" si="5"/>
        <v>Guest</v>
      </c>
      <c r="O2279" s="1" t="s">
        <v>19</v>
      </c>
      <c r="P2279" s="9" t="str">
        <f t="shared" si="6"/>
        <v>UK</v>
      </c>
      <c r="Q2279" s="8">
        <f t="shared" si="7"/>
        <v>16.45</v>
      </c>
    </row>
    <row r="2280">
      <c r="A2280" s="1">
        <v>544928.0</v>
      </c>
      <c r="B2280" s="1" t="str">
        <f t="shared" si="1"/>
        <v>544928</v>
      </c>
      <c r="C2280" s="1" t="str">
        <f t="shared" si="2"/>
        <v>Sale</v>
      </c>
      <c r="D2280" s="1">
        <v>84987.0</v>
      </c>
      <c r="E2280" s="1" t="str">
        <f>IFERROR(__xludf.DUMMYFUNCTION("IF(LEN(D2280)&gt;4, IFERROR(REGEXEXTRACT(TO_TEXT(D2280),""\d+""),""""),"""")"),"84987")</f>
        <v>84987</v>
      </c>
      <c r="F2280" s="6" t="str">
        <f t="shared" si="3"/>
        <v>Product</v>
      </c>
      <c r="G2280" s="1" t="s">
        <v>1230</v>
      </c>
      <c r="H2280" s="6" t="str">
        <f>IFERROR(__xludf.DUMMYFUNCTION("IF(REGEXMATCH(LOWER(G2280), ""^(\?)+\s*(missing)?\s*(\?)*$""), """", PROPER(SUBSTITUTE(SUBSTITUTE(G2280, ""?"", """"), ""*"", """")))"),"Set Of 36 Teatime Paper Doilies")</f>
        <v>Set Of 36 Teatime Paper Doilies</v>
      </c>
      <c r="I2280" s="3">
        <v>1.0</v>
      </c>
      <c r="J2280" s="7">
        <v>40598.75486111111</v>
      </c>
      <c r="K2280" s="8" t="str">
        <f t="shared" si="4"/>
        <v>2011-02</v>
      </c>
      <c r="L2280" s="5">
        <v>2.92</v>
      </c>
      <c r="M2280" s="10"/>
      <c r="N2280" s="1" t="str">
        <f t="shared" si="5"/>
        <v>Guest</v>
      </c>
      <c r="O2280" s="1" t="s">
        <v>19</v>
      </c>
      <c r="P2280" s="9" t="str">
        <f t="shared" si="6"/>
        <v>UK</v>
      </c>
      <c r="Q2280" s="8">
        <f t="shared" si="7"/>
        <v>2.92</v>
      </c>
    </row>
    <row r="2281">
      <c r="A2281" s="1">
        <v>544928.0</v>
      </c>
      <c r="B2281" s="1" t="str">
        <f t="shared" si="1"/>
        <v>544928</v>
      </c>
      <c r="C2281" s="1" t="str">
        <f t="shared" si="2"/>
        <v>Sale</v>
      </c>
      <c r="D2281" s="1">
        <v>84988.0</v>
      </c>
      <c r="E2281" s="1" t="str">
        <f>IFERROR(__xludf.DUMMYFUNCTION("IF(LEN(D2281)&gt;4, IFERROR(REGEXEXTRACT(TO_TEXT(D2281),""\d+""),""""),"""")"),"84988")</f>
        <v>84988</v>
      </c>
      <c r="F2281" s="6" t="str">
        <f t="shared" si="3"/>
        <v>Product</v>
      </c>
      <c r="G2281" s="1" t="s">
        <v>747</v>
      </c>
      <c r="H2281" s="6" t="str">
        <f>IFERROR(__xludf.DUMMYFUNCTION("IF(REGEXMATCH(LOWER(G2281), ""^(\?)+\s*(missing)?\s*(\?)*$""), """", PROPER(SUBSTITUTE(SUBSTITUTE(G2281, ""?"", """"), ""*"", """")))"),"Set Of 72 Pink Heart Paper Doilies")</f>
        <v>Set Of 72 Pink Heart Paper Doilies</v>
      </c>
      <c r="I2281" s="3">
        <v>1.0</v>
      </c>
      <c r="J2281" s="7">
        <v>40598.75486111111</v>
      </c>
      <c r="K2281" s="8" t="str">
        <f t="shared" si="4"/>
        <v>2011-02</v>
      </c>
      <c r="L2281" s="5">
        <v>2.92</v>
      </c>
      <c r="M2281" s="10"/>
      <c r="N2281" s="1" t="str">
        <f t="shared" si="5"/>
        <v>Guest</v>
      </c>
      <c r="O2281" s="1" t="s">
        <v>19</v>
      </c>
      <c r="P2281" s="9" t="str">
        <f t="shared" si="6"/>
        <v>UK</v>
      </c>
      <c r="Q2281" s="8">
        <f t="shared" si="7"/>
        <v>2.92</v>
      </c>
    </row>
    <row r="2282">
      <c r="A2282" s="1">
        <v>544928.0</v>
      </c>
      <c r="B2282" s="1" t="str">
        <f t="shared" si="1"/>
        <v>544928</v>
      </c>
      <c r="C2282" s="1" t="str">
        <f t="shared" si="2"/>
        <v>Sale</v>
      </c>
      <c r="D2282" s="1">
        <v>85059.0</v>
      </c>
      <c r="E2282" s="1" t="str">
        <f>IFERROR(__xludf.DUMMYFUNCTION("IF(LEN(D2282)&gt;4, IFERROR(REGEXEXTRACT(TO_TEXT(D2282),""\d+""),""""),"""")"),"85059")</f>
        <v>85059</v>
      </c>
      <c r="F2282" s="6" t="str">
        <f t="shared" si="3"/>
        <v>Product</v>
      </c>
      <c r="G2282" s="1" t="s">
        <v>1231</v>
      </c>
      <c r="H2282" s="6" t="str">
        <f>IFERROR(__xludf.DUMMYFUNCTION("IF(REGEXMATCH(LOWER(G2282), ""^(\?)+\s*(missing)?\s*(\?)*$""), """", PROPER(SUBSTITUTE(SUBSTITUTE(G2282, ""?"", """"), ""*"", """")))"),"French Enamel Water Basin")</f>
        <v>French Enamel Water Basin</v>
      </c>
      <c r="I2282" s="3">
        <v>1.0</v>
      </c>
      <c r="J2282" s="7">
        <v>40598.75486111111</v>
      </c>
      <c r="K2282" s="8" t="str">
        <f t="shared" si="4"/>
        <v>2011-02</v>
      </c>
      <c r="L2282" s="5">
        <v>7.46</v>
      </c>
      <c r="M2282" s="10"/>
      <c r="N2282" s="1" t="str">
        <f t="shared" si="5"/>
        <v>Guest</v>
      </c>
      <c r="O2282" s="1" t="s">
        <v>19</v>
      </c>
      <c r="P2282" s="9" t="str">
        <f t="shared" si="6"/>
        <v>UK</v>
      </c>
      <c r="Q2282" s="8">
        <f t="shared" si="7"/>
        <v>7.46</v>
      </c>
    </row>
    <row r="2283">
      <c r="A2283" s="1">
        <v>544928.0</v>
      </c>
      <c r="B2283" s="1" t="str">
        <f t="shared" si="1"/>
        <v>544928</v>
      </c>
      <c r="C2283" s="1" t="str">
        <f t="shared" si="2"/>
        <v>Sale</v>
      </c>
      <c r="D2283" s="1" t="s">
        <v>181</v>
      </c>
      <c r="E2283" s="1" t="str">
        <f>IFERROR(__xludf.DUMMYFUNCTION("IF(LEN(D2283)&gt;4, IFERROR(REGEXEXTRACT(TO_TEXT(D2283),""\d+""),""""),"""")"),"85099")</f>
        <v>85099</v>
      </c>
      <c r="F2283" s="6" t="str">
        <f t="shared" si="3"/>
        <v>Product</v>
      </c>
      <c r="G2283" s="1" t="s">
        <v>182</v>
      </c>
      <c r="H2283" s="6" t="str">
        <f>IFERROR(__xludf.DUMMYFUNCTION("IF(REGEXMATCH(LOWER(G2283), ""^(\?)+\s*(missing)?\s*(\?)*$""), """", PROPER(SUBSTITUTE(SUBSTITUTE(G2283, ""?"", """"), ""*"", """")))"),"Jumbo Bag Red Retrospot")</f>
        <v>Jumbo Bag Red Retrospot</v>
      </c>
      <c r="I2283" s="3">
        <v>1.0</v>
      </c>
      <c r="J2283" s="7">
        <v>40598.75486111111</v>
      </c>
      <c r="K2283" s="8" t="str">
        <f t="shared" si="4"/>
        <v>2011-02</v>
      </c>
      <c r="L2283" s="5">
        <v>4.13</v>
      </c>
      <c r="M2283" s="10"/>
      <c r="N2283" s="1" t="str">
        <f t="shared" si="5"/>
        <v>Guest</v>
      </c>
      <c r="O2283" s="1" t="s">
        <v>19</v>
      </c>
      <c r="P2283" s="9" t="str">
        <f t="shared" si="6"/>
        <v>UK</v>
      </c>
      <c r="Q2283" s="8">
        <f t="shared" si="7"/>
        <v>4.13</v>
      </c>
    </row>
    <row r="2284">
      <c r="A2284" s="1">
        <v>544928.0</v>
      </c>
      <c r="B2284" s="1" t="str">
        <f t="shared" si="1"/>
        <v>544928</v>
      </c>
      <c r="C2284" s="1" t="str">
        <f t="shared" si="2"/>
        <v>Sale</v>
      </c>
      <c r="D2284" s="1" t="s">
        <v>85</v>
      </c>
      <c r="E2284" s="1" t="str">
        <f>IFERROR(__xludf.DUMMYFUNCTION("IF(LEN(D2284)&gt;4, IFERROR(REGEXEXTRACT(TO_TEXT(D2284),""\d+""),""""),"""")"),"85099")</f>
        <v>85099</v>
      </c>
      <c r="F2284" s="6" t="str">
        <f t="shared" si="3"/>
        <v>Product</v>
      </c>
      <c r="G2284" s="1" t="s">
        <v>86</v>
      </c>
      <c r="H2284" s="6" t="str">
        <f>IFERROR(__xludf.DUMMYFUNCTION("IF(REGEXMATCH(LOWER(G2284), ""^(\?)+\s*(missing)?\s*(\?)*$""), """", PROPER(SUBSTITUTE(SUBSTITUTE(G2284, ""?"", """"), ""*"", """")))"),"Jumbo Bag Baroque Black White")</f>
        <v>Jumbo Bag Baroque Black White</v>
      </c>
      <c r="I2284" s="3">
        <v>1.0</v>
      </c>
      <c r="J2284" s="7">
        <v>40598.75486111111</v>
      </c>
      <c r="K2284" s="8" t="str">
        <f t="shared" si="4"/>
        <v>2011-02</v>
      </c>
      <c r="L2284" s="5">
        <v>4.13</v>
      </c>
      <c r="M2284" s="10"/>
      <c r="N2284" s="1" t="str">
        <f t="shared" si="5"/>
        <v>Guest</v>
      </c>
      <c r="O2284" s="1" t="s">
        <v>19</v>
      </c>
      <c r="P2284" s="9" t="str">
        <f t="shared" si="6"/>
        <v>UK</v>
      </c>
      <c r="Q2284" s="8">
        <f t="shared" si="7"/>
        <v>4.13</v>
      </c>
    </row>
    <row r="2285">
      <c r="A2285" s="1">
        <v>544928.0</v>
      </c>
      <c r="B2285" s="1" t="str">
        <f t="shared" si="1"/>
        <v>544928</v>
      </c>
      <c r="C2285" s="1" t="str">
        <f t="shared" si="2"/>
        <v>Sale</v>
      </c>
      <c r="D2285" s="1" t="s">
        <v>428</v>
      </c>
      <c r="E2285" s="1" t="str">
        <f>IFERROR(__xludf.DUMMYFUNCTION("IF(LEN(D2285)&gt;4, IFERROR(REGEXEXTRACT(TO_TEXT(D2285),""\d+""),""""),"""")"),"85099")</f>
        <v>85099</v>
      </c>
      <c r="F2285" s="6" t="str">
        <f t="shared" si="3"/>
        <v>Product</v>
      </c>
      <c r="G2285" s="1" t="s">
        <v>429</v>
      </c>
      <c r="H2285" s="6" t="str">
        <f>IFERROR(__xludf.DUMMYFUNCTION("IF(REGEXMATCH(LOWER(G2285), ""^(\?)+\s*(missing)?\s*(\?)*$""), """", PROPER(SUBSTITUTE(SUBSTITUTE(G2285, ""?"", """"), ""*"", """")))"),"Jumbo Bag Strawberry")</f>
        <v>Jumbo Bag Strawberry</v>
      </c>
      <c r="I2285" s="3">
        <v>1.0</v>
      </c>
      <c r="J2285" s="7">
        <v>40598.75486111111</v>
      </c>
      <c r="K2285" s="8" t="str">
        <f t="shared" si="4"/>
        <v>2011-02</v>
      </c>
      <c r="L2285" s="5">
        <v>4.13</v>
      </c>
      <c r="M2285" s="10"/>
      <c r="N2285" s="1" t="str">
        <f t="shared" si="5"/>
        <v>Guest</v>
      </c>
      <c r="O2285" s="1" t="s">
        <v>19</v>
      </c>
      <c r="P2285" s="9" t="str">
        <f t="shared" si="6"/>
        <v>UK</v>
      </c>
      <c r="Q2285" s="8">
        <f t="shared" si="7"/>
        <v>4.13</v>
      </c>
    </row>
    <row r="2286">
      <c r="A2286" s="1">
        <v>544928.0</v>
      </c>
      <c r="B2286" s="1" t="str">
        <f t="shared" si="1"/>
        <v>544928</v>
      </c>
      <c r="C2286" s="1" t="str">
        <f t="shared" si="2"/>
        <v>Sale</v>
      </c>
      <c r="D2286" s="1">
        <v>85116.0</v>
      </c>
      <c r="E2286" s="1" t="str">
        <f>IFERROR(__xludf.DUMMYFUNCTION("IF(LEN(D2286)&gt;4, IFERROR(REGEXEXTRACT(TO_TEXT(D2286),""\d+""),""""),"""")"),"85116")</f>
        <v>85116</v>
      </c>
      <c r="F2286" s="6" t="str">
        <f t="shared" si="3"/>
        <v>Product</v>
      </c>
      <c r="G2286" s="1" t="s">
        <v>396</v>
      </c>
      <c r="H2286" s="6" t="str">
        <f>IFERROR(__xludf.DUMMYFUNCTION("IF(REGEXMATCH(LOWER(G2286), ""^(\?)+\s*(missing)?\s*(\?)*$""), """", PROPER(SUBSTITUTE(SUBSTITUTE(G2286, ""?"", """"), ""*"", """")))"),"Black Candelabra T-Light Holder")</f>
        <v>Black Candelabra T-Light Holder</v>
      </c>
      <c r="I2286" s="3">
        <v>7.0</v>
      </c>
      <c r="J2286" s="7">
        <v>40598.75486111111</v>
      </c>
      <c r="K2286" s="8" t="str">
        <f t="shared" si="4"/>
        <v>2011-02</v>
      </c>
      <c r="L2286" s="5">
        <v>1.63</v>
      </c>
      <c r="M2286" s="10"/>
      <c r="N2286" s="1" t="str">
        <f t="shared" si="5"/>
        <v>Guest</v>
      </c>
      <c r="O2286" s="1" t="s">
        <v>19</v>
      </c>
      <c r="P2286" s="9" t="str">
        <f t="shared" si="6"/>
        <v>UK</v>
      </c>
      <c r="Q2286" s="8">
        <f t="shared" si="7"/>
        <v>11.41</v>
      </c>
    </row>
    <row r="2287">
      <c r="A2287" s="1">
        <v>544928.0</v>
      </c>
      <c r="B2287" s="1" t="str">
        <f t="shared" si="1"/>
        <v>544928</v>
      </c>
      <c r="C2287" s="1" t="str">
        <f t="shared" si="2"/>
        <v>Sale</v>
      </c>
      <c r="D2287" s="1" t="s">
        <v>1232</v>
      </c>
      <c r="E2287" s="1" t="str">
        <f>IFERROR(__xludf.DUMMYFUNCTION("IF(LEN(D2287)&gt;4, IFERROR(REGEXEXTRACT(TO_TEXT(D2287),""\d+""),""""),"""")"),"85132")</f>
        <v>85132</v>
      </c>
      <c r="F2287" s="6" t="str">
        <f t="shared" si="3"/>
        <v>Product</v>
      </c>
      <c r="G2287" s="1" t="s">
        <v>1233</v>
      </c>
      <c r="H2287" s="6" t="str">
        <f>IFERROR(__xludf.DUMMYFUNCTION("IF(REGEXMATCH(LOWER(G2287), ""^(\?)+\s*(missing)?\s*(\?)*$""), """", PROPER(SUBSTITUTE(SUBSTITUTE(G2287, ""?"", """"), ""*"", """")))"),"Charlie And Lola Figures Tins")</f>
        <v>Charlie And Lola Figures Tins</v>
      </c>
      <c r="I2287" s="3">
        <v>1.0</v>
      </c>
      <c r="J2287" s="7">
        <v>40598.75486111111</v>
      </c>
      <c r="K2287" s="8" t="str">
        <f t="shared" si="4"/>
        <v>2011-02</v>
      </c>
      <c r="L2287" s="5">
        <v>8.29</v>
      </c>
      <c r="M2287" s="10"/>
      <c r="N2287" s="1" t="str">
        <f t="shared" si="5"/>
        <v>Guest</v>
      </c>
      <c r="O2287" s="1" t="s">
        <v>19</v>
      </c>
      <c r="P2287" s="9" t="str">
        <f t="shared" si="6"/>
        <v>UK</v>
      </c>
      <c r="Q2287" s="8">
        <f t="shared" si="7"/>
        <v>8.29</v>
      </c>
    </row>
    <row r="2288">
      <c r="A2288" s="1">
        <v>544928.0</v>
      </c>
      <c r="B2288" s="1" t="str">
        <f t="shared" si="1"/>
        <v>544928</v>
      </c>
      <c r="C2288" s="1" t="str">
        <f t="shared" si="2"/>
        <v>Sale</v>
      </c>
      <c r="D2288" s="1" t="s">
        <v>1234</v>
      </c>
      <c r="E2288" s="1" t="str">
        <f>IFERROR(__xludf.DUMMYFUNCTION("IF(LEN(D2288)&gt;4, IFERROR(REGEXEXTRACT(TO_TEXT(D2288),""\d+""),""""),"""")"),"90013")</f>
        <v>90013</v>
      </c>
      <c r="F2288" s="6" t="str">
        <f t="shared" si="3"/>
        <v>Product</v>
      </c>
      <c r="G2288" s="1" t="s">
        <v>1235</v>
      </c>
      <c r="H2288" s="6" t="str">
        <f>IFERROR(__xludf.DUMMYFUNCTION("IF(REGEXMATCH(LOWER(G2288), ""^(\?)+\s*(missing)?\s*(\?)*$""), """", PROPER(SUBSTITUTE(SUBSTITUTE(G2288, ""?"", """"), ""*"", """")))"),"Midnight Blue Vintage Earrings")</f>
        <v>Midnight Blue Vintage Earrings</v>
      </c>
      <c r="I2288" s="3">
        <v>1.0</v>
      </c>
      <c r="J2288" s="7">
        <v>40598.75486111111</v>
      </c>
      <c r="K2288" s="8" t="str">
        <f t="shared" si="4"/>
        <v>2011-02</v>
      </c>
      <c r="L2288" s="5">
        <v>3.73</v>
      </c>
      <c r="M2288" s="10"/>
      <c r="N2288" s="1" t="str">
        <f t="shared" si="5"/>
        <v>Guest</v>
      </c>
      <c r="O2288" s="1" t="s">
        <v>19</v>
      </c>
      <c r="P2288" s="9" t="str">
        <f t="shared" si="6"/>
        <v>UK</v>
      </c>
      <c r="Q2288" s="8">
        <f t="shared" si="7"/>
        <v>3.73</v>
      </c>
    </row>
    <row r="2289">
      <c r="A2289" s="1">
        <v>544928.0</v>
      </c>
      <c r="B2289" s="1" t="str">
        <f t="shared" si="1"/>
        <v>544928</v>
      </c>
      <c r="C2289" s="1" t="str">
        <f t="shared" si="2"/>
        <v>Sale</v>
      </c>
      <c r="D2289" s="1" t="s">
        <v>1236</v>
      </c>
      <c r="E2289" s="1" t="str">
        <f>IFERROR(__xludf.DUMMYFUNCTION("IF(LEN(D2289)&gt;4, IFERROR(REGEXEXTRACT(TO_TEXT(D2289),""\d+""),""""),"""")"),"90013")</f>
        <v>90013</v>
      </c>
      <c r="F2289" s="6" t="str">
        <f t="shared" si="3"/>
        <v>Product</v>
      </c>
      <c r="G2289" s="1" t="s">
        <v>1237</v>
      </c>
      <c r="H2289" s="6" t="str">
        <f>IFERROR(__xludf.DUMMYFUNCTION("IF(REGEXMATCH(LOWER(G2289), ""^(\?)+\s*(missing)?\s*(\?)*$""), """", PROPER(SUBSTITUTE(SUBSTITUTE(G2289, ""?"", """"), ""*"", """")))"),"Black Vintage Earrings")</f>
        <v>Black Vintage Earrings</v>
      </c>
      <c r="I2289" s="3">
        <v>1.0</v>
      </c>
      <c r="J2289" s="7">
        <v>40598.75486111111</v>
      </c>
      <c r="K2289" s="8" t="str">
        <f t="shared" si="4"/>
        <v>2011-02</v>
      </c>
      <c r="L2289" s="5">
        <v>4.15</v>
      </c>
      <c r="M2289" s="10"/>
      <c r="N2289" s="1" t="str">
        <f t="shared" si="5"/>
        <v>Guest</v>
      </c>
      <c r="O2289" s="1" t="s">
        <v>19</v>
      </c>
      <c r="P2289" s="9" t="str">
        <f t="shared" si="6"/>
        <v>UK</v>
      </c>
      <c r="Q2289" s="8">
        <f t="shared" si="7"/>
        <v>4.15</v>
      </c>
    </row>
    <row r="2290">
      <c r="A2290" s="1">
        <v>544928.0</v>
      </c>
      <c r="B2290" s="1" t="str">
        <f t="shared" si="1"/>
        <v>544928</v>
      </c>
      <c r="C2290" s="1" t="str">
        <f t="shared" si="2"/>
        <v>Sale</v>
      </c>
      <c r="D2290" s="1">
        <v>90086.0</v>
      </c>
      <c r="E2290" s="1" t="str">
        <f>IFERROR(__xludf.DUMMYFUNCTION("IF(LEN(D2290)&gt;4, IFERROR(REGEXEXTRACT(TO_TEXT(D2290),""\d+""),""""),"""")"),"90086")</f>
        <v>90086</v>
      </c>
      <c r="F2290" s="6" t="str">
        <f t="shared" si="3"/>
        <v>Product</v>
      </c>
      <c r="G2290" s="1" t="s">
        <v>1238</v>
      </c>
      <c r="H2290" s="6" t="str">
        <f>IFERROR(__xludf.DUMMYFUNCTION("IF(REGEXMATCH(LOWER(G2290), ""^(\?)+\s*(missing)?\s*(\?)*$""), """", PROPER(SUBSTITUTE(SUBSTITUTE(G2290, ""?"", """"), ""*"", """")))"),"Crystal Frog Phone Charm")</f>
        <v>Crystal Frog Phone Charm</v>
      </c>
      <c r="I2290" s="3">
        <v>1.0</v>
      </c>
      <c r="J2290" s="7">
        <v>40598.75486111111</v>
      </c>
      <c r="K2290" s="8" t="str">
        <f t="shared" si="4"/>
        <v>2011-02</v>
      </c>
      <c r="L2290" s="5">
        <v>1.63</v>
      </c>
      <c r="M2290" s="10"/>
      <c r="N2290" s="1" t="str">
        <f t="shared" si="5"/>
        <v>Guest</v>
      </c>
      <c r="O2290" s="1" t="s">
        <v>19</v>
      </c>
      <c r="P2290" s="9" t="str">
        <f t="shared" si="6"/>
        <v>UK</v>
      </c>
      <c r="Q2290" s="8">
        <f t="shared" si="7"/>
        <v>1.63</v>
      </c>
    </row>
    <row r="2291">
      <c r="A2291" s="1">
        <v>544928.0</v>
      </c>
      <c r="B2291" s="1" t="str">
        <f t="shared" si="1"/>
        <v>544928</v>
      </c>
      <c r="C2291" s="1" t="str">
        <f t="shared" si="2"/>
        <v>Sale</v>
      </c>
      <c r="D2291" s="1" t="s">
        <v>1239</v>
      </c>
      <c r="E2291" s="1" t="str">
        <f>IFERROR(__xludf.DUMMYFUNCTION("IF(LEN(D2291)&gt;4, IFERROR(REGEXEXTRACT(TO_TEXT(D2291),""\d+""),""""),"""")"),"90214")</f>
        <v>90214</v>
      </c>
      <c r="F2291" s="6" t="str">
        <f t="shared" si="3"/>
        <v>Product</v>
      </c>
      <c r="G2291" s="1" t="s">
        <v>1240</v>
      </c>
      <c r="H2291" s="6" t="str">
        <f>IFERROR(__xludf.DUMMYFUNCTION("IF(REGEXMATCH(LOWER(G2291), ""^(\?)+\s*(missing)?\s*(\?)*$""), """", PROPER(SUBSTITUTE(SUBSTITUTE(G2291, ""?"", """"), ""*"", """")))"),"Letter ""H"" Bling Key Ring")</f>
        <v>Letter "H" Bling Key Ring</v>
      </c>
      <c r="I2291" s="3">
        <v>1.0</v>
      </c>
      <c r="J2291" s="7">
        <v>40598.75486111111</v>
      </c>
      <c r="K2291" s="8" t="str">
        <f t="shared" si="4"/>
        <v>2011-02</v>
      </c>
      <c r="L2291" s="5">
        <v>0.83</v>
      </c>
      <c r="M2291" s="10"/>
      <c r="N2291" s="1" t="str">
        <f t="shared" si="5"/>
        <v>Guest</v>
      </c>
      <c r="O2291" s="1" t="s">
        <v>19</v>
      </c>
      <c r="P2291" s="9" t="str">
        <f t="shared" si="6"/>
        <v>UK</v>
      </c>
      <c r="Q2291" s="8">
        <f t="shared" si="7"/>
        <v>0.83</v>
      </c>
    </row>
    <row r="2292">
      <c r="A2292" s="1">
        <v>544928.0</v>
      </c>
      <c r="B2292" s="1" t="str">
        <f t="shared" si="1"/>
        <v>544928</v>
      </c>
      <c r="C2292" s="1" t="str">
        <f t="shared" si="2"/>
        <v>Sale</v>
      </c>
      <c r="D2292" s="1" t="s">
        <v>1241</v>
      </c>
      <c r="E2292" s="1" t="str">
        <f>IFERROR(__xludf.DUMMYFUNCTION("IF(LEN(D2292)&gt;4, IFERROR(REGEXEXTRACT(TO_TEXT(D2292),""\d+""),""""),"""")"),"")</f>
        <v/>
      </c>
      <c r="F2292" s="6" t="str">
        <f t="shared" si="3"/>
        <v>Shipping</v>
      </c>
      <c r="G2292" s="1" t="s">
        <v>1242</v>
      </c>
      <c r="H2292" s="6" t="str">
        <f>IFERROR(__xludf.DUMMYFUNCTION("IF(REGEXMATCH(LOWER(G2292), ""^(\?)+\s*(missing)?\s*(\?)*$""), """", PROPER(SUBSTITUTE(SUBSTITUTE(G2292, ""?"", """"), ""*"", """")))"),"Dotcom Postage")</f>
        <v>Dotcom Postage</v>
      </c>
      <c r="I2292" s="3">
        <v>1.0</v>
      </c>
      <c r="J2292" s="7">
        <v>40598.75486111111</v>
      </c>
      <c r="K2292" s="8" t="str">
        <f t="shared" si="4"/>
        <v>2011-02</v>
      </c>
      <c r="L2292" s="5">
        <v>189.91</v>
      </c>
      <c r="M2292" s="10"/>
      <c r="N2292" s="1" t="str">
        <f t="shared" si="5"/>
        <v>Guest</v>
      </c>
      <c r="O2292" s="1" t="s">
        <v>19</v>
      </c>
      <c r="P2292" s="9" t="str">
        <f t="shared" si="6"/>
        <v>UK</v>
      </c>
      <c r="Q2292" s="8">
        <f t="shared" si="7"/>
        <v>189.91</v>
      </c>
    </row>
    <row r="2293">
      <c r="A2293" s="1">
        <v>544928.0</v>
      </c>
      <c r="B2293" s="1" t="str">
        <f t="shared" si="1"/>
        <v>544928</v>
      </c>
      <c r="C2293" s="1" t="str">
        <f t="shared" si="2"/>
        <v>Sale</v>
      </c>
      <c r="D2293" s="1">
        <v>16052.0</v>
      </c>
      <c r="E2293" s="1" t="str">
        <f>IFERROR(__xludf.DUMMYFUNCTION("IF(LEN(D2293)&gt;4, IFERROR(REGEXEXTRACT(TO_TEXT(D2293),""\d+""),""""),"""")"),"16052")</f>
        <v>16052</v>
      </c>
      <c r="F2293" s="6" t="str">
        <f t="shared" si="3"/>
        <v>Product</v>
      </c>
      <c r="G2293" s="1" t="s">
        <v>1243</v>
      </c>
      <c r="H2293" s="6" t="str">
        <f>IFERROR(__xludf.DUMMYFUNCTION("IF(REGEXMATCH(LOWER(G2293), ""^(\?)+\s*(missing)?\s*(\?)*$""), """", PROPER(SUBSTITUTE(SUBSTITUTE(G2293, ""?"", """"), ""*"", """")))"),"Teatime Push Down Rubber")</f>
        <v>Teatime Push Down Rubber</v>
      </c>
      <c r="I2293" s="3">
        <v>2.0</v>
      </c>
      <c r="J2293" s="7">
        <v>40598.75486111111</v>
      </c>
      <c r="K2293" s="8" t="str">
        <f t="shared" si="4"/>
        <v>2011-02</v>
      </c>
      <c r="L2293" s="5">
        <v>0.83</v>
      </c>
      <c r="M2293" s="10"/>
      <c r="N2293" s="1" t="str">
        <f t="shared" si="5"/>
        <v>Guest</v>
      </c>
      <c r="O2293" s="1" t="s">
        <v>19</v>
      </c>
      <c r="P2293" s="9" t="str">
        <f t="shared" si="6"/>
        <v>UK</v>
      </c>
      <c r="Q2293" s="8">
        <f t="shared" si="7"/>
        <v>1.66</v>
      </c>
    </row>
    <row r="2294">
      <c r="A2294" s="1">
        <v>544928.0</v>
      </c>
      <c r="B2294" s="1" t="str">
        <f t="shared" si="1"/>
        <v>544928</v>
      </c>
      <c r="C2294" s="1" t="str">
        <f t="shared" si="2"/>
        <v>Sale</v>
      </c>
      <c r="D2294" s="1">
        <v>16235.0</v>
      </c>
      <c r="E2294" s="1" t="str">
        <f>IFERROR(__xludf.DUMMYFUNCTION("IF(LEN(D2294)&gt;4, IFERROR(REGEXEXTRACT(TO_TEXT(D2294),""\d+""),""""),"""")"),"16235")</f>
        <v>16235</v>
      </c>
      <c r="F2294" s="6" t="str">
        <f t="shared" si="3"/>
        <v>Product</v>
      </c>
      <c r="G2294" s="1" t="s">
        <v>693</v>
      </c>
      <c r="H2294" s="6" t="str">
        <f>IFERROR(__xludf.DUMMYFUNCTION("IF(REGEXMATCH(LOWER(G2294), ""^(\?)+\s*(missing)?\s*(\?)*$""), """", PROPER(SUBSTITUTE(SUBSTITUTE(G2294, ""?"", """"), ""*"", """")))"),"Recycled Pencil With Rabbit Eraser")</f>
        <v>Recycled Pencil With Rabbit Eraser</v>
      </c>
      <c r="I2294" s="3">
        <v>1.0</v>
      </c>
      <c r="J2294" s="7">
        <v>40598.75486111111</v>
      </c>
      <c r="K2294" s="8" t="str">
        <f t="shared" si="4"/>
        <v>2011-02</v>
      </c>
      <c r="L2294" s="5">
        <v>0.42</v>
      </c>
      <c r="M2294" s="10"/>
      <c r="N2294" s="1" t="str">
        <f t="shared" si="5"/>
        <v>Guest</v>
      </c>
      <c r="O2294" s="1" t="s">
        <v>19</v>
      </c>
      <c r="P2294" s="9" t="str">
        <f t="shared" si="6"/>
        <v>UK</v>
      </c>
      <c r="Q2294" s="8">
        <f t="shared" si="7"/>
        <v>0.42</v>
      </c>
    </row>
    <row r="2295">
      <c r="A2295" s="1">
        <v>544928.0</v>
      </c>
      <c r="B2295" s="1" t="str">
        <f t="shared" si="1"/>
        <v>544928</v>
      </c>
      <c r="C2295" s="1" t="str">
        <f t="shared" si="2"/>
        <v>Sale</v>
      </c>
      <c r="D2295" s="1">
        <v>16236.0</v>
      </c>
      <c r="E2295" s="1" t="str">
        <f>IFERROR(__xludf.DUMMYFUNCTION("IF(LEN(D2295)&gt;4, IFERROR(REGEXEXTRACT(TO_TEXT(D2295),""\d+""),""""),"""")"),"16236")</f>
        <v>16236</v>
      </c>
      <c r="F2295" s="6" t="str">
        <f t="shared" si="3"/>
        <v>Product</v>
      </c>
      <c r="G2295" s="1" t="s">
        <v>694</v>
      </c>
      <c r="H2295" s="6" t="str">
        <f>IFERROR(__xludf.DUMMYFUNCTION("IF(REGEXMATCH(LOWER(G2295), ""^(\?)+\s*(missing)?\s*(\?)*$""), """", PROPER(SUBSTITUTE(SUBSTITUTE(G2295, ""?"", """"), ""*"", """")))"),"Kitty Pencil Erasers")</f>
        <v>Kitty Pencil Erasers</v>
      </c>
      <c r="I2295" s="3">
        <v>1.0</v>
      </c>
      <c r="J2295" s="7">
        <v>40598.75486111111</v>
      </c>
      <c r="K2295" s="8" t="str">
        <f t="shared" si="4"/>
        <v>2011-02</v>
      </c>
      <c r="L2295" s="5">
        <v>0.42</v>
      </c>
      <c r="M2295" s="10"/>
      <c r="N2295" s="1" t="str">
        <f t="shared" si="5"/>
        <v>Guest</v>
      </c>
      <c r="O2295" s="1" t="s">
        <v>19</v>
      </c>
      <c r="P2295" s="9" t="str">
        <f t="shared" si="6"/>
        <v>UK</v>
      </c>
      <c r="Q2295" s="8">
        <f t="shared" si="7"/>
        <v>0.42</v>
      </c>
    </row>
    <row r="2296">
      <c r="A2296" s="1">
        <v>544928.0</v>
      </c>
      <c r="B2296" s="1" t="str">
        <f t="shared" si="1"/>
        <v>544928</v>
      </c>
      <c r="C2296" s="1" t="str">
        <f t="shared" si="2"/>
        <v>Sale</v>
      </c>
      <c r="D2296" s="1">
        <v>16237.0</v>
      </c>
      <c r="E2296" s="1" t="str">
        <f>IFERROR(__xludf.DUMMYFUNCTION("IF(LEN(D2296)&gt;4, IFERROR(REGEXEXTRACT(TO_TEXT(D2296),""\d+""),""""),"""")"),"16237")</f>
        <v>16237</v>
      </c>
      <c r="F2296" s="6" t="str">
        <f t="shared" si="3"/>
        <v>Product</v>
      </c>
      <c r="G2296" s="1" t="s">
        <v>383</v>
      </c>
      <c r="H2296" s="6" t="str">
        <f>IFERROR(__xludf.DUMMYFUNCTION("IF(REGEXMATCH(LOWER(G2296), ""^(\?)+\s*(missing)?\s*(\?)*$""), """", PROPER(SUBSTITUTE(SUBSTITUTE(G2296, ""?"", """"), ""*"", """")))"),"Sleeping Cat Erasers")</f>
        <v>Sleeping Cat Erasers</v>
      </c>
      <c r="I2296" s="3">
        <v>1.0</v>
      </c>
      <c r="J2296" s="7">
        <v>40598.75486111111</v>
      </c>
      <c r="K2296" s="8" t="str">
        <f t="shared" si="4"/>
        <v>2011-02</v>
      </c>
      <c r="L2296" s="5">
        <v>0.42</v>
      </c>
      <c r="M2296" s="10"/>
      <c r="N2296" s="1" t="str">
        <f t="shared" si="5"/>
        <v>Guest</v>
      </c>
      <c r="O2296" s="1" t="s">
        <v>19</v>
      </c>
      <c r="P2296" s="9" t="str">
        <f t="shared" si="6"/>
        <v>UK</v>
      </c>
      <c r="Q2296" s="8">
        <f t="shared" si="7"/>
        <v>0.42</v>
      </c>
    </row>
    <row r="2297">
      <c r="A2297" s="1">
        <v>544928.0</v>
      </c>
      <c r="B2297" s="1" t="str">
        <f t="shared" si="1"/>
        <v>544928</v>
      </c>
      <c r="C2297" s="1" t="str">
        <f t="shared" si="2"/>
        <v>Sale</v>
      </c>
      <c r="D2297" s="1">
        <v>16238.0</v>
      </c>
      <c r="E2297" s="1" t="str">
        <f>IFERROR(__xludf.DUMMYFUNCTION("IF(LEN(D2297)&gt;4, IFERROR(REGEXEXTRACT(TO_TEXT(D2297),""\d+""),""""),"""")"),"16238")</f>
        <v>16238</v>
      </c>
      <c r="F2297" s="6" t="str">
        <f t="shared" si="3"/>
        <v>Product</v>
      </c>
      <c r="G2297" s="1" t="s">
        <v>416</v>
      </c>
      <c r="H2297" s="6" t="str">
        <f>IFERROR(__xludf.DUMMYFUNCTION("IF(REGEXMATCH(LOWER(G2297), ""^(\?)+\s*(missing)?\s*(\?)*$""), """", PROPER(SUBSTITUTE(SUBSTITUTE(G2297, ""?"", """"), ""*"", """")))"),"Party Time Pencil Erasers")</f>
        <v>Party Time Pencil Erasers</v>
      </c>
      <c r="I2297" s="3">
        <v>1.0</v>
      </c>
      <c r="J2297" s="7">
        <v>40598.75486111111</v>
      </c>
      <c r="K2297" s="8" t="str">
        <f t="shared" si="4"/>
        <v>2011-02</v>
      </c>
      <c r="L2297" s="5">
        <v>0.42</v>
      </c>
      <c r="M2297" s="10"/>
      <c r="N2297" s="1" t="str">
        <f t="shared" si="5"/>
        <v>Guest</v>
      </c>
      <c r="O2297" s="1" t="s">
        <v>19</v>
      </c>
      <c r="P2297" s="9" t="str">
        <f t="shared" si="6"/>
        <v>UK</v>
      </c>
      <c r="Q2297" s="8">
        <f t="shared" si="7"/>
        <v>0.42</v>
      </c>
    </row>
    <row r="2298">
      <c r="A2298" s="1">
        <v>544928.0</v>
      </c>
      <c r="B2298" s="1" t="str">
        <f t="shared" si="1"/>
        <v>544928</v>
      </c>
      <c r="C2298" s="1" t="str">
        <f t="shared" si="2"/>
        <v>Sale</v>
      </c>
      <c r="D2298" s="1">
        <v>20617.0</v>
      </c>
      <c r="E2298" s="1" t="str">
        <f>IFERROR(__xludf.DUMMYFUNCTION("IF(LEN(D2298)&gt;4, IFERROR(REGEXEXTRACT(TO_TEXT(D2298),""\d+""),""""),"""")"),"20617")</f>
        <v>20617</v>
      </c>
      <c r="F2298" s="6" t="str">
        <f t="shared" si="3"/>
        <v>Product</v>
      </c>
      <c r="G2298" s="1" t="s">
        <v>1244</v>
      </c>
      <c r="H2298" s="6" t="str">
        <f>IFERROR(__xludf.DUMMYFUNCTION("IF(REGEXMATCH(LOWER(G2298), ""^(\?)+\s*(missing)?\s*(\?)*$""), """", PROPER(SUBSTITUTE(SUBSTITUTE(G2298, ""?"", """"), ""*"", """")))"),"First Class Passport Cover")</f>
        <v>First Class Passport Cover</v>
      </c>
      <c r="I2298" s="3">
        <v>1.0</v>
      </c>
      <c r="J2298" s="7">
        <v>40598.75486111111</v>
      </c>
      <c r="K2298" s="8" t="str">
        <f t="shared" si="4"/>
        <v>2011-02</v>
      </c>
      <c r="L2298" s="5">
        <v>4.13</v>
      </c>
      <c r="M2298" s="10"/>
      <c r="N2298" s="1" t="str">
        <f t="shared" si="5"/>
        <v>Guest</v>
      </c>
      <c r="O2298" s="1" t="s">
        <v>19</v>
      </c>
      <c r="P2298" s="9" t="str">
        <f t="shared" si="6"/>
        <v>UK</v>
      </c>
      <c r="Q2298" s="8">
        <f t="shared" si="7"/>
        <v>4.13</v>
      </c>
    </row>
    <row r="2299">
      <c r="A2299" s="1">
        <v>544928.0</v>
      </c>
      <c r="B2299" s="1" t="str">
        <f t="shared" si="1"/>
        <v>544928</v>
      </c>
      <c r="C2299" s="1" t="str">
        <f t="shared" si="2"/>
        <v>Sale</v>
      </c>
      <c r="D2299" s="1">
        <v>20619.0</v>
      </c>
      <c r="E2299" s="1" t="str">
        <f>IFERROR(__xludf.DUMMYFUNCTION("IF(LEN(D2299)&gt;4, IFERROR(REGEXEXTRACT(TO_TEXT(D2299),""\d+""),""""),"""")"),"20619")</f>
        <v>20619</v>
      </c>
      <c r="F2299" s="6" t="str">
        <f t="shared" si="3"/>
        <v>Product</v>
      </c>
      <c r="G2299" s="1" t="s">
        <v>1027</v>
      </c>
      <c r="H2299" s="6" t="str">
        <f>IFERROR(__xludf.DUMMYFUNCTION("IF(REGEXMATCH(LOWER(G2299), ""^(\?)+\s*(missing)?\s*(\?)*$""), """", PROPER(SUBSTITUTE(SUBSTITUTE(G2299, ""?"", """"), ""*"", """")))"),"Tropical Passport Cover")</f>
        <v>Tropical Passport Cover</v>
      </c>
      <c r="I2299" s="3">
        <v>1.0</v>
      </c>
      <c r="J2299" s="7">
        <v>40598.75486111111</v>
      </c>
      <c r="K2299" s="8" t="str">
        <f t="shared" si="4"/>
        <v>2011-02</v>
      </c>
      <c r="L2299" s="5">
        <v>1.63</v>
      </c>
      <c r="M2299" s="10"/>
      <c r="N2299" s="1" t="str">
        <f t="shared" si="5"/>
        <v>Guest</v>
      </c>
      <c r="O2299" s="1" t="s">
        <v>19</v>
      </c>
      <c r="P2299" s="9" t="str">
        <f t="shared" si="6"/>
        <v>UK</v>
      </c>
      <c r="Q2299" s="8">
        <f t="shared" si="7"/>
        <v>1.63</v>
      </c>
    </row>
    <row r="2300">
      <c r="A2300" s="1">
        <v>544928.0</v>
      </c>
      <c r="B2300" s="1" t="str">
        <f t="shared" si="1"/>
        <v>544928</v>
      </c>
      <c r="C2300" s="1" t="str">
        <f t="shared" si="2"/>
        <v>Sale</v>
      </c>
      <c r="D2300" s="1">
        <v>20653.0</v>
      </c>
      <c r="E2300" s="1" t="str">
        <f>IFERROR(__xludf.DUMMYFUNCTION("IF(LEN(D2300)&gt;4, IFERROR(REGEXEXTRACT(TO_TEXT(D2300),""\d+""),""""),"""")"),"20653")</f>
        <v>20653</v>
      </c>
      <c r="F2300" s="6" t="str">
        <f t="shared" si="3"/>
        <v>Product</v>
      </c>
      <c r="G2300" s="1" t="s">
        <v>1245</v>
      </c>
      <c r="H2300" s="6" t="str">
        <f>IFERROR(__xludf.DUMMYFUNCTION("IF(REGEXMATCH(LOWER(G2300), ""^(\?)+\s*(missing)?\s*(\?)*$""), """", PROPER(SUBSTITUTE(SUBSTITUTE(G2300, ""?"", """"), ""*"", """")))"),"Cherry Blossom Luggage Tag")</f>
        <v>Cherry Blossom Luggage Tag</v>
      </c>
      <c r="I2300" s="3">
        <v>1.0</v>
      </c>
      <c r="J2300" s="7">
        <v>40598.75486111111</v>
      </c>
      <c r="K2300" s="8" t="str">
        <f t="shared" si="4"/>
        <v>2011-02</v>
      </c>
      <c r="L2300" s="5">
        <v>2.46</v>
      </c>
      <c r="M2300" s="10"/>
      <c r="N2300" s="1" t="str">
        <f t="shared" si="5"/>
        <v>Guest</v>
      </c>
      <c r="O2300" s="1" t="s">
        <v>19</v>
      </c>
      <c r="P2300" s="9" t="str">
        <f t="shared" si="6"/>
        <v>UK</v>
      </c>
      <c r="Q2300" s="8">
        <f t="shared" si="7"/>
        <v>2.46</v>
      </c>
    </row>
    <row r="2301">
      <c r="A2301" s="1">
        <v>544928.0</v>
      </c>
      <c r="B2301" s="1" t="str">
        <f t="shared" si="1"/>
        <v>544928</v>
      </c>
      <c r="C2301" s="1" t="str">
        <f t="shared" si="2"/>
        <v>Sale</v>
      </c>
      <c r="D2301" s="1">
        <v>20665.0</v>
      </c>
      <c r="E2301" s="1" t="str">
        <f>IFERROR(__xludf.DUMMYFUNCTION("IF(LEN(D2301)&gt;4, IFERROR(REGEXEXTRACT(TO_TEXT(D2301),""\d+""),""""),"""")"),"20665")</f>
        <v>20665</v>
      </c>
      <c r="F2301" s="6" t="str">
        <f t="shared" si="3"/>
        <v>Product</v>
      </c>
      <c r="G2301" s="1" t="s">
        <v>1246</v>
      </c>
      <c r="H2301" s="6" t="str">
        <f>IFERROR(__xludf.DUMMYFUNCTION("IF(REGEXMATCH(LOWER(G2301), ""^(\?)+\s*(missing)?\s*(\?)*$""), """", PROPER(SUBSTITUTE(SUBSTITUTE(G2301, ""?"", """"), ""*"", """")))"),"Red Retrospot Purse")</f>
        <v>Red Retrospot Purse</v>
      </c>
      <c r="I2301" s="3">
        <v>1.0</v>
      </c>
      <c r="J2301" s="7">
        <v>40598.75486111111</v>
      </c>
      <c r="K2301" s="8" t="str">
        <f t="shared" si="4"/>
        <v>2011-02</v>
      </c>
      <c r="L2301" s="5">
        <v>5.79</v>
      </c>
      <c r="M2301" s="10"/>
      <c r="N2301" s="1" t="str">
        <f t="shared" si="5"/>
        <v>Guest</v>
      </c>
      <c r="O2301" s="1" t="s">
        <v>19</v>
      </c>
      <c r="P2301" s="9" t="str">
        <f t="shared" si="6"/>
        <v>UK</v>
      </c>
      <c r="Q2301" s="8">
        <f t="shared" si="7"/>
        <v>5.79</v>
      </c>
    </row>
    <row r="2302">
      <c r="A2302" s="1">
        <v>544928.0</v>
      </c>
      <c r="B2302" s="1" t="str">
        <f t="shared" si="1"/>
        <v>544928</v>
      </c>
      <c r="C2302" s="1" t="str">
        <f t="shared" si="2"/>
        <v>Sale</v>
      </c>
      <c r="D2302" s="1">
        <v>20707.0</v>
      </c>
      <c r="E2302" s="1" t="str">
        <f>IFERROR(__xludf.DUMMYFUNCTION("IF(LEN(D2302)&gt;4, IFERROR(REGEXEXTRACT(TO_TEXT(D2302),""\d+""),""""),"""")"),"20707")</f>
        <v>20707</v>
      </c>
      <c r="F2302" s="6" t="str">
        <f t="shared" si="3"/>
        <v>Product</v>
      </c>
      <c r="G2302" s="1" t="s">
        <v>650</v>
      </c>
      <c r="H2302" s="6" t="str">
        <f>IFERROR(__xludf.DUMMYFUNCTION("IF(REGEXMATCH(LOWER(G2302), ""^(\?)+\s*(missing)?\s*(\?)*$""), """", PROPER(SUBSTITUTE(SUBSTITUTE(G2302, ""?"", """"), ""*"", """")))"),"Crazy Daisy Heart Decoration")</f>
        <v>Crazy Daisy Heart Decoration</v>
      </c>
      <c r="I2302" s="3">
        <v>1.0</v>
      </c>
      <c r="J2302" s="7">
        <v>40598.75486111111</v>
      </c>
      <c r="K2302" s="8" t="str">
        <f t="shared" si="4"/>
        <v>2011-02</v>
      </c>
      <c r="L2302" s="5">
        <v>0.83</v>
      </c>
      <c r="M2302" s="10"/>
      <c r="N2302" s="1" t="str">
        <f t="shared" si="5"/>
        <v>Guest</v>
      </c>
      <c r="O2302" s="1" t="s">
        <v>19</v>
      </c>
      <c r="P2302" s="9" t="str">
        <f t="shared" si="6"/>
        <v>UK</v>
      </c>
      <c r="Q2302" s="8">
        <f t="shared" si="7"/>
        <v>0.83</v>
      </c>
    </row>
    <row r="2303">
      <c r="A2303" s="1">
        <v>544928.0</v>
      </c>
      <c r="B2303" s="1" t="str">
        <f t="shared" si="1"/>
        <v>544928</v>
      </c>
      <c r="C2303" s="1" t="str">
        <f t="shared" si="2"/>
        <v>Sale</v>
      </c>
      <c r="D2303" s="1">
        <v>20713.0</v>
      </c>
      <c r="E2303" s="1" t="str">
        <f>IFERROR(__xludf.DUMMYFUNCTION("IF(LEN(D2303)&gt;4, IFERROR(REGEXEXTRACT(TO_TEXT(D2303),""\d+""),""""),"""")"),"20713")</f>
        <v>20713</v>
      </c>
      <c r="F2303" s="6" t="str">
        <f t="shared" si="3"/>
        <v>Product</v>
      </c>
      <c r="G2303" s="1" t="s">
        <v>423</v>
      </c>
      <c r="H2303" s="6" t="str">
        <f>IFERROR(__xludf.DUMMYFUNCTION("IF(REGEXMATCH(LOWER(G2303), ""^(\?)+\s*(missing)?\s*(\?)*$""), """", PROPER(SUBSTITUTE(SUBSTITUTE(G2303, ""?"", """"), ""*"", """")))"),"Jumbo Bag Owls")</f>
        <v>Jumbo Bag Owls</v>
      </c>
      <c r="I2303" s="3">
        <v>1.0</v>
      </c>
      <c r="J2303" s="7">
        <v>40598.75486111111</v>
      </c>
      <c r="K2303" s="8" t="str">
        <f t="shared" si="4"/>
        <v>2011-02</v>
      </c>
      <c r="L2303" s="5">
        <v>4.13</v>
      </c>
      <c r="M2303" s="10"/>
      <c r="N2303" s="1" t="str">
        <f t="shared" si="5"/>
        <v>Guest</v>
      </c>
      <c r="O2303" s="1" t="s">
        <v>19</v>
      </c>
      <c r="P2303" s="9" t="str">
        <f t="shared" si="6"/>
        <v>UK</v>
      </c>
      <c r="Q2303" s="8">
        <f t="shared" si="7"/>
        <v>4.13</v>
      </c>
    </row>
    <row r="2304">
      <c r="A2304" s="1">
        <v>544928.0</v>
      </c>
      <c r="B2304" s="1" t="str">
        <f t="shared" si="1"/>
        <v>544928</v>
      </c>
      <c r="C2304" s="1" t="str">
        <f t="shared" si="2"/>
        <v>Sale</v>
      </c>
      <c r="D2304" s="1">
        <v>20719.0</v>
      </c>
      <c r="E2304" s="1" t="str">
        <f>IFERROR(__xludf.DUMMYFUNCTION("IF(LEN(D2304)&gt;4, IFERROR(REGEXEXTRACT(TO_TEXT(D2304),""\d+""),""""),"""")"),"20719")</f>
        <v>20719</v>
      </c>
      <c r="F2304" s="6" t="str">
        <f t="shared" si="3"/>
        <v>Product</v>
      </c>
      <c r="G2304" s="1" t="s">
        <v>700</v>
      </c>
      <c r="H2304" s="6" t="str">
        <f>IFERROR(__xludf.DUMMYFUNCTION("IF(REGEXMATCH(LOWER(G2304), ""^(\?)+\s*(missing)?\s*(\?)*$""), """", PROPER(SUBSTITUTE(SUBSTITUTE(G2304, ""?"", """"), ""*"", """")))"),"Woodland Charlotte Bag")</f>
        <v>Woodland Charlotte Bag</v>
      </c>
      <c r="I2304" s="3">
        <v>1.0</v>
      </c>
      <c r="J2304" s="7">
        <v>40598.75486111111</v>
      </c>
      <c r="K2304" s="8" t="str">
        <f t="shared" si="4"/>
        <v>2011-02</v>
      </c>
      <c r="L2304" s="5">
        <v>1.63</v>
      </c>
      <c r="M2304" s="10"/>
      <c r="N2304" s="1" t="str">
        <f t="shared" si="5"/>
        <v>Guest</v>
      </c>
      <c r="O2304" s="1" t="s">
        <v>19</v>
      </c>
      <c r="P2304" s="9" t="str">
        <f t="shared" si="6"/>
        <v>UK</v>
      </c>
      <c r="Q2304" s="8">
        <f t="shared" si="7"/>
        <v>1.63</v>
      </c>
    </row>
    <row r="2305">
      <c r="A2305" s="1">
        <v>544928.0</v>
      </c>
      <c r="B2305" s="1" t="str">
        <f t="shared" si="1"/>
        <v>544928</v>
      </c>
      <c r="C2305" s="1" t="str">
        <f t="shared" si="2"/>
        <v>Sale</v>
      </c>
      <c r="D2305" s="1">
        <v>20723.0</v>
      </c>
      <c r="E2305" s="1" t="str">
        <f>IFERROR(__xludf.DUMMYFUNCTION("IF(LEN(D2305)&gt;4, IFERROR(REGEXEXTRACT(TO_TEXT(D2305),""\d+""),""""),"""")"),"20723")</f>
        <v>20723</v>
      </c>
      <c r="F2305" s="6" t="str">
        <f t="shared" si="3"/>
        <v>Product</v>
      </c>
      <c r="G2305" s="1" t="s">
        <v>88</v>
      </c>
      <c r="H2305" s="6" t="str">
        <f>IFERROR(__xludf.DUMMYFUNCTION("IF(REGEXMATCH(LOWER(G2305), ""^(\?)+\s*(missing)?\s*(\?)*$""), """", PROPER(SUBSTITUTE(SUBSTITUTE(G2305, ""?"", """"), ""*"", """")))"),"Strawberry Charlotte Bag")</f>
        <v>Strawberry Charlotte Bag</v>
      </c>
      <c r="I2305" s="3">
        <v>1.0</v>
      </c>
      <c r="J2305" s="7">
        <v>40598.75486111111</v>
      </c>
      <c r="K2305" s="8" t="str">
        <f t="shared" si="4"/>
        <v>2011-02</v>
      </c>
      <c r="L2305" s="5">
        <v>1.63</v>
      </c>
      <c r="M2305" s="10"/>
      <c r="N2305" s="1" t="str">
        <f t="shared" si="5"/>
        <v>Guest</v>
      </c>
      <c r="O2305" s="1" t="s">
        <v>19</v>
      </c>
      <c r="P2305" s="9" t="str">
        <f t="shared" si="6"/>
        <v>UK</v>
      </c>
      <c r="Q2305" s="8">
        <f t="shared" si="7"/>
        <v>1.63</v>
      </c>
    </row>
    <row r="2306">
      <c r="A2306" s="1">
        <v>544928.0</v>
      </c>
      <c r="B2306" s="1" t="str">
        <f t="shared" si="1"/>
        <v>544928</v>
      </c>
      <c r="C2306" s="1" t="str">
        <f t="shared" si="2"/>
        <v>Sale</v>
      </c>
      <c r="D2306" s="1">
        <v>20724.0</v>
      </c>
      <c r="E2306" s="1" t="str">
        <f>IFERROR(__xludf.DUMMYFUNCTION("IF(LEN(D2306)&gt;4, IFERROR(REGEXEXTRACT(TO_TEXT(D2306),""\d+""),""""),"""")"),"20724")</f>
        <v>20724</v>
      </c>
      <c r="F2306" s="6" t="str">
        <f t="shared" si="3"/>
        <v>Product</v>
      </c>
      <c r="G2306" s="1" t="s">
        <v>701</v>
      </c>
      <c r="H2306" s="6" t="str">
        <f>IFERROR(__xludf.DUMMYFUNCTION("IF(REGEXMATCH(LOWER(G2306), ""^(\?)+\s*(missing)?\s*(\?)*$""), """", PROPER(SUBSTITUTE(SUBSTITUTE(G2306, ""?"", """"), ""*"", """")))"),"Red Retrospot Charlotte Bag")</f>
        <v>Red Retrospot Charlotte Bag</v>
      </c>
      <c r="I2306" s="3">
        <v>1.0</v>
      </c>
      <c r="J2306" s="7">
        <v>40598.75486111111</v>
      </c>
      <c r="K2306" s="8" t="str">
        <f t="shared" si="4"/>
        <v>2011-02</v>
      </c>
      <c r="L2306" s="5">
        <v>1.63</v>
      </c>
      <c r="M2306" s="10"/>
      <c r="N2306" s="1" t="str">
        <f t="shared" si="5"/>
        <v>Guest</v>
      </c>
      <c r="O2306" s="1" t="s">
        <v>19</v>
      </c>
      <c r="P2306" s="9" t="str">
        <f t="shared" si="6"/>
        <v>UK</v>
      </c>
      <c r="Q2306" s="8">
        <f t="shared" si="7"/>
        <v>1.63</v>
      </c>
    </row>
    <row r="2307">
      <c r="A2307" s="1">
        <v>544928.0</v>
      </c>
      <c r="B2307" s="1" t="str">
        <f t="shared" si="1"/>
        <v>544928</v>
      </c>
      <c r="C2307" s="1" t="str">
        <f t="shared" si="2"/>
        <v>Sale</v>
      </c>
      <c r="D2307" s="1">
        <v>20725.0</v>
      </c>
      <c r="E2307" s="1" t="str">
        <f>IFERROR(__xludf.DUMMYFUNCTION("IF(LEN(D2307)&gt;4, IFERROR(REGEXEXTRACT(TO_TEXT(D2307),""\d+""),""""),"""")"),"20725")</f>
        <v>20725</v>
      </c>
      <c r="F2307" s="6" t="str">
        <f t="shared" si="3"/>
        <v>Product</v>
      </c>
      <c r="G2307" s="1" t="s">
        <v>94</v>
      </c>
      <c r="H2307" s="6" t="str">
        <f>IFERROR(__xludf.DUMMYFUNCTION("IF(REGEXMATCH(LOWER(G2307), ""^(\?)+\s*(missing)?\s*(\?)*$""), """", PROPER(SUBSTITUTE(SUBSTITUTE(G2307, ""?"", """"), ""*"", """")))"),"Lunch Bag Red Retrospot")</f>
        <v>Lunch Bag Red Retrospot</v>
      </c>
      <c r="I2307" s="3">
        <v>1.0</v>
      </c>
      <c r="J2307" s="7">
        <v>40598.75486111111</v>
      </c>
      <c r="K2307" s="8" t="str">
        <f t="shared" si="4"/>
        <v>2011-02</v>
      </c>
      <c r="L2307" s="5">
        <v>4.13</v>
      </c>
      <c r="M2307" s="10"/>
      <c r="N2307" s="1" t="str">
        <f t="shared" si="5"/>
        <v>Guest</v>
      </c>
      <c r="O2307" s="1" t="s">
        <v>19</v>
      </c>
      <c r="P2307" s="9" t="str">
        <f t="shared" si="6"/>
        <v>UK</v>
      </c>
      <c r="Q2307" s="8">
        <f t="shared" si="7"/>
        <v>4.13</v>
      </c>
    </row>
    <row r="2308">
      <c r="A2308" s="1">
        <v>544928.0</v>
      </c>
      <c r="B2308" s="1" t="str">
        <f t="shared" si="1"/>
        <v>544928</v>
      </c>
      <c r="C2308" s="1" t="str">
        <f t="shared" si="2"/>
        <v>Sale</v>
      </c>
      <c r="D2308" s="1">
        <v>20735.0</v>
      </c>
      <c r="E2308" s="1" t="str">
        <f>IFERROR(__xludf.DUMMYFUNCTION("IF(LEN(D2308)&gt;4, IFERROR(REGEXEXTRACT(TO_TEXT(D2308),""\d+""),""""),"""")"),"20735")</f>
        <v>20735</v>
      </c>
      <c r="F2308" s="6" t="str">
        <f t="shared" si="3"/>
        <v>Product</v>
      </c>
      <c r="G2308" s="1" t="s">
        <v>1247</v>
      </c>
      <c r="H2308" s="6" t="str">
        <f>IFERROR(__xludf.DUMMYFUNCTION("IF(REGEXMATCH(LOWER(G2308), ""^(\?)+\s*(missing)?\s*(\?)*$""), """", PROPER(SUBSTITUTE(SUBSTITUTE(G2308, ""?"", """"), ""*"", """")))"),"Black Mini Tape Measure")</f>
        <v>Black Mini Tape Measure</v>
      </c>
      <c r="I2308" s="3">
        <v>20.0</v>
      </c>
      <c r="J2308" s="7">
        <v>40598.75486111111</v>
      </c>
      <c r="K2308" s="8" t="str">
        <f t="shared" si="4"/>
        <v>2011-02</v>
      </c>
      <c r="L2308" s="5">
        <v>0.83</v>
      </c>
      <c r="M2308" s="10"/>
      <c r="N2308" s="1" t="str">
        <f t="shared" si="5"/>
        <v>Guest</v>
      </c>
      <c r="O2308" s="1" t="s">
        <v>19</v>
      </c>
      <c r="P2308" s="9" t="str">
        <f t="shared" si="6"/>
        <v>UK</v>
      </c>
      <c r="Q2308" s="8">
        <f t="shared" si="7"/>
        <v>16.6</v>
      </c>
    </row>
    <row r="2309">
      <c r="A2309" s="1">
        <v>544928.0</v>
      </c>
      <c r="B2309" s="1" t="str">
        <f t="shared" si="1"/>
        <v>544928</v>
      </c>
      <c r="C2309" s="1" t="str">
        <f t="shared" si="2"/>
        <v>Sale</v>
      </c>
      <c r="D2309" s="1">
        <v>20770.0</v>
      </c>
      <c r="E2309" s="1" t="str">
        <f>IFERROR(__xludf.DUMMYFUNCTION("IF(LEN(D2309)&gt;4, IFERROR(REGEXEXTRACT(TO_TEXT(D2309),""\d+""),""""),"""")"),"20770")</f>
        <v>20770</v>
      </c>
      <c r="F2309" s="6" t="str">
        <f t="shared" si="3"/>
        <v>Product</v>
      </c>
      <c r="G2309" s="1" t="s">
        <v>1248</v>
      </c>
      <c r="H2309" s="6" t="str">
        <f>IFERROR(__xludf.DUMMYFUNCTION("IF(REGEXMATCH(LOWER(G2309), ""^(\?)+\s*(missing)?\s*(\?)*$""), """", PROPER(SUBSTITUTE(SUBSTITUTE(G2309, ""?"", """"), ""*"", """")))"),"Abstract Circle Journal")</f>
        <v>Abstract Circle Journal</v>
      </c>
      <c r="I2309" s="3">
        <v>1.0</v>
      </c>
      <c r="J2309" s="7">
        <v>40598.75486111111</v>
      </c>
      <c r="K2309" s="8" t="str">
        <f t="shared" si="4"/>
        <v>2011-02</v>
      </c>
      <c r="L2309" s="5">
        <v>2.46</v>
      </c>
      <c r="M2309" s="10"/>
      <c r="N2309" s="1" t="str">
        <f t="shared" si="5"/>
        <v>Guest</v>
      </c>
      <c r="O2309" s="1" t="s">
        <v>19</v>
      </c>
      <c r="P2309" s="9" t="str">
        <f t="shared" si="6"/>
        <v>UK</v>
      </c>
      <c r="Q2309" s="8">
        <f t="shared" si="7"/>
        <v>2.46</v>
      </c>
    </row>
    <row r="2310">
      <c r="A2310" s="1">
        <v>544928.0</v>
      </c>
      <c r="B2310" s="1" t="str">
        <f t="shared" si="1"/>
        <v>544928</v>
      </c>
      <c r="C2310" s="1" t="str">
        <f t="shared" si="2"/>
        <v>Sale</v>
      </c>
      <c r="D2310" s="1">
        <v>20829.0</v>
      </c>
      <c r="E2310" s="1" t="str">
        <f>IFERROR(__xludf.DUMMYFUNCTION("IF(LEN(D2310)&gt;4, IFERROR(REGEXEXTRACT(TO_TEXT(D2310),""\d+""),""""),"""")"),"20829")</f>
        <v>20829</v>
      </c>
      <c r="F2310" s="6" t="str">
        <f t="shared" si="3"/>
        <v>Product</v>
      </c>
      <c r="G2310" s="1" t="s">
        <v>1249</v>
      </c>
      <c r="H2310" s="6" t="str">
        <f>IFERROR(__xludf.DUMMYFUNCTION("IF(REGEXMATCH(LOWER(G2310), ""^(\?)+\s*(missing)?\s*(\?)*$""), """", PROPER(SUBSTITUTE(SUBSTITUTE(G2310, ""?"", """"), ""*"", """")))"),"Glitter Hanging Butterfly String")</f>
        <v>Glitter Hanging Butterfly String</v>
      </c>
      <c r="I2310" s="3">
        <v>1.0</v>
      </c>
      <c r="J2310" s="7">
        <v>40598.75486111111</v>
      </c>
      <c r="K2310" s="8" t="str">
        <f t="shared" si="4"/>
        <v>2011-02</v>
      </c>
      <c r="L2310" s="5">
        <v>4.13</v>
      </c>
      <c r="M2310" s="10"/>
      <c r="N2310" s="1" t="str">
        <f t="shared" si="5"/>
        <v>Guest</v>
      </c>
      <c r="O2310" s="1" t="s">
        <v>19</v>
      </c>
      <c r="P2310" s="9" t="str">
        <f t="shared" si="6"/>
        <v>UK</v>
      </c>
      <c r="Q2310" s="8">
        <f t="shared" si="7"/>
        <v>4.13</v>
      </c>
    </row>
    <row r="2311">
      <c r="A2311" s="1">
        <v>544928.0</v>
      </c>
      <c r="B2311" s="1" t="str">
        <f t="shared" si="1"/>
        <v>544928</v>
      </c>
      <c r="C2311" s="1" t="str">
        <f t="shared" si="2"/>
        <v>Sale</v>
      </c>
      <c r="D2311" s="1">
        <v>20914.0</v>
      </c>
      <c r="E2311" s="1" t="str">
        <f>IFERROR(__xludf.DUMMYFUNCTION("IF(LEN(D2311)&gt;4, IFERROR(REGEXEXTRACT(TO_TEXT(D2311),""\d+""),""""),"""")"),"20914")</f>
        <v>20914</v>
      </c>
      <c r="F2311" s="6" t="str">
        <f t="shared" si="3"/>
        <v>Product</v>
      </c>
      <c r="G2311" s="1" t="s">
        <v>359</v>
      </c>
      <c r="H2311" s="6" t="str">
        <f>IFERROR(__xludf.DUMMYFUNCTION("IF(REGEXMATCH(LOWER(G2311), ""^(\?)+\s*(missing)?\s*(\?)*$""), """", PROPER(SUBSTITUTE(SUBSTITUTE(G2311, ""?"", """"), ""*"", """")))"),"Set/5 Red Retrospot Lid Glass Bowls")</f>
        <v>Set/5 Red Retrospot Lid Glass Bowls</v>
      </c>
      <c r="I2311" s="3">
        <v>1.0</v>
      </c>
      <c r="J2311" s="7">
        <v>40598.75486111111</v>
      </c>
      <c r="K2311" s="8" t="str">
        <f t="shared" si="4"/>
        <v>2011-02</v>
      </c>
      <c r="L2311" s="5">
        <v>5.79</v>
      </c>
      <c r="M2311" s="10"/>
      <c r="N2311" s="1" t="str">
        <f t="shared" si="5"/>
        <v>Guest</v>
      </c>
      <c r="O2311" s="1" t="s">
        <v>19</v>
      </c>
      <c r="P2311" s="9" t="str">
        <f t="shared" si="6"/>
        <v>UK</v>
      </c>
      <c r="Q2311" s="8">
        <f t="shared" si="7"/>
        <v>5.79</v>
      </c>
    </row>
    <row r="2312">
      <c r="A2312" s="1">
        <v>544928.0</v>
      </c>
      <c r="B2312" s="1" t="str">
        <f t="shared" si="1"/>
        <v>544928</v>
      </c>
      <c r="C2312" s="1" t="str">
        <f t="shared" si="2"/>
        <v>Sale</v>
      </c>
      <c r="D2312" s="1">
        <v>20931.0</v>
      </c>
      <c r="E2312" s="1" t="str">
        <f>IFERROR(__xludf.DUMMYFUNCTION("IF(LEN(D2312)&gt;4, IFERROR(REGEXEXTRACT(TO_TEXT(D2312),""\d+""),""""),"""")"),"20931")</f>
        <v>20931</v>
      </c>
      <c r="F2312" s="6" t="str">
        <f t="shared" si="3"/>
        <v>Product</v>
      </c>
      <c r="G2312" s="1" t="s">
        <v>880</v>
      </c>
      <c r="H2312" s="6" t="str">
        <f>IFERROR(__xludf.DUMMYFUNCTION("IF(REGEXMATCH(LOWER(G2312), ""^(\?)+\s*(missing)?\s*(\?)*$""), """", PROPER(SUBSTITUTE(SUBSTITUTE(G2312, ""?"", """"), ""*"", """")))"),"Blue Pot Plant Candle")</f>
        <v>Blue Pot Plant Candle</v>
      </c>
      <c r="I2312" s="3">
        <v>2.0</v>
      </c>
      <c r="J2312" s="7">
        <v>40598.75486111111</v>
      </c>
      <c r="K2312" s="8" t="str">
        <f t="shared" si="4"/>
        <v>2011-02</v>
      </c>
      <c r="L2312" s="5">
        <v>7.46</v>
      </c>
      <c r="M2312" s="10"/>
      <c r="N2312" s="1" t="str">
        <f t="shared" si="5"/>
        <v>Guest</v>
      </c>
      <c r="O2312" s="1" t="s">
        <v>19</v>
      </c>
      <c r="P2312" s="9" t="str">
        <f t="shared" si="6"/>
        <v>UK</v>
      </c>
      <c r="Q2312" s="8">
        <f t="shared" si="7"/>
        <v>14.92</v>
      </c>
    </row>
    <row r="2313">
      <c r="A2313" s="1">
        <v>544928.0</v>
      </c>
      <c r="B2313" s="1" t="str">
        <f t="shared" si="1"/>
        <v>544928</v>
      </c>
      <c r="C2313" s="1" t="str">
        <f t="shared" si="2"/>
        <v>Sale</v>
      </c>
      <c r="D2313" s="1">
        <v>20978.0</v>
      </c>
      <c r="E2313" s="1" t="str">
        <f>IFERROR(__xludf.DUMMYFUNCTION("IF(LEN(D2313)&gt;4, IFERROR(REGEXEXTRACT(TO_TEXT(D2313),""\d+""),""""),"""")"),"20978")</f>
        <v>20978</v>
      </c>
      <c r="F2313" s="6" t="str">
        <f t="shared" si="3"/>
        <v>Product</v>
      </c>
      <c r="G2313" s="1" t="s">
        <v>1250</v>
      </c>
      <c r="H2313" s="6" t="str">
        <f>IFERROR(__xludf.DUMMYFUNCTION("IF(REGEXMATCH(LOWER(G2313), ""^(\?)+\s*(missing)?\s*(\?)*$""), """", PROPER(SUBSTITUTE(SUBSTITUTE(G2313, ""?"", """"), ""*"", """")))"),"36 Pencils Tube Skulls")</f>
        <v>36 Pencils Tube Skulls</v>
      </c>
      <c r="I2313" s="3">
        <v>1.0</v>
      </c>
      <c r="J2313" s="7">
        <v>40598.75486111111</v>
      </c>
      <c r="K2313" s="8" t="str">
        <f t="shared" si="4"/>
        <v>2011-02</v>
      </c>
      <c r="L2313" s="5">
        <v>2.46</v>
      </c>
      <c r="M2313" s="10"/>
      <c r="N2313" s="1" t="str">
        <f t="shared" si="5"/>
        <v>Guest</v>
      </c>
      <c r="O2313" s="1" t="s">
        <v>19</v>
      </c>
      <c r="P2313" s="9" t="str">
        <f t="shared" si="6"/>
        <v>UK</v>
      </c>
      <c r="Q2313" s="8">
        <f t="shared" si="7"/>
        <v>2.46</v>
      </c>
    </row>
    <row r="2314">
      <c r="A2314" s="1">
        <v>544928.0</v>
      </c>
      <c r="B2314" s="1" t="str">
        <f t="shared" si="1"/>
        <v>544928</v>
      </c>
      <c r="C2314" s="1" t="str">
        <f t="shared" si="2"/>
        <v>Sale</v>
      </c>
      <c r="D2314" s="1">
        <v>22173.0</v>
      </c>
      <c r="E2314" s="1" t="str">
        <f>IFERROR(__xludf.DUMMYFUNCTION("IF(LEN(D2314)&gt;4, IFERROR(REGEXEXTRACT(TO_TEXT(D2314),""\d+""),""""),"""")"),"22173")</f>
        <v>22173</v>
      </c>
      <c r="F2314" s="6" t="str">
        <f t="shared" si="3"/>
        <v>Product</v>
      </c>
      <c r="G2314" s="1" t="s">
        <v>717</v>
      </c>
      <c r="H2314" s="6" t="str">
        <f>IFERROR(__xludf.DUMMYFUNCTION("IF(REGEXMATCH(LOWER(G2314), ""^(\?)+\s*(missing)?\s*(\?)*$""), """", PROPER(SUBSTITUTE(SUBSTITUTE(G2314, ""?"", """"), ""*"", """")))"),"Metal 4 Hook Hanger French Chateau")</f>
        <v>Metal 4 Hook Hanger French Chateau</v>
      </c>
      <c r="I2314" s="3">
        <v>3.0</v>
      </c>
      <c r="J2314" s="7">
        <v>40598.75486111111</v>
      </c>
      <c r="K2314" s="8" t="str">
        <f t="shared" si="4"/>
        <v>2011-02</v>
      </c>
      <c r="L2314" s="5">
        <v>2.95</v>
      </c>
      <c r="M2314" s="10"/>
      <c r="N2314" s="1" t="str">
        <f t="shared" si="5"/>
        <v>Guest</v>
      </c>
      <c r="O2314" s="1" t="s">
        <v>19</v>
      </c>
      <c r="P2314" s="9" t="str">
        <f t="shared" si="6"/>
        <v>UK</v>
      </c>
      <c r="Q2314" s="8">
        <f t="shared" si="7"/>
        <v>8.85</v>
      </c>
    </row>
    <row r="2315">
      <c r="A2315" s="1">
        <v>544928.0</v>
      </c>
      <c r="B2315" s="1" t="str">
        <f t="shared" si="1"/>
        <v>544928</v>
      </c>
      <c r="C2315" s="1" t="str">
        <f t="shared" si="2"/>
        <v>Sale</v>
      </c>
      <c r="D2315" s="1" t="s">
        <v>17</v>
      </c>
      <c r="E2315" s="1" t="str">
        <f>IFERROR(__xludf.DUMMYFUNCTION("IF(LEN(D2315)&gt;4, IFERROR(REGEXEXTRACT(TO_TEXT(D2315),""\d+""),""""),"""")"),"85123")</f>
        <v>85123</v>
      </c>
      <c r="F2315" s="6" t="str">
        <f t="shared" si="3"/>
        <v>Product</v>
      </c>
      <c r="G2315" s="1" t="s">
        <v>18</v>
      </c>
      <c r="H2315" s="6" t="str">
        <f>IFERROR(__xludf.DUMMYFUNCTION("IF(REGEXMATCH(LOWER(G2315), ""^(\?)+\s*(missing)?\s*(\?)*$""), """", PROPER(SUBSTITUTE(SUBSTITUTE(G2315, ""?"", """"), ""*"", """")))"),"White Hanging Heart T-Light Holder")</f>
        <v>White Hanging Heart T-Light Holder</v>
      </c>
      <c r="I2315" s="3">
        <v>3.0</v>
      </c>
      <c r="J2315" s="7">
        <v>40598.75486111111</v>
      </c>
      <c r="K2315" s="8" t="str">
        <f t="shared" si="4"/>
        <v>2011-02</v>
      </c>
      <c r="L2315" s="5">
        <v>2.95</v>
      </c>
      <c r="M2315" s="10"/>
      <c r="N2315" s="1" t="str">
        <f t="shared" si="5"/>
        <v>Guest</v>
      </c>
      <c r="O2315" s="1" t="s">
        <v>19</v>
      </c>
      <c r="P2315" s="9" t="str">
        <f t="shared" si="6"/>
        <v>UK</v>
      </c>
      <c r="Q2315" s="8">
        <f t="shared" si="7"/>
        <v>8.85</v>
      </c>
    </row>
    <row r="2316">
      <c r="A2316" s="1">
        <v>544928.0</v>
      </c>
      <c r="B2316" s="1" t="str">
        <f t="shared" si="1"/>
        <v>544928</v>
      </c>
      <c r="C2316" s="1" t="str">
        <f t="shared" si="2"/>
        <v>Sale</v>
      </c>
      <c r="D2316" s="1" t="s">
        <v>79</v>
      </c>
      <c r="E2316" s="1" t="str">
        <f>IFERROR(__xludf.DUMMYFUNCTION("IF(LEN(D2316)&gt;4, IFERROR(REGEXEXTRACT(TO_TEXT(D2316),""\d+""),""""),"""")"),"82494")</f>
        <v>82494</v>
      </c>
      <c r="F2316" s="6" t="str">
        <f t="shared" si="3"/>
        <v>Product</v>
      </c>
      <c r="G2316" s="1" t="s">
        <v>80</v>
      </c>
      <c r="H2316" s="6" t="str">
        <f>IFERROR(__xludf.DUMMYFUNCTION("IF(REGEXMATCH(LOWER(G2316), ""^(\?)+\s*(missing)?\s*(\?)*$""), """", PROPER(SUBSTITUTE(SUBSTITUTE(G2316, ""?"", """"), ""*"", """")))"),"Wooden Frame Antique White")</f>
        <v>Wooden Frame Antique White</v>
      </c>
      <c r="I2316" s="3">
        <v>9.0</v>
      </c>
      <c r="J2316" s="7">
        <v>40598.75486111111</v>
      </c>
      <c r="K2316" s="8" t="str">
        <f t="shared" si="4"/>
        <v>2011-02</v>
      </c>
      <c r="L2316" s="5">
        <v>2.95</v>
      </c>
      <c r="M2316" s="10"/>
      <c r="N2316" s="1" t="str">
        <f t="shared" si="5"/>
        <v>Guest</v>
      </c>
      <c r="O2316" s="1" t="s">
        <v>19</v>
      </c>
      <c r="P2316" s="9" t="str">
        <f t="shared" si="6"/>
        <v>UK</v>
      </c>
      <c r="Q2316" s="8">
        <f t="shared" si="7"/>
        <v>26.55</v>
      </c>
    </row>
    <row r="2317">
      <c r="A2317" s="1">
        <v>544928.0</v>
      </c>
      <c r="B2317" s="1" t="str">
        <f t="shared" si="1"/>
        <v>544928</v>
      </c>
      <c r="C2317" s="1" t="str">
        <f t="shared" si="2"/>
        <v>Sale</v>
      </c>
      <c r="D2317" s="1">
        <v>21733.0</v>
      </c>
      <c r="E2317" s="1" t="str">
        <f>IFERROR(__xludf.DUMMYFUNCTION("IF(LEN(D2317)&gt;4, IFERROR(REGEXEXTRACT(TO_TEXT(D2317),""\d+""),""""),"""")"),"21733")</f>
        <v>21733</v>
      </c>
      <c r="F2317" s="6" t="str">
        <f t="shared" si="3"/>
        <v>Product</v>
      </c>
      <c r="G2317" s="1" t="s">
        <v>83</v>
      </c>
      <c r="H2317" s="6" t="str">
        <f>IFERROR(__xludf.DUMMYFUNCTION("IF(REGEXMATCH(LOWER(G2317), ""^(\?)+\s*(missing)?\s*(\?)*$""), """", PROPER(SUBSTITUTE(SUBSTITUTE(G2317, ""?"", """"), ""*"", """")))"),"Red Hanging Heart T-Light Holder")</f>
        <v>Red Hanging Heart T-Light Holder</v>
      </c>
      <c r="I2317" s="3">
        <v>5.0</v>
      </c>
      <c r="J2317" s="7">
        <v>40598.75486111111</v>
      </c>
      <c r="K2317" s="8" t="str">
        <f t="shared" si="4"/>
        <v>2011-02</v>
      </c>
      <c r="L2317" s="5">
        <v>2.95</v>
      </c>
      <c r="M2317" s="10"/>
      <c r="N2317" s="1" t="str">
        <f t="shared" si="5"/>
        <v>Guest</v>
      </c>
      <c r="O2317" s="1" t="s">
        <v>19</v>
      </c>
      <c r="P2317" s="9" t="str">
        <f t="shared" si="6"/>
        <v>UK</v>
      </c>
      <c r="Q2317" s="8">
        <f t="shared" si="7"/>
        <v>14.75</v>
      </c>
    </row>
    <row r="2318">
      <c r="A2318" s="1">
        <v>544929.0</v>
      </c>
      <c r="B2318" s="1" t="str">
        <f t="shared" si="1"/>
        <v>544929</v>
      </c>
      <c r="C2318" s="1" t="str">
        <f t="shared" si="2"/>
        <v>Sale</v>
      </c>
      <c r="D2318" s="1">
        <v>22423.0</v>
      </c>
      <c r="E2318" s="1" t="str">
        <f>IFERROR(__xludf.DUMMYFUNCTION("IF(LEN(D2318)&gt;4, IFERROR(REGEXEXTRACT(TO_TEXT(D2318),""\d+""),""""),"""")"),"22423")</f>
        <v>22423</v>
      </c>
      <c r="F2318" s="6" t="str">
        <f t="shared" si="3"/>
        <v>Product</v>
      </c>
      <c r="G2318" s="1" t="s">
        <v>619</v>
      </c>
      <c r="H2318" s="6" t="str">
        <f>IFERROR(__xludf.DUMMYFUNCTION("IF(REGEXMATCH(LOWER(G2318), ""^(\?)+\s*(missing)?\s*(\?)*$""), """", PROPER(SUBSTITUTE(SUBSTITUTE(G2318, ""?"", """"), ""*"", """")))"),"Regency Cakestand 3 Tier")</f>
        <v>Regency Cakestand 3 Tier</v>
      </c>
      <c r="I2318" s="3">
        <v>16.0</v>
      </c>
      <c r="J2318" s="7">
        <v>40598.759722222225</v>
      </c>
      <c r="K2318" s="8" t="str">
        <f t="shared" si="4"/>
        <v>2011-02</v>
      </c>
      <c r="L2318" s="5">
        <v>10.95</v>
      </c>
      <c r="M2318" s="3">
        <v>15189.0</v>
      </c>
      <c r="N2318" s="1" t="str">
        <f t="shared" si="5"/>
        <v>Registered</v>
      </c>
      <c r="O2318" s="1" t="s">
        <v>19</v>
      </c>
      <c r="P2318" s="9" t="str">
        <f t="shared" si="6"/>
        <v>UK</v>
      </c>
      <c r="Q2318" s="8">
        <f t="shared" si="7"/>
        <v>175.2</v>
      </c>
    </row>
    <row r="2319">
      <c r="A2319" s="1">
        <v>544929.0</v>
      </c>
      <c r="B2319" s="1" t="str">
        <f t="shared" si="1"/>
        <v>544929</v>
      </c>
      <c r="C2319" s="1" t="str">
        <f t="shared" si="2"/>
        <v>Sale</v>
      </c>
      <c r="D2319" s="1">
        <v>47566.0</v>
      </c>
      <c r="E2319" s="1" t="str">
        <f>IFERROR(__xludf.DUMMYFUNCTION("IF(LEN(D2319)&gt;4, IFERROR(REGEXEXTRACT(TO_TEXT(D2319),""\d+""),""""),"""")"),"47566")</f>
        <v>47566</v>
      </c>
      <c r="F2319" s="6" t="str">
        <f t="shared" si="3"/>
        <v>Product</v>
      </c>
      <c r="G2319" s="1" t="s">
        <v>1002</v>
      </c>
      <c r="H2319" s="6" t="str">
        <f>IFERROR(__xludf.DUMMYFUNCTION("IF(REGEXMATCH(LOWER(G2319), ""^(\?)+\s*(missing)?\s*(\?)*$""), """", PROPER(SUBSTITUTE(SUBSTITUTE(G2319, ""?"", """"), ""*"", """")))"),"Party Bunting")</f>
        <v>Party Bunting</v>
      </c>
      <c r="I2319" s="3">
        <v>12.0</v>
      </c>
      <c r="J2319" s="7">
        <v>40598.759722222225</v>
      </c>
      <c r="K2319" s="8" t="str">
        <f t="shared" si="4"/>
        <v>2011-02</v>
      </c>
      <c r="L2319" s="5">
        <v>4.95</v>
      </c>
      <c r="M2319" s="3">
        <v>15189.0</v>
      </c>
      <c r="N2319" s="1" t="str">
        <f t="shared" si="5"/>
        <v>Registered</v>
      </c>
      <c r="O2319" s="1" t="s">
        <v>19</v>
      </c>
      <c r="P2319" s="9" t="str">
        <f t="shared" si="6"/>
        <v>UK</v>
      </c>
      <c r="Q2319" s="8">
        <f t="shared" si="7"/>
        <v>59.4</v>
      </c>
    </row>
    <row r="2320">
      <c r="A2320" s="1">
        <v>544929.0</v>
      </c>
      <c r="B2320" s="1" t="str">
        <f t="shared" si="1"/>
        <v>544929</v>
      </c>
      <c r="C2320" s="1" t="str">
        <f t="shared" si="2"/>
        <v>Sale</v>
      </c>
      <c r="D2320" s="1">
        <v>84946.0</v>
      </c>
      <c r="E2320" s="1" t="str">
        <f>IFERROR(__xludf.DUMMYFUNCTION("IF(LEN(D2320)&gt;4, IFERROR(REGEXEXTRACT(TO_TEXT(D2320),""\d+""),""""),"""")"),"84946")</f>
        <v>84946</v>
      </c>
      <c r="F2320" s="6" t="str">
        <f t="shared" si="3"/>
        <v>Product</v>
      </c>
      <c r="G2320" s="1" t="s">
        <v>1251</v>
      </c>
      <c r="H2320" s="6" t="str">
        <f>IFERROR(__xludf.DUMMYFUNCTION("IF(REGEXMATCH(LOWER(G2320), ""^(\?)+\s*(missing)?\s*(\?)*$""), """", PROPER(SUBSTITUTE(SUBSTITUTE(G2320, ""?"", """"), ""*"", """")))"),"Antique Silver Tea Glass Etched")</f>
        <v>Antique Silver Tea Glass Etched</v>
      </c>
      <c r="I2320" s="3">
        <v>72.0</v>
      </c>
      <c r="J2320" s="7">
        <v>40598.759722222225</v>
      </c>
      <c r="K2320" s="8" t="str">
        <f t="shared" si="4"/>
        <v>2011-02</v>
      </c>
      <c r="L2320" s="5">
        <v>1.06</v>
      </c>
      <c r="M2320" s="3">
        <v>15189.0</v>
      </c>
      <c r="N2320" s="1" t="str">
        <f t="shared" si="5"/>
        <v>Registered</v>
      </c>
      <c r="O2320" s="1" t="s">
        <v>19</v>
      </c>
      <c r="P2320" s="9" t="str">
        <f t="shared" si="6"/>
        <v>UK</v>
      </c>
      <c r="Q2320" s="8">
        <f t="shared" si="7"/>
        <v>76.32</v>
      </c>
    </row>
    <row r="2321">
      <c r="A2321" s="1">
        <v>544930.0</v>
      </c>
      <c r="B2321" s="1" t="str">
        <f t="shared" si="1"/>
        <v>544930</v>
      </c>
      <c r="C2321" s="1" t="str">
        <f t="shared" si="2"/>
        <v>Sale</v>
      </c>
      <c r="D2321" s="1">
        <v>22440.0</v>
      </c>
      <c r="E2321" s="1" t="str">
        <f>IFERROR(__xludf.DUMMYFUNCTION("IF(LEN(D2321)&gt;4, IFERROR(REGEXEXTRACT(TO_TEXT(D2321),""\d+""),""""),"""")"),"22440")</f>
        <v>22440</v>
      </c>
      <c r="F2321" s="6" t="str">
        <f t="shared" si="3"/>
        <v>Product</v>
      </c>
      <c r="G2321" s="1" t="s">
        <v>1166</v>
      </c>
      <c r="H2321" s="6" t="str">
        <f>IFERROR(__xludf.DUMMYFUNCTION("IF(REGEXMATCH(LOWER(G2321), ""^(\?)+\s*(missing)?\s*(\?)*$""), """", PROPER(SUBSTITUTE(SUBSTITUTE(G2321, ""?"", """"), ""*"", """")))"),"Balloon Water Bomb Pack Of 35")</f>
        <v>Balloon Water Bomb Pack Of 35</v>
      </c>
      <c r="I2321" s="3">
        <v>1.0</v>
      </c>
      <c r="J2321" s="7">
        <v>40598.768055555556</v>
      </c>
      <c r="K2321" s="8" t="str">
        <f t="shared" si="4"/>
        <v>2011-02</v>
      </c>
      <c r="L2321" s="5">
        <v>0.42</v>
      </c>
      <c r="M2321" s="3">
        <v>17472.0</v>
      </c>
      <c r="N2321" s="1" t="str">
        <f t="shared" si="5"/>
        <v>Registered</v>
      </c>
      <c r="O2321" s="1" t="s">
        <v>19</v>
      </c>
      <c r="P2321" s="9" t="str">
        <f t="shared" si="6"/>
        <v>UK</v>
      </c>
      <c r="Q2321" s="8">
        <f t="shared" si="7"/>
        <v>0.42</v>
      </c>
    </row>
    <row r="2322">
      <c r="A2322" s="1">
        <v>544930.0</v>
      </c>
      <c r="B2322" s="1" t="str">
        <f t="shared" si="1"/>
        <v>544930</v>
      </c>
      <c r="C2322" s="1" t="str">
        <f t="shared" si="2"/>
        <v>Sale</v>
      </c>
      <c r="D2322" s="1">
        <v>22241.0</v>
      </c>
      <c r="E2322" s="1" t="str">
        <f>IFERROR(__xludf.DUMMYFUNCTION("IF(LEN(D2322)&gt;4, IFERROR(REGEXEXTRACT(TO_TEXT(D2322),""\d+""),""""),"""")"),"22241")</f>
        <v>22241</v>
      </c>
      <c r="F2322" s="6" t="str">
        <f t="shared" si="3"/>
        <v>Product</v>
      </c>
      <c r="G2322" s="1" t="s">
        <v>675</v>
      </c>
      <c r="H2322" s="6" t="str">
        <f>IFERROR(__xludf.DUMMYFUNCTION("IF(REGEXMATCH(LOWER(G2322), ""^(\?)+\s*(missing)?\s*(\?)*$""), """", PROPER(SUBSTITUTE(SUBSTITUTE(G2322, ""?"", """"), ""*"", """")))"),"Garland Wooden Happy Easter")</f>
        <v>Garland Wooden Happy Easter</v>
      </c>
      <c r="I2322" s="3">
        <v>2.0</v>
      </c>
      <c r="J2322" s="7">
        <v>40598.768055555556</v>
      </c>
      <c r="K2322" s="8" t="str">
        <f t="shared" si="4"/>
        <v>2011-02</v>
      </c>
      <c r="L2322" s="5">
        <v>1.25</v>
      </c>
      <c r="M2322" s="3">
        <v>17472.0</v>
      </c>
      <c r="N2322" s="1" t="str">
        <f t="shared" si="5"/>
        <v>Registered</v>
      </c>
      <c r="O2322" s="1" t="s">
        <v>19</v>
      </c>
      <c r="P2322" s="9" t="str">
        <f t="shared" si="6"/>
        <v>UK</v>
      </c>
      <c r="Q2322" s="8">
        <f t="shared" si="7"/>
        <v>2.5</v>
      </c>
    </row>
    <row r="2323">
      <c r="A2323" s="1">
        <v>544930.0</v>
      </c>
      <c r="B2323" s="1" t="str">
        <f t="shared" si="1"/>
        <v>544930</v>
      </c>
      <c r="C2323" s="1" t="str">
        <f t="shared" si="2"/>
        <v>Sale</v>
      </c>
      <c r="D2323" s="1">
        <v>22621.0</v>
      </c>
      <c r="E2323" s="1" t="str">
        <f>IFERROR(__xludf.DUMMYFUNCTION("IF(LEN(D2323)&gt;4, IFERROR(REGEXEXTRACT(TO_TEXT(D2323),""\d+""),""""),"""")"),"22621")</f>
        <v>22621</v>
      </c>
      <c r="F2323" s="6" t="str">
        <f t="shared" si="3"/>
        <v>Product</v>
      </c>
      <c r="G2323" s="1" t="s">
        <v>1032</v>
      </c>
      <c r="H2323" s="6" t="str">
        <f>IFERROR(__xludf.DUMMYFUNCTION("IF(REGEXMATCH(LOWER(G2323), ""^(\?)+\s*(missing)?\s*(\?)*$""), """", PROPER(SUBSTITUTE(SUBSTITUTE(G2323, ""?"", """"), ""*"", """")))"),"Traditional Knitting Nancy")</f>
        <v>Traditional Knitting Nancy</v>
      </c>
      <c r="I2323" s="3">
        <v>2.0</v>
      </c>
      <c r="J2323" s="7">
        <v>40598.768055555556</v>
      </c>
      <c r="K2323" s="8" t="str">
        <f t="shared" si="4"/>
        <v>2011-02</v>
      </c>
      <c r="L2323" s="5">
        <v>1.45</v>
      </c>
      <c r="M2323" s="3">
        <v>17472.0</v>
      </c>
      <c r="N2323" s="1" t="str">
        <f t="shared" si="5"/>
        <v>Registered</v>
      </c>
      <c r="O2323" s="1" t="s">
        <v>19</v>
      </c>
      <c r="P2323" s="9" t="str">
        <f t="shared" si="6"/>
        <v>UK</v>
      </c>
      <c r="Q2323" s="8">
        <f t="shared" si="7"/>
        <v>2.9</v>
      </c>
    </row>
    <row r="2324">
      <c r="A2324" s="1">
        <v>544930.0</v>
      </c>
      <c r="B2324" s="1" t="str">
        <f t="shared" si="1"/>
        <v>544930</v>
      </c>
      <c r="C2324" s="1" t="str">
        <f t="shared" si="2"/>
        <v>Sale</v>
      </c>
      <c r="D2324" s="1">
        <v>22470.0</v>
      </c>
      <c r="E2324" s="1" t="str">
        <f>IFERROR(__xludf.DUMMYFUNCTION("IF(LEN(D2324)&gt;4, IFERROR(REGEXEXTRACT(TO_TEXT(D2324),""\d+""),""""),"""")"),"22470")</f>
        <v>22470</v>
      </c>
      <c r="F2324" s="6" t="str">
        <f t="shared" si="3"/>
        <v>Product</v>
      </c>
      <c r="G2324" s="1" t="s">
        <v>168</v>
      </c>
      <c r="H2324" s="6" t="str">
        <f>IFERROR(__xludf.DUMMYFUNCTION("IF(REGEXMATCH(LOWER(G2324), ""^(\?)+\s*(missing)?\s*(\?)*$""), """", PROPER(SUBSTITUTE(SUBSTITUTE(G2324, ""?"", """"), ""*"", """")))"),"Heart Of Wicker Large")</f>
        <v>Heart Of Wicker Large</v>
      </c>
      <c r="I2324" s="3">
        <v>1.0</v>
      </c>
      <c r="J2324" s="7">
        <v>40598.768055555556</v>
      </c>
      <c r="K2324" s="8" t="str">
        <f t="shared" si="4"/>
        <v>2011-02</v>
      </c>
      <c r="L2324" s="5">
        <v>2.95</v>
      </c>
      <c r="M2324" s="3">
        <v>17472.0</v>
      </c>
      <c r="N2324" s="1" t="str">
        <f t="shared" si="5"/>
        <v>Registered</v>
      </c>
      <c r="O2324" s="1" t="s">
        <v>19</v>
      </c>
      <c r="P2324" s="9" t="str">
        <f t="shared" si="6"/>
        <v>UK</v>
      </c>
      <c r="Q2324" s="8">
        <f t="shared" si="7"/>
        <v>2.95</v>
      </c>
    </row>
    <row r="2325">
      <c r="A2325" s="1">
        <v>544930.0</v>
      </c>
      <c r="B2325" s="1" t="str">
        <f t="shared" si="1"/>
        <v>544930</v>
      </c>
      <c r="C2325" s="1" t="str">
        <f t="shared" si="2"/>
        <v>Sale</v>
      </c>
      <c r="D2325" s="1">
        <v>21730.0</v>
      </c>
      <c r="E2325" s="1" t="str">
        <f>IFERROR(__xludf.DUMMYFUNCTION("IF(LEN(D2325)&gt;4, IFERROR(REGEXEXTRACT(TO_TEXT(D2325),""\d+""),""""),"""")"),"21730")</f>
        <v>21730</v>
      </c>
      <c r="F2325" s="6" t="str">
        <f t="shared" si="3"/>
        <v>Product</v>
      </c>
      <c r="G2325" s="1" t="s">
        <v>28</v>
      </c>
      <c r="H2325" s="6" t="str">
        <f>IFERROR(__xludf.DUMMYFUNCTION("IF(REGEXMATCH(LOWER(G2325), ""^(\?)+\s*(missing)?\s*(\?)*$""), """", PROPER(SUBSTITUTE(SUBSTITUTE(G2325, ""?"", """"), ""*"", """")))"),"Glass Star Frosted T-Light Holder")</f>
        <v>Glass Star Frosted T-Light Holder</v>
      </c>
      <c r="I2325" s="3">
        <v>1.0</v>
      </c>
      <c r="J2325" s="7">
        <v>40598.768055555556</v>
      </c>
      <c r="K2325" s="8" t="str">
        <f t="shared" si="4"/>
        <v>2011-02</v>
      </c>
      <c r="L2325" s="5">
        <v>4.95</v>
      </c>
      <c r="M2325" s="3">
        <v>17472.0</v>
      </c>
      <c r="N2325" s="1" t="str">
        <f t="shared" si="5"/>
        <v>Registered</v>
      </c>
      <c r="O2325" s="1" t="s">
        <v>19</v>
      </c>
      <c r="P2325" s="9" t="str">
        <f t="shared" si="6"/>
        <v>UK</v>
      </c>
      <c r="Q2325" s="8">
        <f t="shared" si="7"/>
        <v>4.95</v>
      </c>
    </row>
    <row r="2326">
      <c r="A2326" s="1">
        <v>544930.0</v>
      </c>
      <c r="B2326" s="1" t="str">
        <f t="shared" si="1"/>
        <v>544930</v>
      </c>
      <c r="C2326" s="1" t="str">
        <f t="shared" si="2"/>
        <v>Sale</v>
      </c>
      <c r="D2326" s="1" t="s">
        <v>1252</v>
      </c>
      <c r="E2326" s="1" t="str">
        <f>IFERROR(__xludf.DUMMYFUNCTION("IF(LEN(D2326)&gt;4, IFERROR(REGEXEXTRACT(TO_TEXT(D2326),""\d+""),""""),"""")"),"47599")</f>
        <v>47599</v>
      </c>
      <c r="F2326" s="6" t="str">
        <f t="shared" si="3"/>
        <v>Product</v>
      </c>
      <c r="G2326" s="1" t="s">
        <v>1253</v>
      </c>
      <c r="H2326" s="6" t="str">
        <f>IFERROR(__xludf.DUMMYFUNCTION("IF(REGEXMATCH(LOWER(G2326), ""^(\?)+\s*(missing)?\s*(\?)*$""), """", PROPER(SUBSTITUTE(SUBSTITUTE(G2326, ""?"", """"), ""*"", """")))"),"Pink Party Bags")</f>
        <v>Pink Party Bags</v>
      </c>
      <c r="I2326" s="3">
        <v>1.0</v>
      </c>
      <c r="J2326" s="7">
        <v>40598.768055555556</v>
      </c>
      <c r="K2326" s="8" t="str">
        <f t="shared" si="4"/>
        <v>2011-02</v>
      </c>
      <c r="L2326" s="5">
        <v>2.1</v>
      </c>
      <c r="M2326" s="3">
        <v>17472.0</v>
      </c>
      <c r="N2326" s="1" t="str">
        <f t="shared" si="5"/>
        <v>Registered</v>
      </c>
      <c r="O2326" s="1" t="s">
        <v>19</v>
      </c>
      <c r="P2326" s="9" t="str">
        <f t="shared" si="6"/>
        <v>UK</v>
      </c>
      <c r="Q2326" s="8">
        <f t="shared" si="7"/>
        <v>2.1</v>
      </c>
    </row>
    <row r="2327">
      <c r="A2327" s="1">
        <v>544930.0</v>
      </c>
      <c r="B2327" s="1" t="str">
        <f t="shared" si="1"/>
        <v>544930</v>
      </c>
      <c r="C2327" s="1" t="str">
        <f t="shared" si="2"/>
        <v>Sale</v>
      </c>
      <c r="D2327" s="1" t="s">
        <v>1254</v>
      </c>
      <c r="E2327" s="1" t="str">
        <f>IFERROR(__xludf.DUMMYFUNCTION("IF(LEN(D2327)&gt;4, IFERROR(REGEXEXTRACT(TO_TEXT(D2327),""\d+""),""""),"""")"),"47599")</f>
        <v>47599</v>
      </c>
      <c r="F2327" s="6" t="str">
        <f t="shared" si="3"/>
        <v>Product</v>
      </c>
      <c r="G2327" s="1" t="s">
        <v>1255</v>
      </c>
      <c r="H2327" s="6" t="str">
        <f>IFERROR(__xludf.DUMMYFUNCTION("IF(REGEXMATCH(LOWER(G2327), ""^(\?)+\s*(missing)?\s*(\?)*$""), """", PROPER(SUBSTITUTE(SUBSTITUTE(G2327, ""?"", """"), ""*"", """")))"),"Blue Party Bags")</f>
        <v>Blue Party Bags</v>
      </c>
      <c r="I2327" s="3">
        <v>1.0</v>
      </c>
      <c r="J2327" s="7">
        <v>40598.768055555556</v>
      </c>
      <c r="K2327" s="8" t="str">
        <f t="shared" si="4"/>
        <v>2011-02</v>
      </c>
      <c r="L2327" s="5">
        <v>2.1</v>
      </c>
      <c r="M2327" s="3">
        <v>17472.0</v>
      </c>
      <c r="N2327" s="1" t="str">
        <f t="shared" si="5"/>
        <v>Registered</v>
      </c>
      <c r="O2327" s="1" t="s">
        <v>19</v>
      </c>
      <c r="P2327" s="9" t="str">
        <f t="shared" si="6"/>
        <v>UK</v>
      </c>
      <c r="Q2327" s="8">
        <f t="shared" si="7"/>
        <v>2.1</v>
      </c>
    </row>
    <row r="2328">
      <c r="A2328" s="1">
        <v>544930.0</v>
      </c>
      <c r="B2328" s="1" t="str">
        <f t="shared" si="1"/>
        <v>544930</v>
      </c>
      <c r="C2328" s="1" t="str">
        <f t="shared" si="2"/>
        <v>Sale</v>
      </c>
      <c r="D2328" s="1">
        <v>22348.0</v>
      </c>
      <c r="E2328" s="1" t="str">
        <f>IFERROR(__xludf.DUMMYFUNCTION("IF(LEN(D2328)&gt;4, IFERROR(REGEXEXTRACT(TO_TEXT(D2328),""\d+""),""""),"""")"),"22348")</f>
        <v>22348</v>
      </c>
      <c r="F2328" s="6" t="str">
        <f t="shared" si="3"/>
        <v>Product</v>
      </c>
      <c r="G2328" s="1" t="s">
        <v>1256</v>
      </c>
      <c r="H2328" s="6" t="str">
        <f>IFERROR(__xludf.DUMMYFUNCTION("IF(REGEXMATCH(LOWER(G2328), ""^(\?)+\s*(missing)?\s*(\?)*$""), """", PROPER(SUBSTITUTE(SUBSTITUTE(G2328, ""?"", """"), ""*"", """")))"),"Tea Bag Plate Red Retrospot")</f>
        <v>Tea Bag Plate Red Retrospot</v>
      </c>
      <c r="I2328" s="3">
        <v>2.0</v>
      </c>
      <c r="J2328" s="7">
        <v>40598.768055555556</v>
      </c>
      <c r="K2328" s="8" t="str">
        <f t="shared" si="4"/>
        <v>2011-02</v>
      </c>
      <c r="L2328" s="5">
        <v>0.85</v>
      </c>
      <c r="M2328" s="3">
        <v>17472.0</v>
      </c>
      <c r="N2328" s="1" t="str">
        <f t="shared" si="5"/>
        <v>Registered</v>
      </c>
      <c r="O2328" s="1" t="s">
        <v>19</v>
      </c>
      <c r="P2328" s="9" t="str">
        <f t="shared" si="6"/>
        <v>UK</v>
      </c>
      <c r="Q2328" s="8">
        <f t="shared" si="7"/>
        <v>1.7</v>
      </c>
    </row>
    <row r="2329">
      <c r="A2329" s="1">
        <v>544930.0</v>
      </c>
      <c r="B2329" s="1" t="str">
        <f t="shared" si="1"/>
        <v>544930</v>
      </c>
      <c r="C2329" s="1" t="str">
        <f t="shared" si="2"/>
        <v>Sale</v>
      </c>
      <c r="D2329" s="1">
        <v>22294.0</v>
      </c>
      <c r="E2329" s="1" t="str">
        <f>IFERROR(__xludf.DUMMYFUNCTION("IF(LEN(D2329)&gt;4, IFERROR(REGEXEXTRACT(TO_TEXT(D2329),""\d+""),""""),"""")"),"22294")</f>
        <v>22294</v>
      </c>
      <c r="F2329" s="6" t="str">
        <f t="shared" si="3"/>
        <v>Product</v>
      </c>
      <c r="G2329" s="1" t="s">
        <v>535</v>
      </c>
      <c r="H2329" s="6" t="str">
        <f>IFERROR(__xludf.DUMMYFUNCTION("IF(REGEXMATCH(LOWER(G2329), ""^(\?)+\s*(missing)?\s*(\?)*$""), """", PROPER(SUBSTITUTE(SUBSTITUTE(G2329, ""?"", """"), ""*"", """")))"),"Heart Filigree Dove Small")</f>
        <v>Heart Filigree Dove Small</v>
      </c>
      <c r="I2329" s="3">
        <v>2.0</v>
      </c>
      <c r="J2329" s="7">
        <v>40598.768055555556</v>
      </c>
      <c r="K2329" s="8" t="str">
        <f t="shared" si="4"/>
        <v>2011-02</v>
      </c>
      <c r="L2329" s="5">
        <v>1.25</v>
      </c>
      <c r="M2329" s="3">
        <v>17472.0</v>
      </c>
      <c r="N2329" s="1" t="str">
        <f t="shared" si="5"/>
        <v>Registered</v>
      </c>
      <c r="O2329" s="1" t="s">
        <v>19</v>
      </c>
      <c r="P2329" s="9" t="str">
        <f t="shared" si="6"/>
        <v>UK</v>
      </c>
      <c r="Q2329" s="8">
        <f t="shared" si="7"/>
        <v>2.5</v>
      </c>
    </row>
    <row r="2330">
      <c r="A2330" s="1">
        <v>544930.0</v>
      </c>
      <c r="B2330" s="1" t="str">
        <f t="shared" si="1"/>
        <v>544930</v>
      </c>
      <c r="C2330" s="1" t="str">
        <f t="shared" si="2"/>
        <v>Sale</v>
      </c>
      <c r="D2330" s="1">
        <v>22993.0</v>
      </c>
      <c r="E2330" s="1" t="str">
        <f>IFERROR(__xludf.DUMMYFUNCTION("IF(LEN(D2330)&gt;4, IFERROR(REGEXEXTRACT(TO_TEXT(D2330),""\d+""),""""),"""")"),"22993")</f>
        <v>22993</v>
      </c>
      <c r="F2330" s="6" t="str">
        <f t="shared" si="3"/>
        <v>Product</v>
      </c>
      <c r="G2330" s="1" t="s">
        <v>709</v>
      </c>
      <c r="H2330" s="6" t="str">
        <f>IFERROR(__xludf.DUMMYFUNCTION("IF(REGEXMATCH(LOWER(G2330), ""^(\?)+\s*(missing)?\s*(\?)*$""), """", PROPER(SUBSTITUTE(SUBSTITUTE(G2330, ""?"", """"), ""*"", """")))"),"Set Of 4 Pantry Jelly Moulds")</f>
        <v>Set Of 4 Pantry Jelly Moulds</v>
      </c>
      <c r="I2330" s="3">
        <v>1.0</v>
      </c>
      <c r="J2330" s="7">
        <v>40598.768055555556</v>
      </c>
      <c r="K2330" s="8" t="str">
        <f t="shared" si="4"/>
        <v>2011-02</v>
      </c>
      <c r="L2330" s="5">
        <v>1.25</v>
      </c>
      <c r="M2330" s="3">
        <v>17472.0</v>
      </c>
      <c r="N2330" s="1" t="str">
        <f t="shared" si="5"/>
        <v>Registered</v>
      </c>
      <c r="O2330" s="1" t="s">
        <v>19</v>
      </c>
      <c r="P2330" s="9" t="str">
        <f t="shared" si="6"/>
        <v>UK</v>
      </c>
      <c r="Q2330" s="8">
        <f t="shared" si="7"/>
        <v>1.25</v>
      </c>
    </row>
    <row r="2331">
      <c r="A2331" s="1">
        <v>544930.0</v>
      </c>
      <c r="B2331" s="1" t="str">
        <f t="shared" si="1"/>
        <v>544930</v>
      </c>
      <c r="C2331" s="1" t="str">
        <f t="shared" si="2"/>
        <v>Sale</v>
      </c>
      <c r="D2331" s="1">
        <v>22297.0</v>
      </c>
      <c r="E2331" s="1" t="str">
        <f>IFERROR(__xludf.DUMMYFUNCTION("IF(LEN(D2331)&gt;4, IFERROR(REGEXEXTRACT(TO_TEXT(D2331),""\d+""),""""),"""")"),"22297")</f>
        <v>22297</v>
      </c>
      <c r="F2331" s="6" t="str">
        <f t="shared" si="3"/>
        <v>Product</v>
      </c>
      <c r="G2331" s="1" t="s">
        <v>334</v>
      </c>
      <c r="H2331" s="6" t="str">
        <f>IFERROR(__xludf.DUMMYFUNCTION("IF(REGEXMATCH(LOWER(G2331), ""^(\?)+\s*(missing)?\s*(\?)*$""), """", PROPER(SUBSTITUTE(SUBSTITUTE(G2331, ""?"", """"), ""*"", """")))"),"Heart Ivory Trellis Small")</f>
        <v>Heart Ivory Trellis Small</v>
      </c>
      <c r="I2331" s="3">
        <v>1.0</v>
      </c>
      <c r="J2331" s="7">
        <v>40598.768055555556</v>
      </c>
      <c r="K2331" s="8" t="str">
        <f t="shared" si="4"/>
        <v>2011-02</v>
      </c>
      <c r="L2331" s="5">
        <v>1.25</v>
      </c>
      <c r="M2331" s="3">
        <v>17472.0</v>
      </c>
      <c r="N2331" s="1" t="str">
        <f t="shared" si="5"/>
        <v>Registered</v>
      </c>
      <c r="O2331" s="1" t="s">
        <v>19</v>
      </c>
      <c r="P2331" s="9" t="str">
        <f t="shared" si="6"/>
        <v>UK</v>
      </c>
      <c r="Q2331" s="8">
        <f t="shared" si="7"/>
        <v>1.25</v>
      </c>
    </row>
    <row r="2332">
      <c r="A2332" s="1">
        <v>544930.0</v>
      </c>
      <c r="B2332" s="1" t="str">
        <f t="shared" si="1"/>
        <v>544930</v>
      </c>
      <c r="C2332" s="1" t="str">
        <f t="shared" si="2"/>
        <v>Sale</v>
      </c>
      <c r="D2332" s="1">
        <v>21389.0</v>
      </c>
      <c r="E2332" s="1" t="str">
        <f>IFERROR(__xludf.DUMMYFUNCTION("IF(LEN(D2332)&gt;4, IFERROR(REGEXEXTRACT(TO_TEXT(D2332),""\d+""),""""),"""")"),"21389")</f>
        <v>21389</v>
      </c>
      <c r="F2332" s="6" t="str">
        <f t="shared" si="3"/>
        <v>Product</v>
      </c>
      <c r="G2332" s="1" t="s">
        <v>1257</v>
      </c>
      <c r="H2332" s="6" t="str">
        <f>IFERROR(__xludf.DUMMYFUNCTION("IF(REGEXMATCH(LOWER(G2332), ""^(\?)+\s*(missing)?\s*(\?)*$""), """", PROPER(SUBSTITUTE(SUBSTITUTE(G2332, ""?"", """"), ""*"", """")))"),"Ivory Hanging Decoration Bird")</f>
        <v>Ivory Hanging Decoration Bird</v>
      </c>
      <c r="I2332" s="3">
        <v>2.0</v>
      </c>
      <c r="J2332" s="7">
        <v>40598.768055555556</v>
      </c>
      <c r="K2332" s="8" t="str">
        <f t="shared" si="4"/>
        <v>2011-02</v>
      </c>
      <c r="L2332" s="5">
        <v>0.85</v>
      </c>
      <c r="M2332" s="3">
        <v>17472.0</v>
      </c>
      <c r="N2332" s="1" t="str">
        <f t="shared" si="5"/>
        <v>Registered</v>
      </c>
      <c r="O2332" s="1" t="s">
        <v>19</v>
      </c>
      <c r="P2332" s="9" t="str">
        <f t="shared" si="6"/>
        <v>UK</v>
      </c>
      <c r="Q2332" s="8">
        <f t="shared" si="7"/>
        <v>1.7</v>
      </c>
    </row>
    <row r="2333">
      <c r="A2333" s="1">
        <v>544930.0</v>
      </c>
      <c r="B2333" s="1" t="str">
        <f t="shared" si="1"/>
        <v>544930</v>
      </c>
      <c r="C2333" s="1" t="str">
        <f t="shared" si="2"/>
        <v>Sale</v>
      </c>
      <c r="D2333" s="1">
        <v>21385.0</v>
      </c>
      <c r="E2333" s="1" t="str">
        <f>IFERROR(__xludf.DUMMYFUNCTION("IF(LEN(D2333)&gt;4, IFERROR(REGEXEXTRACT(TO_TEXT(D2333),""\d+""),""""),"""")"),"21385")</f>
        <v>21385</v>
      </c>
      <c r="F2333" s="6" t="str">
        <f t="shared" si="3"/>
        <v>Product</v>
      </c>
      <c r="G2333" s="1" t="s">
        <v>1258</v>
      </c>
      <c r="H2333" s="6" t="str">
        <f>IFERROR(__xludf.DUMMYFUNCTION("IF(REGEXMATCH(LOWER(G2333), ""^(\?)+\s*(missing)?\s*(\?)*$""), """", PROPER(SUBSTITUTE(SUBSTITUTE(G2333, ""?"", """"), ""*"", """")))"),"Ivory Hanging Decoration Heart")</f>
        <v>Ivory Hanging Decoration Heart</v>
      </c>
      <c r="I2333" s="3">
        <v>2.0</v>
      </c>
      <c r="J2333" s="7">
        <v>40598.768055555556</v>
      </c>
      <c r="K2333" s="8" t="str">
        <f t="shared" si="4"/>
        <v>2011-02</v>
      </c>
      <c r="L2333" s="5">
        <v>0.85</v>
      </c>
      <c r="M2333" s="3">
        <v>17472.0</v>
      </c>
      <c r="N2333" s="1" t="str">
        <f t="shared" si="5"/>
        <v>Registered</v>
      </c>
      <c r="O2333" s="1" t="s">
        <v>19</v>
      </c>
      <c r="P2333" s="9" t="str">
        <f t="shared" si="6"/>
        <v>UK</v>
      </c>
      <c r="Q2333" s="8">
        <f t="shared" si="7"/>
        <v>1.7</v>
      </c>
    </row>
    <row r="2334">
      <c r="A2334" s="1">
        <v>544930.0</v>
      </c>
      <c r="B2334" s="1" t="str">
        <f t="shared" si="1"/>
        <v>544930</v>
      </c>
      <c r="C2334" s="1" t="str">
        <f t="shared" si="2"/>
        <v>Sale</v>
      </c>
      <c r="D2334" s="1">
        <v>22295.0</v>
      </c>
      <c r="E2334" s="1" t="str">
        <f>IFERROR(__xludf.DUMMYFUNCTION("IF(LEN(D2334)&gt;4, IFERROR(REGEXEXTRACT(TO_TEXT(D2334),""\d+""),""""),"""")"),"22295")</f>
        <v>22295</v>
      </c>
      <c r="F2334" s="6" t="str">
        <f t="shared" si="3"/>
        <v>Product</v>
      </c>
      <c r="G2334" s="1" t="s">
        <v>580</v>
      </c>
      <c r="H2334" s="6" t="str">
        <f>IFERROR(__xludf.DUMMYFUNCTION("IF(REGEXMATCH(LOWER(G2334), ""^(\?)+\s*(missing)?\s*(\?)*$""), """", PROPER(SUBSTITUTE(SUBSTITUTE(G2334, ""?"", """"), ""*"", """")))"),"Heart Filigree Dove Large")</f>
        <v>Heart Filigree Dove Large</v>
      </c>
      <c r="I2334" s="3">
        <v>1.0</v>
      </c>
      <c r="J2334" s="7">
        <v>40598.768055555556</v>
      </c>
      <c r="K2334" s="8" t="str">
        <f t="shared" si="4"/>
        <v>2011-02</v>
      </c>
      <c r="L2334" s="5">
        <v>1.65</v>
      </c>
      <c r="M2334" s="3">
        <v>17472.0</v>
      </c>
      <c r="N2334" s="1" t="str">
        <f t="shared" si="5"/>
        <v>Registered</v>
      </c>
      <c r="O2334" s="1" t="s">
        <v>19</v>
      </c>
      <c r="P2334" s="9" t="str">
        <f t="shared" si="6"/>
        <v>UK</v>
      </c>
      <c r="Q2334" s="8">
        <f t="shared" si="7"/>
        <v>1.65</v>
      </c>
    </row>
    <row r="2335">
      <c r="A2335" s="1">
        <v>544930.0</v>
      </c>
      <c r="B2335" s="1" t="str">
        <f t="shared" si="1"/>
        <v>544930</v>
      </c>
      <c r="C2335" s="1" t="str">
        <f t="shared" si="2"/>
        <v>Sale</v>
      </c>
      <c r="D2335" s="1">
        <v>22297.0</v>
      </c>
      <c r="E2335" s="1" t="str">
        <f>IFERROR(__xludf.DUMMYFUNCTION("IF(LEN(D2335)&gt;4, IFERROR(REGEXEXTRACT(TO_TEXT(D2335),""\d+""),""""),"""")"),"22297")</f>
        <v>22297</v>
      </c>
      <c r="F2335" s="6" t="str">
        <f t="shared" si="3"/>
        <v>Product</v>
      </c>
      <c r="G2335" s="1" t="s">
        <v>334</v>
      </c>
      <c r="H2335" s="6" t="str">
        <f>IFERROR(__xludf.DUMMYFUNCTION("IF(REGEXMATCH(LOWER(G2335), ""^(\?)+\s*(missing)?\s*(\?)*$""), """", PROPER(SUBSTITUTE(SUBSTITUTE(G2335, ""?"", """"), ""*"", """")))"),"Heart Ivory Trellis Small")</f>
        <v>Heart Ivory Trellis Small</v>
      </c>
      <c r="I2335" s="3">
        <v>1.0</v>
      </c>
      <c r="J2335" s="7">
        <v>40598.768055555556</v>
      </c>
      <c r="K2335" s="8" t="str">
        <f t="shared" si="4"/>
        <v>2011-02</v>
      </c>
      <c r="L2335" s="5">
        <v>1.25</v>
      </c>
      <c r="M2335" s="3">
        <v>17472.0</v>
      </c>
      <c r="N2335" s="1" t="str">
        <f t="shared" si="5"/>
        <v>Registered</v>
      </c>
      <c r="O2335" s="1" t="s">
        <v>19</v>
      </c>
      <c r="P2335" s="9" t="str">
        <f t="shared" si="6"/>
        <v>UK</v>
      </c>
      <c r="Q2335" s="8">
        <f t="shared" si="7"/>
        <v>1.25</v>
      </c>
    </row>
    <row r="2336">
      <c r="A2336" s="1">
        <v>544930.0</v>
      </c>
      <c r="B2336" s="1" t="str">
        <f t="shared" si="1"/>
        <v>544930</v>
      </c>
      <c r="C2336" s="1" t="str">
        <f t="shared" si="2"/>
        <v>Sale</v>
      </c>
      <c r="D2336" s="1">
        <v>22296.0</v>
      </c>
      <c r="E2336" s="1" t="str">
        <f>IFERROR(__xludf.DUMMYFUNCTION("IF(LEN(D2336)&gt;4, IFERROR(REGEXEXTRACT(TO_TEXT(D2336),""\d+""),""""),"""")"),"22296")</f>
        <v>22296</v>
      </c>
      <c r="F2336" s="6" t="str">
        <f t="shared" si="3"/>
        <v>Product</v>
      </c>
      <c r="G2336" s="1" t="s">
        <v>358</v>
      </c>
      <c r="H2336" s="6" t="str">
        <f>IFERROR(__xludf.DUMMYFUNCTION("IF(REGEXMATCH(LOWER(G2336), ""^(\?)+\s*(missing)?\s*(\?)*$""), """", PROPER(SUBSTITUTE(SUBSTITUTE(G2336, ""?"", """"), ""*"", """")))"),"Heart Ivory Trellis Large")</f>
        <v>Heart Ivory Trellis Large</v>
      </c>
      <c r="I2336" s="3">
        <v>2.0</v>
      </c>
      <c r="J2336" s="7">
        <v>40598.768055555556</v>
      </c>
      <c r="K2336" s="8" t="str">
        <f t="shared" si="4"/>
        <v>2011-02</v>
      </c>
      <c r="L2336" s="5">
        <v>1.65</v>
      </c>
      <c r="M2336" s="3">
        <v>17472.0</v>
      </c>
      <c r="N2336" s="1" t="str">
        <f t="shared" si="5"/>
        <v>Registered</v>
      </c>
      <c r="O2336" s="1" t="s">
        <v>19</v>
      </c>
      <c r="P2336" s="9" t="str">
        <f t="shared" si="6"/>
        <v>UK</v>
      </c>
      <c r="Q2336" s="8">
        <f t="shared" si="7"/>
        <v>3.3</v>
      </c>
    </row>
    <row r="2337">
      <c r="A2337" s="1">
        <v>544930.0</v>
      </c>
      <c r="B2337" s="1" t="str">
        <f t="shared" si="1"/>
        <v>544930</v>
      </c>
      <c r="C2337" s="1" t="str">
        <f t="shared" si="2"/>
        <v>Sale</v>
      </c>
      <c r="D2337" s="1">
        <v>22907.0</v>
      </c>
      <c r="E2337" s="1" t="str">
        <f>IFERROR(__xludf.DUMMYFUNCTION("IF(LEN(D2337)&gt;4, IFERROR(REGEXEXTRACT(TO_TEXT(D2337),""\d+""),""""),"""")"),"22907")</f>
        <v>22907</v>
      </c>
      <c r="F2337" s="6" t="str">
        <f t="shared" si="3"/>
        <v>Product</v>
      </c>
      <c r="G2337" s="1" t="s">
        <v>691</v>
      </c>
      <c r="H2337" s="6" t="str">
        <f>IFERROR(__xludf.DUMMYFUNCTION("IF(REGEXMATCH(LOWER(G2337), ""^(\?)+\s*(missing)?\s*(\?)*$""), """", PROPER(SUBSTITUTE(SUBSTITUTE(G2337, ""?"", """"), ""*"", """")))"),"Pack Of 20 Napkins Pantry Design")</f>
        <v>Pack Of 20 Napkins Pantry Design</v>
      </c>
      <c r="I2337" s="3">
        <v>1.0</v>
      </c>
      <c r="J2337" s="7">
        <v>40598.768055555556</v>
      </c>
      <c r="K2337" s="8" t="str">
        <f t="shared" si="4"/>
        <v>2011-02</v>
      </c>
      <c r="L2337" s="5">
        <v>0.85</v>
      </c>
      <c r="M2337" s="3">
        <v>17472.0</v>
      </c>
      <c r="N2337" s="1" t="str">
        <f t="shared" si="5"/>
        <v>Registered</v>
      </c>
      <c r="O2337" s="1" t="s">
        <v>19</v>
      </c>
      <c r="P2337" s="9" t="str">
        <f t="shared" si="6"/>
        <v>UK</v>
      </c>
      <c r="Q2337" s="8">
        <f t="shared" si="7"/>
        <v>0.85</v>
      </c>
    </row>
    <row r="2338">
      <c r="A2338" s="1">
        <v>544930.0</v>
      </c>
      <c r="B2338" s="1" t="str">
        <f t="shared" si="1"/>
        <v>544930</v>
      </c>
      <c r="C2338" s="1" t="str">
        <f t="shared" si="2"/>
        <v>Sale</v>
      </c>
      <c r="D2338" s="1">
        <v>22851.0</v>
      </c>
      <c r="E2338" s="1" t="str">
        <f>IFERROR(__xludf.DUMMYFUNCTION("IF(LEN(D2338)&gt;4, IFERROR(REGEXEXTRACT(TO_TEXT(D2338),""\d+""),""""),"""")"),"22851")</f>
        <v>22851</v>
      </c>
      <c r="F2338" s="6" t="str">
        <f t="shared" si="3"/>
        <v>Product</v>
      </c>
      <c r="G2338" s="1" t="s">
        <v>303</v>
      </c>
      <c r="H2338" s="6" t="str">
        <f>IFERROR(__xludf.DUMMYFUNCTION("IF(REGEXMATCH(LOWER(G2338), ""^(\?)+\s*(missing)?\s*(\?)*$""), """", PROPER(SUBSTITUTE(SUBSTITUTE(G2338, ""?"", """"), ""*"", """")))"),"Set 20 Napkins Fairy Cakes Design")</f>
        <v>Set 20 Napkins Fairy Cakes Design</v>
      </c>
      <c r="I2338" s="3">
        <v>3.0</v>
      </c>
      <c r="J2338" s="7">
        <v>40598.768055555556</v>
      </c>
      <c r="K2338" s="8" t="str">
        <f t="shared" si="4"/>
        <v>2011-02</v>
      </c>
      <c r="L2338" s="5">
        <v>0.85</v>
      </c>
      <c r="M2338" s="3">
        <v>17472.0</v>
      </c>
      <c r="N2338" s="1" t="str">
        <f t="shared" si="5"/>
        <v>Registered</v>
      </c>
      <c r="O2338" s="1" t="s">
        <v>19</v>
      </c>
      <c r="P2338" s="9" t="str">
        <f t="shared" si="6"/>
        <v>UK</v>
      </c>
      <c r="Q2338" s="8">
        <f t="shared" si="7"/>
        <v>2.55</v>
      </c>
    </row>
    <row r="2339">
      <c r="A2339" s="1">
        <v>544930.0</v>
      </c>
      <c r="B2339" s="1" t="str">
        <f t="shared" si="1"/>
        <v>544930</v>
      </c>
      <c r="C2339" s="1" t="str">
        <f t="shared" si="2"/>
        <v>Sale</v>
      </c>
      <c r="D2339" s="1">
        <v>22405.0</v>
      </c>
      <c r="E2339" s="1" t="str">
        <f>IFERROR(__xludf.DUMMYFUNCTION("IF(LEN(D2339)&gt;4, IFERROR(REGEXEXTRACT(TO_TEXT(D2339),""\d+""),""""),"""")"),"22405")</f>
        <v>22405</v>
      </c>
      <c r="F2339" s="6" t="str">
        <f t="shared" si="3"/>
        <v>Product</v>
      </c>
      <c r="G2339" s="1" t="s">
        <v>1259</v>
      </c>
      <c r="H2339" s="6" t="str">
        <f>IFERROR(__xludf.DUMMYFUNCTION("IF(REGEXMATCH(LOWER(G2339), ""^(\?)+\s*(missing)?\s*(\?)*$""), """", PROPER(SUBSTITUTE(SUBSTITUTE(G2339, ""?"", """"), ""*"", """")))"),"Money Box Pocket Money Design")</f>
        <v>Money Box Pocket Money Design</v>
      </c>
      <c r="I2339" s="3">
        <v>1.0</v>
      </c>
      <c r="J2339" s="7">
        <v>40598.768055555556</v>
      </c>
      <c r="K2339" s="8" t="str">
        <f t="shared" si="4"/>
        <v>2011-02</v>
      </c>
      <c r="L2339" s="5">
        <v>1.25</v>
      </c>
      <c r="M2339" s="3">
        <v>17472.0</v>
      </c>
      <c r="N2339" s="1" t="str">
        <f t="shared" si="5"/>
        <v>Registered</v>
      </c>
      <c r="O2339" s="1" t="s">
        <v>19</v>
      </c>
      <c r="P2339" s="9" t="str">
        <f t="shared" si="6"/>
        <v>UK</v>
      </c>
      <c r="Q2339" s="8">
        <f t="shared" si="7"/>
        <v>1.25</v>
      </c>
    </row>
    <row r="2340">
      <c r="A2340" s="1">
        <v>544930.0</v>
      </c>
      <c r="B2340" s="1" t="str">
        <f t="shared" si="1"/>
        <v>544930</v>
      </c>
      <c r="C2340" s="1" t="str">
        <f t="shared" si="2"/>
        <v>Sale</v>
      </c>
      <c r="D2340" s="1" t="s">
        <v>1260</v>
      </c>
      <c r="E2340" s="1" t="str">
        <f>IFERROR(__xludf.DUMMYFUNCTION("IF(LEN(D2340)&gt;4, IFERROR(REGEXEXTRACT(TO_TEXT(D2340),""\d+""),""""),"""")"),"84597")</f>
        <v>84597</v>
      </c>
      <c r="F2340" s="6" t="str">
        <f t="shared" si="3"/>
        <v>Product</v>
      </c>
      <c r="G2340" s="1" t="s">
        <v>1261</v>
      </c>
      <c r="H2340" s="6" t="str">
        <f>IFERROR(__xludf.DUMMYFUNCTION("IF(REGEXMATCH(LOWER(G2340), ""^(\?)+\s*(missing)?\s*(\?)*$""), """", PROPER(SUBSTITUTE(SUBSTITUTE(G2340, ""?"", """"), ""*"", """")))"),"Retro Pink Ball Ashtray")</f>
        <v>Retro Pink Ball Ashtray</v>
      </c>
      <c r="I2340" s="3">
        <v>2.0</v>
      </c>
      <c r="J2340" s="7">
        <v>40598.768055555556</v>
      </c>
      <c r="K2340" s="8" t="str">
        <f t="shared" si="4"/>
        <v>2011-02</v>
      </c>
      <c r="L2340" s="5">
        <v>1.25</v>
      </c>
      <c r="M2340" s="3">
        <v>17472.0</v>
      </c>
      <c r="N2340" s="1" t="str">
        <f t="shared" si="5"/>
        <v>Registered</v>
      </c>
      <c r="O2340" s="1" t="s">
        <v>19</v>
      </c>
      <c r="P2340" s="9" t="str">
        <f t="shared" si="6"/>
        <v>UK</v>
      </c>
      <c r="Q2340" s="8">
        <f t="shared" si="7"/>
        <v>2.5</v>
      </c>
    </row>
    <row r="2341">
      <c r="A2341" s="1">
        <v>544930.0</v>
      </c>
      <c r="B2341" s="1" t="str">
        <f t="shared" si="1"/>
        <v>544930</v>
      </c>
      <c r="C2341" s="1" t="str">
        <f t="shared" si="2"/>
        <v>Sale</v>
      </c>
      <c r="D2341" s="1">
        <v>22557.0</v>
      </c>
      <c r="E2341" s="1" t="str">
        <f>IFERROR(__xludf.DUMMYFUNCTION("IF(LEN(D2341)&gt;4, IFERROR(REGEXEXTRACT(TO_TEXT(D2341),""\d+""),""""),"""")"),"22557")</f>
        <v>22557</v>
      </c>
      <c r="F2341" s="6" t="str">
        <f t="shared" si="3"/>
        <v>Product</v>
      </c>
      <c r="G2341" s="1" t="s">
        <v>233</v>
      </c>
      <c r="H2341" s="6" t="str">
        <f>IFERROR(__xludf.DUMMYFUNCTION("IF(REGEXMATCH(LOWER(G2341), ""^(\?)+\s*(missing)?\s*(\?)*$""), """", PROPER(SUBSTITUTE(SUBSTITUTE(G2341, ""?"", """"), ""*"", """")))"),"Plasters In Tin Vintage Paisley")</f>
        <v>Plasters In Tin Vintage Paisley</v>
      </c>
      <c r="I2341" s="3">
        <v>1.0</v>
      </c>
      <c r="J2341" s="7">
        <v>40598.768055555556</v>
      </c>
      <c r="K2341" s="8" t="str">
        <f t="shared" si="4"/>
        <v>2011-02</v>
      </c>
      <c r="L2341" s="5">
        <v>1.65</v>
      </c>
      <c r="M2341" s="3">
        <v>17472.0</v>
      </c>
      <c r="N2341" s="1" t="str">
        <f t="shared" si="5"/>
        <v>Registered</v>
      </c>
      <c r="O2341" s="1" t="s">
        <v>19</v>
      </c>
      <c r="P2341" s="9" t="str">
        <f t="shared" si="6"/>
        <v>UK</v>
      </c>
      <c r="Q2341" s="8">
        <f t="shared" si="7"/>
        <v>1.65</v>
      </c>
    </row>
    <row r="2342">
      <c r="A2342" s="1">
        <v>544930.0</v>
      </c>
      <c r="B2342" s="1" t="str">
        <f t="shared" si="1"/>
        <v>544930</v>
      </c>
      <c r="C2342" s="1" t="str">
        <f t="shared" si="2"/>
        <v>Sale</v>
      </c>
      <c r="D2342" s="1">
        <v>22266.0</v>
      </c>
      <c r="E2342" s="1" t="str">
        <f>IFERROR(__xludf.DUMMYFUNCTION("IF(LEN(D2342)&gt;4, IFERROR(REGEXEXTRACT(TO_TEXT(D2342),""\d+""),""""),"""")"),"22266")</f>
        <v>22266</v>
      </c>
      <c r="F2342" s="6" t="str">
        <f t="shared" si="3"/>
        <v>Product</v>
      </c>
      <c r="G2342" s="1" t="s">
        <v>1262</v>
      </c>
      <c r="H2342" s="6" t="str">
        <f>IFERROR(__xludf.DUMMYFUNCTION("IF(REGEXMATCH(LOWER(G2342), ""^(\?)+\s*(missing)?\s*(\?)*$""), """", PROPER(SUBSTITUTE(SUBSTITUTE(G2342, ""?"", """"), ""*"", """")))"),"Easter Decoration Hanging Bunny")</f>
        <v>Easter Decoration Hanging Bunny</v>
      </c>
      <c r="I2342" s="3">
        <v>5.0</v>
      </c>
      <c r="J2342" s="7">
        <v>40598.768055555556</v>
      </c>
      <c r="K2342" s="8" t="str">
        <f t="shared" si="4"/>
        <v>2011-02</v>
      </c>
      <c r="L2342" s="5">
        <v>0.65</v>
      </c>
      <c r="M2342" s="3">
        <v>17472.0</v>
      </c>
      <c r="N2342" s="1" t="str">
        <f t="shared" si="5"/>
        <v>Registered</v>
      </c>
      <c r="O2342" s="1" t="s">
        <v>19</v>
      </c>
      <c r="P2342" s="9" t="str">
        <f t="shared" si="6"/>
        <v>UK</v>
      </c>
      <c r="Q2342" s="8">
        <f t="shared" si="7"/>
        <v>3.25</v>
      </c>
    </row>
    <row r="2343">
      <c r="A2343" s="1">
        <v>544930.0</v>
      </c>
      <c r="B2343" s="1" t="str">
        <f t="shared" si="1"/>
        <v>544930</v>
      </c>
      <c r="C2343" s="1" t="str">
        <f t="shared" si="2"/>
        <v>Sale</v>
      </c>
      <c r="D2343" s="1">
        <v>22405.0</v>
      </c>
      <c r="E2343" s="1" t="str">
        <f>IFERROR(__xludf.DUMMYFUNCTION("IF(LEN(D2343)&gt;4, IFERROR(REGEXEXTRACT(TO_TEXT(D2343),""\d+""),""""),"""")"),"22405")</f>
        <v>22405</v>
      </c>
      <c r="F2343" s="6" t="str">
        <f t="shared" si="3"/>
        <v>Product</v>
      </c>
      <c r="G2343" s="1" t="s">
        <v>1259</v>
      </c>
      <c r="H2343" s="6" t="str">
        <f>IFERROR(__xludf.DUMMYFUNCTION("IF(REGEXMATCH(LOWER(G2343), ""^(\?)+\s*(missing)?\s*(\?)*$""), """", PROPER(SUBSTITUTE(SUBSTITUTE(G2343, ""?"", """"), ""*"", """")))"),"Money Box Pocket Money Design")</f>
        <v>Money Box Pocket Money Design</v>
      </c>
      <c r="I2343" s="3">
        <v>1.0</v>
      </c>
      <c r="J2343" s="7">
        <v>40598.768055555556</v>
      </c>
      <c r="K2343" s="8" t="str">
        <f t="shared" si="4"/>
        <v>2011-02</v>
      </c>
      <c r="L2343" s="5">
        <v>1.25</v>
      </c>
      <c r="M2343" s="3">
        <v>17472.0</v>
      </c>
      <c r="N2343" s="1" t="str">
        <f t="shared" si="5"/>
        <v>Registered</v>
      </c>
      <c r="O2343" s="1" t="s">
        <v>19</v>
      </c>
      <c r="P2343" s="9" t="str">
        <f t="shared" si="6"/>
        <v>UK</v>
      </c>
      <c r="Q2343" s="8">
        <f t="shared" si="7"/>
        <v>1.25</v>
      </c>
    </row>
    <row r="2344">
      <c r="A2344" s="1">
        <v>544930.0</v>
      </c>
      <c r="B2344" s="1" t="str">
        <f t="shared" si="1"/>
        <v>544930</v>
      </c>
      <c r="C2344" s="1" t="str">
        <f t="shared" si="2"/>
        <v>Sale</v>
      </c>
      <c r="D2344" s="1">
        <v>40016.0</v>
      </c>
      <c r="E2344" s="1" t="str">
        <f>IFERROR(__xludf.DUMMYFUNCTION("IF(LEN(D2344)&gt;4, IFERROR(REGEXEXTRACT(TO_TEXT(D2344),""\d+""),""""),"""")"),"40016")</f>
        <v>40016</v>
      </c>
      <c r="F2344" s="6" t="str">
        <f t="shared" si="3"/>
        <v>Product</v>
      </c>
      <c r="G2344" s="1" t="s">
        <v>750</v>
      </c>
      <c r="H2344" s="6" t="str">
        <f>IFERROR(__xludf.DUMMYFUNCTION("IF(REGEXMATCH(LOWER(G2344), ""^(\?)+\s*(missing)?\s*(\?)*$""), """", PROPER(SUBSTITUTE(SUBSTITUTE(G2344, ""?"", """"), ""*"", """")))"),"Chinese Dragon Paper Lanterns")</f>
        <v>Chinese Dragon Paper Lanterns</v>
      </c>
      <c r="I2344" s="3">
        <v>12.0</v>
      </c>
      <c r="J2344" s="7">
        <v>40598.768055555556</v>
      </c>
      <c r="K2344" s="8" t="str">
        <f t="shared" si="4"/>
        <v>2011-02</v>
      </c>
      <c r="L2344" s="5">
        <v>0.42</v>
      </c>
      <c r="M2344" s="3">
        <v>17472.0</v>
      </c>
      <c r="N2344" s="1" t="str">
        <f t="shared" si="5"/>
        <v>Registered</v>
      </c>
      <c r="O2344" s="1" t="s">
        <v>19</v>
      </c>
      <c r="P2344" s="9" t="str">
        <f t="shared" si="6"/>
        <v>UK</v>
      </c>
      <c r="Q2344" s="8">
        <f t="shared" si="7"/>
        <v>5.04</v>
      </c>
    </row>
    <row r="2345">
      <c r="A2345" s="1">
        <v>544930.0</v>
      </c>
      <c r="B2345" s="1" t="str">
        <f t="shared" si="1"/>
        <v>544930</v>
      </c>
      <c r="C2345" s="1" t="str">
        <f t="shared" si="2"/>
        <v>Sale</v>
      </c>
      <c r="D2345" s="1">
        <v>21984.0</v>
      </c>
      <c r="E2345" s="1" t="str">
        <f>IFERROR(__xludf.DUMMYFUNCTION("IF(LEN(D2345)&gt;4, IFERROR(REGEXEXTRACT(TO_TEXT(D2345),""\d+""),""""),"""")"),"21984")</f>
        <v>21984</v>
      </c>
      <c r="F2345" s="6" t="str">
        <f t="shared" si="3"/>
        <v>Product</v>
      </c>
      <c r="G2345" s="1" t="s">
        <v>229</v>
      </c>
      <c r="H2345" s="6" t="str">
        <f>IFERROR(__xludf.DUMMYFUNCTION("IF(REGEXMATCH(LOWER(G2345), ""^(\?)+\s*(missing)?\s*(\?)*$""), """", PROPER(SUBSTITUTE(SUBSTITUTE(G2345, ""?"", """"), ""*"", """")))"),"Pack Of 12 Pink Paisley Tissues")</f>
        <v>Pack Of 12 Pink Paisley Tissues</v>
      </c>
      <c r="I2345" s="3">
        <v>1.0</v>
      </c>
      <c r="J2345" s="7">
        <v>40598.768055555556</v>
      </c>
      <c r="K2345" s="8" t="str">
        <f t="shared" si="4"/>
        <v>2011-02</v>
      </c>
      <c r="L2345" s="5">
        <v>0.29</v>
      </c>
      <c r="M2345" s="3">
        <v>17472.0</v>
      </c>
      <c r="N2345" s="1" t="str">
        <f t="shared" si="5"/>
        <v>Registered</v>
      </c>
      <c r="O2345" s="1" t="s">
        <v>19</v>
      </c>
      <c r="P2345" s="9" t="str">
        <f t="shared" si="6"/>
        <v>UK</v>
      </c>
      <c r="Q2345" s="8">
        <f t="shared" si="7"/>
        <v>0.29</v>
      </c>
    </row>
    <row r="2346">
      <c r="A2346" s="1">
        <v>544930.0</v>
      </c>
      <c r="B2346" s="1" t="str">
        <f t="shared" si="1"/>
        <v>544930</v>
      </c>
      <c r="C2346" s="1" t="str">
        <f t="shared" si="2"/>
        <v>Sale</v>
      </c>
      <c r="D2346" s="1">
        <v>21894.0</v>
      </c>
      <c r="E2346" s="1" t="str">
        <f>IFERROR(__xludf.DUMMYFUNCTION("IF(LEN(D2346)&gt;4, IFERROR(REGEXEXTRACT(TO_TEXT(D2346),""\d+""),""""),"""")"),"21894")</f>
        <v>21894</v>
      </c>
      <c r="F2346" s="6" t="str">
        <f t="shared" si="3"/>
        <v>Product</v>
      </c>
      <c r="G2346" s="1" t="s">
        <v>635</v>
      </c>
      <c r="H2346" s="6" t="str">
        <f>IFERROR(__xludf.DUMMYFUNCTION("IF(REGEXMATCH(LOWER(G2346), ""^(\?)+\s*(missing)?\s*(\?)*$""), """", PROPER(SUBSTITUTE(SUBSTITUTE(G2346, ""?"", """"), ""*"", """")))"),"Potting Shed Seed Envelopes")</f>
        <v>Potting Shed Seed Envelopes</v>
      </c>
      <c r="I2346" s="3">
        <v>1.0</v>
      </c>
      <c r="J2346" s="7">
        <v>40598.768055555556</v>
      </c>
      <c r="K2346" s="8" t="str">
        <f t="shared" si="4"/>
        <v>2011-02</v>
      </c>
      <c r="L2346" s="5">
        <v>1.25</v>
      </c>
      <c r="M2346" s="3">
        <v>17472.0</v>
      </c>
      <c r="N2346" s="1" t="str">
        <f t="shared" si="5"/>
        <v>Registered</v>
      </c>
      <c r="O2346" s="1" t="s">
        <v>19</v>
      </c>
      <c r="P2346" s="9" t="str">
        <f t="shared" si="6"/>
        <v>UK</v>
      </c>
      <c r="Q2346" s="8">
        <f t="shared" si="7"/>
        <v>1.25</v>
      </c>
    </row>
    <row r="2347">
      <c r="A2347" s="1">
        <v>544930.0</v>
      </c>
      <c r="B2347" s="1" t="str">
        <f t="shared" si="1"/>
        <v>544930</v>
      </c>
      <c r="C2347" s="1" t="str">
        <f t="shared" si="2"/>
        <v>Sale</v>
      </c>
      <c r="D2347" s="1">
        <v>21894.0</v>
      </c>
      <c r="E2347" s="1" t="str">
        <f>IFERROR(__xludf.DUMMYFUNCTION("IF(LEN(D2347)&gt;4, IFERROR(REGEXEXTRACT(TO_TEXT(D2347),""\d+""),""""),"""")"),"21894")</f>
        <v>21894</v>
      </c>
      <c r="F2347" s="6" t="str">
        <f t="shared" si="3"/>
        <v>Product</v>
      </c>
      <c r="G2347" s="1" t="s">
        <v>635</v>
      </c>
      <c r="H2347" s="6" t="str">
        <f>IFERROR(__xludf.DUMMYFUNCTION("IF(REGEXMATCH(LOWER(G2347), ""^(\?)+\s*(missing)?\s*(\?)*$""), """", PROPER(SUBSTITUTE(SUBSTITUTE(G2347, ""?"", """"), ""*"", """")))"),"Potting Shed Seed Envelopes")</f>
        <v>Potting Shed Seed Envelopes</v>
      </c>
      <c r="I2347" s="3">
        <v>1.0</v>
      </c>
      <c r="J2347" s="7">
        <v>40598.768055555556</v>
      </c>
      <c r="K2347" s="8" t="str">
        <f t="shared" si="4"/>
        <v>2011-02</v>
      </c>
      <c r="L2347" s="5">
        <v>1.25</v>
      </c>
      <c r="M2347" s="3">
        <v>17472.0</v>
      </c>
      <c r="N2347" s="1" t="str">
        <f t="shared" si="5"/>
        <v>Registered</v>
      </c>
      <c r="O2347" s="1" t="s">
        <v>19</v>
      </c>
      <c r="P2347" s="9" t="str">
        <f t="shared" si="6"/>
        <v>UK</v>
      </c>
      <c r="Q2347" s="8">
        <f t="shared" si="7"/>
        <v>1.25</v>
      </c>
    </row>
    <row r="2348">
      <c r="A2348" s="1">
        <v>544930.0</v>
      </c>
      <c r="B2348" s="1" t="str">
        <f t="shared" si="1"/>
        <v>544930</v>
      </c>
      <c r="C2348" s="1" t="str">
        <f t="shared" si="2"/>
        <v>Sale</v>
      </c>
      <c r="D2348" s="1" t="s">
        <v>1263</v>
      </c>
      <c r="E2348" s="1" t="str">
        <f>IFERROR(__xludf.DUMMYFUNCTION("IF(LEN(D2348)&gt;4, IFERROR(REGEXEXTRACT(TO_TEXT(D2348),""\d+""),""""),"""")"),"47590")</f>
        <v>47590</v>
      </c>
      <c r="F2348" s="6" t="str">
        <f t="shared" si="3"/>
        <v>Product</v>
      </c>
      <c r="G2348" s="1" t="s">
        <v>1264</v>
      </c>
      <c r="H2348" s="6" t="str">
        <f>IFERROR(__xludf.DUMMYFUNCTION("IF(REGEXMATCH(LOWER(G2348), ""^(\?)+\s*(missing)?\s*(\?)*$""), """", PROPER(SUBSTITUTE(SUBSTITUTE(G2348, ""?"", """"), ""*"", """")))"),"Pink Happy Birthday Bunting")</f>
        <v>Pink Happy Birthday Bunting</v>
      </c>
      <c r="I2348" s="3">
        <v>1.0</v>
      </c>
      <c r="J2348" s="7">
        <v>40598.768055555556</v>
      </c>
      <c r="K2348" s="8" t="str">
        <f t="shared" si="4"/>
        <v>2011-02</v>
      </c>
      <c r="L2348" s="5">
        <v>5.45</v>
      </c>
      <c r="M2348" s="3">
        <v>17472.0</v>
      </c>
      <c r="N2348" s="1" t="str">
        <f t="shared" si="5"/>
        <v>Registered</v>
      </c>
      <c r="O2348" s="1" t="s">
        <v>19</v>
      </c>
      <c r="P2348" s="9" t="str">
        <f t="shared" si="6"/>
        <v>UK</v>
      </c>
      <c r="Q2348" s="8">
        <f t="shared" si="7"/>
        <v>5.45</v>
      </c>
    </row>
    <row r="2349">
      <c r="A2349" s="1">
        <v>544930.0</v>
      </c>
      <c r="B2349" s="1" t="str">
        <f t="shared" si="1"/>
        <v>544930</v>
      </c>
      <c r="C2349" s="1" t="str">
        <f t="shared" si="2"/>
        <v>Sale</v>
      </c>
      <c r="D2349" s="1">
        <v>22488.0</v>
      </c>
      <c r="E2349" s="1" t="str">
        <f>IFERROR(__xludf.DUMMYFUNCTION("IF(LEN(D2349)&gt;4, IFERROR(REGEXEXTRACT(TO_TEXT(D2349),""\d+""),""""),"""")"),"22488")</f>
        <v>22488</v>
      </c>
      <c r="F2349" s="6" t="str">
        <f t="shared" si="3"/>
        <v>Product</v>
      </c>
      <c r="G2349" s="1" t="s">
        <v>376</v>
      </c>
      <c r="H2349" s="6" t="str">
        <f>IFERROR(__xludf.DUMMYFUNCTION("IF(REGEXMATCH(LOWER(G2349), ""^(\?)+\s*(missing)?\s*(\?)*$""), """", PROPER(SUBSTITUTE(SUBSTITUTE(G2349, ""?"", """"), ""*"", """")))"),"Natural Slate Rectangle Chalkboard")</f>
        <v>Natural Slate Rectangle Chalkboard</v>
      </c>
      <c r="I2349" s="3">
        <v>9.0</v>
      </c>
      <c r="J2349" s="7">
        <v>40598.768055555556</v>
      </c>
      <c r="K2349" s="8" t="str">
        <f t="shared" si="4"/>
        <v>2011-02</v>
      </c>
      <c r="L2349" s="5">
        <v>1.65</v>
      </c>
      <c r="M2349" s="3">
        <v>17472.0</v>
      </c>
      <c r="N2349" s="1" t="str">
        <f t="shared" si="5"/>
        <v>Registered</v>
      </c>
      <c r="O2349" s="1" t="s">
        <v>19</v>
      </c>
      <c r="P2349" s="9" t="str">
        <f t="shared" si="6"/>
        <v>UK</v>
      </c>
      <c r="Q2349" s="8">
        <f t="shared" si="7"/>
        <v>14.85</v>
      </c>
    </row>
    <row r="2350">
      <c r="A2350" s="1">
        <v>544930.0</v>
      </c>
      <c r="B2350" s="1" t="str">
        <f t="shared" si="1"/>
        <v>544930</v>
      </c>
      <c r="C2350" s="1" t="str">
        <f t="shared" si="2"/>
        <v>Sale</v>
      </c>
      <c r="D2350" s="1">
        <v>22457.0</v>
      </c>
      <c r="E2350" s="1" t="str">
        <f>IFERROR(__xludf.DUMMYFUNCTION("IF(LEN(D2350)&gt;4, IFERROR(REGEXEXTRACT(TO_TEXT(D2350),""\d+""),""""),"""")"),"22457")</f>
        <v>22457</v>
      </c>
      <c r="F2350" s="6" t="str">
        <f t="shared" si="3"/>
        <v>Product</v>
      </c>
      <c r="G2350" s="1" t="s">
        <v>166</v>
      </c>
      <c r="H2350" s="6" t="str">
        <f>IFERROR(__xludf.DUMMYFUNCTION("IF(REGEXMATCH(LOWER(G2350), ""^(\?)+\s*(missing)?\s*(\?)*$""), """", PROPER(SUBSTITUTE(SUBSTITUTE(G2350, ""?"", """"), ""*"", """")))"),"Natural Slate Heart Chalkboard")</f>
        <v>Natural Slate Heart Chalkboard</v>
      </c>
      <c r="I2350" s="3">
        <v>2.0</v>
      </c>
      <c r="J2350" s="7">
        <v>40598.768055555556</v>
      </c>
      <c r="K2350" s="8" t="str">
        <f t="shared" si="4"/>
        <v>2011-02</v>
      </c>
      <c r="L2350" s="5">
        <v>2.95</v>
      </c>
      <c r="M2350" s="3">
        <v>17472.0</v>
      </c>
      <c r="N2350" s="1" t="str">
        <f t="shared" si="5"/>
        <v>Registered</v>
      </c>
      <c r="O2350" s="1" t="s">
        <v>19</v>
      </c>
      <c r="P2350" s="9" t="str">
        <f t="shared" si="6"/>
        <v>UK</v>
      </c>
      <c r="Q2350" s="8">
        <f t="shared" si="7"/>
        <v>5.9</v>
      </c>
    </row>
    <row r="2351">
      <c r="A2351" s="1">
        <v>544930.0</v>
      </c>
      <c r="B2351" s="1" t="str">
        <f t="shared" si="1"/>
        <v>544930</v>
      </c>
      <c r="C2351" s="1" t="str">
        <f t="shared" si="2"/>
        <v>Sale</v>
      </c>
      <c r="D2351" s="1">
        <v>22185.0</v>
      </c>
      <c r="E2351" s="1" t="str">
        <f>IFERROR(__xludf.DUMMYFUNCTION("IF(LEN(D2351)&gt;4, IFERROR(REGEXEXTRACT(TO_TEXT(D2351),""\d+""),""""),"""")"),"22185")</f>
        <v>22185</v>
      </c>
      <c r="F2351" s="6" t="str">
        <f t="shared" si="3"/>
        <v>Product</v>
      </c>
      <c r="G2351" s="1" t="s">
        <v>719</v>
      </c>
      <c r="H2351" s="6" t="str">
        <f>IFERROR(__xludf.DUMMYFUNCTION("IF(REGEXMATCH(LOWER(G2351), ""^(\?)+\s*(missing)?\s*(\?)*$""), """", PROPER(SUBSTITUTE(SUBSTITUTE(G2351, ""?"", """"), ""*"", """")))"),"Slate Tile Natural Hanging")</f>
        <v>Slate Tile Natural Hanging</v>
      </c>
      <c r="I2351" s="3">
        <v>4.0</v>
      </c>
      <c r="J2351" s="7">
        <v>40598.768055555556</v>
      </c>
      <c r="K2351" s="8" t="str">
        <f t="shared" si="4"/>
        <v>2011-02</v>
      </c>
      <c r="L2351" s="5">
        <v>1.65</v>
      </c>
      <c r="M2351" s="3">
        <v>17472.0</v>
      </c>
      <c r="N2351" s="1" t="str">
        <f t="shared" si="5"/>
        <v>Registered</v>
      </c>
      <c r="O2351" s="1" t="s">
        <v>19</v>
      </c>
      <c r="P2351" s="9" t="str">
        <f t="shared" si="6"/>
        <v>UK</v>
      </c>
      <c r="Q2351" s="8">
        <f t="shared" si="7"/>
        <v>6.6</v>
      </c>
    </row>
    <row r="2352">
      <c r="A2352" s="1">
        <v>544930.0</v>
      </c>
      <c r="B2352" s="1" t="str">
        <f t="shared" si="1"/>
        <v>544930</v>
      </c>
      <c r="C2352" s="1" t="str">
        <f t="shared" si="2"/>
        <v>Sale</v>
      </c>
      <c r="D2352" s="1">
        <v>21894.0</v>
      </c>
      <c r="E2352" s="1" t="str">
        <f>IFERROR(__xludf.DUMMYFUNCTION("IF(LEN(D2352)&gt;4, IFERROR(REGEXEXTRACT(TO_TEXT(D2352),""\d+""),""""),"""")"),"21894")</f>
        <v>21894</v>
      </c>
      <c r="F2352" s="6" t="str">
        <f t="shared" si="3"/>
        <v>Product</v>
      </c>
      <c r="G2352" s="1" t="s">
        <v>635</v>
      </c>
      <c r="H2352" s="6" t="str">
        <f>IFERROR(__xludf.DUMMYFUNCTION("IF(REGEXMATCH(LOWER(G2352), ""^(\?)+\s*(missing)?\s*(\?)*$""), """", PROPER(SUBSTITUTE(SUBSTITUTE(G2352, ""?"", """"), ""*"", """")))"),"Potting Shed Seed Envelopes")</f>
        <v>Potting Shed Seed Envelopes</v>
      </c>
      <c r="I2352" s="3">
        <v>1.0</v>
      </c>
      <c r="J2352" s="7">
        <v>40598.768055555556</v>
      </c>
      <c r="K2352" s="8" t="str">
        <f t="shared" si="4"/>
        <v>2011-02</v>
      </c>
      <c r="L2352" s="5">
        <v>1.25</v>
      </c>
      <c r="M2352" s="3">
        <v>17472.0</v>
      </c>
      <c r="N2352" s="1" t="str">
        <f t="shared" si="5"/>
        <v>Registered</v>
      </c>
      <c r="O2352" s="1" t="s">
        <v>19</v>
      </c>
      <c r="P2352" s="9" t="str">
        <f t="shared" si="6"/>
        <v>UK</v>
      </c>
      <c r="Q2352" s="8">
        <f t="shared" si="7"/>
        <v>1.25</v>
      </c>
    </row>
    <row r="2353">
      <c r="A2353" s="1">
        <v>544930.0</v>
      </c>
      <c r="B2353" s="1" t="str">
        <f t="shared" si="1"/>
        <v>544930</v>
      </c>
      <c r="C2353" s="1" t="str">
        <f t="shared" si="2"/>
        <v>Sale</v>
      </c>
      <c r="D2353" s="1">
        <v>21125.0</v>
      </c>
      <c r="E2353" s="1" t="str">
        <f>IFERROR(__xludf.DUMMYFUNCTION("IF(LEN(D2353)&gt;4, IFERROR(REGEXEXTRACT(TO_TEXT(D2353),""\d+""),""""),"""")"),"21125")</f>
        <v>21125</v>
      </c>
      <c r="F2353" s="6" t="str">
        <f t="shared" si="3"/>
        <v>Product</v>
      </c>
      <c r="G2353" s="1" t="s">
        <v>338</v>
      </c>
      <c r="H2353" s="6" t="str">
        <f>IFERROR(__xludf.DUMMYFUNCTION("IF(REGEXMATCH(LOWER(G2353), ""^(\?)+\s*(missing)?\s*(\?)*$""), """", PROPER(SUBSTITUTE(SUBSTITUTE(G2353, ""?"", """"), ""*"", """")))"),"Set 6 Football Celebration Candles")</f>
        <v>Set 6 Football Celebration Candles</v>
      </c>
      <c r="I2353" s="3">
        <v>1.0</v>
      </c>
      <c r="J2353" s="7">
        <v>40598.768055555556</v>
      </c>
      <c r="K2353" s="8" t="str">
        <f t="shared" si="4"/>
        <v>2011-02</v>
      </c>
      <c r="L2353" s="5">
        <v>1.25</v>
      </c>
      <c r="M2353" s="3">
        <v>17472.0</v>
      </c>
      <c r="N2353" s="1" t="str">
        <f t="shared" si="5"/>
        <v>Registered</v>
      </c>
      <c r="O2353" s="1" t="s">
        <v>19</v>
      </c>
      <c r="P2353" s="9" t="str">
        <f t="shared" si="6"/>
        <v>UK</v>
      </c>
      <c r="Q2353" s="8">
        <f t="shared" si="7"/>
        <v>1.25</v>
      </c>
    </row>
    <row r="2354">
      <c r="A2354" s="1">
        <v>544930.0</v>
      </c>
      <c r="B2354" s="1" t="str">
        <f t="shared" si="1"/>
        <v>544930</v>
      </c>
      <c r="C2354" s="1" t="str">
        <f t="shared" si="2"/>
        <v>Sale</v>
      </c>
      <c r="D2354" s="1">
        <v>22555.0</v>
      </c>
      <c r="E2354" s="1" t="str">
        <f>IFERROR(__xludf.DUMMYFUNCTION("IF(LEN(D2354)&gt;4, IFERROR(REGEXEXTRACT(TO_TEXT(D2354),""\d+""),""""),"""")"),"22555")</f>
        <v>22555</v>
      </c>
      <c r="F2354" s="6" t="str">
        <f t="shared" si="3"/>
        <v>Product</v>
      </c>
      <c r="G2354" s="1" t="s">
        <v>914</v>
      </c>
      <c r="H2354" s="6" t="str">
        <f>IFERROR(__xludf.DUMMYFUNCTION("IF(REGEXMATCH(LOWER(G2354), ""^(\?)+\s*(missing)?\s*(\?)*$""), """", PROPER(SUBSTITUTE(SUBSTITUTE(G2354, ""?"", """"), ""*"", """")))"),"Plasters In Tin Strongman")</f>
        <v>Plasters In Tin Strongman</v>
      </c>
      <c r="I2354" s="3">
        <v>1.0</v>
      </c>
      <c r="J2354" s="7">
        <v>40598.768055555556</v>
      </c>
      <c r="K2354" s="8" t="str">
        <f t="shared" si="4"/>
        <v>2011-02</v>
      </c>
      <c r="L2354" s="5">
        <v>1.65</v>
      </c>
      <c r="M2354" s="3">
        <v>17472.0</v>
      </c>
      <c r="N2354" s="1" t="str">
        <f t="shared" si="5"/>
        <v>Registered</v>
      </c>
      <c r="O2354" s="1" t="s">
        <v>19</v>
      </c>
      <c r="P2354" s="9" t="str">
        <f t="shared" si="6"/>
        <v>UK</v>
      </c>
      <c r="Q2354" s="8">
        <f t="shared" si="7"/>
        <v>1.65</v>
      </c>
    </row>
    <row r="2355">
      <c r="A2355" s="1">
        <v>544930.0</v>
      </c>
      <c r="B2355" s="1" t="str">
        <f t="shared" si="1"/>
        <v>544930</v>
      </c>
      <c r="C2355" s="1" t="str">
        <f t="shared" si="2"/>
        <v>Sale</v>
      </c>
      <c r="D2355" s="1">
        <v>21212.0</v>
      </c>
      <c r="E2355" s="1" t="str">
        <f>IFERROR(__xludf.DUMMYFUNCTION("IF(LEN(D2355)&gt;4, IFERROR(REGEXEXTRACT(TO_TEXT(D2355),""\d+""),""""),"""")"),"21212")</f>
        <v>21212</v>
      </c>
      <c r="F2355" s="6" t="str">
        <f t="shared" si="3"/>
        <v>Product</v>
      </c>
      <c r="G2355" s="1" t="s">
        <v>97</v>
      </c>
      <c r="H2355" s="6" t="str">
        <f>IFERROR(__xludf.DUMMYFUNCTION("IF(REGEXMATCH(LOWER(G2355), ""^(\?)+\s*(missing)?\s*(\?)*$""), """", PROPER(SUBSTITUTE(SUBSTITUTE(G2355, ""?"", """"), ""*"", """")))"),"Pack Of 72 Retrospot Cake Cases")</f>
        <v>Pack Of 72 Retrospot Cake Cases</v>
      </c>
      <c r="I2355" s="3">
        <v>2.0</v>
      </c>
      <c r="J2355" s="7">
        <v>40598.768055555556</v>
      </c>
      <c r="K2355" s="8" t="str">
        <f t="shared" si="4"/>
        <v>2011-02</v>
      </c>
      <c r="L2355" s="5">
        <v>0.55</v>
      </c>
      <c r="M2355" s="3">
        <v>17472.0</v>
      </c>
      <c r="N2355" s="1" t="str">
        <f t="shared" si="5"/>
        <v>Registered</v>
      </c>
      <c r="O2355" s="1" t="s">
        <v>19</v>
      </c>
      <c r="P2355" s="9" t="str">
        <f t="shared" si="6"/>
        <v>UK</v>
      </c>
      <c r="Q2355" s="8">
        <f t="shared" si="7"/>
        <v>1.1</v>
      </c>
    </row>
    <row r="2356">
      <c r="A2356" s="1">
        <v>544930.0</v>
      </c>
      <c r="B2356" s="1" t="str">
        <f t="shared" si="1"/>
        <v>544930</v>
      </c>
      <c r="C2356" s="1" t="str">
        <f t="shared" si="2"/>
        <v>Sale</v>
      </c>
      <c r="D2356" s="1">
        <v>21873.0</v>
      </c>
      <c r="E2356" s="1" t="str">
        <f>IFERROR(__xludf.DUMMYFUNCTION("IF(LEN(D2356)&gt;4, IFERROR(REGEXEXTRACT(TO_TEXT(D2356),""\d+""),""""),"""")"),"21873")</f>
        <v>21873</v>
      </c>
      <c r="F2356" s="6" t="str">
        <f t="shared" si="3"/>
        <v>Product</v>
      </c>
      <c r="G2356" s="1" t="s">
        <v>1265</v>
      </c>
      <c r="H2356" s="6" t="str">
        <f>IFERROR(__xludf.DUMMYFUNCTION("IF(REGEXMATCH(LOWER(G2356), ""^(\?)+\s*(missing)?\s*(\?)*$""), """", PROPER(SUBSTITUTE(SUBSTITUTE(G2356, ""?"", """"), ""*"", """")))"),"If You Can'T Stand The Heat Mug")</f>
        <v>If You Can'T Stand The Heat Mug</v>
      </c>
      <c r="I2356" s="3">
        <v>1.0</v>
      </c>
      <c r="J2356" s="7">
        <v>40598.768055555556</v>
      </c>
      <c r="K2356" s="8" t="str">
        <f t="shared" si="4"/>
        <v>2011-02</v>
      </c>
      <c r="L2356" s="5">
        <v>1.25</v>
      </c>
      <c r="M2356" s="3">
        <v>17472.0</v>
      </c>
      <c r="N2356" s="1" t="str">
        <f t="shared" si="5"/>
        <v>Registered</v>
      </c>
      <c r="O2356" s="1" t="s">
        <v>19</v>
      </c>
      <c r="P2356" s="9" t="str">
        <f t="shared" si="6"/>
        <v>UK</v>
      </c>
      <c r="Q2356" s="8">
        <f t="shared" si="7"/>
        <v>1.25</v>
      </c>
    </row>
    <row r="2357">
      <c r="A2357" s="1">
        <v>544930.0</v>
      </c>
      <c r="B2357" s="1" t="str">
        <f t="shared" si="1"/>
        <v>544930</v>
      </c>
      <c r="C2357" s="1" t="str">
        <f t="shared" si="2"/>
        <v>Sale</v>
      </c>
      <c r="D2357" s="1">
        <v>22666.0</v>
      </c>
      <c r="E2357" s="1" t="str">
        <f>IFERROR(__xludf.DUMMYFUNCTION("IF(LEN(D2357)&gt;4, IFERROR(REGEXEXTRACT(TO_TEXT(D2357),""\d+""),""""),"""")"),"22666")</f>
        <v>22666</v>
      </c>
      <c r="F2357" s="6" t="str">
        <f t="shared" si="3"/>
        <v>Product</v>
      </c>
      <c r="G2357" s="1" t="s">
        <v>781</v>
      </c>
      <c r="H2357" s="6" t="str">
        <f>IFERROR(__xludf.DUMMYFUNCTION("IF(REGEXMATCH(LOWER(G2357), ""^(\?)+\s*(missing)?\s*(\?)*$""), """", PROPER(SUBSTITUTE(SUBSTITUTE(G2357, ""?"", """"), ""*"", """")))"),"Recipe Box Pantry Yellow Design")</f>
        <v>Recipe Box Pantry Yellow Design</v>
      </c>
      <c r="I2357" s="3">
        <v>1.0</v>
      </c>
      <c r="J2357" s="7">
        <v>40598.768055555556</v>
      </c>
      <c r="K2357" s="8" t="str">
        <f t="shared" si="4"/>
        <v>2011-02</v>
      </c>
      <c r="L2357" s="5">
        <v>2.95</v>
      </c>
      <c r="M2357" s="3">
        <v>17472.0</v>
      </c>
      <c r="N2357" s="1" t="str">
        <f t="shared" si="5"/>
        <v>Registered</v>
      </c>
      <c r="O2357" s="1" t="s">
        <v>19</v>
      </c>
      <c r="P2357" s="9" t="str">
        <f t="shared" si="6"/>
        <v>UK</v>
      </c>
      <c r="Q2357" s="8">
        <f t="shared" si="7"/>
        <v>2.95</v>
      </c>
    </row>
    <row r="2358">
      <c r="A2358" s="1">
        <v>544930.0</v>
      </c>
      <c r="B2358" s="1" t="str">
        <f t="shared" si="1"/>
        <v>544930</v>
      </c>
      <c r="C2358" s="1" t="str">
        <f t="shared" si="2"/>
        <v>Sale</v>
      </c>
      <c r="D2358" s="1">
        <v>22667.0</v>
      </c>
      <c r="E2358" s="1" t="str">
        <f>IFERROR(__xludf.DUMMYFUNCTION("IF(LEN(D2358)&gt;4, IFERROR(REGEXEXTRACT(TO_TEXT(D2358),""\d+""),""""),"""")"),"22667")</f>
        <v>22667</v>
      </c>
      <c r="F2358" s="6" t="str">
        <f t="shared" si="3"/>
        <v>Product</v>
      </c>
      <c r="G2358" s="1" t="s">
        <v>1004</v>
      </c>
      <c r="H2358" s="6" t="str">
        <f>IFERROR(__xludf.DUMMYFUNCTION("IF(REGEXMATCH(LOWER(G2358), ""^(\?)+\s*(missing)?\s*(\?)*$""), """", PROPER(SUBSTITUTE(SUBSTITUTE(G2358, ""?"", """"), ""*"", """")))"),"Recipe Box Retrospot")</f>
        <v>Recipe Box Retrospot</v>
      </c>
      <c r="I2358" s="3">
        <v>2.0</v>
      </c>
      <c r="J2358" s="7">
        <v>40598.768055555556</v>
      </c>
      <c r="K2358" s="8" t="str">
        <f t="shared" si="4"/>
        <v>2011-02</v>
      </c>
      <c r="L2358" s="5">
        <v>2.95</v>
      </c>
      <c r="M2358" s="3">
        <v>17472.0</v>
      </c>
      <c r="N2358" s="1" t="str">
        <f t="shared" si="5"/>
        <v>Registered</v>
      </c>
      <c r="O2358" s="1" t="s">
        <v>19</v>
      </c>
      <c r="P2358" s="9" t="str">
        <f t="shared" si="6"/>
        <v>UK</v>
      </c>
      <c r="Q2358" s="8">
        <f t="shared" si="7"/>
        <v>5.9</v>
      </c>
    </row>
    <row r="2359">
      <c r="A2359" s="1">
        <v>544930.0</v>
      </c>
      <c r="B2359" s="1" t="str">
        <f t="shared" si="1"/>
        <v>544930</v>
      </c>
      <c r="C2359" s="1" t="str">
        <f t="shared" si="2"/>
        <v>Sale</v>
      </c>
      <c r="D2359" s="1">
        <v>21124.0</v>
      </c>
      <c r="E2359" s="1" t="str">
        <f>IFERROR(__xludf.DUMMYFUNCTION("IF(LEN(D2359)&gt;4, IFERROR(REGEXEXTRACT(TO_TEXT(D2359),""\d+""),""""),"""")"),"21124")</f>
        <v>21124</v>
      </c>
      <c r="F2359" s="6" t="str">
        <f t="shared" si="3"/>
        <v>Product</v>
      </c>
      <c r="G2359" s="1" t="s">
        <v>584</v>
      </c>
      <c r="H2359" s="6" t="str">
        <f>IFERROR(__xludf.DUMMYFUNCTION("IF(REGEXMATCH(LOWER(G2359), ""^(\?)+\s*(missing)?\s*(\?)*$""), """", PROPER(SUBSTITUTE(SUBSTITUTE(G2359, ""?"", """"), ""*"", """")))"),"Set/10 Blue Polkadot Party Candles")</f>
        <v>Set/10 Blue Polkadot Party Candles</v>
      </c>
      <c r="I2359" s="3">
        <v>1.0</v>
      </c>
      <c r="J2359" s="7">
        <v>40598.768055555556</v>
      </c>
      <c r="K2359" s="8" t="str">
        <f t="shared" si="4"/>
        <v>2011-02</v>
      </c>
      <c r="L2359" s="5">
        <v>1.25</v>
      </c>
      <c r="M2359" s="3">
        <v>17472.0</v>
      </c>
      <c r="N2359" s="1" t="str">
        <f t="shared" si="5"/>
        <v>Registered</v>
      </c>
      <c r="O2359" s="1" t="s">
        <v>19</v>
      </c>
      <c r="P2359" s="9" t="str">
        <f t="shared" si="6"/>
        <v>UK</v>
      </c>
      <c r="Q2359" s="8">
        <f t="shared" si="7"/>
        <v>1.25</v>
      </c>
    </row>
    <row r="2360">
      <c r="A2360" s="1">
        <v>544930.0</v>
      </c>
      <c r="B2360" s="1" t="str">
        <f t="shared" si="1"/>
        <v>544930</v>
      </c>
      <c r="C2360" s="1" t="str">
        <f t="shared" si="2"/>
        <v>Sale</v>
      </c>
      <c r="D2360" s="1">
        <v>21122.0</v>
      </c>
      <c r="E2360" s="1" t="str">
        <f>IFERROR(__xludf.DUMMYFUNCTION("IF(LEN(D2360)&gt;4, IFERROR(REGEXEXTRACT(TO_TEXT(D2360),""\d+""),""""),"""")"),"21122")</f>
        <v>21122</v>
      </c>
      <c r="F2360" s="6" t="str">
        <f t="shared" si="3"/>
        <v>Product</v>
      </c>
      <c r="G2360" s="1" t="s">
        <v>302</v>
      </c>
      <c r="H2360" s="6" t="str">
        <f>IFERROR(__xludf.DUMMYFUNCTION("IF(REGEXMATCH(LOWER(G2360), ""^(\?)+\s*(missing)?\s*(\?)*$""), """", PROPER(SUBSTITUTE(SUBSTITUTE(G2360, ""?"", """"), ""*"", """")))"),"Set/10 Pink Polkadot Party Candles")</f>
        <v>Set/10 Pink Polkadot Party Candles</v>
      </c>
      <c r="I2360" s="3">
        <v>1.0</v>
      </c>
      <c r="J2360" s="7">
        <v>40598.768055555556</v>
      </c>
      <c r="K2360" s="8" t="str">
        <f t="shared" si="4"/>
        <v>2011-02</v>
      </c>
      <c r="L2360" s="5">
        <v>1.25</v>
      </c>
      <c r="M2360" s="3">
        <v>17472.0</v>
      </c>
      <c r="N2360" s="1" t="str">
        <f t="shared" si="5"/>
        <v>Registered</v>
      </c>
      <c r="O2360" s="1" t="s">
        <v>19</v>
      </c>
      <c r="P2360" s="9" t="str">
        <f t="shared" si="6"/>
        <v>UK</v>
      </c>
      <c r="Q2360" s="8">
        <f t="shared" si="7"/>
        <v>1.25</v>
      </c>
    </row>
    <row r="2361">
      <c r="A2361" s="1">
        <v>544930.0</v>
      </c>
      <c r="B2361" s="1" t="str">
        <f t="shared" si="1"/>
        <v>544930</v>
      </c>
      <c r="C2361" s="1" t="str">
        <f t="shared" si="2"/>
        <v>Sale</v>
      </c>
      <c r="D2361" s="1">
        <v>21121.0</v>
      </c>
      <c r="E2361" s="1" t="str">
        <f>IFERROR(__xludf.DUMMYFUNCTION("IF(LEN(D2361)&gt;4, IFERROR(REGEXEXTRACT(TO_TEXT(D2361),""\d+""),""""),"""")"),"21121")</f>
        <v>21121</v>
      </c>
      <c r="F2361" s="6" t="str">
        <f t="shared" si="3"/>
        <v>Product</v>
      </c>
      <c r="G2361" s="1" t="s">
        <v>558</v>
      </c>
      <c r="H2361" s="6" t="str">
        <f>IFERROR(__xludf.DUMMYFUNCTION("IF(REGEXMATCH(LOWER(G2361), ""^(\?)+\s*(missing)?\s*(\?)*$""), """", PROPER(SUBSTITUTE(SUBSTITUTE(G2361, ""?"", """"), ""*"", """")))"),"Set/10 Red Polkadot Party Candles")</f>
        <v>Set/10 Red Polkadot Party Candles</v>
      </c>
      <c r="I2361" s="3">
        <v>1.0</v>
      </c>
      <c r="J2361" s="7">
        <v>40598.768055555556</v>
      </c>
      <c r="K2361" s="8" t="str">
        <f t="shared" si="4"/>
        <v>2011-02</v>
      </c>
      <c r="L2361" s="5">
        <v>1.25</v>
      </c>
      <c r="M2361" s="3">
        <v>17472.0</v>
      </c>
      <c r="N2361" s="1" t="str">
        <f t="shared" si="5"/>
        <v>Registered</v>
      </c>
      <c r="O2361" s="1" t="s">
        <v>19</v>
      </c>
      <c r="P2361" s="9" t="str">
        <f t="shared" si="6"/>
        <v>UK</v>
      </c>
      <c r="Q2361" s="8">
        <f t="shared" si="7"/>
        <v>1.25</v>
      </c>
    </row>
    <row r="2362">
      <c r="A2362" s="1">
        <v>544930.0</v>
      </c>
      <c r="B2362" s="1" t="str">
        <f t="shared" si="1"/>
        <v>544930</v>
      </c>
      <c r="C2362" s="1" t="str">
        <f t="shared" si="2"/>
        <v>Sale</v>
      </c>
      <c r="D2362" s="1">
        <v>22558.0</v>
      </c>
      <c r="E2362" s="1" t="str">
        <f>IFERROR(__xludf.DUMMYFUNCTION("IF(LEN(D2362)&gt;4, IFERROR(REGEXEXTRACT(TO_TEXT(D2362),""\d+""),""""),"""")"),"22558")</f>
        <v>22558</v>
      </c>
      <c r="F2362" s="6" t="str">
        <f t="shared" si="3"/>
        <v>Product</v>
      </c>
      <c r="G2362" s="1" t="s">
        <v>250</v>
      </c>
      <c r="H2362" s="6" t="str">
        <f>IFERROR(__xludf.DUMMYFUNCTION("IF(REGEXMATCH(LOWER(G2362), ""^(\?)+\s*(missing)?\s*(\?)*$""), """", PROPER(SUBSTITUTE(SUBSTITUTE(G2362, ""?"", """"), ""*"", """")))"),"Clothes Pegs Retrospot Pack 24")</f>
        <v>Clothes Pegs Retrospot Pack 24</v>
      </c>
      <c r="I2362" s="3">
        <v>2.0</v>
      </c>
      <c r="J2362" s="7">
        <v>40598.768055555556</v>
      </c>
      <c r="K2362" s="8" t="str">
        <f t="shared" si="4"/>
        <v>2011-02</v>
      </c>
      <c r="L2362" s="5">
        <v>1.49</v>
      </c>
      <c r="M2362" s="3">
        <v>17472.0</v>
      </c>
      <c r="N2362" s="1" t="str">
        <f t="shared" si="5"/>
        <v>Registered</v>
      </c>
      <c r="O2362" s="1" t="s">
        <v>19</v>
      </c>
      <c r="P2362" s="9" t="str">
        <f t="shared" si="6"/>
        <v>UK</v>
      </c>
      <c r="Q2362" s="8">
        <f t="shared" si="7"/>
        <v>2.98</v>
      </c>
    </row>
    <row r="2363">
      <c r="A2363" s="1">
        <v>544930.0</v>
      </c>
      <c r="B2363" s="1" t="str">
        <f t="shared" si="1"/>
        <v>544930</v>
      </c>
      <c r="C2363" s="1" t="str">
        <f t="shared" si="2"/>
        <v>Sale</v>
      </c>
      <c r="D2363" s="1">
        <v>22456.0</v>
      </c>
      <c r="E2363" s="1" t="str">
        <f>IFERROR(__xludf.DUMMYFUNCTION("IF(LEN(D2363)&gt;4, IFERROR(REGEXEXTRACT(TO_TEXT(D2363),""\d+""),""""),"""")"),"22456")</f>
        <v>22456</v>
      </c>
      <c r="F2363" s="6" t="str">
        <f t="shared" si="3"/>
        <v>Product</v>
      </c>
      <c r="G2363" s="1" t="s">
        <v>793</v>
      </c>
      <c r="H2363" s="6" t="str">
        <f>IFERROR(__xludf.DUMMYFUNCTION("IF(REGEXMATCH(LOWER(G2363), ""^(\?)+\s*(missing)?\s*(\?)*$""), """", PROPER(SUBSTITUTE(SUBSTITUTE(G2363, ""?"", """"), ""*"", """")))"),"Natural Slate Chalkboard Large")</f>
        <v>Natural Slate Chalkboard Large</v>
      </c>
      <c r="I2363" s="3">
        <v>2.0</v>
      </c>
      <c r="J2363" s="7">
        <v>40598.768055555556</v>
      </c>
      <c r="K2363" s="8" t="str">
        <f t="shared" si="4"/>
        <v>2011-02</v>
      </c>
      <c r="L2363" s="5">
        <v>4.95</v>
      </c>
      <c r="M2363" s="3">
        <v>17472.0</v>
      </c>
      <c r="N2363" s="1" t="str">
        <f t="shared" si="5"/>
        <v>Registered</v>
      </c>
      <c r="O2363" s="1" t="s">
        <v>19</v>
      </c>
      <c r="P2363" s="9" t="str">
        <f t="shared" si="6"/>
        <v>UK</v>
      </c>
      <c r="Q2363" s="8">
        <f t="shared" si="7"/>
        <v>9.9</v>
      </c>
    </row>
    <row r="2364">
      <c r="A2364" s="1">
        <v>544930.0</v>
      </c>
      <c r="B2364" s="1" t="str">
        <f t="shared" si="1"/>
        <v>544930</v>
      </c>
      <c r="C2364" s="1" t="str">
        <f t="shared" si="2"/>
        <v>Sale</v>
      </c>
      <c r="D2364" s="1">
        <v>20914.0</v>
      </c>
      <c r="E2364" s="1" t="str">
        <f>IFERROR(__xludf.DUMMYFUNCTION("IF(LEN(D2364)&gt;4, IFERROR(REGEXEXTRACT(TO_TEXT(D2364),""\d+""),""""),"""")"),"20914")</f>
        <v>20914</v>
      </c>
      <c r="F2364" s="6" t="str">
        <f t="shared" si="3"/>
        <v>Product</v>
      </c>
      <c r="G2364" s="1" t="s">
        <v>359</v>
      </c>
      <c r="H2364" s="6" t="str">
        <f>IFERROR(__xludf.DUMMYFUNCTION("IF(REGEXMATCH(LOWER(G2364), ""^(\?)+\s*(missing)?\s*(\?)*$""), """", PROPER(SUBSTITUTE(SUBSTITUTE(G2364, ""?"", """"), ""*"", """")))"),"Set/5 Red Retrospot Lid Glass Bowls")</f>
        <v>Set/5 Red Retrospot Lid Glass Bowls</v>
      </c>
      <c r="I2364" s="3">
        <v>2.0</v>
      </c>
      <c r="J2364" s="7">
        <v>40598.768055555556</v>
      </c>
      <c r="K2364" s="8" t="str">
        <f t="shared" si="4"/>
        <v>2011-02</v>
      </c>
      <c r="L2364" s="5">
        <v>2.95</v>
      </c>
      <c r="M2364" s="3">
        <v>17472.0</v>
      </c>
      <c r="N2364" s="1" t="str">
        <f t="shared" si="5"/>
        <v>Registered</v>
      </c>
      <c r="O2364" s="1" t="s">
        <v>19</v>
      </c>
      <c r="P2364" s="9" t="str">
        <f t="shared" si="6"/>
        <v>UK</v>
      </c>
      <c r="Q2364" s="8">
        <f t="shared" si="7"/>
        <v>5.9</v>
      </c>
    </row>
    <row r="2365">
      <c r="A2365" s="1">
        <v>544930.0</v>
      </c>
      <c r="B2365" s="1" t="str">
        <f t="shared" si="1"/>
        <v>544930</v>
      </c>
      <c r="C2365" s="1" t="str">
        <f t="shared" si="2"/>
        <v>Sale</v>
      </c>
      <c r="D2365" s="1">
        <v>21216.0</v>
      </c>
      <c r="E2365" s="1" t="str">
        <f>IFERROR(__xludf.DUMMYFUNCTION("IF(LEN(D2365)&gt;4, IFERROR(REGEXEXTRACT(TO_TEXT(D2365),""\d+""),""""),"""")"),"21216")</f>
        <v>21216</v>
      </c>
      <c r="F2365" s="6" t="str">
        <f t="shared" si="3"/>
        <v>Product</v>
      </c>
      <c r="G2365" s="1" t="s">
        <v>819</v>
      </c>
      <c r="H2365" s="6" t="str">
        <f>IFERROR(__xludf.DUMMYFUNCTION("IF(REGEXMATCH(LOWER(G2365), ""^(\?)+\s*(missing)?\s*(\?)*$""), """", PROPER(SUBSTITUTE(SUBSTITUTE(G2365, ""?"", """"), ""*"", """")))"),"Set 3 Retrospot Tea,Coffee,Sugar")</f>
        <v>Set 3 Retrospot Tea,Coffee,Sugar</v>
      </c>
      <c r="I2365" s="3">
        <v>1.0</v>
      </c>
      <c r="J2365" s="7">
        <v>40598.768055555556</v>
      </c>
      <c r="K2365" s="8" t="str">
        <f t="shared" si="4"/>
        <v>2011-02</v>
      </c>
      <c r="L2365" s="5">
        <v>4.95</v>
      </c>
      <c r="M2365" s="3">
        <v>17472.0</v>
      </c>
      <c r="N2365" s="1" t="str">
        <f t="shared" si="5"/>
        <v>Registered</v>
      </c>
      <c r="O2365" s="1" t="s">
        <v>19</v>
      </c>
      <c r="P2365" s="9" t="str">
        <f t="shared" si="6"/>
        <v>UK</v>
      </c>
      <c r="Q2365" s="8">
        <f t="shared" si="7"/>
        <v>4.95</v>
      </c>
    </row>
    <row r="2366">
      <c r="A2366" s="1">
        <v>544930.0</v>
      </c>
      <c r="B2366" s="1" t="str">
        <f t="shared" si="1"/>
        <v>544930</v>
      </c>
      <c r="C2366" s="1" t="str">
        <f t="shared" si="2"/>
        <v>Sale</v>
      </c>
      <c r="D2366" s="1">
        <v>21980.0</v>
      </c>
      <c r="E2366" s="1" t="str">
        <f>IFERROR(__xludf.DUMMYFUNCTION("IF(LEN(D2366)&gt;4, IFERROR(REGEXEXTRACT(TO_TEXT(D2366),""\d+""),""""),"""")"),"21980")</f>
        <v>21980</v>
      </c>
      <c r="F2366" s="6" t="str">
        <f t="shared" si="3"/>
        <v>Product</v>
      </c>
      <c r="G2366" s="1" t="s">
        <v>231</v>
      </c>
      <c r="H2366" s="6" t="str">
        <f>IFERROR(__xludf.DUMMYFUNCTION("IF(REGEXMATCH(LOWER(G2366), ""^(\?)+\s*(missing)?\s*(\?)*$""), """", PROPER(SUBSTITUTE(SUBSTITUTE(G2366, ""?"", """"), ""*"", """")))"),"Pack Of 12 Red Retrospot Tissues")</f>
        <v>Pack Of 12 Red Retrospot Tissues</v>
      </c>
      <c r="I2366" s="3">
        <v>12.0</v>
      </c>
      <c r="J2366" s="7">
        <v>40598.768055555556</v>
      </c>
      <c r="K2366" s="8" t="str">
        <f t="shared" si="4"/>
        <v>2011-02</v>
      </c>
      <c r="L2366" s="5">
        <v>0.29</v>
      </c>
      <c r="M2366" s="3">
        <v>17472.0</v>
      </c>
      <c r="N2366" s="1" t="str">
        <f t="shared" si="5"/>
        <v>Registered</v>
      </c>
      <c r="O2366" s="1" t="s">
        <v>19</v>
      </c>
      <c r="P2366" s="9" t="str">
        <f t="shared" si="6"/>
        <v>UK</v>
      </c>
      <c r="Q2366" s="8">
        <f t="shared" si="7"/>
        <v>3.48</v>
      </c>
    </row>
    <row r="2367">
      <c r="A2367" s="1">
        <v>544930.0</v>
      </c>
      <c r="B2367" s="1" t="str">
        <f t="shared" si="1"/>
        <v>544930</v>
      </c>
      <c r="C2367" s="1" t="str">
        <f t="shared" si="2"/>
        <v>Sale</v>
      </c>
      <c r="D2367" s="1">
        <v>22723.0</v>
      </c>
      <c r="E2367" s="1" t="str">
        <f>IFERROR(__xludf.DUMMYFUNCTION("IF(LEN(D2367)&gt;4, IFERROR(REGEXEXTRACT(TO_TEXT(D2367),""\d+""),""""),"""")"),"22723")</f>
        <v>22723</v>
      </c>
      <c r="F2367" s="6" t="str">
        <f t="shared" si="3"/>
        <v>Product</v>
      </c>
      <c r="G2367" s="1" t="s">
        <v>1200</v>
      </c>
      <c r="H2367" s="6" t="str">
        <f>IFERROR(__xludf.DUMMYFUNCTION("IF(REGEXMATCH(LOWER(G2367), ""^(\?)+\s*(missing)?\s*(\?)*$""), """", PROPER(SUBSTITUTE(SUBSTITUTE(G2367, ""?"", """"), ""*"", """")))"),"Set Of 6 Herb Tins Sketchbook")</f>
        <v>Set Of 6 Herb Tins Sketchbook</v>
      </c>
      <c r="I2367" s="3">
        <v>2.0</v>
      </c>
      <c r="J2367" s="7">
        <v>40598.768055555556</v>
      </c>
      <c r="K2367" s="8" t="str">
        <f t="shared" si="4"/>
        <v>2011-02</v>
      </c>
      <c r="L2367" s="5">
        <v>3.95</v>
      </c>
      <c r="M2367" s="3">
        <v>17472.0</v>
      </c>
      <c r="N2367" s="1" t="str">
        <f t="shared" si="5"/>
        <v>Registered</v>
      </c>
      <c r="O2367" s="1" t="s">
        <v>19</v>
      </c>
      <c r="P2367" s="9" t="str">
        <f t="shared" si="6"/>
        <v>UK</v>
      </c>
      <c r="Q2367" s="8">
        <f t="shared" si="7"/>
        <v>7.9</v>
      </c>
    </row>
    <row r="2368">
      <c r="A2368" s="1">
        <v>544930.0</v>
      </c>
      <c r="B2368" s="1" t="str">
        <f t="shared" si="1"/>
        <v>544930</v>
      </c>
      <c r="C2368" s="1" t="str">
        <f t="shared" si="2"/>
        <v>Sale</v>
      </c>
      <c r="D2368" s="1">
        <v>20894.0</v>
      </c>
      <c r="E2368" s="1" t="str">
        <f>IFERROR(__xludf.DUMMYFUNCTION("IF(LEN(D2368)&gt;4, IFERROR(REGEXEXTRACT(TO_TEXT(D2368),""\d+""),""""),"""")"),"20894")</f>
        <v>20894</v>
      </c>
      <c r="F2368" s="6" t="str">
        <f t="shared" si="3"/>
        <v>Product</v>
      </c>
      <c r="G2368" s="1" t="s">
        <v>1266</v>
      </c>
      <c r="H2368" s="6" t="str">
        <f>IFERROR(__xludf.DUMMYFUNCTION("IF(REGEXMATCH(LOWER(G2368), ""^(\?)+\s*(missing)?\s*(\?)*$""), """", PROPER(SUBSTITUTE(SUBSTITUTE(G2368, ""?"", """"), ""*"", """")))"),"Hanging Bauble T-Light Holder Large")</f>
        <v>Hanging Bauble T-Light Holder Large</v>
      </c>
      <c r="I2368" s="3">
        <v>1.0</v>
      </c>
      <c r="J2368" s="7">
        <v>40598.768055555556</v>
      </c>
      <c r="K2368" s="8" t="str">
        <f t="shared" si="4"/>
        <v>2011-02</v>
      </c>
      <c r="L2368" s="5">
        <v>2.95</v>
      </c>
      <c r="M2368" s="3">
        <v>17472.0</v>
      </c>
      <c r="N2368" s="1" t="str">
        <f t="shared" si="5"/>
        <v>Registered</v>
      </c>
      <c r="O2368" s="1" t="s">
        <v>19</v>
      </c>
      <c r="P2368" s="9" t="str">
        <f t="shared" si="6"/>
        <v>UK</v>
      </c>
      <c r="Q2368" s="8">
        <f t="shared" si="7"/>
        <v>2.95</v>
      </c>
    </row>
    <row r="2369">
      <c r="A2369" s="1">
        <v>544930.0</v>
      </c>
      <c r="B2369" s="1" t="str">
        <f t="shared" si="1"/>
        <v>544930</v>
      </c>
      <c r="C2369" s="1" t="str">
        <f t="shared" si="2"/>
        <v>Sale</v>
      </c>
      <c r="D2369" s="1">
        <v>22722.0</v>
      </c>
      <c r="E2369" s="1" t="str">
        <f>IFERROR(__xludf.DUMMYFUNCTION("IF(LEN(D2369)&gt;4, IFERROR(REGEXEXTRACT(TO_TEXT(D2369),""\d+""),""""),"""")"),"22722")</f>
        <v>22722</v>
      </c>
      <c r="F2369" s="6" t="str">
        <f t="shared" si="3"/>
        <v>Product</v>
      </c>
      <c r="G2369" s="1" t="s">
        <v>686</v>
      </c>
      <c r="H2369" s="6" t="str">
        <f>IFERROR(__xludf.DUMMYFUNCTION("IF(REGEXMATCH(LOWER(G2369), ""^(\?)+\s*(missing)?\s*(\?)*$""), """", PROPER(SUBSTITUTE(SUBSTITUTE(G2369, ""?"", """"), ""*"", """")))"),"Set Of 6 Spice Tins Pantry Design")</f>
        <v>Set Of 6 Spice Tins Pantry Design</v>
      </c>
      <c r="I2369" s="3">
        <v>1.0</v>
      </c>
      <c r="J2369" s="7">
        <v>40598.768055555556</v>
      </c>
      <c r="K2369" s="8" t="str">
        <f t="shared" si="4"/>
        <v>2011-02</v>
      </c>
      <c r="L2369" s="5">
        <v>3.95</v>
      </c>
      <c r="M2369" s="3">
        <v>17472.0</v>
      </c>
      <c r="N2369" s="1" t="str">
        <f t="shared" si="5"/>
        <v>Registered</v>
      </c>
      <c r="O2369" s="1" t="s">
        <v>19</v>
      </c>
      <c r="P2369" s="9" t="str">
        <f t="shared" si="6"/>
        <v>UK</v>
      </c>
      <c r="Q2369" s="8">
        <f t="shared" si="7"/>
        <v>3.95</v>
      </c>
    </row>
    <row r="2370">
      <c r="A2370" s="1">
        <v>544930.0</v>
      </c>
      <c r="B2370" s="1" t="str">
        <f t="shared" si="1"/>
        <v>544930</v>
      </c>
      <c r="C2370" s="1" t="str">
        <f t="shared" si="2"/>
        <v>Sale</v>
      </c>
      <c r="D2370" s="1">
        <v>22723.0</v>
      </c>
      <c r="E2370" s="1" t="str">
        <f>IFERROR(__xludf.DUMMYFUNCTION("IF(LEN(D2370)&gt;4, IFERROR(REGEXEXTRACT(TO_TEXT(D2370),""\d+""),""""),"""")"),"22723")</f>
        <v>22723</v>
      </c>
      <c r="F2370" s="6" t="str">
        <f t="shared" si="3"/>
        <v>Product</v>
      </c>
      <c r="G2370" s="1" t="s">
        <v>1200</v>
      </c>
      <c r="H2370" s="6" t="str">
        <f>IFERROR(__xludf.DUMMYFUNCTION("IF(REGEXMATCH(LOWER(G2370), ""^(\?)+\s*(missing)?\s*(\?)*$""), """", PROPER(SUBSTITUTE(SUBSTITUTE(G2370, ""?"", """"), ""*"", """")))"),"Set Of 6 Herb Tins Sketchbook")</f>
        <v>Set Of 6 Herb Tins Sketchbook</v>
      </c>
      <c r="I2370" s="3">
        <v>1.0</v>
      </c>
      <c r="J2370" s="7">
        <v>40598.768055555556</v>
      </c>
      <c r="K2370" s="8" t="str">
        <f t="shared" si="4"/>
        <v>2011-02</v>
      </c>
      <c r="L2370" s="5">
        <v>3.95</v>
      </c>
      <c r="M2370" s="3">
        <v>17472.0</v>
      </c>
      <c r="N2370" s="1" t="str">
        <f t="shared" si="5"/>
        <v>Registered</v>
      </c>
      <c r="O2370" s="1" t="s">
        <v>19</v>
      </c>
      <c r="P2370" s="9" t="str">
        <f t="shared" si="6"/>
        <v>UK</v>
      </c>
      <c r="Q2370" s="8">
        <f t="shared" si="7"/>
        <v>3.95</v>
      </c>
    </row>
    <row r="2371">
      <c r="A2371" s="1">
        <v>544930.0</v>
      </c>
      <c r="B2371" s="1" t="str">
        <f t="shared" si="1"/>
        <v>544930</v>
      </c>
      <c r="C2371" s="1" t="str">
        <f t="shared" si="2"/>
        <v>Sale</v>
      </c>
      <c r="D2371" s="1">
        <v>71459.0</v>
      </c>
      <c r="E2371" s="1" t="str">
        <f>IFERROR(__xludf.DUMMYFUNCTION("IF(LEN(D2371)&gt;4, IFERROR(REGEXEXTRACT(TO_TEXT(D2371),""\d+""),""""),"""")"),"71459")</f>
        <v>71459</v>
      </c>
      <c r="F2371" s="6" t="str">
        <f t="shared" si="3"/>
        <v>Product</v>
      </c>
      <c r="G2371" s="1" t="s">
        <v>881</v>
      </c>
      <c r="H2371" s="6" t="str">
        <f>IFERROR(__xludf.DUMMYFUNCTION("IF(REGEXMATCH(LOWER(G2371), ""^(\?)+\s*(missing)?\s*(\?)*$""), """", PROPER(SUBSTITUTE(SUBSTITUTE(G2371, ""?"", """"), ""*"", """")))"),"Hanging Jam Jar T-Light Holder")</f>
        <v>Hanging Jam Jar T-Light Holder</v>
      </c>
      <c r="I2371" s="3">
        <v>12.0</v>
      </c>
      <c r="J2371" s="7">
        <v>40598.768055555556</v>
      </c>
      <c r="K2371" s="8" t="str">
        <f t="shared" si="4"/>
        <v>2011-02</v>
      </c>
      <c r="L2371" s="5">
        <v>0.85</v>
      </c>
      <c r="M2371" s="3">
        <v>17472.0</v>
      </c>
      <c r="N2371" s="1" t="str">
        <f t="shared" si="5"/>
        <v>Registered</v>
      </c>
      <c r="O2371" s="1" t="s">
        <v>19</v>
      </c>
      <c r="P2371" s="9" t="str">
        <f t="shared" si="6"/>
        <v>UK</v>
      </c>
      <c r="Q2371" s="8">
        <f t="shared" si="7"/>
        <v>10.2</v>
      </c>
    </row>
    <row r="2372">
      <c r="A2372" s="1">
        <v>544930.0</v>
      </c>
      <c r="B2372" s="1" t="str">
        <f t="shared" si="1"/>
        <v>544930</v>
      </c>
      <c r="C2372" s="1" t="str">
        <f t="shared" si="2"/>
        <v>Sale</v>
      </c>
      <c r="D2372" s="1">
        <v>22477.0</v>
      </c>
      <c r="E2372" s="1" t="str">
        <f>IFERROR(__xludf.DUMMYFUNCTION("IF(LEN(D2372)&gt;4, IFERROR(REGEXEXTRACT(TO_TEXT(D2372),""\d+""),""""),"""")"),"22477")</f>
        <v>22477</v>
      </c>
      <c r="F2372" s="6" t="str">
        <f t="shared" si="3"/>
        <v>Product</v>
      </c>
      <c r="G2372" s="1" t="s">
        <v>1267</v>
      </c>
      <c r="H2372" s="6" t="str">
        <f>IFERROR(__xludf.DUMMYFUNCTION("IF(REGEXMATCH(LOWER(G2372), ""^(\?)+\s*(missing)?\s*(\?)*$""), """", PROPER(SUBSTITUTE(SUBSTITUTE(G2372, ""?"", """"), ""*"", """")))"),"Watering Can Garden Marker")</f>
        <v>Watering Can Garden Marker</v>
      </c>
      <c r="I2372" s="3">
        <v>10.0</v>
      </c>
      <c r="J2372" s="7">
        <v>40598.768055555556</v>
      </c>
      <c r="K2372" s="8" t="str">
        <f t="shared" si="4"/>
        <v>2011-02</v>
      </c>
      <c r="L2372" s="5">
        <v>1.25</v>
      </c>
      <c r="M2372" s="3">
        <v>17472.0</v>
      </c>
      <c r="N2372" s="1" t="str">
        <f t="shared" si="5"/>
        <v>Registered</v>
      </c>
      <c r="O2372" s="1" t="s">
        <v>19</v>
      </c>
      <c r="P2372" s="9" t="str">
        <f t="shared" si="6"/>
        <v>UK</v>
      </c>
      <c r="Q2372" s="8">
        <f t="shared" si="7"/>
        <v>12.5</v>
      </c>
    </row>
    <row r="2373">
      <c r="A2373" s="1">
        <v>544930.0</v>
      </c>
      <c r="B2373" s="1" t="str">
        <f t="shared" si="1"/>
        <v>544930</v>
      </c>
      <c r="C2373" s="1" t="str">
        <f t="shared" si="2"/>
        <v>Sale</v>
      </c>
      <c r="D2373" s="1">
        <v>22479.0</v>
      </c>
      <c r="E2373" s="1" t="str">
        <f>IFERROR(__xludf.DUMMYFUNCTION("IF(LEN(D2373)&gt;4, IFERROR(REGEXEXTRACT(TO_TEXT(D2373),""\d+""),""""),"""")"),"22479")</f>
        <v>22479</v>
      </c>
      <c r="F2373" s="6" t="str">
        <f t="shared" si="3"/>
        <v>Product</v>
      </c>
      <c r="G2373" s="1" t="s">
        <v>1268</v>
      </c>
      <c r="H2373" s="6" t="str">
        <f>IFERROR(__xludf.DUMMYFUNCTION("IF(REGEXMATCH(LOWER(G2373), ""^(\?)+\s*(missing)?\s*(\?)*$""), """", PROPER(SUBSTITUTE(SUBSTITUTE(G2373, ""?"", """"), ""*"", """")))"),"Daisy Garden Marker")</f>
        <v>Daisy Garden Marker</v>
      </c>
      <c r="I2373" s="3">
        <v>10.0</v>
      </c>
      <c r="J2373" s="7">
        <v>40598.768055555556</v>
      </c>
      <c r="K2373" s="8" t="str">
        <f t="shared" si="4"/>
        <v>2011-02</v>
      </c>
      <c r="L2373" s="5">
        <v>1.25</v>
      </c>
      <c r="M2373" s="3">
        <v>17472.0</v>
      </c>
      <c r="N2373" s="1" t="str">
        <f t="shared" si="5"/>
        <v>Registered</v>
      </c>
      <c r="O2373" s="1" t="s">
        <v>19</v>
      </c>
      <c r="P2373" s="9" t="str">
        <f t="shared" si="6"/>
        <v>UK</v>
      </c>
      <c r="Q2373" s="8">
        <f t="shared" si="7"/>
        <v>12.5</v>
      </c>
    </row>
    <row r="2374">
      <c r="A2374" s="1">
        <v>544930.0</v>
      </c>
      <c r="B2374" s="1" t="str">
        <f t="shared" si="1"/>
        <v>544930</v>
      </c>
      <c r="C2374" s="1" t="str">
        <f t="shared" si="2"/>
        <v>Sale</v>
      </c>
      <c r="D2374" s="1">
        <v>84755.0</v>
      </c>
      <c r="E2374" s="1" t="str">
        <f>IFERROR(__xludf.DUMMYFUNCTION("IF(LEN(D2374)&gt;4, IFERROR(REGEXEXTRACT(TO_TEXT(D2374),""\d+""),""""),"""")"),"84755")</f>
        <v>84755</v>
      </c>
      <c r="F2374" s="6" t="str">
        <f t="shared" si="3"/>
        <v>Product</v>
      </c>
      <c r="G2374" s="1" t="s">
        <v>163</v>
      </c>
      <c r="H2374" s="6" t="str">
        <f>IFERROR(__xludf.DUMMYFUNCTION("IF(REGEXMATCH(LOWER(G2374), ""^(\?)+\s*(missing)?\s*(\?)*$""), """", PROPER(SUBSTITUTE(SUBSTITUTE(G2374, ""?"", """"), ""*"", """")))"),"Colour Glass T-Light Holder Hanging")</f>
        <v>Colour Glass T-Light Holder Hanging</v>
      </c>
      <c r="I2374" s="3">
        <v>8.0</v>
      </c>
      <c r="J2374" s="7">
        <v>40598.768055555556</v>
      </c>
      <c r="K2374" s="8" t="str">
        <f t="shared" si="4"/>
        <v>2011-02</v>
      </c>
      <c r="L2374" s="5">
        <v>0.65</v>
      </c>
      <c r="M2374" s="3">
        <v>17472.0</v>
      </c>
      <c r="N2374" s="1" t="str">
        <f t="shared" si="5"/>
        <v>Registered</v>
      </c>
      <c r="O2374" s="1" t="s">
        <v>19</v>
      </c>
      <c r="P2374" s="9" t="str">
        <f t="shared" si="6"/>
        <v>UK</v>
      </c>
      <c r="Q2374" s="8">
        <f t="shared" si="7"/>
        <v>5.2</v>
      </c>
    </row>
    <row r="2375">
      <c r="A2375" s="1">
        <v>544930.0</v>
      </c>
      <c r="B2375" s="1" t="str">
        <f t="shared" si="1"/>
        <v>544930</v>
      </c>
      <c r="C2375" s="1" t="str">
        <f t="shared" si="2"/>
        <v>Sale</v>
      </c>
      <c r="D2375" s="1">
        <v>22722.0</v>
      </c>
      <c r="E2375" s="1" t="str">
        <f>IFERROR(__xludf.DUMMYFUNCTION("IF(LEN(D2375)&gt;4, IFERROR(REGEXEXTRACT(TO_TEXT(D2375),""\d+""),""""),"""")"),"22722")</f>
        <v>22722</v>
      </c>
      <c r="F2375" s="6" t="str">
        <f t="shared" si="3"/>
        <v>Product</v>
      </c>
      <c r="G2375" s="1" t="s">
        <v>686</v>
      </c>
      <c r="H2375" s="6" t="str">
        <f>IFERROR(__xludf.DUMMYFUNCTION("IF(REGEXMATCH(LOWER(G2375), ""^(\?)+\s*(missing)?\s*(\?)*$""), """", PROPER(SUBSTITUTE(SUBSTITUTE(G2375, ""?"", """"), ""*"", """")))"),"Set Of 6 Spice Tins Pantry Design")</f>
        <v>Set Of 6 Spice Tins Pantry Design</v>
      </c>
      <c r="I2375" s="3">
        <v>1.0</v>
      </c>
      <c r="J2375" s="7">
        <v>40598.768055555556</v>
      </c>
      <c r="K2375" s="8" t="str">
        <f t="shared" si="4"/>
        <v>2011-02</v>
      </c>
      <c r="L2375" s="5">
        <v>3.95</v>
      </c>
      <c r="M2375" s="3">
        <v>17472.0</v>
      </c>
      <c r="N2375" s="1" t="str">
        <f t="shared" si="5"/>
        <v>Registered</v>
      </c>
      <c r="O2375" s="1" t="s">
        <v>19</v>
      </c>
      <c r="P2375" s="9" t="str">
        <f t="shared" si="6"/>
        <v>UK</v>
      </c>
      <c r="Q2375" s="8">
        <f t="shared" si="7"/>
        <v>3.95</v>
      </c>
    </row>
    <row r="2376">
      <c r="A2376" s="1">
        <v>544930.0</v>
      </c>
      <c r="B2376" s="1" t="str">
        <f t="shared" si="1"/>
        <v>544930</v>
      </c>
      <c r="C2376" s="1" t="str">
        <f t="shared" si="2"/>
        <v>Sale</v>
      </c>
      <c r="D2376" s="1">
        <v>21034.0</v>
      </c>
      <c r="E2376" s="1" t="str">
        <f>IFERROR(__xludf.DUMMYFUNCTION("IF(LEN(D2376)&gt;4, IFERROR(REGEXEXTRACT(TO_TEXT(D2376),""\d+""),""""),"""")"),"21034")</f>
        <v>21034</v>
      </c>
      <c r="F2376" s="6" t="str">
        <f t="shared" si="3"/>
        <v>Product</v>
      </c>
      <c r="G2376" s="1" t="s">
        <v>452</v>
      </c>
      <c r="H2376" s="6" t="str">
        <f>IFERROR(__xludf.DUMMYFUNCTION("IF(REGEXMATCH(LOWER(G2376), ""^(\?)+\s*(missing)?\s*(\?)*$""), """", PROPER(SUBSTITUTE(SUBSTITUTE(G2376, ""?"", """"), ""*"", """")))"),"Rex Cash+Carry Jumbo Shopper")</f>
        <v>Rex Cash+Carry Jumbo Shopper</v>
      </c>
      <c r="I2376" s="3">
        <v>1.0</v>
      </c>
      <c r="J2376" s="7">
        <v>40598.768055555556</v>
      </c>
      <c r="K2376" s="8" t="str">
        <f t="shared" si="4"/>
        <v>2011-02</v>
      </c>
      <c r="L2376" s="5">
        <v>0.95</v>
      </c>
      <c r="M2376" s="3">
        <v>17472.0</v>
      </c>
      <c r="N2376" s="1" t="str">
        <f t="shared" si="5"/>
        <v>Registered</v>
      </c>
      <c r="O2376" s="1" t="s">
        <v>19</v>
      </c>
      <c r="P2376" s="9" t="str">
        <f t="shared" si="6"/>
        <v>UK</v>
      </c>
      <c r="Q2376" s="8">
        <f t="shared" si="7"/>
        <v>0.95</v>
      </c>
    </row>
    <row r="2377">
      <c r="A2377" s="1">
        <v>544931.0</v>
      </c>
      <c r="B2377" s="1" t="str">
        <f t="shared" si="1"/>
        <v>544931</v>
      </c>
      <c r="C2377" s="1" t="str">
        <f t="shared" si="2"/>
        <v>Sale</v>
      </c>
      <c r="D2377" s="1">
        <v>21680.0</v>
      </c>
      <c r="E2377" s="1" t="str">
        <f>IFERROR(__xludf.DUMMYFUNCTION("IF(LEN(D2377)&gt;4, IFERROR(REGEXEXTRACT(TO_TEXT(D2377),""\d+""),""""),"""")"),"21680")</f>
        <v>21680</v>
      </c>
      <c r="F2377" s="6" t="str">
        <f t="shared" si="3"/>
        <v>Product</v>
      </c>
      <c r="G2377" s="1" t="s">
        <v>1269</v>
      </c>
      <c r="H2377" s="6" t="str">
        <f>IFERROR(__xludf.DUMMYFUNCTION("IF(REGEXMATCH(LOWER(G2377), ""^(\?)+\s*(missing)?\s*(\?)*$""), """", PROPER(SUBSTITUTE(SUBSTITUTE(G2377, ""?"", """"), ""*"", """")))"),"Woodland Stickers")</f>
        <v>Woodland Stickers</v>
      </c>
      <c r="I2377" s="3">
        <v>12.0</v>
      </c>
      <c r="J2377" s="7">
        <v>40598.790972222225</v>
      </c>
      <c r="K2377" s="8" t="str">
        <f t="shared" si="4"/>
        <v>2011-02</v>
      </c>
      <c r="L2377" s="5">
        <v>0.85</v>
      </c>
      <c r="M2377" s="3">
        <v>13501.0</v>
      </c>
      <c r="N2377" s="1" t="str">
        <f t="shared" si="5"/>
        <v>Registered</v>
      </c>
      <c r="O2377" s="1" t="s">
        <v>1270</v>
      </c>
      <c r="P2377" s="9" t="str">
        <f t="shared" si="6"/>
        <v>International</v>
      </c>
      <c r="Q2377" s="8">
        <f t="shared" si="7"/>
        <v>10.2</v>
      </c>
    </row>
    <row r="2378">
      <c r="A2378" s="1">
        <v>544931.0</v>
      </c>
      <c r="B2378" s="1" t="str">
        <f t="shared" si="1"/>
        <v>544931</v>
      </c>
      <c r="C2378" s="1" t="str">
        <f t="shared" si="2"/>
        <v>Sale</v>
      </c>
      <c r="D2378" s="1">
        <v>22968.0</v>
      </c>
      <c r="E2378" s="1" t="str">
        <f>IFERROR(__xludf.DUMMYFUNCTION("IF(LEN(D2378)&gt;4, IFERROR(REGEXEXTRACT(TO_TEXT(D2378),""\d+""),""""),"""")"),"22968")</f>
        <v>22968</v>
      </c>
      <c r="F2378" s="6" t="str">
        <f t="shared" si="3"/>
        <v>Product</v>
      </c>
      <c r="G2378" s="1" t="s">
        <v>212</v>
      </c>
      <c r="H2378" s="6" t="str">
        <f>IFERROR(__xludf.DUMMYFUNCTION("IF(REGEXMATCH(LOWER(G2378), ""^(\?)+\s*(missing)?\s*(\?)*$""), """", PROPER(SUBSTITUTE(SUBSTITUTE(G2378, ""?"", """"), ""*"", """")))"),"Rose Cottage Keepsake Box")</f>
        <v>Rose Cottage Keepsake Box</v>
      </c>
      <c r="I2378" s="3">
        <v>8.0</v>
      </c>
      <c r="J2378" s="7">
        <v>40598.790972222225</v>
      </c>
      <c r="K2378" s="8" t="str">
        <f t="shared" si="4"/>
        <v>2011-02</v>
      </c>
      <c r="L2378" s="5">
        <v>8.5</v>
      </c>
      <c r="M2378" s="3">
        <v>13501.0</v>
      </c>
      <c r="N2378" s="1" t="str">
        <f t="shared" si="5"/>
        <v>Registered</v>
      </c>
      <c r="O2378" s="1" t="s">
        <v>1270</v>
      </c>
      <c r="P2378" s="9" t="str">
        <f t="shared" si="6"/>
        <v>International</v>
      </c>
      <c r="Q2378" s="8">
        <f t="shared" si="7"/>
        <v>68</v>
      </c>
    </row>
    <row r="2379">
      <c r="A2379" s="1">
        <v>544931.0</v>
      </c>
      <c r="B2379" s="1" t="str">
        <f t="shared" si="1"/>
        <v>544931</v>
      </c>
      <c r="C2379" s="1" t="str">
        <f t="shared" si="2"/>
        <v>Sale</v>
      </c>
      <c r="D2379" s="1">
        <v>22061.0</v>
      </c>
      <c r="E2379" s="1" t="str">
        <f>IFERROR(__xludf.DUMMYFUNCTION("IF(LEN(D2379)&gt;4, IFERROR(REGEXEXTRACT(TO_TEXT(D2379),""\d+""),""""),"""")"),"22061")</f>
        <v>22061</v>
      </c>
      <c r="F2379" s="6" t="str">
        <f t="shared" si="3"/>
        <v>Product</v>
      </c>
      <c r="G2379" s="1" t="s">
        <v>918</v>
      </c>
      <c r="H2379" s="6" t="str">
        <f>IFERROR(__xludf.DUMMYFUNCTION("IF(REGEXMATCH(LOWER(G2379), ""^(\?)+\s*(missing)?\s*(\?)*$""), """", PROPER(SUBSTITUTE(SUBSTITUTE(G2379, ""?"", """"), ""*"", """")))"),"Large Cake Stand Hanging Strawbery")</f>
        <v>Large Cake Stand Hanging Strawbery</v>
      </c>
      <c r="I2379" s="3">
        <v>2.0</v>
      </c>
      <c r="J2379" s="7">
        <v>40598.790972222225</v>
      </c>
      <c r="K2379" s="8" t="str">
        <f t="shared" si="4"/>
        <v>2011-02</v>
      </c>
      <c r="L2379" s="5">
        <v>9.95</v>
      </c>
      <c r="M2379" s="3">
        <v>13501.0</v>
      </c>
      <c r="N2379" s="1" t="str">
        <f t="shared" si="5"/>
        <v>Registered</v>
      </c>
      <c r="O2379" s="1" t="s">
        <v>1270</v>
      </c>
      <c r="P2379" s="9" t="str">
        <f t="shared" si="6"/>
        <v>International</v>
      </c>
      <c r="Q2379" s="8">
        <f t="shared" si="7"/>
        <v>19.9</v>
      </c>
    </row>
    <row r="2380">
      <c r="A2380" s="1">
        <v>544931.0</v>
      </c>
      <c r="B2380" s="1" t="str">
        <f t="shared" si="1"/>
        <v>544931</v>
      </c>
      <c r="C2380" s="1" t="str">
        <f t="shared" si="2"/>
        <v>Sale</v>
      </c>
      <c r="D2380" s="1">
        <v>37495.0</v>
      </c>
      <c r="E2380" s="1" t="str">
        <f>IFERROR(__xludf.DUMMYFUNCTION("IF(LEN(D2380)&gt;4, IFERROR(REGEXEXTRACT(TO_TEXT(D2380),""\d+""),""""),"""")"),"37495")</f>
        <v>37495</v>
      </c>
      <c r="F2380" s="6" t="str">
        <f t="shared" si="3"/>
        <v>Product</v>
      </c>
      <c r="G2380" s="1" t="s">
        <v>948</v>
      </c>
      <c r="H2380" s="6" t="str">
        <f>IFERROR(__xludf.DUMMYFUNCTION("IF(REGEXMATCH(LOWER(G2380), ""^(\?)+\s*(missing)?\s*(\?)*$""), """", PROPER(SUBSTITUTE(SUBSTITUTE(G2380, ""?"", """"), ""*"", """")))"),"Fairy Cake Birthday Candle Set")</f>
        <v>Fairy Cake Birthday Candle Set</v>
      </c>
      <c r="I2380" s="3">
        <v>4.0</v>
      </c>
      <c r="J2380" s="7">
        <v>40598.790972222225</v>
      </c>
      <c r="K2380" s="8" t="str">
        <f t="shared" si="4"/>
        <v>2011-02</v>
      </c>
      <c r="L2380" s="5">
        <v>3.75</v>
      </c>
      <c r="M2380" s="3">
        <v>13501.0</v>
      </c>
      <c r="N2380" s="1" t="str">
        <f t="shared" si="5"/>
        <v>Registered</v>
      </c>
      <c r="O2380" s="1" t="s">
        <v>1270</v>
      </c>
      <c r="P2380" s="9" t="str">
        <f t="shared" si="6"/>
        <v>International</v>
      </c>
      <c r="Q2380" s="8">
        <f t="shared" si="7"/>
        <v>15</v>
      </c>
    </row>
    <row r="2381">
      <c r="A2381" s="1">
        <v>544931.0</v>
      </c>
      <c r="B2381" s="1" t="str">
        <f t="shared" si="1"/>
        <v>544931</v>
      </c>
      <c r="C2381" s="1" t="str">
        <f t="shared" si="2"/>
        <v>Sale</v>
      </c>
      <c r="D2381" s="1" t="s">
        <v>1271</v>
      </c>
      <c r="E2381" s="1" t="str">
        <f>IFERROR(__xludf.DUMMYFUNCTION("IF(LEN(D2381)&gt;4, IFERROR(REGEXEXTRACT(TO_TEXT(D2381),""\d+""),""""),"""")"),"15060")</f>
        <v>15060</v>
      </c>
      <c r="F2381" s="6" t="str">
        <f t="shared" si="3"/>
        <v>Product</v>
      </c>
      <c r="G2381" s="1" t="s">
        <v>1272</v>
      </c>
      <c r="H2381" s="6" t="str">
        <f>IFERROR(__xludf.DUMMYFUNCTION("IF(REGEXMATCH(LOWER(G2381), ""^(\?)+\s*(missing)?\s*(\?)*$""), """", PROPER(SUBSTITUTE(SUBSTITUTE(G2381, ""?"", """"), ""*"", """")))"),"Fairy Cake Design Umbrella")</f>
        <v>Fairy Cake Design Umbrella</v>
      </c>
      <c r="I2381" s="3">
        <v>4.0</v>
      </c>
      <c r="J2381" s="7">
        <v>40598.790972222225</v>
      </c>
      <c r="K2381" s="8" t="str">
        <f t="shared" si="4"/>
        <v>2011-02</v>
      </c>
      <c r="L2381" s="5">
        <v>3.75</v>
      </c>
      <c r="M2381" s="3">
        <v>13501.0</v>
      </c>
      <c r="N2381" s="1" t="str">
        <f t="shared" si="5"/>
        <v>Registered</v>
      </c>
      <c r="O2381" s="1" t="s">
        <v>1270</v>
      </c>
      <c r="P2381" s="9" t="str">
        <f t="shared" si="6"/>
        <v>International</v>
      </c>
      <c r="Q2381" s="8">
        <f t="shared" si="7"/>
        <v>15</v>
      </c>
    </row>
    <row r="2382">
      <c r="A2382" s="1">
        <v>544931.0</v>
      </c>
      <c r="B2382" s="1" t="str">
        <f t="shared" si="1"/>
        <v>544931</v>
      </c>
      <c r="C2382" s="1" t="str">
        <f t="shared" si="2"/>
        <v>Sale</v>
      </c>
      <c r="D2382" s="1">
        <v>22891.0</v>
      </c>
      <c r="E2382" s="1" t="str">
        <f>IFERROR(__xludf.DUMMYFUNCTION("IF(LEN(D2382)&gt;4, IFERROR(REGEXEXTRACT(TO_TEXT(D2382),""\d+""),""""),"""")"),"22891")</f>
        <v>22891</v>
      </c>
      <c r="F2382" s="6" t="str">
        <f t="shared" si="3"/>
        <v>Product</v>
      </c>
      <c r="G2382" s="1" t="s">
        <v>1273</v>
      </c>
      <c r="H2382" s="6" t="str">
        <f>IFERROR(__xludf.DUMMYFUNCTION("IF(REGEXMATCH(LOWER(G2382), ""^(\?)+\s*(missing)?\s*(\?)*$""), """", PROPER(SUBSTITUTE(SUBSTITUTE(G2382, ""?"", """"), ""*"", """")))"),"Tea For One Polkadot")</f>
        <v>Tea For One Polkadot</v>
      </c>
      <c r="I2382" s="3">
        <v>3.0</v>
      </c>
      <c r="J2382" s="7">
        <v>40598.790972222225</v>
      </c>
      <c r="K2382" s="8" t="str">
        <f t="shared" si="4"/>
        <v>2011-02</v>
      </c>
      <c r="L2382" s="5">
        <v>4.25</v>
      </c>
      <c r="M2382" s="3">
        <v>13501.0</v>
      </c>
      <c r="N2382" s="1" t="str">
        <f t="shared" si="5"/>
        <v>Registered</v>
      </c>
      <c r="O2382" s="1" t="s">
        <v>1270</v>
      </c>
      <c r="P2382" s="9" t="str">
        <f t="shared" si="6"/>
        <v>International</v>
      </c>
      <c r="Q2382" s="8">
        <f t="shared" si="7"/>
        <v>12.75</v>
      </c>
    </row>
    <row r="2383">
      <c r="A2383" s="1">
        <v>544931.0</v>
      </c>
      <c r="B2383" s="1" t="str">
        <f t="shared" si="1"/>
        <v>544931</v>
      </c>
      <c r="C2383" s="1" t="str">
        <f t="shared" si="2"/>
        <v>Sale</v>
      </c>
      <c r="D2383" s="1">
        <v>22558.0</v>
      </c>
      <c r="E2383" s="1" t="str">
        <f>IFERROR(__xludf.DUMMYFUNCTION("IF(LEN(D2383)&gt;4, IFERROR(REGEXEXTRACT(TO_TEXT(D2383),""\d+""),""""),"""")"),"22558")</f>
        <v>22558</v>
      </c>
      <c r="F2383" s="6" t="str">
        <f t="shared" si="3"/>
        <v>Product</v>
      </c>
      <c r="G2383" s="1" t="s">
        <v>250</v>
      </c>
      <c r="H2383" s="6" t="str">
        <f>IFERROR(__xludf.DUMMYFUNCTION("IF(REGEXMATCH(LOWER(G2383), ""^(\?)+\s*(missing)?\s*(\?)*$""), """", PROPER(SUBSTITUTE(SUBSTITUTE(G2383, ""?"", """"), ""*"", """")))"),"Clothes Pegs Retrospot Pack 24")</f>
        <v>Clothes Pegs Retrospot Pack 24</v>
      </c>
      <c r="I2383" s="3">
        <v>12.0</v>
      </c>
      <c r="J2383" s="7">
        <v>40598.790972222225</v>
      </c>
      <c r="K2383" s="8" t="str">
        <f t="shared" si="4"/>
        <v>2011-02</v>
      </c>
      <c r="L2383" s="5">
        <v>1.49</v>
      </c>
      <c r="M2383" s="3">
        <v>13501.0</v>
      </c>
      <c r="N2383" s="1" t="str">
        <f t="shared" si="5"/>
        <v>Registered</v>
      </c>
      <c r="O2383" s="1" t="s">
        <v>1270</v>
      </c>
      <c r="P2383" s="9" t="str">
        <f t="shared" si="6"/>
        <v>International</v>
      </c>
      <c r="Q2383" s="8">
        <f t="shared" si="7"/>
        <v>17.88</v>
      </c>
    </row>
    <row r="2384">
      <c r="A2384" s="1">
        <v>544931.0</v>
      </c>
      <c r="B2384" s="1" t="str">
        <f t="shared" si="1"/>
        <v>544931</v>
      </c>
      <c r="C2384" s="1" t="str">
        <f t="shared" si="2"/>
        <v>Sale</v>
      </c>
      <c r="D2384" s="1">
        <v>84991.0</v>
      </c>
      <c r="E2384" s="1" t="str">
        <f>IFERROR(__xludf.DUMMYFUNCTION("IF(LEN(D2384)&gt;4, IFERROR(REGEXEXTRACT(TO_TEXT(D2384),""\d+""),""""),"""")"),"84991")</f>
        <v>84991</v>
      </c>
      <c r="F2384" s="6" t="str">
        <f t="shared" si="3"/>
        <v>Product</v>
      </c>
      <c r="G2384" s="1" t="s">
        <v>100</v>
      </c>
      <c r="H2384" s="6" t="str">
        <f>IFERROR(__xludf.DUMMYFUNCTION("IF(REGEXMATCH(LOWER(G2384), ""^(\?)+\s*(missing)?\s*(\?)*$""), """", PROPER(SUBSTITUTE(SUBSTITUTE(G2384, ""?"", """"), ""*"", """")))"),"60 Teatime Fairy Cake Cases")</f>
        <v>60 Teatime Fairy Cake Cases</v>
      </c>
      <c r="I2384" s="3">
        <v>24.0</v>
      </c>
      <c r="J2384" s="7">
        <v>40598.790972222225</v>
      </c>
      <c r="K2384" s="8" t="str">
        <f t="shared" si="4"/>
        <v>2011-02</v>
      </c>
      <c r="L2384" s="5">
        <v>0.55</v>
      </c>
      <c r="M2384" s="3">
        <v>13501.0</v>
      </c>
      <c r="N2384" s="1" t="str">
        <f t="shared" si="5"/>
        <v>Registered</v>
      </c>
      <c r="O2384" s="1" t="s">
        <v>1270</v>
      </c>
      <c r="P2384" s="9" t="str">
        <f t="shared" si="6"/>
        <v>International</v>
      </c>
      <c r="Q2384" s="8">
        <f t="shared" si="7"/>
        <v>13.2</v>
      </c>
    </row>
    <row r="2385">
      <c r="A2385" s="1">
        <v>544931.0</v>
      </c>
      <c r="B2385" s="1" t="str">
        <f t="shared" si="1"/>
        <v>544931</v>
      </c>
      <c r="C2385" s="1" t="str">
        <f t="shared" si="2"/>
        <v>Sale</v>
      </c>
      <c r="D2385" s="1">
        <v>22057.0</v>
      </c>
      <c r="E2385" s="1" t="str">
        <f>IFERROR(__xludf.DUMMYFUNCTION("IF(LEN(D2385)&gt;4, IFERROR(REGEXEXTRACT(TO_TEXT(D2385),""\d+""),""""),"""")"),"22057")</f>
        <v>22057</v>
      </c>
      <c r="F2385" s="6" t="str">
        <f t="shared" si="3"/>
        <v>Product</v>
      </c>
      <c r="G2385" s="1" t="s">
        <v>853</v>
      </c>
      <c r="H2385" s="6" t="str">
        <f>IFERROR(__xludf.DUMMYFUNCTION("IF(REGEXMATCH(LOWER(G2385), ""^(\?)+\s*(missing)?\s*(\?)*$""), """", PROPER(SUBSTITUTE(SUBSTITUTE(G2385, ""?"", """"), ""*"", """")))"),"Ceramic Plate Strawberry Design")</f>
        <v>Ceramic Plate Strawberry Design</v>
      </c>
      <c r="I2385" s="3">
        <v>12.0</v>
      </c>
      <c r="J2385" s="7">
        <v>40598.790972222225</v>
      </c>
      <c r="K2385" s="8" t="str">
        <f t="shared" si="4"/>
        <v>2011-02</v>
      </c>
      <c r="L2385" s="5">
        <v>1.49</v>
      </c>
      <c r="M2385" s="3">
        <v>13501.0</v>
      </c>
      <c r="N2385" s="1" t="str">
        <f t="shared" si="5"/>
        <v>Registered</v>
      </c>
      <c r="O2385" s="1" t="s">
        <v>1270</v>
      </c>
      <c r="P2385" s="9" t="str">
        <f t="shared" si="6"/>
        <v>International</v>
      </c>
      <c r="Q2385" s="8">
        <f t="shared" si="7"/>
        <v>17.88</v>
      </c>
    </row>
    <row r="2386">
      <c r="A2386" s="1">
        <v>544931.0</v>
      </c>
      <c r="B2386" s="1" t="str">
        <f t="shared" si="1"/>
        <v>544931</v>
      </c>
      <c r="C2386" s="1" t="str">
        <f t="shared" si="2"/>
        <v>Sale</v>
      </c>
      <c r="D2386" s="1">
        <v>37449.0</v>
      </c>
      <c r="E2386" s="1" t="str">
        <f>IFERROR(__xludf.DUMMYFUNCTION("IF(LEN(D2386)&gt;4, IFERROR(REGEXEXTRACT(TO_TEXT(D2386),""\d+""),""""),"""")"),"37449")</f>
        <v>37449</v>
      </c>
      <c r="F2386" s="6" t="str">
        <f t="shared" si="3"/>
        <v>Product</v>
      </c>
      <c r="G2386" s="1" t="s">
        <v>994</v>
      </c>
      <c r="H2386" s="6" t="str">
        <f>IFERROR(__xludf.DUMMYFUNCTION("IF(REGEXMATCH(LOWER(G2386), ""^(\?)+\s*(missing)?\s*(\?)*$""), """", PROPER(SUBSTITUTE(SUBSTITUTE(G2386, ""?"", """"), ""*"", """")))"),"Ceramic Cake Stand + Hanging Cakes")</f>
        <v>Ceramic Cake Stand + Hanging Cakes</v>
      </c>
      <c r="I2386" s="3">
        <v>2.0</v>
      </c>
      <c r="J2386" s="7">
        <v>40598.790972222225</v>
      </c>
      <c r="K2386" s="8" t="str">
        <f t="shared" si="4"/>
        <v>2011-02</v>
      </c>
      <c r="L2386" s="5">
        <v>9.95</v>
      </c>
      <c r="M2386" s="3">
        <v>13501.0</v>
      </c>
      <c r="N2386" s="1" t="str">
        <f t="shared" si="5"/>
        <v>Registered</v>
      </c>
      <c r="O2386" s="1" t="s">
        <v>1270</v>
      </c>
      <c r="P2386" s="9" t="str">
        <f t="shared" si="6"/>
        <v>International</v>
      </c>
      <c r="Q2386" s="8">
        <f t="shared" si="7"/>
        <v>19.9</v>
      </c>
    </row>
    <row r="2387">
      <c r="A2387" s="1">
        <v>544931.0</v>
      </c>
      <c r="B2387" s="1" t="str">
        <f t="shared" si="1"/>
        <v>544931</v>
      </c>
      <c r="C2387" s="1" t="str">
        <f t="shared" si="2"/>
        <v>Sale</v>
      </c>
      <c r="D2387" s="1">
        <v>37446.0</v>
      </c>
      <c r="E2387" s="1" t="str">
        <f>IFERROR(__xludf.DUMMYFUNCTION("IF(LEN(D2387)&gt;4, IFERROR(REGEXEXTRACT(TO_TEXT(D2387),""\d+""),""""),"""")"),"37446")</f>
        <v>37446</v>
      </c>
      <c r="F2387" s="6" t="str">
        <f t="shared" si="3"/>
        <v>Product</v>
      </c>
      <c r="G2387" s="1" t="s">
        <v>1127</v>
      </c>
      <c r="H2387" s="6" t="str">
        <f>IFERROR(__xludf.DUMMYFUNCTION("IF(REGEXMATCH(LOWER(G2387), ""^(\?)+\s*(missing)?\s*(\?)*$""), """", PROPER(SUBSTITUTE(SUBSTITUTE(G2387, ""?"", """"), ""*"", """")))"),"Mini Cake Stand With Hanging Cakes")</f>
        <v>Mini Cake Stand With Hanging Cakes</v>
      </c>
      <c r="I2387" s="3">
        <v>8.0</v>
      </c>
      <c r="J2387" s="7">
        <v>40598.790972222225</v>
      </c>
      <c r="K2387" s="8" t="str">
        <f t="shared" si="4"/>
        <v>2011-02</v>
      </c>
      <c r="L2387" s="5">
        <v>1.45</v>
      </c>
      <c r="M2387" s="3">
        <v>13501.0</v>
      </c>
      <c r="N2387" s="1" t="str">
        <f t="shared" si="5"/>
        <v>Registered</v>
      </c>
      <c r="O2387" s="1" t="s">
        <v>1270</v>
      </c>
      <c r="P2387" s="9" t="str">
        <f t="shared" si="6"/>
        <v>International</v>
      </c>
      <c r="Q2387" s="8">
        <f t="shared" si="7"/>
        <v>11.6</v>
      </c>
    </row>
    <row r="2388">
      <c r="A2388" s="1">
        <v>544931.0</v>
      </c>
      <c r="B2388" s="1" t="str">
        <f t="shared" si="1"/>
        <v>544931</v>
      </c>
      <c r="C2388" s="1" t="str">
        <f t="shared" si="2"/>
        <v>Sale</v>
      </c>
      <c r="D2388" s="1">
        <v>37448.0</v>
      </c>
      <c r="E2388" s="1" t="str">
        <f>IFERROR(__xludf.DUMMYFUNCTION("IF(LEN(D2388)&gt;4, IFERROR(REGEXEXTRACT(TO_TEXT(D2388),""\d+""),""""),"""")"),"37448")</f>
        <v>37448</v>
      </c>
      <c r="F2388" s="6" t="str">
        <f t="shared" si="3"/>
        <v>Product</v>
      </c>
      <c r="G2388" s="1" t="s">
        <v>1024</v>
      </c>
      <c r="H2388" s="6" t="str">
        <f>IFERROR(__xludf.DUMMYFUNCTION("IF(REGEXMATCH(LOWER(G2388), ""^(\?)+\s*(missing)?\s*(\?)*$""), """", PROPER(SUBSTITUTE(SUBSTITUTE(G2388, ""?"", """"), ""*"", """")))"),"Ceramic Cake Design Spotted Mug")</f>
        <v>Ceramic Cake Design Spotted Mug</v>
      </c>
      <c r="I2388" s="3">
        <v>12.0</v>
      </c>
      <c r="J2388" s="7">
        <v>40598.790972222225</v>
      </c>
      <c r="K2388" s="8" t="str">
        <f t="shared" si="4"/>
        <v>2011-02</v>
      </c>
      <c r="L2388" s="5">
        <v>1.49</v>
      </c>
      <c r="M2388" s="3">
        <v>13501.0</v>
      </c>
      <c r="N2388" s="1" t="str">
        <f t="shared" si="5"/>
        <v>Registered</v>
      </c>
      <c r="O2388" s="1" t="s">
        <v>1270</v>
      </c>
      <c r="P2388" s="9" t="str">
        <f t="shared" si="6"/>
        <v>International</v>
      </c>
      <c r="Q2388" s="8">
        <f t="shared" si="7"/>
        <v>17.88</v>
      </c>
    </row>
    <row r="2389">
      <c r="A2389" s="1">
        <v>544931.0</v>
      </c>
      <c r="B2389" s="1" t="str">
        <f t="shared" si="1"/>
        <v>544931</v>
      </c>
      <c r="C2389" s="1" t="str">
        <f t="shared" si="2"/>
        <v>Sale</v>
      </c>
      <c r="D2389" s="1">
        <v>22851.0</v>
      </c>
      <c r="E2389" s="1" t="str">
        <f>IFERROR(__xludf.DUMMYFUNCTION("IF(LEN(D2389)&gt;4, IFERROR(REGEXEXTRACT(TO_TEXT(D2389),""\d+""),""""),"""")"),"22851")</f>
        <v>22851</v>
      </c>
      <c r="F2389" s="6" t="str">
        <f t="shared" si="3"/>
        <v>Product</v>
      </c>
      <c r="G2389" s="1" t="s">
        <v>303</v>
      </c>
      <c r="H2389" s="6" t="str">
        <f>IFERROR(__xludf.DUMMYFUNCTION("IF(REGEXMATCH(LOWER(G2389), ""^(\?)+\s*(missing)?\s*(\?)*$""), """", PROPER(SUBSTITUTE(SUBSTITUTE(G2389, ""?"", """"), ""*"", """")))"),"Set 20 Napkins Fairy Cakes Design")</f>
        <v>Set 20 Napkins Fairy Cakes Design</v>
      </c>
      <c r="I2389" s="3">
        <v>12.0</v>
      </c>
      <c r="J2389" s="7">
        <v>40598.790972222225</v>
      </c>
      <c r="K2389" s="8" t="str">
        <f t="shared" si="4"/>
        <v>2011-02</v>
      </c>
      <c r="L2389" s="5">
        <v>0.85</v>
      </c>
      <c r="M2389" s="3">
        <v>13501.0</v>
      </c>
      <c r="N2389" s="1" t="str">
        <f t="shared" si="5"/>
        <v>Registered</v>
      </c>
      <c r="O2389" s="1" t="s">
        <v>1270</v>
      </c>
      <c r="P2389" s="9" t="str">
        <f t="shared" si="6"/>
        <v>International</v>
      </c>
      <c r="Q2389" s="8">
        <f t="shared" si="7"/>
        <v>10.2</v>
      </c>
    </row>
    <row r="2390">
      <c r="A2390" s="1">
        <v>544931.0</v>
      </c>
      <c r="B2390" s="1" t="str">
        <f t="shared" si="1"/>
        <v>544931</v>
      </c>
      <c r="C2390" s="1" t="str">
        <f t="shared" si="2"/>
        <v>Sale</v>
      </c>
      <c r="D2390" s="1">
        <v>22450.0</v>
      </c>
      <c r="E2390" s="1" t="str">
        <f>IFERROR(__xludf.DUMMYFUNCTION("IF(LEN(D2390)&gt;4, IFERROR(REGEXEXTRACT(TO_TEXT(D2390),""\d+""),""""),"""")"),"22450")</f>
        <v>22450</v>
      </c>
      <c r="F2390" s="6" t="str">
        <f t="shared" si="3"/>
        <v>Product</v>
      </c>
      <c r="G2390" s="1" t="s">
        <v>1274</v>
      </c>
      <c r="H2390" s="6" t="str">
        <f>IFERROR(__xludf.DUMMYFUNCTION("IF(REGEXMATCH(LOWER(G2390), ""^(\?)+\s*(missing)?\s*(\?)*$""), """", PROPER(SUBSTITUTE(SUBSTITUTE(G2390, ""?"", """"), ""*"", """")))"),"Silk Purse Babushka Blue")</f>
        <v>Silk Purse Babushka Blue</v>
      </c>
      <c r="I2390" s="3">
        <v>6.0</v>
      </c>
      <c r="J2390" s="7">
        <v>40598.790972222225</v>
      </c>
      <c r="K2390" s="8" t="str">
        <f t="shared" si="4"/>
        <v>2011-02</v>
      </c>
      <c r="L2390" s="5">
        <v>3.35</v>
      </c>
      <c r="M2390" s="3">
        <v>13501.0</v>
      </c>
      <c r="N2390" s="1" t="str">
        <f t="shared" si="5"/>
        <v>Registered</v>
      </c>
      <c r="O2390" s="1" t="s">
        <v>1270</v>
      </c>
      <c r="P2390" s="9" t="str">
        <f t="shared" si="6"/>
        <v>International</v>
      </c>
      <c r="Q2390" s="8">
        <f t="shared" si="7"/>
        <v>20.1</v>
      </c>
    </row>
    <row r="2391">
      <c r="A2391" s="1">
        <v>544931.0</v>
      </c>
      <c r="B2391" s="1" t="str">
        <f t="shared" si="1"/>
        <v>544931</v>
      </c>
      <c r="C2391" s="1" t="str">
        <f t="shared" si="2"/>
        <v>Sale</v>
      </c>
      <c r="D2391" s="1">
        <v>22570.0</v>
      </c>
      <c r="E2391" s="1" t="str">
        <f>IFERROR(__xludf.DUMMYFUNCTION("IF(LEN(D2391)&gt;4, IFERROR(REGEXEXTRACT(TO_TEXT(D2391),""\d+""),""""),"""")"),"22570")</f>
        <v>22570</v>
      </c>
      <c r="F2391" s="6" t="str">
        <f t="shared" si="3"/>
        <v>Product</v>
      </c>
      <c r="G2391" s="1" t="s">
        <v>453</v>
      </c>
      <c r="H2391" s="6" t="str">
        <f>IFERROR(__xludf.DUMMYFUNCTION("IF(REGEXMATCH(LOWER(G2391), ""^(\?)+\s*(missing)?\s*(\?)*$""), """", PROPER(SUBSTITUTE(SUBSTITUTE(G2391, ""?"", """"), ""*"", """")))"),"Feltcraft Cushion Rabbit")</f>
        <v>Feltcraft Cushion Rabbit</v>
      </c>
      <c r="I2391" s="3">
        <v>4.0</v>
      </c>
      <c r="J2391" s="7">
        <v>40598.790972222225</v>
      </c>
      <c r="K2391" s="8" t="str">
        <f t="shared" si="4"/>
        <v>2011-02</v>
      </c>
      <c r="L2391" s="5">
        <v>3.75</v>
      </c>
      <c r="M2391" s="3">
        <v>13501.0</v>
      </c>
      <c r="N2391" s="1" t="str">
        <f t="shared" si="5"/>
        <v>Registered</v>
      </c>
      <c r="O2391" s="1" t="s">
        <v>1270</v>
      </c>
      <c r="P2391" s="9" t="str">
        <f t="shared" si="6"/>
        <v>International</v>
      </c>
      <c r="Q2391" s="8">
        <f t="shared" si="7"/>
        <v>15</v>
      </c>
    </row>
    <row r="2392">
      <c r="A2392" s="1">
        <v>544931.0</v>
      </c>
      <c r="B2392" s="1" t="str">
        <f t="shared" si="1"/>
        <v>544931</v>
      </c>
      <c r="C2392" s="1" t="str">
        <f t="shared" si="2"/>
        <v>Sale</v>
      </c>
      <c r="D2392" s="1">
        <v>21485.0</v>
      </c>
      <c r="E2392" s="1" t="str">
        <f>IFERROR(__xludf.DUMMYFUNCTION("IF(LEN(D2392)&gt;4, IFERROR(REGEXEXTRACT(TO_TEXT(D2392),""\d+""),""""),"""")"),"21485")</f>
        <v>21485</v>
      </c>
      <c r="F2392" s="6" t="str">
        <f t="shared" si="3"/>
        <v>Product</v>
      </c>
      <c r="G2392" s="1" t="s">
        <v>223</v>
      </c>
      <c r="H2392" s="6" t="str">
        <f>IFERROR(__xludf.DUMMYFUNCTION("IF(REGEXMATCH(LOWER(G2392), ""^(\?)+\s*(missing)?\s*(\?)*$""), """", PROPER(SUBSTITUTE(SUBSTITUTE(G2392, ""?"", """"), ""*"", """")))"),"Retrospot Heart Hot Water Bottle")</f>
        <v>Retrospot Heart Hot Water Bottle</v>
      </c>
      <c r="I2392" s="3">
        <v>4.0</v>
      </c>
      <c r="J2392" s="7">
        <v>40598.790972222225</v>
      </c>
      <c r="K2392" s="8" t="str">
        <f t="shared" si="4"/>
        <v>2011-02</v>
      </c>
      <c r="L2392" s="5">
        <v>4.95</v>
      </c>
      <c r="M2392" s="3">
        <v>13501.0</v>
      </c>
      <c r="N2392" s="1" t="str">
        <f t="shared" si="5"/>
        <v>Registered</v>
      </c>
      <c r="O2392" s="1" t="s">
        <v>1270</v>
      </c>
      <c r="P2392" s="9" t="str">
        <f t="shared" si="6"/>
        <v>International</v>
      </c>
      <c r="Q2392" s="8">
        <f t="shared" si="7"/>
        <v>19.8</v>
      </c>
    </row>
    <row r="2393">
      <c r="A2393" s="1">
        <v>544931.0</v>
      </c>
      <c r="B2393" s="1" t="str">
        <f t="shared" si="1"/>
        <v>544931</v>
      </c>
      <c r="C2393" s="1" t="str">
        <f t="shared" si="2"/>
        <v>Sale</v>
      </c>
      <c r="D2393" s="1">
        <v>22063.0</v>
      </c>
      <c r="E2393" s="1" t="str">
        <f>IFERROR(__xludf.DUMMYFUNCTION("IF(LEN(D2393)&gt;4, IFERROR(REGEXEXTRACT(TO_TEXT(D2393),""\d+""),""""),"""")"),"22063")</f>
        <v>22063</v>
      </c>
      <c r="F2393" s="6" t="str">
        <f t="shared" si="3"/>
        <v>Product</v>
      </c>
      <c r="G2393" s="1" t="s">
        <v>1275</v>
      </c>
      <c r="H2393" s="6" t="str">
        <f>IFERROR(__xludf.DUMMYFUNCTION("IF(REGEXMATCH(LOWER(G2393), ""^(\?)+\s*(missing)?\s*(\?)*$""), """", PROPER(SUBSTITUTE(SUBSTITUTE(G2393, ""?"", """"), ""*"", """")))"),"Ceramic Bowl With Strawberry Design")</f>
        <v>Ceramic Bowl With Strawberry Design</v>
      </c>
      <c r="I2393" s="3">
        <v>6.0</v>
      </c>
      <c r="J2393" s="7">
        <v>40598.790972222225</v>
      </c>
      <c r="K2393" s="8" t="str">
        <f t="shared" si="4"/>
        <v>2011-02</v>
      </c>
      <c r="L2393" s="5">
        <v>2.95</v>
      </c>
      <c r="M2393" s="3">
        <v>13501.0</v>
      </c>
      <c r="N2393" s="1" t="str">
        <f t="shared" si="5"/>
        <v>Registered</v>
      </c>
      <c r="O2393" s="1" t="s">
        <v>1270</v>
      </c>
      <c r="P2393" s="9" t="str">
        <f t="shared" si="6"/>
        <v>International</v>
      </c>
      <c r="Q2393" s="8">
        <f t="shared" si="7"/>
        <v>17.7</v>
      </c>
    </row>
    <row r="2394">
      <c r="A2394" s="1">
        <v>544931.0</v>
      </c>
      <c r="B2394" s="1" t="str">
        <f t="shared" si="1"/>
        <v>544931</v>
      </c>
      <c r="C2394" s="1" t="str">
        <f t="shared" si="2"/>
        <v>Sale</v>
      </c>
      <c r="D2394" s="1">
        <v>37447.0</v>
      </c>
      <c r="E2394" s="1" t="str">
        <f>IFERROR(__xludf.DUMMYFUNCTION("IF(LEN(D2394)&gt;4, IFERROR(REGEXEXTRACT(TO_TEXT(D2394),""\d+""),""""),"""")"),"37447")</f>
        <v>37447</v>
      </c>
      <c r="F2394" s="6" t="str">
        <f t="shared" si="3"/>
        <v>Product</v>
      </c>
      <c r="G2394" s="1" t="s">
        <v>1025</v>
      </c>
      <c r="H2394" s="6" t="str">
        <f>IFERROR(__xludf.DUMMYFUNCTION("IF(REGEXMATCH(LOWER(G2394), ""^(\?)+\s*(missing)?\s*(\?)*$""), """", PROPER(SUBSTITUTE(SUBSTITUTE(G2394, ""?"", """"), ""*"", """")))"),"Ceramic Cake Design Spotted Plate")</f>
        <v>Ceramic Cake Design Spotted Plate</v>
      </c>
      <c r="I2394" s="3">
        <v>12.0</v>
      </c>
      <c r="J2394" s="7">
        <v>40598.790972222225</v>
      </c>
      <c r="K2394" s="8" t="str">
        <f t="shared" si="4"/>
        <v>2011-02</v>
      </c>
      <c r="L2394" s="5">
        <v>1.49</v>
      </c>
      <c r="M2394" s="3">
        <v>13501.0</v>
      </c>
      <c r="N2394" s="1" t="str">
        <f t="shared" si="5"/>
        <v>Registered</v>
      </c>
      <c r="O2394" s="1" t="s">
        <v>1270</v>
      </c>
      <c r="P2394" s="9" t="str">
        <f t="shared" si="6"/>
        <v>International</v>
      </c>
      <c r="Q2394" s="8">
        <f t="shared" si="7"/>
        <v>17.88</v>
      </c>
    </row>
    <row r="2395">
      <c r="A2395" s="1">
        <v>544931.0</v>
      </c>
      <c r="B2395" s="1" t="str">
        <f t="shared" si="1"/>
        <v>544931</v>
      </c>
      <c r="C2395" s="1" t="str">
        <f t="shared" si="2"/>
        <v>Sale</v>
      </c>
      <c r="D2395" s="1" t="s">
        <v>1207</v>
      </c>
      <c r="E2395" s="1" t="str">
        <f>IFERROR(__xludf.DUMMYFUNCTION("IF(LEN(D2395)&gt;4, IFERROR(REGEXEXTRACT(TO_TEXT(D2395),""\d+""),""""),"""")"),"47559")</f>
        <v>47559</v>
      </c>
      <c r="F2395" s="6" t="str">
        <f t="shared" si="3"/>
        <v>Product</v>
      </c>
      <c r="G2395" s="1" t="s">
        <v>1208</v>
      </c>
      <c r="H2395" s="6" t="str">
        <f>IFERROR(__xludf.DUMMYFUNCTION("IF(REGEXMATCH(LOWER(G2395), ""^(\?)+\s*(missing)?\s*(\?)*$""), """", PROPER(SUBSTITUTE(SUBSTITUTE(G2395, ""?"", """"), ""*"", """")))"),"Tea Time Oven Glove")</f>
        <v>Tea Time Oven Glove</v>
      </c>
      <c r="I2395" s="3">
        <v>10.0</v>
      </c>
      <c r="J2395" s="7">
        <v>40598.790972222225</v>
      </c>
      <c r="K2395" s="8" t="str">
        <f t="shared" si="4"/>
        <v>2011-02</v>
      </c>
      <c r="L2395" s="5">
        <v>1.25</v>
      </c>
      <c r="M2395" s="3">
        <v>13501.0</v>
      </c>
      <c r="N2395" s="1" t="str">
        <f t="shared" si="5"/>
        <v>Registered</v>
      </c>
      <c r="O2395" s="1" t="s">
        <v>1270</v>
      </c>
      <c r="P2395" s="9" t="str">
        <f t="shared" si="6"/>
        <v>International</v>
      </c>
      <c r="Q2395" s="8">
        <f t="shared" si="7"/>
        <v>12.5</v>
      </c>
    </row>
    <row r="2396">
      <c r="A2396" s="1">
        <v>544931.0</v>
      </c>
      <c r="B2396" s="1" t="str">
        <f t="shared" si="1"/>
        <v>544931</v>
      </c>
      <c r="C2396" s="1" t="str">
        <f t="shared" si="2"/>
        <v>Sale</v>
      </c>
      <c r="D2396" s="1">
        <v>84987.0</v>
      </c>
      <c r="E2396" s="1" t="str">
        <f>IFERROR(__xludf.DUMMYFUNCTION("IF(LEN(D2396)&gt;4, IFERROR(REGEXEXTRACT(TO_TEXT(D2396),""\d+""),""""),"""")"),"84987")</f>
        <v>84987</v>
      </c>
      <c r="F2396" s="6" t="str">
        <f t="shared" si="3"/>
        <v>Product</v>
      </c>
      <c r="G2396" s="1" t="s">
        <v>1230</v>
      </c>
      <c r="H2396" s="6" t="str">
        <f>IFERROR(__xludf.DUMMYFUNCTION("IF(REGEXMATCH(LOWER(G2396), ""^(\?)+\s*(missing)?\s*(\?)*$""), """", PROPER(SUBSTITUTE(SUBSTITUTE(G2396, ""?"", """"), ""*"", """")))"),"Set Of 36 Teatime Paper Doilies")</f>
        <v>Set Of 36 Teatime Paper Doilies</v>
      </c>
      <c r="I2396" s="3">
        <v>12.0</v>
      </c>
      <c r="J2396" s="7">
        <v>40598.790972222225</v>
      </c>
      <c r="K2396" s="8" t="str">
        <f t="shared" si="4"/>
        <v>2011-02</v>
      </c>
      <c r="L2396" s="5">
        <v>1.45</v>
      </c>
      <c r="M2396" s="3">
        <v>13501.0</v>
      </c>
      <c r="N2396" s="1" t="str">
        <f t="shared" si="5"/>
        <v>Registered</v>
      </c>
      <c r="O2396" s="1" t="s">
        <v>1270</v>
      </c>
      <c r="P2396" s="9" t="str">
        <f t="shared" si="6"/>
        <v>International</v>
      </c>
      <c r="Q2396" s="8">
        <f t="shared" si="7"/>
        <v>17.4</v>
      </c>
    </row>
    <row r="2397">
      <c r="A2397" s="1">
        <v>544931.0</v>
      </c>
      <c r="B2397" s="1" t="str">
        <f t="shared" si="1"/>
        <v>544931</v>
      </c>
      <c r="C2397" s="1" t="str">
        <f t="shared" si="2"/>
        <v>Sale</v>
      </c>
      <c r="D2397" s="1">
        <v>22804.0</v>
      </c>
      <c r="E2397" s="1" t="str">
        <f>IFERROR(__xludf.DUMMYFUNCTION("IF(LEN(D2397)&gt;4, IFERROR(REGEXEXTRACT(TO_TEXT(D2397),""\d+""),""""),"""")"),"22804")</f>
        <v>22804</v>
      </c>
      <c r="F2397" s="6" t="str">
        <f t="shared" si="3"/>
        <v>Product</v>
      </c>
      <c r="G2397" s="1" t="s">
        <v>318</v>
      </c>
      <c r="H2397" s="6" t="str">
        <f>IFERROR(__xludf.DUMMYFUNCTION("IF(REGEXMATCH(LOWER(G2397), ""^(\?)+\s*(missing)?\s*(\?)*$""), """", PROPER(SUBSTITUTE(SUBSTITUTE(G2397, ""?"", """"), ""*"", """")))"),"Candleholder Pink Hanging Heart")</f>
        <v>Candleholder Pink Hanging Heart</v>
      </c>
      <c r="I2397" s="3">
        <v>36.0</v>
      </c>
      <c r="J2397" s="7">
        <v>40598.790972222225</v>
      </c>
      <c r="K2397" s="8" t="str">
        <f t="shared" si="4"/>
        <v>2011-02</v>
      </c>
      <c r="L2397" s="5">
        <v>2.55</v>
      </c>
      <c r="M2397" s="3">
        <v>13501.0</v>
      </c>
      <c r="N2397" s="1" t="str">
        <f t="shared" si="5"/>
        <v>Registered</v>
      </c>
      <c r="O2397" s="1" t="s">
        <v>1270</v>
      </c>
      <c r="P2397" s="9" t="str">
        <f t="shared" si="6"/>
        <v>International</v>
      </c>
      <c r="Q2397" s="8">
        <f t="shared" si="7"/>
        <v>91.8</v>
      </c>
    </row>
    <row r="2398">
      <c r="A2398" s="1">
        <v>544931.0</v>
      </c>
      <c r="B2398" s="1" t="str">
        <f t="shared" si="1"/>
        <v>544931</v>
      </c>
      <c r="C2398" s="1" t="str">
        <f t="shared" si="2"/>
        <v>Sale</v>
      </c>
      <c r="D2398" s="1">
        <v>21733.0</v>
      </c>
      <c r="E2398" s="1" t="str">
        <f>IFERROR(__xludf.DUMMYFUNCTION("IF(LEN(D2398)&gt;4, IFERROR(REGEXEXTRACT(TO_TEXT(D2398),""\d+""),""""),"""")"),"21733")</f>
        <v>21733</v>
      </c>
      <c r="F2398" s="6" t="str">
        <f t="shared" si="3"/>
        <v>Product</v>
      </c>
      <c r="G2398" s="1" t="s">
        <v>83</v>
      </c>
      <c r="H2398" s="6" t="str">
        <f>IFERROR(__xludf.DUMMYFUNCTION("IF(REGEXMATCH(LOWER(G2398), ""^(\?)+\s*(missing)?\s*(\?)*$""), """", PROPER(SUBSTITUTE(SUBSTITUTE(G2398, ""?"", """"), ""*"", """")))"),"Red Hanging Heart T-Light Holder")</f>
        <v>Red Hanging Heart T-Light Holder</v>
      </c>
      <c r="I2398" s="3">
        <v>36.0</v>
      </c>
      <c r="J2398" s="7">
        <v>40598.790972222225</v>
      </c>
      <c r="K2398" s="8" t="str">
        <f t="shared" si="4"/>
        <v>2011-02</v>
      </c>
      <c r="L2398" s="5">
        <v>2.55</v>
      </c>
      <c r="M2398" s="3">
        <v>13501.0</v>
      </c>
      <c r="N2398" s="1" t="str">
        <f t="shared" si="5"/>
        <v>Registered</v>
      </c>
      <c r="O2398" s="1" t="s">
        <v>1270</v>
      </c>
      <c r="P2398" s="9" t="str">
        <f t="shared" si="6"/>
        <v>International</v>
      </c>
      <c r="Q2398" s="8">
        <f t="shared" si="7"/>
        <v>91.8</v>
      </c>
    </row>
    <row r="2399">
      <c r="A2399" s="1">
        <v>544931.0</v>
      </c>
      <c r="B2399" s="1" t="str">
        <f t="shared" si="1"/>
        <v>544931</v>
      </c>
      <c r="C2399" s="1" t="str">
        <f t="shared" si="2"/>
        <v>Sale</v>
      </c>
      <c r="D2399" s="1" t="s">
        <v>17</v>
      </c>
      <c r="E2399" s="1" t="str">
        <f>IFERROR(__xludf.DUMMYFUNCTION("IF(LEN(D2399)&gt;4, IFERROR(REGEXEXTRACT(TO_TEXT(D2399),""\d+""),""""),"""")"),"85123")</f>
        <v>85123</v>
      </c>
      <c r="F2399" s="6" t="str">
        <f t="shared" si="3"/>
        <v>Product</v>
      </c>
      <c r="G2399" s="1" t="s">
        <v>18</v>
      </c>
      <c r="H2399" s="6" t="str">
        <f>IFERROR(__xludf.DUMMYFUNCTION("IF(REGEXMATCH(LOWER(G2399), ""^(\?)+\s*(missing)?\s*(\?)*$""), """", PROPER(SUBSTITUTE(SUBSTITUTE(G2399, ""?"", """"), ""*"", """")))"),"White Hanging Heart T-Light Holder")</f>
        <v>White Hanging Heart T-Light Holder</v>
      </c>
      <c r="I2399" s="3">
        <v>36.0</v>
      </c>
      <c r="J2399" s="7">
        <v>40598.790972222225</v>
      </c>
      <c r="K2399" s="8" t="str">
        <f t="shared" si="4"/>
        <v>2011-02</v>
      </c>
      <c r="L2399" s="5">
        <v>2.55</v>
      </c>
      <c r="M2399" s="3">
        <v>13501.0</v>
      </c>
      <c r="N2399" s="1" t="str">
        <f t="shared" si="5"/>
        <v>Registered</v>
      </c>
      <c r="O2399" s="1" t="s">
        <v>1270</v>
      </c>
      <c r="P2399" s="9" t="str">
        <f t="shared" si="6"/>
        <v>International</v>
      </c>
      <c r="Q2399" s="8">
        <f t="shared" si="7"/>
        <v>91.8</v>
      </c>
    </row>
    <row r="2400">
      <c r="A2400" s="1">
        <v>544931.0</v>
      </c>
      <c r="B2400" s="1" t="str">
        <f t="shared" si="1"/>
        <v>544931</v>
      </c>
      <c r="C2400" s="1" t="str">
        <f t="shared" si="2"/>
        <v>Sale</v>
      </c>
      <c r="D2400" s="1">
        <v>72741.0</v>
      </c>
      <c r="E2400" s="1" t="str">
        <f>IFERROR(__xludf.DUMMYFUNCTION("IF(LEN(D2400)&gt;4, IFERROR(REGEXEXTRACT(TO_TEXT(D2400),""\d+""),""""),"""")"),"72741")</f>
        <v>72741</v>
      </c>
      <c r="F2400" s="6" t="str">
        <f t="shared" si="3"/>
        <v>Product</v>
      </c>
      <c r="G2400" s="1" t="s">
        <v>998</v>
      </c>
      <c r="H2400" s="6" t="str">
        <f>IFERROR(__xludf.DUMMYFUNCTION("IF(REGEXMATCH(LOWER(G2400), ""^(\?)+\s*(missing)?\s*(\?)*$""), """", PROPER(SUBSTITUTE(SUBSTITUTE(G2400, ""?"", """"), ""*"", """")))"),"Grand Chocolatecandle")</f>
        <v>Grand Chocolatecandle</v>
      </c>
      <c r="I2400" s="3">
        <v>9.0</v>
      </c>
      <c r="J2400" s="7">
        <v>40598.790972222225</v>
      </c>
      <c r="K2400" s="8" t="str">
        <f t="shared" si="4"/>
        <v>2011-02</v>
      </c>
      <c r="L2400" s="5">
        <v>1.45</v>
      </c>
      <c r="M2400" s="3">
        <v>13501.0</v>
      </c>
      <c r="N2400" s="1" t="str">
        <f t="shared" si="5"/>
        <v>Registered</v>
      </c>
      <c r="O2400" s="1" t="s">
        <v>1270</v>
      </c>
      <c r="P2400" s="9" t="str">
        <f t="shared" si="6"/>
        <v>International</v>
      </c>
      <c r="Q2400" s="8">
        <f t="shared" si="7"/>
        <v>13.05</v>
      </c>
    </row>
    <row r="2401">
      <c r="A2401" s="1">
        <v>544931.0</v>
      </c>
      <c r="B2401" s="1" t="str">
        <f t="shared" si="1"/>
        <v>544931</v>
      </c>
      <c r="C2401" s="1" t="str">
        <f t="shared" si="2"/>
        <v>Sale</v>
      </c>
      <c r="D2401" s="1">
        <v>22808.0</v>
      </c>
      <c r="E2401" s="1" t="str">
        <f>IFERROR(__xludf.DUMMYFUNCTION("IF(LEN(D2401)&gt;4, IFERROR(REGEXEXTRACT(TO_TEXT(D2401),""\d+""),""""),"""")"),"22808")</f>
        <v>22808</v>
      </c>
      <c r="F2401" s="6" t="str">
        <f t="shared" si="3"/>
        <v>Product</v>
      </c>
      <c r="G2401" s="1" t="s">
        <v>1276</v>
      </c>
      <c r="H2401" s="6" t="str">
        <f>IFERROR(__xludf.DUMMYFUNCTION("IF(REGEXMATCH(LOWER(G2401), ""^(\?)+\s*(missing)?\s*(\?)*$""), """", PROPER(SUBSTITUTE(SUBSTITUTE(G2401, ""?"", """"), ""*"", """")))"),"Set Of 6 T-Lights Easter Chicks")</f>
        <v>Set Of 6 T-Lights Easter Chicks</v>
      </c>
      <c r="I2401" s="3">
        <v>6.0</v>
      </c>
      <c r="J2401" s="7">
        <v>40598.790972222225</v>
      </c>
      <c r="K2401" s="8" t="str">
        <f t="shared" si="4"/>
        <v>2011-02</v>
      </c>
      <c r="L2401" s="5">
        <v>2.95</v>
      </c>
      <c r="M2401" s="3">
        <v>13501.0</v>
      </c>
      <c r="N2401" s="1" t="str">
        <f t="shared" si="5"/>
        <v>Registered</v>
      </c>
      <c r="O2401" s="1" t="s">
        <v>1270</v>
      </c>
      <c r="P2401" s="9" t="str">
        <f t="shared" si="6"/>
        <v>International</v>
      </c>
      <c r="Q2401" s="8">
        <f t="shared" si="7"/>
        <v>17.7</v>
      </c>
    </row>
    <row r="2402">
      <c r="A2402" s="1">
        <v>544931.0</v>
      </c>
      <c r="B2402" s="1" t="str">
        <f t="shared" si="1"/>
        <v>544931</v>
      </c>
      <c r="C2402" s="1" t="str">
        <f t="shared" si="2"/>
        <v>Sale</v>
      </c>
      <c r="D2402" s="1">
        <v>85175.0</v>
      </c>
      <c r="E2402" s="1" t="str">
        <f>IFERROR(__xludf.DUMMYFUNCTION("IF(LEN(D2402)&gt;4, IFERROR(REGEXEXTRACT(TO_TEXT(D2402),""\d+""),""""),"""")"),"85175")</f>
        <v>85175</v>
      </c>
      <c r="F2402" s="6" t="str">
        <f t="shared" si="3"/>
        <v>Product</v>
      </c>
      <c r="G2402" s="1" t="s">
        <v>1277</v>
      </c>
      <c r="H2402" s="6" t="str">
        <f>IFERROR(__xludf.DUMMYFUNCTION("IF(REGEXMATCH(LOWER(G2402), ""^(\?)+\s*(missing)?\s*(\?)*$""), """", PROPER(SUBSTITUTE(SUBSTITUTE(G2402, ""?"", """"), ""*"", """")))"),"Cacti T-Light Candles")</f>
        <v>Cacti T-Light Candles</v>
      </c>
      <c r="I2402" s="3">
        <v>16.0</v>
      </c>
      <c r="J2402" s="7">
        <v>40598.790972222225</v>
      </c>
      <c r="K2402" s="8" t="str">
        <f t="shared" si="4"/>
        <v>2011-02</v>
      </c>
      <c r="L2402" s="5">
        <v>0.42</v>
      </c>
      <c r="M2402" s="3">
        <v>13501.0</v>
      </c>
      <c r="N2402" s="1" t="str">
        <f t="shared" si="5"/>
        <v>Registered</v>
      </c>
      <c r="O2402" s="1" t="s">
        <v>1270</v>
      </c>
      <c r="P2402" s="9" t="str">
        <f t="shared" si="6"/>
        <v>International</v>
      </c>
      <c r="Q2402" s="8">
        <f t="shared" si="7"/>
        <v>6.72</v>
      </c>
    </row>
    <row r="2403">
      <c r="A2403" s="1">
        <v>544931.0</v>
      </c>
      <c r="B2403" s="1" t="str">
        <f t="shared" si="1"/>
        <v>544931</v>
      </c>
      <c r="C2403" s="1" t="str">
        <f t="shared" si="2"/>
        <v>Sale</v>
      </c>
      <c r="D2403" s="1">
        <v>48111.0</v>
      </c>
      <c r="E2403" s="1" t="str">
        <f>IFERROR(__xludf.DUMMYFUNCTION("IF(LEN(D2403)&gt;4, IFERROR(REGEXEXTRACT(TO_TEXT(D2403),""\d+""),""""),"""")"),"48111")</f>
        <v>48111</v>
      </c>
      <c r="F2403" s="6" t="str">
        <f t="shared" si="3"/>
        <v>Product</v>
      </c>
      <c r="G2403" s="1" t="s">
        <v>798</v>
      </c>
      <c r="H2403" s="6" t="str">
        <f>IFERROR(__xludf.DUMMYFUNCTION("IF(REGEXMATCH(LOWER(G2403), ""^(\?)+\s*(missing)?\s*(\?)*$""), """", PROPER(SUBSTITUTE(SUBSTITUTE(G2403, ""?"", """"), ""*"", """")))"),"Doormat 3 Smiley Cats")</f>
        <v>Doormat 3 Smiley Cats</v>
      </c>
      <c r="I2403" s="3">
        <v>2.0</v>
      </c>
      <c r="J2403" s="7">
        <v>40598.790972222225</v>
      </c>
      <c r="K2403" s="8" t="str">
        <f t="shared" si="4"/>
        <v>2011-02</v>
      </c>
      <c r="L2403" s="5">
        <v>7.95</v>
      </c>
      <c r="M2403" s="3">
        <v>13501.0</v>
      </c>
      <c r="N2403" s="1" t="str">
        <f t="shared" si="5"/>
        <v>Registered</v>
      </c>
      <c r="O2403" s="1" t="s">
        <v>1270</v>
      </c>
      <c r="P2403" s="9" t="str">
        <f t="shared" si="6"/>
        <v>International</v>
      </c>
      <c r="Q2403" s="8">
        <f t="shared" si="7"/>
        <v>15.9</v>
      </c>
    </row>
    <row r="2404">
      <c r="A2404" s="1">
        <v>544931.0</v>
      </c>
      <c r="B2404" s="1" t="str">
        <f t="shared" si="1"/>
        <v>544931</v>
      </c>
      <c r="C2404" s="1" t="str">
        <f t="shared" si="2"/>
        <v>Sale</v>
      </c>
      <c r="D2404" s="1">
        <v>48194.0</v>
      </c>
      <c r="E2404" s="1" t="str">
        <f>IFERROR(__xludf.DUMMYFUNCTION("IF(LEN(D2404)&gt;4, IFERROR(REGEXEXTRACT(TO_TEXT(D2404),""\d+""),""""),"""")"),"48194")</f>
        <v>48194</v>
      </c>
      <c r="F2404" s="6" t="str">
        <f t="shared" si="3"/>
        <v>Product</v>
      </c>
      <c r="G2404" s="1" t="s">
        <v>375</v>
      </c>
      <c r="H2404" s="6" t="str">
        <f>IFERROR(__xludf.DUMMYFUNCTION("IF(REGEXMATCH(LOWER(G2404), ""^(\?)+\s*(missing)?\s*(\?)*$""), """", PROPER(SUBSTITUTE(SUBSTITUTE(G2404, ""?"", """"), ""*"", """")))"),"Doormat Hearts")</f>
        <v>Doormat Hearts</v>
      </c>
      <c r="I2404" s="3">
        <v>2.0</v>
      </c>
      <c r="J2404" s="7">
        <v>40598.790972222225</v>
      </c>
      <c r="K2404" s="8" t="str">
        <f t="shared" si="4"/>
        <v>2011-02</v>
      </c>
      <c r="L2404" s="5">
        <v>7.95</v>
      </c>
      <c r="M2404" s="3">
        <v>13501.0</v>
      </c>
      <c r="N2404" s="1" t="str">
        <f t="shared" si="5"/>
        <v>Registered</v>
      </c>
      <c r="O2404" s="1" t="s">
        <v>1270</v>
      </c>
      <c r="P2404" s="9" t="str">
        <f t="shared" si="6"/>
        <v>International</v>
      </c>
      <c r="Q2404" s="8">
        <f t="shared" si="7"/>
        <v>15.9</v>
      </c>
    </row>
    <row r="2405">
      <c r="A2405" s="1">
        <v>544931.0</v>
      </c>
      <c r="B2405" s="1" t="str">
        <f t="shared" si="1"/>
        <v>544931</v>
      </c>
      <c r="C2405" s="1" t="str">
        <f t="shared" si="2"/>
        <v>Sale</v>
      </c>
      <c r="D2405" s="1">
        <v>48116.0</v>
      </c>
      <c r="E2405" s="1" t="str">
        <f>IFERROR(__xludf.DUMMYFUNCTION("IF(LEN(D2405)&gt;4, IFERROR(REGEXEXTRACT(TO_TEXT(D2405),""\d+""),""""),"""")"),"48116")</f>
        <v>48116</v>
      </c>
      <c r="F2405" s="6" t="str">
        <f t="shared" si="3"/>
        <v>Product</v>
      </c>
      <c r="G2405" s="1" t="s">
        <v>1278</v>
      </c>
      <c r="H2405" s="6" t="str">
        <f>IFERROR(__xludf.DUMMYFUNCTION("IF(REGEXMATCH(LOWER(G2405), ""^(\?)+\s*(missing)?\s*(\?)*$""), """", PROPER(SUBSTITUTE(SUBSTITUTE(G2405, ""?"", """"), ""*"", """")))"),"Doormat Multicolour Stripe")</f>
        <v>Doormat Multicolour Stripe</v>
      </c>
      <c r="I2405" s="3">
        <v>2.0</v>
      </c>
      <c r="J2405" s="7">
        <v>40598.790972222225</v>
      </c>
      <c r="K2405" s="8" t="str">
        <f t="shared" si="4"/>
        <v>2011-02</v>
      </c>
      <c r="L2405" s="5">
        <v>7.95</v>
      </c>
      <c r="M2405" s="3">
        <v>13501.0</v>
      </c>
      <c r="N2405" s="1" t="str">
        <f t="shared" si="5"/>
        <v>Registered</v>
      </c>
      <c r="O2405" s="1" t="s">
        <v>1270</v>
      </c>
      <c r="P2405" s="9" t="str">
        <f t="shared" si="6"/>
        <v>International</v>
      </c>
      <c r="Q2405" s="8">
        <f t="shared" si="7"/>
        <v>15.9</v>
      </c>
    </row>
    <row r="2406">
      <c r="A2406" s="1">
        <v>544931.0</v>
      </c>
      <c r="B2406" s="1" t="str">
        <f t="shared" si="1"/>
        <v>544931</v>
      </c>
      <c r="C2406" s="1" t="str">
        <f t="shared" si="2"/>
        <v>Sale</v>
      </c>
      <c r="D2406" s="1">
        <v>48129.0</v>
      </c>
      <c r="E2406" s="1" t="str">
        <f>IFERROR(__xludf.DUMMYFUNCTION("IF(LEN(D2406)&gt;4, IFERROR(REGEXEXTRACT(TO_TEXT(D2406),""\d+""),""""),"""")"),"48129")</f>
        <v>48129</v>
      </c>
      <c r="F2406" s="6" t="str">
        <f t="shared" si="3"/>
        <v>Product</v>
      </c>
      <c r="G2406" s="1" t="s">
        <v>295</v>
      </c>
      <c r="H2406" s="6" t="str">
        <f>IFERROR(__xludf.DUMMYFUNCTION("IF(REGEXMATCH(LOWER(G2406), ""^(\?)+\s*(missing)?\s*(\?)*$""), """", PROPER(SUBSTITUTE(SUBSTITUTE(G2406, ""?"", """"), ""*"", """")))"),"Doormat Topiary")</f>
        <v>Doormat Topiary</v>
      </c>
      <c r="I2406" s="3">
        <v>2.0</v>
      </c>
      <c r="J2406" s="7">
        <v>40598.790972222225</v>
      </c>
      <c r="K2406" s="8" t="str">
        <f t="shared" si="4"/>
        <v>2011-02</v>
      </c>
      <c r="L2406" s="5">
        <v>7.95</v>
      </c>
      <c r="M2406" s="3">
        <v>13501.0</v>
      </c>
      <c r="N2406" s="1" t="str">
        <f t="shared" si="5"/>
        <v>Registered</v>
      </c>
      <c r="O2406" s="1" t="s">
        <v>1270</v>
      </c>
      <c r="P2406" s="9" t="str">
        <f t="shared" si="6"/>
        <v>International</v>
      </c>
      <c r="Q2406" s="8">
        <f t="shared" si="7"/>
        <v>15.9</v>
      </c>
    </row>
    <row r="2407">
      <c r="A2407" s="1">
        <v>544931.0</v>
      </c>
      <c r="B2407" s="1" t="str">
        <f t="shared" si="1"/>
        <v>544931</v>
      </c>
      <c r="C2407" s="1" t="str">
        <f t="shared" si="2"/>
        <v>Sale</v>
      </c>
      <c r="D2407" s="1">
        <v>22822.0</v>
      </c>
      <c r="E2407" s="1" t="str">
        <f>IFERROR(__xludf.DUMMYFUNCTION("IF(LEN(D2407)&gt;4, IFERROR(REGEXEXTRACT(TO_TEXT(D2407),""\d+""),""""),"""")"),"22822")</f>
        <v>22822</v>
      </c>
      <c r="F2407" s="6" t="str">
        <f t="shared" si="3"/>
        <v>Product</v>
      </c>
      <c r="G2407" s="1" t="s">
        <v>1279</v>
      </c>
      <c r="H2407" s="6" t="str">
        <f>IFERROR(__xludf.DUMMYFUNCTION("IF(REGEXMATCH(LOWER(G2407), ""^(\?)+\s*(missing)?\s*(\?)*$""), """", PROPER(SUBSTITUTE(SUBSTITUTE(G2407, ""?"", """"), ""*"", """")))"),"Cream Wall Planter Heart Shaped")</f>
        <v>Cream Wall Planter Heart Shaped</v>
      </c>
      <c r="I2407" s="3">
        <v>16.0</v>
      </c>
      <c r="J2407" s="7">
        <v>40598.790972222225</v>
      </c>
      <c r="K2407" s="8" t="str">
        <f t="shared" si="4"/>
        <v>2011-02</v>
      </c>
      <c r="L2407" s="5">
        <v>4.95</v>
      </c>
      <c r="M2407" s="3">
        <v>13501.0</v>
      </c>
      <c r="N2407" s="1" t="str">
        <f t="shared" si="5"/>
        <v>Registered</v>
      </c>
      <c r="O2407" s="1" t="s">
        <v>1270</v>
      </c>
      <c r="P2407" s="9" t="str">
        <f t="shared" si="6"/>
        <v>International</v>
      </c>
      <c r="Q2407" s="8">
        <f t="shared" si="7"/>
        <v>79.2</v>
      </c>
    </row>
    <row r="2408">
      <c r="A2408" s="1">
        <v>544931.0</v>
      </c>
      <c r="B2408" s="1" t="str">
        <f t="shared" si="1"/>
        <v>544931</v>
      </c>
      <c r="C2408" s="1" t="str">
        <f t="shared" si="2"/>
        <v>Sale</v>
      </c>
      <c r="D2408" s="1">
        <v>22430.0</v>
      </c>
      <c r="E2408" s="1" t="str">
        <f>IFERROR(__xludf.DUMMYFUNCTION("IF(LEN(D2408)&gt;4, IFERROR(REGEXEXTRACT(TO_TEXT(D2408),""\d+""),""""),"""")"),"22430")</f>
        <v>22430</v>
      </c>
      <c r="F2408" s="6" t="str">
        <f t="shared" si="3"/>
        <v>Product</v>
      </c>
      <c r="G2408" s="1" t="s">
        <v>1014</v>
      </c>
      <c r="H2408" s="6" t="str">
        <f>IFERROR(__xludf.DUMMYFUNCTION("IF(REGEXMATCH(LOWER(G2408), ""^(\?)+\s*(missing)?\s*(\?)*$""), """", PROPER(SUBSTITUTE(SUBSTITUTE(G2408, ""?"", """"), ""*"", """")))"),"Enamel Watering Can Cream")</f>
        <v>Enamel Watering Can Cream</v>
      </c>
      <c r="I2408" s="3">
        <v>4.0</v>
      </c>
      <c r="J2408" s="7">
        <v>40598.790972222225</v>
      </c>
      <c r="K2408" s="8" t="str">
        <f t="shared" si="4"/>
        <v>2011-02</v>
      </c>
      <c r="L2408" s="5">
        <v>4.95</v>
      </c>
      <c r="M2408" s="3">
        <v>13501.0</v>
      </c>
      <c r="N2408" s="1" t="str">
        <f t="shared" si="5"/>
        <v>Registered</v>
      </c>
      <c r="O2408" s="1" t="s">
        <v>1270</v>
      </c>
      <c r="P2408" s="9" t="str">
        <f t="shared" si="6"/>
        <v>International</v>
      </c>
      <c r="Q2408" s="8">
        <f t="shared" si="7"/>
        <v>19.8</v>
      </c>
    </row>
    <row r="2409">
      <c r="A2409" s="1">
        <v>544931.0</v>
      </c>
      <c r="B2409" s="1" t="str">
        <f t="shared" si="1"/>
        <v>544931</v>
      </c>
      <c r="C2409" s="1" t="str">
        <f t="shared" si="2"/>
        <v>Sale</v>
      </c>
      <c r="D2409" s="1">
        <v>22441.0</v>
      </c>
      <c r="E2409" s="1" t="str">
        <f>IFERROR(__xludf.DUMMYFUNCTION("IF(LEN(D2409)&gt;4, IFERROR(REGEXEXTRACT(TO_TEXT(D2409),""\d+""),""""),"""")"),"22441")</f>
        <v>22441</v>
      </c>
      <c r="F2409" s="6" t="str">
        <f t="shared" si="3"/>
        <v>Product</v>
      </c>
      <c r="G2409" s="1" t="s">
        <v>301</v>
      </c>
      <c r="H2409" s="6" t="str">
        <f>IFERROR(__xludf.DUMMYFUNCTION("IF(REGEXMATCH(LOWER(G2409), ""^(\?)+\s*(missing)?\s*(\?)*$""), """", PROPER(SUBSTITUTE(SUBSTITUTE(G2409, ""?"", """"), ""*"", """")))"),"Grow Your Own Basil In Enamel Mug")</f>
        <v>Grow Your Own Basil In Enamel Mug</v>
      </c>
      <c r="I2409" s="3">
        <v>8.0</v>
      </c>
      <c r="J2409" s="7">
        <v>40598.790972222225</v>
      </c>
      <c r="K2409" s="8" t="str">
        <f t="shared" si="4"/>
        <v>2011-02</v>
      </c>
      <c r="L2409" s="5">
        <v>2.1</v>
      </c>
      <c r="M2409" s="3">
        <v>13501.0</v>
      </c>
      <c r="N2409" s="1" t="str">
        <f t="shared" si="5"/>
        <v>Registered</v>
      </c>
      <c r="O2409" s="1" t="s">
        <v>1270</v>
      </c>
      <c r="P2409" s="9" t="str">
        <f t="shared" si="6"/>
        <v>International</v>
      </c>
      <c r="Q2409" s="8">
        <f t="shared" si="7"/>
        <v>16.8</v>
      </c>
    </row>
    <row r="2410">
      <c r="A2410" s="1">
        <v>544931.0</v>
      </c>
      <c r="B2410" s="1" t="str">
        <f t="shared" si="1"/>
        <v>544931</v>
      </c>
      <c r="C2410" s="1" t="str">
        <f t="shared" si="2"/>
        <v>Sale</v>
      </c>
      <c r="D2410" s="1">
        <v>22852.0</v>
      </c>
      <c r="E2410" s="1" t="str">
        <f>IFERROR(__xludf.DUMMYFUNCTION("IF(LEN(D2410)&gt;4, IFERROR(REGEXEXTRACT(TO_TEXT(D2410),""\d+""),""""),"""")"),"22852")</f>
        <v>22852</v>
      </c>
      <c r="F2410" s="6" t="str">
        <f t="shared" si="3"/>
        <v>Product</v>
      </c>
      <c r="G2410" s="1" t="s">
        <v>785</v>
      </c>
      <c r="H2410" s="6" t="str">
        <f>IFERROR(__xludf.DUMMYFUNCTION("IF(REGEXMATCH(LOWER(G2410), ""^(\?)+\s*(missing)?\s*(\?)*$""), """", PROPER(SUBSTITUTE(SUBSTITUTE(G2410, ""?"", """"), ""*"", """")))"),"Dog Bowl Vintage Cream")</f>
        <v>Dog Bowl Vintage Cream</v>
      </c>
      <c r="I2410" s="3">
        <v>4.0</v>
      </c>
      <c r="J2410" s="7">
        <v>40598.790972222225</v>
      </c>
      <c r="K2410" s="8" t="str">
        <f t="shared" si="4"/>
        <v>2011-02</v>
      </c>
      <c r="L2410" s="5">
        <v>4.25</v>
      </c>
      <c r="M2410" s="3">
        <v>13501.0</v>
      </c>
      <c r="N2410" s="1" t="str">
        <f t="shared" si="5"/>
        <v>Registered</v>
      </c>
      <c r="O2410" s="1" t="s">
        <v>1270</v>
      </c>
      <c r="P2410" s="9" t="str">
        <f t="shared" si="6"/>
        <v>International</v>
      </c>
      <c r="Q2410" s="8">
        <f t="shared" si="7"/>
        <v>17</v>
      </c>
    </row>
    <row r="2411">
      <c r="A2411" s="1">
        <v>544931.0</v>
      </c>
      <c r="B2411" s="1" t="str">
        <f t="shared" si="1"/>
        <v>544931</v>
      </c>
      <c r="C2411" s="1" t="str">
        <f t="shared" si="2"/>
        <v>Sale</v>
      </c>
      <c r="D2411" s="1">
        <v>22845.0</v>
      </c>
      <c r="E2411" s="1" t="str">
        <f>IFERROR(__xludf.DUMMYFUNCTION("IF(LEN(D2411)&gt;4, IFERROR(REGEXEXTRACT(TO_TEXT(D2411),""\d+""),""""),"""")"),"22845")</f>
        <v>22845</v>
      </c>
      <c r="F2411" s="6" t="str">
        <f t="shared" si="3"/>
        <v>Product</v>
      </c>
      <c r="G2411" s="1" t="s">
        <v>787</v>
      </c>
      <c r="H2411" s="6" t="str">
        <f>IFERROR(__xludf.DUMMYFUNCTION("IF(REGEXMATCH(LOWER(G2411), ""^(\?)+\s*(missing)?\s*(\?)*$""), """", PROPER(SUBSTITUTE(SUBSTITUTE(G2411, ""?"", """"), ""*"", """")))"),"Vintage Cream Cat Food Container")</f>
        <v>Vintage Cream Cat Food Container</v>
      </c>
      <c r="I2411" s="3">
        <v>2.0</v>
      </c>
      <c r="J2411" s="7">
        <v>40598.790972222225</v>
      </c>
      <c r="K2411" s="8" t="str">
        <f t="shared" si="4"/>
        <v>2011-02</v>
      </c>
      <c r="L2411" s="5">
        <v>6.35</v>
      </c>
      <c r="M2411" s="3">
        <v>13501.0</v>
      </c>
      <c r="N2411" s="1" t="str">
        <f t="shared" si="5"/>
        <v>Registered</v>
      </c>
      <c r="O2411" s="1" t="s">
        <v>1270</v>
      </c>
      <c r="P2411" s="9" t="str">
        <f t="shared" si="6"/>
        <v>International</v>
      </c>
      <c r="Q2411" s="8">
        <f t="shared" si="7"/>
        <v>12.7</v>
      </c>
    </row>
    <row r="2412">
      <c r="A2412" s="1">
        <v>544931.0</v>
      </c>
      <c r="B2412" s="1" t="str">
        <f t="shared" si="1"/>
        <v>544931</v>
      </c>
      <c r="C2412" s="1" t="str">
        <f t="shared" si="2"/>
        <v>Sale</v>
      </c>
      <c r="D2412" s="1">
        <v>22844.0</v>
      </c>
      <c r="E2412" s="1" t="str">
        <f>IFERROR(__xludf.DUMMYFUNCTION("IF(LEN(D2412)&gt;4, IFERROR(REGEXEXTRACT(TO_TEXT(D2412),""\d+""),""""),"""")"),"22844")</f>
        <v>22844</v>
      </c>
      <c r="F2412" s="6" t="str">
        <f t="shared" si="3"/>
        <v>Product</v>
      </c>
      <c r="G2412" s="1" t="s">
        <v>786</v>
      </c>
      <c r="H2412" s="6" t="str">
        <f>IFERROR(__xludf.DUMMYFUNCTION("IF(REGEXMATCH(LOWER(G2412), ""^(\?)+\s*(missing)?\s*(\?)*$""), """", PROPER(SUBSTITUTE(SUBSTITUTE(G2412, ""?"", """"), ""*"", """")))"),"Vintage Cream Dog Food Container")</f>
        <v>Vintage Cream Dog Food Container</v>
      </c>
      <c r="I2412" s="3">
        <v>2.0</v>
      </c>
      <c r="J2412" s="7">
        <v>40598.790972222225</v>
      </c>
      <c r="K2412" s="8" t="str">
        <f t="shared" si="4"/>
        <v>2011-02</v>
      </c>
      <c r="L2412" s="5">
        <v>8.5</v>
      </c>
      <c r="M2412" s="3">
        <v>13501.0</v>
      </c>
      <c r="N2412" s="1" t="str">
        <f t="shared" si="5"/>
        <v>Registered</v>
      </c>
      <c r="O2412" s="1" t="s">
        <v>1270</v>
      </c>
      <c r="P2412" s="9" t="str">
        <f t="shared" si="6"/>
        <v>International</v>
      </c>
      <c r="Q2412" s="8">
        <f t="shared" si="7"/>
        <v>17</v>
      </c>
    </row>
    <row r="2413">
      <c r="A2413" s="1">
        <v>544931.0</v>
      </c>
      <c r="B2413" s="1" t="str">
        <f t="shared" si="1"/>
        <v>544931</v>
      </c>
      <c r="C2413" s="1" t="str">
        <f t="shared" si="2"/>
        <v>Sale</v>
      </c>
      <c r="D2413" s="1">
        <v>22843.0</v>
      </c>
      <c r="E2413" s="1" t="str">
        <f>IFERROR(__xludf.DUMMYFUNCTION("IF(LEN(D2413)&gt;4, IFERROR(REGEXEXTRACT(TO_TEXT(D2413),""\d+""),""""),"""")"),"22843")</f>
        <v>22843</v>
      </c>
      <c r="F2413" s="6" t="str">
        <f t="shared" si="3"/>
        <v>Product</v>
      </c>
      <c r="G2413" s="1" t="s">
        <v>1155</v>
      </c>
      <c r="H2413" s="6" t="str">
        <f>IFERROR(__xludf.DUMMYFUNCTION("IF(REGEXMATCH(LOWER(G2413), ""^(\?)+\s*(missing)?\s*(\?)*$""), """", PROPER(SUBSTITUTE(SUBSTITUTE(G2413, ""?"", """"), ""*"", """")))"),"Biscuit Tin Vintage Green")</f>
        <v>Biscuit Tin Vintage Green</v>
      </c>
      <c r="I2413" s="3">
        <v>2.0</v>
      </c>
      <c r="J2413" s="7">
        <v>40598.790972222225</v>
      </c>
      <c r="K2413" s="8" t="str">
        <f t="shared" si="4"/>
        <v>2011-02</v>
      </c>
      <c r="L2413" s="5">
        <v>6.75</v>
      </c>
      <c r="M2413" s="3">
        <v>13501.0</v>
      </c>
      <c r="N2413" s="1" t="str">
        <f t="shared" si="5"/>
        <v>Registered</v>
      </c>
      <c r="O2413" s="1" t="s">
        <v>1270</v>
      </c>
      <c r="P2413" s="9" t="str">
        <f t="shared" si="6"/>
        <v>International</v>
      </c>
      <c r="Q2413" s="8">
        <f t="shared" si="7"/>
        <v>13.5</v>
      </c>
    </row>
    <row r="2414">
      <c r="A2414" s="1">
        <v>544931.0</v>
      </c>
      <c r="B2414" s="1" t="str">
        <f t="shared" si="1"/>
        <v>544931</v>
      </c>
      <c r="C2414" s="1" t="str">
        <f t="shared" si="2"/>
        <v>Sale</v>
      </c>
      <c r="D2414" s="1">
        <v>22842.0</v>
      </c>
      <c r="E2414" s="1" t="str">
        <f>IFERROR(__xludf.DUMMYFUNCTION("IF(LEN(D2414)&gt;4, IFERROR(REGEXEXTRACT(TO_TEXT(D2414),""\d+""),""""),"""")"),"22842")</f>
        <v>22842</v>
      </c>
      <c r="F2414" s="6" t="str">
        <f t="shared" si="3"/>
        <v>Product</v>
      </c>
      <c r="G2414" s="1" t="s">
        <v>783</v>
      </c>
      <c r="H2414" s="6" t="str">
        <f>IFERROR(__xludf.DUMMYFUNCTION("IF(REGEXMATCH(LOWER(G2414), ""^(\?)+\s*(missing)?\s*(\?)*$""), """", PROPER(SUBSTITUTE(SUBSTITUTE(G2414, ""?"", """"), ""*"", """")))"),"Biscuit Tin Vintage Red")</f>
        <v>Biscuit Tin Vintage Red</v>
      </c>
      <c r="I2414" s="3">
        <v>2.0</v>
      </c>
      <c r="J2414" s="7">
        <v>40598.790972222225</v>
      </c>
      <c r="K2414" s="8" t="str">
        <f t="shared" si="4"/>
        <v>2011-02</v>
      </c>
      <c r="L2414" s="5">
        <v>6.75</v>
      </c>
      <c r="M2414" s="3">
        <v>13501.0</v>
      </c>
      <c r="N2414" s="1" t="str">
        <f t="shared" si="5"/>
        <v>Registered</v>
      </c>
      <c r="O2414" s="1" t="s">
        <v>1270</v>
      </c>
      <c r="P2414" s="9" t="str">
        <f t="shared" si="6"/>
        <v>International</v>
      </c>
      <c r="Q2414" s="8">
        <f t="shared" si="7"/>
        <v>13.5</v>
      </c>
    </row>
    <row r="2415">
      <c r="A2415" s="1">
        <v>544931.0</v>
      </c>
      <c r="B2415" s="1" t="str">
        <f t="shared" si="1"/>
        <v>544931</v>
      </c>
      <c r="C2415" s="1" t="str">
        <f t="shared" si="2"/>
        <v>Sale</v>
      </c>
      <c r="D2415" s="1">
        <v>22841.0</v>
      </c>
      <c r="E2415" s="1" t="str">
        <f>IFERROR(__xludf.DUMMYFUNCTION("IF(LEN(D2415)&gt;4, IFERROR(REGEXEXTRACT(TO_TEXT(D2415),""\d+""),""""),"""")"),"22841")</f>
        <v>22841</v>
      </c>
      <c r="F2415" s="6" t="str">
        <f t="shared" si="3"/>
        <v>Product</v>
      </c>
      <c r="G2415" s="1" t="s">
        <v>1154</v>
      </c>
      <c r="H2415" s="6" t="str">
        <f>IFERROR(__xludf.DUMMYFUNCTION("IF(REGEXMATCH(LOWER(G2415), ""^(\?)+\s*(missing)?\s*(\?)*$""), """", PROPER(SUBSTITUTE(SUBSTITUTE(G2415, ""?"", """"), ""*"", """")))"),"Round Cake Tin Vintage Green")</f>
        <v>Round Cake Tin Vintage Green</v>
      </c>
      <c r="I2415" s="3">
        <v>2.0</v>
      </c>
      <c r="J2415" s="7">
        <v>40598.790972222225</v>
      </c>
      <c r="K2415" s="8" t="str">
        <f t="shared" si="4"/>
        <v>2011-02</v>
      </c>
      <c r="L2415" s="5">
        <v>7.95</v>
      </c>
      <c r="M2415" s="3">
        <v>13501.0</v>
      </c>
      <c r="N2415" s="1" t="str">
        <f t="shared" si="5"/>
        <v>Registered</v>
      </c>
      <c r="O2415" s="1" t="s">
        <v>1270</v>
      </c>
      <c r="P2415" s="9" t="str">
        <f t="shared" si="6"/>
        <v>International</v>
      </c>
      <c r="Q2415" s="8">
        <f t="shared" si="7"/>
        <v>15.9</v>
      </c>
    </row>
    <row r="2416">
      <c r="A2416" s="1">
        <v>544931.0</v>
      </c>
      <c r="B2416" s="1" t="str">
        <f t="shared" si="1"/>
        <v>544931</v>
      </c>
      <c r="C2416" s="1" t="str">
        <f t="shared" si="2"/>
        <v>Sale</v>
      </c>
      <c r="D2416" s="1">
        <v>22840.0</v>
      </c>
      <c r="E2416" s="1" t="str">
        <f>IFERROR(__xludf.DUMMYFUNCTION("IF(LEN(D2416)&gt;4, IFERROR(REGEXEXTRACT(TO_TEXT(D2416),""\d+""),""""),"""")"),"22840")</f>
        <v>22840</v>
      </c>
      <c r="F2416" s="6" t="str">
        <f t="shared" si="3"/>
        <v>Product</v>
      </c>
      <c r="G2416" s="1" t="s">
        <v>782</v>
      </c>
      <c r="H2416" s="6" t="str">
        <f>IFERROR(__xludf.DUMMYFUNCTION("IF(REGEXMATCH(LOWER(G2416), ""^(\?)+\s*(missing)?\s*(\?)*$""), """", PROPER(SUBSTITUTE(SUBSTITUTE(G2416, ""?"", """"), ""*"", """")))"),"Round Cake Tin Vintage Red")</f>
        <v>Round Cake Tin Vintage Red</v>
      </c>
      <c r="I2416" s="3">
        <v>2.0</v>
      </c>
      <c r="J2416" s="7">
        <v>40598.790972222225</v>
      </c>
      <c r="K2416" s="8" t="str">
        <f t="shared" si="4"/>
        <v>2011-02</v>
      </c>
      <c r="L2416" s="5">
        <v>7.95</v>
      </c>
      <c r="M2416" s="3">
        <v>13501.0</v>
      </c>
      <c r="N2416" s="1" t="str">
        <f t="shared" si="5"/>
        <v>Registered</v>
      </c>
      <c r="O2416" s="1" t="s">
        <v>1270</v>
      </c>
      <c r="P2416" s="9" t="str">
        <f t="shared" si="6"/>
        <v>International</v>
      </c>
      <c r="Q2416" s="8">
        <f t="shared" si="7"/>
        <v>15.9</v>
      </c>
    </row>
    <row r="2417">
      <c r="A2417" s="1">
        <v>544931.0</v>
      </c>
      <c r="B2417" s="1" t="str">
        <f t="shared" si="1"/>
        <v>544931</v>
      </c>
      <c r="C2417" s="1" t="str">
        <f t="shared" si="2"/>
        <v>Sale</v>
      </c>
      <c r="D2417" s="1">
        <v>22469.0</v>
      </c>
      <c r="E2417" s="1" t="str">
        <f>IFERROR(__xludf.DUMMYFUNCTION("IF(LEN(D2417)&gt;4, IFERROR(REGEXEXTRACT(TO_TEXT(D2417),""\d+""),""""),"""")"),"22469")</f>
        <v>22469</v>
      </c>
      <c r="F2417" s="6" t="str">
        <f t="shared" si="3"/>
        <v>Product</v>
      </c>
      <c r="G2417" s="1" t="s">
        <v>167</v>
      </c>
      <c r="H2417" s="6" t="str">
        <f>IFERROR(__xludf.DUMMYFUNCTION("IF(REGEXMATCH(LOWER(G2417), ""^(\?)+\s*(missing)?\s*(\?)*$""), """", PROPER(SUBSTITUTE(SUBSTITUTE(G2417, ""?"", """"), ""*"", """")))"),"Heart Of Wicker Small")</f>
        <v>Heart Of Wicker Small</v>
      </c>
      <c r="I2417" s="3">
        <v>24.0</v>
      </c>
      <c r="J2417" s="7">
        <v>40598.790972222225</v>
      </c>
      <c r="K2417" s="8" t="str">
        <f t="shared" si="4"/>
        <v>2011-02</v>
      </c>
      <c r="L2417" s="5">
        <v>1.65</v>
      </c>
      <c r="M2417" s="3">
        <v>13501.0</v>
      </c>
      <c r="N2417" s="1" t="str">
        <f t="shared" si="5"/>
        <v>Registered</v>
      </c>
      <c r="O2417" s="1" t="s">
        <v>1270</v>
      </c>
      <c r="P2417" s="9" t="str">
        <f t="shared" si="6"/>
        <v>International</v>
      </c>
      <c r="Q2417" s="8">
        <f t="shared" si="7"/>
        <v>39.6</v>
      </c>
    </row>
    <row r="2418">
      <c r="A2418" s="1">
        <v>544931.0</v>
      </c>
      <c r="B2418" s="1" t="str">
        <f t="shared" si="1"/>
        <v>544931</v>
      </c>
      <c r="C2418" s="1" t="str">
        <f t="shared" si="2"/>
        <v>Sale</v>
      </c>
      <c r="D2418" s="1" t="s">
        <v>1280</v>
      </c>
      <c r="E2418" s="1" t="str">
        <f>IFERROR(__xludf.DUMMYFUNCTION("IF(LEN(D2418)&gt;4, IFERROR(REGEXEXTRACT(TO_TEXT(D2418),""\d+""),""""),"""")"),"84459")</f>
        <v>84459</v>
      </c>
      <c r="F2418" s="6" t="str">
        <f t="shared" si="3"/>
        <v>Product</v>
      </c>
      <c r="G2418" s="1" t="s">
        <v>1281</v>
      </c>
      <c r="H2418" s="6" t="str">
        <f>IFERROR(__xludf.DUMMYFUNCTION("IF(REGEXMATCH(LOWER(G2418), ""^(\?)+\s*(missing)?\s*(\?)*$""), """", PROPER(SUBSTITUTE(SUBSTITUTE(G2418, ""?"", """"), ""*"", """")))"),"Yellow Metal Chicken Heart")</f>
        <v>Yellow Metal Chicken Heart</v>
      </c>
      <c r="I2418" s="3">
        <v>12.0</v>
      </c>
      <c r="J2418" s="7">
        <v>40598.790972222225</v>
      </c>
      <c r="K2418" s="8" t="str">
        <f t="shared" si="4"/>
        <v>2011-02</v>
      </c>
      <c r="L2418" s="5">
        <v>1.49</v>
      </c>
      <c r="M2418" s="3">
        <v>13501.0</v>
      </c>
      <c r="N2418" s="1" t="str">
        <f t="shared" si="5"/>
        <v>Registered</v>
      </c>
      <c r="O2418" s="1" t="s">
        <v>1270</v>
      </c>
      <c r="P2418" s="9" t="str">
        <f t="shared" si="6"/>
        <v>International</v>
      </c>
      <c r="Q2418" s="8">
        <f t="shared" si="7"/>
        <v>17.88</v>
      </c>
    </row>
    <row r="2419">
      <c r="A2419" s="1">
        <v>544931.0</v>
      </c>
      <c r="B2419" s="1" t="str">
        <f t="shared" si="1"/>
        <v>544931</v>
      </c>
      <c r="C2419" s="1" t="str">
        <f t="shared" si="2"/>
        <v>Sale</v>
      </c>
      <c r="D2419" s="1">
        <v>22231.0</v>
      </c>
      <c r="E2419" s="1" t="str">
        <f>IFERROR(__xludf.DUMMYFUNCTION("IF(LEN(D2419)&gt;4, IFERROR(REGEXEXTRACT(TO_TEXT(D2419),""\d+""),""""),"""")"),"22231")</f>
        <v>22231</v>
      </c>
      <c r="F2419" s="6" t="str">
        <f t="shared" si="3"/>
        <v>Product</v>
      </c>
      <c r="G2419" s="1" t="s">
        <v>1282</v>
      </c>
      <c r="H2419" s="6" t="str">
        <f>IFERROR(__xludf.DUMMYFUNCTION("IF(REGEXMATCH(LOWER(G2419), ""^(\?)+\s*(missing)?\s*(\?)*$""), """", PROPER(SUBSTITUTE(SUBSTITUTE(G2419, ""?"", """"), ""*"", """")))"),"Jigsaw Tree With Birdhouse")</f>
        <v>Jigsaw Tree With Birdhouse</v>
      </c>
      <c r="I2419" s="3">
        <v>12.0</v>
      </c>
      <c r="J2419" s="7">
        <v>40598.790972222225</v>
      </c>
      <c r="K2419" s="8" t="str">
        <f t="shared" si="4"/>
        <v>2011-02</v>
      </c>
      <c r="L2419" s="5">
        <v>1.45</v>
      </c>
      <c r="M2419" s="3">
        <v>13501.0</v>
      </c>
      <c r="N2419" s="1" t="str">
        <f t="shared" si="5"/>
        <v>Registered</v>
      </c>
      <c r="O2419" s="1" t="s">
        <v>1270</v>
      </c>
      <c r="P2419" s="9" t="str">
        <f t="shared" si="6"/>
        <v>International</v>
      </c>
      <c r="Q2419" s="8">
        <f t="shared" si="7"/>
        <v>17.4</v>
      </c>
    </row>
    <row r="2420">
      <c r="A2420" s="1">
        <v>544931.0</v>
      </c>
      <c r="B2420" s="1" t="str">
        <f t="shared" si="1"/>
        <v>544931</v>
      </c>
      <c r="C2420" s="1" t="str">
        <f t="shared" si="2"/>
        <v>Sale</v>
      </c>
      <c r="D2420" s="1">
        <v>22445.0</v>
      </c>
      <c r="E2420" s="1" t="str">
        <f>IFERROR(__xludf.DUMMYFUNCTION("IF(LEN(D2420)&gt;4, IFERROR(REGEXEXTRACT(TO_TEXT(D2420),""\d+""),""""),"""")"),"22445")</f>
        <v>22445</v>
      </c>
      <c r="F2420" s="6" t="str">
        <f t="shared" si="3"/>
        <v>Product</v>
      </c>
      <c r="G2420" s="1" t="s">
        <v>1283</v>
      </c>
      <c r="H2420" s="6" t="str">
        <f>IFERROR(__xludf.DUMMYFUNCTION("IF(REGEXMATCH(LOWER(G2420), ""^(\?)+\s*(missing)?\s*(\?)*$""), """", PROPER(SUBSTITUTE(SUBSTITUTE(G2420, ""?"", """"), ""*"", """")))"),"Pencil Case Life Is Beautiful")</f>
        <v>Pencil Case Life Is Beautiful</v>
      </c>
      <c r="I2420" s="3">
        <v>12.0</v>
      </c>
      <c r="J2420" s="7">
        <v>40598.790972222225</v>
      </c>
      <c r="K2420" s="8" t="str">
        <f t="shared" si="4"/>
        <v>2011-02</v>
      </c>
      <c r="L2420" s="5">
        <v>2.95</v>
      </c>
      <c r="M2420" s="3">
        <v>13501.0</v>
      </c>
      <c r="N2420" s="1" t="str">
        <f t="shared" si="5"/>
        <v>Registered</v>
      </c>
      <c r="O2420" s="1" t="s">
        <v>1270</v>
      </c>
      <c r="P2420" s="9" t="str">
        <f t="shared" si="6"/>
        <v>International</v>
      </c>
      <c r="Q2420" s="8">
        <f t="shared" si="7"/>
        <v>35.4</v>
      </c>
    </row>
    <row r="2421">
      <c r="A2421" s="1">
        <v>544931.0</v>
      </c>
      <c r="B2421" s="1" t="str">
        <f t="shared" si="1"/>
        <v>544931</v>
      </c>
      <c r="C2421" s="1" t="str">
        <f t="shared" si="2"/>
        <v>Sale</v>
      </c>
      <c r="D2421" s="1">
        <v>21648.0</v>
      </c>
      <c r="E2421" s="1" t="str">
        <f>IFERROR(__xludf.DUMMYFUNCTION("IF(LEN(D2421)&gt;4, IFERROR(REGEXEXTRACT(TO_TEXT(D2421),""\d+""),""""),"""")"),"21648")</f>
        <v>21648</v>
      </c>
      <c r="F2421" s="6" t="str">
        <f t="shared" si="3"/>
        <v>Product</v>
      </c>
      <c r="G2421" s="1" t="s">
        <v>1284</v>
      </c>
      <c r="H2421" s="6" t="str">
        <f>IFERROR(__xludf.DUMMYFUNCTION("IF(REGEXMATCH(LOWER(G2421), ""^(\?)+\s*(missing)?\s*(\?)*$""), """", PROPER(SUBSTITUTE(SUBSTITUTE(G2421, ""?"", """"), ""*"", """")))"),"Assorted Tutti Frutti Small Purse")</f>
        <v>Assorted Tutti Frutti Small Purse</v>
      </c>
      <c r="I2421" s="3">
        <v>24.0</v>
      </c>
      <c r="J2421" s="7">
        <v>40598.790972222225</v>
      </c>
      <c r="K2421" s="8" t="str">
        <f t="shared" si="4"/>
        <v>2011-02</v>
      </c>
      <c r="L2421" s="5">
        <v>1.25</v>
      </c>
      <c r="M2421" s="3">
        <v>13501.0</v>
      </c>
      <c r="N2421" s="1" t="str">
        <f t="shared" si="5"/>
        <v>Registered</v>
      </c>
      <c r="O2421" s="1" t="s">
        <v>1270</v>
      </c>
      <c r="P2421" s="9" t="str">
        <f t="shared" si="6"/>
        <v>International</v>
      </c>
      <c r="Q2421" s="8">
        <f t="shared" si="7"/>
        <v>30</v>
      </c>
    </row>
    <row r="2422">
      <c r="A2422" s="1">
        <v>544931.0</v>
      </c>
      <c r="B2422" s="1" t="str">
        <f t="shared" si="1"/>
        <v>544931</v>
      </c>
      <c r="C2422" s="1" t="str">
        <f t="shared" si="2"/>
        <v>Sale</v>
      </c>
      <c r="D2422" s="1">
        <v>21643.0</v>
      </c>
      <c r="E2422" s="1" t="str">
        <f>IFERROR(__xludf.DUMMYFUNCTION("IF(LEN(D2422)&gt;4, IFERROR(REGEXEXTRACT(TO_TEXT(D2422),""\d+""),""""),"""")"),"21643")</f>
        <v>21643</v>
      </c>
      <c r="F2422" s="6" t="str">
        <f t="shared" si="3"/>
        <v>Product</v>
      </c>
      <c r="G2422" s="1" t="s">
        <v>1188</v>
      </c>
      <c r="H2422" s="6" t="str">
        <f>IFERROR(__xludf.DUMMYFUNCTION("IF(REGEXMATCH(LOWER(G2422), ""^(\?)+\s*(missing)?\s*(\?)*$""), """", PROPER(SUBSTITUTE(SUBSTITUTE(G2422, ""?"", """"), ""*"", """")))"),"Assorted Tutti Frutti Mirror")</f>
        <v>Assorted Tutti Frutti Mirror</v>
      </c>
      <c r="I2422" s="3">
        <v>24.0</v>
      </c>
      <c r="J2422" s="7">
        <v>40598.790972222225</v>
      </c>
      <c r="K2422" s="8" t="str">
        <f t="shared" si="4"/>
        <v>2011-02</v>
      </c>
      <c r="L2422" s="5">
        <v>1.25</v>
      </c>
      <c r="M2422" s="3">
        <v>13501.0</v>
      </c>
      <c r="N2422" s="1" t="str">
        <f t="shared" si="5"/>
        <v>Registered</v>
      </c>
      <c r="O2422" s="1" t="s">
        <v>1270</v>
      </c>
      <c r="P2422" s="9" t="str">
        <f t="shared" si="6"/>
        <v>International</v>
      </c>
      <c r="Q2422" s="8">
        <f t="shared" si="7"/>
        <v>30</v>
      </c>
    </row>
    <row r="2423">
      <c r="A2423" s="1">
        <v>544931.0</v>
      </c>
      <c r="B2423" s="1" t="str">
        <f t="shared" si="1"/>
        <v>544931</v>
      </c>
      <c r="C2423" s="1" t="str">
        <f t="shared" si="2"/>
        <v>Sale</v>
      </c>
      <c r="D2423" s="1">
        <v>22139.0</v>
      </c>
      <c r="E2423" s="1" t="str">
        <f>IFERROR(__xludf.DUMMYFUNCTION("IF(LEN(D2423)&gt;4, IFERROR(REGEXEXTRACT(TO_TEXT(D2423),""\d+""),""""),"""")"),"22139")</f>
        <v>22139</v>
      </c>
      <c r="F2423" s="6" t="str">
        <f t="shared" si="3"/>
        <v>Product</v>
      </c>
      <c r="G2423" s="1" t="s">
        <v>110</v>
      </c>
      <c r="H2423" s="6" t="str">
        <f>IFERROR(__xludf.DUMMYFUNCTION("IF(REGEXMATCH(LOWER(G2423), ""^(\?)+\s*(missing)?\s*(\?)*$""), """", PROPER(SUBSTITUTE(SUBSTITUTE(G2423, ""?"", """"), ""*"", """")))"),"Retrospot Tea Set Ceramic 11 Pc")</f>
        <v>Retrospot Tea Set Ceramic 11 Pc</v>
      </c>
      <c r="I2423" s="3">
        <v>24.0</v>
      </c>
      <c r="J2423" s="7">
        <v>40598.790972222225</v>
      </c>
      <c r="K2423" s="8" t="str">
        <f t="shared" si="4"/>
        <v>2011-02</v>
      </c>
      <c r="L2423" s="5">
        <v>4.25</v>
      </c>
      <c r="M2423" s="3">
        <v>13501.0</v>
      </c>
      <c r="N2423" s="1" t="str">
        <f t="shared" si="5"/>
        <v>Registered</v>
      </c>
      <c r="O2423" s="1" t="s">
        <v>1270</v>
      </c>
      <c r="P2423" s="9" t="str">
        <f t="shared" si="6"/>
        <v>International</v>
      </c>
      <c r="Q2423" s="8">
        <f t="shared" si="7"/>
        <v>102</v>
      </c>
    </row>
    <row r="2424">
      <c r="A2424" s="1">
        <v>544931.0</v>
      </c>
      <c r="B2424" s="1" t="str">
        <f t="shared" si="1"/>
        <v>544931</v>
      </c>
      <c r="C2424" s="1" t="str">
        <f t="shared" si="2"/>
        <v>Sale</v>
      </c>
      <c r="D2424" s="1">
        <v>22746.0</v>
      </c>
      <c r="E2424" s="1" t="str">
        <f>IFERROR(__xludf.DUMMYFUNCTION("IF(LEN(D2424)&gt;4, IFERROR(REGEXEXTRACT(TO_TEXT(D2424),""\d+""),""""),"""")"),"22746")</f>
        <v>22746</v>
      </c>
      <c r="F2424" s="6" t="str">
        <f t="shared" si="3"/>
        <v>Product</v>
      </c>
      <c r="G2424" s="1" t="s">
        <v>982</v>
      </c>
      <c r="H2424" s="6" t="str">
        <f>IFERROR(__xludf.DUMMYFUNCTION("IF(REGEXMATCH(LOWER(G2424), ""^(\?)+\s*(missing)?\s*(\?)*$""), """", PROPER(SUBSTITUTE(SUBSTITUTE(G2424, ""?"", """"), ""*"", """")))"),"Poppy'S Playhouse Livingroom")</f>
        <v>Poppy'S Playhouse Livingroom</v>
      </c>
      <c r="I2424" s="3">
        <v>6.0</v>
      </c>
      <c r="J2424" s="7">
        <v>40598.790972222225</v>
      </c>
      <c r="K2424" s="8" t="str">
        <f t="shared" si="4"/>
        <v>2011-02</v>
      </c>
      <c r="L2424" s="5">
        <v>2.1</v>
      </c>
      <c r="M2424" s="3">
        <v>13501.0</v>
      </c>
      <c r="N2424" s="1" t="str">
        <f t="shared" si="5"/>
        <v>Registered</v>
      </c>
      <c r="O2424" s="1" t="s">
        <v>1270</v>
      </c>
      <c r="P2424" s="9" t="str">
        <f t="shared" si="6"/>
        <v>International</v>
      </c>
      <c r="Q2424" s="8">
        <f t="shared" si="7"/>
        <v>12.6</v>
      </c>
    </row>
    <row r="2425">
      <c r="A2425" s="1">
        <v>544931.0</v>
      </c>
      <c r="B2425" s="1" t="str">
        <f t="shared" si="1"/>
        <v>544931</v>
      </c>
      <c r="C2425" s="1" t="str">
        <f t="shared" si="2"/>
        <v>Sale</v>
      </c>
      <c r="D2425" s="1">
        <v>21329.0</v>
      </c>
      <c r="E2425" s="1" t="str">
        <f>IFERROR(__xludf.DUMMYFUNCTION("IF(LEN(D2425)&gt;4, IFERROR(REGEXEXTRACT(TO_TEXT(D2425),""\d+""),""""),"""")"),"21329")</f>
        <v>21329</v>
      </c>
      <c r="F2425" s="6" t="str">
        <f t="shared" si="3"/>
        <v>Product</v>
      </c>
      <c r="G2425" s="1" t="s">
        <v>609</v>
      </c>
      <c r="H2425" s="6" t="str">
        <f>IFERROR(__xludf.DUMMYFUNCTION("IF(REGEXMATCH(LOWER(G2425), ""^(\?)+\s*(missing)?\s*(\?)*$""), """", PROPER(SUBSTITUTE(SUBSTITUTE(G2425, ""?"", """"), ""*"", """")))"),"Dinosaurs Writing Set")</f>
        <v>Dinosaurs Writing Set</v>
      </c>
      <c r="I2425" s="3">
        <v>12.0</v>
      </c>
      <c r="J2425" s="7">
        <v>40598.790972222225</v>
      </c>
      <c r="K2425" s="8" t="str">
        <f t="shared" si="4"/>
        <v>2011-02</v>
      </c>
      <c r="L2425" s="5">
        <v>1.65</v>
      </c>
      <c r="M2425" s="3">
        <v>13501.0</v>
      </c>
      <c r="N2425" s="1" t="str">
        <f t="shared" si="5"/>
        <v>Registered</v>
      </c>
      <c r="O2425" s="1" t="s">
        <v>1270</v>
      </c>
      <c r="P2425" s="9" t="str">
        <f t="shared" si="6"/>
        <v>International</v>
      </c>
      <c r="Q2425" s="8">
        <f t="shared" si="7"/>
        <v>19.8</v>
      </c>
    </row>
    <row r="2426">
      <c r="A2426" s="1">
        <v>544931.0</v>
      </c>
      <c r="B2426" s="1" t="str">
        <f t="shared" si="1"/>
        <v>544931</v>
      </c>
      <c r="C2426" s="1" t="str">
        <f t="shared" si="2"/>
        <v>Sale</v>
      </c>
      <c r="D2426" s="1">
        <v>21328.0</v>
      </c>
      <c r="E2426" s="1" t="str">
        <f>IFERROR(__xludf.DUMMYFUNCTION("IF(LEN(D2426)&gt;4, IFERROR(REGEXEXTRACT(TO_TEXT(D2426),""\d+""),""""),"""")"),"21328")</f>
        <v>21328</v>
      </c>
      <c r="F2426" s="6" t="str">
        <f t="shared" si="3"/>
        <v>Product</v>
      </c>
      <c r="G2426" s="1" t="s">
        <v>280</v>
      </c>
      <c r="H2426" s="6" t="str">
        <f>IFERROR(__xludf.DUMMYFUNCTION("IF(REGEXMATCH(LOWER(G2426), ""^(\?)+\s*(missing)?\s*(\?)*$""), """", PROPER(SUBSTITUTE(SUBSTITUTE(G2426, ""?"", """"), ""*"", """")))"),"Balloons Writing Set")</f>
        <v>Balloons Writing Set</v>
      </c>
      <c r="I2426" s="3">
        <v>24.0</v>
      </c>
      <c r="J2426" s="7">
        <v>40598.790972222225</v>
      </c>
      <c r="K2426" s="8" t="str">
        <f t="shared" si="4"/>
        <v>2011-02</v>
      </c>
      <c r="L2426" s="5">
        <v>1.65</v>
      </c>
      <c r="M2426" s="3">
        <v>13501.0</v>
      </c>
      <c r="N2426" s="1" t="str">
        <f t="shared" si="5"/>
        <v>Registered</v>
      </c>
      <c r="O2426" s="1" t="s">
        <v>1270</v>
      </c>
      <c r="P2426" s="9" t="str">
        <f t="shared" si="6"/>
        <v>International</v>
      </c>
      <c r="Q2426" s="8">
        <f t="shared" si="7"/>
        <v>39.6</v>
      </c>
    </row>
    <row r="2427">
      <c r="A2427" s="1">
        <v>544931.0</v>
      </c>
      <c r="B2427" s="1" t="str">
        <f t="shared" si="1"/>
        <v>544931</v>
      </c>
      <c r="C2427" s="1" t="str">
        <f t="shared" si="2"/>
        <v>Sale</v>
      </c>
      <c r="D2427" s="1">
        <v>10133.0</v>
      </c>
      <c r="E2427" s="1" t="str">
        <f>IFERROR(__xludf.DUMMYFUNCTION("IF(LEN(D2427)&gt;4, IFERROR(REGEXEXTRACT(TO_TEXT(D2427),""\d+""),""""),"""")"),"10133")</f>
        <v>10133</v>
      </c>
      <c r="F2427" s="6" t="str">
        <f t="shared" si="3"/>
        <v>Product</v>
      </c>
      <c r="G2427" s="1" t="s">
        <v>537</v>
      </c>
      <c r="H2427" s="6" t="str">
        <f>IFERROR(__xludf.DUMMYFUNCTION("IF(REGEXMATCH(LOWER(G2427), ""^(\?)+\s*(missing)?\s*(\?)*$""), """", PROPER(SUBSTITUTE(SUBSTITUTE(G2427, ""?"", """"), ""*"", """")))"),"Colouring Pencils Brown Tube")</f>
        <v>Colouring Pencils Brown Tube</v>
      </c>
      <c r="I2427" s="3">
        <v>10.0</v>
      </c>
      <c r="J2427" s="7">
        <v>40598.790972222225</v>
      </c>
      <c r="K2427" s="8" t="str">
        <f t="shared" si="4"/>
        <v>2011-02</v>
      </c>
      <c r="L2427" s="5">
        <v>0.85</v>
      </c>
      <c r="M2427" s="3">
        <v>13501.0</v>
      </c>
      <c r="N2427" s="1" t="str">
        <f t="shared" si="5"/>
        <v>Registered</v>
      </c>
      <c r="O2427" s="1" t="s">
        <v>1270</v>
      </c>
      <c r="P2427" s="9" t="str">
        <f t="shared" si="6"/>
        <v>International</v>
      </c>
      <c r="Q2427" s="8">
        <f t="shared" si="7"/>
        <v>8.5</v>
      </c>
    </row>
    <row r="2428">
      <c r="A2428" s="1">
        <v>544931.0</v>
      </c>
      <c r="B2428" s="1" t="str">
        <f t="shared" si="1"/>
        <v>544931</v>
      </c>
      <c r="C2428" s="1" t="str">
        <f t="shared" si="2"/>
        <v>Sale</v>
      </c>
      <c r="D2428" s="1">
        <v>20977.0</v>
      </c>
      <c r="E2428" s="1" t="str">
        <f>IFERROR(__xludf.DUMMYFUNCTION("IF(LEN(D2428)&gt;4, IFERROR(REGEXEXTRACT(TO_TEXT(D2428),""\d+""),""""),"""")"),"20977")</f>
        <v>20977</v>
      </c>
      <c r="F2428" s="6" t="str">
        <f t="shared" si="3"/>
        <v>Product</v>
      </c>
      <c r="G2428" s="1" t="s">
        <v>617</v>
      </c>
      <c r="H2428" s="6" t="str">
        <f>IFERROR(__xludf.DUMMYFUNCTION("IF(REGEXMATCH(LOWER(G2428), ""^(\?)+\s*(missing)?\s*(\?)*$""), """", PROPER(SUBSTITUTE(SUBSTITUTE(G2428, ""?"", """"), ""*"", """")))"),"36 Pencils Tube Woodland")</f>
        <v>36 Pencils Tube Woodland</v>
      </c>
      <c r="I2428" s="3">
        <v>16.0</v>
      </c>
      <c r="J2428" s="7">
        <v>40598.790972222225</v>
      </c>
      <c r="K2428" s="8" t="str">
        <f t="shared" si="4"/>
        <v>2011-02</v>
      </c>
      <c r="L2428" s="5">
        <v>1.25</v>
      </c>
      <c r="M2428" s="3">
        <v>13501.0</v>
      </c>
      <c r="N2428" s="1" t="str">
        <f t="shared" si="5"/>
        <v>Registered</v>
      </c>
      <c r="O2428" s="1" t="s">
        <v>1270</v>
      </c>
      <c r="P2428" s="9" t="str">
        <f t="shared" si="6"/>
        <v>International</v>
      </c>
      <c r="Q2428" s="8">
        <f t="shared" si="7"/>
        <v>20</v>
      </c>
    </row>
    <row r="2429">
      <c r="A2429" s="1">
        <v>544932.0</v>
      </c>
      <c r="B2429" s="1" t="str">
        <f t="shared" si="1"/>
        <v>544932</v>
      </c>
      <c r="C2429" s="1" t="str">
        <f t="shared" si="2"/>
        <v>Sale</v>
      </c>
      <c r="D2429" s="1">
        <v>20970.0</v>
      </c>
      <c r="E2429" s="1" t="str">
        <f>IFERROR(__xludf.DUMMYFUNCTION("IF(LEN(D2429)&gt;4, IFERROR(REGEXEXTRACT(TO_TEXT(D2429),""\d+""),""""),"""")"),"20970")</f>
        <v>20970</v>
      </c>
      <c r="F2429" s="6" t="str">
        <f t="shared" si="3"/>
        <v>Product</v>
      </c>
      <c r="G2429" s="1" t="s">
        <v>957</v>
      </c>
      <c r="H2429" s="6" t="str">
        <f>IFERROR(__xludf.DUMMYFUNCTION("IF(REGEXMATCH(LOWER(G2429), ""^(\?)+\s*(missing)?\s*(\?)*$""), """", PROPER(SUBSTITUTE(SUBSTITUTE(G2429, ""?"", """"), ""*"", """")))"),"Pink Floral Feltcraft Shoulder Bag")</f>
        <v>Pink Floral Feltcraft Shoulder Bag</v>
      </c>
      <c r="I2429" s="3">
        <v>4.0</v>
      </c>
      <c r="J2429" s="7">
        <v>40599.34305555555</v>
      </c>
      <c r="K2429" s="8" t="str">
        <f t="shared" si="4"/>
        <v>2011-02</v>
      </c>
      <c r="L2429" s="5">
        <v>3.75</v>
      </c>
      <c r="M2429" s="3">
        <v>16133.0</v>
      </c>
      <c r="N2429" s="1" t="str">
        <f t="shared" si="5"/>
        <v>Registered</v>
      </c>
      <c r="O2429" s="1" t="s">
        <v>19</v>
      </c>
      <c r="P2429" s="9" t="str">
        <f t="shared" si="6"/>
        <v>UK</v>
      </c>
      <c r="Q2429" s="8">
        <f t="shared" si="7"/>
        <v>15</v>
      </c>
    </row>
    <row r="2430">
      <c r="A2430" s="1">
        <v>544932.0</v>
      </c>
      <c r="B2430" s="1" t="str">
        <f t="shared" si="1"/>
        <v>544932</v>
      </c>
      <c r="C2430" s="1" t="str">
        <f t="shared" si="2"/>
        <v>Sale</v>
      </c>
      <c r="D2430" s="1">
        <v>22271.0</v>
      </c>
      <c r="E2430" s="1" t="str">
        <f>IFERROR(__xludf.DUMMYFUNCTION("IF(LEN(D2430)&gt;4, IFERROR(REGEXEXTRACT(TO_TEXT(D2430),""\d+""),""""),"""")"),"22271")</f>
        <v>22271</v>
      </c>
      <c r="F2430" s="6" t="str">
        <f t="shared" si="3"/>
        <v>Product</v>
      </c>
      <c r="G2430" s="1" t="s">
        <v>449</v>
      </c>
      <c r="H2430" s="6" t="str">
        <f>IFERROR(__xludf.DUMMYFUNCTION("IF(REGEXMATCH(LOWER(G2430), ""^(\?)+\s*(missing)?\s*(\?)*$""), """", PROPER(SUBSTITUTE(SUBSTITUTE(G2430, ""?"", """"), ""*"", """")))"),"Feltcraft Doll Rosie")</f>
        <v>Feltcraft Doll Rosie</v>
      </c>
      <c r="I2430" s="3">
        <v>6.0</v>
      </c>
      <c r="J2430" s="7">
        <v>40599.34305555555</v>
      </c>
      <c r="K2430" s="8" t="str">
        <f t="shared" si="4"/>
        <v>2011-02</v>
      </c>
      <c r="L2430" s="5">
        <v>2.95</v>
      </c>
      <c r="M2430" s="3">
        <v>16133.0</v>
      </c>
      <c r="N2430" s="1" t="str">
        <f t="shared" si="5"/>
        <v>Registered</v>
      </c>
      <c r="O2430" s="1" t="s">
        <v>19</v>
      </c>
      <c r="P2430" s="9" t="str">
        <f t="shared" si="6"/>
        <v>UK</v>
      </c>
      <c r="Q2430" s="8">
        <f t="shared" si="7"/>
        <v>17.7</v>
      </c>
    </row>
    <row r="2431">
      <c r="A2431" s="1">
        <v>544932.0</v>
      </c>
      <c r="B2431" s="1" t="str">
        <f t="shared" si="1"/>
        <v>544932</v>
      </c>
      <c r="C2431" s="1" t="str">
        <f t="shared" si="2"/>
        <v>Sale</v>
      </c>
      <c r="D2431" s="1">
        <v>22274.0</v>
      </c>
      <c r="E2431" s="1" t="str">
        <f>IFERROR(__xludf.DUMMYFUNCTION("IF(LEN(D2431)&gt;4, IFERROR(REGEXEXTRACT(TO_TEXT(D2431),""\d+""),""""),"""")"),"22274")</f>
        <v>22274</v>
      </c>
      <c r="F2431" s="6" t="str">
        <f t="shared" si="3"/>
        <v>Product</v>
      </c>
      <c r="G2431" s="1" t="s">
        <v>450</v>
      </c>
      <c r="H2431" s="6" t="str">
        <f>IFERROR(__xludf.DUMMYFUNCTION("IF(REGEXMATCH(LOWER(G2431), ""^(\?)+\s*(missing)?\s*(\?)*$""), """", PROPER(SUBSTITUTE(SUBSTITUTE(G2431, ""?"", """"), ""*"", """")))"),"Feltcraft Doll Emily")</f>
        <v>Feltcraft Doll Emily</v>
      </c>
      <c r="I2431" s="3">
        <v>6.0</v>
      </c>
      <c r="J2431" s="7">
        <v>40599.34305555555</v>
      </c>
      <c r="K2431" s="8" t="str">
        <f t="shared" si="4"/>
        <v>2011-02</v>
      </c>
      <c r="L2431" s="5">
        <v>2.95</v>
      </c>
      <c r="M2431" s="3">
        <v>16133.0</v>
      </c>
      <c r="N2431" s="1" t="str">
        <f t="shared" si="5"/>
        <v>Registered</v>
      </c>
      <c r="O2431" s="1" t="s">
        <v>19</v>
      </c>
      <c r="P2431" s="9" t="str">
        <f t="shared" si="6"/>
        <v>UK</v>
      </c>
      <c r="Q2431" s="8">
        <f t="shared" si="7"/>
        <v>17.7</v>
      </c>
    </row>
    <row r="2432">
      <c r="A2432" s="1">
        <v>544932.0</v>
      </c>
      <c r="B2432" s="1" t="str">
        <f t="shared" si="1"/>
        <v>544932</v>
      </c>
      <c r="C2432" s="1" t="str">
        <f t="shared" si="2"/>
        <v>Sale</v>
      </c>
      <c r="D2432" s="1">
        <v>22570.0</v>
      </c>
      <c r="E2432" s="1" t="str">
        <f>IFERROR(__xludf.DUMMYFUNCTION("IF(LEN(D2432)&gt;4, IFERROR(REGEXEXTRACT(TO_TEXT(D2432),""\d+""),""""),"""")"),"22570")</f>
        <v>22570</v>
      </c>
      <c r="F2432" s="6" t="str">
        <f t="shared" si="3"/>
        <v>Product</v>
      </c>
      <c r="G2432" s="1" t="s">
        <v>453</v>
      </c>
      <c r="H2432" s="6" t="str">
        <f>IFERROR(__xludf.DUMMYFUNCTION("IF(REGEXMATCH(LOWER(G2432), ""^(\?)+\s*(missing)?\s*(\?)*$""), """", PROPER(SUBSTITUTE(SUBSTITUTE(G2432, ""?"", """"), ""*"", """")))"),"Feltcraft Cushion Rabbit")</f>
        <v>Feltcraft Cushion Rabbit</v>
      </c>
      <c r="I2432" s="3">
        <v>4.0</v>
      </c>
      <c r="J2432" s="7">
        <v>40599.34305555555</v>
      </c>
      <c r="K2432" s="8" t="str">
        <f t="shared" si="4"/>
        <v>2011-02</v>
      </c>
      <c r="L2432" s="5">
        <v>3.75</v>
      </c>
      <c r="M2432" s="3">
        <v>16133.0</v>
      </c>
      <c r="N2432" s="1" t="str">
        <f t="shared" si="5"/>
        <v>Registered</v>
      </c>
      <c r="O2432" s="1" t="s">
        <v>19</v>
      </c>
      <c r="P2432" s="9" t="str">
        <f t="shared" si="6"/>
        <v>UK</v>
      </c>
      <c r="Q2432" s="8">
        <f t="shared" si="7"/>
        <v>15</v>
      </c>
    </row>
    <row r="2433">
      <c r="A2433" s="1">
        <v>544932.0</v>
      </c>
      <c r="B2433" s="1" t="str">
        <f t="shared" si="1"/>
        <v>544932</v>
      </c>
      <c r="C2433" s="1" t="str">
        <f t="shared" si="2"/>
        <v>Sale</v>
      </c>
      <c r="D2433" s="1">
        <v>22754.0</v>
      </c>
      <c r="E2433" s="1" t="str">
        <f>IFERROR(__xludf.DUMMYFUNCTION("IF(LEN(D2433)&gt;4, IFERROR(REGEXEXTRACT(TO_TEXT(D2433),""\d+""),""""),"""")"),"22754")</f>
        <v>22754</v>
      </c>
      <c r="F2433" s="6" t="str">
        <f t="shared" si="3"/>
        <v>Product</v>
      </c>
      <c r="G2433" s="1" t="s">
        <v>663</v>
      </c>
      <c r="H2433" s="6" t="str">
        <f>IFERROR(__xludf.DUMMYFUNCTION("IF(REGEXMATCH(LOWER(G2433), ""^(\?)+\s*(missing)?\s*(\?)*$""), """", PROPER(SUBSTITUTE(SUBSTITUTE(G2433, ""?"", """"), ""*"", """")))"),"Small Red Babushka Notebook")</f>
        <v>Small Red Babushka Notebook</v>
      </c>
      <c r="I2433" s="3">
        <v>12.0</v>
      </c>
      <c r="J2433" s="7">
        <v>40599.34305555555</v>
      </c>
      <c r="K2433" s="8" t="str">
        <f t="shared" si="4"/>
        <v>2011-02</v>
      </c>
      <c r="L2433" s="5">
        <v>0.85</v>
      </c>
      <c r="M2433" s="3">
        <v>16133.0</v>
      </c>
      <c r="N2433" s="1" t="str">
        <f t="shared" si="5"/>
        <v>Registered</v>
      </c>
      <c r="O2433" s="1" t="s">
        <v>19</v>
      </c>
      <c r="P2433" s="9" t="str">
        <f t="shared" si="6"/>
        <v>UK</v>
      </c>
      <c r="Q2433" s="8">
        <f t="shared" si="7"/>
        <v>10.2</v>
      </c>
    </row>
    <row r="2434">
      <c r="A2434" s="1">
        <v>544932.0</v>
      </c>
      <c r="B2434" s="1" t="str">
        <f t="shared" si="1"/>
        <v>544932</v>
      </c>
      <c r="C2434" s="1" t="str">
        <f t="shared" si="2"/>
        <v>Sale</v>
      </c>
      <c r="D2434" s="1">
        <v>22139.0</v>
      </c>
      <c r="E2434" s="1" t="str">
        <f>IFERROR(__xludf.DUMMYFUNCTION("IF(LEN(D2434)&gt;4, IFERROR(REGEXEXTRACT(TO_TEXT(D2434),""\d+""),""""),"""")"),"22139")</f>
        <v>22139</v>
      </c>
      <c r="F2434" s="6" t="str">
        <f t="shared" si="3"/>
        <v>Product</v>
      </c>
      <c r="G2434" s="1" t="s">
        <v>110</v>
      </c>
      <c r="H2434" s="6" t="str">
        <f>IFERROR(__xludf.DUMMYFUNCTION("IF(REGEXMATCH(LOWER(G2434), ""^(\?)+\s*(missing)?\s*(\?)*$""), """", PROPER(SUBSTITUTE(SUBSTITUTE(G2434, ""?"", """"), ""*"", """")))"),"Retrospot Tea Set Ceramic 11 Pc")</f>
        <v>Retrospot Tea Set Ceramic 11 Pc</v>
      </c>
      <c r="I2434" s="3">
        <v>24.0</v>
      </c>
      <c r="J2434" s="7">
        <v>40599.34305555555</v>
      </c>
      <c r="K2434" s="8" t="str">
        <f t="shared" si="4"/>
        <v>2011-02</v>
      </c>
      <c r="L2434" s="5">
        <v>4.25</v>
      </c>
      <c r="M2434" s="3">
        <v>16133.0</v>
      </c>
      <c r="N2434" s="1" t="str">
        <f t="shared" si="5"/>
        <v>Registered</v>
      </c>
      <c r="O2434" s="1" t="s">
        <v>19</v>
      </c>
      <c r="P2434" s="9" t="str">
        <f t="shared" si="6"/>
        <v>UK</v>
      </c>
      <c r="Q2434" s="8">
        <f t="shared" si="7"/>
        <v>102</v>
      </c>
    </row>
    <row r="2435">
      <c r="A2435" s="1">
        <v>544932.0</v>
      </c>
      <c r="B2435" s="1" t="str">
        <f t="shared" si="1"/>
        <v>544932</v>
      </c>
      <c r="C2435" s="1" t="str">
        <f t="shared" si="2"/>
        <v>Sale</v>
      </c>
      <c r="D2435" s="1">
        <v>22410.0</v>
      </c>
      <c r="E2435" s="1" t="str">
        <f>IFERROR(__xludf.DUMMYFUNCTION("IF(LEN(D2435)&gt;4, IFERROR(REGEXEXTRACT(TO_TEXT(D2435),""\d+""),""""),"""")"),"22410")</f>
        <v>22410</v>
      </c>
      <c r="F2435" s="6" t="str">
        <f t="shared" si="3"/>
        <v>Product</v>
      </c>
      <c r="G2435" s="1" t="s">
        <v>1285</v>
      </c>
      <c r="H2435" s="6" t="str">
        <f>IFERROR(__xludf.DUMMYFUNCTION("IF(REGEXMATCH(LOWER(G2435), ""^(\?)+\s*(missing)?\s*(\?)*$""), """", PROPER(SUBSTITUTE(SUBSTITUTE(G2435, ""?"", """"), ""*"", """")))"),"Money Box Housekeeping Design")</f>
        <v>Money Box Housekeeping Design</v>
      </c>
      <c r="I2435" s="3">
        <v>12.0</v>
      </c>
      <c r="J2435" s="7">
        <v>40599.34305555555</v>
      </c>
      <c r="K2435" s="8" t="str">
        <f t="shared" si="4"/>
        <v>2011-02</v>
      </c>
      <c r="L2435" s="5">
        <v>1.25</v>
      </c>
      <c r="M2435" s="3">
        <v>16133.0</v>
      </c>
      <c r="N2435" s="1" t="str">
        <f t="shared" si="5"/>
        <v>Registered</v>
      </c>
      <c r="O2435" s="1" t="s">
        <v>19</v>
      </c>
      <c r="P2435" s="9" t="str">
        <f t="shared" si="6"/>
        <v>UK</v>
      </c>
      <c r="Q2435" s="8">
        <f t="shared" si="7"/>
        <v>15</v>
      </c>
    </row>
    <row r="2436">
      <c r="A2436" s="1">
        <v>544932.0</v>
      </c>
      <c r="B2436" s="1" t="str">
        <f t="shared" si="1"/>
        <v>544932</v>
      </c>
      <c r="C2436" s="1" t="str">
        <f t="shared" si="2"/>
        <v>Sale</v>
      </c>
      <c r="D2436" s="1">
        <v>22757.0</v>
      </c>
      <c r="E2436" s="1" t="str">
        <f>IFERROR(__xludf.DUMMYFUNCTION("IF(LEN(D2436)&gt;4, IFERROR(REGEXEXTRACT(TO_TEXT(D2436),""\d+""),""""),"""")"),"22757")</f>
        <v>22757</v>
      </c>
      <c r="F2436" s="6" t="str">
        <f t="shared" si="3"/>
        <v>Product</v>
      </c>
      <c r="G2436" s="1" t="s">
        <v>1286</v>
      </c>
      <c r="H2436" s="6" t="str">
        <f>IFERROR(__xludf.DUMMYFUNCTION("IF(REGEXMATCH(LOWER(G2436), ""^(\?)+\s*(missing)?\s*(\?)*$""), """", PROPER(SUBSTITUTE(SUBSTITUTE(G2436, ""?"", """"), ""*"", """")))"),"Large Red Babushka Notebook")</f>
        <v>Large Red Babushka Notebook</v>
      </c>
      <c r="I2436" s="3">
        <v>12.0</v>
      </c>
      <c r="J2436" s="7">
        <v>40599.34305555555</v>
      </c>
      <c r="K2436" s="8" t="str">
        <f t="shared" si="4"/>
        <v>2011-02</v>
      </c>
      <c r="L2436" s="5">
        <v>1.25</v>
      </c>
      <c r="M2436" s="3">
        <v>16133.0</v>
      </c>
      <c r="N2436" s="1" t="str">
        <f t="shared" si="5"/>
        <v>Registered</v>
      </c>
      <c r="O2436" s="1" t="s">
        <v>19</v>
      </c>
      <c r="P2436" s="9" t="str">
        <f t="shared" si="6"/>
        <v>UK</v>
      </c>
      <c r="Q2436" s="8">
        <f t="shared" si="7"/>
        <v>15</v>
      </c>
    </row>
    <row r="2437">
      <c r="A2437" s="1">
        <v>544932.0</v>
      </c>
      <c r="B2437" s="1" t="str">
        <f t="shared" si="1"/>
        <v>544932</v>
      </c>
      <c r="C2437" s="1" t="str">
        <f t="shared" si="2"/>
        <v>Sale</v>
      </c>
      <c r="D2437" s="1">
        <v>22488.0</v>
      </c>
      <c r="E2437" s="1" t="str">
        <f>IFERROR(__xludf.DUMMYFUNCTION("IF(LEN(D2437)&gt;4, IFERROR(REGEXEXTRACT(TO_TEXT(D2437),""\d+""),""""),"""")"),"22488")</f>
        <v>22488</v>
      </c>
      <c r="F2437" s="6" t="str">
        <f t="shared" si="3"/>
        <v>Product</v>
      </c>
      <c r="G2437" s="1" t="s">
        <v>376</v>
      </c>
      <c r="H2437" s="6" t="str">
        <f>IFERROR(__xludf.DUMMYFUNCTION("IF(REGEXMATCH(LOWER(G2437), ""^(\?)+\s*(missing)?\s*(\?)*$""), """", PROPER(SUBSTITUTE(SUBSTITUTE(G2437, ""?"", """"), ""*"", """")))"),"Natural Slate Rectangle Chalkboard")</f>
        <v>Natural Slate Rectangle Chalkboard</v>
      </c>
      <c r="I2437" s="3">
        <v>48.0</v>
      </c>
      <c r="J2437" s="7">
        <v>40599.34305555555</v>
      </c>
      <c r="K2437" s="8" t="str">
        <f t="shared" si="4"/>
        <v>2011-02</v>
      </c>
      <c r="L2437" s="5">
        <v>1.45</v>
      </c>
      <c r="M2437" s="3">
        <v>16133.0</v>
      </c>
      <c r="N2437" s="1" t="str">
        <f t="shared" si="5"/>
        <v>Registered</v>
      </c>
      <c r="O2437" s="1" t="s">
        <v>19</v>
      </c>
      <c r="P2437" s="9" t="str">
        <f t="shared" si="6"/>
        <v>UK</v>
      </c>
      <c r="Q2437" s="8">
        <f t="shared" si="7"/>
        <v>69.6</v>
      </c>
    </row>
    <row r="2438">
      <c r="A2438" s="1">
        <v>544932.0</v>
      </c>
      <c r="B2438" s="1" t="str">
        <f t="shared" si="1"/>
        <v>544932</v>
      </c>
      <c r="C2438" s="1" t="str">
        <f t="shared" si="2"/>
        <v>Sale</v>
      </c>
      <c r="D2438" s="1">
        <v>22939.0</v>
      </c>
      <c r="E2438" s="1" t="str">
        <f>IFERROR(__xludf.DUMMYFUNCTION("IF(LEN(D2438)&gt;4, IFERROR(REGEXEXTRACT(TO_TEXT(D2438),""\d+""),""""),"""")"),"22939")</f>
        <v>22939</v>
      </c>
      <c r="F2438" s="6" t="str">
        <f t="shared" si="3"/>
        <v>Product</v>
      </c>
      <c r="G2438" s="1" t="s">
        <v>823</v>
      </c>
      <c r="H2438" s="6" t="str">
        <f>IFERROR(__xludf.DUMMYFUNCTION("IF(REGEXMATCH(LOWER(G2438), ""^(\?)+\s*(missing)?\s*(\?)*$""), """", PROPER(SUBSTITUTE(SUBSTITUTE(G2438, ""?"", """"), ""*"", """")))"),"Apron Apple Delight")</f>
        <v>Apron Apple Delight</v>
      </c>
      <c r="I2438" s="3">
        <v>4.0</v>
      </c>
      <c r="J2438" s="7">
        <v>40599.34305555555</v>
      </c>
      <c r="K2438" s="8" t="str">
        <f t="shared" si="4"/>
        <v>2011-02</v>
      </c>
      <c r="L2438" s="5">
        <v>4.95</v>
      </c>
      <c r="M2438" s="3">
        <v>16133.0</v>
      </c>
      <c r="N2438" s="1" t="str">
        <f t="shared" si="5"/>
        <v>Registered</v>
      </c>
      <c r="O2438" s="1" t="s">
        <v>19</v>
      </c>
      <c r="P2438" s="9" t="str">
        <f t="shared" si="6"/>
        <v>UK</v>
      </c>
      <c r="Q2438" s="8">
        <f t="shared" si="7"/>
        <v>19.8</v>
      </c>
    </row>
    <row r="2439">
      <c r="A2439" s="1">
        <v>544932.0</v>
      </c>
      <c r="B2439" s="1" t="str">
        <f t="shared" si="1"/>
        <v>544932</v>
      </c>
      <c r="C2439" s="1" t="str">
        <f t="shared" si="2"/>
        <v>Sale</v>
      </c>
      <c r="D2439" s="1">
        <v>22755.0</v>
      </c>
      <c r="E2439" s="1" t="str">
        <f>IFERROR(__xludf.DUMMYFUNCTION("IF(LEN(D2439)&gt;4, IFERROR(REGEXEXTRACT(TO_TEXT(D2439),""\d+""),""""),"""")"),"22755")</f>
        <v>22755</v>
      </c>
      <c r="F2439" s="6" t="str">
        <f t="shared" si="3"/>
        <v>Product</v>
      </c>
      <c r="G2439" s="1" t="s">
        <v>1287</v>
      </c>
      <c r="H2439" s="6" t="str">
        <f>IFERROR(__xludf.DUMMYFUNCTION("IF(REGEXMATCH(LOWER(G2439), ""^(\?)+\s*(missing)?\s*(\?)*$""), """", PROPER(SUBSTITUTE(SUBSTITUTE(G2439, ""?"", """"), ""*"", """")))"),"Small Purple Babushka Notebook")</f>
        <v>Small Purple Babushka Notebook</v>
      </c>
      <c r="I2439" s="3">
        <v>12.0</v>
      </c>
      <c r="J2439" s="7">
        <v>40599.34305555555</v>
      </c>
      <c r="K2439" s="8" t="str">
        <f t="shared" si="4"/>
        <v>2011-02</v>
      </c>
      <c r="L2439" s="5">
        <v>0.85</v>
      </c>
      <c r="M2439" s="3">
        <v>16133.0</v>
      </c>
      <c r="N2439" s="1" t="str">
        <f t="shared" si="5"/>
        <v>Registered</v>
      </c>
      <c r="O2439" s="1" t="s">
        <v>19</v>
      </c>
      <c r="P2439" s="9" t="str">
        <f t="shared" si="6"/>
        <v>UK</v>
      </c>
      <c r="Q2439" s="8">
        <f t="shared" si="7"/>
        <v>10.2</v>
      </c>
    </row>
    <row r="2440">
      <c r="A2440" s="1">
        <v>544933.0</v>
      </c>
      <c r="B2440" s="1" t="str">
        <f t="shared" si="1"/>
        <v>544933</v>
      </c>
      <c r="C2440" s="1" t="str">
        <f t="shared" si="2"/>
        <v>Sale</v>
      </c>
      <c r="D2440" s="1">
        <v>10135.0</v>
      </c>
      <c r="E2440" s="1" t="str">
        <f>IFERROR(__xludf.DUMMYFUNCTION("IF(LEN(D2440)&gt;4, IFERROR(REGEXEXTRACT(TO_TEXT(D2440),""\d+""),""""),"""")"),"10135")</f>
        <v>10135</v>
      </c>
      <c r="F2440" s="6" t="str">
        <f t="shared" si="3"/>
        <v>Product</v>
      </c>
      <c r="G2440" s="1" t="s">
        <v>537</v>
      </c>
      <c r="H2440" s="6" t="str">
        <f>IFERROR(__xludf.DUMMYFUNCTION("IF(REGEXMATCH(LOWER(G2440), ""^(\?)+\s*(missing)?\s*(\?)*$""), """", PROPER(SUBSTITUTE(SUBSTITUTE(G2440, ""?"", """"), ""*"", """")))"),"Colouring Pencils Brown Tube")</f>
        <v>Colouring Pencils Brown Tube</v>
      </c>
      <c r="I2440" s="3">
        <v>200.0</v>
      </c>
      <c r="J2440" s="7">
        <v>40599.36388888889</v>
      </c>
      <c r="K2440" s="8" t="str">
        <f t="shared" si="4"/>
        <v>2011-02</v>
      </c>
      <c r="L2440" s="5">
        <v>1.06</v>
      </c>
      <c r="M2440" s="3">
        <v>12633.0</v>
      </c>
      <c r="N2440" s="1" t="str">
        <f t="shared" si="5"/>
        <v>Registered</v>
      </c>
      <c r="O2440" s="1" t="s">
        <v>1288</v>
      </c>
      <c r="P2440" s="9" t="str">
        <f t="shared" si="6"/>
        <v>International</v>
      </c>
      <c r="Q2440" s="8">
        <f t="shared" si="7"/>
        <v>212</v>
      </c>
    </row>
    <row r="2441">
      <c r="A2441" s="1">
        <v>544933.0</v>
      </c>
      <c r="B2441" s="1" t="str">
        <f t="shared" si="1"/>
        <v>544933</v>
      </c>
      <c r="C2441" s="1" t="str">
        <f t="shared" si="2"/>
        <v>Sale</v>
      </c>
      <c r="D2441" s="1">
        <v>22343.0</v>
      </c>
      <c r="E2441" s="1" t="str">
        <f>IFERROR(__xludf.DUMMYFUNCTION("IF(LEN(D2441)&gt;4, IFERROR(REGEXEXTRACT(TO_TEXT(D2441),""\d+""),""""),"""")"),"22343")</f>
        <v>22343</v>
      </c>
      <c r="F2441" s="6" t="str">
        <f t="shared" si="3"/>
        <v>Product</v>
      </c>
      <c r="G2441" s="1" t="s">
        <v>1289</v>
      </c>
      <c r="H2441" s="6" t="str">
        <f>IFERROR(__xludf.DUMMYFUNCTION("IF(REGEXMATCH(LOWER(G2441), ""^(\?)+\s*(missing)?\s*(\?)*$""), """", PROPER(SUBSTITUTE(SUBSTITUTE(G2441, ""?"", """"), ""*"", """")))"),"Party Pizza Dish Red Retrospot")</f>
        <v>Party Pizza Dish Red Retrospot</v>
      </c>
      <c r="I2441" s="3">
        <v>24.0</v>
      </c>
      <c r="J2441" s="7">
        <v>40599.36388888889</v>
      </c>
      <c r="K2441" s="8" t="str">
        <f t="shared" si="4"/>
        <v>2011-02</v>
      </c>
      <c r="L2441" s="5">
        <v>0.85</v>
      </c>
      <c r="M2441" s="3">
        <v>12633.0</v>
      </c>
      <c r="N2441" s="1" t="str">
        <f t="shared" si="5"/>
        <v>Registered</v>
      </c>
      <c r="O2441" s="1" t="s">
        <v>1288</v>
      </c>
      <c r="P2441" s="9" t="str">
        <f t="shared" si="6"/>
        <v>International</v>
      </c>
      <c r="Q2441" s="8">
        <f t="shared" si="7"/>
        <v>20.4</v>
      </c>
    </row>
    <row r="2442">
      <c r="A2442" s="1">
        <v>544933.0</v>
      </c>
      <c r="B2442" s="1" t="str">
        <f t="shared" si="1"/>
        <v>544933</v>
      </c>
      <c r="C2442" s="1" t="str">
        <f t="shared" si="2"/>
        <v>Sale</v>
      </c>
      <c r="D2442" s="1">
        <v>84356.0</v>
      </c>
      <c r="E2442" s="1" t="str">
        <f>IFERROR(__xludf.DUMMYFUNCTION("IF(LEN(D2442)&gt;4, IFERROR(REGEXEXTRACT(TO_TEXT(D2442),""\d+""),""""),"""")"),"84356")</f>
        <v>84356</v>
      </c>
      <c r="F2442" s="6" t="str">
        <f t="shared" si="3"/>
        <v>Product</v>
      </c>
      <c r="G2442" s="1" t="s">
        <v>1215</v>
      </c>
      <c r="H2442" s="6" t="str">
        <f>IFERROR(__xludf.DUMMYFUNCTION("IF(REGEXMATCH(LOWER(G2442), ""^(\?)+\s*(missing)?\s*(\?)*$""), """", PROPER(SUBSTITUTE(SUBSTITUTE(G2442, ""?"", """"), ""*"", """")))"),"Pompom Curtain")</f>
        <v>Pompom Curtain</v>
      </c>
      <c r="I2442" s="3">
        <v>36.0</v>
      </c>
      <c r="J2442" s="7">
        <v>40599.36388888889</v>
      </c>
      <c r="K2442" s="8" t="str">
        <f t="shared" si="4"/>
        <v>2011-02</v>
      </c>
      <c r="L2442" s="5">
        <v>5.95</v>
      </c>
      <c r="M2442" s="3">
        <v>12633.0</v>
      </c>
      <c r="N2442" s="1" t="str">
        <f t="shared" si="5"/>
        <v>Registered</v>
      </c>
      <c r="O2442" s="1" t="s">
        <v>1288</v>
      </c>
      <c r="P2442" s="9" t="str">
        <f t="shared" si="6"/>
        <v>International</v>
      </c>
      <c r="Q2442" s="8">
        <f t="shared" si="7"/>
        <v>214.2</v>
      </c>
    </row>
    <row r="2443">
      <c r="A2443" s="1">
        <v>544933.0</v>
      </c>
      <c r="B2443" s="1" t="str">
        <f t="shared" si="1"/>
        <v>544933</v>
      </c>
      <c r="C2443" s="1" t="str">
        <f t="shared" si="2"/>
        <v>Sale</v>
      </c>
      <c r="D2443" s="1">
        <v>22857.0</v>
      </c>
      <c r="E2443" s="1" t="str">
        <f>IFERROR(__xludf.DUMMYFUNCTION("IF(LEN(D2443)&gt;4, IFERROR(REGEXEXTRACT(TO_TEXT(D2443),""\d+""),""""),"""")"),"22857")</f>
        <v>22857</v>
      </c>
      <c r="F2443" s="6" t="str">
        <f t="shared" si="3"/>
        <v>Product</v>
      </c>
      <c r="G2443" s="1" t="s">
        <v>1060</v>
      </c>
      <c r="H2443" s="6" t="str">
        <f>IFERROR(__xludf.DUMMYFUNCTION("IF(REGEXMATCH(LOWER(G2443), ""^(\?)+\s*(missing)?\s*(\?)*$""), """", PROPER(SUBSTITUTE(SUBSTITUTE(G2443, ""?"", """"), ""*"", """")))"),"Assorted Easter Gift Tags")</f>
        <v>Assorted Easter Gift Tags</v>
      </c>
      <c r="I2443" s="3">
        <v>12.0</v>
      </c>
      <c r="J2443" s="7">
        <v>40599.36388888889</v>
      </c>
      <c r="K2443" s="8" t="str">
        <f t="shared" si="4"/>
        <v>2011-02</v>
      </c>
      <c r="L2443" s="5">
        <v>0.85</v>
      </c>
      <c r="M2443" s="3">
        <v>12633.0</v>
      </c>
      <c r="N2443" s="1" t="str">
        <f t="shared" si="5"/>
        <v>Registered</v>
      </c>
      <c r="O2443" s="1" t="s">
        <v>1288</v>
      </c>
      <c r="P2443" s="9" t="str">
        <f t="shared" si="6"/>
        <v>International</v>
      </c>
      <c r="Q2443" s="8">
        <f t="shared" si="7"/>
        <v>10.2</v>
      </c>
    </row>
    <row r="2444">
      <c r="A2444" s="1">
        <v>544933.0</v>
      </c>
      <c r="B2444" s="1" t="str">
        <f t="shared" si="1"/>
        <v>544933</v>
      </c>
      <c r="C2444" s="1" t="str">
        <f t="shared" si="2"/>
        <v>Sale</v>
      </c>
      <c r="D2444" s="1">
        <v>22858.0</v>
      </c>
      <c r="E2444" s="1" t="str">
        <f>IFERROR(__xludf.DUMMYFUNCTION("IF(LEN(D2444)&gt;4, IFERROR(REGEXEXTRACT(TO_TEXT(D2444),""\d+""),""""),"""")"),"22858")</f>
        <v>22858</v>
      </c>
      <c r="F2444" s="6" t="str">
        <f t="shared" si="3"/>
        <v>Product</v>
      </c>
      <c r="G2444" s="1" t="s">
        <v>1057</v>
      </c>
      <c r="H2444" s="6" t="str">
        <f>IFERROR(__xludf.DUMMYFUNCTION("IF(REGEXMATCH(LOWER(G2444), ""^(\?)+\s*(missing)?\s*(\?)*$""), """", PROPER(SUBSTITUTE(SUBSTITUTE(G2444, ""?"", """"), ""*"", """")))"),"Easter Tin Keepsake")</f>
        <v>Easter Tin Keepsake</v>
      </c>
      <c r="I2444" s="3">
        <v>6.0</v>
      </c>
      <c r="J2444" s="7">
        <v>40599.36388888889</v>
      </c>
      <c r="K2444" s="8" t="str">
        <f t="shared" si="4"/>
        <v>2011-02</v>
      </c>
      <c r="L2444" s="5">
        <v>1.65</v>
      </c>
      <c r="M2444" s="3">
        <v>12633.0</v>
      </c>
      <c r="N2444" s="1" t="str">
        <f t="shared" si="5"/>
        <v>Registered</v>
      </c>
      <c r="O2444" s="1" t="s">
        <v>1288</v>
      </c>
      <c r="P2444" s="9" t="str">
        <f t="shared" si="6"/>
        <v>International</v>
      </c>
      <c r="Q2444" s="8">
        <f t="shared" si="7"/>
        <v>9.9</v>
      </c>
    </row>
    <row r="2445">
      <c r="A2445" s="1">
        <v>544933.0</v>
      </c>
      <c r="B2445" s="1" t="str">
        <f t="shared" si="1"/>
        <v>544933</v>
      </c>
      <c r="C2445" s="1" t="str">
        <f t="shared" si="2"/>
        <v>Sale</v>
      </c>
      <c r="D2445" s="1">
        <v>21731.0</v>
      </c>
      <c r="E2445" s="1" t="str">
        <f>IFERROR(__xludf.DUMMYFUNCTION("IF(LEN(D2445)&gt;4, IFERROR(REGEXEXTRACT(TO_TEXT(D2445),""\d+""),""""),"""")"),"21731")</f>
        <v>21731</v>
      </c>
      <c r="F2445" s="6" t="str">
        <f t="shared" si="3"/>
        <v>Product</v>
      </c>
      <c r="G2445" s="1" t="s">
        <v>62</v>
      </c>
      <c r="H2445" s="6" t="str">
        <f>IFERROR(__xludf.DUMMYFUNCTION("IF(REGEXMATCH(LOWER(G2445), ""^(\?)+\s*(missing)?\s*(\?)*$""), """", PROPER(SUBSTITUTE(SUBSTITUTE(G2445, ""?"", """"), ""*"", """")))"),"Red Toadstool Led Night Light")</f>
        <v>Red Toadstool Led Night Light</v>
      </c>
      <c r="I2445" s="3">
        <v>12.0</v>
      </c>
      <c r="J2445" s="7">
        <v>40599.36388888889</v>
      </c>
      <c r="K2445" s="8" t="str">
        <f t="shared" si="4"/>
        <v>2011-02</v>
      </c>
      <c r="L2445" s="5">
        <v>1.65</v>
      </c>
      <c r="M2445" s="3">
        <v>12633.0</v>
      </c>
      <c r="N2445" s="1" t="str">
        <f t="shared" si="5"/>
        <v>Registered</v>
      </c>
      <c r="O2445" s="1" t="s">
        <v>1288</v>
      </c>
      <c r="P2445" s="9" t="str">
        <f t="shared" si="6"/>
        <v>International</v>
      </c>
      <c r="Q2445" s="8">
        <f t="shared" si="7"/>
        <v>19.8</v>
      </c>
    </row>
    <row r="2446">
      <c r="A2446" s="1">
        <v>544933.0</v>
      </c>
      <c r="B2446" s="1" t="str">
        <f t="shared" si="1"/>
        <v>544933</v>
      </c>
      <c r="C2446" s="1" t="str">
        <f t="shared" si="2"/>
        <v>Sale</v>
      </c>
      <c r="D2446" s="1">
        <v>22139.0</v>
      </c>
      <c r="E2446" s="1" t="str">
        <f>IFERROR(__xludf.DUMMYFUNCTION("IF(LEN(D2446)&gt;4, IFERROR(REGEXEXTRACT(TO_TEXT(D2446),""\d+""),""""),"""")"),"22139")</f>
        <v>22139</v>
      </c>
      <c r="F2446" s="6" t="str">
        <f t="shared" si="3"/>
        <v>Product</v>
      </c>
      <c r="G2446" s="1" t="s">
        <v>110</v>
      </c>
      <c r="H2446" s="6" t="str">
        <f>IFERROR(__xludf.DUMMYFUNCTION("IF(REGEXMATCH(LOWER(G2446), ""^(\?)+\s*(missing)?\s*(\?)*$""), """", PROPER(SUBSTITUTE(SUBSTITUTE(G2446, ""?"", """"), ""*"", """")))"),"Retrospot Tea Set Ceramic 11 Pc")</f>
        <v>Retrospot Tea Set Ceramic 11 Pc</v>
      </c>
      <c r="I2446" s="3">
        <v>3.0</v>
      </c>
      <c r="J2446" s="7">
        <v>40599.36388888889</v>
      </c>
      <c r="K2446" s="8" t="str">
        <f t="shared" si="4"/>
        <v>2011-02</v>
      </c>
      <c r="L2446" s="5">
        <v>4.95</v>
      </c>
      <c r="M2446" s="3">
        <v>12633.0</v>
      </c>
      <c r="N2446" s="1" t="str">
        <f t="shared" si="5"/>
        <v>Registered</v>
      </c>
      <c r="O2446" s="1" t="s">
        <v>1288</v>
      </c>
      <c r="P2446" s="9" t="str">
        <f t="shared" si="6"/>
        <v>International</v>
      </c>
      <c r="Q2446" s="8">
        <f t="shared" si="7"/>
        <v>14.85</v>
      </c>
    </row>
    <row r="2447">
      <c r="A2447" s="1">
        <v>544933.0</v>
      </c>
      <c r="B2447" s="1" t="str">
        <f t="shared" si="1"/>
        <v>544933</v>
      </c>
      <c r="C2447" s="1" t="str">
        <f t="shared" si="2"/>
        <v>Sale</v>
      </c>
      <c r="D2447" s="1">
        <v>21915.0</v>
      </c>
      <c r="E2447" s="1" t="str">
        <f>IFERROR(__xludf.DUMMYFUNCTION("IF(LEN(D2447)&gt;4, IFERROR(REGEXEXTRACT(TO_TEXT(D2447),""\d+""),""""),"""")"),"21915")</f>
        <v>21915</v>
      </c>
      <c r="F2447" s="6" t="str">
        <f t="shared" si="3"/>
        <v>Product</v>
      </c>
      <c r="G2447" s="1" t="s">
        <v>363</v>
      </c>
      <c r="H2447" s="6" t="str">
        <f>IFERROR(__xludf.DUMMYFUNCTION("IF(REGEXMATCH(LOWER(G2447), ""^(\?)+\s*(missing)?\s*(\?)*$""), """", PROPER(SUBSTITUTE(SUBSTITUTE(G2447, ""?"", """"), ""*"", """")))"),"Red Harmonica In Box")</f>
        <v>Red Harmonica In Box</v>
      </c>
      <c r="I2447" s="3">
        <v>12.0</v>
      </c>
      <c r="J2447" s="7">
        <v>40599.36388888889</v>
      </c>
      <c r="K2447" s="8" t="str">
        <f t="shared" si="4"/>
        <v>2011-02</v>
      </c>
      <c r="L2447" s="5">
        <v>1.25</v>
      </c>
      <c r="M2447" s="3">
        <v>12633.0</v>
      </c>
      <c r="N2447" s="1" t="str">
        <f t="shared" si="5"/>
        <v>Registered</v>
      </c>
      <c r="O2447" s="1" t="s">
        <v>1288</v>
      </c>
      <c r="P2447" s="9" t="str">
        <f t="shared" si="6"/>
        <v>International</v>
      </c>
      <c r="Q2447" s="8">
        <f t="shared" si="7"/>
        <v>15</v>
      </c>
    </row>
    <row r="2448">
      <c r="A2448" s="1">
        <v>544933.0</v>
      </c>
      <c r="B2448" s="1" t="str">
        <f t="shared" si="1"/>
        <v>544933</v>
      </c>
      <c r="C2448" s="1" t="str">
        <f t="shared" si="2"/>
        <v>Sale</v>
      </c>
      <c r="D2448" s="1">
        <v>22556.0</v>
      </c>
      <c r="E2448" s="1" t="str">
        <f>IFERROR(__xludf.DUMMYFUNCTION("IF(LEN(D2448)&gt;4, IFERROR(REGEXEXTRACT(TO_TEXT(D2448),""\d+""),""""),"""")"),"22556")</f>
        <v>22556</v>
      </c>
      <c r="F2448" s="6" t="str">
        <f t="shared" si="3"/>
        <v>Product</v>
      </c>
      <c r="G2448" s="1" t="s">
        <v>228</v>
      </c>
      <c r="H2448" s="6" t="str">
        <f>IFERROR(__xludf.DUMMYFUNCTION("IF(REGEXMATCH(LOWER(G2448), ""^(\?)+\s*(missing)?\s*(\?)*$""), """", PROPER(SUBSTITUTE(SUBSTITUTE(G2448, ""?"", """"), ""*"", """")))"),"Plasters In Tin Circus Parade")</f>
        <v>Plasters In Tin Circus Parade</v>
      </c>
      <c r="I2448" s="3">
        <v>12.0</v>
      </c>
      <c r="J2448" s="7">
        <v>40599.36388888889</v>
      </c>
      <c r="K2448" s="8" t="str">
        <f t="shared" si="4"/>
        <v>2011-02</v>
      </c>
      <c r="L2448" s="5">
        <v>1.65</v>
      </c>
      <c r="M2448" s="3">
        <v>12633.0</v>
      </c>
      <c r="N2448" s="1" t="str">
        <f t="shared" si="5"/>
        <v>Registered</v>
      </c>
      <c r="O2448" s="1" t="s">
        <v>1288</v>
      </c>
      <c r="P2448" s="9" t="str">
        <f t="shared" si="6"/>
        <v>International</v>
      </c>
      <c r="Q2448" s="8">
        <f t="shared" si="7"/>
        <v>19.8</v>
      </c>
    </row>
    <row r="2449">
      <c r="A2449" s="1">
        <v>544933.0</v>
      </c>
      <c r="B2449" s="1" t="str">
        <f t="shared" si="1"/>
        <v>544933</v>
      </c>
      <c r="C2449" s="1" t="str">
        <f t="shared" si="2"/>
        <v>Sale</v>
      </c>
      <c r="D2449" s="1">
        <v>22557.0</v>
      </c>
      <c r="E2449" s="1" t="str">
        <f>IFERROR(__xludf.DUMMYFUNCTION("IF(LEN(D2449)&gt;4, IFERROR(REGEXEXTRACT(TO_TEXT(D2449),""\d+""),""""),"""")"),"22557")</f>
        <v>22557</v>
      </c>
      <c r="F2449" s="6" t="str">
        <f t="shared" si="3"/>
        <v>Product</v>
      </c>
      <c r="G2449" s="1" t="s">
        <v>233</v>
      </c>
      <c r="H2449" s="6" t="str">
        <f>IFERROR(__xludf.DUMMYFUNCTION("IF(REGEXMATCH(LOWER(G2449), ""^(\?)+\s*(missing)?\s*(\?)*$""), """", PROPER(SUBSTITUTE(SUBSTITUTE(G2449, ""?"", """"), ""*"", """")))"),"Plasters In Tin Vintage Paisley")</f>
        <v>Plasters In Tin Vintage Paisley</v>
      </c>
      <c r="I2449" s="3">
        <v>12.0</v>
      </c>
      <c r="J2449" s="7">
        <v>40599.36388888889</v>
      </c>
      <c r="K2449" s="8" t="str">
        <f t="shared" si="4"/>
        <v>2011-02</v>
      </c>
      <c r="L2449" s="5">
        <v>1.65</v>
      </c>
      <c r="M2449" s="3">
        <v>12633.0</v>
      </c>
      <c r="N2449" s="1" t="str">
        <f t="shared" si="5"/>
        <v>Registered</v>
      </c>
      <c r="O2449" s="1" t="s">
        <v>1288</v>
      </c>
      <c r="P2449" s="9" t="str">
        <f t="shared" si="6"/>
        <v>International</v>
      </c>
      <c r="Q2449" s="8">
        <f t="shared" si="7"/>
        <v>19.8</v>
      </c>
    </row>
    <row r="2450">
      <c r="A2450" s="1">
        <v>544933.0</v>
      </c>
      <c r="B2450" s="1" t="str">
        <f t="shared" si="1"/>
        <v>544933</v>
      </c>
      <c r="C2450" s="1" t="str">
        <f t="shared" si="2"/>
        <v>Sale</v>
      </c>
      <c r="D2450" s="1">
        <v>21980.0</v>
      </c>
      <c r="E2450" s="1" t="str">
        <f>IFERROR(__xludf.DUMMYFUNCTION("IF(LEN(D2450)&gt;4, IFERROR(REGEXEXTRACT(TO_TEXT(D2450),""\d+""),""""),"""")"),"21980")</f>
        <v>21980</v>
      </c>
      <c r="F2450" s="6" t="str">
        <f t="shared" si="3"/>
        <v>Product</v>
      </c>
      <c r="G2450" s="1" t="s">
        <v>231</v>
      </c>
      <c r="H2450" s="6" t="str">
        <f>IFERROR(__xludf.DUMMYFUNCTION("IF(REGEXMATCH(LOWER(G2450), ""^(\?)+\s*(missing)?\s*(\?)*$""), """", PROPER(SUBSTITUTE(SUBSTITUTE(G2450, ""?"", """"), ""*"", """")))"),"Pack Of 12 Red Retrospot Tissues")</f>
        <v>Pack Of 12 Red Retrospot Tissues</v>
      </c>
      <c r="I2450" s="3">
        <v>24.0</v>
      </c>
      <c r="J2450" s="7">
        <v>40599.36388888889</v>
      </c>
      <c r="K2450" s="8" t="str">
        <f t="shared" si="4"/>
        <v>2011-02</v>
      </c>
      <c r="L2450" s="5">
        <v>0.29</v>
      </c>
      <c r="M2450" s="3">
        <v>12633.0</v>
      </c>
      <c r="N2450" s="1" t="str">
        <f t="shared" si="5"/>
        <v>Registered</v>
      </c>
      <c r="O2450" s="1" t="s">
        <v>1288</v>
      </c>
      <c r="P2450" s="9" t="str">
        <f t="shared" si="6"/>
        <v>International</v>
      </c>
      <c r="Q2450" s="8">
        <f t="shared" si="7"/>
        <v>6.96</v>
      </c>
    </row>
    <row r="2451">
      <c r="A2451" s="1">
        <v>544933.0</v>
      </c>
      <c r="B2451" s="1" t="str">
        <f t="shared" si="1"/>
        <v>544933</v>
      </c>
      <c r="C2451" s="1" t="str">
        <f t="shared" si="2"/>
        <v>Sale</v>
      </c>
      <c r="D2451" s="1">
        <v>21985.0</v>
      </c>
      <c r="E2451" s="1" t="str">
        <f>IFERROR(__xludf.DUMMYFUNCTION("IF(LEN(D2451)&gt;4, IFERROR(REGEXEXTRACT(TO_TEXT(D2451),""\d+""),""""),"""")"),"21985")</f>
        <v>21985</v>
      </c>
      <c r="F2451" s="6" t="str">
        <f t="shared" si="3"/>
        <v>Product</v>
      </c>
      <c r="G2451" s="1" t="s">
        <v>579</v>
      </c>
      <c r="H2451" s="6" t="str">
        <f>IFERROR(__xludf.DUMMYFUNCTION("IF(REGEXMATCH(LOWER(G2451), ""^(\?)+\s*(missing)?\s*(\?)*$""), """", PROPER(SUBSTITUTE(SUBSTITUTE(G2451, ""?"", """"), ""*"", """")))"),"Pack Of 12 Hearts Design Tissues")</f>
        <v>Pack Of 12 Hearts Design Tissues</v>
      </c>
      <c r="I2451" s="3">
        <v>24.0</v>
      </c>
      <c r="J2451" s="7">
        <v>40599.36388888889</v>
      </c>
      <c r="K2451" s="8" t="str">
        <f t="shared" si="4"/>
        <v>2011-02</v>
      </c>
      <c r="L2451" s="5">
        <v>0.29</v>
      </c>
      <c r="M2451" s="3">
        <v>12633.0</v>
      </c>
      <c r="N2451" s="1" t="str">
        <f t="shared" si="5"/>
        <v>Registered</v>
      </c>
      <c r="O2451" s="1" t="s">
        <v>1288</v>
      </c>
      <c r="P2451" s="9" t="str">
        <f t="shared" si="6"/>
        <v>International</v>
      </c>
      <c r="Q2451" s="8">
        <f t="shared" si="7"/>
        <v>6.96</v>
      </c>
    </row>
    <row r="2452">
      <c r="A2452" s="1">
        <v>544933.0</v>
      </c>
      <c r="B2452" s="1" t="str">
        <f t="shared" si="1"/>
        <v>544933</v>
      </c>
      <c r="C2452" s="1" t="str">
        <f t="shared" si="2"/>
        <v>Sale</v>
      </c>
      <c r="D2452" s="1">
        <v>22704.0</v>
      </c>
      <c r="E2452" s="1" t="str">
        <f>IFERROR(__xludf.DUMMYFUNCTION("IF(LEN(D2452)&gt;4, IFERROR(REGEXEXTRACT(TO_TEXT(D2452),""\d+""),""""),"""")"),"22704")</f>
        <v>22704</v>
      </c>
      <c r="F2452" s="6" t="str">
        <f t="shared" si="3"/>
        <v>Product</v>
      </c>
      <c r="G2452" s="1" t="s">
        <v>932</v>
      </c>
      <c r="H2452" s="6" t="str">
        <f>IFERROR(__xludf.DUMMYFUNCTION("IF(REGEXMATCH(LOWER(G2452), ""^(\?)+\s*(missing)?\s*(\?)*$""), """", PROPER(SUBSTITUTE(SUBSTITUTE(G2452, ""?"", """"), ""*"", """")))"),"Wrap Red Apples")</f>
        <v>Wrap Red Apples</v>
      </c>
      <c r="I2452" s="3">
        <v>25.0</v>
      </c>
      <c r="J2452" s="7">
        <v>40599.36388888889</v>
      </c>
      <c r="K2452" s="8" t="str">
        <f t="shared" si="4"/>
        <v>2011-02</v>
      </c>
      <c r="L2452" s="5">
        <v>0.42</v>
      </c>
      <c r="M2452" s="3">
        <v>12633.0</v>
      </c>
      <c r="N2452" s="1" t="str">
        <f t="shared" si="5"/>
        <v>Registered</v>
      </c>
      <c r="O2452" s="1" t="s">
        <v>1288</v>
      </c>
      <c r="P2452" s="9" t="str">
        <f t="shared" si="6"/>
        <v>International</v>
      </c>
      <c r="Q2452" s="8">
        <f t="shared" si="7"/>
        <v>10.5</v>
      </c>
    </row>
    <row r="2453">
      <c r="A2453" s="1">
        <v>544933.0</v>
      </c>
      <c r="B2453" s="1" t="str">
        <f t="shared" si="1"/>
        <v>544933</v>
      </c>
      <c r="C2453" s="1" t="str">
        <f t="shared" si="2"/>
        <v>Sale</v>
      </c>
      <c r="D2453" s="1">
        <v>22302.0</v>
      </c>
      <c r="E2453" s="1" t="str">
        <f>IFERROR(__xludf.DUMMYFUNCTION("IF(LEN(D2453)&gt;4, IFERROR(REGEXEXTRACT(TO_TEXT(D2453),""\d+""),""""),"""")"),"22302")</f>
        <v>22302</v>
      </c>
      <c r="F2453" s="6" t="str">
        <f t="shared" si="3"/>
        <v>Product</v>
      </c>
      <c r="G2453" s="1" t="s">
        <v>820</v>
      </c>
      <c r="H2453" s="6" t="str">
        <f>IFERROR(__xludf.DUMMYFUNCTION("IF(REGEXMATCH(LOWER(G2453), ""^(\?)+\s*(missing)?\s*(\?)*$""), """", PROPER(SUBSTITUTE(SUBSTITUTE(G2453, ""?"", """"), ""*"", """")))"),"Coffee Mug Pears Design")</f>
        <v>Coffee Mug Pears Design</v>
      </c>
      <c r="I2453" s="3">
        <v>6.0</v>
      </c>
      <c r="J2453" s="7">
        <v>40599.36388888889</v>
      </c>
      <c r="K2453" s="8" t="str">
        <f t="shared" si="4"/>
        <v>2011-02</v>
      </c>
      <c r="L2453" s="5">
        <v>2.55</v>
      </c>
      <c r="M2453" s="3">
        <v>12633.0</v>
      </c>
      <c r="N2453" s="1" t="str">
        <f t="shared" si="5"/>
        <v>Registered</v>
      </c>
      <c r="O2453" s="1" t="s">
        <v>1288</v>
      </c>
      <c r="P2453" s="9" t="str">
        <f t="shared" si="6"/>
        <v>International</v>
      </c>
      <c r="Q2453" s="8">
        <f t="shared" si="7"/>
        <v>15.3</v>
      </c>
    </row>
    <row r="2454">
      <c r="A2454" s="1">
        <v>544933.0</v>
      </c>
      <c r="B2454" s="1" t="str">
        <f t="shared" si="1"/>
        <v>544933</v>
      </c>
      <c r="C2454" s="1" t="str">
        <f t="shared" si="2"/>
        <v>Sale</v>
      </c>
      <c r="D2454" s="1">
        <v>22303.0</v>
      </c>
      <c r="E2454" s="1" t="str">
        <f>IFERROR(__xludf.DUMMYFUNCTION("IF(LEN(D2454)&gt;4, IFERROR(REGEXEXTRACT(TO_TEXT(D2454),""\d+""),""""),"""")"),"22303")</f>
        <v>22303</v>
      </c>
      <c r="F2454" s="6" t="str">
        <f t="shared" si="3"/>
        <v>Product</v>
      </c>
      <c r="G2454" s="1" t="s">
        <v>821</v>
      </c>
      <c r="H2454" s="6" t="str">
        <f>IFERROR(__xludf.DUMMYFUNCTION("IF(REGEXMATCH(LOWER(G2454), ""^(\?)+\s*(missing)?\s*(\?)*$""), """", PROPER(SUBSTITUTE(SUBSTITUTE(G2454, ""?"", """"), ""*"", """")))"),"Coffee Mug Apples Design")</f>
        <v>Coffee Mug Apples Design</v>
      </c>
      <c r="I2454" s="3">
        <v>6.0</v>
      </c>
      <c r="J2454" s="7">
        <v>40599.36388888889</v>
      </c>
      <c r="K2454" s="8" t="str">
        <f t="shared" si="4"/>
        <v>2011-02</v>
      </c>
      <c r="L2454" s="5">
        <v>2.55</v>
      </c>
      <c r="M2454" s="3">
        <v>12633.0</v>
      </c>
      <c r="N2454" s="1" t="str">
        <f t="shared" si="5"/>
        <v>Registered</v>
      </c>
      <c r="O2454" s="1" t="s">
        <v>1288</v>
      </c>
      <c r="P2454" s="9" t="str">
        <f t="shared" si="6"/>
        <v>International</v>
      </c>
      <c r="Q2454" s="8">
        <f t="shared" si="7"/>
        <v>15.3</v>
      </c>
    </row>
    <row r="2455">
      <c r="A2455" s="1">
        <v>544933.0</v>
      </c>
      <c r="B2455" s="1" t="str">
        <f t="shared" si="1"/>
        <v>544933</v>
      </c>
      <c r="C2455" s="1" t="str">
        <f t="shared" si="2"/>
        <v>Sale</v>
      </c>
      <c r="D2455" s="1">
        <v>22895.0</v>
      </c>
      <c r="E2455" s="1" t="str">
        <f>IFERROR(__xludf.DUMMYFUNCTION("IF(LEN(D2455)&gt;4, IFERROR(REGEXEXTRACT(TO_TEXT(D2455),""\d+""),""""),"""")"),"22895")</f>
        <v>22895</v>
      </c>
      <c r="F2455" s="6" t="str">
        <f t="shared" si="3"/>
        <v>Product</v>
      </c>
      <c r="G2455" s="1" t="s">
        <v>643</v>
      </c>
      <c r="H2455" s="6" t="str">
        <f>IFERROR(__xludf.DUMMYFUNCTION("IF(REGEXMATCH(LOWER(G2455), ""^(\?)+\s*(missing)?\s*(\?)*$""), """", PROPER(SUBSTITUTE(SUBSTITUTE(G2455, ""?"", """"), ""*"", """")))"),"Set Of 2 Tea Towels Apple And Pears")</f>
        <v>Set Of 2 Tea Towels Apple And Pears</v>
      </c>
      <c r="I2455" s="3">
        <v>6.0</v>
      </c>
      <c r="J2455" s="7">
        <v>40599.36388888889</v>
      </c>
      <c r="K2455" s="8" t="str">
        <f t="shared" si="4"/>
        <v>2011-02</v>
      </c>
      <c r="L2455" s="5">
        <v>2.95</v>
      </c>
      <c r="M2455" s="3">
        <v>12633.0</v>
      </c>
      <c r="N2455" s="1" t="str">
        <f t="shared" si="5"/>
        <v>Registered</v>
      </c>
      <c r="O2455" s="1" t="s">
        <v>1288</v>
      </c>
      <c r="P2455" s="9" t="str">
        <f t="shared" si="6"/>
        <v>International</v>
      </c>
      <c r="Q2455" s="8">
        <f t="shared" si="7"/>
        <v>17.7</v>
      </c>
    </row>
    <row r="2456">
      <c r="A2456" s="1">
        <v>544933.0</v>
      </c>
      <c r="B2456" s="1" t="str">
        <f t="shared" si="1"/>
        <v>544933</v>
      </c>
      <c r="C2456" s="1" t="str">
        <f t="shared" si="2"/>
        <v>Sale</v>
      </c>
      <c r="D2456" s="1">
        <v>22897.0</v>
      </c>
      <c r="E2456" s="1" t="str">
        <f>IFERROR(__xludf.DUMMYFUNCTION("IF(LEN(D2456)&gt;4, IFERROR(REGEXEXTRACT(TO_TEXT(D2456),""\d+""),""""),"""")"),"22897")</f>
        <v>22897</v>
      </c>
      <c r="F2456" s="6" t="str">
        <f t="shared" si="3"/>
        <v>Product</v>
      </c>
      <c r="G2456" s="1" t="s">
        <v>1156</v>
      </c>
      <c r="H2456" s="6" t="str">
        <f>IFERROR(__xludf.DUMMYFUNCTION("IF(REGEXMATCH(LOWER(G2456), ""^(\?)+\s*(missing)?\s*(\?)*$""), """", PROPER(SUBSTITUTE(SUBSTITUTE(G2456, ""?"", """"), ""*"", """")))"),"Oven Mitt Apples Design")</f>
        <v>Oven Mitt Apples Design</v>
      </c>
      <c r="I2456" s="3">
        <v>10.0</v>
      </c>
      <c r="J2456" s="7">
        <v>40599.36388888889</v>
      </c>
      <c r="K2456" s="8" t="str">
        <f t="shared" si="4"/>
        <v>2011-02</v>
      </c>
      <c r="L2456" s="5">
        <v>1.45</v>
      </c>
      <c r="M2456" s="3">
        <v>12633.0</v>
      </c>
      <c r="N2456" s="1" t="str">
        <f t="shared" si="5"/>
        <v>Registered</v>
      </c>
      <c r="O2456" s="1" t="s">
        <v>1288</v>
      </c>
      <c r="P2456" s="9" t="str">
        <f t="shared" si="6"/>
        <v>International</v>
      </c>
      <c r="Q2456" s="8">
        <f t="shared" si="7"/>
        <v>14.5</v>
      </c>
    </row>
    <row r="2457">
      <c r="A2457" s="1">
        <v>544933.0</v>
      </c>
      <c r="B2457" s="1" t="str">
        <f t="shared" si="1"/>
        <v>544933</v>
      </c>
      <c r="C2457" s="1" t="str">
        <f t="shared" si="2"/>
        <v>Sale</v>
      </c>
      <c r="D2457" s="1">
        <v>22908.0</v>
      </c>
      <c r="E2457" s="1" t="str">
        <f>IFERROR(__xludf.DUMMYFUNCTION("IF(LEN(D2457)&gt;4, IFERROR(REGEXEXTRACT(TO_TEXT(D2457),""\d+""),""""),"""")"),"22908")</f>
        <v>22908</v>
      </c>
      <c r="F2457" s="6" t="str">
        <f t="shared" si="3"/>
        <v>Product</v>
      </c>
      <c r="G2457" s="1" t="s">
        <v>708</v>
      </c>
      <c r="H2457" s="6" t="str">
        <f>IFERROR(__xludf.DUMMYFUNCTION("IF(REGEXMATCH(LOWER(G2457), ""^(\?)+\s*(missing)?\s*(\?)*$""), """", PROPER(SUBSTITUTE(SUBSTITUTE(G2457, ""?"", """"), ""*"", """")))"),"Pack Of 20 Napkins Red Apples")</f>
        <v>Pack Of 20 Napkins Red Apples</v>
      </c>
      <c r="I2457" s="3">
        <v>12.0</v>
      </c>
      <c r="J2457" s="7">
        <v>40599.36388888889</v>
      </c>
      <c r="K2457" s="8" t="str">
        <f t="shared" si="4"/>
        <v>2011-02</v>
      </c>
      <c r="L2457" s="5">
        <v>0.85</v>
      </c>
      <c r="M2457" s="3">
        <v>12633.0</v>
      </c>
      <c r="N2457" s="1" t="str">
        <f t="shared" si="5"/>
        <v>Registered</v>
      </c>
      <c r="O2457" s="1" t="s">
        <v>1288</v>
      </c>
      <c r="P2457" s="9" t="str">
        <f t="shared" si="6"/>
        <v>International</v>
      </c>
      <c r="Q2457" s="8">
        <f t="shared" si="7"/>
        <v>10.2</v>
      </c>
    </row>
    <row r="2458">
      <c r="A2458" s="1">
        <v>544933.0</v>
      </c>
      <c r="B2458" s="1" t="str">
        <f t="shared" si="1"/>
        <v>544933</v>
      </c>
      <c r="C2458" s="1" t="str">
        <f t="shared" si="2"/>
        <v>Sale</v>
      </c>
      <c r="D2458" s="1">
        <v>20718.0</v>
      </c>
      <c r="E2458" s="1" t="str">
        <f>IFERROR(__xludf.DUMMYFUNCTION("IF(LEN(D2458)&gt;4, IFERROR(REGEXEXTRACT(TO_TEXT(D2458),""\d+""),""""),"""")"),"20718")</f>
        <v>20718</v>
      </c>
      <c r="F2458" s="6" t="str">
        <f t="shared" si="3"/>
        <v>Product</v>
      </c>
      <c r="G2458" s="1" t="s">
        <v>699</v>
      </c>
      <c r="H2458" s="6" t="str">
        <f>IFERROR(__xludf.DUMMYFUNCTION("IF(REGEXMATCH(LOWER(G2458), ""^(\?)+\s*(missing)?\s*(\?)*$""), """", PROPER(SUBSTITUTE(SUBSTITUTE(G2458, ""?"", """"), ""*"", """")))"),"Red Retrospot Shopper Bag")</f>
        <v>Red Retrospot Shopper Bag</v>
      </c>
      <c r="I2458" s="3">
        <v>10.0</v>
      </c>
      <c r="J2458" s="7">
        <v>40599.36388888889</v>
      </c>
      <c r="K2458" s="8" t="str">
        <f t="shared" si="4"/>
        <v>2011-02</v>
      </c>
      <c r="L2458" s="5">
        <v>1.25</v>
      </c>
      <c r="M2458" s="3">
        <v>12633.0</v>
      </c>
      <c r="N2458" s="1" t="str">
        <f t="shared" si="5"/>
        <v>Registered</v>
      </c>
      <c r="O2458" s="1" t="s">
        <v>1288</v>
      </c>
      <c r="P2458" s="9" t="str">
        <f t="shared" si="6"/>
        <v>International</v>
      </c>
      <c r="Q2458" s="8">
        <f t="shared" si="7"/>
        <v>12.5</v>
      </c>
    </row>
    <row r="2459">
      <c r="A2459" s="1">
        <v>544933.0</v>
      </c>
      <c r="B2459" s="1" t="str">
        <f t="shared" si="1"/>
        <v>544933</v>
      </c>
      <c r="C2459" s="1" t="str">
        <f t="shared" si="2"/>
        <v>Sale</v>
      </c>
      <c r="D2459" s="1">
        <v>20754.0</v>
      </c>
      <c r="E2459" s="1" t="str">
        <f>IFERROR(__xludf.DUMMYFUNCTION("IF(LEN(D2459)&gt;4, IFERROR(REGEXEXTRACT(TO_TEXT(D2459),""\d+""),""""),"""")"),"20754")</f>
        <v>20754</v>
      </c>
      <c r="F2459" s="6" t="str">
        <f t="shared" si="3"/>
        <v>Product</v>
      </c>
      <c r="G2459" s="1" t="s">
        <v>704</v>
      </c>
      <c r="H2459" s="6" t="str">
        <f>IFERROR(__xludf.DUMMYFUNCTION("IF(REGEXMATCH(LOWER(G2459), ""^(\?)+\s*(missing)?\s*(\?)*$""), """", PROPER(SUBSTITUTE(SUBSTITUTE(G2459, ""?"", """"), ""*"", """")))"),"Retrospot Red Washing Up Gloves")</f>
        <v>Retrospot Red Washing Up Gloves</v>
      </c>
      <c r="I2459" s="3">
        <v>6.0</v>
      </c>
      <c r="J2459" s="7">
        <v>40599.36388888889</v>
      </c>
      <c r="K2459" s="8" t="str">
        <f t="shared" si="4"/>
        <v>2011-02</v>
      </c>
      <c r="L2459" s="5">
        <v>2.1</v>
      </c>
      <c r="M2459" s="3">
        <v>12633.0</v>
      </c>
      <c r="N2459" s="1" t="str">
        <f t="shared" si="5"/>
        <v>Registered</v>
      </c>
      <c r="O2459" s="1" t="s">
        <v>1288</v>
      </c>
      <c r="P2459" s="9" t="str">
        <f t="shared" si="6"/>
        <v>International</v>
      </c>
      <c r="Q2459" s="8">
        <f t="shared" si="7"/>
        <v>12.6</v>
      </c>
    </row>
    <row r="2460">
      <c r="A2460" s="1">
        <v>544933.0</v>
      </c>
      <c r="B2460" s="1" t="str">
        <f t="shared" si="1"/>
        <v>544933</v>
      </c>
      <c r="C2460" s="1" t="str">
        <f t="shared" si="2"/>
        <v>Sale</v>
      </c>
      <c r="D2460" s="1">
        <v>21041.0</v>
      </c>
      <c r="E2460" s="1" t="str">
        <f>IFERROR(__xludf.DUMMYFUNCTION("IF(LEN(D2460)&gt;4, IFERROR(REGEXEXTRACT(TO_TEXT(D2460),""\d+""),""""),"""")"),"21041")</f>
        <v>21041</v>
      </c>
      <c r="F2460" s="6" t="str">
        <f t="shared" si="3"/>
        <v>Product</v>
      </c>
      <c r="G2460" s="1" t="s">
        <v>984</v>
      </c>
      <c r="H2460" s="6" t="str">
        <f>IFERROR(__xludf.DUMMYFUNCTION("IF(REGEXMATCH(LOWER(G2460), ""^(\?)+\s*(missing)?\s*(\?)*$""), """", PROPER(SUBSTITUTE(SUBSTITUTE(G2460, ""?"", """"), ""*"", """")))"),"Red Retrospot Oven Glove Double")</f>
        <v>Red Retrospot Oven Glove Double</v>
      </c>
      <c r="I2460" s="3">
        <v>6.0</v>
      </c>
      <c r="J2460" s="7">
        <v>40599.36388888889</v>
      </c>
      <c r="K2460" s="8" t="str">
        <f t="shared" si="4"/>
        <v>2011-02</v>
      </c>
      <c r="L2460" s="5">
        <v>2.95</v>
      </c>
      <c r="M2460" s="3">
        <v>12633.0</v>
      </c>
      <c r="N2460" s="1" t="str">
        <f t="shared" si="5"/>
        <v>Registered</v>
      </c>
      <c r="O2460" s="1" t="s">
        <v>1288</v>
      </c>
      <c r="P2460" s="9" t="str">
        <f t="shared" si="6"/>
        <v>International</v>
      </c>
      <c r="Q2460" s="8">
        <f t="shared" si="7"/>
        <v>17.7</v>
      </c>
    </row>
    <row r="2461">
      <c r="A2461" s="1">
        <v>544933.0</v>
      </c>
      <c r="B2461" s="1" t="str">
        <f t="shared" si="1"/>
        <v>544933</v>
      </c>
      <c r="C2461" s="1" t="str">
        <f t="shared" si="2"/>
        <v>Sale</v>
      </c>
      <c r="D2461" s="1">
        <v>21531.0</v>
      </c>
      <c r="E2461" s="1" t="str">
        <f>IFERROR(__xludf.DUMMYFUNCTION("IF(LEN(D2461)&gt;4, IFERROR(REGEXEXTRACT(TO_TEXT(D2461),""\d+""),""""),"""")"),"21531")</f>
        <v>21531</v>
      </c>
      <c r="F2461" s="6" t="str">
        <f t="shared" si="3"/>
        <v>Product</v>
      </c>
      <c r="G2461" s="1" t="s">
        <v>950</v>
      </c>
      <c r="H2461" s="6" t="str">
        <f>IFERROR(__xludf.DUMMYFUNCTION("IF(REGEXMATCH(LOWER(G2461), ""^(\?)+\s*(missing)?\s*(\?)*$""), """", PROPER(SUBSTITUTE(SUBSTITUTE(G2461, ""?"", """"), ""*"", """")))"),"Red Retrospot Sugar Jam Bowl")</f>
        <v>Red Retrospot Sugar Jam Bowl</v>
      </c>
      <c r="I2461" s="3">
        <v>6.0</v>
      </c>
      <c r="J2461" s="7">
        <v>40599.36388888889</v>
      </c>
      <c r="K2461" s="8" t="str">
        <f t="shared" si="4"/>
        <v>2011-02</v>
      </c>
      <c r="L2461" s="5">
        <v>2.55</v>
      </c>
      <c r="M2461" s="3">
        <v>12633.0</v>
      </c>
      <c r="N2461" s="1" t="str">
        <f t="shared" si="5"/>
        <v>Registered</v>
      </c>
      <c r="O2461" s="1" t="s">
        <v>1288</v>
      </c>
      <c r="P2461" s="9" t="str">
        <f t="shared" si="6"/>
        <v>International</v>
      </c>
      <c r="Q2461" s="8">
        <f t="shared" si="7"/>
        <v>15.3</v>
      </c>
    </row>
    <row r="2462">
      <c r="A2462" s="1">
        <v>544933.0</v>
      </c>
      <c r="B2462" s="1" t="str">
        <f t="shared" si="1"/>
        <v>544933</v>
      </c>
      <c r="C2462" s="1" t="str">
        <f t="shared" si="2"/>
        <v>Sale</v>
      </c>
      <c r="D2462" s="1">
        <v>21533.0</v>
      </c>
      <c r="E2462" s="1" t="str">
        <f>IFERROR(__xludf.DUMMYFUNCTION("IF(LEN(D2462)&gt;4, IFERROR(REGEXEXTRACT(TO_TEXT(D2462),""\d+""),""""),"""")"),"21533")</f>
        <v>21533</v>
      </c>
      <c r="F2462" s="6" t="str">
        <f t="shared" si="3"/>
        <v>Product</v>
      </c>
      <c r="G2462" s="1" t="s">
        <v>135</v>
      </c>
      <c r="H2462" s="6" t="str">
        <f>IFERROR(__xludf.DUMMYFUNCTION("IF(REGEXMATCH(LOWER(G2462), ""^(\?)+\s*(missing)?\s*(\?)*$""), """", PROPER(SUBSTITUTE(SUBSTITUTE(G2462, ""?"", """"), ""*"", """")))"),"Retrospot Large Milk Jug")</f>
        <v>Retrospot Large Milk Jug</v>
      </c>
      <c r="I2462" s="3">
        <v>3.0</v>
      </c>
      <c r="J2462" s="7">
        <v>40599.36388888889</v>
      </c>
      <c r="K2462" s="8" t="str">
        <f t="shared" si="4"/>
        <v>2011-02</v>
      </c>
      <c r="L2462" s="5">
        <v>4.95</v>
      </c>
      <c r="M2462" s="3">
        <v>12633.0</v>
      </c>
      <c r="N2462" s="1" t="str">
        <f t="shared" si="5"/>
        <v>Registered</v>
      </c>
      <c r="O2462" s="1" t="s">
        <v>1288</v>
      </c>
      <c r="P2462" s="9" t="str">
        <f t="shared" si="6"/>
        <v>International</v>
      </c>
      <c r="Q2462" s="8">
        <f t="shared" si="7"/>
        <v>14.85</v>
      </c>
    </row>
    <row r="2463">
      <c r="A2463" s="1">
        <v>544933.0</v>
      </c>
      <c r="B2463" s="1" t="str">
        <f t="shared" si="1"/>
        <v>544933</v>
      </c>
      <c r="C2463" s="1" t="str">
        <f t="shared" si="2"/>
        <v>Sale</v>
      </c>
      <c r="D2463" s="1">
        <v>21121.0</v>
      </c>
      <c r="E2463" s="1" t="str">
        <f>IFERROR(__xludf.DUMMYFUNCTION("IF(LEN(D2463)&gt;4, IFERROR(REGEXEXTRACT(TO_TEXT(D2463),""\d+""),""""),"""")"),"21121")</f>
        <v>21121</v>
      </c>
      <c r="F2463" s="6" t="str">
        <f t="shared" si="3"/>
        <v>Product</v>
      </c>
      <c r="G2463" s="1" t="s">
        <v>558</v>
      </c>
      <c r="H2463" s="6" t="str">
        <f>IFERROR(__xludf.DUMMYFUNCTION("IF(REGEXMATCH(LOWER(G2463), ""^(\?)+\s*(missing)?\s*(\?)*$""), """", PROPER(SUBSTITUTE(SUBSTITUTE(G2463, ""?"", """"), ""*"", """")))"),"Set/10 Red Polkadot Party Candles")</f>
        <v>Set/10 Red Polkadot Party Candles</v>
      </c>
      <c r="I2463" s="3">
        <v>24.0</v>
      </c>
      <c r="J2463" s="7">
        <v>40599.36388888889</v>
      </c>
      <c r="K2463" s="8" t="str">
        <f t="shared" si="4"/>
        <v>2011-02</v>
      </c>
      <c r="L2463" s="5">
        <v>1.25</v>
      </c>
      <c r="M2463" s="3">
        <v>12633.0</v>
      </c>
      <c r="N2463" s="1" t="str">
        <f t="shared" si="5"/>
        <v>Registered</v>
      </c>
      <c r="O2463" s="1" t="s">
        <v>1288</v>
      </c>
      <c r="P2463" s="9" t="str">
        <f t="shared" si="6"/>
        <v>International</v>
      </c>
      <c r="Q2463" s="8">
        <f t="shared" si="7"/>
        <v>30</v>
      </c>
    </row>
    <row r="2464">
      <c r="A2464" s="1">
        <v>544933.0</v>
      </c>
      <c r="B2464" s="1" t="str">
        <f t="shared" si="1"/>
        <v>544933</v>
      </c>
      <c r="C2464" s="1" t="str">
        <f t="shared" si="2"/>
        <v>Sale</v>
      </c>
      <c r="D2464" s="1" t="s">
        <v>181</v>
      </c>
      <c r="E2464" s="1" t="str">
        <f>IFERROR(__xludf.DUMMYFUNCTION("IF(LEN(D2464)&gt;4, IFERROR(REGEXEXTRACT(TO_TEXT(D2464),""\d+""),""""),"""")"),"85099")</f>
        <v>85099</v>
      </c>
      <c r="F2464" s="6" t="str">
        <f t="shared" si="3"/>
        <v>Product</v>
      </c>
      <c r="G2464" s="1" t="s">
        <v>182</v>
      </c>
      <c r="H2464" s="6" t="str">
        <f>IFERROR(__xludf.DUMMYFUNCTION("IF(REGEXMATCH(LOWER(G2464), ""^(\?)+\s*(missing)?\s*(\?)*$""), """", PROPER(SUBSTITUTE(SUBSTITUTE(G2464, ""?"", """"), ""*"", """")))"),"Jumbo Bag Red Retrospot")</f>
        <v>Jumbo Bag Red Retrospot</v>
      </c>
      <c r="I2464" s="3">
        <v>10.0</v>
      </c>
      <c r="J2464" s="7">
        <v>40599.36388888889</v>
      </c>
      <c r="K2464" s="8" t="str">
        <f t="shared" si="4"/>
        <v>2011-02</v>
      </c>
      <c r="L2464" s="5">
        <v>1.95</v>
      </c>
      <c r="M2464" s="3">
        <v>12633.0</v>
      </c>
      <c r="N2464" s="1" t="str">
        <f t="shared" si="5"/>
        <v>Registered</v>
      </c>
      <c r="O2464" s="1" t="s">
        <v>1288</v>
      </c>
      <c r="P2464" s="9" t="str">
        <f t="shared" si="6"/>
        <v>International</v>
      </c>
      <c r="Q2464" s="8">
        <f t="shared" si="7"/>
        <v>19.5</v>
      </c>
    </row>
    <row r="2465">
      <c r="A2465" s="1">
        <v>544933.0</v>
      </c>
      <c r="B2465" s="1" t="str">
        <f t="shared" si="1"/>
        <v>544933</v>
      </c>
      <c r="C2465" s="1" t="str">
        <f t="shared" si="2"/>
        <v>Sale</v>
      </c>
      <c r="D2465" s="1">
        <v>21929.0</v>
      </c>
      <c r="E2465" s="1" t="str">
        <f>IFERROR(__xludf.DUMMYFUNCTION("IF(LEN(D2465)&gt;4, IFERROR(REGEXEXTRACT(TO_TEXT(D2465),""\d+""),""""),"""")"),"21929")</f>
        <v>21929</v>
      </c>
      <c r="F2465" s="6" t="str">
        <f t="shared" si="3"/>
        <v>Product</v>
      </c>
      <c r="G2465" s="1" t="s">
        <v>108</v>
      </c>
      <c r="H2465" s="6" t="str">
        <f>IFERROR(__xludf.DUMMYFUNCTION("IF(REGEXMATCH(LOWER(G2465), ""^(\?)+\s*(missing)?\s*(\?)*$""), """", PROPER(SUBSTITUTE(SUBSTITUTE(G2465, ""?"", """"), ""*"", """")))"),"Jumbo Bag Pink Vintage Paisley")</f>
        <v>Jumbo Bag Pink Vintage Paisley</v>
      </c>
      <c r="I2465" s="3">
        <v>10.0</v>
      </c>
      <c r="J2465" s="7">
        <v>40599.36388888889</v>
      </c>
      <c r="K2465" s="8" t="str">
        <f t="shared" si="4"/>
        <v>2011-02</v>
      </c>
      <c r="L2465" s="5">
        <v>1.95</v>
      </c>
      <c r="M2465" s="3">
        <v>12633.0</v>
      </c>
      <c r="N2465" s="1" t="str">
        <f t="shared" si="5"/>
        <v>Registered</v>
      </c>
      <c r="O2465" s="1" t="s">
        <v>1288</v>
      </c>
      <c r="P2465" s="9" t="str">
        <f t="shared" si="6"/>
        <v>International</v>
      </c>
      <c r="Q2465" s="8">
        <f t="shared" si="7"/>
        <v>19.5</v>
      </c>
    </row>
    <row r="2466">
      <c r="A2466" s="1">
        <v>544933.0</v>
      </c>
      <c r="B2466" s="1" t="str">
        <f t="shared" si="1"/>
        <v>544933</v>
      </c>
      <c r="C2466" s="1" t="str">
        <f t="shared" si="2"/>
        <v>Sale</v>
      </c>
      <c r="D2466" s="1">
        <v>21212.0</v>
      </c>
      <c r="E2466" s="1" t="str">
        <f>IFERROR(__xludf.DUMMYFUNCTION("IF(LEN(D2466)&gt;4, IFERROR(REGEXEXTRACT(TO_TEXT(D2466),""\d+""),""""),"""")"),"21212")</f>
        <v>21212</v>
      </c>
      <c r="F2466" s="6" t="str">
        <f t="shared" si="3"/>
        <v>Product</v>
      </c>
      <c r="G2466" s="1" t="s">
        <v>97</v>
      </c>
      <c r="H2466" s="6" t="str">
        <f>IFERROR(__xludf.DUMMYFUNCTION("IF(REGEXMATCH(LOWER(G2466), ""^(\?)+\s*(missing)?\s*(\?)*$""), """", PROPER(SUBSTITUTE(SUBSTITUTE(G2466, ""?"", """"), ""*"", """")))"),"Pack Of 72 Retrospot Cake Cases")</f>
        <v>Pack Of 72 Retrospot Cake Cases</v>
      </c>
      <c r="I2466" s="3">
        <v>24.0</v>
      </c>
      <c r="J2466" s="7">
        <v>40599.36388888889</v>
      </c>
      <c r="K2466" s="8" t="str">
        <f t="shared" si="4"/>
        <v>2011-02</v>
      </c>
      <c r="L2466" s="5">
        <v>0.55</v>
      </c>
      <c r="M2466" s="3">
        <v>12633.0</v>
      </c>
      <c r="N2466" s="1" t="str">
        <f t="shared" si="5"/>
        <v>Registered</v>
      </c>
      <c r="O2466" s="1" t="s">
        <v>1288</v>
      </c>
      <c r="P2466" s="9" t="str">
        <f t="shared" si="6"/>
        <v>International</v>
      </c>
      <c r="Q2466" s="8">
        <f t="shared" si="7"/>
        <v>13.2</v>
      </c>
    </row>
    <row r="2467">
      <c r="A2467" s="1">
        <v>544933.0</v>
      </c>
      <c r="B2467" s="1" t="str">
        <f t="shared" si="1"/>
        <v>544933</v>
      </c>
      <c r="C2467" s="1" t="str">
        <f t="shared" si="2"/>
        <v>Sale</v>
      </c>
      <c r="D2467" s="1">
        <v>22326.0</v>
      </c>
      <c r="E2467" s="1" t="str">
        <f>IFERROR(__xludf.DUMMYFUNCTION("IF(LEN(D2467)&gt;4, IFERROR(REGEXEXTRACT(TO_TEXT(D2467),""\d+""),""""),"""")"),"22326")</f>
        <v>22326</v>
      </c>
      <c r="F2467" s="6" t="str">
        <f t="shared" si="3"/>
        <v>Product</v>
      </c>
      <c r="G2467" s="1" t="s">
        <v>57</v>
      </c>
      <c r="H2467" s="6" t="str">
        <f>IFERROR(__xludf.DUMMYFUNCTION("IF(REGEXMATCH(LOWER(G2467), ""^(\?)+\s*(missing)?\s*(\?)*$""), """", PROPER(SUBSTITUTE(SUBSTITUTE(G2467, ""?"", """"), ""*"", """")))"),"Round Snack Boxes Set Of4 Woodland")</f>
        <v>Round Snack Boxes Set Of4 Woodland</v>
      </c>
      <c r="I2467" s="3">
        <v>6.0</v>
      </c>
      <c r="J2467" s="7">
        <v>40599.36388888889</v>
      </c>
      <c r="K2467" s="8" t="str">
        <f t="shared" si="4"/>
        <v>2011-02</v>
      </c>
      <c r="L2467" s="5">
        <v>2.95</v>
      </c>
      <c r="M2467" s="3">
        <v>12633.0</v>
      </c>
      <c r="N2467" s="1" t="str">
        <f t="shared" si="5"/>
        <v>Registered</v>
      </c>
      <c r="O2467" s="1" t="s">
        <v>1288</v>
      </c>
      <c r="P2467" s="9" t="str">
        <f t="shared" si="6"/>
        <v>International</v>
      </c>
      <c r="Q2467" s="8">
        <f t="shared" si="7"/>
        <v>17.7</v>
      </c>
    </row>
    <row r="2468">
      <c r="A2468" s="1">
        <v>544933.0</v>
      </c>
      <c r="B2468" s="1" t="str">
        <f t="shared" si="1"/>
        <v>544933</v>
      </c>
      <c r="C2468" s="1" t="str">
        <f t="shared" si="2"/>
        <v>Sale</v>
      </c>
      <c r="D2468" s="1">
        <v>21559.0</v>
      </c>
      <c r="E2468" s="1" t="str">
        <f>IFERROR(__xludf.DUMMYFUNCTION("IF(LEN(D2468)&gt;4, IFERROR(REGEXEXTRACT(TO_TEXT(D2468),""\d+""),""""),"""")"),"21559")</f>
        <v>21559</v>
      </c>
      <c r="F2468" s="6" t="str">
        <f t="shared" si="3"/>
        <v>Product</v>
      </c>
      <c r="G2468" s="1" t="s">
        <v>95</v>
      </c>
      <c r="H2468" s="6" t="str">
        <f>IFERROR(__xludf.DUMMYFUNCTION("IF(REGEXMATCH(LOWER(G2468), ""^(\?)+\s*(missing)?\s*(\?)*$""), """", PROPER(SUBSTITUTE(SUBSTITUTE(G2468, ""?"", """"), ""*"", """")))"),"Strawberry Lunch Box With Cutlery")</f>
        <v>Strawberry Lunch Box With Cutlery</v>
      </c>
      <c r="I2468" s="3">
        <v>6.0</v>
      </c>
      <c r="J2468" s="7">
        <v>40599.36388888889</v>
      </c>
      <c r="K2468" s="8" t="str">
        <f t="shared" si="4"/>
        <v>2011-02</v>
      </c>
      <c r="L2468" s="5">
        <v>2.55</v>
      </c>
      <c r="M2468" s="3">
        <v>12633.0</v>
      </c>
      <c r="N2468" s="1" t="str">
        <f t="shared" si="5"/>
        <v>Registered</v>
      </c>
      <c r="O2468" s="1" t="s">
        <v>1288</v>
      </c>
      <c r="P2468" s="9" t="str">
        <f t="shared" si="6"/>
        <v>International</v>
      </c>
      <c r="Q2468" s="8">
        <f t="shared" si="7"/>
        <v>15.3</v>
      </c>
    </row>
    <row r="2469">
      <c r="A2469" s="1">
        <v>544933.0</v>
      </c>
      <c r="B2469" s="1" t="str">
        <f t="shared" si="1"/>
        <v>544933</v>
      </c>
      <c r="C2469" s="1" t="str">
        <f t="shared" si="2"/>
        <v>Sale</v>
      </c>
      <c r="D2469" s="1">
        <v>21558.0</v>
      </c>
      <c r="E2469" s="1" t="str">
        <f>IFERROR(__xludf.DUMMYFUNCTION("IF(LEN(D2469)&gt;4, IFERROR(REGEXEXTRACT(TO_TEXT(D2469),""\d+""),""""),"""")"),"21558")</f>
        <v>21558</v>
      </c>
      <c r="F2469" s="6" t="str">
        <f t="shared" si="3"/>
        <v>Product</v>
      </c>
      <c r="G2469" s="1" t="s">
        <v>810</v>
      </c>
      <c r="H2469" s="6" t="str">
        <f>IFERROR(__xludf.DUMMYFUNCTION("IF(REGEXMATCH(LOWER(G2469), ""^(\?)+\s*(missing)?\s*(\?)*$""), """", PROPER(SUBSTITUTE(SUBSTITUTE(G2469, ""?"", """"), ""*"", """")))"),"Skull Lunch Box With Cutlery")</f>
        <v>Skull Lunch Box With Cutlery</v>
      </c>
      <c r="I2469" s="3">
        <v>6.0</v>
      </c>
      <c r="J2469" s="7">
        <v>40599.36388888889</v>
      </c>
      <c r="K2469" s="8" t="str">
        <f t="shared" si="4"/>
        <v>2011-02</v>
      </c>
      <c r="L2469" s="5">
        <v>2.55</v>
      </c>
      <c r="M2469" s="3">
        <v>12633.0</v>
      </c>
      <c r="N2469" s="1" t="str">
        <f t="shared" si="5"/>
        <v>Registered</v>
      </c>
      <c r="O2469" s="1" t="s">
        <v>1288</v>
      </c>
      <c r="P2469" s="9" t="str">
        <f t="shared" si="6"/>
        <v>International</v>
      </c>
      <c r="Q2469" s="8">
        <f t="shared" si="7"/>
        <v>15.3</v>
      </c>
    </row>
    <row r="2470">
      <c r="A2470" s="1">
        <v>544933.0</v>
      </c>
      <c r="B2470" s="1" t="str">
        <f t="shared" si="1"/>
        <v>544933</v>
      </c>
      <c r="C2470" s="1" t="str">
        <f t="shared" si="2"/>
        <v>Sale</v>
      </c>
      <c r="D2470" s="1">
        <v>22328.0</v>
      </c>
      <c r="E2470" s="1" t="str">
        <f>IFERROR(__xludf.DUMMYFUNCTION("IF(LEN(D2470)&gt;4, IFERROR(REGEXEXTRACT(TO_TEXT(D2470),""\d+""),""""),"""")"),"22328")</f>
        <v>22328</v>
      </c>
      <c r="F2470" s="6" t="str">
        <f t="shared" si="3"/>
        <v>Product</v>
      </c>
      <c r="G2470" s="1" t="s">
        <v>431</v>
      </c>
      <c r="H2470" s="6" t="str">
        <f>IFERROR(__xludf.DUMMYFUNCTION("IF(REGEXMATCH(LOWER(G2470), ""^(\?)+\s*(missing)?\s*(\?)*$""), """", PROPER(SUBSTITUTE(SUBSTITUTE(G2470, ""?"", """"), ""*"", """")))"),"Round Snack Boxes Set Of 4 Fruits")</f>
        <v>Round Snack Boxes Set Of 4 Fruits</v>
      </c>
      <c r="I2470" s="3">
        <v>6.0</v>
      </c>
      <c r="J2470" s="7">
        <v>40599.36388888889</v>
      </c>
      <c r="K2470" s="8" t="str">
        <f t="shared" si="4"/>
        <v>2011-02</v>
      </c>
      <c r="L2470" s="5">
        <v>2.95</v>
      </c>
      <c r="M2470" s="3">
        <v>12633.0</v>
      </c>
      <c r="N2470" s="1" t="str">
        <f t="shared" si="5"/>
        <v>Registered</v>
      </c>
      <c r="O2470" s="1" t="s">
        <v>1288</v>
      </c>
      <c r="P2470" s="9" t="str">
        <f t="shared" si="6"/>
        <v>International</v>
      </c>
      <c r="Q2470" s="8">
        <f t="shared" si="7"/>
        <v>17.7</v>
      </c>
    </row>
    <row r="2471">
      <c r="A2471" s="1">
        <v>544933.0</v>
      </c>
      <c r="B2471" s="1" t="str">
        <f t="shared" si="1"/>
        <v>544933</v>
      </c>
      <c r="C2471" s="1" t="str">
        <f t="shared" si="2"/>
        <v>Sale</v>
      </c>
      <c r="D2471" s="1">
        <v>22352.0</v>
      </c>
      <c r="E2471" s="1" t="str">
        <f>IFERROR(__xludf.DUMMYFUNCTION("IF(LEN(D2471)&gt;4, IFERROR(REGEXEXTRACT(TO_TEXT(D2471),""\d+""),""""),"""")"),"22352")</f>
        <v>22352</v>
      </c>
      <c r="F2471" s="6" t="str">
        <f t="shared" si="3"/>
        <v>Product</v>
      </c>
      <c r="G2471" s="1" t="s">
        <v>96</v>
      </c>
      <c r="H2471" s="6" t="str">
        <f>IFERROR(__xludf.DUMMYFUNCTION("IF(REGEXMATCH(LOWER(G2471), ""^(\?)+\s*(missing)?\s*(\?)*$""), """", PROPER(SUBSTITUTE(SUBSTITUTE(G2471, ""?"", """"), ""*"", """")))"),"Lunch Box With Cutlery Retrospot")</f>
        <v>Lunch Box With Cutlery Retrospot</v>
      </c>
      <c r="I2471" s="3">
        <v>6.0</v>
      </c>
      <c r="J2471" s="7">
        <v>40599.36388888889</v>
      </c>
      <c r="K2471" s="8" t="str">
        <f t="shared" si="4"/>
        <v>2011-02</v>
      </c>
      <c r="L2471" s="5">
        <v>2.55</v>
      </c>
      <c r="M2471" s="3">
        <v>12633.0</v>
      </c>
      <c r="N2471" s="1" t="str">
        <f t="shared" si="5"/>
        <v>Registered</v>
      </c>
      <c r="O2471" s="1" t="s">
        <v>1288</v>
      </c>
      <c r="P2471" s="9" t="str">
        <f t="shared" si="6"/>
        <v>International</v>
      </c>
      <c r="Q2471" s="8">
        <f t="shared" si="7"/>
        <v>15.3</v>
      </c>
    </row>
    <row r="2472">
      <c r="A2472" s="1">
        <v>544933.0</v>
      </c>
      <c r="B2472" s="1" t="str">
        <f t="shared" si="1"/>
        <v>544933</v>
      </c>
      <c r="C2472" s="1" t="str">
        <f t="shared" si="2"/>
        <v>Sale</v>
      </c>
      <c r="D2472" s="1">
        <v>22892.0</v>
      </c>
      <c r="E2472" s="1" t="str">
        <f>IFERROR(__xludf.DUMMYFUNCTION("IF(LEN(D2472)&gt;4, IFERROR(REGEXEXTRACT(TO_TEXT(D2472),""\d+""),""""),"""")"),"22892")</f>
        <v>22892</v>
      </c>
      <c r="F2472" s="6" t="str">
        <f t="shared" si="3"/>
        <v>Product</v>
      </c>
      <c r="G2472" s="1" t="s">
        <v>1005</v>
      </c>
      <c r="H2472" s="6" t="str">
        <f>IFERROR(__xludf.DUMMYFUNCTION("IF(REGEXMATCH(LOWER(G2472), ""^(\?)+\s*(missing)?\s*(\?)*$""), """", PROPER(SUBSTITUTE(SUBSTITUTE(G2472, ""?"", """"), ""*"", """")))"),"Set Of Salt And Pepper Toadstools")</f>
        <v>Set Of Salt And Pepper Toadstools</v>
      </c>
      <c r="I2472" s="3">
        <v>12.0</v>
      </c>
      <c r="J2472" s="7">
        <v>40599.36388888889</v>
      </c>
      <c r="K2472" s="8" t="str">
        <f t="shared" si="4"/>
        <v>2011-02</v>
      </c>
      <c r="L2472" s="5">
        <v>1.25</v>
      </c>
      <c r="M2472" s="3">
        <v>12633.0</v>
      </c>
      <c r="N2472" s="1" t="str">
        <f t="shared" si="5"/>
        <v>Registered</v>
      </c>
      <c r="O2472" s="1" t="s">
        <v>1288</v>
      </c>
      <c r="P2472" s="9" t="str">
        <f t="shared" si="6"/>
        <v>International</v>
      </c>
      <c r="Q2472" s="8">
        <f t="shared" si="7"/>
        <v>15</v>
      </c>
    </row>
    <row r="2473">
      <c r="A2473" s="1">
        <v>544933.0</v>
      </c>
      <c r="B2473" s="1" t="str">
        <f t="shared" si="1"/>
        <v>544933</v>
      </c>
      <c r="C2473" s="1" t="str">
        <f t="shared" si="2"/>
        <v>Sale</v>
      </c>
      <c r="D2473" s="1" t="s">
        <v>68</v>
      </c>
      <c r="E2473" s="1" t="str">
        <f>IFERROR(__xludf.DUMMYFUNCTION("IF(LEN(D2473)&gt;4, IFERROR(REGEXEXTRACT(TO_TEXT(D2473),""\d+""),""""),"""")"),"")</f>
        <v/>
      </c>
      <c r="F2473" s="6" t="str">
        <f t="shared" si="3"/>
        <v>Shipping</v>
      </c>
      <c r="G2473" s="1" t="s">
        <v>69</v>
      </c>
      <c r="H2473" s="6" t="str">
        <f>IFERROR(__xludf.DUMMYFUNCTION("IF(REGEXMATCH(LOWER(G2473), ""^(\?)+\s*(missing)?\s*(\?)*$""), """", PROPER(SUBSTITUTE(SUBSTITUTE(G2473, ""?"", """"), ""*"", """")))"),"Postage")</f>
        <v>Postage</v>
      </c>
      <c r="I2473" s="3">
        <v>6.0</v>
      </c>
      <c r="J2473" s="7">
        <v>40599.36388888889</v>
      </c>
      <c r="K2473" s="8" t="str">
        <f t="shared" si="4"/>
        <v>2011-02</v>
      </c>
      <c r="L2473" s="5">
        <v>18.0</v>
      </c>
      <c r="M2473" s="3">
        <v>12633.0</v>
      </c>
      <c r="N2473" s="1" t="str">
        <f t="shared" si="5"/>
        <v>Registered</v>
      </c>
      <c r="O2473" s="1" t="s">
        <v>1288</v>
      </c>
      <c r="P2473" s="9" t="str">
        <f t="shared" si="6"/>
        <v>International</v>
      </c>
      <c r="Q2473" s="8">
        <f t="shared" si="7"/>
        <v>108</v>
      </c>
    </row>
    <row r="2474">
      <c r="A2474" s="1">
        <v>544934.0</v>
      </c>
      <c r="B2474" s="1" t="str">
        <f t="shared" si="1"/>
        <v>544934</v>
      </c>
      <c r="C2474" s="1" t="str">
        <f t="shared" si="2"/>
        <v>Sale</v>
      </c>
      <c r="D2474" s="1">
        <v>21890.0</v>
      </c>
      <c r="E2474" s="1" t="str">
        <f>IFERROR(__xludf.DUMMYFUNCTION("IF(LEN(D2474)&gt;4, IFERROR(REGEXEXTRACT(TO_TEXT(D2474),""\d+""),""""),"""")"),"21890")</f>
        <v>21890</v>
      </c>
      <c r="F2474" s="6" t="str">
        <f t="shared" si="3"/>
        <v>Product</v>
      </c>
      <c r="G2474" s="1" t="s">
        <v>511</v>
      </c>
      <c r="H2474" s="6" t="str">
        <f>IFERROR(__xludf.DUMMYFUNCTION("IF(REGEXMATCH(LOWER(G2474), ""^(\?)+\s*(missing)?\s*(\?)*$""), """", PROPER(SUBSTITUTE(SUBSTITUTE(G2474, ""?"", """"), ""*"", """")))"),"S/6 Wooden Skittles In Cotton Bag")</f>
        <v>S/6 Wooden Skittles In Cotton Bag</v>
      </c>
      <c r="I2474" s="3">
        <v>6.0</v>
      </c>
      <c r="J2474" s="7">
        <v>40599.37569444445</v>
      </c>
      <c r="K2474" s="8" t="str">
        <f t="shared" si="4"/>
        <v>2011-02</v>
      </c>
      <c r="L2474" s="5">
        <v>2.95</v>
      </c>
      <c r="M2474" s="3">
        <v>13345.0</v>
      </c>
      <c r="N2474" s="1" t="str">
        <f t="shared" si="5"/>
        <v>Registered</v>
      </c>
      <c r="O2474" s="1" t="s">
        <v>19</v>
      </c>
      <c r="P2474" s="9" t="str">
        <f t="shared" si="6"/>
        <v>UK</v>
      </c>
      <c r="Q2474" s="8">
        <f t="shared" si="7"/>
        <v>17.7</v>
      </c>
    </row>
    <row r="2475">
      <c r="A2475" s="1">
        <v>544934.0</v>
      </c>
      <c r="B2475" s="1" t="str">
        <f t="shared" si="1"/>
        <v>544934</v>
      </c>
      <c r="C2475" s="1" t="str">
        <f t="shared" si="2"/>
        <v>Sale</v>
      </c>
      <c r="D2475" s="1">
        <v>22620.0</v>
      </c>
      <c r="E2475" s="1" t="str">
        <f>IFERROR(__xludf.DUMMYFUNCTION("IF(LEN(D2475)&gt;4, IFERROR(REGEXEXTRACT(TO_TEXT(D2475),""\d+""),""""),"""")"),"22620")</f>
        <v>22620</v>
      </c>
      <c r="F2475" s="6" t="str">
        <f t="shared" si="3"/>
        <v>Product</v>
      </c>
      <c r="G2475" s="1" t="s">
        <v>388</v>
      </c>
      <c r="H2475" s="6" t="str">
        <f>IFERROR(__xludf.DUMMYFUNCTION("IF(REGEXMATCH(LOWER(G2475), ""^(\?)+\s*(missing)?\s*(\?)*$""), """", PROPER(SUBSTITUTE(SUBSTITUTE(G2475, ""?"", """"), ""*"", """")))"),"4 Traditional Spinning Tops")</f>
        <v>4 Traditional Spinning Tops</v>
      </c>
      <c r="I2475" s="3">
        <v>12.0</v>
      </c>
      <c r="J2475" s="7">
        <v>40599.37569444445</v>
      </c>
      <c r="K2475" s="8" t="str">
        <f t="shared" si="4"/>
        <v>2011-02</v>
      </c>
      <c r="L2475" s="5">
        <v>1.25</v>
      </c>
      <c r="M2475" s="3">
        <v>13345.0</v>
      </c>
      <c r="N2475" s="1" t="str">
        <f t="shared" si="5"/>
        <v>Registered</v>
      </c>
      <c r="O2475" s="1" t="s">
        <v>19</v>
      </c>
      <c r="P2475" s="9" t="str">
        <f t="shared" si="6"/>
        <v>UK</v>
      </c>
      <c r="Q2475" s="8">
        <f t="shared" si="7"/>
        <v>15</v>
      </c>
    </row>
    <row r="2476">
      <c r="A2476" s="1">
        <v>544934.0</v>
      </c>
      <c r="B2476" s="1" t="str">
        <f t="shared" si="1"/>
        <v>544934</v>
      </c>
      <c r="C2476" s="1" t="str">
        <f t="shared" si="2"/>
        <v>Sale</v>
      </c>
      <c r="D2476" s="1">
        <v>22084.0</v>
      </c>
      <c r="E2476" s="1" t="str">
        <f>IFERROR(__xludf.DUMMYFUNCTION("IF(LEN(D2476)&gt;4, IFERROR(REGEXEXTRACT(TO_TEXT(D2476),""\d+""),""""),"""")"),"22084")</f>
        <v>22084</v>
      </c>
      <c r="F2476" s="6" t="str">
        <f t="shared" si="3"/>
        <v>Product</v>
      </c>
      <c r="G2476" s="1" t="s">
        <v>718</v>
      </c>
      <c r="H2476" s="6" t="str">
        <f>IFERROR(__xludf.DUMMYFUNCTION("IF(REGEXMATCH(LOWER(G2476), ""^(\?)+\s*(missing)?\s*(\?)*$""), """", PROPER(SUBSTITUTE(SUBSTITUTE(G2476, ""?"", """"), ""*"", """")))"),"Paper Chain Kit Empire")</f>
        <v>Paper Chain Kit Empire</v>
      </c>
      <c r="I2476" s="3">
        <v>6.0</v>
      </c>
      <c r="J2476" s="7">
        <v>40599.37569444445</v>
      </c>
      <c r="K2476" s="8" t="str">
        <f t="shared" si="4"/>
        <v>2011-02</v>
      </c>
      <c r="L2476" s="5">
        <v>2.95</v>
      </c>
      <c r="M2476" s="3">
        <v>13345.0</v>
      </c>
      <c r="N2476" s="1" t="str">
        <f t="shared" si="5"/>
        <v>Registered</v>
      </c>
      <c r="O2476" s="1" t="s">
        <v>19</v>
      </c>
      <c r="P2476" s="9" t="str">
        <f t="shared" si="6"/>
        <v>UK</v>
      </c>
      <c r="Q2476" s="8">
        <f t="shared" si="7"/>
        <v>17.7</v>
      </c>
    </row>
    <row r="2477">
      <c r="A2477" s="1">
        <v>544934.0</v>
      </c>
      <c r="B2477" s="1" t="str">
        <f t="shared" si="1"/>
        <v>544934</v>
      </c>
      <c r="C2477" s="1" t="str">
        <f t="shared" si="2"/>
        <v>Sale</v>
      </c>
      <c r="D2477" s="1">
        <v>22085.0</v>
      </c>
      <c r="E2477" s="1" t="str">
        <f>IFERROR(__xludf.DUMMYFUNCTION("IF(LEN(D2477)&gt;4, IFERROR(REGEXEXTRACT(TO_TEXT(D2477),""\d+""),""""),"""")"),"22085")</f>
        <v>22085</v>
      </c>
      <c r="F2477" s="6" t="str">
        <f t="shared" si="3"/>
        <v>Product</v>
      </c>
      <c r="G2477" s="1" t="s">
        <v>1290</v>
      </c>
      <c r="H2477" s="6" t="str">
        <f>IFERROR(__xludf.DUMMYFUNCTION("IF(REGEXMATCH(LOWER(G2477), ""^(\?)+\s*(missing)?\s*(\?)*$""), """", PROPER(SUBSTITUTE(SUBSTITUTE(G2477, ""?"", """"), ""*"", """")))"),"Paper Chain Kit Skulls")</f>
        <v>Paper Chain Kit Skulls</v>
      </c>
      <c r="I2477" s="3">
        <v>6.0</v>
      </c>
      <c r="J2477" s="7">
        <v>40599.37569444445</v>
      </c>
      <c r="K2477" s="8" t="str">
        <f t="shared" si="4"/>
        <v>2011-02</v>
      </c>
      <c r="L2477" s="5">
        <v>2.95</v>
      </c>
      <c r="M2477" s="3">
        <v>13345.0</v>
      </c>
      <c r="N2477" s="1" t="str">
        <f t="shared" si="5"/>
        <v>Registered</v>
      </c>
      <c r="O2477" s="1" t="s">
        <v>19</v>
      </c>
      <c r="P2477" s="9" t="str">
        <f t="shared" si="6"/>
        <v>UK</v>
      </c>
      <c r="Q2477" s="8">
        <f t="shared" si="7"/>
        <v>17.7</v>
      </c>
    </row>
    <row r="2478">
      <c r="A2478" s="1">
        <v>544934.0</v>
      </c>
      <c r="B2478" s="1" t="str">
        <f t="shared" si="1"/>
        <v>544934</v>
      </c>
      <c r="C2478" s="1" t="str">
        <f t="shared" si="2"/>
        <v>Sale</v>
      </c>
      <c r="D2478" s="1" t="s">
        <v>1291</v>
      </c>
      <c r="E2478" s="1" t="str">
        <f>IFERROR(__xludf.DUMMYFUNCTION("IF(LEN(D2478)&gt;4, IFERROR(REGEXEXTRACT(TO_TEXT(D2478),""\d+""),""""),"""")"),"")</f>
        <v/>
      </c>
      <c r="F2478" s="6" t="str">
        <f t="shared" si="3"/>
        <v>Shipping</v>
      </c>
      <c r="G2478" s="1" t="s">
        <v>1292</v>
      </c>
      <c r="H2478" s="6" t="str">
        <f>IFERROR(__xludf.DUMMYFUNCTION("IF(REGEXMATCH(LOWER(G2478), ""^(\?)+\s*(missing)?\s*(\?)*$""), """", PROPER(SUBSTITUTE(SUBSTITUTE(G2478, ""?"", """"), ""*"", """")))"),"Carriage")</f>
        <v>Carriage</v>
      </c>
      <c r="I2478" s="3">
        <v>1.0</v>
      </c>
      <c r="J2478" s="7">
        <v>40599.37569444445</v>
      </c>
      <c r="K2478" s="8" t="str">
        <f t="shared" si="4"/>
        <v>2011-02</v>
      </c>
      <c r="L2478" s="5">
        <v>50.0</v>
      </c>
      <c r="M2478" s="3">
        <v>13345.0</v>
      </c>
      <c r="N2478" s="1" t="str">
        <f t="shared" si="5"/>
        <v>Registered</v>
      </c>
      <c r="O2478" s="1" t="s">
        <v>19</v>
      </c>
      <c r="P2478" s="9" t="str">
        <f t="shared" si="6"/>
        <v>UK</v>
      </c>
      <c r="Q2478" s="8">
        <f t="shared" si="7"/>
        <v>50</v>
      </c>
    </row>
    <row r="2479">
      <c r="A2479" s="1">
        <v>544934.0</v>
      </c>
      <c r="B2479" s="1" t="str">
        <f t="shared" si="1"/>
        <v>544934</v>
      </c>
      <c r="C2479" s="1" t="str">
        <f t="shared" si="2"/>
        <v>Sale</v>
      </c>
      <c r="D2479" s="1">
        <v>22083.0</v>
      </c>
      <c r="E2479" s="1" t="str">
        <f>IFERROR(__xludf.DUMMYFUNCTION("IF(LEN(D2479)&gt;4, IFERROR(REGEXEXTRACT(TO_TEXT(D2479),""\d+""),""""),"""")"),"22083")</f>
        <v>22083</v>
      </c>
      <c r="F2479" s="6" t="str">
        <f t="shared" si="3"/>
        <v>Product</v>
      </c>
      <c r="G2479" s="1" t="s">
        <v>128</v>
      </c>
      <c r="H2479" s="6" t="str">
        <f>IFERROR(__xludf.DUMMYFUNCTION("IF(REGEXMATCH(LOWER(G2479), ""^(\?)+\s*(missing)?\s*(\?)*$""), """", PROPER(SUBSTITUTE(SUBSTITUTE(G2479, ""?"", """"), ""*"", """")))"),"Paper Chain Kit Retrospot")</f>
        <v>Paper Chain Kit Retrospot</v>
      </c>
      <c r="I2479" s="3">
        <v>6.0</v>
      </c>
      <c r="J2479" s="7">
        <v>40599.37569444445</v>
      </c>
      <c r="K2479" s="8" t="str">
        <f t="shared" si="4"/>
        <v>2011-02</v>
      </c>
      <c r="L2479" s="5">
        <v>2.95</v>
      </c>
      <c r="M2479" s="3">
        <v>13345.0</v>
      </c>
      <c r="N2479" s="1" t="str">
        <f t="shared" si="5"/>
        <v>Registered</v>
      </c>
      <c r="O2479" s="1" t="s">
        <v>19</v>
      </c>
      <c r="P2479" s="9" t="str">
        <f t="shared" si="6"/>
        <v>UK</v>
      </c>
      <c r="Q2479" s="8">
        <f t="shared" si="7"/>
        <v>17.7</v>
      </c>
    </row>
    <row r="2480">
      <c r="A2480" s="1">
        <v>544934.0</v>
      </c>
      <c r="B2480" s="1" t="str">
        <f t="shared" si="1"/>
        <v>544934</v>
      </c>
      <c r="C2480" s="1" t="str">
        <f t="shared" si="2"/>
        <v>Sale</v>
      </c>
      <c r="D2480" s="1">
        <v>22933.0</v>
      </c>
      <c r="E2480" s="1" t="str">
        <f>IFERROR(__xludf.DUMMYFUNCTION("IF(LEN(D2480)&gt;4, IFERROR(REGEXEXTRACT(TO_TEXT(D2480),""\d+""),""""),"""")"),"22933")</f>
        <v>22933</v>
      </c>
      <c r="F2480" s="6" t="str">
        <f t="shared" si="3"/>
        <v>Product</v>
      </c>
      <c r="G2480" s="1" t="s">
        <v>1039</v>
      </c>
      <c r="H2480" s="6" t="str">
        <f>IFERROR(__xludf.DUMMYFUNCTION("IF(REGEXMATCH(LOWER(G2480), ""^(\?)+\s*(missing)?\s*(\?)*$""), """", PROPER(SUBSTITUTE(SUBSTITUTE(G2480, ""?"", """"), ""*"", """")))"),"Baking Mould Easter Egg Milk Choc")</f>
        <v>Baking Mould Easter Egg Milk Choc</v>
      </c>
      <c r="I2480" s="3">
        <v>6.0</v>
      </c>
      <c r="J2480" s="7">
        <v>40599.37569444445</v>
      </c>
      <c r="K2480" s="8" t="str">
        <f t="shared" si="4"/>
        <v>2011-02</v>
      </c>
      <c r="L2480" s="5">
        <v>2.95</v>
      </c>
      <c r="M2480" s="3">
        <v>13345.0</v>
      </c>
      <c r="N2480" s="1" t="str">
        <f t="shared" si="5"/>
        <v>Registered</v>
      </c>
      <c r="O2480" s="1" t="s">
        <v>19</v>
      </c>
      <c r="P2480" s="9" t="str">
        <f t="shared" si="6"/>
        <v>UK</v>
      </c>
      <c r="Q2480" s="8">
        <f t="shared" si="7"/>
        <v>17.7</v>
      </c>
    </row>
    <row r="2481">
      <c r="A2481" s="1">
        <v>544934.0</v>
      </c>
      <c r="B2481" s="1" t="str">
        <f t="shared" si="1"/>
        <v>544934</v>
      </c>
      <c r="C2481" s="1" t="str">
        <f t="shared" si="2"/>
        <v>Sale</v>
      </c>
      <c r="D2481" s="1">
        <v>21931.0</v>
      </c>
      <c r="E2481" s="1" t="str">
        <f>IFERROR(__xludf.DUMMYFUNCTION("IF(LEN(D2481)&gt;4, IFERROR(REGEXEXTRACT(TO_TEXT(D2481),""\d+""),""""),"""")"),"21931")</f>
        <v>21931</v>
      </c>
      <c r="F2481" s="6" t="str">
        <f t="shared" si="3"/>
        <v>Product</v>
      </c>
      <c r="G2481" s="1" t="s">
        <v>107</v>
      </c>
      <c r="H2481" s="6" t="str">
        <f>IFERROR(__xludf.DUMMYFUNCTION("IF(REGEXMATCH(LOWER(G2481), ""^(\?)+\s*(missing)?\s*(\?)*$""), """", PROPER(SUBSTITUTE(SUBSTITUTE(G2481, ""?"", """"), ""*"", """")))"),"Jumbo Storage Bag Suki")</f>
        <v>Jumbo Storage Bag Suki</v>
      </c>
      <c r="I2481" s="3">
        <v>10.0</v>
      </c>
      <c r="J2481" s="7">
        <v>40599.37569444445</v>
      </c>
      <c r="K2481" s="8" t="str">
        <f t="shared" si="4"/>
        <v>2011-02</v>
      </c>
      <c r="L2481" s="5">
        <v>1.95</v>
      </c>
      <c r="M2481" s="3">
        <v>13345.0</v>
      </c>
      <c r="N2481" s="1" t="str">
        <f t="shared" si="5"/>
        <v>Registered</v>
      </c>
      <c r="O2481" s="1" t="s">
        <v>19</v>
      </c>
      <c r="P2481" s="9" t="str">
        <f t="shared" si="6"/>
        <v>UK</v>
      </c>
      <c r="Q2481" s="8">
        <f t="shared" si="7"/>
        <v>19.5</v>
      </c>
    </row>
    <row r="2482">
      <c r="A2482" s="1">
        <v>544934.0</v>
      </c>
      <c r="B2482" s="1" t="str">
        <f t="shared" si="1"/>
        <v>544934</v>
      </c>
      <c r="C2482" s="1" t="str">
        <f t="shared" si="2"/>
        <v>Sale</v>
      </c>
      <c r="D2482" s="1">
        <v>21930.0</v>
      </c>
      <c r="E2482" s="1" t="str">
        <f>IFERROR(__xludf.DUMMYFUNCTION("IF(LEN(D2482)&gt;4, IFERROR(REGEXEXTRACT(TO_TEXT(D2482),""\d+""),""""),"""")"),"21930")</f>
        <v>21930</v>
      </c>
      <c r="F2482" s="6" t="str">
        <f t="shared" si="3"/>
        <v>Product</v>
      </c>
      <c r="G2482" s="1" t="s">
        <v>805</v>
      </c>
      <c r="H2482" s="6" t="str">
        <f>IFERROR(__xludf.DUMMYFUNCTION("IF(REGEXMATCH(LOWER(G2482), ""^(\?)+\s*(missing)?\s*(\?)*$""), """", PROPER(SUBSTITUTE(SUBSTITUTE(G2482, ""?"", """"), ""*"", """")))"),"Jumbo Storage Bag Skulls")</f>
        <v>Jumbo Storage Bag Skulls</v>
      </c>
      <c r="I2482" s="3">
        <v>10.0</v>
      </c>
      <c r="J2482" s="7">
        <v>40599.37569444445</v>
      </c>
      <c r="K2482" s="8" t="str">
        <f t="shared" si="4"/>
        <v>2011-02</v>
      </c>
      <c r="L2482" s="5">
        <v>1.95</v>
      </c>
      <c r="M2482" s="3">
        <v>13345.0</v>
      </c>
      <c r="N2482" s="1" t="str">
        <f t="shared" si="5"/>
        <v>Registered</v>
      </c>
      <c r="O2482" s="1" t="s">
        <v>19</v>
      </c>
      <c r="P2482" s="9" t="str">
        <f t="shared" si="6"/>
        <v>UK</v>
      </c>
      <c r="Q2482" s="8">
        <f t="shared" si="7"/>
        <v>19.5</v>
      </c>
    </row>
    <row r="2483">
      <c r="A2483" s="1">
        <v>544934.0</v>
      </c>
      <c r="B2483" s="1" t="str">
        <f t="shared" si="1"/>
        <v>544934</v>
      </c>
      <c r="C2483" s="1" t="str">
        <f t="shared" si="2"/>
        <v>Sale</v>
      </c>
      <c r="D2483" s="1">
        <v>22663.0</v>
      </c>
      <c r="E2483" s="1" t="str">
        <f>IFERROR(__xludf.DUMMYFUNCTION("IF(LEN(D2483)&gt;4, IFERROR(REGEXEXTRACT(TO_TEXT(D2483),""\d+""),""""),"""")"),"22663")</f>
        <v>22663</v>
      </c>
      <c r="F2483" s="6" t="str">
        <f t="shared" si="3"/>
        <v>Product</v>
      </c>
      <c r="G2483" s="1" t="s">
        <v>175</v>
      </c>
      <c r="H2483" s="6" t="str">
        <f>IFERROR(__xludf.DUMMYFUNCTION("IF(REGEXMATCH(LOWER(G2483), ""^(\?)+\s*(missing)?\s*(\?)*$""), """", PROPER(SUBSTITUTE(SUBSTITUTE(G2483, ""?"", """"), ""*"", """")))"),"Jumbo Bag Dolly Girl Design")</f>
        <v>Jumbo Bag Dolly Girl Design</v>
      </c>
      <c r="I2483" s="3">
        <v>10.0</v>
      </c>
      <c r="J2483" s="7">
        <v>40599.37569444445</v>
      </c>
      <c r="K2483" s="8" t="str">
        <f t="shared" si="4"/>
        <v>2011-02</v>
      </c>
      <c r="L2483" s="5">
        <v>1.95</v>
      </c>
      <c r="M2483" s="3">
        <v>13345.0</v>
      </c>
      <c r="N2483" s="1" t="str">
        <f t="shared" si="5"/>
        <v>Registered</v>
      </c>
      <c r="O2483" s="1" t="s">
        <v>19</v>
      </c>
      <c r="P2483" s="9" t="str">
        <f t="shared" si="6"/>
        <v>UK</v>
      </c>
      <c r="Q2483" s="8">
        <f t="shared" si="7"/>
        <v>19.5</v>
      </c>
    </row>
    <row r="2484">
      <c r="A2484" s="1">
        <v>544934.0</v>
      </c>
      <c r="B2484" s="1" t="str">
        <f t="shared" si="1"/>
        <v>544934</v>
      </c>
      <c r="C2484" s="1" t="str">
        <f t="shared" si="2"/>
        <v>Sale</v>
      </c>
      <c r="D2484" s="1">
        <v>22634.0</v>
      </c>
      <c r="E2484" s="1" t="str">
        <f>IFERROR(__xludf.DUMMYFUNCTION("IF(LEN(D2484)&gt;4, IFERROR(REGEXEXTRACT(TO_TEXT(D2484),""\d+""),""""),"""")"),"22634")</f>
        <v>22634</v>
      </c>
      <c r="F2484" s="6" t="str">
        <f t="shared" si="3"/>
        <v>Product</v>
      </c>
      <c r="G2484" s="1" t="s">
        <v>752</v>
      </c>
      <c r="H2484" s="6" t="str">
        <f>IFERROR(__xludf.DUMMYFUNCTION("IF(REGEXMATCH(LOWER(G2484), ""^(\?)+\s*(missing)?\s*(\?)*$""), """", PROPER(SUBSTITUTE(SUBSTITUTE(G2484, ""?"", """"), ""*"", """")))"),"Childs Breakfast Set Spaceboy")</f>
        <v>Childs Breakfast Set Spaceboy</v>
      </c>
      <c r="I2484" s="3">
        <v>2.0</v>
      </c>
      <c r="J2484" s="7">
        <v>40599.37569444445</v>
      </c>
      <c r="K2484" s="8" t="str">
        <f t="shared" si="4"/>
        <v>2011-02</v>
      </c>
      <c r="L2484" s="5">
        <v>9.95</v>
      </c>
      <c r="M2484" s="3">
        <v>13345.0</v>
      </c>
      <c r="N2484" s="1" t="str">
        <f t="shared" si="5"/>
        <v>Registered</v>
      </c>
      <c r="O2484" s="1" t="s">
        <v>19</v>
      </c>
      <c r="P2484" s="9" t="str">
        <f t="shared" si="6"/>
        <v>UK</v>
      </c>
      <c r="Q2484" s="8">
        <f t="shared" si="7"/>
        <v>19.9</v>
      </c>
    </row>
    <row r="2485">
      <c r="A2485" s="1">
        <v>544934.0</v>
      </c>
      <c r="B2485" s="1" t="str">
        <f t="shared" si="1"/>
        <v>544934</v>
      </c>
      <c r="C2485" s="1" t="str">
        <f t="shared" si="2"/>
        <v>Sale</v>
      </c>
      <c r="D2485" s="1">
        <v>22635.0</v>
      </c>
      <c r="E2485" s="1" t="str">
        <f>IFERROR(__xludf.DUMMYFUNCTION("IF(LEN(D2485)&gt;4, IFERROR(REGEXEXTRACT(TO_TEXT(D2485),""\d+""),""""),"""")"),"22635")</f>
        <v>22635</v>
      </c>
      <c r="F2485" s="6" t="str">
        <f t="shared" si="3"/>
        <v>Product</v>
      </c>
      <c r="G2485" s="1" t="s">
        <v>1293</v>
      </c>
      <c r="H2485" s="6" t="str">
        <f>IFERROR(__xludf.DUMMYFUNCTION("IF(REGEXMATCH(LOWER(G2485), ""^(\?)+\s*(missing)?\s*(\?)*$""), """", PROPER(SUBSTITUTE(SUBSTITUTE(G2485, ""?"", """"), ""*"", """")))"),"Childs Breakfast Set Dolly Girl")</f>
        <v>Childs Breakfast Set Dolly Girl</v>
      </c>
      <c r="I2485" s="3">
        <v>2.0</v>
      </c>
      <c r="J2485" s="7">
        <v>40599.37569444445</v>
      </c>
      <c r="K2485" s="8" t="str">
        <f t="shared" si="4"/>
        <v>2011-02</v>
      </c>
      <c r="L2485" s="5">
        <v>9.95</v>
      </c>
      <c r="M2485" s="3">
        <v>13345.0</v>
      </c>
      <c r="N2485" s="1" t="str">
        <f t="shared" si="5"/>
        <v>Registered</v>
      </c>
      <c r="O2485" s="1" t="s">
        <v>19</v>
      </c>
      <c r="P2485" s="9" t="str">
        <f t="shared" si="6"/>
        <v>UK</v>
      </c>
      <c r="Q2485" s="8">
        <f t="shared" si="7"/>
        <v>19.9</v>
      </c>
    </row>
    <row r="2486">
      <c r="A2486" s="1">
        <v>544934.0</v>
      </c>
      <c r="B2486" s="1" t="str">
        <f t="shared" si="1"/>
        <v>544934</v>
      </c>
      <c r="C2486" s="1" t="str">
        <f t="shared" si="2"/>
        <v>Sale</v>
      </c>
      <c r="D2486" s="1">
        <v>22472.0</v>
      </c>
      <c r="E2486" s="1" t="str">
        <f>IFERROR(__xludf.DUMMYFUNCTION("IF(LEN(D2486)&gt;4, IFERROR(REGEXEXTRACT(TO_TEXT(D2486),""\d+""),""""),"""")"),"22472")</f>
        <v>22472</v>
      </c>
      <c r="F2486" s="6" t="str">
        <f t="shared" si="3"/>
        <v>Product</v>
      </c>
      <c r="G2486" s="1" t="s">
        <v>497</v>
      </c>
      <c r="H2486" s="6" t="str">
        <f>IFERROR(__xludf.DUMMYFUNCTION("IF(REGEXMATCH(LOWER(G2486), ""^(\?)+\s*(missing)?\s*(\?)*$""), """", PROPER(SUBSTITUTE(SUBSTITUTE(G2486, ""?"", """"), ""*"", """")))"),"Tv Dinner Tray Dolly Girl")</f>
        <v>Tv Dinner Tray Dolly Girl</v>
      </c>
      <c r="I2486" s="3">
        <v>3.0</v>
      </c>
      <c r="J2486" s="7">
        <v>40599.37569444445</v>
      </c>
      <c r="K2486" s="8" t="str">
        <f t="shared" si="4"/>
        <v>2011-02</v>
      </c>
      <c r="L2486" s="5">
        <v>4.95</v>
      </c>
      <c r="M2486" s="3">
        <v>13345.0</v>
      </c>
      <c r="N2486" s="1" t="str">
        <f t="shared" si="5"/>
        <v>Registered</v>
      </c>
      <c r="O2486" s="1" t="s">
        <v>19</v>
      </c>
      <c r="P2486" s="9" t="str">
        <f t="shared" si="6"/>
        <v>UK</v>
      </c>
      <c r="Q2486" s="8">
        <f t="shared" si="7"/>
        <v>14.85</v>
      </c>
    </row>
    <row r="2487">
      <c r="A2487" s="1">
        <v>544934.0</v>
      </c>
      <c r="B2487" s="1" t="str">
        <f t="shared" si="1"/>
        <v>544934</v>
      </c>
      <c r="C2487" s="1" t="str">
        <f t="shared" si="2"/>
        <v>Sale</v>
      </c>
      <c r="D2487" s="1">
        <v>22474.0</v>
      </c>
      <c r="E2487" s="1" t="str">
        <f>IFERROR(__xludf.DUMMYFUNCTION("IF(LEN(D2487)&gt;4, IFERROR(REGEXEXTRACT(TO_TEXT(D2487),""\d+""),""""),"""")"),"22474")</f>
        <v>22474</v>
      </c>
      <c r="F2487" s="6" t="str">
        <f t="shared" si="3"/>
        <v>Product</v>
      </c>
      <c r="G2487" s="1" t="s">
        <v>1294</v>
      </c>
      <c r="H2487" s="6" t="str">
        <f>IFERROR(__xludf.DUMMYFUNCTION("IF(REGEXMATCH(LOWER(G2487), ""^(\?)+\s*(missing)?\s*(\?)*$""), """", PROPER(SUBSTITUTE(SUBSTITUTE(G2487, ""?"", """"), ""*"", """")))"),"Spaceboy Tv Dinner Tray")</f>
        <v>Spaceboy Tv Dinner Tray</v>
      </c>
      <c r="I2487" s="3">
        <v>3.0</v>
      </c>
      <c r="J2487" s="7">
        <v>40599.37569444445</v>
      </c>
      <c r="K2487" s="8" t="str">
        <f t="shared" si="4"/>
        <v>2011-02</v>
      </c>
      <c r="L2487" s="5">
        <v>4.95</v>
      </c>
      <c r="M2487" s="3">
        <v>13345.0</v>
      </c>
      <c r="N2487" s="1" t="str">
        <f t="shared" si="5"/>
        <v>Registered</v>
      </c>
      <c r="O2487" s="1" t="s">
        <v>19</v>
      </c>
      <c r="P2487" s="9" t="str">
        <f t="shared" si="6"/>
        <v>UK</v>
      </c>
      <c r="Q2487" s="8">
        <f t="shared" si="7"/>
        <v>14.85</v>
      </c>
    </row>
    <row r="2488">
      <c r="A2488" s="1">
        <v>544934.0</v>
      </c>
      <c r="B2488" s="1" t="str">
        <f t="shared" si="1"/>
        <v>544934</v>
      </c>
      <c r="C2488" s="1" t="str">
        <f t="shared" si="2"/>
        <v>Sale</v>
      </c>
      <c r="D2488" s="1">
        <v>22382.0</v>
      </c>
      <c r="E2488" s="1" t="str">
        <f>IFERROR(__xludf.DUMMYFUNCTION("IF(LEN(D2488)&gt;4, IFERROR(REGEXEXTRACT(TO_TEXT(D2488),""\d+""),""""),"""")"),"22382")</f>
        <v>22382</v>
      </c>
      <c r="F2488" s="6" t="str">
        <f t="shared" si="3"/>
        <v>Product</v>
      </c>
      <c r="G2488" s="1" t="s">
        <v>320</v>
      </c>
      <c r="H2488" s="6" t="str">
        <f>IFERROR(__xludf.DUMMYFUNCTION("IF(REGEXMATCH(LOWER(G2488), ""^(\?)+\s*(missing)?\s*(\?)*$""), """", PROPER(SUBSTITUTE(SUBSTITUTE(G2488, ""?"", """"), ""*"", """")))"),"Lunch Bag Spaceboy Design")</f>
        <v>Lunch Bag Spaceboy Design</v>
      </c>
      <c r="I2488" s="3">
        <v>10.0</v>
      </c>
      <c r="J2488" s="7">
        <v>40599.37569444445</v>
      </c>
      <c r="K2488" s="8" t="str">
        <f t="shared" si="4"/>
        <v>2011-02</v>
      </c>
      <c r="L2488" s="5">
        <v>1.65</v>
      </c>
      <c r="M2488" s="3">
        <v>13345.0</v>
      </c>
      <c r="N2488" s="1" t="str">
        <f t="shared" si="5"/>
        <v>Registered</v>
      </c>
      <c r="O2488" s="1" t="s">
        <v>19</v>
      </c>
      <c r="P2488" s="9" t="str">
        <f t="shared" si="6"/>
        <v>UK</v>
      </c>
      <c r="Q2488" s="8">
        <f t="shared" si="7"/>
        <v>16.5</v>
      </c>
    </row>
    <row r="2489">
      <c r="A2489" s="1">
        <v>544934.0</v>
      </c>
      <c r="B2489" s="1" t="str">
        <f t="shared" si="1"/>
        <v>544934</v>
      </c>
      <c r="C2489" s="1" t="str">
        <f t="shared" si="2"/>
        <v>Sale</v>
      </c>
      <c r="D2489" s="1">
        <v>22662.0</v>
      </c>
      <c r="E2489" s="1" t="str">
        <f>IFERROR(__xludf.DUMMYFUNCTION("IF(LEN(D2489)&gt;4, IFERROR(REGEXEXTRACT(TO_TEXT(D2489),""\d+""),""""),"""")"),"22662")</f>
        <v>22662</v>
      </c>
      <c r="F2489" s="6" t="str">
        <f t="shared" si="3"/>
        <v>Product</v>
      </c>
      <c r="G2489" s="1" t="s">
        <v>179</v>
      </c>
      <c r="H2489" s="6" t="str">
        <f>IFERROR(__xludf.DUMMYFUNCTION("IF(REGEXMATCH(LOWER(G2489), ""^(\?)+\s*(missing)?\s*(\?)*$""), """", PROPER(SUBSTITUTE(SUBSTITUTE(G2489, ""?"", """"), ""*"", """")))"),"Lunch Bag Dolly Girl Design")</f>
        <v>Lunch Bag Dolly Girl Design</v>
      </c>
      <c r="I2489" s="3">
        <v>10.0</v>
      </c>
      <c r="J2489" s="7">
        <v>40599.37569444445</v>
      </c>
      <c r="K2489" s="8" t="str">
        <f t="shared" si="4"/>
        <v>2011-02</v>
      </c>
      <c r="L2489" s="5">
        <v>1.65</v>
      </c>
      <c r="M2489" s="3">
        <v>13345.0</v>
      </c>
      <c r="N2489" s="1" t="str">
        <f t="shared" si="5"/>
        <v>Registered</v>
      </c>
      <c r="O2489" s="1" t="s">
        <v>19</v>
      </c>
      <c r="P2489" s="9" t="str">
        <f t="shared" si="6"/>
        <v>UK</v>
      </c>
      <c r="Q2489" s="8">
        <f t="shared" si="7"/>
        <v>16.5</v>
      </c>
    </row>
    <row r="2490">
      <c r="A2490" s="1">
        <v>544934.0</v>
      </c>
      <c r="B2490" s="1" t="str">
        <f t="shared" si="1"/>
        <v>544934</v>
      </c>
      <c r="C2490" s="1" t="str">
        <f t="shared" si="2"/>
        <v>Sale</v>
      </c>
      <c r="D2490" s="1">
        <v>22899.0</v>
      </c>
      <c r="E2490" s="1" t="str">
        <f>IFERROR(__xludf.DUMMYFUNCTION("IF(LEN(D2490)&gt;4, IFERROR(REGEXEXTRACT(TO_TEXT(D2490),""\d+""),""""),"""")"),"22899")</f>
        <v>22899</v>
      </c>
      <c r="F2490" s="6" t="str">
        <f t="shared" si="3"/>
        <v>Product</v>
      </c>
      <c r="G2490" s="1" t="s">
        <v>487</v>
      </c>
      <c r="H2490" s="6" t="str">
        <f>IFERROR(__xludf.DUMMYFUNCTION("IF(REGEXMATCH(LOWER(G2490), ""^(\?)+\s*(missing)?\s*(\?)*$""), """", PROPER(SUBSTITUTE(SUBSTITUTE(G2490, ""?"", """"), ""*"", """")))"),"Children'S Apron Dolly Girl")</f>
        <v>Children'S Apron Dolly Girl</v>
      </c>
      <c r="I2490" s="3">
        <v>6.0</v>
      </c>
      <c r="J2490" s="7">
        <v>40599.37569444445</v>
      </c>
      <c r="K2490" s="8" t="str">
        <f t="shared" si="4"/>
        <v>2011-02</v>
      </c>
      <c r="L2490" s="5">
        <v>2.1</v>
      </c>
      <c r="M2490" s="3">
        <v>13345.0</v>
      </c>
      <c r="N2490" s="1" t="str">
        <f t="shared" si="5"/>
        <v>Registered</v>
      </c>
      <c r="O2490" s="1" t="s">
        <v>19</v>
      </c>
      <c r="P2490" s="9" t="str">
        <f t="shared" si="6"/>
        <v>UK</v>
      </c>
      <c r="Q2490" s="8">
        <f t="shared" si="7"/>
        <v>12.6</v>
      </c>
    </row>
    <row r="2491">
      <c r="A2491" s="1">
        <v>544934.0</v>
      </c>
      <c r="B2491" s="1" t="str">
        <f t="shared" si="1"/>
        <v>544934</v>
      </c>
      <c r="C2491" s="1" t="str">
        <f t="shared" si="2"/>
        <v>Sale</v>
      </c>
      <c r="D2491" s="1">
        <v>22367.0</v>
      </c>
      <c r="E2491" s="1" t="str">
        <f>IFERROR(__xludf.DUMMYFUNCTION("IF(LEN(D2491)&gt;4, IFERROR(REGEXEXTRACT(TO_TEXT(D2491),""\d+""),""""),"""")"),"22367")</f>
        <v>22367</v>
      </c>
      <c r="F2491" s="6" t="str">
        <f t="shared" si="3"/>
        <v>Product</v>
      </c>
      <c r="G2491" s="1" t="s">
        <v>488</v>
      </c>
      <c r="H2491" s="6" t="str">
        <f>IFERROR(__xludf.DUMMYFUNCTION("IF(REGEXMATCH(LOWER(G2491), ""^(\?)+\s*(missing)?\s*(\?)*$""), """", PROPER(SUBSTITUTE(SUBSTITUTE(G2491, ""?"", """"), ""*"", """")))"),"Childrens Apron Spaceboy Design")</f>
        <v>Childrens Apron Spaceboy Design</v>
      </c>
      <c r="I2491" s="3">
        <v>8.0</v>
      </c>
      <c r="J2491" s="7">
        <v>40599.37569444445</v>
      </c>
      <c r="K2491" s="8" t="str">
        <f t="shared" si="4"/>
        <v>2011-02</v>
      </c>
      <c r="L2491" s="5">
        <v>1.95</v>
      </c>
      <c r="M2491" s="3">
        <v>13345.0</v>
      </c>
      <c r="N2491" s="1" t="str">
        <f t="shared" si="5"/>
        <v>Registered</v>
      </c>
      <c r="O2491" s="1" t="s">
        <v>19</v>
      </c>
      <c r="P2491" s="9" t="str">
        <f t="shared" si="6"/>
        <v>UK</v>
      </c>
      <c r="Q2491" s="8">
        <f t="shared" si="7"/>
        <v>15.6</v>
      </c>
    </row>
    <row r="2492">
      <c r="A2492" s="1">
        <v>544934.0</v>
      </c>
      <c r="B2492" s="1" t="str">
        <f t="shared" si="1"/>
        <v>544934</v>
      </c>
      <c r="C2492" s="1" t="str">
        <f t="shared" si="2"/>
        <v>Sale</v>
      </c>
      <c r="D2492" s="1">
        <v>22629.0</v>
      </c>
      <c r="E2492" s="1" t="str">
        <f>IFERROR(__xludf.DUMMYFUNCTION("IF(LEN(D2492)&gt;4, IFERROR(REGEXEXTRACT(TO_TEXT(D2492),""\d+""),""""),"""")"),"22629")</f>
        <v>22629</v>
      </c>
      <c r="F2492" s="6" t="str">
        <f t="shared" si="3"/>
        <v>Product</v>
      </c>
      <c r="G2492" s="1" t="s">
        <v>58</v>
      </c>
      <c r="H2492" s="6" t="str">
        <f>IFERROR(__xludf.DUMMYFUNCTION("IF(REGEXMATCH(LOWER(G2492), ""^(\?)+\s*(missing)?\s*(\?)*$""), """", PROPER(SUBSTITUTE(SUBSTITUTE(G2492, ""?"", """"), ""*"", """")))"),"Spaceboy Lunch Box")</f>
        <v>Spaceboy Lunch Box</v>
      </c>
      <c r="I2492" s="3">
        <v>12.0</v>
      </c>
      <c r="J2492" s="7">
        <v>40599.37569444445</v>
      </c>
      <c r="K2492" s="8" t="str">
        <f t="shared" si="4"/>
        <v>2011-02</v>
      </c>
      <c r="L2492" s="5">
        <v>1.95</v>
      </c>
      <c r="M2492" s="3">
        <v>13345.0</v>
      </c>
      <c r="N2492" s="1" t="str">
        <f t="shared" si="5"/>
        <v>Registered</v>
      </c>
      <c r="O2492" s="1" t="s">
        <v>19</v>
      </c>
      <c r="P2492" s="9" t="str">
        <f t="shared" si="6"/>
        <v>UK</v>
      </c>
      <c r="Q2492" s="8">
        <f t="shared" si="7"/>
        <v>23.4</v>
      </c>
    </row>
    <row r="2493">
      <c r="A2493" s="1">
        <v>544934.0</v>
      </c>
      <c r="B2493" s="1" t="str">
        <f t="shared" si="1"/>
        <v>544934</v>
      </c>
      <c r="C2493" s="1" t="str">
        <f t="shared" si="2"/>
        <v>Sale</v>
      </c>
      <c r="D2493" s="1">
        <v>22630.0</v>
      </c>
      <c r="E2493" s="1" t="str">
        <f>IFERROR(__xludf.DUMMYFUNCTION("IF(LEN(D2493)&gt;4, IFERROR(REGEXEXTRACT(TO_TEXT(D2493),""\d+""),""""),"""")"),"22630")</f>
        <v>22630</v>
      </c>
      <c r="F2493" s="6" t="str">
        <f t="shared" si="3"/>
        <v>Product</v>
      </c>
      <c r="G2493" s="1" t="s">
        <v>433</v>
      </c>
      <c r="H2493" s="6" t="str">
        <f>IFERROR(__xludf.DUMMYFUNCTION("IF(REGEXMATCH(LOWER(G2493), ""^(\?)+\s*(missing)?\s*(\?)*$""), """", PROPER(SUBSTITUTE(SUBSTITUTE(G2493, ""?"", """"), ""*"", """")))"),"Dolly Girl Lunch Box")</f>
        <v>Dolly Girl Lunch Box</v>
      </c>
      <c r="I2493" s="3">
        <v>12.0</v>
      </c>
      <c r="J2493" s="7">
        <v>40599.37569444445</v>
      </c>
      <c r="K2493" s="8" t="str">
        <f t="shared" si="4"/>
        <v>2011-02</v>
      </c>
      <c r="L2493" s="5">
        <v>1.95</v>
      </c>
      <c r="M2493" s="3">
        <v>13345.0</v>
      </c>
      <c r="N2493" s="1" t="str">
        <f t="shared" si="5"/>
        <v>Registered</v>
      </c>
      <c r="O2493" s="1" t="s">
        <v>19</v>
      </c>
      <c r="P2493" s="9" t="str">
        <f t="shared" si="6"/>
        <v>UK</v>
      </c>
      <c r="Q2493" s="8">
        <f t="shared" si="7"/>
        <v>23.4</v>
      </c>
    </row>
    <row r="2494">
      <c r="A2494" s="1">
        <v>544935.0</v>
      </c>
      <c r="B2494" s="1" t="str">
        <f t="shared" si="1"/>
        <v>544935</v>
      </c>
      <c r="C2494" s="1" t="str">
        <f t="shared" si="2"/>
        <v>Sale</v>
      </c>
      <c r="D2494" s="1">
        <v>22665.0</v>
      </c>
      <c r="E2494" s="1" t="str">
        <f>IFERROR(__xludf.DUMMYFUNCTION("IF(LEN(D2494)&gt;4, IFERROR(REGEXEXTRACT(TO_TEXT(D2494),""\d+""),""""),"""")"),"22665")</f>
        <v>22665</v>
      </c>
      <c r="F2494" s="6" t="str">
        <f t="shared" si="3"/>
        <v>Product</v>
      </c>
      <c r="G2494" s="1" t="s">
        <v>1295</v>
      </c>
      <c r="H2494" s="6" t="str">
        <f>IFERROR(__xludf.DUMMYFUNCTION("IF(REGEXMATCH(LOWER(G2494), ""^(\?)+\s*(missing)?\s*(\?)*$""), """", PROPER(SUBSTITUTE(SUBSTITUTE(G2494, ""?"", """"), ""*"", """")))"),"Recipe Box Blue Sketchbook Design")</f>
        <v>Recipe Box Blue Sketchbook Design</v>
      </c>
      <c r="I2494" s="3">
        <v>6.0</v>
      </c>
      <c r="J2494" s="7">
        <v>40599.38125</v>
      </c>
      <c r="K2494" s="8" t="str">
        <f t="shared" si="4"/>
        <v>2011-02</v>
      </c>
      <c r="L2494" s="5">
        <v>2.95</v>
      </c>
      <c r="M2494" s="3">
        <v>13870.0</v>
      </c>
      <c r="N2494" s="1" t="str">
        <f t="shared" si="5"/>
        <v>Registered</v>
      </c>
      <c r="O2494" s="1" t="s">
        <v>19</v>
      </c>
      <c r="P2494" s="9" t="str">
        <f t="shared" si="6"/>
        <v>UK</v>
      </c>
      <c r="Q2494" s="8">
        <f t="shared" si="7"/>
        <v>17.7</v>
      </c>
    </row>
    <row r="2495">
      <c r="A2495" s="1">
        <v>544935.0</v>
      </c>
      <c r="B2495" s="1" t="str">
        <f t="shared" si="1"/>
        <v>544935</v>
      </c>
      <c r="C2495" s="1" t="str">
        <f t="shared" si="2"/>
        <v>Sale</v>
      </c>
      <c r="D2495" s="1">
        <v>22905.0</v>
      </c>
      <c r="E2495" s="1" t="str">
        <f>IFERROR(__xludf.DUMMYFUNCTION("IF(LEN(D2495)&gt;4, IFERROR(REGEXEXTRACT(TO_TEXT(D2495),""\d+""),""""),"""")"),"22905")</f>
        <v>22905</v>
      </c>
      <c r="F2495" s="6" t="str">
        <f t="shared" si="3"/>
        <v>Product</v>
      </c>
      <c r="G2495" s="1" t="s">
        <v>677</v>
      </c>
      <c r="H2495" s="6" t="str">
        <f>IFERROR(__xludf.DUMMYFUNCTION("IF(REGEXMATCH(LOWER(G2495), ""^(\?)+\s*(missing)?\s*(\?)*$""), """", PROPER(SUBSTITUTE(SUBSTITUTE(G2495, ""?"", """"), ""*"", """")))"),"Calendar In Season Design")</f>
        <v>Calendar In Season Design</v>
      </c>
      <c r="I2495" s="3">
        <v>6.0</v>
      </c>
      <c r="J2495" s="7">
        <v>40599.38125</v>
      </c>
      <c r="K2495" s="8" t="str">
        <f t="shared" si="4"/>
        <v>2011-02</v>
      </c>
      <c r="L2495" s="5">
        <v>2.95</v>
      </c>
      <c r="M2495" s="3">
        <v>13870.0</v>
      </c>
      <c r="N2495" s="1" t="str">
        <f t="shared" si="5"/>
        <v>Registered</v>
      </c>
      <c r="O2495" s="1" t="s">
        <v>19</v>
      </c>
      <c r="P2495" s="9" t="str">
        <f t="shared" si="6"/>
        <v>UK</v>
      </c>
      <c r="Q2495" s="8">
        <f t="shared" si="7"/>
        <v>17.7</v>
      </c>
    </row>
    <row r="2496">
      <c r="A2496" s="1">
        <v>544935.0</v>
      </c>
      <c r="B2496" s="1" t="str">
        <f t="shared" si="1"/>
        <v>544935</v>
      </c>
      <c r="C2496" s="1" t="str">
        <f t="shared" si="2"/>
        <v>Sale</v>
      </c>
      <c r="D2496" s="1">
        <v>22721.0</v>
      </c>
      <c r="E2496" s="1" t="str">
        <f>IFERROR(__xludf.DUMMYFUNCTION("IF(LEN(D2496)&gt;4, IFERROR(REGEXEXTRACT(TO_TEXT(D2496),""\d+""),""""),"""")"),"22721")</f>
        <v>22721</v>
      </c>
      <c r="F2496" s="6" t="str">
        <f t="shared" si="3"/>
        <v>Product</v>
      </c>
      <c r="G2496" s="1" t="s">
        <v>1296</v>
      </c>
      <c r="H2496" s="6" t="str">
        <f>IFERROR(__xludf.DUMMYFUNCTION("IF(REGEXMATCH(LOWER(G2496), ""^(\?)+\s*(missing)?\s*(\?)*$""), """", PROPER(SUBSTITUTE(SUBSTITUTE(G2496, ""?"", """"), ""*"", """")))"),"Set Of 3 Cake Tins Sketchbook")</f>
        <v>Set Of 3 Cake Tins Sketchbook</v>
      </c>
      <c r="I2496" s="3">
        <v>3.0</v>
      </c>
      <c r="J2496" s="7">
        <v>40599.38125</v>
      </c>
      <c r="K2496" s="8" t="str">
        <f t="shared" si="4"/>
        <v>2011-02</v>
      </c>
      <c r="L2496" s="5">
        <v>4.95</v>
      </c>
      <c r="M2496" s="3">
        <v>13870.0</v>
      </c>
      <c r="N2496" s="1" t="str">
        <f t="shared" si="5"/>
        <v>Registered</v>
      </c>
      <c r="O2496" s="1" t="s">
        <v>19</v>
      </c>
      <c r="P2496" s="9" t="str">
        <f t="shared" si="6"/>
        <v>UK</v>
      </c>
      <c r="Q2496" s="8">
        <f t="shared" si="7"/>
        <v>14.85</v>
      </c>
    </row>
    <row r="2497">
      <c r="A2497" s="1">
        <v>544935.0</v>
      </c>
      <c r="B2497" s="1" t="str">
        <f t="shared" si="1"/>
        <v>544935</v>
      </c>
      <c r="C2497" s="1" t="str">
        <f t="shared" si="2"/>
        <v>Sale</v>
      </c>
      <c r="D2497" s="1">
        <v>22723.0</v>
      </c>
      <c r="E2497" s="1" t="str">
        <f>IFERROR(__xludf.DUMMYFUNCTION("IF(LEN(D2497)&gt;4, IFERROR(REGEXEXTRACT(TO_TEXT(D2497),""\d+""),""""),"""")"),"22723")</f>
        <v>22723</v>
      </c>
      <c r="F2497" s="6" t="str">
        <f t="shared" si="3"/>
        <v>Product</v>
      </c>
      <c r="G2497" s="1" t="s">
        <v>1200</v>
      </c>
      <c r="H2497" s="6" t="str">
        <f>IFERROR(__xludf.DUMMYFUNCTION("IF(REGEXMATCH(LOWER(G2497), ""^(\?)+\s*(missing)?\s*(\?)*$""), """", PROPER(SUBSTITUTE(SUBSTITUTE(G2497, ""?"", """"), ""*"", """")))"),"Set Of 6 Herb Tins Sketchbook")</f>
        <v>Set Of 6 Herb Tins Sketchbook</v>
      </c>
      <c r="I2497" s="3">
        <v>4.0</v>
      </c>
      <c r="J2497" s="7">
        <v>40599.38125</v>
      </c>
      <c r="K2497" s="8" t="str">
        <f t="shared" si="4"/>
        <v>2011-02</v>
      </c>
      <c r="L2497" s="5">
        <v>3.95</v>
      </c>
      <c r="M2497" s="3">
        <v>13870.0</v>
      </c>
      <c r="N2497" s="1" t="str">
        <f t="shared" si="5"/>
        <v>Registered</v>
      </c>
      <c r="O2497" s="1" t="s">
        <v>19</v>
      </c>
      <c r="P2497" s="9" t="str">
        <f t="shared" si="6"/>
        <v>UK</v>
      </c>
      <c r="Q2497" s="8">
        <f t="shared" si="7"/>
        <v>15.8</v>
      </c>
    </row>
    <row r="2498">
      <c r="A2498" s="1">
        <v>544935.0</v>
      </c>
      <c r="B2498" s="1" t="str">
        <f t="shared" si="1"/>
        <v>544935</v>
      </c>
      <c r="C2498" s="1" t="str">
        <f t="shared" si="2"/>
        <v>Sale</v>
      </c>
      <c r="D2498" s="1">
        <v>22722.0</v>
      </c>
      <c r="E2498" s="1" t="str">
        <f>IFERROR(__xludf.DUMMYFUNCTION("IF(LEN(D2498)&gt;4, IFERROR(REGEXEXTRACT(TO_TEXT(D2498),""\d+""),""""),"""")"),"22722")</f>
        <v>22722</v>
      </c>
      <c r="F2498" s="6" t="str">
        <f t="shared" si="3"/>
        <v>Product</v>
      </c>
      <c r="G2498" s="1" t="s">
        <v>686</v>
      </c>
      <c r="H2498" s="6" t="str">
        <f>IFERROR(__xludf.DUMMYFUNCTION("IF(REGEXMATCH(LOWER(G2498), ""^(\?)+\s*(missing)?\s*(\?)*$""), """", PROPER(SUBSTITUTE(SUBSTITUTE(G2498, ""?"", """"), ""*"", """")))"),"Set Of 6 Spice Tins Pantry Design")</f>
        <v>Set Of 6 Spice Tins Pantry Design</v>
      </c>
      <c r="I2498" s="3">
        <v>4.0</v>
      </c>
      <c r="J2498" s="7">
        <v>40599.38125</v>
      </c>
      <c r="K2498" s="8" t="str">
        <f t="shared" si="4"/>
        <v>2011-02</v>
      </c>
      <c r="L2498" s="5">
        <v>3.95</v>
      </c>
      <c r="M2498" s="3">
        <v>13870.0</v>
      </c>
      <c r="N2498" s="1" t="str">
        <f t="shared" si="5"/>
        <v>Registered</v>
      </c>
      <c r="O2498" s="1" t="s">
        <v>19</v>
      </c>
      <c r="P2498" s="9" t="str">
        <f t="shared" si="6"/>
        <v>UK</v>
      </c>
      <c r="Q2498" s="8">
        <f t="shared" si="7"/>
        <v>15.8</v>
      </c>
    </row>
    <row r="2499">
      <c r="A2499" s="1">
        <v>544935.0</v>
      </c>
      <c r="B2499" s="1" t="str">
        <f t="shared" si="1"/>
        <v>544935</v>
      </c>
      <c r="C2499" s="1" t="str">
        <f t="shared" si="2"/>
        <v>Sale</v>
      </c>
      <c r="D2499" s="1">
        <v>22666.0</v>
      </c>
      <c r="E2499" s="1" t="str">
        <f>IFERROR(__xludf.DUMMYFUNCTION("IF(LEN(D2499)&gt;4, IFERROR(REGEXEXTRACT(TO_TEXT(D2499),""\d+""),""""),"""")"),"22666")</f>
        <v>22666</v>
      </c>
      <c r="F2499" s="6" t="str">
        <f t="shared" si="3"/>
        <v>Product</v>
      </c>
      <c r="G2499" s="1" t="s">
        <v>781</v>
      </c>
      <c r="H2499" s="6" t="str">
        <f>IFERROR(__xludf.DUMMYFUNCTION("IF(REGEXMATCH(LOWER(G2499), ""^(\?)+\s*(missing)?\s*(\?)*$""), """", PROPER(SUBSTITUTE(SUBSTITUTE(G2499, ""?"", """"), ""*"", """")))"),"Recipe Box Pantry Yellow Design")</f>
        <v>Recipe Box Pantry Yellow Design</v>
      </c>
      <c r="I2499" s="3">
        <v>6.0</v>
      </c>
      <c r="J2499" s="7">
        <v>40599.38125</v>
      </c>
      <c r="K2499" s="8" t="str">
        <f t="shared" si="4"/>
        <v>2011-02</v>
      </c>
      <c r="L2499" s="5">
        <v>2.95</v>
      </c>
      <c r="M2499" s="3">
        <v>13870.0</v>
      </c>
      <c r="N2499" s="1" t="str">
        <f t="shared" si="5"/>
        <v>Registered</v>
      </c>
      <c r="O2499" s="1" t="s">
        <v>19</v>
      </c>
      <c r="P2499" s="9" t="str">
        <f t="shared" si="6"/>
        <v>UK</v>
      </c>
      <c r="Q2499" s="8">
        <f t="shared" si="7"/>
        <v>17.7</v>
      </c>
    </row>
    <row r="2500">
      <c r="A2500" s="1">
        <v>544935.0</v>
      </c>
      <c r="B2500" s="1" t="str">
        <f t="shared" si="1"/>
        <v>544935</v>
      </c>
      <c r="C2500" s="1" t="str">
        <f t="shared" si="2"/>
        <v>Sale</v>
      </c>
      <c r="D2500" s="1">
        <v>22302.0</v>
      </c>
      <c r="E2500" s="1" t="str">
        <f>IFERROR(__xludf.DUMMYFUNCTION("IF(LEN(D2500)&gt;4, IFERROR(REGEXEXTRACT(TO_TEXT(D2500),""\d+""),""""),"""")"),"22302")</f>
        <v>22302</v>
      </c>
      <c r="F2500" s="6" t="str">
        <f t="shared" si="3"/>
        <v>Product</v>
      </c>
      <c r="G2500" s="1" t="s">
        <v>820</v>
      </c>
      <c r="H2500" s="6" t="str">
        <f>IFERROR(__xludf.DUMMYFUNCTION("IF(REGEXMATCH(LOWER(G2500), ""^(\?)+\s*(missing)?\s*(\?)*$""), """", PROPER(SUBSTITUTE(SUBSTITUTE(G2500, ""?"", """"), ""*"", """")))"),"Coffee Mug Pears Design")</f>
        <v>Coffee Mug Pears Design</v>
      </c>
      <c r="I2500" s="3">
        <v>6.0</v>
      </c>
      <c r="J2500" s="7">
        <v>40599.38125</v>
      </c>
      <c r="K2500" s="8" t="str">
        <f t="shared" si="4"/>
        <v>2011-02</v>
      </c>
      <c r="L2500" s="5">
        <v>2.55</v>
      </c>
      <c r="M2500" s="3">
        <v>13870.0</v>
      </c>
      <c r="N2500" s="1" t="str">
        <f t="shared" si="5"/>
        <v>Registered</v>
      </c>
      <c r="O2500" s="1" t="s">
        <v>19</v>
      </c>
      <c r="P2500" s="9" t="str">
        <f t="shared" si="6"/>
        <v>UK</v>
      </c>
      <c r="Q2500" s="8">
        <f t="shared" si="7"/>
        <v>15.3</v>
      </c>
    </row>
    <row r="2501">
      <c r="A2501" s="1">
        <v>544935.0</v>
      </c>
      <c r="B2501" s="1" t="str">
        <f t="shared" si="1"/>
        <v>544935</v>
      </c>
      <c r="C2501" s="1" t="str">
        <f t="shared" si="2"/>
        <v>Sale</v>
      </c>
      <c r="D2501" s="1">
        <v>22303.0</v>
      </c>
      <c r="E2501" s="1" t="str">
        <f>IFERROR(__xludf.DUMMYFUNCTION("IF(LEN(D2501)&gt;4, IFERROR(REGEXEXTRACT(TO_TEXT(D2501),""\d+""),""""),"""")"),"22303")</f>
        <v>22303</v>
      </c>
      <c r="F2501" s="6" t="str">
        <f t="shared" si="3"/>
        <v>Product</v>
      </c>
      <c r="G2501" s="1" t="s">
        <v>821</v>
      </c>
      <c r="H2501" s="6" t="str">
        <f>IFERROR(__xludf.DUMMYFUNCTION("IF(REGEXMATCH(LOWER(G2501), ""^(\?)+\s*(missing)?\s*(\?)*$""), """", PROPER(SUBSTITUTE(SUBSTITUTE(G2501, ""?"", """"), ""*"", """")))"),"Coffee Mug Apples Design")</f>
        <v>Coffee Mug Apples Design</v>
      </c>
      <c r="I2501" s="3">
        <v>6.0</v>
      </c>
      <c r="J2501" s="7">
        <v>40599.38125</v>
      </c>
      <c r="K2501" s="8" t="str">
        <f t="shared" si="4"/>
        <v>2011-02</v>
      </c>
      <c r="L2501" s="5">
        <v>2.55</v>
      </c>
      <c r="M2501" s="3">
        <v>13870.0</v>
      </c>
      <c r="N2501" s="1" t="str">
        <f t="shared" si="5"/>
        <v>Registered</v>
      </c>
      <c r="O2501" s="1" t="s">
        <v>19</v>
      </c>
      <c r="P2501" s="9" t="str">
        <f t="shared" si="6"/>
        <v>UK</v>
      </c>
      <c r="Q2501" s="8">
        <f t="shared" si="7"/>
        <v>15.3</v>
      </c>
    </row>
    <row r="2502">
      <c r="A2502" s="1">
        <v>544935.0</v>
      </c>
      <c r="B2502" s="1" t="str">
        <f t="shared" si="1"/>
        <v>544935</v>
      </c>
      <c r="C2502" s="1" t="str">
        <f t="shared" si="2"/>
        <v>Sale</v>
      </c>
      <c r="D2502" s="1">
        <v>22895.0</v>
      </c>
      <c r="E2502" s="1" t="str">
        <f>IFERROR(__xludf.DUMMYFUNCTION("IF(LEN(D2502)&gt;4, IFERROR(REGEXEXTRACT(TO_TEXT(D2502),""\d+""),""""),"""")"),"22895")</f>
        <v>22895</v>
      </c>
      <c r="F2502" s="6" t="str">
        <f t="shared" si="3"/>
        <v>Product</v>
      </c>
      <c r="G2502" s="1" t="s">
        <v>643</v>
      </c>
      <c r="H2502" s="6" t="str">
        <f>IFERROR(__xludf.DUMMYFUNCTION("IF(REGEXMATCH(LOWER(G2502), ""^(\?)+\s*(missing)?\s*(\?)*$""), """", PROPER(SUBSTITUTE(SUBSTITUTE(G2502, ""?"", """"), ""*"", """")))"),"Set Of 2 Tea Towels Apple And Pears")</f>
        <v>Set Of 2 Tea Towels Apple And Pears</v>
      </c>
      <c r="I2502" s="3">
        <v>6.0</v>
      </c>
      <c r="J2502" s="7">
        <v>40599.38125</v>
      </c>
      <c r="K2502" s="8" t="str">
        <f t="shared" si="4"/>
        <v>2011-02</v>
      </c>
      <c r="L2502" s="5">
        <v>2.95</v>
      </c>
      <c r="M2502" s="3">
        <v>13870.0</v>
      </c>
      <c r="N2502" s="1" t="str">
        <f t="shared" si="5"/>
        <v>Registered</v>
      </c>
      <c r="O2502" s="1" t="s">
        <v>19</v>
      </c>
      <c r="P2502" s="9" t="str">
        <f t="shared" si="6"/>
        <v>UK</v>
      </c>
      <c r="Q2502" s="8">
        <f t="shared" si="7"/>
        <v>17.7</v>
      </c>
    </row>
    <row r="2503">
      <c r="A2503" s="1">
        <v>544935.0</v>
      </c>
      <c r="B2503" s="1" t="str">
        <f t="shared" si="1"/>
        <v>544935</v>
      </c>
      <c r="C2503" s="1" t="str">
        <f t="shared" si="2"/>
        <v>Sale</v>
      </c>
      <c r="D2503" s="1">
        <v>22551.0</v>
      </c>
      <c r="E2503" s="1" t="str">
        <f>IFERROR(__xludf.DUMMYFUNCTION("IF(LEN(D2503)&gt;4, IFERROR(REGEXEXTRACT(TO_TEXT(D2503),""\d+""),""""),"""")"),"22551")</f>
        <v>22551</v>
      </c>
      <c r="F2503" s="6" t="str">
        <f t="shared" si="3"/>
        <v>Product</v>
      </c>
      <c r="G2503" s="1" t="s">
        <v>498</v>
      </c>
      <c r="H2503" s="6" t="str">
        <f>IFERROR(__xludf.DUMMYFUNCTION("IF(REGEXMATCH(LOWER(G2503), ""^(\?)+\s*(missing)?\s*(\?)*$""), """", PROPER(SUBSTITUTE(SUBSTITUTE(G2503, ""?"", """"), ""*"", """")))"),"Plasters In Tin Spaceboy")</f>
        <v>Plasters In Tin Spaceboy</v>
      </c>
      <c r="I2503" s="3">
        <v>12.0</v>
      </c>
      <c r="J2503" s="7">
        <v>40599.38125</v>
      </c>
      <c r="K2503" s="8" t="str">
        <f t="shared" si="4"/>
        <v>2011-02</v>
      </c>
      <c r="L2503" s="5">
        <v>1.65</v>
      </c>
      <c r="M2503" s="3">
        <v>13870.0</v>
      </c>
      <c r="N2503" s="1" t="str">
        <f t="shared" si="5"/>
        <v>Registered</v>
      </c>
      <c r="O2503" s="1" t="s">
        <v>19</v>
      </c>
      <c r="P2503" s="9" t="str">
        <f t="shared" si="6"/>
        <v>UK</v>
      </c>
      <c r="Q2503" s="8">
        <f t="shared" si="7"/>
        <v>19.8</v>
      </c>
    </row>
    <row r="2504">
      <c r="A2504" s="1">
        <v>544935.0</v>
      </c>
      <c r="B2504" s="1" t="str">
        <f t="shared" si="1"/>
        <v>544935</v>
      </c>
      <c r="C2504" s="1" t="str">
        <f t="shared" si="2"/>
        <v>Sale</v>
      </c>
      <c r="D2504" s="1">
        <v>10002.0</v>
      </c>
      <c r="E2504" s="1" t="str">
        <f>IFERROR(__xludf.DUMMYFUNCTION("IF(LEN(D2504)&gt;4, IFERROR(REGEXEXTRACT(TO_TEXT(D2504),""\d+""),""""),"""")"),"10002")</f>
        <v>10002</v>
      </c>
      <c r="F2504" s="6" t="str">
        <f t="shared" si="3"/>
        <v>Product</v>
      </c>
      <c r="G2504" s="1" t="s">
        <v>54</v>
      </c>
      <c r="H2504" s="6" t="str">
        <f>IFERROR(__xludf.DUMMYFUNCTION("IF(REGEXMATCH(LOWER(G2504), ""^(\?)+\s*(missing)?\s*(\?)*$""), """", PROPER(SUBSTITUTE(SUBSTITUTE(G2504, ""?"", """"), ""*"", """")))"),"Inflatable Political Globe")</f>
        <v>Inflatable Political Globe</v>
      </c>
      <c r="I2504" s="3">
        <v>24.0</v>
      </c>
      <c r="J2504" s="7">
        <v>40599.38125</v>
      </c>
      <c r="K2504" s="8" t="str">
        <f t="shared" si="4"/>
        <v>2011-02</v>
      </c>
      <c r="L2504" s="5">
        <v>0.85</v>
      </c>
      <c r="M2504" s="3">
        <v>13870.0</v>
      </c>
      <c r="N2504" s="1" t="str">
        <f t="shared" si="5"/>
        <v>Registered</v>
      </c>
      <c r="O2504" s="1" t="s">
        <v>19</v>
      </c>
      <c r="P2504" s="9" t="str">
        <f t="shared" si="6"/>
        <v>UK</v>
      </c>
      <c r="Q2504" s="8">
        <f t="shared" si="7"/>
        <v>20.4</v>
      </c>
    </row>
    <row r="2505">
      <c r="A2505" s="1">
        <v>544935.0</v>
      </c>
      <c r="B2505" s="1" t="str">
        <f t="shared" si="1"/>
        <v>544935</v>
      </c>
      <c r="C2505" s="1" t="str">
        <f t="shared" si="2"/>
        <v>Sale</v>
      </c>
      <c r="D2505" s="1">
        <v>22077.0</v>
      </c>
      <c r="E2505" s="1" t="str">
        <f>IFERROR(__xludf.DUMMYFUNCTION("IF(LEN(D2505)&gt;4, IFERROR(REGEXEXTRACT(TO_TEXT(D2505),""\d+""),""""),"""")"),"22077")</f>
        <v>22077</v>
      </c>
      <c r="F2505" s="6" t="str">
        <f t="shared" si="3"/>
        <v>Product</v>
      </c>
      <c r="G2505" s="1" t="s">
        <v>443</v>
      </c>
      <c r="H2505" s="6" t="str">
        <f>IFERROR(__xludf.DUMMYFUNCTION("IF(REGEXMATCH(LOWER(G2505), ""^(\?)+\s*(missing)?\s*(\?)*$""), """", PROPER(SUBSTITUTE(SUBSTITUTE(G2505, ""?"", """"), ""*"", """")))"),"6 Ribbons Rustic Charm")</f>
        <v>6 Ribbons Rustic Charm</v>
      </c>
      <c r="I2505" s="3">
        <v>24.0</v>
      </c>
      <c r="J2505" s="7">
        <v>40599.38125</v>
      </c>
      <c r="K2505" s="8" t="str">
        <f t="shared" si="4"/>
        <v>2011-02</v>
      </c>
      <c r="L2505" s="5">
        <v>1.65</v>
      </c>
      <c r="M2505" s="3">
        <v>13870.0</v>
      </c>
      <c r="N2505" s="1" t="str">
        <f t="shared" si="5"/>
        <v>Registered</v>
      </c>
      <c r="O2505" s="1" t="s">
        <v>19</v>
      </c>
      <c r="P2505" s="9" t="str">
        <f t="shared" si="6"/>
        <v>UK</v>
      </c>
      <c r="Q2505" s="8">
        <f t="shared" si="7"/>
        <v>39.6</v>
      </c>
    </row>
    <row r="2506">
      <c r="A2506" s="1">
        <v>544935.0</v>
      </c>
      <c r="B2506" s="1" t="str">
        <f t="shared" si="1"/>
        <v>544935</v>
      </c>
      <c r="C2506" s="1" t="str">
        <f t="shared" si="2"/>
        <v>Sale</v>
      </c>
      <c r="D2506" s="1">
        <v>22149.0</v>
      </c>
      <c r="E2506" s="1" t="str">
        <f>IFERROR(__xludf.DUMMYFUNCTION("IF(LEN(D2506)&gt;4, IFERROR(REGEXEXTRACT(TO_TEXT(D2506),""\d+""),""""),"""")"),"22149")</f>
        <v>22149</v>
      </c>
      <c r="F2506" s="6" t="str">
        <f t="shared" si="3"/>
        <v>Product</v>
      </c>
      <c r="G2506" s="1" t="s">
        <v>478</v>
      </c>
      <c r="H2506" s="6" t="str">
        <f>IFERROR(__xludf.DUMMYFUNCTION("IF(REGEXMATCH(LOWER(G2506), ""^(\?)+\s*(missing)?\s*(\?)*$""), """", PROPER(SUBSTITUTE(SUBSTITUTE(G2506, ""?"", """"), ""*"", """")))"),"Feltcraft 6 Flower Friends")</f>
        <v>Feltcraft 6 Flower Friends</v>
      </c>
      <c r="I2506" s="3">
        <v>6.0</v>
      </c>
      <c r="J2506" s="7">
        <v>40599.38125</v>
      </c>
      <c r="K2506" s="8" t="str">
        <f t="shared" si="4"/>
        <v>2011-02</v>
      </c>
      <c r="L2506" s="5">
        <v>2.1</v>
      </c>
      <c r="M2506" s="3">
        <v>13870.0</v>
      </c>
      <c r="N2506" s="1" t="str">
        <f t="shared" si="5"/>
        <v>Registered</v>
      </c>
      <c r="O2506" s="1" t="s">
        <v>19</v>
      </c>
      <c r="P2506" s="9" t="str">
        <f t="shared" si="6"/>
        <v>UK</v>
      </c>
      <c r="Q2506" s="8">
        <f t="shared" si="7"/>
        <v>12.6</v>
      </c>
    </row>
    <row r="2507">
      <c r="A2507" s="1">
        <v>544935.0</v>
      </c>
      <c r="B2507" s="1" t="str">
        <f t="shared" si="1"/>
        <v>544935</v>
      </c>
      <c r="C2507" s="1" t="str">
        <f t="shared" si="2"/>
        <v>Sale</v>
      </c>
      <c r="D2507" s="1">
        <v>84879.0</v>
      </c>
      <c r="E2507" s="1" t="str">
        <f>IFERROR(__xludf.DUMMYFUNCTION("IF(LEN(D2507)&gt;4, IFERROR(REGEXEXTRACT(TO_TEXT(D2507),""\d+""),""""),"""")"),"84879")</f>
        <v>84879</v>
      </c>
      <c r="F2507" s="6" t="str">
        <f t="shared" si="3"/>
        <v>Product</v>
      </c>
      <c r="G2507" s="1" t="s">
        <v>31</v>
      </c>
      <c r="H2507" s="6" t="str">
        <f>IFERROR(__xludf.DUMMYFUNCTION("IF(REGEXMATCH(LOWER(G2507), ""^(\?)+\s*(missing)?\s*(\?)*$""), """", PROPER(SUBSTITUTE(SUBSTITUTE(G2507, ""?"", """"), ""*"", """")))"),"Assorted Colour Bird Ornament")</f>
        <v>Assorted Colour Bird Ornament</v>
      </c>
      <c r="I2507" s="3">
        <v>8.0</v>
      </c>
      <c r="J2507" s="7">
        <v>40599.38125</v>
      </c>
      <c r="K2507" s="8" t="str">
        <f t="shared" si="4"/>
        <v>2011-02</v>
      </c>
      <c r="L2507" s="5">
        <v>1.69</v>
      </c>
      <c r="M2507" s="3">
        <v>13870.0</v>
      </c>
      <c r="N2507" s="1" t="str">
        <f t="shared" si="5"/>
        <v>Registered</v>
      </c>
      <c r="O2507" s="1" t="s">
        <v>19</v>
      </c>
      <c r="P2507" s="9" t="str">
        <f t="shared" si="6"/>
        <v>UK</v>
      </c>
      <c r="Q2507" s="8">
        <f t="shared" si="7"/>
        <v>13.52</v>
      </c>
    </row>
    <row r="2508">
      <c r="A2508" s="1">
        <v>544935.0</v>
      </c>
      <c r="B2508" s="1" t="str">
        <f t="shared" si="1"/>
        <v>544935</v>
      </c>
      <c r="C2508" s="1" t="str">
        <f t="shared" si="2"/>
        <v>Sale</v>
      </c>
      <c r="D2508" s="1">
        <v>22243.0</v>
      </c>
      <c r="E2508" s="1" t="str">
        <f>IFERROR(__xludf.DUMMYFUNCTION("IF(LEN(D2508)&gt;4, IFERROR(REGEXEXTRACT(TO_TEXT(D2508),""\d+""),""""),"""")"),"22243")</f>
        <v>22243</v>
      </c>
      <c r="F2508" s="6" t="str">
        <f t="shared" si="3"/>
        <v>Product</v>
      </c>
      <c r="G2508" s="1" t="s">
        <v>445</v>
      </c>
      <c r="H2508" s="6" t="str">
        <f>IFERROR(__xludf.DUMMYFUNCTION("IF(REGEXMATCH(LOWER(G2508), ""^(\?)+\s*(missing)?\s*(\?)*$""), """", PROPER(SUBSTITUTE(SUBSTITUTE(G2508, ""?"", """"), ""*"", """")))"),"5 Hook Hanger Red Magic Toadstool")</f>
        <v>5 Hook Hanger Red Magic Toadstool</v>
      </c>
      <c r="I2508" s="3">
        <v>12.0</v>
      </c>
      <c r="J2508" s="7">
        <v>40599.38125</v>
      </c>
      <c r="K2508" s="8" t="str">
        <f t="shared" si="4"/>
        <v>2011-02</v>
      </c>
      <c r="L2508" s="5">
        <v>1.65</v>
      </c>
      <c r="M2508" s="3">
        <v>13870.0</v>
      </c>
      <c r="N2508" s="1" t="str">
        <f t="shared" si="5"/>
        <v>Registered</v>
      </c>
      <c r="O2508" s="1" t="s">
        <v>19</v>
      </c>
      <c r="P2508" s="9" t="str">
        <f t="shared" si="6"/>
        <v>UK</v>
      </c>
      <c r="Q2508" s="8">
        <f t="shared" si="7"/>
        <v>19.8</v>
      </c>
    </row>
    <row r="2509">
      <c r="A2509" s="1">
        <v>544935.0</v>
      </c>
      <c r="B2509" s="1" t="str">
        <f t="shared" si="1"/>
        <v>544935</v>
      </c>
      <c r="C2509" s="1" t="str">
        <f t="shared" si="2"/>
        <v>Sale</v>
      </c>
      <c r="D2509" s="1">
        <v>22245.0</v>
      </c>
      <c r="E2509" s="1" t="str">
        <f>IFERROR(__xludf.DUMMYFUNCTION("IF(LEN(D2509)&gt;4, IFERROR(REGEXEXTRACT(TO_TEXT(D2509),""\d+""),""""),"""")"),"22245")</f>
        <v>22245</v>
      </c>
      <c r="F2509" s="6" t="str">
        <f t="shared" si="3"/>
        <v>Product</v>
      </c>
      <c r="G2509" s="1" t="s">
        <v>885</v>
      </c>
      <c r="H2509" s="6" t="str">
        <f>IFERROR(__xludf.DUMMYFUNCTION("IF(REGEXMATCH(LOWER(G2509), ""^(\?)+\s*(missing)?\s*(\?)*$""), """", PROPER(SUBSTITUTE(SUBSTITUTE(G2509, ""?"", """"), ""*"", """")))"),"Hook, 1 Hanger ,Magic Garden")</f>
        <v>Hook, 1 Hanger ,Magic Garden</v>
      </c>
      <c r="I2509" s="3">
        <v>12.0</v>
      </c>
      <c r="J2509" s="7">
        <v>40599.38125</v>
      </c>
      <c r="K2509" s="8" t="str">
        <f t="shared" si="4"/>
        <v>2011-02</v>
      </c>
      <c r="L2509" s="5">
        <v>0.85</v>
      </c>
      <c r="M2509" s="3">
        <v>13870.0</v>
      </c>
      <c r="N2509" s="1" t="str">
        <f t="shared" si="5"/>
        <v>Registered</v>
      </c>
      <c r="O2509" s="1" t="s">
        <v>19</v>
      </c>
      <c r="P2509" s="9" t="str">
        <f t="shared" si="6"/>
        <v>UK</v>
      </c>
      <c r="Q2509" s="8">
        <f t="shared" si="7"/>
        <v>10.2</v>
      </c>
    </row>
    <row r="2510">
      <c r="A2510" s="1">
        <v>544935.0</v>
      </c>
      <c r="B2510" s="1" t="str">
        <f t="shared" si="1"/>
        <v>544935</v>
      </c>
      <c r="C2510" s="1" t="str">
        <f t="shared" si="2"/>
        <v>Sale</v>
      </c>
      <c r="D2510" s="1">
        <v>22246.0</v>
      </c>
      <c r="E2510" s="1" t="str">
        <f>IFERROR(__xludf.DUMMYFUNCTION("IF(LEN(D2510)&gt;4, IFERROR(REGEXEXTRACT(TO_TEXT(D2510),""\d+""),""""),"""")"),"22246")</f>
        <v>22246</v>
      </c>
      <c r="F2510" s="6" t="str">
        <f t="shared" si="3"/>
        <v>Product</v>
      </c>
      <c r="G2510" s="1" t="s">
        <v>1297</v>
      </c>
      <c r="H2510" s="6" t="str">
        <f>IFERROR(__xludf.DUMMYFUNCTION("IF(REGEXMATCH(LOWER(G2510), ""^(\?)+\s*(missing)?\s*(\?)*$""), """", PROPER(SUBSTITUTE(SUBSTITUTE(G2510, ""?"", """"), ""*"", """")))"),"Magic Garden Felt Garland")</f>
        <v>Magic Garden Felt Garland</v>
      </c>
      <c r="I2510" s="3">
        <v>12.0</v>
      </c>
      <c r="J2510" s="7">
        <v>40599.38125</v>
      </c>
      <c r="K2510" s="8" t="str">
        <f t="shared" si="4"/>
        <v>2011-02</v>
      </c>
      <c r="L2510" s="5">
        <v>1.95</v>
      </c>
      <c r="M2510" s="3">
        <v>13870.0</v>
      </c>
      <c r="N2510" s="1" t="str">
        <f t="shared" si="5"/>
        <v>Registered</v>
      </c>
      <c r="O2510" s="1" t="s">
        <v>19</v>
      </c>
      <c r="P2510" s="9" t="str">
        <f t="shared" si="6"/>
        <v>UK</v>
      </c>
      <c r="Q2510" s="8">
        <f t="shared" si="7"/>
        <v>23.4</v>
      </c>
    </row>
    <row r="2511">
      <c r="A2511" s="1">
        <v>544935.0</v>
      </c>
      <c r="B2511" s="1" t="str">
        <f t="shared" si="1"/>
        <v>544935</v>
      </c>
      <c r="C2511" s="1" t="str">
        <f t="shared" si="2"/>
        <v>Sale</v>
      </c>
      <c r="D2511" s="1">
        <v>22585.0</v>
      </c>
      <c r="E2511" s="1" t="str">
        <f>IFERROR(__xludf.DUMMYFUNCTION("IF(LEN(D2511)&gt;4, IFERROR(REGEXEXTRACT(TO_TEXT(D2511),""\d+""),""""),"""")"),"22585")</f>
        <v>22585</v>
      </c>
      <c r="F2511" s="6" t="str">
        <f t="shared" si="3"/>
        <v>Product</v>
      </c>
      <c r="G2511" s="1" t="s">
        <v>520</v>
      </c>
      <c r="H2511" s="6" t="str">
        <f>IFERROR(__xludf.DUMMYFUNCTION("IF(REGEXMATCH(LOWER(G2511), ""^(\?)+\s*(missing)?\s*(\?)*$""), """", PROPER(SUBSTITUTE(SUBSTITUTE(G2511, ""?"", """"), ""*"", """")))"),"Pack Of 6 Birdy Gift Tags")</f>
        <v>Pack Of 6 Birdy Gift Tags</v>
      </c>
      <c r="I2511" s="3">
        <v>36.0</v>
      </c>
      <c r="J2511" s="7">
        <v>40599.38125</v>
      </c>
      <c r="K2511" s="8" t="str">
        <f t="shared" si="4"/>
        <v>2011-02</v>
      </c>
      <c r="L2511" s="5">
        <v>1.25</v>
      </c>
      <c r="M2511" s="3">
        <v>13870.0</v>
      </c>
      <c r="N2511" s="1" t="str">
        <f t="shared" si="5"/>
        <v>Registered</v>
      </c>
      <c r="O2511" s="1" t="s">
        <v>19</v>
      </c>
      <c r="P2511" s="9" t="str">
        <f t="shared" si="6"/>
        <v>UK</v>
      </c>
      <c r="Q2511" s="8">
        <f t="shared" si="7"/>
        <v>45</v>
      </c>
    </row>
    <row r="2512">
      <c r="A2512" s="1">
        <v>544935.0</v>
      </c>
      <c r="B2512" s="1" t="str">
        <f t="shared" si="1"/>
        <v>544935</v>
      </c>
      <c r="C2512" s="1" t="str">
        <f t="shared" si="2"/>
        <v>Sale</v>
      </c>
      <c r="D2512" s="1">
        <v>23233.0</v>
      </c>
      <c r="E2512" s="1" t="str">
        <f>IFERROR(__xludf.DUMMYFUNCTION("IF(LEN(D2512)&gt;4, IFERROR(REGEXEXTRACT(TO_TEXT(D2512),""\d+""),""""),"""")"),"23233")</f>
        <v>23233</v>
      </c>
      <c r="F2512" s="6" t="str">
        <f t="shared" si="3"/>
        <v>Product</v>
      </c>
      <c r="G2512" s="1" t="s">
        <v>930</v>
      </c>
      <c r="H2512" s="6" t="str">
        <f>IFERROR(__xludf.DUMMYFUNCTION("IF(REGEXMATCH(LOWER(G2512), ""^(\?)+\s*(missing)?\s*(\?)*$""), """", PROPER(SUBSTITUTE(SUBSTITUTE(G2512, ""?"", """"), ""*"", """")))"),"Wrap Poppies Design")</f>
        <v>Wrap Poppies Design</v>
      </c>
      <c r="I2512" s="3">
        <v>25.0</v>
      </c>
      <c r="J2512" s="7">
        <v>40599.38125</v>
      </c>
      <c r="K2512" s="8" t="str">
        <f t="shared" si="4"/>
        <v>2011-02</v>
      </c>
      <c r="L2512" s="5">
        <v>0.42</v>
      </c>
      <c r="M2512" s="3">
        <v>13870.0</v>
      </c>
      <c r="N2512" s="1" t="str">
        <f t="shared" si="5"/>
        <v>Registered</v>
      </c>
      <c r="O2512" s="1" t="s">
        <v>19</v>
      </c>
      <c r="P2512" s="9" t="str">
        <f t="shared" si="6"/>
        <v>UK</v>
      </c>
      <c r="Q2512" s="8">
        <f t="shared" si="7"/>
        <v>10.5</v>
      </c>
    </row>
    <row r="2513">
      <c r="A2513" s="1">
        <v>544935.0</v>
      </c>
      <c r="B2513" s="1" t="str">
        <f t="shared" si="1"/>
        <v>544935</v>
      </c>
      <c r="C2513" s="1" t="str">
        <f t="shared" si="2"/>
        <v>Sale</v>
      </c>
      <c r="D2513" s="1">
        <v>22048.0</v>
      </c>
      <c r="E2513" s="1" t="str">
        <f>IFERROR(__xludf.DUMMYFUNCTION("IF(LEN(D2513)&gt;4, IFERROR(REGEXEXTRACT(TO_TEXT(D2513),""\d+""),""""),"""")"),"22048")</f>
        <v>22048</v>
      </c>
      <c r="F2513" s="6" t="str">
        <f t="shared" si="3"/>
        <v>Product</v>
      </c>
      <c r="G2513" s="1" t="s">
        <v>1298</v>
      </c>
      <c r="H2513" s="6" t="str">
        <f>IFERROR(__xludf.DUMMYFUNCTION("IF(REGEXMATCH(LOWER(G2513), ""^(\?)+\s*(missing)?\s*(\?)*$""), """", PROPER(SUBSTITUTE(SUBSTITUTE(G2513, ""?"", """"), ""*"", """")))"),"Birthday Banquet Gift Wrap")</f>
        <v>Birthday Banquet Gift Wrap</v>
      </c>
      <c r="I2513" s="3">
        <v>25.0</v>
      </c>
      <c r="J2513" s="7">
        <v>40599.38125</v>
      </c>
      <c r="K2513" s="8" t="str">
        <f t="shared" si="4"/>
        <v>2011-02</v>
      </c>
      <c r="L2513" s="5">
        <v>0.42</v>
      </c>
      <c r="M2513" s="3">
        <v>13870.0</v>
      </c>
      <c r="N2513" s="1" t="str">
        <f t="shared" si="5"/>
        <v>Registered</v>
      </c>
      <c r="O2513" s="1" t="s">
        <v>19</v>
      </c>
      <c r="P2513" s="9" t="str">
        <f t="shared" si="6"/>
        <v>UK</v>
      </c>
      <c r="Q2513" s="8">
        <f t="shared" si="7"/>
        <v>10.5</v>
      </c>
    </row>
    <row r="2514">
      <c r="A2514" s="1">
        <v>544935.0</v>
      </c>
      <c r="B2514" s="1" t="str">
        <f t="shared" si="1"/>
        <v>544935</v>
      </c>
      <c r="C2514" s="1" t="str">
        <f t="shared" si="2"/>
        <v>Sale</v>
      </c>
      <c r="D2514" s="1">
        <v>23232.0</v>
      </c>
      <c r="E2514" s="1" t="str">
        <f>IFERROR(__xludf.DUMMYFUNCTION("IF(LEN(D2514)&gt;4, IFERROR(REGEXEXTRACT(TO_TEXT(D2514),""\d+""),""""),"""")"),"23232")</f>
        <v>23232</v>
      </c>
      <c r="F2514" s="6" t="str">
        <f t="shared" si="3"/>
        <v>Product</v>
      </c>
      <c r="G2514" s="1" t="s">
        <v>1299</v>
      </c>
      <c r="H2514" s="6" t="str">
        <f>IFERROR(__xludf.DUMMYFUNCTION("IF(REGEXMATCH(LOWER(G2514), ""^(\?)+\s*(missing)?\s*(\?)*$""), """", PROPER(SUBSTITUTE(SUBSTITUTE(G2514, ""?"", """"), ""*"", """")))"),"Wrap Vintage Petals Design")</f>
        <v>Wrap Vintage Petals Design</v>
      </c>
      <c r="I2514" s="3">
        <v>25.0</v>
      </c>
      <c r="J2514" s="7">
        <v>40599.38125</v>
      </c>
      <c r="K2514" s="8" t="str">
        <f t="shared" si="4"/>
        <v>2011-02</v>
      </c>
      <c r="L2514" s="5">
        <v>0.42</v>
      </c>
      <c r="M2514" s="3">
        <v>13870.0</v>
      </c>
      <c r="N2514" s="1" t="str">
        <f t="shared" si="5"/>
        <v>Registered</v>
      </c>
      <c r="O2514" s="1" t="s">
        <v>19</v>
      </c>
      <c r="P2514" s="9" t="str">
        <f t="shared" si="6"/>
        <v>UK</v>
      </c>
      <c r="Q2514" s="8">
        <f t="shared" si="7"/>
        <v>10.5</v>
      </c>
    </row>
    <row r="2515">
      <c r="A2515" s="1">
        <v>544935.0</v>
      </c>
      <c r="B2515" s="1" t="str">
        <f t="shared" si="1"/>
        <v>544935</v>
      </c>
      <c r="C2515" s="1" t="str">
        <f t="shared" si="2"/>
        <v>Sale</v>
      </c>
      <c r="D2515" s="1">
        <v>22704.0</v>
      </c>
      <c r="E2515" s="1" t="str">
        <f>IFERROR(__xludf.DUMMYFUNCTION("IF(LEN(D2515)&gt;4, IFERROR(REGEXEXTRACT(TO_TEXT(D2515),""\d+""),""""),"""")"),"22704")</f>
        <v>22704</v>
      </c>
      <c r="F2515" s="6" t="str">
        <f t="shared" si="3"/>
        <v>Product</v>
      </c>
      <c r="G2515" s="1" t="s">
        <v>932</v>
      </c>
      <c r="H2515" s="6" t="str">
        <f>IFERROR(__xludf.DUMMYFUNCTION("IF(REGEXMATCH(LOWER(G2515), ""^(\?)+\s*(missing)?\s*(\?)*$""), """", PROPER(SUBSTITUTE(SUBSTITUTE(G2515, ""?"", """"), ""*"", """")))"),"Wrap Red Apples")</f>
        <v>Wrap Red Apples</v>
      </c>
      <c r="I2515" s="3">
        <v>25.0</v>
      </c>
      <c r="J2515" s="7">
        <v>40599.38125</v>
      </c>
      <c r="K2515" s="8" t="str">
        <f t="shared" si="4"/>
        <v>2011-02</v>
      </c>
      <c r="L2515" s="5">
        <v>0.42</v>
      </c>
      <c r="M2515" s="3">
        <v>13870.0</v>
      </c>
      <c r="N2515" s="1" t="str">
        <f t="shared" si="5"/>
        <v>Registered</v>
      </c>
      <c r="O2515" s="1" t="s">
        <v>19</v>
      </c>
      <c r="P2515" s="9" t="str">
        <f t="shared" si="6"/>
        <v>UK</v>
      </c>
      <c r="Q2515" s="8">
        <f t="shared" si="7"/>
        <v>10.5</v>
      </c>
    </row>
    <row r="2516">
      <c r="A2516" s="1">
        <v>544935.0</v>
      </c>
      <c r="B2516" s="1" t="str">
        <f t="shared" si="1"/>
        <v>544935</v>
      </c>
      <c r="C2516" s="1" t="str">
        <f t="shared" si="2"/>
        <v>Sale</v>
      </c>
      <c r="D2516" s="1">
        <v>22705.0</v>
      </c>
      <c r="E2516" s="1" t="str">
        <f>IFERROR(__xludf.DUMMYFUNCTION("IF(LEN(D2516)&gt;4, IFERROR(REGEXEXTRACT(TO_TEXT(D2516),""\d+""),""""),"""")"),"22705")</f>
        <v>22705</v>
      </c>
      <c r="F2516" s="6" t="str">
        <f t="shared" si="3"/>
        <v>Product</v>
      </c>
      <c r="G2516" s="1" t="s">
        <v>1300</v>
      </c>
      <c r="H2516" s="6" t="str">
        <f>IFERROR(__xludf.DUMMYFUNCTION("IF(REGEXMATCH(LOWER(G2516), ""^(\?)+\s*(missing)?\s*(\?)*$""), """", PROPER(SUBSTITUTE(SUBSTITUTE(G2516, ""?"", """"), ""*"", """")))"),"Wrap Green Pears")</f>
        <v>Wrap Green Pears</v>
      </c>
      <c r="I2516" s="3">
        <v>25.0</v>
      </c>
      <c r="J2516" s="7">
        <v>40599.38125</v>
      </c>
      <c r="K2516" s="8" t="str">
        <f t="shared" si="4"/>
        <v>2011-02</v>
      </c>
      <c r="L2516" s="5">
        <v>0.42</v>
      </c>
      <c r="M2516" s="3">
        <v>13870.0</v>
      </c>
      <c r="N2516" s="1" t="str">
        <f t="shared" si="5"/>
        <v>Registered</v>
      </c>
      <c r="O2516" s="1" t="s">
        <v>19</v>
      </c>
      <c r="P2516" s="9" t="str">
        <f t="shared" si="6"/>
        <v>UK</v>
      </c>
      <c r="Q2516" s="8">
        <f t="shared" si="7"/>
        <v>10.5</v>
      </c>
    </row>
    <row r="2517">
      <c r="A2517" s="1">
        <v>544935.0</v>
      </c>
      <c r="B2517" s="1" t="str">
        <f t="shared" si="1"/>
        <v>544935</v>
      </c>
      <c r="C2517" s="1" t="str">
        <f t="shared" si="2"/>
        <v>Sale</v>
      </c>
      <c r="D2517" s="1">
        <v>22815.0</v>
      </c>
      <c r="E2517" s="1" t="str">
        <f>IFERROR(__xludf.DUMMYFUNCTION("IF(LEN(D2517)&gt;4, IFERROR(REGEXEXTRACT(TO_TEXT(D2517),""\d+""),""""),"""")"),"22815")</f>
        <v>22815</v>
      </c>
      <c r="F2517" s="6" t="str">
        <f t="shared" si="3"/>
        <v>Product</v>
      </c>
      <c r="G2517" s="1" t="s">
        <v>689</v>
      </c>
      <c r="H2517" s="6" t="str">
        <f>IFERROR(__xludf.DUMMYFUNCTION("IF(REGEXMATCH(LOWER(G2517), ""^(\?)+\s*(missing)?\s*(\?)*$""), """", PROPER(SUBSTITUTE(SUBSTITUTE(G2517, ""?"", """"), ""*"", """")))"),"Card Psychedelic Apples")</f>
        <v>Card Psychedelic Apples</v>
      </c>
      <c r="I2517" s="3">
        <v>12.0</v>
      </c>
      <c r="J2517" s="7">
        <v>40599.38125</v>
      </c>
      <c r="K2517" s="8" t="str">
        <f t="shared" si="4"/>
        <v>2011-02</v>
      </c>
      <c r="L2517" s="5">
        <v>0.42</v>
      </c>
      <c r="M2517" s="3">
        <v>13870.0</v>
      </c>
      <c r="N2517" s="1" t="str">
        <f t="shared" si="5"/>
        <v>Registered</v>
      </c>
      <c r="O2517" s="1" t="s">
        <v>19</v>
      </c>
      <c r="P2517" s="9" t="str">
        <f t="shared" si="6"/>
        <v>UK</v>
      </c>
      <c r="Q2517" s="8">
        <f t="shared" si="7"/>
        <v>5.04</v>
      </c>
    </row>
    <row r="2518">
      <c r="A2518" s="1">
        <v>544935.0</v>
      </c>
      <c r="B2518" s="1" t="str">
        <f t="shared" si="1"/>
        <v>544935</v>
      </c>
      <c r="C2518" s="1" t="str">
        <f t="shared" si="2"/>
        <v>Sale</v>
      </c>
      <c r="D2518" s="1">
        <v>22716.0</v>
      </c>
      <c r="E2518" s="1" t="str">
        <f>IFERROR(__xludf.DUMMYFUNCTION("IF(LEN(D2518)&gt;4, IFERROR(REGEXEXTRACT(TO_TEXT(D2518),""\d+""),""""),"""")"),"22716")</f>
        <v>22716</v>
      </c>
      <c r="F2518" s="6" t="str">
        <f t="shared" si="3"/>
        <v>Product</v>
      </c>
      <c r="G2518" s="1" t="s">
        <v>379</v>
      </c>
      <c r="H2518" s="6" t="str">
        <f>IFERROR(__xludf.DUMMYFUNCTION("IF(REGEXMATCH(LOWER(G2518), ""^(\?)+\s*(missing)?\s*(\?)*$""), """", PROPER(SUBSTITUTE(SUBSTITUTE(G2518, ""?"", """"), ""*"", """")))"),"Card Circus Parade")</f>
        <v>Card Circus Parade</v>
      </c>
      <c r="I2518" s="3">
        <v>12.0</v>
      </c>
      <c r="J2518" s="7">
        <v>40599.38125</v>
      </c>
      <c r="K2518" s="8" t="str">
        <f t="shared" si="4"/>
        <v>2011-02</v>
      </c>
      <c r="L2518" s="5">
        <v>0.42</v>
      </c>
      <c r="M2518" s="3">
        <v>13870.0</v>
      </c>
      <c r="N2518" s="1" t="str">
        <f t="shared" si="5"/>
        <v>Registered</v>
      </c>
      <c r="O2518" s="1" t="s">
        <v>19</v>
      </c>
      <c r="P2518" s="9" t="str">
        <f t="shared" si="6"/>
        <v>UK</v>
      </c>
      <c r="Q2518" s="8">
        <f t="shared" si="7"/>
        <v>5.04</v>
      </c>
    </row>
    <row r="2519">
      <c r="A2519" s="1">
        <v>544935.0</v>
      </c>
      <c r="B2519" s="1" t="str">
        <f t="shared" si="1"/>
        <v>544935</v>
      </c>
      <c r="C2519" s="1" t="str">
        <f t="shared" si="2"/>
        <v>Sale</v>
      </c>
      <c r="D2519" s="1">
        <v>22718.0</v>
      </c>
      <c r="E2519" s="1" t="str">
        <f>IFERROR(__xludf.DUMMYFUNCTION("IF(LEN(D2519)&gt;4, IFERROR(REGEXEXTRACT(TO_TEXT(D2519),""\d+""),""""),"""")"),"22718")</f>
        <v>22718</v>
      </c>
      <c r="F2519" s="6" t="str">
        <f t="shared" si="3"/>
        <v>Product</v>
      </c>
      <c r="G2519" s="1" t="s">
        <v>1301</v>
      </c>
      <c r="H2519" s="6" t="str">
        <f>IFERROR(__xludf.DUMMYFUNCTION("IF(REGEXMATCH(LOWER(G2519), ""^(\?)+\s*(missing)?\s*(\?)*$""), """", PROPER(SUBSTITUTE(SUBSTITUTE(G2519, ""?"", """"), ""*"", """")))"),"Card Cat And Tree")</f>
        <v>Card Cat And Tree</v>
      </c>
      <c r="I2519" s="3">
        <v>12.0</v>
      </c>
      <c r="J2519" s="7">
        <v>40599.38125</v>
      </c>
      <c r="K2519" s="8" t="str">
        <f t="shared" si="4"/>
        <v>2011-02</v>
      </c>
      <c r="L2519" s="5">
        <v>0.42</v>
      </c>
      <c r="M2519" s="3">
        <v>13870.0</v>
      </c>
      <c r="N2519" s="1" t="str">
        <f t="shared" si="5"/>
        <v>Registered</v>
      </c>
      <c r="O2519" s="1" t="s">
        <v>19</v>
      </c>
      <c r="P2519" s="9" t="str">
        <f t="shared" si="6"/>
        <v>UK</v>
      </c>
      <c r="Q2519" s="8">
        <f t="shared" si="7"/>
        <v>5.04</v>
      </c>
    </row>
    <row r="2520">
      <c r="A2520" s="1">
        <v>544935.0</v>
      </c>
      <c r="B2520" s="1" t="str">
        <f t="shared" si="1"/>
        <v>544935</v>
      </c>
      <c r="C2520" s="1" t="str">
        <f t="shared" si="2"/>
        <v>Sale</v>
      </c>
      <c r="D2520" s="1">
        <v>22717.0</v>
      </c>
      <c r="E2520" s="1" t="str">
        <f>IFERROR(__xludf.DUMMYFUNCTION("IF(LEN(D2520)&gt;4, IFERROR(REGEXEXTRACT(TO_TEXT(D2520),""\d+""),""""),"""")"),"22717")</f>
        <v>22717</v>
      </c>
      <c r="F2520" s="6" t="str">
        <f t="shared" si="3"/>
        <v>Product</v>
      </c>
      <c r="G2520" s="1" t="s">
        <v>1302</v>
      </c>
      <c r="H2520" s="6" t="str">
        <f>IFERROR(__xludf.DUMMYFUNCTION("IF(REGEXMATCH(LOWER(G2520), ""^(\?)+\s*(missing)?\s*(\?)*$""), """", PROPER(SUBSTITUTE(SUBSTITUTE(G2520, ""?"", """"), ""*"", """")))"),"Card Dog And Ball")</f>
        <v>Card Dog And Ball</v>
      </c>
      <c r="I2520" s="3">
        <v>12.0</v>
      </c>
      <c r="J2520" s="7">
        <v>40599.38125</v>
      </c>
      <c r="K2520" s="8" t="str">
        <f t="shared" si="4"/>
        <v>2011-02</v>
      </c>
      <c r="L2520" s="5">
        <v>0.42</v>
      </c>
      <c r="M2520" s="3">
        <v>13870.0</v>
      </c>
      <c r="N2520" s="1" t="str">
        <f t="shared" si="5"/>
        <v>Registered</v>
      </c>
      <c r="O2520" s="1" t="s">
        <v>19</v>
      </c>
      <c r="P2520" s="9" t="str">
        <f t="shared" si="6"/>
        <v>UK</v>
      </c>
      <c r="Q2520" s="8">
        <f t="shared" si="7"/>
        <v>5.04</v>
      </c>
    </row>
    <row r="2521">
      <c r="A2521" s="1">
        <v>544935.0</v>
      </c>
      <c r="B2521" s="1" t="str">
        <f t="shared" si="1"/>
        <v>544935</v>
      </c>
      <c r="C2521" s="1" t="str">
        <f t="shared" si="2"/>
        <v>Sale</v>
      </c>
      <c r="D2521" s="1">
        <v>22423.0</v>
      </c>
      <c r="E2521" s="1" t="str">
        <f>IFERROR(__xludf.DUMMYFUNCTION("IF(LEN(D2521)&gt;4, IFERROR(REGEXEXTRACT(TO_TEXT(D2521),""\d+""),""""),"""")"),"22423")</f>
        <v>22423</v>
      </c>
      <c r="F2521" s="6" t="str">
        <f t="shared" si="3"/>
        <v>Product</v>
      </c>
      <c r="G2521" s="1" t="s">
        <v>619</v>
      </c>
      <c r="H2521" s="6" t="str">
        <f>IFERROR(__xludf.DUMMYFUNCTION("IF(REGEXMATCH(LOWER(G2521), ""^(\?)+\s*(missing)?\s*(\?)*$""), """", PROPER(SUBSTITUTE(SUBSTITUTE(G2521, ""?"", """"), ""*"", """")))"),"Regency Cakestand 3 Tier")</f>
        <v>Regency Cakestand 3 Tier</v>
      </c>
      <c r="I2521" s="3">
        <v>2.0</v>
      </c>
      <c r="J2521" s="7">
        <v>40599.38125</v>
      </c>
      <c r="K2521" s="8" t="str">
        <f t="shared" si="4"/>
        <v>2011-02</v>
      </c>
      <c r="L2521" s="5">
        <v>12.75</v>
      </c>
      <c r="M2521" s="3">
        <v>13870.0</v>
      </c>
      <c r="N2521" s="1" t="str">
        <f t="shared" si="5"/>
        <v>Registered</v>
      </c>
      <c r="O2521" s="1" t="s">
        <v>19</v>
      </c>
      <c r="P2521" s="9" t="str">
        <f t="shared" si="6"/>
        <v>UK</v>
      </c>
      <c r="Q2521" s="8">
        <f t="shared" si="7"/>
        <v>25.5</v>
      </c>
    </row>
    <row r="2522">
      <c r="A2522" s="1">
        <v>544935.0</v>
      </c>
      <c r="B2522" s="1" t="str">
        <f t="shared" si="1"/>
        <v>544935</v>
      </c>
      <c r="C2522" s="1" t="str">
        <f t="shared" si="2"/>
        <v>Sale</v>
      </c>
      <c r="D2522" s="1">
        <v>22727.0</v>
      </c>
      <c r="E2522" s="1" t="str">
        <f>IFERROR(__xludf.DUMMYFUNCTION("IF(LEN(D2522)&gt;4, IFERROR(REGEXEXTRACT(TO_TEXT(D2522),""\d+""),""""),"""")"),"22727")</f>
        <v>22727</v>
      </c>
      <c r="F2522" s="6" t="str">
        <f t="shared" si="3"/>
        <v>Product</v>
      </c>
      <c r="G2522" s="1" t="s">
        <v>50</v>
      </c>
      <c r="H2522" s="6" t="str">
        <f>IFERROR(__xludf.DUMMYFUNCTION("IF(REGEXMATCH(LOWER(G2522), ""^(\?)+\s*(missing)?\s*(\?)*$""), """", PROPER(SUBSTITUTE(SUBSTITUTE(G2522, ""?"", """"), ""*"", """")))"),"Alarm Clock Bakelike Red")</f>
        <v>Alarm Clock Bakelike Red</v>
      </c>
      <c r="I2522" s="3">
        <v>4.0</v>
      </c>
      <c r="J2522" s="7">
        <v>40599.38125</v>
      </c>
      <c r="K2522" s="8" t="str">
        <f t="shared" si="4"/>
        <v>2011-02</v>
      </c>
      <c r="L2522" s="5">
        <v>3.75</v>
      </c>
      <c r="M2522" s="3">
        <v>13870.0</v>
      </c>
      <c r="N2522" s="1" t="str">
        <f t="shared" si="5"/>
        <v>Registered</v>
      </c>
      <c r="O2522" s="1" t="s">
        <v>19</v>
      </c>
      <c r="P2522" s="9" t="str">
        <f t="shared" si="6"/>
        <v>UK</v>
      </c>
      <c r="Q2522" s="8">
        <f t="shared" si="7"/>
        <v>15</v>
      </c>
    </row>
    <row r="2523">
      <c r="A2523" s="1">
        <v>544935.0</v>
      </c>
      <c r="B2523" s="1" t="str">
        <f t="shared" si="1"/>
        <v>544935</v>
      </c>
      <c r="C2523" s="1" t="str">
        <f t="shared" si="2"/>
        <v>Sale</v>
      </c>
      <c r="D2523" s="1">
        <v>22726.0</v>
      </c>
      <c r="E2523" s="1" t="str">
        <f>IFERROR(__xludf.DUMMYFUNCTION("IF(LEN(D2523)&gt;4, IFERROR(REGEXEXTRACT(TO_TEXT(D2523),""\d+""),""""),"""")"),"22726")</f>
        <v>22726</v>
      </c>
      <c r="F2523" s="6" t="str">
        <f t="shared" si="3"/>
        <v>Product</v>
      </c>
      <c r="G2523" s="1" t="s">
        <v>51</v>
      </c>
      <c r="H2523" s="6" t="str">
        <f>IFERROR(__xludf.DUMMYFUNCTION("IF(REGEXMATCH(LOWER(G2523), ""^(\?)+\s*(missing)?\s*(\?)*$""), """", PROPER(SUBSTITUTE(SUBSTITUTE(G2523, ""?"", """"), ""*"", """")))"),"Alarm Clock Bakelike Green")</f>
        <v>Alarm Clock Bakelike Green</v>
      </c>
      <c r="I2523" s="3">
        <v>4.0</v>
      </c>
      <c r="J2523" s="7">
        <v>40599.38125</v>
      </c>
      <c r="K2523" s="8" t="str">
        <f t="shared" si="4"/>
        <v>2011-02</v>
      </c>
      <c r="L2523" s="5">
        <v>3.75</v>
      </c>
      <c r="M2523" s="3">
        <v>13870.0</v>
      </c>
      <c r="N2523" s="1" t="str">
        <f t="shared" si="5"/>
        <v>Registered</v>
      </c>
      <c r="O2523" s="1" t="s">
        <v>19</v>
      </c>
      <c r="P2523" s="9" t="str">
        <f t="shared" si="6"/>
        <v>UK</v>
      </c>
      <c r="Q2523" s="8">
        <f t="shared" si="7"/>
        <v>15</v>
      </c>
    </row>
    <row r="2524">
      <c r="A2524" s="1">
        <v>544935.0</v>
      </c>
      <c r="B2524" s="1" t="str">
        <f t="shared" si="1"/>
        <v>544935</v>
      </c>
      <c r="C2524" s="1" t="str">
        <f t="shared" si="2"/>
        <v>Sale</v>
      </c>
      <c r="D2524" s="1">
        <v>22624.0</v>
      </c>
      <c r="E2524" s="1" t="str">
        <f>IFERROR(__xludf.DUMMYFUNCTION("IF(LEN(D2524)&gt;4, IFERROR(REGEXEXTRACT(TO_TEXT(D2524),""\d+""),""""),"""")"),"22624")</f>
        <v>22624</v>
      </c>
      <c r="F2524" s="6" t="str">
        <f t="shared" si="3"/>
        <v>Product</v>
      </c>
      <c r="G2524" s="1" t="s">
        <v>771</v>
      </c>
      <c r="H2524" s="6" t="str">
        <f>IFERROR(__xludf.DUMMYFUNCTION("IF(REGEXMATCH(LOWER(G2524), ""^(\?)+\s*(missing)?\s*(\?)*$""), """", PROPER(SUBSTITUTE(SUBSTITUTE(G2524, ""?"", """"), ""*"", """")))"),"Ivory Kitchen Scales")</f>
        <v>Ivory Kitchen Scales</v>
      </c>
      <c r="I2524" s="3">
        <v>2.0</v>
      </c>
      <c r="J2524" s="7">
        <v>40599.38125</v>
      </c>
      <c r="K2524" s="8" t="str">
        <f t="shared" si="4"/>
        <v>2011-02</v>
      </c>
      <c r="L2524" s="5">
        <v>8.5</v>
      </c>
      <c r="M2524" s="3">
        <v>13870.0</v>
      </c>
      <c r="N2524" s="1" t="str">
        <f t="shared" si="5"/>
        <v>Registered</v>
      </c>
      <c r="O2524" s="1" t="s">
        <v>19</v>
      </c>
      <c r="P2524" s="9" t="str">
        <f t="shared" si="6"/>
        <v>UK</v>
      </c>
      <c r="Q2524" s="8">
        <f t="shared" si="7"/>
        <v>17</v>
      </c>
    </row>
    <row r="2525">
      <c r="A2525" s="1">
        <v>544935.0</v>
      </c>
      <c r="B2525" s="1" t="str">
        <f t="shared" si="1"/>
        <v>544935</v>
      </c>
      <c r="C2525" s="1" t="str">
        <f t="shared" si="2"/>
        <v>Sale</v>
      </c>
      <c r="D2525" s="1">
        <v>22844.0</v>
      </c>
      <c r="E2525" s="1" t="str">
        <f>IFERROR(__xludf.DUMMYFUNCTION("IF(LEN(D2525)&gt;4, IFERROR(REGEXEXTRACT(TO_TEXT(D2525),""\d+""),""""),"""")"),"22844")</f>
        <v>22844</v>
      </c>
      <c r="F2525" s="6" t="str">
        <f t="shared" si="3"/>
        <v>Product</v>
      </c>
      <c r="G2525" s="1" t="s">
        <v>786</v>
      </c>
      <c r="H2525" s="6" t="str">
        <f>IFERROR(__xludf.DUMMYFUNCTION("IF(REGEXMATCH(LOWER(G2525), ""^(\?)+\s*(missing)?\s*(\?)*$""), """", PROPER(SUBSTITUTE(SUBSTITUTE(G2525, ""?"", """"), ""*"", """")))"),"Vintage Cream Dog Food Container")</f>
        <v>Vintage Cream Dog Food Container</v>
      </c>
      <c r="I2525" s="3">
        <v>2.0</v>
      </c>
      <c r="J2525" s="7">
        <v>40599.38125</v>
      </c>
      <c r="K2525" s="8" t="str">
        <f t="shared" si="4"/>
        <v>2011-02</v>
      </c>
      <c r="L2525" s="5">
        <v>8.5</v>
      </c>
      <c r="M2525" s="3">
        <v>13870.0</v>
      </c>
      <c r="N2525" s="1" t="str">
        <f t="shared" si="5"/>
        <v>Registered</v>
      </c>
      <c r="O2525" s="1" t="s">
        <v>19</v>
      </c>
      <c r="P2525" s="9" t="str">
        <f t="shared" si="6"/>
        <v>UK</v>
      </c>
      <c r="Q2525" s="8">
        <f t="shared" si="7"/>
        <v>17</v>
      </c>
    </row>
    <row r="2526">
      <c r="A2526" s="1">
        <v>544935.0</v>
      </c>
      <c r="B2526" s="1" t="str">
        <f t="shared" si="1"/>
        <v>544935</v>
      </c>
      <c r="C2526" s="1" t="str">
        <f t="shared" si="2"/>
        <v>Sale</v>
      </c>
      <c r="D2526" s="1">
        <v>22845.0</v>
      </c>
      <c r="E2526" s="1" t="str">
        <f>IFERROR(__xludf.DUMMYFUNCTION("IF(LEN(D2526)&gt;4, IFERROR(REGEXEXTRACT(TO_TEXT(D2526),""\d+""),""""),"""")"),"22845")</f>
        <v>22845</v>
      </c>
      <c r="F2526" s="6" t="str">
        <f t="shared" si="3"/>
        <v>Product</v>
      </c>
      <c r="G2526" s="1" t="s">
        <v>787</v>
      </c>
      <c r="H2526" s="6" t="str">
        <f>IFERROR(__xludf.DUMMYFUNCTION("IF(REGEXMATCH(LOWER(G2526), ""^(\?)+\s*(missing)?\s*(\?)*$""), """", PROPER(SUBSTITUTE(SUBSTITUTE(G2526, ""?"", """"), ""*"", """")))"),"Vintage Cream Cat Food Container")</f>
        <v>Vintage Cream Cat Food Container</v>
      </c>
      <c r="I2526" s="3">
        <v>2.0</v>
      </c>
      <c r="J2526" s="7">
        <v>40599.38125</v>
      </c>
      <c r="K2526" s="8" t="str">
        <f t="shared" si="4"/>
        <v>2011-02</v>
      </c>
      <c r="L2526" s="5">
        <v>6.35</v>
      </c>
      <c r="M2526" s="3">
        <v>13870.0</v>
      </c>
      <c r="N2526" s="1" t="str">
        <f t="shared" si="5"/>
        <v>Registered</v>
      </c>
      <c r="O2526" s="1" t="s">
        <v>19</v>
      </c>
      <c r="P2526" s="9" t="str">
        <f t="shared" si="6"/>
        <v>UK</v>
      </c>
      <c r="Q2526" s="8">
        <f t="shared" si="7"/>
        <v>12.7</v>
      </c>
    </row>
    <row r="2527">
      <c r="A2527" s="1">
        <v>544935.0</v>
      </c>
      <c r="B2527" s="1" t="str">
        <f t="shared" si="1"/>
        <v>544935</v>
      </c>
      <c r="C2527" s="1" t="str">
        <f t="shared" si="2"/>
        <v>Sale</v>
      </c>
      <c r="D2527" s="1">
        <v>22171.0</v>
      </c>
      <c r="E2527" s="1" t="str">
        <f>IFERROR(__xludf.DUMMYFUNCTION("IF(LEN(D2527)&gt;4, IFERROR(REGEXEXTRACT(TO_TEXT(D2527),""\d+""),""""),"""")"),"22171")</f>
        <v>22171</v>
      </c>
      <c r="F2527" s="6" t="str">
        <f t="shared" si="3"/>
        <v>Product</v>
      </c>
      <c r="G2527" s="1" t="s">
        <v>993</v>
      </c>
      <c r="H2527" s="6" t="str">
        <f>IFERROR(__xludf.DUMMYFUNCTION("IF(REGEXMATCH(LOWER(G2527), ""^(\?)+\s*(missing)?\s*(\?)*$""), """", PROPER(SUBSTITUTE(SUBSTITUTE(G2527, ""?"", """"), ""*"", """")))"),"3 Hook Photo Shelf Antique White")</f>
        <v>3 Hook Photo Shelf Antique White</v>
      </c>
      <c r="I2527" s="3">
        <v>2.0</v>
      </c>
      <c r="J2527" s="7">
        <v>40599.38125</v>
      </c>
      <c r="K2527" s="8" t="str">
        <f t="shared" si="4"/>
        <v>2011-02</v>
      </c>
      <c r="L2527" s="5">
        <v>8.5</v>
      </c>
      <c r="M2527" s="3">
        <v>13870.0</v>
      </c>
      <c r="N2527" s="1" t="str">
        <f t="shared" si="5"/>
        <v>Registered</v>
      </c>
      <c r="O2527" s="1" t="s">
        <v>19</v>
      </c>
      <c r="P2527" s="9" t="str">
        <f t="shared" si="6"/>
        <v>UK</v>
      </c>
      <c r="Q2527" s="8">
        <f t="shared" si="7"/>
        <v>17</v>
      </c>
    </row>
    <row r="2528">
      <c r="A2528" s="1">
        <v>544937.0</v>
      </c>
      <c r="B2528" s="1" t="str">
        <f t="shared" si="1"/>
        <v>544937</v>
      </c>
      <c r="C2528" s="1" t="str">
        <f t="shared" si="2"/>
        <v>Sale</v>
      </c>
      <c r="D2528" s="1">
        <v>20712.0</v>
      </c>
      <c r="E2528" s="1" t="str">
        <f>IFERROR(__xludf.DUMMYFUNCTION("IF(LEN(D2528)&gt;4, IFERROR(REGEXEXTRACT(TO_TEXT(D2528),""\d+""),""""),"""")"),"20712")</f>
        <v>20712</v>
      </c>
      <c r="F2528" s="6" t="str">
        <f t="shared" si="3"/>
        <v>Product</v>
      </c>
      <c r="G2528" s="1" t="s">
        <v>698</v>
      </c>
      <c r="H2528" s="6" t="str">
        <f>IFERROR(__xludf.DUMMYFUNCTION("IF(REGEXMATCH(LOWER(G2528), ""^(\?)+\s*(missing)?\s*(\?)*$""), """", PROPER(SUBSTITUTE(SUBSTITUTE(G2528, ""?"", """"), ""*"", """")))"),"Jumbo Bag Woodland Animals")</f>
        <v>Jumbo Bag Woodland Animals</v>
      </c>
      <c r="I2528" s="3">
        <v>10.0</v>
      </c>
      <c r="J2528" s="7">
        <v>40599.42291666667</v>
      </c>
      <c r="K2528" s="8" t="str">
        <f t="shared" si="4"/>
        <v>2011-02</v>
      </c>
      <c r="L2528" s="5">
        <v>1.95</v>
      </c>
      <c r="M2528" s="3">
        <v>12839.0</v>
      </c>
      <c r="N2528" s="1" t="str">
        <f t="shared" si="5"/>
        <v>Registered</v>
      </c>
      <c r="O2528" s="1" t="s">
        <v>19</v>
      </c>
      <c r="P2528" s="9" t="str">
        <f t="shared" si="6"/>
        <v>UK</v>
      </c>
      <c r="Q2528" s="8">
        <f t="shared" si="7"/>
        <v>19.5</v>
      </c>
    </row>
    <row r="2529">
      <c r="A2529" s="1">
        <v>544937.0</v>
      </c>
      <c r="B2529" s="1" t="str">
        <f t="shared" si="1"/>
        <v>544937</v>
      </c>
      <c r="C2529" s="1" t="str">
        <f t="shared" si="2"/>
        <v>Sale</v>
      </c>
      <c r="D2529" s="1">
        <v>21931.0</v>
      </c>
      <c r="E2529" s="1" t="str">
        <f>IFERROR(__xludf.DUMMYFUNCTION("IF(LEN(D2529)&gt;4, IFERROR(REGEXEXTRACT(TO_TEXT(D2529),""\d+""),""""),"""")"),"21931")</f>
        <v>21931</v>
      </c>
      <c r="F2529" s="6" t="str">
        <f t="shared" si="3"/>
        <v>Product</v>
      </c>
      <c r="G2529" s="1" t="s">
        <v>107</v>
      </c>
      <c r="H2529" s="6" t="str">
        <f>IFERROR(__xludf.DUMMYFUNCTION("IF(REGEXMATCH(LOWER(G2529), ""^(\?)+\s*(missing)?\s*(\?)*$""), """", PROPER(SUBSTITUTE(SUBSTITUTE(G2529, ""?"", """"), ""*"", """")))"),"Jumbo Storage Bag Suki")</f>
        <v>Jumbo Storage Bag Suki</v>
      </c>
      <c r="I2529" s="3">
        <v>10.0</v>
      </c>
      <c r="J2529" s="7">
        <v>40599.42291666667</v>
      </c>
      <c r="K2529" s="8" t="str">
        <f t="shared" si="4"/>
        <v>2011-02</v>
      </c>
      <c r="L2529" s="5">
        <v>1.95</v>
      </c>
      <c r="M2529" s="3">
        <v>12839.0</v>
      </c>
      <c r="N2529" s="1" t="str">
        <f t="shared" si="5"/>
        <v>Registered</v>
      </c>
      <c r="O2529" s="1" t="s">
        <v>19</v>
      </c>
      <c r="P2529" s="9" t="str">
        <f t="shared" si="6"/>
        <v>UK</v>
      </c>
      <c r="Q2529" s="8">
        <f t="shared" si="7"/>
        <v>19.5</v>
      </c>
    </row>
    <row r="2530">
      <c r="A2530" s="1">
        <v>544937.0</v>
      </c>
      <c r="B2530" s="1" t="str">
        <f t="shared" si="1"/>
        <v>544937</v>
      </c>
      <c r="C2530" s="1" t="str">
        <f t="shared" si="2"/>
        <v>Sale</v>
      </c>
      <c r="D2530" s="1">
        <v>22663.0</v>
      </c>
      <c r="E2530" s="1" t="str">
        <f>IFERROR(__xludf.DUMMYFUNCTION("IF(LEN(D2530)&gt;4, IFERROR(REGEXEXTRACT(TO_TEXT(D2530),""\d+""),""""),"""")"),"22663")</f>
        <v>22663</v>
      </c>
      <c r="F2530" s="6" t="str">
        <f t="shared" si="3"/>
        <v>Product</v>
      </c>
      <c r="G2530" s="1" t="s">
        <v>175</v>
      </c>
      <c r="H2530" s="6" t="str">
        <f>IFERROR(__xludf.DUMMYFUNCTION("IF(REGEXMATCH(LOWER(G2530), ""^(\?)+\s*(missing)?\s*(\?)*$""), """", PROPER(SUBSTITUTE(SUBSTITUTE(G2530, ""?"", """"), ""*"", """")))"),"Jumbo Bag Dolly Girl Design")</f>
        <v>Jumbo Bag Dolly Girl Design</v>
      </c>
      <c r="I2530" s="3">
        <v>10.0</v>
      </c>
      <c r="J2530" s="7">
        <v>40599.42291666667</v>
      </c>
      <c r="K2530" s="8" t="str">
        <f t="shared" si="4"/>
        <v>2011-02</v>
      </c>
      <c r="L2530" s="5">
        <v>1.95</v>
      </c>
      <c r="M2530" s="3">
        <v>12839.0</v>
      </c>
      <c r="N2530" s="1" t="str">
        <f t="shared" si="5"/>
        <v>Registered</v>
      </c>
      <c r="O2530" s="1" t="s">
        <v>19</v>
      </c>
      <c r="P2530" s="9" t="str">
        <f t="shared" si="6"/>
        <v>UK</v>
      </c>
      <c r="Q2530" s="8">
        <f t="shared" si="7"/>
        <v>19.5</v>
      </c>
    </row>
    <row r="2531">
      <c r="A2531" s="1">
        <v>544937.0</v>
      </c>
      <c r="B2531" s="1" t="str">
        <f t="shared" si="1"/>
        <v>544937</v>
      </c>
      <c r="C2531" s="1" t="str">
        <f t="shared" si="2"/>
        <v>Sale</v>
      </c>
      <c r="D2531" s="1" t="s">
        <v>85</v>
      </c>
      <c r="E2531" s="1" t="str">
        <f>IFERROR(__xludf.DUMMYFUNCTION("IF(LEN(D2531)&gt;4, IFERROR(REGEXEXTRACT(TO_TEXT(D2531),""\d+""),""""),"""")"),"85099")</f>
        <v>85099</v>
      </c>
      <c r="F2531" s="6" t="str">
        <f t="shared" si="3"/>
        <v>Product</v>
      </c>
      <c r="G2531" s="1" t="s">
        <v>86</v>
      </c>
      <c r="H2531" s="6" t="str">
        <f>IFERROR(__xludf.DUMMYFUNCTION("IF(REGEXMATCH(LOWER(G2531), ""^(\?)+\s*(missing)?\s*(\?)*$""), """", PROPER(SUBSTITUTE(SUBSTITUTE(G2531, ""?"", """"), ""*"", """")))"),"Jumbo Bag Baroque Black White")</f>
        <v>Jumbo Bag Baroque Black White</v>
      </c>
      <c r="I2531" s="3">
        <v>10.0</v>
      </c>
      <c r="J2531" s="7">
        <v>40599.42291666667</v>
      </c>
      <c r="K2531" s="8" t="str">
        <f t="shared" si="4"/>
        <v>2011-02</v>
      </c>
      <c r="L2531" s="5">
        <v>1.95</v>
      </c>
      <c r="M2531" s="3">
        <v>12839.0</v>
      </c>
      <c r="N2531" s="1" t="str">
        <f t="shared" si="5"/>
        <v>Registered</v>
      </c>
      <c r="O2531" s="1" t="s">
        <v>19</v>
      </c>
      <c r="P2531" s="9" t="str">
        <f t="shared" si="6"/>
        <v>UK</v>
      </c>
      <c r="Q2531" s="8">
        <f t="shared" si="7"/>
        <v>19.5</v>
      </c>
    </row>
    <row r="2532">
      <c r="A2532" s="1">
        <v>544937.0</v>
      </c>
      <c r="B2532" s="1" t="str">
        <f t="shared" si="1"/>
        <v>544937</v>
      </c>
      <c r="C2532" s="1" t="str">
        <f t="shared" si="2"/>
        <v>Sale</v>
      </c>
      <c r="D2532" s="1" t="s">
        <v>428</v>
      </c>
      <c r="E2532" s="1" t="str">
        <f>IFERROR(__xludf.DUMMYFUNCTION("IF(LEN(D2532)&gt;4, IFERROR(REGEXEXTRACT(TO_TEXT(D2532),""\d+""),""""),"""")"),"85099")</f>
        <v>85099</v>
      </c>
      <c r="F2532" s="6" t="str">
        <f t="shared" si="3"/>
        <v>Product</v>
      </c>
      <c r="G2532" s="1" t="s">
        <v>429</v>
      </c>
      <c r="H2532" s="6" t="str">
        <f>IFERROR(__xludf.DUMMYFUNCTION("IF(REGEXMATCH(LOWER(G2532), ""^(\?)+\s*(missing)?\s*(\?)*$""), """", PROPER(SUBSTITUTE(SUBSTITUTE(G2532, ""?"", """"), ""*"", """")))"),"Jumbo Bag Strawberry")</f>
        <v>Jumbo Bag Strawberry</v>
      </c>
      <c r="I2532" s="3">
        <v>10.0</v>
      </c>
      <c r="J2532" s="7">
        <v>40599.42291666667</v>
      </c>
      <c r="K2532" s="8" t="str">
        <f t="shared" si="4"/>
        <v>2011-02</v>
      </c>
      <c r="L2532" s="5">
        <v>1.95</v>
      </c>
      <c r="M2532" s="3">
        <v>12839.0</v>
      </c>
      <c r="N2532" s="1" t="str">
        <f t="shared" si="5"/>
        <v>Registered</v>
      </c>
      <c r="O2532" s="1" t="s">
        <v>19</v>
      </c>
      <c r="P2532" s="9" t="str">
        <f t="shared" si="6"/>
        <v>UK</v>
      </c>
      <c r="Q2532" s="8">
        <f t="shared" si="7"/>
        <v>19.5</v>
      </c>
    </row>
    <row r="2533">
      <c r="A2533" s="1">
        <v>544937.0</v>
      </c>
      <c r="B2533" s="1" t="str">
        <f t="shared" si="1"/>
        <v>544937</v>
      </c>
      <c r="C2533" s="1" t="str">
        <f t="shared" si="2"/>
        <v>Sale</v>
      </c>
      <c r="D2533" s="1">
        <v>22355.0</v>
      </c>
      <c r="E2533" s="1" t="str">
        <f>IFERROR(__xludf.DUMMYFUNCTION("IF(LEN(D2533)&gt;4, IFERROR(REGEXEXTRACT(TO_TEXT(D2533),""\d+""),""""),"""")"),"22355")</f>
        <v>22355</v>
      </c>
      <c r="F2533" s="6" t="str">
        <f t="shared" si="3"/>
        <v>Product</v>
      </c>
      <c r="G2533" s="1" t="s">
        <v>1169</v>
      </c>
      <c r="H2533" s="6" t="str">
        <f>IFERROR(__xludf.DUMMYFUNCTION("IF(REGEXMATCH(LOWER(G2533), ""^(\?)+\s*(missing)?\s*(\?)*$""), """", PROPER(SUBSTITUTE(SUBSTITUTE(G2533, ""?"", """"), ""*"", """")))"),"Charlotte Bag Suki Design")</f>
        <v>Charlotte Bag Suki Design</v>
      </c>
      <c r="I2533" s="3">
        <v>10.0</v>
      </c>
      <c r="J2533" s="7">
        <v>40599.42291666667</v>
      </c>
      <c r="K2533" s="8" t="str">
        <f t="shared" si="4"/>
        <v>2011-02</v>
      </c>
      <c r="L2533" s="5">
        <v>0.85</v>
      </c>
      <c r="M2533" s="3">
        <v>12839.0</v>
      </c>
      <c r="N2533" s="1" t="str">
        <f t="shared" si="5"/>
        <v>Registered</v>
      </c>
      <c r="O2533" s="1" t="s">
        <v>19</v>
      </c>
      <c r="P2533" s="9" t="str">
        <f t="shared" si="6"/>
        <v>UK</v>
      </c>
      <c r="Q2533" s="8">
        <f t="shared" si="7"/>
        <v>8.5</v>
      </c>
    </row>
    <row r="2534">
      <c r="A2534" s="1">
        <v>544937.0</v>
      </c>
      <c r="B2534" s="1" t="str">
        <f t="shared" si="1"/>
        <v>544937</v>
      </c>
      <c r="C2534" s="1" t="str">
        <f t="shared" si="2"/>
        <v>Sale</v>
      </c>
      <c r="D2534" s="1">
        <v>20723.0</v>
      </c>
      <c r="E2534" s="1" t="str">
        <f>IFERROR(__xludf.DUMMYFUNCTION("IF(LEN(D2534)&gt;4, IFERROR(REGEXEXTRACT(TO_TEXT(D2534),""\d+""),""""),"""")"),"20723")</f>
        <v>20723</v>
      </c>
      <c r="F2534" s="6" t="str">
        <f t="shared" si="3"/>
        <v>Product</v>
      </c>
      <c r="G2534" s="1" t="s">
        <v>88</v>
      </c>
      <c r="H2534" s="6" t="str">
        <f>IFERROR(__xludf.DUMMYFUNCTION("IF(REGEXMATCH(LOWER(G2534), ""^(\?)+\s*(missing)?\s*(\?)*$""), """", PROPER(SUBSTITUTE(SUBSTITUTE(G2534, ""?"", """"), ""*"", """")))"),"Strawberry Charlotte Bag")</f>
        <v>Strawberry Charlotte Bag</v>
      </c>
      <c r="I2534" s="3">
        <v>10.0</v>
      </c>
      <c r="J2534" s="7">
        <v>40599.42291666667</v>
      </c>
      <c r="K2534" s="8" t="str">
        <f t="shared" si="4"/>
        <v>2011-02</v>
      </c>
      <c r="L2534" s="5">
        <v>0.85</v>
      </c>
      <c r="M2534" s="3">
        <v>12839.0</v>
      </c>
      <c r="N2534" s="1" t="str">
        <f t="shared" si="5"/>
        <v>Registered</v>
      </c>
      <c r="O2534" s="1" t="s">
        <v>19</v>
      </c>
      <c r="P2534" s="9" t="str">
        <f t="shared" si="6"/>
        <v>UK</v>
      </c>
      <c r="Q2534" s="8">
        <f t="shared" si="7"/>
        <v>8.5</v>
      </c>
    </row>
    <row r="2535">
      <c r="A2535" s="1">
        <v>544937.0</v>
      </c>
      <c r="B2535" s="1" t="str">
        <f t="shared" si="1"/>
        <v>544937</v>
      </c>
      <c r="C2535" s="1" t="str">
        <f t="shared" si="2"/>
        <v>Sale</v>
      </c>
      <c r="D2535" s="1">
        <v>20724.0</v>
      </c>
      <c r="E2535" s="1" t="str">
        <f>IFERROR(__xludf.DUMMYFUNCTION("IF(LEN(D2535)&gt;4, IFERROR(REGEXEXTRACT(TO_TEXT(D2535),""\d+""),""""),"""")"),"20724")</f>
        <v>20724</v>
      </c>
      <c r="F2535" s="6" t="str">
        <f t="shared" si="3"/>
        <v>Product</v>
      </c>
      <c r="G2535" s="1" t="s">
        <v>701</v>
      </c>
      <c r="H2535" s="6" t="str">
        <f>IFERROR(__xludf.DUMMYFUNCTION("IF(REGEXMATCH(LOWER(G2535), ""^(\?)+\s*(missing)?\s*(\?)*$""), """", PROPER(SUBSTITUTE(SUBSTITUTE(G2535, ""?"", """"), ""*"", """")))"),"Red Retrospot Charlotte Bag")</f>
        <v>Red Retrospot Charlotte Bag</v>
      </c>
      <c r="I2535" s="3">
        <v>10.0</v>
      </c>
      <c r="J2535" s="7">
        <v>40599.42291666667</v>
      </c>
      <c r="K2535" s="8" t="str">
        <f t="shared" si="4"/>
        <v>2011-02</v>
      </c>
      <c r="L2535" s="5">
        <v>0.85</v>
      </c>
      <c r="M2535" s="3">
        <v>12839.0</v>
      </c>
      <c r="N2535" s="1" t="str">
        <f t="shared" si="5"/>
        <v>Registered</v>
      </c>
      <c r="O2535" s="1" t="s">
        <v>19</v>
      </c>
      <c r="P2535" s="9" t="str">
        <f t="shared" si="6"/>
        <v>UK</v>
      </c>
      <c r="Q2535" s="8">
        <f t="shared" si="7"/>
        <v>8.5</v>
      </c>
    </row>
    <row r="2536">
      <c r="A2536" s="1">
        <v>544937.0</v>
      </c>
      <c r="B2536" s="1" t="str">
        <f t="shared" si="1"/>
        <v>544937</v>
      </c>
      <c r="C2536" s="1" t="str">
        <f t="shared" si="2"/>
        <v>Sale</v>
      </c>
      <c r="D2536" s="1">
        <v>22661.0</v>
      </c>
      <c r="E2536" s="1" t="str">
        <f>IFERROR(__xludf.DUMMYFUNCTION("IF(LEN(D2536)&gt;4, IFERROR(REGEXEXTRACT(TO_TEXT(D2536),""\d+""),""""),"""")"),"22661")</f>
        <v>22661</v>
      </c>
      <c r="F2536" s="6" t="str">
        <f t="shared" si="3"/>
        <v>Product</v>
      </c>
      <c r="G2536" s="1" t="s">
        <v>61</v>
      </c>
      <c r="H2536" s="6" t="str">
        <f>IFERROR(__xludf.DUMMYFUNCTION("IF(REGEXMATCH(LOWER(G2536), ""^(\?)+\s*(missing)?\s*(\?)*$""), """", PROPER(SUBSTITUTE(SUBSTITUTE(G2536, ""?"", """"), ""*"", """")))"),"Charlotte Bag Dolly Girl Design")</f>
        <v>Charlotte Bag Dolly Girl Design</v>
      </c>
      <c r="I2536" s="3">
        <v>10.0</v>
      </c>
      <c r="J2536" s="7">
        <v>40599.42291666667</v>
      </c>
      <c r="K2536" s="8" t="str">
        <f t="shared" si="4"/>
        <v>2011-02</v>
      </c>
      <c r="L2536" s="5">
        <v>0.85</v>
      </c>
      <c r="M2536" s="3">
        <v>12839.0</v>
      </c>
      <c r="N2536" s="1" t="str">
        <f t="shared" si="5"/>
        <v>Registered</v>
      </c>
      <c r="O2536" s="1" t="s">
        <v>19</v>
      </c>
      <c r="P2536" s="9" t="str">
        <f t="shared" si="6"/>
        <v>UK</v>
      </c>
      <c r="Q2536" s="8">
        <f t="shared" si="7"/>
        <v>8.5</v>
      </c>
    </row>
    <row r="2537">
      <c r="A2537" s="1">
        <v>544937.0</v>
      </c>
      <c r="B2537" s="1" t="str">
        <f t="shared" si="1"/>
        <v>544937</v>
      </c>
      <c r="C2537" s="1" t="str">
        <f t="shared" si="2"/>
        <v>Sale</v>
      </c>
      <c r="D2537" s="1">
        <v>21164.0</v>
      </c>
      <c r="E2537" s="1" t="str">
        <f>IFERROR(__xludf.DUMMYFUNCTION("IF(LEN(D2537)&gt;4, IFERROR(REGEXEXTRACT(TO_TEXT(D2537),""\d+""),""""),"""")"),"21164")</f>
        <v>21164</v>
      </c>
      <c r="F2537" s="6" t="str">
        <f t="shared" si="3"/>
        <v>Product</v>
      </c>
      <c r="G2537" s="1" t="s">
        <v>872</v>
      </c>
      <c r="H2537" s="6" t="str">
        <f>IFERROR(__xludf.DUMMYFUNCTION("IF(REGEXMATCH(LOWER(G2537), ""^(\?)+\s*(missing)?\s*(\?)*$""), """", PROPER(SUBSTITUTE(SUBSTITUTE(G2537, ""?"", """"), ""*"", """")))"),"Home Sweet Home Metal Sign")</f>
        <v>Home Sweet Home Metal Sign</v>
      </c>
      <c r="I2537" s="3">
        <v>6.0</v>
      </c>
      <c r="J2537" s="7">
        <v>40599.42291666667</v>
      </c>
      <c r="K2537" s="8" t="str">
        <f t="shared" si="4"/>
        <v>2011-02</v>
      </c>
      <c r="L2537" s="5">
        <v>2.95</v>
      </c>
      <c r="M2537" s="3">
        <v>12839.0</v>
      </c>
      <c r="N2537" s="1" t="str">
        <f t="shared" si="5"/>
        <v>Registered</v>
      </c>
      <c r="O2537" s="1" t="s">
        <v>19</v>
      </c>
      <c r="P2537" s="9" t="str">
        <f t="shared" si="6"/>
        <v>UK</v>
      </c>
      <c r="Q2537" s="8">
        <f t="shared" si="7"/>
        <v>17.7</v>
      </c>
    </row>
    <row r="2538">
      <c r="A2538" s="1">
        <v>544937.0</v>
      </c>
      <c r="B2538" s="1" t="str">
        <f t="shared" si="1"/>
        <v>544937</v>
      </c>
      <c r="C2538" s="1" t="str">
        <f t="shared" si="2"/>
        <v>Sale</v>
      </c>
      <c r="D2538" s="1">
        <v>21232.0</v>
      </c>
      <c r="E2538" s="1" t="str">
        <f>IFERROR(__xludf.DUMMYFUNCTION("IF(LEN(D2538)&gt;4, IFERROR(REGEXEXTRACT(TO_TEXT(D2538),""\d+""),""""),"""")"),"21232")</f>
        <v>21232</v>
      </c>
      <c r="F2538" s="6" t="str">
        <f t="shared" si="3"/>
        <v>Product</v>
      </c>
      <c r="G2538" s="1" t="s">
        <v>264</v>
      </c>
      <c r="H2538" s="6" t="str">
        <f>IFERROR(__xludf.DUMMYFUNCTION("IF(REGEXMATCH(LOWER(G2538), ""^(\?)+\s*(missing)?\s*(\?)*$""), """", PROPER(SUBSTITUTE(SUBSTITUTE(G2538, ""?"", """"), ""*"", """")))"),"Strawberry Ceramic Trinket Box")</f>
        <v>Strawberry Ceramic Trinket Box</v>
      </c>
      <c r="I2538" s="3">
        <v>12.0</v>
      </c>
      <c r="J2538" s="7">
        <v>40599.42291666667</v>
      </c>
      <c r="K2538" s="8" t="str">
        <f t="shared" si="4"/>
        <v>2011-02</v>
      </c>
      <c r="L2538" s="5">
        <v>1.25</v>
      </c>
      <c r="M2538" s="3">
        <v>12839.0</v>
      </c>
      <c r="N2538" s="1" t="str">
        <f t="shared" si="5"/>
        <v>Registered</v>
      </c>
      <c r="O2538" s="1" t="s">
        <v>19</v>
      </c>
      <c r="P2538" s="9" t="str">
        <f t="shared" si="6"/>
        <v>UK</v>
      </c>
      <c r="Q2538" s="8">
        <f t="shared" si="7"/>
        <v>15</v>
      </c>
    </row>
    <row r="2539">
      <c r="A2539" s="1">
        <v>544937.0</v>
      </c>
      <c r="B2539" s="1" t="str">
        <f t="shared" si="1"/>
        <v>544937</v>
      </c>
      <c r="C2539" s="1" t="str">
        <f t="shared" si="2"/>
        <v>Sale</v>
      </c>
      <c r="D2539" s="1">
        <v>21231.0</v>
      </c>
      <c r="E2539" s="1" t="str">
        <f>IFERROR(__xludf.DUMMYFUNCTION("IF(LEN(D2539)&gt;4, IFERROR(REGEXEXTRACT(TO_TEXT(D2539),""\d+""),""""),"""")"),"21231")</f>
        <v>21231</v>
      </c>
      <c r="F2539" s="6" t="str">
        <f t="shared" si="3"/>
        <v>Product</v>
      </c>
      <c r="G2539" s="1" t="s">
        <v>1000</v>
      </c>
      <c r="H2539" s="6" t="str">
        <f>IFERROR(__xludf.DUMMYFUNCTION("IF(REGEXMATCH(LOWER(G2539), ""^(\?)+\s*(missing)?\s*(\?)*$""), """", PROPER(SUBSTITUTE(SUBSTITUTE(G2539, ""?"", """"), ""*"", """")))"),"Sweetheart Ceramic Trinket Box")</f>
        <v>Sweetheart Ceramic Trinket Box</v>
      </c>
      <c r="I2539" s="3">
        <v>12.0</v>
      </c>
      <c r="J2539" s="7">
        <v>40599.42291666667</v>
      </c>
      <c r="K2539" s="8" t="str">
        <f t="shared" si="4"/>
        <v>2011-02</v>
      </c>
      <c r="L2539" s="5">
        <v>1.25</v>
      </c>
      <c r="M2539" s="3">
        <v>12839.0</v>
      </c>
      <c r="N2539" s="1" t="str">
        <f t="shared" si="5"/>
        <v>Registered</v>
      </c>
      <c r="O2539" s="1" t="s">
        <v>19</v>
      </c>
      <c r="P2539" s="9" t="str">
        <f t="shared" si="6"/>
        <v>UK</v>
      </c>
      <c r="Q2539" s="8">
        <f t="shared" si="7"/>
        <v>15</v>
      </c>
    </row>
    <row r="2540">
      <c r="A2540" s="1">
        <v>544937.0</v>
      </c>
      <c r="B2540" s="1" t="str">
        <f t="shared" si="1"/>
        <v>544937</v>
      </c>
      <c r="C2540" s="1" t="str">
        <f t="shared" si="2"/>
        <v>Sale</v>
      </c>
      <c r="D2540" s="1">
        <v>22059.0</v>
      </c>
      <c r="E2540" s="1" t="str">
        <f>IFERROR(__xludf.DUMMYFUNCTION("IF(LEN(D2540)&gt;4, IFERROR(REGEXEXTRACT(TO_TEXT(D2540),""\d+""),""""),"""")"),"22059")</f>
        <v>22059</v>
      </c>
      <c r="F2540" s="6" t="str">
        <f t="shared" si="3"/>
        <v>Product</v>
      </c>
      <c r="G2540" s="1" t="s">
        <v>529</v>
      </c>
      <c r="H2540" s="6" t="str">
        <f>IFERROR(__xludf.DUMMYFUNCTION("IF(REGEXMATCH(LOWER(G2540), ""^(\?)+\s*(missing)?\s*(\?)*$""), """", PROPER(SUBSTITUTE(SUBSTITUTE(G2540, ""?"", """"), ""*"", """")))"),"Ceramic Strawberry Design Mug")</f>
        <v>Ceramic Strawberry Design Mug</v>
      </c>
      <c r="I2540" s="3">
        <v>12.0</v>
      </c>
      <c r="J2540" s="7">
        <v>40599.42291666667</v>
      </c>
      <c r="K2540" s="8" t="str">
        <f t="shared" si="4"/>
        <v>2011-02</v>
      </c>
      <c r="L2540" s="5">
        <v>1.49</v>
      </c>
      <c r="M2540" s="3">
        <v>12839.0</v>
      </c>
      <c r="N2540" s="1" t="str">
        <f t="shared" si="5"/>
        <v>Registered</v>
      </c>
      <c r="O2540" s="1" t="s">
        <v>19</v>
      </c>
      <c r="P2540" s="9" t="str">
        <f t="shared" si="6"/>
        <v>UK</v>
      </c>
      <c r="Q2540" s="8">
        <f t="shared" si="7"/>
        <v>17.88</v>
      </c>
    </row>
    <row r="2541">
      <c r="A2541" s="1">
        <v>544937.0</v>
      </c>
      <c r="B2541" s="1" t="str">
        <f t="shared" si="1"/>
        <v>544937</v>
      </c>
      <c r="C2541" s="1" t="str">
        <f t="shared" si="2"/>
        <v>Sale</v>
      </c>
      <c r="D2541" s="1">
        <v>37448.0</v>
      </c>
      <c r="E2541" s="1" t="str">
        <f>IFERROR(__xludf.DUMMYFUNCTION("IF(LEN(D2541)&gt;4, IFERROR(REGEXEXTRACT(TO_TEXT(D2541),""\d+""),""""),"""")"),"37448")</f>
        <v>37448</v>
      </c>
      <c r="F2541" s="6" t="str">
        <f t="shared" si="3"/>
        <v>Product</v>
      </c>
      <c r="G2541" s="1" t="s">
        <v>1024</v>
      </c>
      <c r="H2541" s="6" t="str">
        <f>IFERROR(__xludf.DUMMYFUNCTION("IF(REGEXMATCH(LOWER(G2541), ""^(\?)+\s*(missing)?\s*(\?)*$""), """", PROPER(SUBSTITUTE(SUBSTITUTE(G2541, ""?"", """"), ""*"", """")))"),"Ceramic Cake Design Spotted Mug")</f>
        <v>Ceramic Cake Design Spotted Mug</v>
      </c>
      <c r="I2541" s="3">
        <v>12.0</v>
      </c>
      <c r="J2541" s="7">
        <v>40599.42291666667</v>
      </c>
      <c r="K2541" s="8" t="str">
        <f t="shared" si="4"/>
        <v>2011-02</v>
      </c>
      <c r="L2541" s="5">
        <v>1.49</v>
      </c>
      <c r="M2541" s="3">
        <v>12839.0</v>
      </c>
      <c r="N2541" s="1" t="str">
        <f t="shared" si="5"/>
        <v>Registered</v>
      </c>
      <c r="O2541" s="1" t="s">
        <v>19</v>
      </c>
      <c r="P2541" s="9" t="str">
        <f t="shared" si="6"/>
        <v>UK</v>
      </c>
      <c r="Q2541" s="8">
        <f t="shared" si="7"/>
        <v>17.88</v>
      </c>
    </row>
    <row r="2542">
      <c r="A2542" s="1">
        <v>544937.0</v>
      </c>
      <c r="B2542" s="1" t="str">
        <f t="shared" si="1"/>
        <v>544937</v>
      </c>
      <c r="C2542" s="1" t="str">
        <f t="shared" si="2"/>
        <v>Sale</v>
      </c>
      <c r="D2542" s="1">
        <v>82482.0</v>
      </c>
      <c r="E2542" s="1" t="str">
        <f>IFERROR(__xludf.DUMMYFUNCTION("IF(LEN(D2542)&gt;4, IFERROR(REGEXEXTRACT(TO_TEXT(D2542),""\d+""),""""),"""")"),"82482")</f>
        <v>82482</v>
      </c>
      <c r="F2542" s="6" t="str">
        <f t="shared" si="3"/>
        <v>Product</v>
      </c>
      <c r="G2542" s="1" t="s">
        <v>78</v>
      </c>
      <c r="H2542" s="6" t="str">
        <f>IFERROR(__xludf.DUMMYFUNCTION("IF(REGEXMATCH(LOWER(G2542), ""^(\?)+\s*(missing)?\s*(\?)*$""), """", PROPER(SUBSTITUTE(SUBSTITUTE(G2542, ""?"", """"), ""*"", """")))"),"Wooden Picture Frame White Finish")</f>
        <v>Wooden Picture Frame White Finish</v>
      </c>
      <c r="I2542" s="3">
        <v>6.0</v>
      </c>
      <c r="J2542" s="7">
        <v>40599.42291666667</v>
      </c>
      <c r="K2542" s="8" t="str">
        <f t="shared" si="4"/>
        <v>2011-02</v>
      </c>
      <c r="L2542" s="5">
        <v>2.55</v>
      </c>
      <c r="M2542" s="3">
        <v>12839.0</v>
      </c>
      <c r="N2542" s="1" t="str">
        <f t="shared" si="5"/>
        <v>Registered</v>
      </c>
      <c r="O2542" s="1" t="s">
        <v>19</v>
      </c>
      <c r="P2542" s="9" t="str">
        <f t="shared" si="6"/>
        <v>UK</v>
      </c>
      <c r="Q2542" s="8">
        <f t="shared" si="7"/>
        <v>15.3</v>
      </c>
    </row>
    <row r="2543">
      <c r="A2543" s="1">
        <v>544937.0</v>
      </c>
      <c r="B2543" s="1" t="str">
        <f t="shared" si="1"/>
        <v>544937</v>
      </c>
      <c r="C2543" s="1" t="str">
        <f t="shared" si="2"/>
        <v>Sale</v>
      </c>
      <c r="D2543" s="1">
        <v>82483.0</v>
      </c>
      <c r="E2543" s="1" t="str">
        <f>IFERROR(__xludf.DUMMYFUNCTION("IF(LEN(D2543)&gt;4, IFERROR(REGEXEXTRACT(TO_TEXT(D2543),""\d+""),""""),"""")"),"82483")</f>
        <v>82483</v>
      </c>
      <c r="F2543" s="6" t="str">
        <f t="shared" si="3"/>
        <v>Product</v>
      </c>
      <c r="G2543" s="1" t="s">
        <v>76</v>
      </c>
      <c r="H2543" s="6" t="str">
        <f>IFERROR(__xludf.DUMMYFUNCTION("IF(REGEXMATCH(LOWER(G2543), ""^(\?)+\s*(missing)?\s*(\?)*$""), """", PROPER(SUBSTITUTE(SUBSTITUTE(G2543, ""?"", """"), ""*"", """")))"),"Wood 2 Drawer Cabinet White Finish")</f>
        <v>Wood 2 Drawer Cabinet White Finish</v>
      </c>
      <c r="I2543" s="3">
        <v>2.0</v>
      </c>
      <c r="J2543" s="7">
        <v>40599.42291666667</v>
      </c>
      <c r="K2543" s="8" t="str">
        <f t="shared" si="4"/>
        <v>2011-02</v>
      </c>
      <c r="L2543" s="5">
        <v>6.95</v>
      </c>
      <c r="M2543" s="3">
        <v>12839.0</v>
      </c>
      <c r="N2543" s="1" t="str">
        <f t="shared" si="5"/>
        <v>Registered</v>
      </c>
      <c r="O2543" s="1" t="s">
        <v>19</v>
      </c>
      <c r="P2543" s="9" t="str">
        <f t="shared" si="6"/>
        <v>UK</v>
      </c>
      <c r="Q2543" s="8">
        <f t="shared" si="7"/>
        <v>13.9</v>
      </c>
    </row>
    <row r="2544">
      <c r="A2544" s="1">
        <v>544937.0</v>
      </c>
      <c r="B2544" s="1" t="str">
        <f t="shared" si="1"/>
        <v>544937</v>
      </c>
      <c r="C2544" s="1" t="str">
        <f t="shared" si="2"/>
        <v>Sale</v>
      </c>
      <c r="D2544" s="1">
        <v>22693.0</v>
      </c>
      <c r="E2544" s="1" t="str">
        <f>IFERROR(__xludf.DUMMYFUNCTION("IF(LEN(D2544)&gt;4, IFERROR(REGEXEXTRACT(TO_TEXT(D2544),""\d+""),""""),"""")"),"22693")</f>
        <v>22693</v>
      </c>
      <c r="F2544" s="6" t="str">
        <f t="shared" si="3"/>
        <v>Product</v>
      </c>
      <c r="G2544" s="1" t="s">
        <v>741</v>
      </c>
      <c r="H2544" s="6" t="str">
        <f>IFERROR(__xludf.DUMMYFUNCTION("IF(REGEXMATCH(LOWER(G2544), ""^(\?)+\s*(missing)?\s*(\?)*$""), """", PROPER(SUBSTITUTE(SUBSTITUTE(G2544, ""?"", """"), ""*"", """")))"),"Grow A Flytrap Or Sunflower In Tin")</f>
        <v>Grow A Flytrap Or Sunflower In Tin</v>
      </c>
      <c r="I2544" s="3">
        <v>24.0</v>
      </c>
      <c r="J2544" s="7">
        <v>40599.42291666667</v>
      </c>
      <c r="K2544" s="8" t="str">
        <f t="shared" si="4"/>
        <v>2011-02</v>
      </c>
      <c r="L2544" s="5">
        <v>1.25</v>
      </c>
      <c r="M2544" s="3">
        <v>12839.0</v>
      </c>
      <c r="N2544" s="1" t="str">
        <f t="shared" si="5"/>
        <v>Registered</v>
      </c>
      <c r="O2544" s="1" t="s">
        <v>19</v>
      </c>
      <c r="P2544" s="9" t="str">
        <f t="shared" si="6"/>
        <v>UK</v>
      </c>
      <c r="Q2544" s="8">
        <f t="shared" si="7"/>
        <v>30</v>
      </c>
    </row>
    <row r="2545">
      <c r="A2545" s="1">
        <v>544937.0</v>
      </c>
      <c r="B2545" s="1" t="str">
        <f t="shared" si="1"/>
        <v>544937</v>
      </c>
      <c r="C2545" s="1" t="str">
        <f t="shared" si="2"/>
        <v>Sale</v>
      </c>
      <c r="D2545" s="1">
        <v>22189.0</v>
      </c>
      <c r="E2545" s="1" t="str">
        <f>IFERROR(__xludf.DUMMYFUNCTION("IF(LEN(D2545)&gt;4, IFERROR(REGEXEXTRACT(TO_TEXT(D2545),""\d+""),""""),"""")"),"22189")</f>
        <v>22189</v>
      </c>
      <c r="F2545" s="6" t="str">
        <f t="shared" si="3"/>
        <v>Product</v>
      </c>
      <c r="G2545" s="1" t="s">
        <v>171</v>
      </c>
      <c r="H2545" s="6" t="str">
        <f>IFERROR(__xludf.DUMMYFUNCTION("IF(REGEXMATCH(LOWER(G2545), ""^(\?)+\s*(missing)?\s*(\?)*$""), """", PROPER(SUBSTITUTE(SUBSTITUTE(G2545, ""?"", """"), ""*"", """")))"),"Cream Heart Card Holder")</f>
        <v>Cream Heart Card Holder</v>
      </c>
      <c r="I2545" s="3">
        <v>12.0</v>
      </c>
      <c r="J2545" s="7">
        <v>40599.42291666667</v>
      </c>
      <c r="K2545" s="8" t="str">
        <f t="shared" si="4"/>
        <v>2011-02</v>
      </c>
      <c r="L2545" s="5">
        <v>3.95</v>
      </c>
      <c r="M2545" s="3">
        <v>12839.0</v>
      </c>
      <c r="N2545" s="1" t="str">
        <f t="shared" si="5"/>
        <v>Registered</v>
      </c>
      <c r="O2545" s="1" t="s">
        <v>19</v>
      </c>
      <c r="P2545" s="9" t="str">
        <f t="shared" si="6"/>
        <v>UK</v>
      </c>
      <c r="Q2545" s="8">
        <f t="shared" si="7"/>
        <v>47.4</v>
      </c>
    </row>
    <row r="2546">
      <c r="A2546" s="1">
        <v>544937.0</v>
      </c>
      <c r="B2546" s="1" t="str">
        <f t="shared" si="1"/>
        <v>544937</v>
      </c>
      <c r="C2546" s="1" t="str">
        <f t="shared" si="2"/>
        <v>Sale</v>
      </c>
      <c r="D2546" s="1">
        <v>22197.0</v>
      </c>
      <c r="E2546" s="1" t="str">
        <f>IFERROR(__xludf.DUMMYFUNCTION("IF(LEN(D2546)&gt;4, IFERROR(REGEXEXTRACT(TO_TEXT(D2546),""\d+""),""""),"""")"),"22197")</f>
        <v>22197</v>
      </c>
      <c r="F2546" s="6" t="str">
        <f t="shared" si="3"/>
        <v>Product</v>
      </c>
      <c r="G2546" s="1" t="s">
        <v>217</v>
      </c>
      <c r="H2546" s="6" t="str">
        <f>IFERROR(__xludf.DUMMYFUNCTION("IF(REGEXMATCH(LOWER(G2546), ""^(\?)+\s*(missing)?\s*(\?)*$""), """", PROPER(SUBSTITUTE(SUBSTITUTE(G2546, ""?"", """"), ""*"", """")))"),"Small Popcorn Holder")</f>
        <v>Small Popcorn Holder</v>
      </c>
      <c r="I2546" s="3">
        <v>12.0</v>
      </c>
      <c r="J2546" s="7">
        <v>40599.42291666667</v>
      </c>
      <c r="K2546" s="8" t="str">
        <f t="shared" si="4"/>
        <v>2011-02</v>
      </c>
      <c r="L2546" s="5">
        <v>0.85</v>
      </c>
      <c r="M2546" s="3">
        <v>12839.0</v>
      </c>
      <c r="N2546" s="1" t="str">
        <f t="shared" si="5"/>
        <v>Registered</v>
      </c>
      <c r="O2546" s="1" t="s">
        <v>19</v>
      </c>
      <c r="P2546" s="9" t="str">
        <f t="shared" si="6"/>
        <v>UK</v>
      </c>
      <c r="Q2546" s="8">
        <f t="shared" si="7"/>
        <v>10.2</v>
      </c>
    </row>
    <row r="2547">
      <c r="A2547" s="1">
        <v>544937.0</v>
      </c>
      <c r="B2547" s="1" t="str">
        <f t="shared" si="1"/>
        <v>544937</v>
      </c>
      <c r="C2547" s="1" t="str">
        <f t="shared" si="2"/>
        <v>Sale</v>
      </c>
      <c r="D2547" s="1">
        <v>22064.0</v>
      </c>
      <c r="E2547" s="1" t="str">
        <f>IFERROR(__xludf.DUMMYFUNCTION("IF(LEN(D2547)&gt;4, IFERROR(REGEXEXTRACT(TO_TEXT(D2547),""\d+""),""""),"""")"),"22064")</f>
        <v>22064</v>
      </c>
      <c r="F2547" s="6" t="str">
        <f t="shared" si="3"/>
        <v>Product</v>
      </c>
      <c r="G2547" s="1" t="s">
        <v>265</v>
      </c>
      <c r="H2547" s="6" t="str">
        <f>IFERROR(__xludf.DUMMYFUNCTION("IF(REGEXMATCH(LOWER(G2547), ""^(\?)+\s*(missing)?\s*(\?)*$""), """", PROPER(SUBSTITUTE(SUBSTITUTE(G2547, ""?"", """"), ""*"", """")))"),"Pink Doughnut Trinket Pot")</f>
        <v>Pink Doughnut Trinket Pot</v>
      </c>
      <c r="I2547" s="3">
        <v>12.0</v>
      </c>
      <c r="J2547" s="7">
        <v>40599.42291666667</v>
      </c>
      <c r="K2547" s="8" t="str">
        <f t="shared" si="4"/>
        <v>2011-02</v>
      </c>
      <c r="L2547" s="5">
        <v>1.65</v>
      </c>
      <c r="M2547" s="3">
        <v>12839.0</v>
      </c>
      <c r="N2547" s="1" t="str">
        <f t="shared" si="5"/>
        <v>Registered</v>
      </c>
      <c r="O2547" s="1" t="s">
        <v>19</v>
      </c>
      <c r="P2547" s="9" t="str">
        <f t="shared" si="6"/>
        <v>UK</v>
      </c>
      <c r="Q2547" s="8">
        <f t="shared" si="7"/>
        <v>19.8</v>
      </c>
    </row>
    <row r="2548">
      <c r="A2548" s="1">
        <v>544938.0</v>
      </c>
      <c r="B2548" s="1" t="str">
        <f t="shared" si="1"/>
        <v>544938</v>
      </c>
      <c r="C2548" s="1" t="str">
        <f t="shared" si="2"/>
        <v>Sale</v>
      </c>
      <c r="D2548" s="1">
        <v>22659.0</v>
      </c>
      <c r="E2548" s="1" t="str">
        <f>IFERROR(__xludf.DUMMYFUNCTION("IF(LEN(D2548)&gt;4, IFERROR(REGEXEXTRACT(TO_TEXT(D2548),""\d+""),""""),"""")"),"22659")</f>
        <v>22659</v>
      </c>
      <c r="F2548" s="6" t="str">
        <f t="shared" si="3"/>
        <v>Product</v>
      </c>
      <c r="G2548" s="1" t="s">
        <v>59</v>
      </c>
      <c r="H2548" s="6" t="str">
        <f>IFERROR(__xludf.DUMMYFUNCTION("IF(REGEXMATCH(LOWER(G2548), ""^(\?)+\s*(missing)?\s*(\?)*$""), """", PROPER(SUBSTITUTE(SUBSTITUTE(G2548, ""?"", """"), ""*"", """")))"),"Lunch Box I Love London")</f>
        <v>Lunch Box I Love London</v>
      </c>
      <c r="I2548" s="3">
        <v>1.0</v>
      </c>
      <c r="J2548" s="7">
        <v>40599.42361111111</v>
      </c>
      <c r="K2548" s="8" t="str">
        <f t="shared" si="4"/>
        <v>2011-02</v>
      </c>
      <c r="L2548" s="5">
        <v>1.95</v>
      </c>
      <c r="M2548" s="10"/>
      <c r="N2548" s="1" t="str">
        <f t="shared" si="5"/>
        <v>Guest</v>
      </c>
      <c r="O2548" s="1" t="s">
        <v>19</v>
      </c>
      <c r="P2548" s="9" t="str">
        <f t="shared" si="6"/>
        <v>UK</v>
      </c>
      <c r="Q2548" s="8">
        <f t="shared" si="7"/>
        <v>1.95</v>
      </c>
    </row>
    <row r="2549">
      <c r="A2549" s="1">
        <v>544938.0</v>
      </c>
      <c r="B2549" s="1" t="str">
        <f t="shared" si="1"/>
        <v>544938</v>
      </c>
      <c r="C2549" s="1" t="str">
        <f t="shared" si="2"/>
        <v>Sale</v>
      </c>
      <c r="D2549" s="1" t="s">
        <v>17</v>
      </c>
      <c r="E2549" s="1" t="str">
        <f>IFERROR(__xludf.DUMMYFUNCTION("IF(LEN(D2549)&gt;4, IFERROR(REGEXEXTRACT(TO_TEXT(D2549),""\d+""),""""),"""")"),"85123")</f>
        <v>85123</v>
      </c>
      <c r="F2549" s="6" t="str">
        <f t="shared" si="3"/>
        <v>Product</v>
      </c>
      <c r="G2549" s="1" t="s">
        <v>18</v>
      </c>
      <c r="H2549" s="6" t="str">
        <f>IFERROR(__xludf.DUMMYFUNCTION("IF(REGEXMATCH(LOWER(G2549), ""^(\?)+\s*(missing)?\s*(\?)*$""), """", PROPER(SUBSTITUTE(SUBSTITUTE(G2549, ""?"", """"), ""*"", """")))"),"White Hanging Heart T-Light Holder")</f>
        <v>White Hanging Heart T-Light Holder</v>
      </c>
      <c r="I2549" s="3">
        <v>10.0</v>
      </c>
      <c r="J2549" s="7">
        <v>40599.42361111111</v>
      </c>
      <c r="K2549" s="8" t="str">
        <f t="shared" si="4"/>
        <v>2011-02</v>
      </c>
      <c r="L2549" s="5">
        <v>2.95</v>
      </c>
      <c r="M2549" s="10"/>
      <c r="N2549" s="1" t="str">
        <f t="shared" si="5"/>
        <v>Guest</v>
      </c>
      <c r="O2549" s="1" t="s">
        <v>19</v>
      </c>
      <c r="P2549" s="9" t="str">
        <f t="shared" si="6"/>
        <v>UK</v>
      </c>
      <c r="Q2549" s="8">
        <f t="shared" si="7"/>
        <v>29.5</v>
      </c>
    </row>
    <row r="2550">
      <c r="A2550" s="1">
        <v>544938.0</v>
      </c>
      <c r="B2550" s="1" t="str">
        <f t="shared" si="1"/>
        <v>544938</v>
      </c>
      <c r="C2550" s="1" t="str">
        <f t="shared" si="2"/>
        <v>Sale</v>
      </c>
      <c r="D2550" s="1">
        <v>21621.0</v>
      </c>
      <c r="E2550" s="1" t="str">
        <f>IFERROR(__xludf.DUMMYFUNCTION("IF(LEN(D2550)&gt;4, IFERROR(REGEXEXTRACT(TO_TEXT(D2550),""\d+""),""""),"""")"),"21621")</f>
        <v>21621</v>
      </c>
      <c r="F2550" s="6" t="str">
        <f t="shared" si="3"/>
        <v>Product</v>
      </c>
      <c r="G2550" s="1" t="s">
        <v>620</v>
      </c>
      <c r="H2550" s="6" t="str">
        <f>IFERROR(__xludf.DUMMYFUNCTION("IF(REGEXMATCH(LOWER(G2550), ""^(\?)+\s*(missing)?\s*(\?)*$""), """", PROPER(SUBSTITUTE(SUBSTITUTE(G2550, ""?"", """"), ""*"", """")))"),"Vintage Union Jack Bunting")</f>
        <v>Vintage Union Jack Bunting</v>
      </c>
      <c r="I2550" s="3">
        <v>3.0</v>
      </c>
      <c r="J2550" s="7">
        <v>40599.42361111111</v>
      </c>
      <c r="K2550" s="8" t="str">
        <f t="shared" si="4"/>
        <v>2011-02</v>
      </c>
      <c r="L2550" s="5">
        <v>8.5</v>
      </c>
      <c r="M2550" s="10"/>
      <c r="N2550" s="1" t="str">
        <f t="shared" si="5"/>
        <v>Guest</v>
      </c>
      <c r="O2550" s="1" t="s">
        <v>19</v>
      </c>
      <c r="P2550" s="9" t="str">
        <f t="shared" si="6"/>
        <v>UK</v>
      </c>
      <c r="Q2550" s="8">
        <f t="shared" si="7"/>
        <v>25.5</v>
      </c>
    </row>
    <row r="2551">
      <c r="A2551" s="1">
        <v>544938.0</v>
      </c>
      <c r="B2551" s="1" t="str">
        <f t="shared" si="1"/>
        <v>544938</v>
      </c>
      <c r="C2551" s="1" t="str">
        <f t="shared" si="2"/>
        <v>Sale</v>
      </c>
      <c r="D2551" s="1">
        <v>22791.0</v>
      </c>
      <c r="E2551" s="1" t="str">
        <f>IFERROR(__xludf.DUMMYFUNCTION("IF(LEN(D2551)&gt;4, IFERROR(REGEXEXTRACT(TO_TEXT(D2551),""\d+""),""""),"""")"),"22791")</f>
        <v>22791</v>
      </c>
      <c r="F2551" s="6" t="str">
        <f t="shared" si="3"/>
        <v>Product</v>
      </c>
      <c r="G2551" s="1" t="s">
        <v>1110</v>
      </c>
      <c r="H2551" s="6" t="str">
        <f>IFERROR(__xludf.DUMMYFUNCTION("IF(REGEXMATCH(LOWER(G2551), ""^(\?)+\s*(missing)?\s*(\?)*$""), """", PROPER(SUBSTITUTE(SUBSTITUTE(G2551, ""?"", """"), ""*"", """")))"),"T-Light Glass Fluted Antique")</f>
        <v>T-Light Glass Fluted Antique</v>
      </c>
      <c r="I2551" s="3">
        <v>60.0</v>
      </c>
      <c r="J2551" s="7">
        <v>40599.42361111111</v>
      </c>
      <c r="K2551" s="8" t="str">
        <f t="shared" si="4"/>
        <v>2011-02</v>
      </c>
      <c r="L2551" s="5">
        <v>1.25</v>
      </c>
      <c r="M2551" s="10"/>
      <c r="N2551" s="1" t="str">
        <f t="shared" si="5"/>
        <v>Guest</v>
      </c>
      <c r="O2551" s="1" t="s">
        <v>19</v>
      </c>
      <c r="P2551" s="9" t="str">
        <f t="shared" si="6"/>
        <v>UK</v>
      </c>
      <c r="Q2551" s="8">
        <f t="shared" si="7"/>
        <v>75</v>
      </c>
    </row>
    <row r="2552">
      <c r="A2552" s="1">
        <v>544938.0</v>
      </c>
      <c r="B2552" s="1" t="str">
        <f t="shared" si="1"/>
        <v>544938</v>
      </c>
      <c r="C2552" s="1" t="str">
        <f t="shared" si="2"/>
        <v>Sale</v>
      </c>
      <c r="D2552" s="1">
        <v>84946.0</v>
      </c>
      <c r="E2552" s="1" t="str">
        <f>IFERROR(__xludf.DUMMYFUNCTION("IF(LEN(D2552)&gt;4, IFERROR(REGEXEXTRACT(TO_TEXT(D2552),""\d+""),""""),"""")"),"84946")</f>
        <v>84946</v>
      </c>
      <c r="F2552" s="6" t="str">
        <f t="shared" si="3"/>
        <v>Product</v>
      </c>
      <c r="G2552" s="1" t="s">
        <v>1251</v>
      </c>
      <c r="H2552" s="6" t="str">
        <f>IFERROR(__xludf.DUMMYFUNCTION("IF(REGEXMATCH(LOWER(G2552), ""^(\?)+\s*(missing)?\s*(\?)*$""), """", PROPER(SUBSTITUTE(SUBSTITUTE(G2552, ""?"", """"), ""*"", """")))"),"Antique Silver Tea Glass Etched")</f>
        <v>Antique Silver Tea Glass Etched</v>
      </c>
      <c r="I2552" s="3">
        <v>44.0</v>
      </c>
      <c r="J2552" s="7">
        <v>40599.42361111111</v>
      </c>
      <c r="K2552" s="8" t="str">
        <f t="shared" si="4"/>
        <v>2011-02</v>
      </c>
      <c r="L2552" s="5">
        <v>1.25</v>
      </c>
      <c r="M2552" s="10"/>
      <c r="N2552" s="1" t="str">
        <f t="shared" si="5"/>
        <v>Guest</v>
      </c>
      <c r="O2552" s="1" t="s">
        <v>19</v>
      </c>
      <c r="P2552" s="9" t="str">
        <f t="shared" si="6"/>
        <v>UK</v>
      </c>
      <c r="Q2552" s="8">
        <f t="shared" si="7"/>
        <v>55</v>
      </c>
    </row>
    <row r="2553">
      <c r="A2553" s="1">
        <v>544939.0</v>
      </c>
      <c r="B2553" s="1" t="str">
        <f t="shared" si="1"/>
        <v>544939</v>
      </c>
      <c r="C2553" s="1" t="str">
        <f t="shared" si="2"/>
        <v>Sale</v>
      </c>
      <c r="D2553" s="1">
        <v>22585.0</v>
      </c>
      <c r="E2553" s="1" t="str">
        <f>IFERROR(__xludf.DUMMYFUNCTION("IF(LEN(D2553)&gt;4, IFERROR(REGEXEXTRACT(TO_TEXT(D2553),""\d+""),""""),"""")"),"22585")</f>
        <v>22585</v>
      </c>
      <c r="F2553" s="6" t="str">
        <f t="shared" si="3"/>
        <v>Product</v>
      </c>
      <c r="G2553" s="1" t="s">
        <v>520</v>
      </c>
      <c r="H2553" s="6" t="str">
        <f>IFERROR(__xludf.DUMMYFUNCTION("IF(REGEXMATCH(LOWER(G2553), ""^(\?)+\s*(missing)?\s*(\?)*$""), """", PROPER(SUBSTITUTE(SUBSTITUTE(G2553, ""?"", """"), ""*"", """")))"),"Pack Of 6 Birdy Gift Tags")</f>
        <v>Pack Of 6 Birdy Gift Tags</v>
      </c>
      <c r="I2553" s="3">
        <v>12.0</v>
      </c>
      <c r="J2553" s="7">
        <v>40599.42361111111</v>
      </c>
      <c r="K2553" s="8" t="str">
        <f t="shared" si="4"/>
        <v>2011-02</v>
      </c>
      <c r="L2553" s="5">
        <v>1.25</v>
      </c>
      <c r="M2553" s="3">
        <v>17034.0</v>
      </c>
      <c r="N2553" s="1" t="str">
        <f t="shared" si="5"/>
        <v>Registered</v>
      </c>
      <c r="O2553" s="1" t="s">
        <v>19</v>
      </c>
      <c r="P2553" s="9" t="str">
        <f t="shared" si="6"/>
        <v>UK</v>
      </c>
      <c r="Q2553" s="8">
        <f t="shared" si="7"/>
        <v>15</v>
      </c>
    </row>
    <row r="2554">
      <c r="A2554" s="1">
        <v>544939.0</v>
      </c>
      <c r="B2554" s="1" t="str">
        <f t="shared" si="1"/>
        <v>544939</v>
      </c>
      <c r="C2554" s="1" t="str">
        <f t="shared" si="2"/>
        <v>Sale</v>
      </c>
      <c r="D2554" s="1" t="s">
        <v>344</v>
      </c>
      <c r="E2554" s="1" t="str">
        <f>IFERROR(__xludf.DUMMYFUNCTION("IF(LEN(D2554)&gt;4, IFERROR(REGEXEXTRACT(TO_TEXT(D2554),""\d+""),""""),"""")"),"85049")</f>
        <v>85049</v>
      </c>
      <c r="F2554" s="6" t="str">
        <f t="shared" si="3"/>
        <v>Product</v>
      </c>
      <c r="G2554" s="1" t="s">
        <v>345</v>
      </c>
      <c r="H2554" s="6" t="str">
        <f>IFERROR(__xludf.DUMMYFUNCTION("IF(REGEXMATCH(LOWER(G2554), ""^(\?)+\s*(missing)?\s*(\?)*$""), """", PROPER(SUBSTITUTE(SUBSTITUTE(G2554, ""?"", """"), ""*"", """")))"),"Chocolate Box Ribbons")</f>
        <v>Chocolate Box Ribbons</v>
      </c>
      <c r="I2554" s="3">
        <v>12.0</v>
      </c>
      <c r="J2554" s="7">
        <v>40599.42361111111</v>
      </c>
      <c r="K2554" s="8" t="str">
        <f t="shared" si="4"/>
        <v>2011-02</v>
      </c>
      <c r="L2554" s="5">
        <v>1.25</v>
      </c>
      <c r="M2554" s="3">
        <v>17034.0</v>
      </c>
      <c r="N2554" s="1" t="str">
        <f t="shared" si="5"/>
        <v>Registered</v>
      </c>
      <c r="O2554" s="1" t="s">
        <v>19</v>
      </c>
      <c r="P2554" s="9" t="str">
        <f t="shared" si="6"/>
        <v>UK</v>
      </c>
      <c r="Q2554" s="8">
        <f t="shared" si="7"/>
        <v>15</v>
      </c>
    </row>
    <row r="2555">
      <c r="A2555" s="1">
        <v>544939.0</v>
      </c>
      <c r="B2555" s="1" t="str">
        <f t="shared" si="1"/>
        <v>544939</v>
      </c>
      <c r="C2555" s="1" t="str">
        <f t="shared" si="2"/>
        <v>Sale</v>
      </c>
      <c r="D2555" s="1">
        <v>21621.0</v>
      </c>
      <c r="E2555" s="1" t="str">
        <f>IFERROR(__xludf.DUMMYFUNCTION("IF(LEN(D2555)&gt;4, IFERROR(REGEXEXTRACT(TO_TEXT(D2555),""\d+""),""""),"""")"),"21621")</f>
        <v>21621</v>
      </c>
      <c r="F2555" s="6" t="str">
        <f t="shared" si="3"/>
        <v>Product</v>
      </c>
      <c r="G2555" s="1" t="s">
        <v>620</v>
      </c>
      <c r="H2555" s="6" t="str">
        <f>IFERROR(__xludf.DUMMYFUNCTION("IF(REGEXMATCH(LOWER(G2555), ""^(\?)+\s*(missing)?\s*(\?)*$""), """", PROPER(SUBSTITUTE(SUBSTITUTE(G2555, ""?"", """"), ""*"", """")))"),"Vintage Union Jack Bunting")</f>
        <v>Vintage Union Jack Bunting</v>
      </c>
      <c r="I2555" s="3">
        <v>2.0</v>
      </c>
      <c r="J2555" s="7">
        <v>40599.42361111111</v>
      </c>
      <c r="K2555" s="8" t="str">
        <f t="shared" si="4"/>
        <v>2011-02</v>
      </c>
      <c r="L2555" s="5">
        <v>8.5</v>
      </c>
      <c r="M2555" s="3">
        <v>17034.0</v>
      </c>
      <c r="N2555" s="1" t="str">
        <f t="shared" si="5"/>
        <v>Registered</v>
      </c>
      <c r="O2555" s="1" t="s">
        <v>19</v>
      </c>
      <c r="P2555" s="9" t="str">
        <f t="shared" si="6"/>
        <v>UK</v>
      </c>
      <c r="Q2555" s="8">
        <f t="shared" si="7"/>
        <v>17</v>
      </c>
    </row>
    <row r="2556">
      <c r="A2556" s="1">
        <v>544939.0</v>
      </c>
      <c r="B2556" s="1" t="str">
        <f t="shared" si="1"/>
        <v>544939</v>
      </c>
      <c r="C2556" s="1" t="str">
        <f t="shared" si="2"/>
        <v>Sale</v>
      </c>
      <c r="D2556" s="1">
        <v>85062.0</v>
      </c>
      <c r="E2556" s="1" t="str">
        <f>IFERROR(__xludf.DUMMYFUNCTION("IF(LEN(D2556)&gt;4, IFERROR(REGEXEXTRACT(TO_TEXT(D2556),""\d+""),""""),"""")"),"85062")</f>
        <v>85062</v>
      </c>
      <c r="F2556" s="6" t="str">
        <f t="shared" si="3"/>
        <v>Product</v>
      </c>
      <c r="G2556" s="1" t="s">
        <v>1303</v>
      </c>
      <c r="H2556" s="6" t="str">
        <f>IFERROR(__xludf.DUMMYFUNCTION("IF(REGEXMATCH(LOWER(G2556), ""^(\?)+\s*(missing)?\s*(\?)*$""), """", PROPER(SUBSTITUTE(SUBSTITUTE(G2556, ""?"", """"), ""*"", """")))"),"Pearl Crystal Pumpkin T-Light Hldr")</f>
        <v>Pearl Crystal Pumpkin T-Light Hldr</v>
      </c>
      <c r="I2556" s="3">
        <v>48.0</v>
      </c>
      <c r="J2556" s="7">
        <v>40599.42361111111</v>
      </c>
      <c r="K2556" s="8" t="str">
        <f t="shared" si="4"/>
        <v>2011-02</v>
      </c>
      <c r="L2556" s="5">
        <v>1.45</v>
      </c>
      <c r="M2556" s="3">
        <v>17034.0</v>
      </c>
      <c r="N2556" s="1" t="str">
        <f t="shared" si="5"/>
        <v>Registered</v>
      </c>
      <c r="O2556" s="1" t="s">
        <v>19</v>
      </c>
      <c r="P2556" s="9" t="str">
        <f t="shared" si="6"/>
        <v>UK</v>
      </c>
      <c r="Q2556" s="8">
        <f t="shared" si="7"/>
        <v>69.6</v>
      </c>
    </row>
    <row r="2557">
      <c r="A2557" s="1">
        <v>544939.0</v>
      </c>
      <c r="B2557" s="1" t="str">
        <f t="shared" si="1"/>
        <v>544939</v>
      </c>
      <c r="C2557" s="1" t="str">
        <f t="shared" si="2"/>
        <v>Sale</v>
      </c>
      <c r="D2557" s="1">
        <v>22178.0</v>
      </c>
      <c r="E2557" s="1" t="str">
        <f>IFERROR(__xludf.DUMMYFUNCTION("IF(LEN(D2557)&gt;4, IFERROR(REGEXEXTRACT(TO_TEXT(D2557),""\d+""),""""),"""")"),"22178")</f>
        <v>22178</v>
      </c>
      <c r="F2557" s="6" t="str">
        <f t="shared" si="3"/>
        <v>Product</v>
      </c>
      <c r="G2557" s="1" t="s">
        <v>369</v>
      </c>
      <c r="H2557" s="6" t="str">
        <f>IFERROR(__xludf.DUMMYFUNCTION("IF(REGEXMATCH(LOWER(G2557), ""^(\?)+\s*(missing)?\s*(\?)*$""), """", PROPER(SUBSTITUTE(SUBSTITUTE(G2557, ""?"", """"), ""*"", """")))"),"Victorian Glass Hanging T-Light")</f>
        <v>Victorian Glass Hanging T-Light</v>
      </c>
      <c r="I2557" s="3">
        <v>12.0</v>
      </c>
      <c r="J2557" s="7">
        <v>40599.42361111111</v>
      </c>
      <c r="K2557" s="8" t="str">
        <f t="shared" si="4"/>
        <v>2011-02</v>
      </c>
      <c r="L2557" s="5">
        <v>1.25</v>
      </c>
      <c r="M2557" s="3">
        <v>17034.0</v>
      </c>
      <c r="N2557" s="1" t="str">
        <f t="shared" si="5"/>
        <v>Registered</v>
      </c>
      <c r="O2557" s="1" t="s">
        <v>19</v>
      </c>
      <c r="P2557" s="9" t="str">
        <f t="shared" si="6"/>
        <v>UK</v>
      </c>
      <c r="Q2557" s="8">
        <f t="shared" si="7"/>
        <v>15</v>
      </c>
    </row>
    <row r="2558">
      <c r="A2558" s="1">
        <v>544939.0</v>
      </c>
      <c r="B2558" s="1" t="str">
        <f t="shared" si="1"/>
        <v>544939</v>
      </c>
      <c r="C2558" s="1" t="str">
        <f t="shared" si="2"/>
        <v>Sale</v>
      </c>
      <c r="D2558" s="1">
        <v>22219.0</v>
      </c>
      <c r="E2558" s="1" t="str">
        <f>IFERROR(__xludf.DUMMYFUNCTION("IF(LEN(D2558)&gt;4, IFERROR(REGEXEXTRACT(TO_TEXT(D2558),""\d+""),""""),"""")"),"22219")</f>
        <v>22219</v>
      </c>
      <c r="F2558" s="6" t="str">
        <f t="shared" si="3"/>
        <v>Product</v>
      </c>
      <c r="G2558" s="1" t="s">
        <v>377</v>
      </c>
      <c r="H2558" s="6" t="str">
        <f>IFERROR(__xludf.DUMMYFUNCTION("IF(REGEXMATCH(LOWER(G2558), ""^(\?)+\s*(missing)?\s*(\?)*$""), """", PROPER(SUBSTITUTE(SUBSTITUTE(G2558, ""?"", """"), ""*"", """")))"),"Lovebird Hanging Decoration White")</f>
        <v>Lovebird Hanging Decoration White</v>
      </c>
      <c r="I2558" s="3">
        <v>12.0</v>
      </c>
      <c r="J2558" s="7">
        <v>40599.42361111111</v>
      </c>
      <c r="K2558" s="8" t="str">
        <f t="shared" si="4"/>
        <v>2011-02</v>
      </c>
      <c r="L2558" s="5">
        <v>0.85</v>
      </c>
      <c r="M2558" s="3">
        <v>17034.0</v>
      </c>
      <c r="N2558" s="1" t="str">
        <f t="shared" si="5"/>
        <v>Registered</v>
      </c>
      <c r="O2558" s="1" t="s">
        <v>19</v>
      </c>
      <c r="P2558" s="9" t="str">
        <f t="shared" si="6"/>
        <v>UK</v>
      </c>
      <c r="Q2558" s="8">
        <f t="shared" si="7"/>
        <v>10.2</v>
      </c>
    </row>
    <row r="2559">
      <c r="A2559" s="1">
        <v>544940.0</v>
      </c>
      <c r="B2559" s="1" t="str">
        <f t="shared" si="1"/>
        <v>544940</v>
      </c>
      <c r="C2559" s="1" t="str">
        <f t="shared" si="2"/>
        <v>Sale</v>
      </c>
      <c r="D2559" s="1">
        <v>20725.0</v>
      </c>
      <c r="E2559" s="1" t="str">
        <f>IFERROR(__xludf.DUMMYFUNCTION("IF(LEN(D2559)&gt;4, IFERROR(REGEXEXTRACT(TO_TEXT(D2559),""\d+""),""""),"""")"),"20725")</f>
        <v>20725</v>
      </c>
      <c r="F2559" s="6" t="str">
        <f t="shared" si="3"/>
        <v>Product</v>
      </c>
      <c r="G2559" s="1" t="s">
        <v>94</v>
      </c>
      <c r="H2559" s="6" t="str">
        <f>IFERROR(__xludf.DUMMYFUNCTION("IF(REGEXMATCH(LOWER(G2559), ""^(\?)+\s*(missing)?\s*(\?)*$""), """", PROPER(SUBSTITUTE(SUBSTITUTE(G2559, ""?"", """"), ""*"", """")))"),"Lunch Bag Red Retrospot")</f>
        <v>Lunch Bag Red Retrospot</v>
      </c>
      <c r="I2559" s="3">
        <v>10.0</v>
      </c>
      <c r="J2559" s="7">
        <v>40599.42986111111</v>
      </c>
      <c r="K2559" s="8" t="str">
        <f t="shared" si="4"/>
        <v>2011-02</v>
      </c>
      <c r="L2559" s="5">
        <v>1.65</v>
      </c>
      <c r="M2559" s="3">
        <v>16592.0</v>
      </c>
      <c r="N2559" s="1" t="str">
        <f t="shared" si="5"/>
        <v>Registered</v>
      </c>
      <c r="O2559" s="1" t="s">
        <v>19</v>
      </c>
      <c r="P2559" s="9" t="str">
        <f t="shared" si="6"/>
        <v>UK</v>
      </c>
      <c r="Q2559" s="8">
        <f t="shared" si="7"/>
        <v>16.5</v>
      </c>
    </row>
    <row r="2560">
      <c r="A2560" s="1">
        <v>544940.0</v>
      </c>
      <c r="B2560" s="1" t="str">
        <f t="shared" si="1"/>
        <v>544940</v>
      </c>
      <c r="C2560" s="1" t="str">
        <f t="shared" si="2"/>
        <v>Sale</v>
      </c>
      <c r="D2560" s="1">
        <v>21094.0</v>
      </c>
      <c r="E2560" s="1" t="str">
        <f>IFERROR(__xludf.DUMMYFUNCTION("IF(LEN(D2560)&gt;4, IFERROR(REGEXEXTRACT(TO_TEXT(D2560),""\d+""),""""),"""")"),"21094")</f>
        <v>21094</v>
      </c>
      <c r="F2560" s="6" t="str">
        <f t="shared" si="3"/>
        <v>Product</v>
      </c>
      <c r="G2560" s="1" t="s">
        <v>93</v>
      </c>
      <c r="H2560" s="6" t="str">
        <f>IFERROR(__xludf.DUMMYFUNCTION("IF(REGEXMATCH(LOWER(G2560), ""^(\?)+\s*(missing)?\s*(\?)*$""), """", PROPER(SUBSTITUTE(SUBSTITUTE(G2560, ""?"", """"), ""*"", """")))"),"Set/6 Red Spotty Paper Plates")</f>
        <v>Set/6 Red Spotty Paper Plates</v>
      </c>
      <c r="I2560" s="3">
        <v>12.0</v>
      </c>
      <c r="J2560" s="7">
        <v>40599.42986111111</v>
      </c>
      <c r="K2560" s="8" t="str">
        <f t="shared" si="4"/>
        <v>2011-02</v>
      </c>
      <c r="L2560" s="5">
        <v>0.85</v>
      </c>
      <c r="M2560" s="3">
        <v>16592.0</v>
      </c>
      <c r="N2560" s="1" t="str">
        <f t="shared" si="5"/>
        <v>Registered</v>
      </c>
      <c r="O2560" s="1" t="s">
        <v>19</v>
      </c>
      <c r="P2560" s="9" t="str">
        <f t="shared" si="6"/>
        <v>UK</v>
      </c>
      <c r="Q2560" s="8">
        <f t="shared" si="7"/>
        <v>10.2</v>
      </c>
    </row>
    <row r="2561">
      <c r="A2561" s="1">
        <v>544940.0</v>
      </c>
      <c r="B2561" s="1" t="str">
        <f t="shared" si="1"/>
        <v>544940</v>
      </c>
      <c r="C2561" s="1" t="str">
        <f t="shared" si="2"/>
        <v>Sale</v>
      </c>
      <c r="D2561" s="1">
        <v>21039.0</v>
      </c>
      <c r="E2561" s="1" t="str">
        <f>IFERROR(__xludf.DUMMYFUNCTION("IF(LEN(D2561)&gt;4, IFERROR(REGEXEXTRACT(TO_TEXT(D2561),""\d+""),""""),"""")"),"21039")</f>
        <v>21039</v>
      </c>
      <c r="F2561" s="6" t="str">
        <f t="shared" si="3"/>
        <v>Product</v>
      </c>
      <c r="G2561" s="1" t="s">
        <v>1008</v>
      </c>
      <c r="H2561" s="6" t="str">
        <f>IFERROR(__xludf.DUMMYFUNCTION("IF(REGEXMATCH(LOWER(G2561), ""^(\?)+\s*(missing)?\s*(\?)*$""), """", PROPER(SUBSTITUTE(SUBSTITUTE(G2561, ""?"", """"), ""*"", """")))"),"Red Retrospot Shopping Bag")</f>
        <v>Red Retrospot Shopping Bag</v>
      </c>
      <c r="I2561" s="3">
        <v>6.0</v>
      </c>
      <c r="J2561" s="7">
        <v>40599.42986111111</v>
      </c>
      <c r="K2561" s="8" t="str">
        <f t="shared" si="4"/>
        <v>2011-02</v>
      </c>
      <c r="L2561" s="5">
        <v>2.55</v>
      </c>
      <c r="M2561" s="3">
        <v>16592.0</v>
      </c>
      <c r="N2561" s="1" t="str">
        <f t="shared" si="5"/>
        <v>Registered</v>
      </c>
      <c r="O2561" s="1" t="s">
        <v>19</v>
      </c>
      <c r="P2561" s="9" t="str">
        <f t="shared" si="6"/>
        <v>UK</v>
      </c>
      <c r="Q2561" s="8">
        <f t="shared" si="7"/>
        <v>15.3</v>
      </c>
    </row>
    <row r="2562">
      <c r="A2562" s="1">
        <v>544940.0</v>
      </c>
      <c r="B2562" s="1" t="str">
        <f t="shared" si="1"/>
        <v>544940</v>
      </c>
      <c r="C2562" s="1" t="str">
        <f t="shared" si="2"/>
        <v>Sale</v>
      </c>
      <c r="D2562" s="1">
        <v>22667.0</v>
      </c>
      <c r="E2562" s="1" t="str">
        <f>IFERROR(__xludf.DUMMYFUNCTION("IF(LEN(D2562)&gt;4, IFERROR(REGEXEXTRACT(TO_TEXT(D2562),""\d+""),""""),"""")"),"22667")</f>
        <v>22667</v>
      </c>
      <c r="F2562" s="6" t="str">
        <f t="shared" si="3"/>
        <v>Product</v>
      </c>
      <c r="G2562" s="1" t="s">
        <v>1004</v>
      </c>
      <c r="H2562" s="6" t="str">
        <f>IFERROR(__xludf.DUMMYFUNCTION("IF(REGEXMATCH(LOWER(G2562), ""^(\?)+\s*(missing)?\s*(\?)*$""), """", PROPER(SUBSTITUTE(SUBSTITUTE(G2562, ""?"", """"), ""*"", """")))"),"Recipe Box Retrospot")</f>
        <v>Recipe Box Retrospot</v>
      </c>
      <c r="I2562" s="3">
        <v>6.0</v>
      </c>
      <c r="J2562" s="7">
        <v>40599.42986111111</v>
      </c>
      <c r="K2562" s="8" t="str">
        <f t="shared" si="4"/>
        <v>2011-02</v>
      </c>
      <c r="L2562" s="5">
        <v>2.95</v>
      </c>
      <c r="M2562" s="3">
        <v>16592.0</v>
      </c>
      <c r="N2562" s="1" t="str">
        <f t="shared" si="5"/>
        <v>Registered</v>
      </c>
      <c r="O2562" s="1" t="s">
        <v>19</v>
      </c>
      <c r="P2562" s="9" t="str">
        <f t="shared" si="6"/>
        <v>UK</v>
      </c>
      <c r="Q2562" s="8">
        <f t="shared" si="7"/>
        <v>17.7</v>
      </c>
    </row>
    <row r="2563">
      <c r="A2563" s="1">
        <v>544940.0</v>
      </c>
      <c r="B2563" s="1" t="str">
        <f t="shared" si="1"/>
        <v>544940</v>
      </c>
      <c r="C2563" s="1" t="str">
        <f t="shared" si="2"/>
        <v>Sale</v>
      </c>
      <c r="D2563" s="1">
        <v>21212.0</v>
      </c>
      <c r="E2563" s="1" t="str">
        <f>IFERROR(__xludf.DUMMYFUNCTION("IF(LEN(D2563)&gt;4, IFERROR(REGEXEXTRACT(TO_TEXT(D2563),""\d+""),""""),"""")"),"21212")</f>
        <v>21212</v>
      </c>
      <c r="F2563" s="6" t="str">
        <f t="shared" si="3"/>
        <v>Product</v>
      </c>
      <c r="G2563" s="1" t="s">
        <v>97</v>
      </c>
      <c r="H2563" s="6" t="str">
        <f>IFERROR(__xludf.DUMMYFUNCTION("IF(REGEXMATCH(LOWER(G2563), ""^(\?)+\s*(missing)?\s*(\?)*$""), """", PROPER(SUBSTITUTE(SUBSTITUTE(G2563, ""?"", """"), ""*"", """")))"),"Pack Of 72 Retrospot Cake Cases")</f>
        <v>Pack Of 72 Retrospot Cake Cases</v>
      </c>
      <c r="I2563" s="3">
        <v>24.0</v>
      </c>
      <c r="J2563" s="7">
        <v>40599.42986111111</v>
      </c>
      <c r="K2563" s="8" t="str">
        <f t="shared" si="4"/>
        <v>2011-02</v>
      </c>
      <c r="L2563" s="5">
        <v>0.55</v>
      </c>
      <c r="M2563" s="3">
        <v>16592.0</v>
      </c>
      <c r="N2563" s="1" t="str">
        <f t="shared" si="5"/>
        <v>Registered</v>
      </c>
      <c r="O2563" s="1" t="s">
        <v>19</v>
      </c>
      <c r="P2563" s="9" t="str">
        <f t="shared" si="6"/>
        <v>UK</v>
      </c>
      <c r="Q2563" s="8">
        <f t="shared" si="7"/>
        <v>13.2</v>
      </c>
    </row>
    <row r="2564">
      <c r="A2564" s="1">
        <v>544940.0</v>
      </c>
      <c r="B2564" s="1" t="str">
        <f t="shared" si="1"/>
        <v>544940</v>
      </c>
      <c r="C2564" s="1" t="str">
        <f t="shared" si="2"/>
        <v>Sale</v>
      </c>
      <c r="D2564" s="1">
        <v>21156.0</v>
      </c>
      <c r="E2564" s="1" t="str">
        <f>IFERROR(__xludf.DUMMYFUNCTION("IF(LEN(D2564)&gt;4, IFERROR(REGEXEXTRACT(TO_TEXT(D2564),""\d+""),""""),"""")"),"21156")</f>
        <v>21156</v>
      </c>
      <c r="F2564" s="6" t="str">
        <f t="shared" si="3"/>
        <v>Product</v>
      </c>
      <c r="G2564" s="1" t="s">
        <v>536</v>
      </c>
      <c r="H2564" s="6" t="str">
        <f>IFERROR(__xludf.DUMMYFUNCTION("IF(REGEXMATCH(LOWER(G2564), ""^(\?)+\s*(missing)?\s*(\?)*$""), """", PROPER(SUBSTITUTE(SUBSTITUTE(G2564, ""?"", """"), ""*"", """")))"),"Retrospot Childrens Apron")</f>
        <v>Retrospot Childrens Apron</v>
      </c>
      <c r="I2564" s="3">
        <v>8.0</v>
      </c>
      <c r="J2564" s="7">
        <v>40599.42986111111</v>
      </c>
      <c r="K2564" s="8" t="str">
        <f t="shared" si="4"/>
        <v>2011-02</v>
      </c>
      <c r="L2564" s="5">
        <v>1.95</v>
      </c>
      <c r="M2564" s="3">
        <v>16592.0</v>
      </c>
      <c r="N2564" s="1" t="str">
        <f t="shared" si="5"/>
        <v>Registered</v>
      </c>
      <c r="O2564" s="1" t="s">
        <v>19</v>
      </c>
      <c r="P2564" s="9" t="str">
        <f t="shared" si="6"/>
        <v>UK</v>
      </c>
      <c r="Q2564" s="8">
        <f t="shared" si="7"/>
        <v>15.6</v>
      </c>
    </row>
    <row r="2565">
      <c r="A2565" s="1">
        <v>544940.0</v>
      </c>
      <c r="B2565" s="1" t="str">
        <f t="shared" si="1"/>
        <v>544940</v>
      </c>
      <c r="C2565" s="1" t="str">
        <f t="shared" si="2"/>
        <v>Sale</v>
      </c>
      <c r="D2565" s="1">
        <v>20914.0</v>
      </c>
      <c r="E2565" s="1" t="str">
        <f>IFERROR(__xludf.DUMMYFUNCTION("IF(LEN(D2565)&gt;4, IFERROR(REGEXEXTRACT(TO_TEXT(D2565),""\d+""),""""),"""")"),"20914")</f>
        <v>20914</v>
      </c>
      <c r="F2565" s="6" t="str">
        <f t="shared" si="3"/>
        <v>Product</v>
      </c>
      <c r="G2565" s="1" t="s">
        <v>359</v>
      </c>
      <c r="H2565" s="6" t="str">
        <f>IFERROR(__xludf.DUMMYFUNCTION("IF(REGEXMATCH(LOWER(G2565), ""^(\?)+\s*(missing)?\s*(\?)*$""), """", PROPER(SUBSTITUTE(SUBSTITUTE(G2565, ""?"", """"), ""*"", """")))"),"Set/5 Red Retrospot Lid Glass Bowls")</f>
        <v>Set/5 Red Retrospot Lid Glass Bowls</v>
      </c>
      <c r="I2565" s="3">
        <v>6.0</v>
      </c>
      <c r="J2565" s="7">
        <v>40599.42986111111</v>
      </c>
      <c r="K2565" s="8" t="str">
        <f t="shared" si="4"/>
        <v>2011-02</v>
      </c>
      <c r="L2565" s="5">
        <v>2.95</v>
      </c>
      <c r="M2565" s="3">
        <v>16592.0</v>
      </c>
      <c r="N2565" s="1" t="str">
        <f t="shared" si="5"/>
        <v>Registered</v>
      </c>
      <c r="O2565" s="1" t="s">
        <v>19</v>
      </c>
      <c r="P2565" s="9" t="str">
        <f t="shared" si="6"/>
        <v>UK</v>
      </c>
      <c r="Q2565" s="8">
        <f t="shared" si="7"/>
        <v>17.7</v>
      </c>
    </row>
    <row r="2566">
      <c r="A2566" s="1">
        <v>544940.0</v>
      </c>
      <c r="B2566" s="1" t="str">
        <f t="shared" si="1"/>
        <v>544940</v>
      </c>
      <c r="C2566" s="1" t="str">
        <f t="shared" si="2"/>
        <v>Sale</v>
      </c>
      <c r="D2566" s="1">
        <v>22567.0</v>
      </c>
      <c r="E2566" s="1" t="str">
        <f>IFERROR(__xludf.DUMMYFUNCTION("IF(LEN(D2566)&gt;4, IFERROR(REGEXEXTRACT(TO_TEXT(D2566),""\d+""),""""),"""")"),"22567")</f>
        <v>22567</v>
      </c>
      <c r="F2566" s="6" t="str">
        <f t="shared" si="3"/>
        <v>Product</v>
      </c>
      <c r="G2566" s="1" t="s">
        <v>1304</v>
      </c>
      <c r="H2566" s="6" t="str">
        <f>IFERROR(__xludf.DUMMYFUNCTION("IF(REGEXMATCH(LOWER(G2566), ""^(\?)+\s*(missing)?\s*(\?)*$""), """", PROPER(SUBSTITUTE(SUBSTITUTE(G2566, ""?"", """"), ""*"", """")))"),"20 Dolly Pegs Retrospot")</f>
        <v>20 Dolly Pegs Retrospot</v>
      </c>
      <c r="I2566" s="3">
        <v>12.0</v>
      </c>
      <c r="J2566" s="7">
        <v>40599.42986111111</v>
      </c>
      <c r="K2566" s="8" t="str">
        <f t="shared" si="4"/>
        <v>2011-02</v>
      </c>
      <c r="L2566" s="5">
        <v>1.25</v>
      </c>
      <c r="M2566" s="3">
        <v>16592.0</v>
      </c>
      <c r="N2566" s="1" t="str">
        <f t="shared" si="5"/>
        <v>Registered</v>
      </c>
      <c r="O2566" s="1" t="s">
        <v>19</v>
      </c>
      <c r="P2566" s="9" t="str">
        <f t="shared" si="6"/>
        <v>UK</v>
      </c>
      <c r="Q2566" s="8">
        <f t="shared" si="7"/>
        <v>15</v>
      </c>
    </row>
    <row r="2567">
      <c r="A2567" s="1">
        <v>544940.0</v>
      </c>
      <c r="B2567" s="1" t="str">
        <f t="shared" si="1"/>
        <v>544940</v>
      </c>
      <c r="C2567" s="1" t="str">
        <f t="shared" si="2"/>
        <v>Sale</v>
      </c>
      <c r="D2567" s="1">
        <v>22699.0</v>
      </c>
      <c r="E2567" s="1" t="str">
        <f>IFERROR(__xludf.DUMMYFUNCTION("IF(LEN(D2567)&gt;4, IFERROR(REGEXEXTRACT(TO_TEXT(D2567),""\d+""),""""),"""")"),"22699")</f>
        <v>22699</v>
      </c>
      <c r="F2567" s="6" t="str">
        <f t="shared" si="3"/>
        <v>Product</v>
      </c>
      <c r="G2567" s="1" t="s">
        <v>684</v>
      </c>
      <c r="H2567" s="6" t="str">
        <f>IFERROR(__xludf.DUMMYFUNCTION("IF(REGEXMATCH(LOWER(G2567), ""^(\?)+\s*(missing)?\s*(\?)*$""), """", PROPER(SUBSTITUTE(SUBSTITUTE(G2567, ""?"", """"), ""*"", """")))"),"Roses Regency Teacup And Saucer")</f>
        <v>Roses Regency Teacup And Saucer</v>
      </c>
      <c r="I2567" s="3">
        <v>6.0</v>
      </c>
      <c r="J2567" s="7">
        <v>40599.42986111111</v>
      </c>
      <c r="K2567" s="8" t="str">
        <f t="shared" si="4"/>
        <v>2011-02</v>
      </c>
      <c r="L2567" s="5">
        <v>2.95</v>
      </c>
      <c r="M2567" s="3">
        <v>16592.0</v>
      </c>
      <c r="N2567" s="1" t="str">
        <f t="shared" si="5"/>
        <v>Registered</v>
      </c>
      <c r="O2567" s="1" t="s">
        <v>19</v>
      </c>
      <c r="P2567" s="9" t="str">
        <f t="shared" si="6"/>
        <v>UK</v>
      </c>
      <c r="Q2567" s="8">
        <f t="shared" si="7"/>
        <v>17.7</v>
      </c>
    </row>
    <row r="2568">
      <c r="A2568" s="1">
        <v>544940.0</v>
      </c>
      <c r="B2568" s="1" t="str">
        <f t="shared" si="1"/>
        <v>544940</v>
      </c>
      <c r="C2568" s="1" t="str">
        <f t="shared" si="2"/>
        <v>Sale</v>
      </c>
      <c r="D2568" s="1">
        <v>22315.0</v>
      </c>
      <c r="E2568" s="1" t="str">
        <f>IFERROR(__xludf.DUMMYFUNCTION("IF(LEN(D2568)&gt;4, IFERROR(REGEXEXTRACT(TO_TEXT(D2568),""\d+""),""""),"""")"),"22315")</f>
        <v>22315</v>
      </c>
      <c r="F2568" s="6" t="str">
        <f t="shared" si="3"/>
        <v>Product</v>
      </c>
      <c r="G2568" s="1" t="s">
        <v>1305</v>
      </c>
      <c r="H2568" s="6" t="str">
        <f>IFERROR(__xludf.DUMMYFUNCTION("IF(REGEXMATCH(LOWER(G2568), ""^(\?)+\s*(missing)?\s*(\?)*$""), """", PROPER(SUBSTITUTE(SUBSTITUTE(G2568, ""?"", """"), ""*"", """")))"),"200 Red + White Bendy Straws")</f>
        <v>200 Red + White Bendy Straws</v>
      </c>
      <c r="I2568" s="3">
        <v>12.0</v>
      </c>
      <c r="J2568" s="7">
        <v>40599.42986111111</v>
      </c>
      <c r="K2568" s="8" t="str">
        <f t="shared" si="4"/>
        <v>2011-02</v>
      </c>
      <c r="L2568" s="5">
        <v>1.25</v>
      </c>
      <c r="M2568" s="3">
        <v>16592.0</v>
      </c>
      <c r="N2568" s="1" t="str">
        <f t="shared" si="5"/>
        <v>Registered</v>
      </c>
      <c r="O2568" s="1" t="s">
        <v>19</v>
      </c>
      <c r="P2568" s="9" t="str">
        <f t="shared" si="6"/>
        <v>UK</v>
      </c>
      <c r="Q2568" s="8">
        <f t="shared" si="7"/>
        <v>15</v>
      </c>
    </row>
    <row r="2569">
      <c r="A2569" s="1">
        <v>544940.0</v>
      </c>
      <c r="B2569" s="1" t="str">
        <f t="shared" si="1"/>
        <v>544940</v>
      </c>
      <c r="C2569" s="1" t="str">
        <f t="shared" si="2"/>
        <v>Sale</v>
      </c>
      <c r="D2569" s="1" t="s">
        <v>1020</v>
      </c>
      <c r="E2569" s="1" t="str">
        <f>IFERROR(__xludf.DUMMYFUNCTION("IF(LEN(D2569)&gt;4, IFERROR(REGEXEXTRACT(TO_TEXT(D2569),""\d+""),""""),"""")"),"47591")</f>
        <v>47591</v>
      </c>
      <c r="F2569" s="6" t="str">
        <f t="shared" si="3"/>
        <v>Product</v>
      </c>
      <c r="G2569" s="1" t="s">
        <v>1021</v>
      </c>
      <c r="H2569" s="6" t="str">
        <f>IFERROR(__xludf.DUMMYFUNCTION("IF(REGEXMATCH(LOWER(G2569), ""^(\?)+\s*(missing)?\s*(\?)*$""), """", PROPER(SUBSTITUTE(SUBSTITUTE(G2569, ""?"", """"), ""*"", """")))"),"Pink Fairy Cake Childrens Apron")</f>
        <v>Pink Fairy Cake Childrens Apron</v>
      </c>
      <c r="I2569" s="3">
        <v>8.0</v>
      </c>
      <c r="J2569" s="7">
        <v>40599.42986111111</v>
      </c>
      <c r="K2569" s="8" t="str">
        <f t="shared" si="4"/>
        <v>2011-02</v>
      </c>
      <c r="L2569" s="5">
        <v>1.95</v>
      </c>
      <c r="M2569" s="3">
        <v>16592.0</v>
      </c>
      <c r="N2569" s="1" t="str">
        <f t="shared" si="5"/>
        <v>Registered</v>
      </c>
      <c r="O2569" s="1" t="s">
        <v>19</v>
      </c>
      <c r="P2569" s="9" t="str">
        <f t="shared" si="6"/>
        <v>UK</v>
      </c>
      <c r="Q2569" s="8">
        <f t="shared" si="7"/>
        <v>15.6</v>
      </c>
    </row>
    <row r="2570">
      <c r="A2570" s="1">
        <v>544940.0</v>
      </c>
      <c r="B2570" s="1" t="str">
        <f t="shared" si="1"/>
        <v>544940</v>
      </c>
      <c r="C2570" s="1" t="str">
        <f t="shared" si="2"/>
        <v>Sale</v>
      </c>
      <c r="D2570" s="1">
        <v>79000.0</v>
      </c>
      <c r="E2570" s="1" t="str">
        <f>IFERROR(__xludf.DUMMYFUNCTION("IF(LEN(D2570)&gt;4, IFERROR(REGEXEXTRACT(TO_TEXT(D2570),""\d+""),""""),"""")"),"79000")</f>
        <v>79000</v>
      </c>
      <c r="F2570" s="6" t="str">
        <f t="shared" si="3"/>
        <v>Product</v>
      </c>
      <c r="G2570" s="1" t="s">
        <v>863</v>
      </c>
      <c r="H2570" s="6" t="str">
        <f>IFERROR(__xludf.DUMMYFUNCTION("IF(REGEXMATCH(LOWER(G2570), ""^(\?)+\s*(missing)?\s*(\?)*$""), """", PROPER(SUBSTITUTE(SUBSTITUTE(G2570, ""?"", """"), ""*"", """")))"),"Moroccan Tea Glass")</f>
        <v>Moroccan Tea Glass</v>
      </c>
      <c r="I2570" s="3">
        <v>12.0</v>
      </c>
      <c r="J2570" s="7">
        <v>40599.42986111111</v>
      </c>
      <c r="K2570" s="8" t="str">
        <f t="shared" si="4"/>
        <v>2011-02</v>
      </c>
      <c r="L2570" s="5">
        <v>0.85</v>
      </c>
      <c r="M2570" s="3">
        <v>16592.0</v>
      </c>
      <c r="N2570" s="1" t="str">
        <f t="shared" si="5"/>
        <v>Registered</v>
      </c>
      <c r="O2570" s="1" t="s">
        <v>19</v>
      </c>
      <c r="P2570" s="9" t="str">
        <f t="shared" si="6"/>
        <v>UK</v>
      </c>
      <c r="Q2570" s="8">
        <f t="shared" si="7"/>
        <v>10.2</v>
      </c>
    </row>
    <row r="2571">
      <c r="A2571" s="1">
        <v>544940.0</v>
      </c>
      <c r="B2571" s="1" t="str">
        <f t="shared" si="1"/>
        <v>544940</v>
      </c>
      <c r="C2571" s="1" t="str">
        <f t="shared" si="2"/>
        <v>Sale</v>
      </c>
      <c r="D2571" s="1">
        <v>22191.0</v>
      </c>
      <c r="E2571" s="1" t="str">
        <f>IFERROR(__xludf.DUMMYFUNCTION("IF(LEN(D2571)&gt;4, IFERROR(REGEXEXTRACT(TO_TEXT(D2571),""\d+""),""""),"""")"),"22191")</f>
        <v>22191</v>
      </c>
      <c r="F2571" s="6" t="str">
        <f t="shared" si="3"/>
        <v>Product</v>
      </c>
      <c r="G2571" s="1" t="s">
        <v>207</v>
      </c>
      <c r="H2571" s="6" t="str">
        <f>IFERROR(__xludf.DUMMYFUNCTION("IF(REGEXMATCH(LOWER(G2571), ""^(\?)+\s*(missing)?\s*(\?)*$""), """", PROPER(SUBSTITUTE(SUBSTITUTE(G2571, ""?"", """"), ""*"", """")))"),"Ivory Diner Wall Clock")</f>
        <v>Ivory Diner Wall Clock</v>
      </c>
      <c r="I2571" s="3">
        <v>2.0</v>
      </c>
      <c r="J2571" s="7">
        <v>40599.42986111111</v>
      </c>
      <c r="K2571" s="8" t="str">
        <f t="shared" si="4"/>
        <v>2011-02</v>
      </c>
      <c r="L2571" s="5">
        <v>8.5</v>
      </c>
      <c r="M2571" s="3">
        <v>16592.0</v>
      </c>
      <c r="N2571" s="1" t="str">
        <f t="shared" si="5"/>
        <v>Registered</v>
      </c>
      <c r="O2571" s="1" t="s">
        <v>19</v>
      </c>
      <c r="P2571" s="9" t="str">
        <f t="shared" si="6"/>
        <v>UK</v>
      </c>
      <c r="Q2571" s="8">
        <f t="shared" si="7"/>
        <v>17</v>
      </c>
    </row>
    <row r="2572">
      <c r="A2572" s="1">
        <v>544940.0</v>
      </c>
      <c r="B2572" s="1" t="str">
        <f t="shared" si="1"/>
        <v>544940</v>
      </c>
      <c r="C2572" s="1" t="str">
        <f t="shared" si="2"/>
        <v>Sale</v>
      </c>
      <c r="D2572" s="1">
        <v>22624.0</v>
      </c>
      <c r="E2572" s="1" t="str">
        <f>IFERROR(__xludf.DUMMYFUNCTION("IF(LEN(D2572)&gt;4, IFERROR(REGEXEXTRACT(TO_TEXT(D2572),""\d+""),""""),"""")"),"22624")</f>
        <v>22624</v>
      </c>
      <c r="F2572" s="6" t="str">
        <f t="shared" si="3"/>
        <v>Product</v>
      </c>
      <c r="G2572" s="1" t="s">
        <v>771</v>
      </c>
      <c r="H2572" s="6" t="str">
        <f>IFERROR(__xludf.DUMMYFUNCTION("IF(REGEXMATCH(LOWER(G2572), ""^(\?)+\s*(missing)?\s*(\?)*$""), """", PROPER(SUBSTITUTE(SUBSTITUTE(G2572, ""?"", """"), ""*"", """")))"),"Ivory Kitchen Scales")</f>
        <v>Ivory Kitchen Scales</v>
      </c>
      <c r="I2572" s="3">
        <v>2.0</v>
      </c>
      <c r="J2572" s="7">
        <v>40599.42986111111</v>
      </c>
      <c r="K2572" s="8" t="str">
        <f t="shared" si="4"/>
        <v>2011-02</v>
      </c>
      <c r="L2572" s="5">
        <v>8.5</v>
      </c>
      <c r="M2572" s="3">
        <v>16592.0</v>
      </c>
      <c r="N2572" s="1" t="str">
        <f t="shared" si="5"/>
        <v>Registered</v>
      </c>
      <c r="O2572" s="1" t="s">
        <v>19</v>
      </c>
      <c r="P2572" s="9" t="str">
        <f t="shared" si="6"/>
        <v>UK</v>
      </c>
      <c r="Q2572" s="8">
        <f t="shared" si="7"/>
        <v>17</v>
      </c>
    </row>
    <row r="2573">
      <c r="A2573" s="1">
        <v>544940.0</v>
      </c>
      <c r="B2573" s="1" t="str">
        <f t="shared" si="1"/>
        <v>544940</v>
      </c>
      <c r="C2573" s="1" t="str">
        <f t="shared" si="2"/>
        <v>Sale</v>
      </c>
      <c r="D2573" s="1">
        <v>21621.0</v>
      </c>
      <c r="E2573" s="1" t="str">
        <f>IFERROR(__xludf.DUMMYFUNCTION("IF(LEN(D2573)&gt;4, IFERROR(REGEXEXTRACT(TO_TEXT(D2573),""\d+""),""""),"""")"),"21621")</f>
        <v>21621</v>
      </c>
      <c r="F2573" s="6" t="str">
        <f t="shared" si="3"/>
        <v>Product</v>
      </c>
      <c r="G2573" s="1" t="s">
        <v>620</v>
      </c>
      <c r="H2573" s="6" t="str">
        <f>IFERROR(__xludf.DUMMYFUNCTION("IF(REGEXMATCH(LOWER(G2573), ""^(\?)+\s*(missing)?\s*(\?)*$""), """", PROPER(SUBSTITUTE(SUBSTITUTE(G2573, ""?"", """"), ""*"", """")))"),"Vintage Union Jack Bunting")</f>
        <v>Vintage Union Jack Bunting</v>
      </c>
      <c r="I2573" s="3">
        <v>2.0</v>
      </c>
      <c r="J2573" s="7">
        <v>40599.42986111111</v>
      </c>
      <c r="K2573" s="8" t="str">
        <f t="shared" si="4"/>
        <v>2011-02</v>
      </c>
      <c r="L2573" s="5">
        <v>8.5</v>
      </c>
      <c r="M2573" s="3">
        <v>16592.0</v>
      </c>
      <c r="N2573" s="1" t="str">
        <f t="shared" si="5"/>
        <v>Registered</v>
      </c>
      <c r="O2573" s="1" t="s">
        <v>19</v>
      </c>
      <c r="P2573" s="9" t="str">
        <f t="shared" si="6"/>
        <v>UK</v>
      </c>
      <c r="Q2573" s="8">
        <f t="shared" si="7"/>
        <v>17</v>
      </c>
    </row>
    <row r="2574">
      <c r="A2574" s="1">
        <v>544940.0</v>
      </c>
      <c r="B2574" s="1" t="str">
        <f t="shared" si="1"/>
        <v>544940</v>
      </c>
      <c r="C2574" s="1" t="str">
        <f t="shared" si="2"/>
        <v>Sale</v>
      </c>
      <c r="D2574" s="1">
        <v>22989.0</v>
      </c>
      <c r="E2574" s="1" t="str">
        <f>IFERROR(__xludf.DUMMYFUNCTION("IF(LEN(D2574)&gt;4, IFERROR(REGEXEXTRACT(TO_TEXT(D2574),""\d+""),""""),"""")"),"22989")</f>
        <v>22989</v>
      </c>
      <c r="F2574" s="6" t="str">
        <f t="shared" si="3"/>
        <v>Product</v>
      </c>
      <c r="G2574" s="1" t="s">
        <v>1046</v>
      </c>
      <c r="H2574" s="6" t="str">
        <f>IFERROR(__xludf.DUMMYFUNCTION("IF(REGEXMATCH(LOWER(G2574), ""^(\?)+\s*(missing)?\s*(\?)*$""), """", PROPER(SUBSTITUTE(SUBSTITUTE(G2574, ""?"", """"), ""*"", """")))"),"Set 2 Pantry Design Tea Towels")</f>
        <v>Set 2 Pantry Design Tea Towels</v>
      </c>
      <c r="I2574" s="3">
        <v>6.0</v>
      </c>
      <c r="J2574" s="7">
        <v>40599.42986111111</v>
      </c>
      <c r="K2574" s="8" t="str">
        <f t="shared" si="4"/>
        <v>2011-02</v>
      </c>
      <c r="L2574" s="5">
        <v>3.25</v>
      </c>
      <c r="M2574" s="3">
        <v>16592.0</v>
      </c>
      <c r="N2574" s="1" t="str">
        <f t="shared" si="5"/>
        <v>Registered</v>
      </c>
      <c r="O2574" s="1" t="s">
        <v>19</v>
      </c>
      <c r="P2574" s="9" t="str">
        <f t="shared" si="6"/>
        <v>UK</v>
      </c>
      <c r="Q2574" s="8">
        <f t="shared" si="7"/>
        <v>19.5</v>
      </c>
    </row>
    <row r="2575">
      <c r="A2575" s="1">
        <v>544940.0</v>
      </c>
      <c r="B2575" s="1" t="str">
        <f t="shared" si="1"/>
        <v>544940</v>
      </c>
      <c r="C2575" s="1" t="str">
        <f t="shared" si="2"/>
        <v>Sale</v>
      </c>
      <c r="D2575" s="1">
        <v>22990.0</v>
      </c>
      <c r="E2575" s="1" t="str">
        <f>IFERROR(__xludf.DUMMYFUNCTION("IF(LEN(D2575)&gt;4, IFERROR(REGEXEXTRACT(TO_TEXT(D2575),""\d+""),""""),"""")"),"22990")</f>
        <v>22990</v>
      </c>
      <c r="F2575" s="6" t="str">
        <f t="shared" si="3"/>
        <v>Product</v>
      </c>
      <c r="G2575" s="1" t="s">
        <v>1164</v>
      </c>
      <c r="H2575" s="6" t="str">
        <f>IFERROR(__xludf.DUMMYFUNCTION("IF(REGEXMATCH(LOWER(G2575), ""^(\?)+\s*(missing)?\s*(\?)*$""), """", PROPER(SUBSTITUTE(SUBSTITUTE(G2575, ""?"", """"), ""*"", """")))"),"Cotton Apron Pantry Design")</f>
        <v>Cotton Apron Pantry Design</v>
      </c>
      <c r="I2575" s="3">
        <v>2.0</v>
      </c>
      <c r="J2575" s="7">
        <v>40599.42986111111</v>
      </c>
      <c r="K2575" s="8" t="str">
        <f t="shared" si="4"/>
        <v>2011-02</v>
      </c>
      <c r="L2575" s="5">
        <v>4.95</v>
      </c>
      <c r="M2575" s="3">
        <v>16592.0</v>
      </c>
      <c r="N2575" s="1" t="str">
        <f t="shared" si="5"/>
        <v>Registered</v>
      </c>
      <c r="O2575" s="1" t="s">
        <v>19</v>
      </c>
      <c r="P2575" s="9" t="str">
        <f t="shared" si="6"/>
        <v>UK</v>
      </c>
      <c r="Q2575" s="8">
        <f t="shared" si="7"/>
        <v>9.9</v>
      </c>
    </row>
    <row r="2576">
      <c r="A2576" s="1">
        <v>544940.0</v>
      </c>
      <c r="B2576" s="1" t="str">
        <f t="shared" si="1"/>
        <v>544940</v>
      </c>
      <c r="C2576" s="1" t="str">
        <f t="shared" si="2"/>
        <v>Sale</v>
      </c>
      <c r="D2576" s="1">
        <v>22907.0</v>
      </c>
      <c r="E2576" s="1" t="str">
        <f>IFERROR(__xludf.DUMMYFUNCTION("IF(LEN(D2576)&gt;4, IFERROR(REGEXEXTRACT(TO_TEXT(D2576),""\d+""),""""),"""")"),"22907")</f>
        <v>22907</v>
      </c>
      <c r="F2576" s="6" t="str">
        <f t="shared" si="3"/>
        <v>Product</v>
      </c>
      <c r="G2576" s="1" t="s">
        <v>691</v>
      </c>
      <c r="H2576" s="6" t="str">
        <f>IFERROR(__xludf.DUMMYFUNCTION("IF(REGEXMATCH(LOWER(G2576), ""^(\?)+\s*(missing)?\s*(\?)*$""), """", PROPER(SUBSTITUTE(SUBSTITUTE(G2576, ""?"", """"), ""*"", """")))"),"Pack Of 20 Napkins Pantry Design")</f>
        <v>Pack Of 20 Napkins Pantry Design</v>
      </c>
      <c r="I2576" s="3">
        <v>12.0</v>
      </c>
      <c r="J2576" s="7">
        <v>40599.42986111111</v>
      </c>
      <c r="K2576" s="8" t="str">
        <f t="shared" si="4"/>
        <v>2011-02</v>
      </c>
      <c r="L2576" s="5">
        <v>0.85</v>
      </c>
      <c r="M2576" s="3">
        <v>16592.0</v>
      </c>
      <c r="N2576" s="1" t="str">
        <f t="shared" si="5"/>
        <v>Registered</v>
      </c>
      <c r="O2576" s="1" t="s">
        <v>19</v>
      </c>
      <c r="P2576" s="9" t="str">
        <f t="shared" si="6"/>
        <v>UK</v>
      </c>
      <c r="Q2576" s="8">
        <f t="shared" si="7"/>
        <v>10.2</v>
      </c>
    </row>
    <row r="2577">
      <c r="A2577" s="1">
        <v>544940.0</v>
      </c>
      <c r="B2577" s="1" t="str">
        <f t="shared" si="1"/>
        <v>544940</v>
      </c>
      <c r="C2577" s="1" t="str">
        <f t="shared" si="2"/>
        <v>Sale</v>
      </c>
      <c r="D2577" s="1">
        <v>22960.0</v>
      </c>
      <c r="E2577" s="1" t="str">
        <f>IFERROR(__xludf.DUMMYFUNCTION("IF(LEN(D2577)&gt;4, IFERROR(REGEXEXTRACT(TO_TEXT(D2577),""\d+""),""""),"""")"),"22960")</f>
        <v>22960</v>
      </c>
      <c r="F2577" s="6" t="str">
        <f t="shared" si="3"/>
        <v>Product</v>
      </c>
      <c r="G2577" s="1" t="s">
        <v>43</v>
      </c>
      <c r="H2577" s="6" t="str">
        <f>IFERROR(__xludf.DUMMYFUNCTION("IF(REGEXMATCH(LOWER(G2577), ""^(\?)+\s*(missing)?\s*(\?)*$""), """", PROPER(SUBSTITUTE(SUBSTITUTE(G2577, ""?"", """"), ""*"", """")))"),"Jam Making Set With Jars")</f>
        <v>Jam Making Set With Jars</v>
      </c>
      <c r="I2577" s="3">
        <v>6.0</v>
      </c>
      <c r="J2577" s="7">
        <v>40599.42986111111</v>
      </c>
      <c r="K2577" s="8" t="str">
        <f t="shared" si="4"/>
        <v>2011-02</v>
      </c>
      <c r="L2577" s="5">
        <v>4.25</v>
      </c>
      <c r="M2577" s="3">
        <v>16592.0</v>
      </c>
      <c r="N2577" s="1" t="str">
        <f t="shared" si="5"/>
        <v>Registered</v>
      </c>
      <c r="O2577" s="1" t="s">
        <v>19</v>
      </c>
      <c r="P2577" s="9" t="str">
        <f t="shared" si="6"/>
        <v>UK</v>
      </c>
      <c r="Q2577" s="8">
        <f t="shared" si="7"/>
        <v>25.5</v>
      </c>
    </row>
    <row r="2578">
      <c r="A2578" s="1">
        <v>544940.0</v>
      </c>
      <c r="B2578" s="1" t="str">
        <f t="shared" si="1"/>
        <v>544940</v>
      </c>
      <c r="C2578" s="1" t="str">
        <f t="shared" si="2"/>
        <v>Sale</v>
      </c>
      <c r="D2578" s="1">
        <v>22851.0</v>
      </c>
      <c r="E2578" s="1" t="str">
        <f>IFERROR(__xludf.DUMMYFUNCTION("IF(LEN(D2578)&gt;4, IFERROR(REGEXEXTRACT(TO_TEXT(D2578),""\d+""),""""),"""")"),"22851")</f>
        <v>22851</v>
      </c>
      <c r="F2578" s="6" t="str">
        <f t="shared" si="3"/>
        <v>Product</v>
      </c>
      <c r="G2578" s="1" t="s">
        <v>303</v>
      </c>
      <c r="H2578" s="6" t="str">
        <f>IFERROR(__xludf.DUMMYFUNCTION("IF(REGEXMATCH(LOWER(G2578), ""^(\?)+\s*(missing)?\s*(\?)*$""), """", PROPER(SUBSTITUTE(SUBSTITUTE(G2578, ""?"", """"), ""*"", """")))"),"Set 20 Napkins Fairy Cakes Design")</f>
        <v>Set 20 Napkins Fairy Cakes Design</v>
      </c>
      <c r="I2578" s="3">
        <v>12.0</v>
      </c>
      <c r="J2578" s="7">
        <v>40599.42986111111</v>
      </c>
      <c r="K2578" s="8" t="str">
        <f t="shared" si="4"/>
        <v>2011-02</v>
      </c>
      <c r="L2578" s="5">
        <v>0.85</v>
      </c>
      <c r="M2578" s="3">
        <v>16592.0</v>
      </c>
      <c r="N2578" s="1" t="str">
        <f t="shared" si="5"/>
        <v>Registered</v>
      </c>
      <c r="O2578" s="1" t="s">
        <v>19</v>
      </c>
      <c r="P2578" s="9" t="str">
        <f t="shared" si="6"/>
        <v>UK</v>
      </c>
      <c r="Q2578" s="8">
        <f t="shared" si="7"/>
        <v>10.2</v>
      </c>
    </row>
    <row r="2579">
      <c r="A2579" s="1">
        <v>544940.0</v>
      </c>
      <c r="B2579" s="1" t="str">
        <f t="shared" si="1"/>
        <v>544940</v>
      </c>
      <c r="C2579" s="1" t="str">
        <f t="shared" si="2"/>
        <v>Sale</v>
      </c>
      <c r="D2579" s="1">
        <v>21121.0</v>
      </c>
      <c r="E2579" s="1" t="str">
        <f>IFERROR(__xludf.DUMMYFUNCTION("IF(LEN(D2579)&gt;4, IFERROR(REGEXEXTRACT(TO_TEXT(D2579),""\d+""),""""),"""")"),"21121")</f>
        <v>21121</v>
      </c>
      <c r="F2579" s="6" t="str">
        <f t="shared" si="3"/>
        <v>Product</v>
      </c>
      <c r="G2579" s="1" t="s">
        <v>558</v>
      </c>
      <c r="H2579" s="6" t="str">
        <f>IFERROR(__xludf.DUMMYFUNCTION("IF(REGEXMATCH(LOWER(G2579), ""^(\?)+\s*(missing)?\s*(\?)*$""), """", PROPER(SUBSTITUTE(SUBSTITUTE(G2579, ""?"", """"), ""*"", """")))"),"Set/10 Red Polkadot Party Candles")</f>
        <v>Set/10 Red Polkadot Party Candles</v>
      </c>
      <c r="I2579" s="3">
        <v>24.0</v>
      </c>
      <c r="J2579" s="7">
        <v>40599.42986111111</v>
      </c>
      <c r="K2579" s="8" t="str">
        <f t="shared" si="4"/>
        <v>2011-02</v>
      </c>
      <c r="L2579" s="5">
        <v>1.25</v>
      </c>
      <c r="M2579" s="3">
        <v>16592.0</v>
      </c>
      <c r="N2579" s="1" t="str">
        <f t="shared" si="5"/>
        <v>Registered</v>
      </c>
      <c r="O2579" s="1" t="s">
        <v>19</v>
      </c>
      <c r="P2579" s="9" t="str">
        <f t="shared" si="6"/>
        <v>UK</v>
      </c>
      <c r="Q2579" s="8">
        <f t="shared" si="7"/>
        <v>30</v>
      </c>
    </row>
    <row r="2580">
      <c r="A2580" s="1">
        <v>544940.0</v>
      </c>
      <c r="B2580" s="1" t="str">
        <f t="shared" si="1"/>
        <v>544940</v>
      </c>
      <c r="C2580" s="1" t="str">
        <f t="shared" si="2"/>
        <v>Sale</v>
      </c>
      <c r="D2580" s="1">
        <v>21122.0</v>
      </c>
      <c r="E2580" s="1" t="str">
        <f>IFERROR(__xludf.DUMMYFUNCTION("IF(LEN(D2580)&gt;4, IFERROR(REGEXEXTRACT(TO_TEXT(D2580),""\d+""),""""),"""")"),"21122")</f>
        <v>21122</v>
      </c>
      <c r="F2580" s="6" t="str">
        <f t="shared" si="3"/>
        <v>Product</v>
      </c>
      <c r="G2580" s="1" t="s">
        <v>302</v>
      </c>
      <c r="H2580" s="6" t="str">
        <f>IFERROR(__xludf.DUMMYFUNCTION("IF(REGEXMATCH(LOWER(G2580), ""^(\?)+\s*(missing)?\s*(\?)*$""), """", PROPER(SUBSTITUTE(SUBSTITUTE(G2580, ""?"", """"), ""*"", """")))"),"Set/10 Pink Polkadot Party Candles")</f>
        <v>Set/10 Pink Polkadot Party Candles</v>
      </c>
      <c r="I2580" s="3">
        <v>24.0</v>
      </c>
      <c r="J2580" s="7">
        <v>40599.42986111111</v>
      </c>
      <c r="K2580" s="8" t="str">
        <f t="shared" si="4"/>
        <v>2011-02</v>
      </c>
      <c r="L2580" s="5">
        <v>1.25</v>
      </c>
      <c r="M2580" s="3">
        <v>16592.0</v>
      </c>
      <c r="N2580" s="1" t="str">
        <f t="shared" si="5"/>
        <v>Registered</v>
      </c>
      <c r="O2580" s="1" t="s">
        <v>19</v>
      </c>
      <c r="P2580" s="9" t="str">
        <f t="shared" si="6"/>
        <v>UK</v>
      </c>
      <c r="Q2580" s="8">
        <f t="shared" si="7"/>
        <v>30</v>
      </c>
    </row>
    <row r="2581">
      <c r="A2581" s="1">
        <v>544940.0</v>
      </c>
      <c r="B2581" s="1" t="str">
        <f t="shared" si="1"/>
        <v>544940</v>
      </c>
      <c r="C2581" s="1" t="str">
        <f t="shared" si="2"/>
        <v>Sale</v>
      </c>
      <c r="D2581" s="1">
        <v>21232.0</v>
      </c>
      <c r="E2581" s="1" t="str">
        <f>IFERROR(__xludf.DUMMYFUNCTION("IF(LEN(D2581)&gt;4, IFERROR(REGEXEXTRACT(TO_TEXT(D2581),""\d+""),""""),"""")"),"21232")</f>
        <v>21232</v>
      </c>
      <c r="F2581" s="6" t="str">
        <f t="shared" si="3"/>
        <v>Product</v>
      </c>
      <c r="G2581" s="1" t="s">
        <v>264</v>
      </c>
      <c r="H2581" s="6" t="str">
        <f>IFERROR(__xludf.DUMMYFUNCTION("IF(REGEXMATCH(LOWER(G2581), ""^(\?)+\s*(missing)?\s*(\?)*$""), """", PROPER(SUBSTITUTE(SUBSTITUTE(G2581, ""?"", """"), ""*"", """")))"),"Strawberry Ceramic Trinket Box")</f>
        <v>Strawberry Ceramic Trinket Box</v>
      </c>
      <c r="I2581" s="3">
        <v>12.0</v>
      </c>
      <c r="J2581" s="7">
        <v>40599.42986111111</v>
      </c>
      <c r="K2581" s="8" t="str">
        <f t="shared" si="4"/>
        <v>2011-02</v>
      </c>
      <c r="L2581" s="5">
        <v>1.25</v>
      </c>
      <c r="M2581" s="3">
        <v>16592.0</v>
      </c>
      <c r="N2581" s="1" t="str">
        <f t="shared" si="5"/>
        <v>Registered</v>
      </c>
      <c r="O2581" s="1" t="s">
        <v>19</v>
      </c>
      <c r="P2581" s="9" t="str">
        <f t="shared" si="6"/>
        <v>UK</v>
      </c>
      <c r="Q2581" s="8">
        <f t="shared" si="7"/>
        <v>15</v>
      </c>
    </row>
    <row r="2582">
      <c r="A2582" s="1">
        <v>544940.0</v>
      </c>
      <c r="B2582" s="1" t="str">
        <f t="shared" si="1"/>
        <v>544940</v>
      </c>
      <c r="C2582" s="1" t="str">
        <f t="shared" si="2"/>
        <v>Sale</v>
      </c>
      <c r="D2582" s="1">
        <v>22646.0</v>
      </c>
      <c r="E2582" s="1" t="str">
        <f>IFERROR(__xludf.DUMMYFUNCTION("IF(LEN(D2582)&gt;4, IFERROR(REGEXEXTRACT(TO_TEXT(D2582),""\d+""),""""),"""")"),"22646")</f>
        <v>22646</v>
      </c>
      <c r="F2582" s="6" t="str">
        <f t="shared" si="3"/>
        <v>Product</v>
      </c>
      <c r="G2582" s="1" t="s">
        <v>141</v>
      </c>
      <c r="H2582" s="6" t="str">
        <f>IFERROR(__xludf.DUMMYFUNCTION("IF(REGEXMATCH(LOWER(G2582), ""^(\?)+\s*(missing)?\s*(\?)*$""), """", PROPER(SUBSTITUTE(SUBSTITUTE(G2582, ""?"", """"), ""*"", """")))"),"Ceramic Strawberry Cake Money Bank")</f>
        <v>Ceramic Strawberry Cake Money Bank</v>
      </c>
      <c r="I2582" s="3">
        <v>12.0</v>
      </c>
      <c r="J2582" s="7">
        <v>40599.42986111111</v>
      </c>
      <c r="K2582" s="8" t="str">
        <f t="shared" si="4"/>
        <v>2011-02</v>
      </c>
      <c r="L2582" s="5">
        <v>1.45</v>
      </c>
      <c r="M2582" s="3">
        <v>16592.0</v>
      </c>
      <c r="N2582" s="1" t="str">
        <f t="shared" si="5"/>
        <v>Registered</v>
      </c>
      <c r="O2582" s="1" t="s">
        <v>19</v>
      </c>
      <c r="P2582" s="9" t="str">
        <f t="shared" si="6"/>
        <v>UK</v>
      </c>
      <c r="Q2582" s="8">
        <f t="shared" si="7"/>
        <v>17.4</v>
      </c>
    </row>
    <row r="2583">
      <c r="A2583" s="1">
        <v>544940.0</v>
      </c>
      <c r="B2583" s="1" t="str">
        <f t="shared" si="1"/>
        <v>544940</v>
      </c>
      <c r="C2583" s="1" t="str">
        <f t="shared" si="2"/>
        <v>Sale</v>
      </c>
      <c r="D2583" s="1">
        <v>21700.0</v>
      </c>
      <c r="E2583" s="1" t="str">
        <f>IFERROR(__xludf.DUMMYFUNCTION("IF(LEN(D2583)&gt;4, IFERROR(REGEXEXTRACT(TO_TEXT(D2583),""\d+""),""""),"""")"),"21700")</f>
        <v>21700</v>
      </c>
      <c r="F2583" s="6" t="str">
        <f t="shared" si="3"/>
        <v>Product</v>
      </c>
      <c r="G2583" s="1" t="s">
        <v>1049</v>
      </c>
      <c r="H2583" s="6" t="str">
        <f>IFERROR(__xludf.DUMMYFUNCTION("IF(REGEXMATCH(LOWER(G2583), ""^(\?)+\s*(missing)?\s*(\?)*$""), """", PROPER(SUBSTITUTE(SUBSTITUTE(G2583, ""?"", """"), ""*"", """")))"),"Big Doughnut Fridge Magnets")</f>
        <v>Big Doughnut Fridge Magnets</v>
      </c>
      <c r="I2583" s="3">
        <v>12.0</v>
      </c>
      <c r="J2583" s="7">
        <v>40599.42986111111</v>
      </c>
      <c r="K2583" s="8" t="str">
        <f t="shared" si="4"/>
        <v>2011-02</v>
      </c>
      <c r="L2583" s="5">
        <v>0.85</v>
      </c>
      <c r="M2583" s="3">
        <v>16592.0</v>
      </c>
      <c r="N2583" s="1" t="str">
        <f t="shared" si="5"/>
        <v>Registered</v>
      </c>
      <c r="O2583" s="1" t="s">
        <v>19</v>
      </c>
      <c r="P2583" s="9" t="str">
        <f t="shared" si="6"/>
        <v>UK</v>
      </c>
      <c r="Q2583" s="8">
        <f t="shared" si="7"/>
        <v>10.2</v>
      </c>
    </row>
    <row r="2584">
      <c r="A2584" s="1">
        <v>544940.0</v>
      </c>
      <c r="B2584" s="1" t="str">
        <f t="shared" si="1"/>
        <v>544940</v>
      </c>
      <c r="C2584" s="1" t="str">
        <f t="shared" si="2"/>
        <v>Sale</v>
      </c>
      <c r="D2584" s="1">
        <v>21977.0</v>
      </c>
      <c r="E2584" s="1" t="str">
        <f>IFERROR(__xludf.DUMMYFUNCTION("IF(LEN(D2584)&gt;4, IFERROR(REGEXEXTRACT(TO_TEXT(D2584),""\d+""),""""),"""")"),"21977")</f>
        <v>21977</v>
      </c>
      <c r="F2584" s="6" t="str">
        <f t="shared" si="3"/>
        <v>Product</v>
      </c>
      <c r="G2584" s="1" t="s">
        <v>99</v>
      </c>
      <c r="H2584" s="6" t="str">
        <f>IFERROR(__xludf.DUMMYFUNCTION("IF(REGEXMATCH(LOWER(G2584), ""^(\?)+\s*(missing)?\s*(\?)*$""), """", PROPER(SUBSTITUTE(SUBSTITUTE(G2584, ""?"", """"), ""*"", """")))"),"Pack Of 60 Pink Paisley Cake Cases")</f>
        <v>Pack Of 60 Pink Paisley Cake Cases</v>
      </c>
      <c r="I2584" s="3">
        <v>24.0</v>
      </c>
      <c r="J2584" s="7">
        <v>40599.42986111111</v>
      </c>
      <c r="K2584" s="8" t="str">
        <f t="shared" si="4"/>
        <v>2011-02</v>
      </c>
      <c r="L2584" s="5">
        <v>0.55</v>
      </c>
      <c r="M2584" s="3">
        <v>16592.0</v>
      </c>
      <c r="N2584" s="1" t="str">
        <f t="shared" si="5"/>
        <v>Registered</v>
      </c>
      <c r="O2584" s="1" t="s">
        <v>19</v>
      </c>
      <c r="P2584" s="9" t="str">
        <f t="shared" si="6"/>
        <v>UK</v>
      </c>
      <c r="Q2584" s="8">
        <f t="shared" si="7"/>
        <v>13.2</v>
      </c>
    </row>
    <row r="2585">
      <c r="A2585" s="1">
        <v>544940.0</v>
      </c>
      <c r="B2585" s="1" t="str">
        <f t="shared" si="1"/>
        <v>544940</v>
      </c>
      <c r="C2585" s="1" t="str">
        <f t="shared" si="2"/>
        <v>Sale</v>
      </c>
      <c r="D2585" s="1">
        <v>84991.0</v>
      </c>
      <c r="E2585" s="1" t="str">
        <f>IFERROR(__xludf.DUMMYFUNCTION("IF(LEN(D2585)&gt;4, IFERROR(REGEXEXTRACT(TO_TEXT(D2585),""\d+""),""""),"""")"),"84991")</f>
        <v>84991</v>
      </c>
      <c r="F2585" s="6" t="str">
        <f t="shared" si="3"/>
        <v>Product</v>
      </c>
      <c r="G2585" s="1" t="s">
        <v>100</v>
      </c>
      <c r="H2585" s="6" t="str">
        <f>IFERROR(__xludf.DUMMYFUNCTION("IF(REGEXMATCH(LOWER(G2585), ""^(\?)+\s*(missing)?\s*(\?)*$""), """", PROPER(SUBSTITUTE(SUBSTITUTE(G2585, ""?"", """"), ""*"", """")))"),"60 Teatime Fairy Cake Cases")</f>
        <v>60 Teatime Fairy Cake Cases</v>
      </c>
      <c r="I2585" s="3">
        <v>24.0</v>
      </c>
      <c r="J2585" s="7">
        <v>40599.42986111111</v>
      </c>
      <c r="K2585" s="8" t="str">
        <f t="shared" si="4"/>
        <v>2011-02</v>
      </c>
      <c r="L2585" s="5">
        <v>0.55</v>
      </c>
      <c r="M2585" s="3">
        <v>16592.0</v>
      </c>
      <c r="N2585" s="1" t="str">
        <f t="shared" si="5"/>
        <v>Registered</v>
      </c>
      <c r="O2585" s="1" t="s">
        <v>19</v>
      </c>
      <c r="P2585" s="9" t="str">
        <f t="shared" si="6"/>
        <v>UK</v>
      </c>
      <c r="Q2585" s="8">
        <f t="shared" si="7"/>
        <v>13.2</v>
      </c>
    </row>
    <row r="2586">
      <c r="A2586" s="1">
        <v>544940.0</v>
      </c>
      <c r="B2586" s="1" t="str">
        <f t="shared" si="1"/>
        <v>544940</v>
      </c>
      <c r="C2586" s="1" t="str">
        <f t="shared" si="2"/>
        <v>Sale</v>
      </c>
      <c r="D2586" s="1">
        <v>22197.0</v>
      </c>
      <c r="E2586" s="1" t="str">
        <f>IFERROR(__xludf.DUMMYFUNCTION("IF(LEN(D2586)&gt;4, IFERROR(REGEXEXTRACT(TO_TEXT(D2586),""\d+""),""""),"""")"),"22197")</f>
        <v>22197</v>
      </c>
      <c r="F2586" s="6" t="str">
        <f t="shared" si="3"/>
        <v>Product</v>
      </c>
      <c r="G2586" s="1" t="s">
        <v>217</v>
      </c>
      <c r="H2586" s="6" t="str">
        <f>IFERROR(__xludf.DUMMYFUNCTION("IF(REGEXMATCH(LOWER(G2586), ""^(\?)+\s*(missing)?\s*(\?)*$""), """", PROPER(SUBSTITUTE(SUBSTITUTE(G2586, ""?"", """"), ""*"", """")))"),"Small Popcorn Holder")</f>
        <v>Small Popcorn Holder</v>
      </c>
      <c r="I2586" s="3">
        <v>12.0</v>
      </c>
      <c r="J2586" s="7">
        <v>40599.42986111111</v>
      </c>
      <c r="K2586" s="8" t="str">
        <f t="shared" si="4"/>
        <v>2011-02</v>
      </c>
      <c r="L2586" s="5">
        <v>0.85</v>
      </c>
      <c r="M2586" s="3">
        <v>16592.0</v>
      </c>
      <c r="N2586" s="1" t="str">
        <f t="shared" si="5"/>
        <v>Registered</v>
      </c>
      <c r="O2586" s="1" t="s">
        <v>19</v>
      </c>
      <c r="P2586" s="9" t="str">
        <f t="shared" si="6"/>
        <v>UK</v>
      </c>
      <c r="Q2586" s="8">
        <f t="shared" si="7"/>
        <v>10.2</v>
      </c>
    </row>
    <row r="2587">
      <c r="A2587" s="1">
        <v>544940.0</v>
      </c>
      <c r="B2587" s="1" t="str">
        <f t="shared" si="1"/>
        <v>544940</v>
      </c>
      <c r="C2587" s="1" t="str">
        <f t="shared" si="2"/>
        <v>Sale</v>
      </c>
      <c r="D2587" s="1">
        <v>21916.0</v>
      </c>
      <c r="E2587" s="1" t="str">
        <f>IFERROR(__xludf.DUMMYFUNCTION("IF(LEN(D2587)&gt;4, IFERROR(REGEXEXTRACT(TO_TEXT(D2587),""\d+""),""""),"""")"),"21916")</f>
        <v>21916</v>
      </c>
      <c r="F2587" s="6" t="str">
        <f t="shared" si="3"/>
        <v>Product</v>
      </c>
      <c r="G2587" s="1" t="s">
        <v>493</v>
      </c>
      <c r="H2587" s="6" t="str">
        <f>IFERROR(__xludf.DUMMYFUNCTION("IF(REGEXMATCH(LOWER(G2587), ""^(\?)+\s*(missing)?\s*(\?)*$""), """", PROPER(SUBSTITUTE(SUBSTITUTE(G2587, ""?"", """"), ""*"", """")))"),"Set 12 Retro White Chalk Sticks")</f>
        <v>Set 12 Retro White Chalk Sticks</v>
      </c>
      <c r="I2587" s="3">
        <v>24.0</v>
      </c>
      <c r="J2587" s="7">
        <v>40599.42986111111</v>
      </c>
      <c r="K2587" s="8" t="str">
        <f t="shared" si="4"/>
        <v>2011-02</v>
      </c>
      <c r="L2587" s="5">
        <v>0.42</v>
      </c>
      <c r="M2587" s="3">
        <v>16592.0</v>
      </c>
      <c r="N2587" s="1" t="str">
        <f t="shared" si="5"/>
        <v>Registered</v>
      </c>
      <c r="O2587" s="1" t="s">
        <v>19</v>
      </c>
      <c r="P2587" s="9" t="str">
        <f t="shared" si="6"/>
        <v>UK</v>
      </c>
      <c r="Q2587" s="8">
        <f t="shared" si="7"/>
        <v>10.08</v>
      </c>
    </row>
    <row r="2588">
      <c r="A2588" s="1">
        <v>544941.0</v>
      </c>
      <c r="B2588" s="1" t="str">
        <f t="shared" si="1"/>
        <v>544941</v>
      </c>
      <c r="C2588" s="1" t="str">
        <f t="shared" si="2"/>
        <v>Sale</v>
      </c>
      <c r="D2588" s="1">
        <v>47566.0</v>
      </c>
      <c r="E2588" s="1" t="str">
        <f>IFERROR(__xludf.DUMMYFUNCTION("IF(LEN(D2588)&gt;4, IFERROR(REGEXEXTRACT(TO_TEXT(D2588),""\d+""),""""),"""")"),"47566")</f>
        <v>47566</v>
      </c>
      <c r="F2588" s="6" t="str">
        <f t="shared" si="3"/>
        <v>Product</v>
      </c>
      <c r="G2588" s="1" t="s">
        <v>1002</v>
      </c>
      <c r="H2588" s="6" t="str">
        <f>IFERROR(__xludf.DUMMYFUNCTION("IF(REGEXMATCH(LOWER(G2588), ""^(\?)+\s*(missing)?\s*(\?)*$""), """", PROPER(SUBSTITUTE(SUBSTITUTE(G2588, ""?"", """"), ""*"", """")))"),"Party Bunting")</f>
        <v>Party Bunting</v>
      </c>
      <c r="I2588" s="3">
        <v>4.0</v>
      </c>
      <c r="J2588" s="7">
        <v>40599.43402777778</v>
      </c>
      <c r="K2588" s="8" t="str">
        <f t="shared" si="4"/>
        <v>2011-02</v>
      </c>
      <c r="L2588" s="5">
        <v>4.95</v>
      </c>
      <c r="M2588" s="3">
        <v>12841.0</v>
      </c>
      <c r="N2588" s="1" t="str">
        <f t="shared" si="5"/>
        <v>Registered</v>
      </c>
      <c r="O2588" s="1" t="s">
        <v>19</v>
      </c>
      <c r="P2588" s="9" t="str">
        <f t="shared" si="6"/>
        <v>UK</v>
      </c>
      <c r="Q2588" s="8">
        <f t="shared" si="7"/>
        <v>19.8</v>
      </c>
    </row>
    <row r="2589">
      <c r="A2589" s="1">
        <v>544941.0</v>
      </c>
      <c r="B2589" s="1" t="str">
        <f t="shared" si="1"/>
        <v>544941</v>
      </c>
      <c r="C2589" s="1" t="str">
        <f t="shared" si="2"/>
        <v>Sale</v>
      </c>
      <c r="D2589" s="1" t="s">
        <v>1306</v>
      </c>
      <c r="E2589" s="1" t="str">
        <f>IFERROR(__xludf.DUMMYFUNCTION("IF(LEN(D2589)&gt;4, IFERROR(REGEXEXTRACT(TO_TEXT(D2589),""\d+""),""""),"""")"),"47590")</f>
        <v>47590</v>
      </c>
      <c r="F2589" s="6" t="str">
        <f t="shared" si="3"/>
        <v>Product</v>
      </c>
      <c r="G2589" s="1" t="s">
        <v>1307</v>
      </c>
      <c r="H2589" s="6" t="str">
        <f>IFERROR(__xludf.DUMMYFUNCTION("IF(REGEXMATCH(LOWER(G2589), ""^(\?)+\s*(missing)?\s*(\?)*$""), """", PROPER(SUBSTITUTE(SUBSTITUTE(G2589, ""?"", """"), ""*"", """")))"),"Blue Happy Birthday Bunting")</f>
        <v>Blue Happy Birthday Bunting</v>
      </c>
      <c r="I2589" s="3">
        <v>2.0</v>
      </c>
      <c r="J2589" s="7">
        <v>40599.43402777778</v>
      </c>
      <c r="K2589" s="8" t="str">
        <f t="shared" si="4"/>
        <v>2011-02</v>
      </c>
      <c r="L2589" s="5">
        <v>5.45</v>
      </c>
      <c r="M2589" s="3">
        <v>12841.0</v>
      </c>
      <c r="N2589" s="1" t="str">
        <f t="shared" si="5"/>
        <v>Registered</v>
      </c>
      <c r="O2589" s="1" t="s">
        <v>19</v>
      </c>
      <c r="P2589" s="9" t="str">
        <f t="shared" si="6"/>
        <v>UK</v>
      </c>
      <c r="Q2589" s="8">
        <f t="shared" si="7"/>
        <v>10.9</v>
      </c>
    </row>
    <row r="2590">
      <c r="A2590" s="1">
        <v>544941.0</v>
      </c>
      <c r="B2590" s="1" t="str">
        <f t="shared" si="1"/>
        <v>544941</v>
      </c>
      <c r="C2590" s="1" t="str">
        <f t="shared" si="2"/>
        <v>Sale</v>
      </c>
      <c r="D2590" s="1">
        <v>22321.0</v>
      </c>
      <c r="E2590" s="1" t="str">
        <f>IFERROR(__xludf.DUMMYFUNCTION("IF(LEN(D2590)&gt;4, IFERROR(REGEXEXTRACT(TO_TEXT(D2590),""\d+""),""""),"""")"),"22321")</f>
        <v>22321</v>
      </c>
      <c r="F2590" s="6" t="str">
        <f t="shared" si="3"/>
        <v>Product</v>
      </c>
      <c r="G2590" s="1" t="s">
        <v>479</v>
      </c>
      <c r="H2590" s="6" t="str">
        <f>IFERROR(__xludf.DUMMYFUNCTION("IF(REGEXMATCH(LOWER(G2590), ""^(\?)+\s*(missing)?\s*(\?)*$""), """", PROPER(SUBSTITUTE(SUBSTITUTE(G2590, ""?"", """"), ""*"", """")))"),"Bird Decoration Red Retrospot")</f>
        <v>Bird Decoration Red Retrospot</v>
      </c>
      <c r="I2590" s="3">
        <v>12.0</v>
      </c>
      <c r="J2590" s="7">
        <v>40599.43402777778</v>
      </c>
      <c r="K2590" s="8" t="str">
        <f t="shared" si="4"/>
        <v>2011-02</v>
      </c>
      <c r="L2590" s="5">
        <v>0.85</v>
      </c>
      <c r="M2590" s="3">
        <v>12841.0</v>
      </c>
      <c r="N2590" s="1" t="str">
        <f t="shared" si="5"/>
        <v>Registered</v>
      </c>
      <c r="O2590" s="1" t="s">
        <v>19</v>
      </c>
      <c r="P2590" s="9" t="str">
        <f t="shared" si="6"/>
        <v>UK</v>
      </c>
      <c r="Q2590" s="8">
        <f t="shared" si="7"/>
        <v>10.2</v>
      </c>
    </row>
    <row r="2591">
      <c r="A2591" s="1">
        <v>544941.0</v>
      </c>
      <c r="B2591" s="1" t="str">
        <f t="shared" si="1"/>
        <v>544941</v>
      </c>
      <c r="C2591" s="1" t="str">
        <f t="shared" si="2"/>
        <v>Sale</v>
      </c>
      <c r="D2591" s="1">
        <v>22322.0</v>
      </c>
      <c r="E2591" s="1" t="str">
        <f>IFERROR(__xludf.DUMMYFUNCTION("IF(LEN(D2591)&gt;4, IFERROR(REGEXEXTRACT(TO_TEXT(D2591),""\d+""),""""),"""")"),"22322")</f>
        <v>22322</v>
      </c>
      <c r="F2591" s="6" t="str">
        <f t="shared" si="3"/>
        <v>Product</v>
      </c>
      <c r="G2591" s="1" t="s">
        <v>1308</v>
      </c>
      <c r="H2591" s="6" t="str">
        <f>IFERROR(__xludf.DUMMYFUNCTION("IF(REGEXMATCH(LOWER(G2591), ""^(\?)+\s*(missing)?\s*(\?)*$""), """", PROPER(SUBSTITUTE(SUBSTITUTE(G2591, ""?"", """"), ""*"", """")))"),"Bird Decoration Green Polkadot")</f>
        <v>Bird Decoration Green Polkadot</v>
      </c>
      <c r="I2591" s="3">
        <v>24.0</v>
      </c>
      <c r="J2591" s="7">
        <v>40599.43402777778</v>
      </c>
      <c r="K2591" s="8" t="str">
        <f t="shared" si="4"/>
        <v>2011-02</v>
      </c>
      <c r="L2591" s="5">
        <v>0.85</v>
      </c>
      <c r="M2591" s="3">
        <v>12841.0</v>
      </c>
      <c r="N2591" s="1" t="str">
        <f t="shared" si="5"/>
        <v>Registered</v>
      </c>
      <c r="O2591" s="1" t="s">
        <v>19</v>
      </c>
      <c r="P2591" s="9" t="str">
        <f t="shared" si="6"/>
        <v>UK</v>
      </c>
      <c r="Q2591" s="8">
        <f t="shared" si="7"/>
        <v>20.4</v>
      </c>
    </row>
    <row r="2592">
      <c r="A2592" s="1">
        <v>544941.0</v>
      </c>
      <c r="B2592" s="1" t="str">
        <f t="shared" si="1"/>
        <v>544941</v>
      </c>
      <c r="C2592" s="1" t="str">
        <f t="shared" si="2"/>
        <v>Sale</v>
      </c>
      <c r="D2592" s="1">
        <v>21447.0</v>
      </c>
      <c r="E2592" s="1" t="str">
        <f>IFERROR(__xludf.DUMMYFUNCTION("IF(LEN(D2592)&gt;4, IFERROR(REGEXEXTRACT(TO_TEXT(D2592),""\d+""),""""),"""")"),"21447")</f>
        <v>21447</v>
      </c>
      <c r="F2592" s="6" t="str">
        <f t="shared" si="3"/>
        <v>Product</v>
      </c>
      <c r="G2592" s="1" t="s">
        <v>1309</v>
      </c>
      <c r="H2592" s="6" t="str">
        <f>IFERROR(__xludf.DUMMYFUNCTION("IF(REGEXMATCH(LOWER(G2592), ""^(\?)+\s*(missing)?\s*(\?)*$""), """", PROPER(SUBSTITUTE(SUBSTITUTE(G2592, ""?"", """"), ""*"", """")))"),"12 Ivory Rose Peg Place Settings")</f>
        <v>12 Ivory Rose Peg Place Settings</v>
      </c>
      <c r="I2592" s="3">
        <v>12.0</v>
      </c>
      <c r="J2592" s="7">
        <v>40599.43402777778</v>
      </c>
      <c r="K2592" s="8" t="str">
        <f t="shared" si="4"/>
        <v>2011-02</v>
      </c>
      <c r="L2592" s="5">
        <v>1.25</v>
      </c>
      <c r="M2592" s="3">
        <v>12841.0</v>
      </c>
      <c r="N2592" s="1" t="str">
        <f t="shared" si="5"/>
        <v>Registered</v>
      </c>
      <c r="O2592" s="1" t="s">
        <v>19</v>
      </c>
      <c r="P2592" s="9" t="str">
        <f t="shared" si="6"/>
        <v>UK</v>
      </c>
      <c r="Q2592" s="8">
        <f t="shared" si="7"/>
        <v>15</v>
      </c>
    </row>
    <row r="2593">
      <c r="A2593" s="1">
        <v>544941.0</v>
      </c>
      <c r="B2593" s="1" t="str">
        <f t="shared" si="1"/>
        <v>544941</v>
      </c>
      <c r="C2593" s="1" t="str">
        <f t="shared" si="2"/>
        <v>Sale</v>
      </c>
      <c r="D2593" s="1">
        <v>84231.0</v>
      </c>
      <c r="E2593" s="1" t="str">
        <f>IFERROR(__xludf.DUMMYFUNCTION("IF(LEN(D2593)&gt;4, IFERROR(REGEXEXTRACT(TO_TEXT(D2593),""\d+""),""""),"""")"),"84231")</f>
        <v>84231</v>
      </c>
      <c r="F2593" s="6" t="str">
        <f t="shared" si="3"/>
        <v>Product</v>
      </c>
      <c r="G2593" s="1" t="s">
        <v>1158</v>
      </c>
      <c r="H2593" s="6" t="str">
        <f>IFERROR(__xludf.DUMMYFUNCTION("IF(REGEXMATCH(LOWER(G2593), ""^(\?)+\s*(missing)?\s*(\?)*$""), """", PROPER(SUBSTITUTE(SUBSTITUTE(G2593, ""?"", """"), ""*"", """")))"),"Easter Bunny With Basket On Back")</f>
        <v>Easter Bunny With Basket On Back</v>
      </c>
      <c r="I2593" s="3">
        <v>4.0</v>
      </c>
      <c r="J2593" s="7">
        <v>40599.43402777778</v>
      </c>
      <c r="K2593" s="8" t="str">
        <f t="shared" si="4"/>
        <v>2011-02</v>
      </c>
      <c r="L2593" s="5">
        <v>0.65</v>
      </c>
      <c r="M2593" s="3">
        <v>12841.0</v>
      </c>
      <c r="N2593" s="1" t="str">
        <f t="shared" si="5"/>
        <v>Registered</v>
      </c>
      <c r="O2593" s="1" t="s">
        <v>19</v>
      </c>
      <c r="P2593" s="9" t="str">
        <f t="shared" si="6"/>
        <v>UK</v>
      </c>
      <c r="Q2593" s="8">
        <f t="shared" si="7"/>
        <v>2.6</v>
      </c>
    </row>
    <row r="2594">
      <c r="A2594" s="1">
        <v>544941.0</v>
      </c>
      <c r="B2594" s="1" t="str">
        <f t="shared" si="1"/>
        <v>544941</v>
      </c>
      <c r="C2594" s="1" t="str">
        <f t="shared" si="2"/>
        <v>Sale</v>
      </c>
      <c r="D2594" s="1">
        <v>15036.0</v>
      </c>
      <c r="E2594" s="1" t="str">
        <f>IFERROR(__xludf.DUMMYFUNCTION("IF(LEN(D2594)&gt;4, IFERROR(REGEXEXTRACT(TO_TEXT(D2594),""\d+""),""""),"""")"),"15036")</f>
        <v>15036</v>
      </c>
      <c r="F2594" s="6" t="str">
        <f t="shared" si="3"/>
        <v>Product</v>
      </c>
      <c r="G2594" s="1" t="s">
        <v>692</v>
      </c>
      <c r="H2594" s="6" t="str">
        <f>IFERROR(__xludf.DUMMYFUNCTION("IF(REGEXMATCH(LOWER(G2594), ""^(\?)+\s*(missing)?\s*(\?)*$""), """", PROPER(SUBSTITUTE(SUBSTITUTE(G2594, ""?"", """"), ""*"", """")))"),"Assorted Colours Silk Fan")</f>
        <v>Assorted Colours Silk Fan</v>
      </c>
      <c r="I2594" s="3">
        <v>36.0</v>
      </c>
      <c r="J2594" s="7">
        <v>40599.43402777778</v>
      </c>
      <c r="K2594" s="8" t="str">
        <f t="shared" si="4"/>
        <v>2011-02</v>
      </c>
      <c r="L2594" s="5">
        <v>0.75</v>
      </c>
      <c r="M2594" s="3">
        <v>12841.0</v>
      </c>
      <c r="N2594" s="1" t="str">
        <f t="shared" si="5"/>
        <v>Registered</v>
      </c>
      <c r="O2594" s="1" t="s">
        <v>19</v>
      </c>
      <c r="P2594" s="9" t="str">
        <f t="shared" si="6"/>
        <v>UK</v>
      </c>
      <c r="Q2594" s="8">
        <f t="shared" si="7"/>
        <v>27</v>
      </c>
    </row>
    <row r="2595">
      <c r="A2595" s="1">
        <v>544941.0</v>
      </c>
      <c r="B2595" s="1" t="str">
        <f t="shared" si="1"/>
        <v>544941</v>
      </c>
      <c r="C2595" s="1" t="str">
        <f t="shared" si="2"/>
        <v>Sale</v>
      </c>
      <c r="D2595" s="1">
        <v>84228.0</v>
      </c>
      <c r="E2595" s="1" t="str">
        <f>IFERROR(__xludf.DUMMYFUNCTION("IF(LEN(D2595)&gt;4, IFERROR(REGEXEXTRACT(TO_TEXT(D2595),""\d+""),""""),"""")"),"84228")</f>
        <v>84228</v>
      </c>
      <c r="F2595" s="6" t="str">
        <f t="shared" si="3"/>
        <v>Product</v>
      </c>
      <c r="G2595" s="1" t="s">
        <v>1310</v>
      </c>
      <c r="H2595" s="6" t="str">
        <f>IFERROR(__xludf.DUMMYFUNCTION("IF(REGEXMATCH(LOWER(G2595), ""^(\?)+\s*(missing)?\s*(\?)*$""), """", PROPER(SUBSTITUTE(SUBSTITUTE(G2595, ""?"", """"), ""*"", """")))"),"Hen House W Chick Standing")</f>
        <v>Hen House W Chick Standing</v>
      </c>
      <c r="I2595" s="3">
        <v>2.0</v>
      </c>
      <c r="J2595" s="7">
        <v>40599.43402777778</v>
      </c>
      <c r="K2595" s="8" t="str">
        <f t="shared" si="4"/>
        <v>2011-02</v>
      </c>
      <c r="L2595" s="5">
        <v>0.42</v>
      </c>
      <c r="M2595" s="3">
        <v>12841.0</v>
      </c>
      <c r="N2595" s="1" t="str">
        <f t="shared" si="5"/>
        <v>Registered</v>
      </c>
      <c r="O2595" s="1" t="s">
        <v>19</v>
      </c>
      <c r="P2595" s="9" t="str">
        <f t="shared" si="6"/>
        <v>UK</v>
      </c>
      <c r="Q2595" s="8">
        <f t="shared" si="7"/>
        <v>0.84</v>
      </c>
    </row>
    <row r="2596">
      <c r="A2596" s="1">
        <v>544941.0</v>
      </c>
      <c r="B2596" s="1" t="str">
        <f t="shared" si="1"/>
        <v>544941</v>
      </c>
      <c r="C2596" s="1" t="str">
        <f t="shared" si="2"/>
        <v>Sale</v>
      </c>
      <c r="D2596" s="1">
        <v>84378.0</v>
      </c>
      <c r="E2596" s="1" t="str">
        <f>IFERROR(__xludf.DUMMYFUNCTION("IF(LEN(D2596)&gt;4, IFERROR(REGEXEXTRACT(TO_TEXT(D2596),""\d+""),""""),"""")"),"84378")</f>
        <v>84378</v>
      </c>
      <c r="F2596" s="6" t="str">
        <f t="shared" si="3"/>
        <v>Product</v>
      </c>
      <c r="G2596" s="1" t="s">
        <v>350</v>
      </c>
      <c r="H2596" s="6" t="str">
        <f>IFERROR(__xludf.DUMMYFUNCTION("IF(REGEXMATCH(LOWER(G2596), ""^(\?)+\s*(missing)?\s*(\?)*$""), """", PROPER(SUBSTITUTE(SUBSTITUTE(G2596, ""?"", """"), ""*"", """")))"),"Set Of 3 Heart Cookie Cutters")</f>
        <v>Set Of 3 Heart Cookie Cutters</v>
      </c>
      <c r="I2596" s="3">
        <v>2.0</v>
      </c>
      <c r="J2596" s="7">
        <v>40599.43402777778</v>
      </c>
      <c r="K2596" s="8" t="str">
        <f t="shared" si="4"/>
        <v>2011-02</v>
      </c>
      <c r="L2596" s="5">
        <v>1.25</v>
      </c>
      <c r="M2596" s="3">
        <v>12841.0</v>
      </c>
      <c r="N2596" s="1" t="str">
        <f t="shared" si="5"/>
        <v>Registered</v>
      </c>
      <c r="O2596" s="1" t="s">
        <v>19</v>
      </c>
      <c r="P2596" s="9" t="str">
        <f t="shared" si="6"/>
        <v>UK</v>
      </c>
      <c r="Q2596" s="8">
        <f t="shared" si="7"/>
        <v>2.5</v>
      </c>
    </row>
    <row r="2597">
      <c r="A2597" s="1">
        <v>544941.0</v>
      </c>
      <c r="B2597" s="1" t="str">
        <f t="shared" si="1"/>
        <v>544941</v>
      </c>
      <c r="C2597" s="1" t="str">
        <f t="shared" si="2"/>
        <v>Sale</v>
      </c>
      <c r="D2597" s="1">
        <v>22230.0</v>
      </c>
      <c r="E2597" s="1" t="str">
        <f>IFERROR(__xludf.DUMMYFUNCTION("IF(LEN(D2597)&gt;4, IFERROR(REGEXEXTRACT(TO_TEXT(D2597),""\d+""),""""),"""")"),"22230")</f>
        <v>22230</v>
      </c>
      <c r="F2597" s="6" t="str">
        <f t="shared" si="3"/>
        <v>Product</v>
      </c>
      <c r="G2597" s="1" t="s">
        <v>1311</v>
      </c>
      <c r="H2597" s="6" t="str">
        <f>IFERROR(__xludf.DUMMYFUNCTION("IF(REGEXMATCH(LOWER(G2597), ""^(\?)+\s*(missing)?\s*(\?)*$""), """", PROPER(SUBSTITUTE(SUBSTITUTE(G2597, ""?"", """"), ""*"", """")))"),"Jigsaw Tree With Watering Can")</f>
        <v>Jigsaw Tree With Watering Can</v>
      </c>
      <c r="I2597" s="3">
        <v>2.0</v>
      </c>
      <c r="J2597" s="7">
        <v>40599.43402777778</v>
      </c>
      <c r="K2597" s="8" t="str">
        <f t="shared" si="4"/>
        <v>2011-02</v>
      </c>
      <c r="L2597" s="5">
        <v>0.85</v>
      </c>
      <c r="M2597" s="3">
        <v>12841.0</v>
      </c>
      <c r="N2597" s="1" t="str">
        <f t="shared" si="5"/>
        <v>Registered</v>
      </c>
      <c r="O2597" s="1" t="s">
        <v>19</v>
      </c>
      <c r="P2597" s="9" t="str">
        <f t="shared" si="6"/>
        <v>UK</v>
      </c>
      <c r="Q2597" s="8">
        <f t="shared" si="7"/>
        <v>1.7</v>
      </c>
    </row>
    <row r="2598">
      <c r="A2598" s="1">
        <v>544941.0</v>
      </c>
      <c r="B2598" s="1" t="str">
        <f t="shared" si="1"/>
        <v>544941</v>
      </c>
      <c r="C2598" s="1" t="str">
        <f t="shared" si="2"/>
        <v>Sale</v>
      </c>
      <c r="D2598" s="1">
        <v>22087.0</v>
      </c>
      <c r="E2598" s="1" t="str">
        <f>IFERROR(__xludf.DUMMYFUNCTION("IF(LEN(D2598)&gt;4, IFERROR(REGEXEXTRACT(TO_TEXT(D2598),""\d+""),""""),"""")"),"22087")</f>
        <v>22087</v>
      </c>
      <c r="F2598" s="6" t="str">
        <f t="shared" si="3"/>
        <v>Product</v>
      </c>
      <c r="G2598" s="1" t="s">
        <v>626</v>
      </c>
      <c r="H2598" s="6" t="str">
        <f>IFERROR(__xludf.DUMMYFUNCTION("IF(REGEXMATCH(LOWER(G2598), ""^(\?)+\s*(missing)?\s*(\?)*$""), """", PROPER(SUBSTITUTE(SUBSTITUTE(G2598, ""?"", """"), ""*"", """")))"),"Paper Bunting White Lace")</f>
        <v>Paper Bunting White Lace</v>
      </c>
      <c r="I2598" s="3">
        <v>20.0</v>
      </c>
      <c r="J2598" s="7">
        <v>40599.43402777778</v>
      </c>
      <c r="K2598" s="8" t="str">
        <f t="shared" si="4"/>
        <v>2011-02</v>
      </c>
      <c r="L2598" s="5">
        <v>2.95</v>
      </c>
      <c r="M2598" s="3">
        <v>12841.0</v>
      </c>
      <c r="N2598" s="1" t="str">
        <f t="shared" si="5"/>
        <v>Registered</v>
      </c>
      <c r="O2598" s="1" t="s">
        <v>19</v>
      </c>
      <c r="P2598" s="9" t="str">
        <f t="shared" si="6"/>
        <v>UK</v>
      </c>
      <c r="Q2598" s="8">
        <f t="shared" si="7"/>
        <v>59</v>
      </c>
    </row>
    <row r="2599">
      <c r="A2599" s="1">
        <v>544942.0</v>
      </c>
      <c r="B2599" s="1" t="str">
        <f t="shared" si="1"/>
        <v>544942</v>
      </c>
      <c r="C2599" s="1" t="str">
        <f t="shared" si="2"/>
        <v>Sale</v>
      </c>
      <c r="D2599" s="1">
        <v>21382.0</v>
      </c>
      <c r="E2599" s="1" t="str">
        <f>IFERROR(__xludf.DUMMYFUNCTION("IF(LEN(D2599)&gt;4, IFERROR(REGEXEXTRACT(TO_TEXT(D2599),""\d+""),""""),"""")"),"21382")</f>
        <v>21382</v>
      </c>
      <c r="F2599" s="6" t="str">
        <f t="shared" si="3"/>
        <v>Product</v>
      </c>
      <c r="G2599" s="1" t="s">
        <v>1312</v>
      </c>
      <c r="H2599" s="6" t="str">
        <f>IFERROR(__xludf.DUMMYFUNCTION("IF(REGEXMATCH(LOWER(G2599), ""^(\?)+\s*(missing)?\s*(\?)*$""), """", PROPER(SUBSTITUTE(SUBSTITUTE(G2599, ""?"", """"), ""*"", """")))"),"Set/4 Spring Flower Decoration")</f>
        <v>Set/4 Spring Flower Decoration</v>
      </c>
      <c r="I2599" s="3">
        <v>6.0</v>
      </c>
      <c r="J2599" s="7">
        <v>40599.43680555555</v>
      </c>
      <c r="K2599" s="8" t="str">
        <f t="shared" si="4"/>
        <v>2011-02</v>
      </c>
      <c r="L2599" s="5">
        <v>2.95</v>
      </c>
      <c r="M2599" s="3">
        <v>15544.0</v>
      </c>
      <c r="N2599" s="1" t="str">
        <f t="shared" si="5"/>
        <v>Registered</v>
      </c>
      <c r="O2599" s="1" t="s">
        <v>19</v>
      </c>
      <c r="P2599" s="9" t="str">
        <f t="shared" si="6"/>
        <v>UK</v>
      </c>
      <c r="Q2599" s="8">
        <f t="shared" si="7"/>
        <v>17.7</v>
      </c>
    </row>
    <row r="2600">
      <c r="A2600" s="1">
        <v>544942.0</v>
      </c>
      <c r="B2600" s="1" t="str">
        <f t="shared" si="1"/>
        <v>544942</v>
      </c>
      <c r="C2600" s="1" t="str">
        <f t="shared" si="2"/>
        <v>Sale</v>
      </c>
      <c r="D2600" s="1">
        <v>21507.0</v>
      </c>
      <c r="E2600" s="1" t="str">
        <f>IFERROR(__xludf.DUMMYFUNCTION("IF(LEN(D2600)&gt;4, IFERROR(REGEXEXTRACT(TO_TEXT(D2600),""\d+""),""""),"""")"),"21507")</f>
        <v>21507</v>
      </c>
      <c r="F2600" s="6" t="str">
        <f t="shared" si="3"/>
        <v>Product</v>
      </c>
      <c r="G2600" s="1" t="s">
        <v>1137</v>
      </c>
      <c r="H2600" s="6" t="str">
        <f>IFERROR(__xludf.DUMMYFUNCTION("IF(REGEXMATCH(LOWER(G2600), ""^(\?)+\s*(missing)?\s*(\?)*$""), """", PROPER(SUBSTITUTE(SUBSTITUTE(G2600, ""?"", """"), ""*"", """")))"),"Elephant, Birthday Card,")</f>
        <v>Elephant, Birthday Card,</v>
      </c>
      <c r="I2600" s="3">
        <v>12.0</v>
      </c>
      <c r="J2600" s="7">
        <v>40599.43680555555</v>
      </c>
      <c r="K2600" s="8" t="str">
        <f t="shared" si="4"/>
        <v>2011-02</v>
      </c>
      <c r="L2600" s="5">
        <v>0.42</v>
      </c>
      <c r="M2600" s="3">
        <v>15544.0</v>
      </c>
      <c r="N2600" s="1" t="str">
        <f t="shared" si="5"/>
        <v>Registered</v>
      </c>
      <c r="O2600" s="1" t="s">
        <v>19</v>
      </c>
      <c r="P2600" s="9" t="str">
        <f t="shared" si="6"/>
        <v>UK</v>
      </c>
      <c r="Q2600" s="8">
        <f t="shared" si="7"/>
        <v>5.04</v>
      </c>
    </row>
    <row r="2601">
      <c r="A2601" s="1">
        <v>544942.0</v>
      </c>
      <c r="B2601" s="1" t="str">
        <f t="shared" si="1"/>
        <v>544942</v>
      </c>
      <c r="C2601" s="1" t="str">
        <f t="shared" si="2"/>
        <v>Sale</v>
      </c>
      <c r="D2601" s="1">
        <v>21509.0</v>
      </c>
      <c r="E2601" s="1" t="str">
        <f>IFERROR(__xludf.DUMMYFUNCTION("IF(LEN(D2601)&gt;4, IFERROR(REGEXEXTRACT(TO_TEXT(D2601),""\d+""),""""),"""")"),"21509")</f>
        <v>21509</v>
      </c>
      <c r="F2601" s="6" t="str">
        <f t="shared" si="3"/>
        <v>Product</v>
      </c>
      <c r="G2601" s="1" t="s">
        <v>740</v>
      </c>
      <c r="H2601" s="6" t="str">
        <f>IFERROR(__xludf.DUMMYFUNCTION("IF(REGEXMATCH(LOWER(G2601), ""^(\?)+\s*(missing)?\s*(\?)*$""), """", PROPER(SUBSTITUTE(SUBSTITUTE(G2601, ""?"", """"), ""*"", """")))"),"Cowboys And Indians Birthday Card")</f>
        <v>Cowboys And Indians Birthday Card</v>
      </c>
      <c r="I2601" s="3">
        <v>12.0</v>
      </c>
      <c r="J2601" s="7">
        <v>40599.43680555555</v>
      </c>
      <c r="K2601" s="8" t="str">
        <f t="shared" si="4"/>
        <v>2011-02</v>
      </c>
      <c r="L2601" s="5">
        <v>0.42</v>
      </c>
      <c r="M2601" s="3">
        <v>15544.0</v>
      </c>
      <c r="N2601" s="1" t="str">
        <f t="shared" si="5"/>
        <v>Registered</v>
      </c>
      <c r="O2601" s="1" t="s">
        <v>19</v>
      </c>
      <c r="P2601" s="9" t="str">
        <f t="shared" si="6"/>
        <v>UK</v>
      </c>
      <c r="Q2601" s="8">
        <f t="shared" si="7"/>
        <v>5.04</v>
      </c>
    </row>
    <row r="2602">
      <c r="A2602" s="1">
        <v>544942.0</v>
      </c>
      <c r="B2602" s="1" t="str">
        <f t="shared" si="1"/>
        <v>544942</v>
      </c>
      <c r="C2602" s="1" t="str">
        <f t="shared" si="2"/>
        <v>Sale</v>
      </c>
      <c r="D2602" s="1">
        <v>22027.0</v>
      </c>
      <c r="E2602" s="1" t="str">
        <f>IFERROR(__xludf.DUMMYFUNCTION("IF(LEN(D2602)&gt;4, IFERROR(REGEXEXTRACT(TO_TEXT(D2602),""\d+""),""""),"""")"),"22027")</f>
        <v>22027</v>
      </c>
      <c r="F2602" s="6" t="str">
        <f t="shared" si="3"/>
        <v>Product</v>
      </c>
      <c r="G2602" s="1" t="s">
        <v>896</v>
      </c>
      <c r="H2602" s="6" t="str">
        <f>IFERROR(__xludf.DUMMYFUNCTION("IF(REGEXMATCH(LOWER(G2602), ""^(\?)+\s*(missing)?\s*(\?)*$""), """", PROPER(SUBSTITUTE(SUBSTITUTE(G2602, ""?"", """"), ""*"", """")))"),"Tea Party Birthday Card")</f>
        <v>Tea Party Birthday Card</v>
      </c>
      <c r="I2602" s="3">
        <v>12.0</v>
      </c>
      <c r="J2602" s="7">
        <v>40599.43680555555</v>
      </c>
      <c r="K2602" s="8" t="str">
        <f t="shared" si="4"/>
        <v>2011-02</v>
      </c>
      <c r="L2602" s="5">
        <v>0.42</v>
      </c>
      <c r="M2602" s="3">
        <v>15544.0</v>
      </c>
      <c r="N2602" s="1" t="str">
        <f t="shared" si="5"/>
        <v>Registered</v>
      </c>
      <c r="O2602" s="1" t="s">
        <v>19</v>
      </c>
      <c r="P2602" s="9" t="str">
        <f t="shared" si="6"/>
        <v>UK</v>
      </c>
      <c r="Q2602" s="8">
        <f t="shared" si="7"/>
        <v>5.04</v>
      </c>
    </row>
    <row r="2603">
      <c r="A2603" s="1">
        <v>544942.0</v>
      </c>
      <c r="B2603" s="1" t="str">
        <f t="shared" si="1"/>
        <v>544942</v>
      </c>
      <c r="C2603" s="1" t="str">
        <f t="shared" si="2"/>
        <v>Sale</v>
      </c>
      <c r="D2603" s="1">
        <v>22029.0</v>
      </c>
      <c r="E2603" s="1" t="str">
        <f>IFERROR(__xludf.DUMMYFUNCTION("IF(LEN(D2603)&gt;4, IFERROR(REGEXEXTRACT(TO_TEXT(D2603),""\d+""),""""),"""")"),"22029")</f>
        <v>22029</v>
      </c>
      <c r="F2603" s="6" t="str">
        <f t="shared" si="3"/>
        <v>Product</v>
      </c>
      <c r="G2603" s="1" t="s">
        <v>900</v>
      </c>
      <c r="H2603" s="6" t="str">
        <f>IFERROR(__xludf.DUMMYFUNCTION("IF(REGEXMATCH(LOWER(G2603), ""^(\?)+\s*(missing)?\s*(\?)*$""), """", PROPER(SUBSTITUTE(SUBSTITUTE(G2603, ""?"", """"), ""*"", """")))"),"Spaceboy Birthday Card")</f>
        <v>Spaceboy Birthday Card</v>
      </c>
      <c r="I2603" s="3">
        <v>12.0</v>
      </c>
      <c r="J2603" s="7">
        <v>40599.43680555555</v>
      </c>
      <c r="K2603" s="8" t="str">
        <f t="shared" si="4"/>
        <v>2011-02</v>
      </c>
      <c r="L2603" s="5">
        <v>0.42</v>
      </c>
      <c r="M2603" s="3">
        <v>15544.0</v>
      </c>
      <c r="N2603" s="1" t="str">
        <f t="shared" si="5"/>
        <v>Registered</v>
      </c>
      <c r="O2603" s="1" t="s">
        <v>19</v>
      </c>
      <c r="P2603" s="9" t="str">
        <f t="shared" si="6"/>
        <v>UK</v>
      </c>
      <c r="Q2603" s="8">
        <f t="shared" si="7"/>
        <v>5.04</v>
      </c>
    </row>
    <row r="2604">
      <c r="A2604" s="1">
        <v>544942.0</v>
      </c>
      <c r="B2604" s="1" t="str">
        <f t="shared" si="1"/>
        <v>544942</v>
      </c>
      <c r="C2604" s="1" t="str">
        <f t="shared" si="2"/>
        <v>Sale</v>
      </c>
      <c r="D2604" s="1">
        <v>22037.0</v>
      </c>
      <c r="E2604" s="1" t="str">
        <f>IFERROR(__xludf.DUMMYFUNCTION("IF(LEN(D2604)&gt;4, IFERROR(REGEXEXTRACT(TO_TEXT(D2604),""\d+""),""""),"""")"),"22037")</f>
        <v>22037</v>
      </c>
      <c r="F2604" s="6" t="str">
        <f t="shared" si="3"/>
        <v>Product</v>
      </c>
      <c r="G2604" s="1" t="s">
        <v>1313</v>
      </c>
      <c r="H2604" s="6" t="str">
        <f>IFERROR(__xludf.DUMMYFUNCTION("IF(REGEXMATCH(LOWER(G2604), ""^(\?)+\s*(missing)?\s*(\?)*$""), """", PROPER(SUBSTITUTE(SUBSTITUTE(G2604, ""?"", """"), ""*"", """")))"),"Robot Birthday Card")</f>
        <v>Robot Birthday Card</v>
      </c>
      <c r="I2604" s="3">
        <v>12.0</v>
      </c>
      <c r="J2604" s="7">
        <v>40599.43680555555</v>
      </c>
      <c r="K2604" s="8" t="str">
        <f t="shared" si="4"/>
        <v>2011-02</v>
      </c>
      <c r="L2604" s="5">
        <v>0.42</v>
      </c>
      <c r="M2604" s="3">
        <v>15544.0</v>
      </c>
      <c r="N2604" s="1" t="str">
        <f t="shared" si="5"/>
        <v>Registered</v>
      </c>
      <c r="O2604" s="1" t="s">
        <v>19</v>
      </c>
      <c r="P2604" s="9" t="str">
        <f t="shared" si="6"/>
        <v>UK</v>
      </c>
      <c r="Q2604" s="8">
        <f t="shared" si="7"/>
        <v>5.04</v>
      </c>
    </row>
    <row r="2605">
      <c r="A2605" s="1">
        <v>544942.0</v>
      </c>
      <c r="B2605" s="1" t="str">
        <f t="shared" si="1"/>
        <v>544942</v>
      </c>
      <c r="C2605" s="1" t="str">
        <f t="shared" si="2"/>
        <v>Sale</v>
      </c>
      <c r="D2605" s="1">
        <v>22714.0</v>
      </c>
      <c r="E2605" s="1" t="str">
        <f>IFERROR(__xludf.DUMMYFUNCTION("IF(LEN(D2605)&gt;4, IFERROR(REGEXEXTRACT(TO_TEXT(D2605),""\d+""),""""),"""")"),"22714")</f>
        <v>22714</v>
      </c>
      <c r="F2605" s="6" t="str">
        <f t="shared" si="3"/>
        <v>Product</v>
      </c>
      <c r="G2605" s="1" t="s">
        <v>384</v>
      </c>
      <c r="H2605" s="6" t="str">
        <f>IFERROR(__xludf.DUMMYFUNCTION("IF(REGEXMATCH(LOWER(G2605), ""^(\?)+\s*(missing)?\s*(\?)*$""), """", PROPER(SUBSTITUTE(SUBSTITUTE(G2605, ""?"", """"), ""*"", """")))"),"Card Birthday Cowboy")</f>
        <v>Card Birthday Cowboy</v>
      </c>
      <c r="I2605" s="3">
        <v>12.0</v>
      </c>
      <c r="J2605" s="7">
        <v>40599.43680555555</v>
      </c>
      <c r="K2605" s="8" t="str">
        <f t="shared" si="4"/>
        <v>2011-02</v>
      </c>
      <c r="L2605" s="5">
        <v>0.42</v>
      </c>
      <c r="M2605" s="3">
        <v>15544.0</v>
      </c>
      <c r="N2605" s="1" t="str">
        <f t="shared" si="5"/>
        <v>Registered</v>
      </c>
      <c r="O2605" s="1" t="s">
        <v>19</v>
      </c>
      <c r="P2605" s="9" t="str">
        <f t="shared" si="6"/>
        <v>UK</v>
      </c>
      <c r="Q2605" s="8">
        <f t="shared" si="7"/>
        <v>5.04</v>
      </c>
    </row>
    <row r="2606">
      <c r="A2606" s="1">
        <v>544942.0</v>
      </c>
      <c r="B2606" s="1" t="str">
        <f t="shared" si="1"/>
        <v>544942</v>
      </c>
      <c r="C2606" s="1" t="str">
        <f t="shared" si="2"/>
        <v>Sale</v>
      </c>
      <c r="D2606" s="1">
        <v>22716.0</v>
      </c>
      <c r="E2606" s="1" t="str">
        <f>IFERROR(__xludf.DUMMYFUNCTION("IF(LEN(D2606)&gt;4, IFERROR(REGEXEXTRACT(TO_TEXT(D2606),""\d+""),""""),"""")"),"22716")</f>
        <v>22716</v>
      </c>
      <c r="F2606" s="6" t="str">
        <f t="shared" si="3"/>
        <v>Product</v>
      </c>
      <c r="G2606" s="1" t="s">
        <v>379</v>
      </c>
      <c r="H2606" s="6" t="str">
        <f>IFERROR(__xludf.DUMMYFUNCTION("IF(REGEXMATCH(LOWER(G2606), ""^(\?)+\s*(missing)?\s*(\?)*$""), """", PROPER(SUBSTITUTE(SUBSTITUTE(G2606, ""?"", """"), ""*"", """")))"),"Card Circus Parade")</f>
        <v>Card Circus Parade</v>
      </c>
      <c r="I2606" s="3">
        <v>12.0</v>
      </c>
      <c r="J2606" s="7">
        <v>40599.43680555555</v>
      </c>
      <c r="K2606" s="8" t="str">
        <f t="shared" si="4"/>
        <v>2011-02</v>
      </c>
      <c r="L2606" s="5">
        <v>0.42</v>
      </c>
      <c r="M2606" s="3">
        <v>15544.0</v>
      </c>
      <c r="N2606" s="1" t="str">
        <f t="shared" si="5"/>
        <v>Registered</v>
      </c>
      <c r="O2606" s="1" t="s">
        <v>19</v>
      </c>
      <c r="P2606" s="9" t="str">
        <f t="shared" si="6"/>
        <v>UK</v>
      </c>
      <c r="Q2606" s="8">
        <f t="shared" si="7"/>
        <v>5.04</v>
      </c>
    </row>
    <row r="2607">
      <c r="A2607" s="1">
        <v>544942.0</v>
      </c>
      <c r="B2607" s="1" t="str">
        <f t="shared" si="1"/>
        <v>544942</v>
      </c>
      <c r="C2607" s="1" t="str">
        <f t="shared" si="2"/>
        <v>Sale</v>
      </c>
      <c r="D2607" s="1">
        <v>22983.0</v>
      </c>
      <c r="E2607" s="1" t="str">
        <f>IFERROR(__xludf.DUMMYFUNCTION("IF(LEN(D2607)&gt;4, IFERROR(REGEXEXTRACT(TO_TEXT(D2607),""\d+""),""""),"""")"),"22983")</f>
        <v>22983</v>
      </c>
      <c r="F2607" s="6" t="str">
        <f t="shared" si="3"/>
        <v>Product</v>
      </c>
      <c r="G2607" s="1" t="s">
        <v>640</v>
      </c>
      <c r="H2607" s="6" t="str">
        <f>IFERROR(__xludf.DUMMYFUNCTION("IF(REGEXMATCH(LOWER(G2607), ""^(\?)+\s*(missing)?\s*(\?)*$""), """", PROPER(SUBSTITUTE(SUBSTITUTE(G2607, ""?"", """"), ""*"", """")))"),"Card Billboard Font")</f>
        <v>Card Billboard Font</v>
      </c>
      <c r="I2607" s="3">
        <v>12.0</v>
      </c>
      <c r="J2607" s="7">
        <v>40599.43680555555</v>
      </c>
      <c r="K2607" s="8" t="str">
        <f t="shared" si="4"/>
        <v>2011-02</v>
      </c>
      <c r="L2607" s="5">
        <v>0.42</v>
      </c>
      <c r="M2607" s="3">
        <v>15544.0</v>
      </c>
      <c r="N2607" s="1" t="str">
        <f t="shared" si="5"/>
        <v>Registered</v>
      </c>
      <c r="O2607" s="1" t="s">
        <v>19</v>
      </c>
      <c r="P2607" s="9" t="str">
        <f t="shared" si="6"/>
        <v>UK</v>
      </c>
      <c r="Q2607" s="8">
        <f t="shared" si="7"/>
        <v>5.04</v>
      </c>
    </row>
    <row r="2608">
      <c r="A2608" s="1">
        <v>544942.0</v>
      </c>
      <c r="B2608" s="1" t="str">
        <f t="shared" si="1"/>
        <v>544942</v>
      </c>
      <c r="C2608" s="1" t="str">
        <f t="shared" si="2"/>
        <v>Sale</v>
      </c>
      <c r="D2608" s="1">
        <v>21495.0</v>
      </c>
      <c r="E2608" s="1" t="str">
        <f>IFERROR(__xludf.DUMMYFUNCTION("IF(LEN(D2608)&gt;4, IFERROR(REGEXEXTRACT(TO_TEXT(D2608),""\d+""),""""),"""")"),"21495")</f>
        <v>21495</v>
      </c>
      <c r="F2608" s="6" t="str">
        <f t="shared" si="3"/>
        <v>Product</v>
      </c>
      <c r="G2608" s="1" t="s">
        <v>1128</v>
      </c>
      <c r="H2608" s="6" t="str">
        <f>IFERROR(__xludf.DUMMYFUNCTION("IF(REGEXMATCH(LOWER(G2608), ""^(\?)+\s*(missing)?\s*(\?)*$""), """", PROPER(SUBSTITUTE(SUBSTITUTE(G2608, ""?"", """"), ""*"", """")))"),"Skulls And Crossbones Wrap")</f>
        <v>Skulls And Crossbones Wrap</v>
      </c>
      <c r="I2608" s="3">
        <v>50.0</v>
      </c>
      <c r="J2608" s="7">
        <v>40599.43680555555</v>
      </c>
      <c r="K2608" s="8" t="str">
        <f t="shared" si="4"/>
        <v>2011-02</v>
      </c>
      <c r="L2608" s="5">
        <v>0.42</v>
      </c>
      <c r="M2608" s="3">
        <v>15544.0</v>
      </c>
      <c r="N2608" s="1" t="str">
        <f t="shared" si="5"/>
        <v>Registered</v>
      </c>
      <c r="O2608" s="1" t="s">
        <v>19</v>
      </c>
      <c r="P2608" s="9" t="str">
        <f t="shared" si="6"/>
        <v>UK</v>
      </c>
      <c r="Q2608" s="8">
        <f t="shared" si="7"/>
        <v>21</v>
      </c>
    </row>
    <row r="2609">
      <c r="A2609" s="1">
        <v>544942.0</v>
      </c>
      <c r="B2609" s="1" t="str">
        <f t="shared" si="1"/>
        <v>544942</v>
      </c>
      <c r="C2609" s="1" t="str">
        <f t="shared" si="2"/>
        <v>Sale</v>
      </c>
      <c r="D2609" s="1">
        <v>21504.0</v>
      </c>
      <c r="E2609" s="1" t="str">
        <f>IFERROR(__xludf.DUMMYFUNCTION("IF(LEN(D2609)&gt;4, IFERROR(REGEXEXTRACT(TO_TEXT(D2609),""\d+""),""""),"""")"),"21504")</f>
        <v>21504</v>
      </c>
      <c r="F2609" s="6" t="str">
        <f t="shared" si="3"/>
        <v>Product</v>
      </c>
      <c r="G2609" s="1" t="s">
        <v>1314</v>
      </c>
      <c r="H2609" s="6" t="str">
        <f>IFERROR(__xludf.DUMMYFUNCTION("IF(REGEXMATCH(LOWER(G2609), ""^(\?)+\s*(missing)?\s*(\?)*$""), """", PROPER(SUBSTITUTE(SUBSTITUTE(G2609, ""?"", """"), ""*"", """")))"),"Skulls Greeting Card")</f>
        <v>Skulls Greeting Card</v>
      </c>
      <c r="I2609" s="3">
        <v>24.0</v>
      </c>
      <c r="J2609" s="7">
        <v>40599.43680555555</v>
      </c>
      <c r="K2609" s="8" t="str">
        <f t="shared" si="4"/>
        <v>2011-02</v>
      </c>
      <c r="L2609" s="5">
        <v>0.42</v>
      </c>
      <c r="M2609" s="3">
        <v>15544.0</v>
      </c>
      <c r="N2609" s="1" t="str">
        <f t="shared" si="5"/>
        <v>Registered</v>
      </c>
      <c r="O2609" s="1" t="s">
        <v>19</v>
      </c>
      <c r="P2609" s="9" t="str">
        <f t="shared" si="6"/>
        <v>UK</v>
      </c>
      <c r="Q2609" s="8">
        <f t="shared" si="7"/>
        <v>10.08</v>
      </c>
    </row>
    <row r="2610">
      <c r="A2610" s="1">
        <v>544942.0</v>
      </c>
      <c r="B2610" s="1" t="str">
        <f t="shared" si="1"/>
        <v>544942</v>
      </c>
      <c r="C2610" s="1" t="str">
        <f t="shared" si="2"/>
        <v>Sale</v>
      </c>
      <c r="D2610" s="1">
        <v>22551.0</v>
      </c>
      <c r="E2610" s="1" t="str">
        <f>IFERROR(__xludf.DUMMYFUNCTION("IF(LEN(D2610)&gt;4, IFERROR(REGEXEXTRACT(TO_TEXT(D2610),""\d+""),""""),"""")"),"22551")</f>
        <v>22551</v>
      </c>
      <c r="F2610" s="6" t="str">
        <f t="shared" si="3"/>
        <v>Product</v>
      </c>
      <c r="G2610" s="1" t="s">
        <v>498</v>
      </c>
      <c r="H2610" s="6" t="str">
        <f>IFERROR(__xludf.DUMMYFUNCTION("IF(REGEXMATCH(LOWER(G2610), ""^(\?)+\s*(missing)?\s*(\?)*$""), """", PROPER(SUBSTITUTE(SUBSTITUTE(G2610, ""?"", """"), ""*"", """")))"),"Plasters In Tin Spaceboy")</f>
        <v>Plasters In Tin Spaceboy</v>
      </c>
      <c r="I2610" s="3">
        <v>12.0</v>
      </c>
      <c r="J2610" s="7">
        <v>40599.43680555555</v>
      </c>
      <c r="K2610" s="8" t="str">
        <f t="shared" si="4"/>
        <v>2011-02</v>
      </c>
      <c r="L2610" s="5">
        <v>1.65</v>
      </c>
      <c r="M2610" s="3">
        <v>15544.0</v>
      </c>
      <c r="N2610" s="1" t="str">
        <f t="shared" si="5"/>
        <v>Registered</v>
      </c>
      <c r="O2610" s="1" t="s">
        <v>19</v>
      </c>
      <c r="P2610" s="9" t="str">
        <f t="shared" si="6"/>
        <v>UK</v>
      </c>
      <c r="Q2610" s="8">
        <f t="shared" si="7"/>
        <v>19.8</v>
      </c>
    </row>
    <row r="2611">
      <c r="A2611" s="1">
        <v>544942.0</v>
      </c>
      <c r="B2611" s="1" t="str">
        <f t="shared" si="1"/>
        <v>544942</v>
      </c>
      <c r="C2611" s="1" t="str">
        <f t="shared" si="2"/>
        <v>Sale</v>
      </c>
      <c r="D2611" s="1">
        <v>22553.0</v>
      </c>
      <c r="E2611" s="1" t="str">
        <f>IFERROR(__xludf.DUMMYFUNCTION("IF(LEN(D2611)&gt;4, IFERROR(REGEXEXTRACT(TO_TEXT(D2611),""\d+""),""""),"""")"),"22553")</f>
        <v>22553</v>
      </c>
      <c r="F2611" s="6" t="str">
        <f t="shared" si="3"/>
        <v>Product</v>
      </c>
      <c r="G2611" s="1" t="s">
        <v>234</v>
      </c>
      <c r="H2611" s="6" t="str">
        <f>IFERROR(__xludf.DUMMYFUNCTION("IF(REGEXMATCH(LOWER(G2611), ""^(\?)+\s*(missing)?\s*(\?)*$""), """", PROPER(SUBSTITUTE(SUBSTITUTE(G2611, ""?"", """"), ""*"", """")))"),"Plasters In Tin Skulls")</f>
        <v>Plasters In Tin Skulls</v>
      </c>
      <c r="I2611" s="3">
        <v>12.0</v>
      </c>
      <c r="J2611" s="7">
        <v>40599.43680555555</v>
      </c>
      <c r="K2611" s="8" t="str">
        <f t="shared" si="4"/>
        <v>2011-02</v>
      </c>
      <c r="L2611" s="5">
        <v>1.65</v>
      </c>
      <c r="M2611" s="3">
        <v>15544.0</v>
      </c>
      <c r="N2611" s="1" t="str">
        <f t="shared" si="5"/>
        <v>Registered</v>
      </c>
      <c r="O2611" s="1" t="s">
        <v>19</v>
      </c>
      <c r="P2611" s="9" t="str">
        <f t="shared" si="6"/>
        <v>UK</v>
      </c>
      <c r="Q2611" s="8">
        <f t="shared" si="7"/>
        <v>19.8</v>
      </c>
    </row>
    <row r="2612">
      <c r="A2612" s="1">
        <v>544942.0</v>
      </c>
      <c r="B2612" s="1" t="str">
        <f t="shared" si="1"/>
        <v>544942</v>
      </c>
      <c r="C2612" s="1" t="str">
        <f t="shared" si="2"/>
        <v>Sale</v>
      </c>
      <c r="D2612" s="1">
        <v>22554.0</v>
      </c>
      <c r="E2612" s="1" t="str">
        <f>IFERROR(__xludf.DUMMYFUNCTION("IF(LEN(D2612)&gt;4, IFERROR(REGEXEXTRACT(TO_TEXT(D2612),""\d+""),""""),"""")"),"22554")</f>
        <v>22554</v>
      </c>
      <c r="F2612" s="6" t="str">
        <f t="shared" si="3"/>
        <v>Product</v>
      </c>
      <c r="G2612" s="1" t="s">
        <v>499</v>
      </c>
      <c r="H2612" s="6" t="str">
        <f>IFERROR(__xludf.DUMMYFUNCTION("IF(REGEXMATCH(LOWER(G2612), ""^(\?)+\s*(missing)?\s*(\?)*$""), """", PROPER(SUBSTITUTE(SUBSTITUTE(G2612, ""?"", """"), ""*"", """")))"),"Plasters In Tin Woodland Animals")</f>
        <v>Plasters In Tin Woodland Animals</v>
      </c>
      <c r="I2612" s="3">
        <v>12.0</v>
      </c>
      <c r="J2612" s="7">
        <v>40599.43680555555</v>
      </c>
      <c r="K2612" s="8" t="str">
        <f t="shared" si="4"/>
        <v>2011-02</v>
      </c>
      <c r="L2612" s="5">
        <v>1.65</v>
      </c>
      <c r="M2612" s="3">
        <v>15544.0</v>
      </c>
      <c r="N2612" s="1" t="str">
        <f t="shared" si="5"/>
        <v>Registered</v>
      </c>
      <c r="O2612" s="1" t="s">
        <v>19</v>
      </c>
      <c r="P2612" s="9" t="str">
        <f t="shared" si="6"/>
        <v>UK</v>
      </c>
      <c r="Q2612" s="8">
        <f t="shared" si="7"/>
        <v>19.8</v>
      </c>
    </row>
    <row r="2613">
      <c r="A2613" s="1">
        <v>544942.0</v>
      </c>
      <c r="B2613" s="1" t="str">
        <f t="shared" si="1"/>
        <v>544942</v>
      </c>
      <c r="C2613" s="1" t="str">
        <f t="shared" si="2"/>
        <v>Sale</v>
      </c>
      <c r="D2613" s="1">
        <v>22556.0</v>
      </c>
      <c r="E2613" s="1" t="str">
        <f>IFERROR(__xludf.DUMMYFUNCTION("IF(LEN(D2613)&gt;4, IFERROR(REGEXEXTRACT(TO_TEXT(D2613),""\d+""),""""),"""")"),"22556")</f>
        <v>22556</v>
      </c>
      <c r="F2613" s="6" t="str">
        <f t="shared" si="3"/>
        <v>Product</v>
      </c>
      <c r="G2613" s="1" t="s">
        <v>228</v>
      </c>
      <c r="H2613" s="6" t="str">
        <f>IFERROR(__xludf.DUMMYFUNCTION("IF(REGEXMATCH(LOWER(G2613), ""^(\?)+\s*(missing)?\s*(\?)*$""), """", PROPER(SUBSTITUTE(SUBSTITUTE(G2613, ""?"", """"), ""*"", """")))"),"Plasters In Tin Circus Parade")</f>
        <v>Plasters In Tin Circus Parade</v>
      </c>
      <c r="I2613" s="3">
        <v>12.0</v>
      </c>
      <c r="J2613" s="7">
        <v>40599.43680555555</v>
      </c>
      <c r="K2613" s="8" t="str">
        <f t="shared" si="4"/>
        <v>2011-02</v>
      </c>
      <c r="L2613" s="5">
        <v>1.65</v>
      </c>
      <c r="M2613" s="3">
        <v>15544.0</v>
      </c>
      <c r="N2613" s="1" t="str">
        <f t="shared" si="5"/>
        <v>Registered</v>
      </c>
      <c r="O2613" s="1" t="s">
        <v>19</v>
      </c>
      <c r="P2613" s="9" t="str">
        <f t="shared" si="6"/>
        <v>UK</v>
      </c>
      <c r="Q2613" s="8">
        <f t="shared" si="7"/>
        <v>19.8</v>
      </c>
    </row>
    <row r="2614">
      <c r="A2614" s="1">
        <v>544942.0</v>
      </c>
      <c r="B2614" s="1" t="str">
        <f t="shared" si="1"/>
        <v>544942</v>
      </c>
      <c r="C2614" s="1" t="str">
        <f t="shared" si="2"/>
        <v>Sale</v>
      </c>
      <c r="D2614" s="1" t="s">
        <v>1315</v>
      </c>
      <c r="E2614" s="1" t="str">
        <f>IFERROR(__xludf.DUMMYFUNCTION("IF(LEN(D2614)&gt;4, IFERROR(REGEXEXTRACT(TO_TEXT(D2614),""\d+""),""""),"""")"),"84997")</f>
        <v>84997</v>
      </c>
      <c r="F2614" s="6" t="str">
        <f t="shared" si="3"/>
        <v>Product</v>
      </c>
      <c r="G2614" s="1" t="s">
        <v>1316</v>
      </c>
      <c r="H2614" s="6" t="str">
        <f>IFERROR(__xludf.DUMMYFUNCTION("IF(REGEXMATCH(LOWER(G2614), ""^(\?)+\s*(missing)?\s*(\?)*$""), """", PROPER(SUBSTITUTE(SUBSTITUTE(G2614, ""?"", """"), ""*"", """")))"),"Childrens Cutlery Polkadot Green")</f>
        <v>Childrens Cutlery Polkadot Green</v>
      </c>
      <c r="I2614" s="3">
        <v>8.0</v>
      </c>
      <c r="J2614" s="7">
        <v>40599.43680555555</v>
      </c>
      <c r="K2614" s="8" t="str">
        <f t="shared" si="4"/>
        <v>2011-02</v>
      </c>
      <c r="L2614" s="5">
        <v>4.15</v>
      </c>
      <c r="M2614" s="3">
        <v>15544.0</v>
      </c>
      <c r="N2614" s="1" t="str">
        <f t="shared" si="5"/>
        <v>Registered</v>
      </c>
      <c r="O2614" s="1" t="s">
        <v>19</v>
      </c>
      <c r="P2614" s="9" t="str">
        <f t="shared" si="6"/>
        <v>UK</v>
      </c>
      <c r="Q2614" s="8">
        <f t="shared" si="7"/>
        <v>33.2</v>
      </c>
    </row>
    <row r="2615">
      <c r="A2615" s="1">
        <v>544942.0</v>
      </c>
      <c r="B2615" s="1" t="str">
        <f t="shared" si="1"/>
        <v>544942</v>
      </c>
      <c r="C2615" s="1" t="str">
        <f t="shared" si="2"/>
        <v>Sale</v>
      </c>
      <c r="D2615" s="1" t="s">
        <v>1117</v>
      </c>
      <c r="E2615" s="1" t="str">
        <f>IFERROR(__xludf.DUMMYFUNCTION("IF(LEN(D2615)&gt;4, IFERROR(REGEXEXTRACT(TO_TEXT(D2615),""\d+""),""""),"""")"),"84997")</f>
        <v>84997</v>
      </c>
      <c r="F2615" s="6" t="str">
        <f t="shared" si="3"/>
        <v>Product</v>
      </c>
      <c r="G2615" s="1" t="s">
        <v>1118</v>
      </c>
      <c r="H2615" s="6" t="str">
        <f>IFERROR(__xludf.DUMMYFUNCTION("IF(REGEXMATCH(LOWER(G2615), ""^(\?)+\s*(missing)?\s*(\?)*$""), """", PROPER(SUBSTITUTE(SUBSTITUTE(G2615, ""?"", """"), ""*"", """")))"),"Childrens Cutlery Polkadot Pink")</f>
        <v>Childrens Cutlery Polkadot Pink</v>
      </c>
      <c r="I2615" s="3">
        <v>8.0</v>
      </c>
      <c r="J2615" s="7">
        <v>40599.43680555555</v>
      </c>
      <c r="K2615" s="8" t="str">
        <f t="shared" si="4"/>
        <v>2011-02</v>
      </c>
      <c r="L2615" s="5">
        <v>4.15</v>
      </c>
      <c r="M2615" s="3">
        <v>15544.0</v>
      </c>
      <c r="N2615" s="1" t="str">
        <f t="shared" si="5"/>
        <v>Registered</v>
      </c>
      <c r="O2615" s="1" t="s">
        <v>19</v>
      </c>
      <c r="P2615" s="9" t="str">
        <f t="shared" si="6"/>
        <v>UK</v>
      </c>
      <c r="Q2615" s="8">
        <f t="shared" si="7"/>
        <v>33.2</v>
      </c>
    </row>
    <row r="2616">
      <c r="A2616" s="1">
        <v>544942.0</v>
      </c>
      <c r="B2616" s="1" t="str">
        <f t="shared" si="1"/>
        <v>544942</v>
      </c>
      <c r="C2616" s="1" t="str">
        <f t="shared" si="2"/>
        <v>Sale</v>
      </c>
      <c r="D2616" s="1" t="s">
        <v>89</v>
      </c>
      <c r="E2616" s="1" t="str">
        <f>IFERROR(__xludf.DUMMYFUNCTION("IF(LEN(D2616)&gt;4, IFERROR(REGEXEXTRACT(TO_TEXT(D2616),""\d+""),""""),"""")"),"84997")</f>
        <v>84997</v>
      </c>
      <c r="F2616" s="6" t="str">
        <f t="shared" si="3"/>
        <v>Product</v>
      </c>
      <c r="G2616" s="1" t="s">
        <v>1317</v>
      </c>
      <c r="H2616" s="6" t="str">
        <f>IFERROR(__xludf.DUMMYFUNCTION("IF(REGEXMATCH(LOWER(G2616), ""^(\?)+\s*(missing)?\s*(\?)*$""), """", PROPER(SUBSTITUTE(SUBSTITUTE(G2616, ""?"", """"), ""*"", """")))"),"Childrens Cutlery Retrospot Red")</f>
        <v>Childrens Cutlery Retrospot Red</v>
      </c>
      <c r="I2616" s="3">
        <v>8.0</v>
      </c>
      <c r="J2616" s="7">
        <v>40599.43680555555</v>
      </c>
      <c r="K2616" s="8" t="str">
        <f t="shared" si="4"/>
        <v>2011-02</v>
      </c>
      <c r="L2616" s="5">
        <v>4.15</v>
      </c>
      <c r="M2616" s="3">
        <v>15544.0</v>
      </c>
      <c r="N2616" s="1" t="str">
        <f t="shared" si="5"/>
        <v>Registered</v>
      </c>
      <c r="O2616" s="1" t="s">
        <v>19</v>
      </c>
      <c r="P2616" s="9" t="str">
        <f t="shared" si="6"/>
        <v>UK</v>
      </c>
      <c r="Q2616" s="8">
        <f t="shared" si="7"/>
        <v>33.2</v>
      </c>
    </row>
    <row r="2617">
      <c r="A2617" s="1">
        <v>544942.0</v>
      </c>
      <c r="B2617" s="1" t="str">
        <f t="shared" si="1"/>
        <v>544942</v>
      </c>
      <c r="C2617" s="1" t="str">
        <f t="shared" si="2"/>
        <v>Sale</v>
      </c>
      <c r="D2617" s="1">
        <v>20727.0</v>
      </c>
      <c r="E2617" s="1" t="str">
        <f>IFERROR(__xludf.DUMMYFUNCTION("IF(LEN(D2617)&gt;4, IFERROR(REGEXEXTRACT(TO_TEXT(D2617),""\d+""),""""),"""")"),"20727")</f>
        <v>20727</v>
      </c>
      <c r="F2617" s="6" t="str">
        <f t="shared" si="3"/>
        <v>Product</v>
      </c>
      <c r="G2617" s="1" t="s">
        <v>357</v>
      </c>
      <c r="H2617" s="6" t="str">
        <f>IFERROR(__xludf.DUMMYFUNCTION("IF(REGEXMATCH(LOWER(G2617), ""^(\?)+\s*(missing)?\s*(\?)*$""), """", PROPER(SUBSTITUTE(SUBSTITUTE(G2617, ""?"", """"), ""*"", """")))"),"Lunch Bag Black Skull.")</f>
        <v>Lunch Bag Black Skull.</v>
      </c>
      <c r="I2617" s="3">
        <v>10.0</v>
      </c>
      <c r="J2617" s="7">
        <v>40599.43680555555</v>
      </c>
      <c r="K2617" s="8" t="str">
        <f t="shared" si="4"/>
        <v>2011-02</v>
      </c>
      <c r="L2617" s="5">
        <v>1.65</v>
      </c>
      <c r="M2617" s="3">
        <v>15544.0</v>
      </c>
      <c r="N2617" s="1" t="str">
        <f t="shared" si="5"/>
        <v>Registered</v>
      </c>
      <c r="O2617" s="1" t="s">
        <v>19</v>
      </c>
      <c r="P2617" s="9" t="str">
        <f t="shared" si="6"/>
        <v>UK</v>
      </c>
      <c r="Q2617" s="8">
        <f t="shared" si="7"/>
        <v>16.5</v>
      </c>
    </row>
    <row r="2618">
      <c r="A2618" s="1">
        <v>544942.0</v>
      </c>
      <c r="B2618" s="1" t="str">
        <f t="shared" si="1"/>
        <v>544942</v>
      </c>
      <c r="C2618" s="1" t="str">
        <f t="shared" si="2"/>
        <v>Sale</v>
      </c>
      <c r="D2618" s="1">
        <v>20725.0</v>
      </c>
      <c r="E2618" s="1" t="str">
        <f>IFERROR(__xludf.DUMMYFUNCTION("IF(LEN(D2618)&gt;4, IFERROR(REGEXEXTRACT(TO_TEXT(D2618),""\d+""),""""),"""")"),"20725")</f>
        <v>20725</v>
      </c>
      <c r="F2618" s="6" t="str">
        <f t="shared" si="3"/>
        <v>Product</v>
      </c>
      <c r="G2618" s="1" t="s">
        <v>94</v>
      </c>
      <c r="H2618" s="6" t="str">
        <f>IFERROR(__xludf.DUMMYFUNCTION("IF(REGEXMATCH(LOWER(G2618), ""^(\?)+\s*(missing)?\s*(\?)*$""), """", PROPER(SUBSTITUTE(SUBSTITUTE(G2618, ""?"", """"), ""*"", """")))"),"Lunch Bag Red Retrospot")</f>
        <v>Lunch Bag Red Retrospot</v>
      </c>
      <c r="I2618" s="3">
        <v>10.0</v>
      </c>
      <c r="J2618" s="7">
        <v>40599.43680555555</v>
      </c>
      <c r="K2618" s="8" t="str">
        <f t="shared" si="4"/>
        <v>2011-02</v>
      </c>
      <c r="L2618" s="5">
        <v>1.65</v>
      </c>
      <c r="M2618" s="3">
        <v>15544.0</v>
      </c>
      <c r="N2618" s="1" t="str">
        <f t="shared" si="5"/>
        <v>Registered</v>
      </c>
      <c r="O2618" s="1" t="s">
        <v>19</v>
      </c>
      <c r="P2618" s="9" t="str">
        <f t="shared" si="6"/>
        <v>UK</v>
      </c>
      <c r="Q2618" s="8">
        <f t="shared" si="7"/>
        <v>16.5</v>
      </c>
    </row>
    <row r="2619">
      <c r="A2619" s="1">
        <v>544942.0</v>
      </c>
      <c r="B2619" s="1" t="str">
        <f t="shared" si="1"/>
        <v>544942</v>
      </c>
      <c r="C2619" s="1" t="str">
        <f t="shared" si="2"/>
        <v>Sale</v>
      </c>
      <c r="D2619" s="1">
        <v>22384.0</v>
      </c>
      <c r="E2619" s="1" t="str">
        <f>IFERROR(__xludf.DUMMYFUNCTION("IF(LEN(D2619)&gt;4, IFERROR(REGEXEXTRACT(TO_TEXT(D2619),""\d+""),""""),"""")"),"22384")</f>
        <v>22384</v>
      </c>
      <c r="F2619" s="6" t="str">
        <f t="shared" si="3"/>
        <v>Product</v>
      </c>
      <c r="G2619" s="1" t="s">
        <v>322</v>
      </c>
      <c r="H2619" s="6" t="str">
        <f>IFERROR(__xludf.DUMMYFUNCTION("IF(REGEXMATCH(LOWER(G2619), ""^(\?)+\s*(missing)?\s*(\?)*$""), """", PROPER(SUBSTITUTE(SUBSTITUTE(G2619, ""?"", """"), ""*"", """")))"),"Lunch Bag Pink Polkadot")</f>
        <v>Lunch Bag Pink Polkadot</v>
      </c>
      <c r="I2619" s="3">
        <v>10.0</v>
      </c>
      <c r="J2619" s="7">
        <v>40599.43680555555</v>
      </c>
      <c r="K2619" s="8" t="str">
        <f t="shared" si="4"/>
        <v>2011-02</v>
      </c>
      <c r="L2619" s="5">
        <v>1.65</v>
      </c>
      <c r="M2619" s="3">
        <v>15544.0</v>
      </c>
      <c r="N2619" s="1" t="str">
        <f t="shared" si="5"/>
        <v>Registered</v>
      </c>
      <c r="O2619" s="1" t="s">
        <v>19</v>
      </c>
      <c r="P2619" s="9" t="str">
        <f t="shared" si="6"/>
        <v>UK</v>
      </c>
      <c r="Q2619" s="8">
        <f t="shared" si="7"/>
        <v>16.5</v>
      </c>
    </row>
    <row r="2620">
      <c r="A2620" s="1">
        <v>544942.0</v>
      </c>
      <c r="B2620" s="1" t="str">
        <f t="shared" si="1"/>
        <v>544942</v>
      </c>
      <c r="C2620" s="1" t="str">
        <f t="shared" si="2"/>
        <v>Sale</v>
      </c>
      <c r="D2620" s="1">
        <v>22383.0</v>
      </c>
      <c r="E2620" s="1" t="str">
        <f>IFERROR(__xludf.DUMMYFUNCTION("IF(LEN(D2620)&gt;4, IFERROR(REGEXEXTRACT(TO_TEXT(D2620),""\d+""),""""),"""")"),"22383")</f>
        <v>22383</v>
      </c>
      <c r="F2620" s="6" t="str">
        <f t="shared" si="3"/>
        <v>Product</v>
      </c>
      <c r="G2620" s="1" t="s">
        <v>355</v>
      </c>
      <c r="H2620" s="6" t="str">
        <f>IFERROR(__xludf.DUMMYFUNCTION("IF(REGEXMATCH(LOWER(G2620), ""^(\?)+\s*(missing)?\s*(\?)*$""), """", PROPER(SUBSTITUTE(SUBSTITUTE(G2620, ""?"", """"), ""*"", """")))"),"Lunch Bag Suki Design")</f>
        <v>Lunch Bag Suki Design</v>
      </c>
      <c r="I2620" s="3">
        <v>10.0</v>
      </c>
      <c r="J2620" s="7">
        <v>40599.43680555555</v>
      </c>
      <c r="K2620" s="8" t="str">
        <f t="shared" si="4"/>
        <v>2011-02</v>
      </c>
      <c r="L2620" s="5">
        <v>1.65</v>
      </c>
      <c r="M2620" s="3">
        <v>15544.0</v>
      </c>
      <c r="N2620" s="1" t="str">
        <f t="shared" si="5"/>
        <v>Registered</v>
      </c>
      <c r="O2620" s="1" t="s">
        <v>19</v>
      </c>
      <c r="P2620" s="9" t="str">
        <f t="shared" si="6"/>
        <v>UK</v>
      </c>
      <c r="Q2620" s="8">
        <f t="shared" si="7"/>
        <v>16.5</v>
      </c>
    </row>
    <row r="2621">
      <c r="A2621" s="1">
        <v>544942.0</v>
      </c>
      <c r="B2621" s="1" t="str">
        <f t="shared" si="1"/>
        <v>544942</v>
      </c>
      <c r="C2621" s="1" t="str">
        <f t="shared" si="2"/>
        <v>Sale</v>
      </c>
      <c r="D2621" s="1">
        <v>21156.0</v>
      </c>
      <c r="E2621" s="1" t="str">
        <f>IFERROR(__xludf.DUMMYFUNCTION("IF(LEN(D2621)&gt;4, IFERROR(REGEXEXTRACT(TO_TEXT(D2621),""\d+""),""""),"""")"),"21156")</f>
        <v>21156</v>
      </c>
      <c r="F2621" s="6" t="str">
        <f t="shared" si="3"/>
        <v>Product</v>
      </c>
      <c r="G2621" s="1" t="s">
        <v>536</v>
      </c>
      <c r="H2621" s="6" t="str">
        <f>IFERROR(__xludf.DUMMYFUNCTION("IF(REGEXMATCH(LOWER(G2621), ""^(\?)+\s*(missing)?\s*(\?)*$""), """", PROPER(SUBSTITUTE(SUBSTITUTE(G2621, ""?"", """"), ""*"", """")))"),"Retrospot Childrens Apron")</f>
        <v>Retrospot Childrens Apron</v>
      </c>
      <c r="I2621" s="3">
        <v>8.0</v>
      </c>
      <c r="J2621" s="7">
        <v>40599.43680555555</v>
      </c>
      <c r="K2621" s="8" t="str">
        <f t="shared" si="4"/>
        <v>2011-02</v>
      </c>
      <c r="L2621" s="5">
        <v>1.95</v>
      </c>
      <c r="M2621" s="3">
        <v>15544.0</v>
      </c>
      <c r="N2621" s="1" t="str">
        <f t="shared" si="5"/>
        <v>Registered</v>
      </c>
      <c r="O2621" s="1" t="s">
        <v>19</v>
      </c>
      <c r="P2621" s="9" t="str">
        <f t="shared" si="6"/>
        <v>UK</v>
      </c>
      <c r="Q2621" s="8">
        <f t="shared" si="7"/>
        <v>15.6</v>
      </c>
    </row>
    <row r="2622">
      <c r="A2622" s="1">
        <v>544942.0</v>
      </c>
      <c r="B2622" s="1" t="str">
        <f t="shared" si="1"/>
        <v>544942</v>
      </c>
      <c r="C2622" s="1" t="str">
        <f t="shared" si="2"/>
        <v>Sale</v>
      </c>
      <c r="D2622" s="1" t="s">
        <v>1020</v>
      </c>
      <c r="E2622" s="1" t="str">
        <f>IFERROR(__xludf.DUMMYFUNCTION("IF(LEN(D2622)&gt;4, IFERROR(REGEXEXTRACT(TO_TEXT(D2622),""\d+""),""""),"""")"),"47591")</f>
        <v>47591</v>
      </c>
      <c r="F2622" s="6" t="str">
        <f t="shared" si="3"/>
        <v>Product</v>
      </c>
      <c r="G2622" s="1" t="s">
        <v>1021</v>
      </c>
      <c r="H2622" s="6" t="str">
        <f>IFERROR(__xludf.DUMMYFUNCTION("IF(REGEXMATCH(LOWER(G2622), ""^(\?)+\s*(missing)?\s*(\?)*$""), """", PROPER(SUBSTITUTE(SUBSTITUTE(G2622, ""?"", """"), ""*"", """")))"),"Pink Fairy Cake Childrens Apron")</f>
        <v>Pink Fairy Cake Childrens Apron</v>
      </c>
      <c r="I2622" s="3">
        <v>8.0</v>
      </c>
      <c r="J2622" s="7">
        <v>40599.43680555555</v>
      </c>
      <c r="K2622" s="8" t="str">
        <f t="shared" si="4"/>
        <v>2011-02</v>
      </c>
      <c r="L2622" s="5">
        <v>1.95</v>
      </c>
      <c r="M2622" s="3">
        <v>15544.0</v>
      </c>
      <c r="N2622" s="1" t="str">
        <f t="shared" si="5"/>
        <v>Registered</v>
      </c>
      <c r="O2622" s="1" t="s">
        <v>19</v>
      </c>
      <c r="P2622" s="9" t="str">
        <f t="shared" si="6"/>
        <v>UK</v>
      </c>
      <c r="Q2622" s="8">
        <f t="shared" si="7"/>
        <v>15.6</v>
      </c>
    </row>
    <row r="2623">
      <c r="A2623" s="1">
        <v>544943.0</v>
      </c>
      <c r="B2623" s="1" t="str">
        <f t="shared" si="1"/>
        <v>544943</v>
      </c>
      <c r="C2623" s="1" t="str">
        <f t="shared" si="2"/>
        <v>Sale</v>
      </c>
      <c r="D2623" s="1">
        <v>22469.0</v>
      </c>
      <c r="E2623" s="1" t="str">
        <f>IFERROR(__xludf.DUMMYFUNCTION("IF(LEN(D2623)&gt;4, IFERROR(REGEXEXTRACT(TO_TEXT(D2623),""\d+""),""""),"""")"),"22469")</f>
        <v>22469</v>
      </c>
      <c r="F2623" s="6" t="str">
        <f t="shared" si="3"/>
        <v>Product</v>
      </c>
      <c r="G2623" s="1" t="s">
        <v>167</v>
      </c>
      <c r="H2623" s="6" t="str">
        <f>IFERROR(__xludf.DUMMYFUNCTION("IF(REGEXMATCH(LOWER(G2623), ""^(\?)+\s*(missing)?\s*(\?)*$""), """", PROPER(SUBSTITUTE(SUBSTITUTE(G2623, ""?"", """"), ""*"", """")))"),"Heart Of Wicker Small")</f>
        <v>Heart Of Wicker Small</v>
      </c>
      <c r="I2623" s="3">
        <v>24.0</v>
      </c>
      <c r="J2623" s="7">
        <v>40599.44375</v>
      </c>
      <c r="K2623" s="8" t="str">
        <f t="shared" si="4"/>
        <v>2011-02</v>
      </c>
      <c r="L2623" s="5">
        <v>1.65</v>
      </c>
      <c r="M2623" s="3">
        <v>15845.0</v>
      </c>
      <c r="N2623" s="1" t="str">
        <f t="shared" si="5"/>
        <v>Registered</v>
      </c>
      <c r="O2623" s="1" t="s">
        <v>19</v>
      </c>
      <c r="P2623" s="9" t="str">
        <f t="shared" si="6"/>
        <v>UK</v>
      </c>
      <c r="Q2623" s="8">
        <f t="shared" si="7"/>
        <v>39.6</v>
      </c>
    </row>
    <row r="2624">
      <c r="A2624" s="1">
        <v>544943.0</v>
      </c>
      <c r="B2624" s="1" t="str">
        <f t="shared" si="1"/>
        <v>544943</v>
      </c>
      <c r="C2624" s="1" t="str">
        <f t="shared" si="2"/>
        <v>Sale</v>
      </c>
      <c r="D2624" s="1">
        <v>84978.0</v>
      </c>
      <c r="E2624" s="1" t="str">
        <f>IFERROR(__xludf.DUMMYFUNCTION("IF(LEN(D2624)&gt;4, IFERROR(REGEXEXTRACT(TO_TEXT(D2624),""\d+""),""""),"""")"),"84978")</f>
        <v>84978</v>
      </c>
      <c r="F2624" s="6" t="str">
        <f t="shared" si="3"/>
        <v>Product</v>
      </c>
      <c r="G2624" s="1" t="s">
        <v>925</v>
      </c>
      <c r="H2624" s="6" t="str">
        <f>IFERROR(__xludf.DUMMYFUNCTION("IF(REGEXMATCH(LOWER(G2624), ""^(\?)+\s*(missing)?\s*(\?)*$""), """", PROPER(SUBSTITUTE(SUBSTITUTE(G2624, ""?"", """"), ""*"", """")))"),"Hanging Heart Jar T-Light Holder")</f>
        <v>Hanging Heart Jar T-Light Holder</v>
      </c>
      <c r="I2624" s="3">
        <v>24.0</v>
      </c>
      <c r="J2624" s="7">
        <v>40599.44375</v>
      </c>
      <c r="K2624" s="8" t="str">
        <f t="shared" si="4"/>
        <v>2011-02</v>
      </c>
      <c r="L2624" s="5">
        <v>1.25</v>
      </c>
      <c r="M2624" s="3">
        <v>15845.0</v>
      </c>
      <c r="N2624" s="1" t="str">
        <f t="shared" si="5"/>
        <v>Registered</v>
      </c>
      <c r="O2624" s="1" t="s">
        <v>19</v>
      </c>
      <c r="P2624" s="9" t="str">
        <f t="shared" si="6"/>
        <v>UK</v>
      </c>
      <c r="Q2624" s="8">
        <f t="shared" si="7"/>
        <v>30</v>
      </c>
    </row>
    <row r="2625">
      <c r="A2625" s="1">
        <v>544943.0</v>
      </c>
      <c r="B2625" s="1" t="str">
        <f t="shared" si="1"/>
        <v>544943</v>
      </c>
      <c r="C2625" s="1" t="str">
        <f t="shared" si="2"/>
        <v>Sale</v>
      </c>
      <c r="D2625" s="1">
        <v>22470.0</v>
      </c>
      <c r="E2625" s="1" t="str">
        <f>IFERROR(__xludf.DUMMYFUNCTION("IF(LEN(D2625)&gt;4, IFERROR(REGEXEXTRACT(TO_TEXT(D2625),""\d+""),""""),"""")"),"22470")</f>
        <v>22470</v>
      </c>
      <c r="F2625" s="6" t="str">
        <f t="shared" si="3"/>
        <v>Product</v>
      </c>
      <c r="G2625" s="1" t="s">
        <v>168</v>
      </c>
      <c r="H2625" s="6" t="str">
        <f>IFERROR(__xludf.DUMMYFUNCTION("IF(REGEXMATCH(LOWER(G2625), ""^(\?)+\s*(missing)?\s*(\?)*$""), """", PROPER(SUBSTITUTE(SUBSTITUTE(G2625, ""?"", """"), ""*"", """")))"),"Heart Of Wicker Large")</f>
        <v>Heart Of Wicker Large</v>
      </c>
      <c r="I2625" s="3">
        <v>24.0</v>
      </c>
      <c r="J2625" s="7">
        <v>40599.44375</v>
      </c>
      <c r="K2625" s="8" t="str">
        <f t="shared" si="4"/>
        <v>2011-02</v>
      </c>
      <c r="L2625" s="5">
        <v>2.95</v>
      </c>
      <c r="M2625" s="3">
        <v>15845.0</v>
      </c>
      <c r="N2625" s="1" t="str">
        <f t="shared" si="5"/>
        <v>Registered</v>
      </c>
      <c r="O2625" s="1" t="s">
        <v>19</v>
      </c>
      <c r="P2625" s="9" t="str">
        <f t="shared" si="6"/>
        <v>UK</v>
      </c>
      <c r="Q2625" s="8">
        <f t="shared" si="7"/>
        <v>70.8</v>
      </c>
    </row>
    <row r="2626">
      <c r="A2626" s="1">
        <v>544943.0</v>
      </c>
      <c r="B2626" s="1" t="str">
        <f t="shared" si="1"/>
        <v>544943</v>
      </c>
      <c r="C2626" s="1" t="str">
        <f t="shared" si="2"/>
        <v>Sale</v>
      </c>
      <c r="D2626" s="1" t="s">
        <v>181</v>
      </c>
      <c r="E2626" s="1" t="str">
        <f>IFERROR(__xludf.DUMMYFUNCTION("IF(LEN(D2626)&gt;4, IFERROR(REGEXEXTRACT(TO_TEXT(D2626),""\d+""),""""),"""")"),"85099")</f>
        <v>85099</v>
      </c>
      <c r="F2626" s="6" t="str">
        <f t="shared" si="3"/>
        <v>Product</v>
      </c>
      <c r="G2626" s="1" t="s">
        <v>182</v>
      </c>
      <c r="H2626" s="6" t="str">
        <f>IFERROR(__xludf.DUMMYFUNCTION("IF(REGEXMATCH(LOWER(G2626), ""^(\?)+\s*(missing)?\s*(\?)*$""), """", PROPER(SUBSTITUTE(SUBSTITUTE(G2626, ""?"", """"), ""*"", """")))"),"Jumbo Bag Red Retrospot")</f>
        <v>Jumbo Bag Red Retrospot</v>
      </c>
      <c r="I2626" s="3">
        <v>20.0</v>
      </c>
      <c r="J2626" s="7">
        <v>40599.44375</v>
      </c>
      <c r="K2626" s="8" t="str">
        <f t="shared" si="4"/>
        <v>2011-02</v>
      </c>
      <c r="L2626" s="5">
        <v>1.95</v>
      </c>
      <c r="M2626" s="3">
        <v>15845.0</v>
      </c>
      <c r="N2626" s="1" t="str">
        <f t="shared" si="5"/>
        <v>Registered</v>
      </c>
      <c r="O2626" s="1" t="s">
        <v>19</v>
      </c>
      <c r="P2626" s="9" t="str">
        <f t="shared" si="6"/>
        <v>UK</v>
      </c>
      <c r="Q2626" s="8">
        <f t="shared" si="7"/>
        <v>39</v>
      </c>
    </row>
    <row r="2627">
      <c r="A2627" s="1">
        <v>544943.0</v>
      </c>
      <c r="B2627" s="1" t="str">
        <f t="shared" si="1"/>
        <v>544943</v>
      </c>
      <c r="C2627" s="1" t="str">
        <f t="shared" si="2"/>
        <v>Sale</v>
      </c>
      <c r="D2627" s="1">
        <v>22968.0</v>
      </c>
      <c r="E2627" s="1" t="str">
        <f>IFERROR(__xludf.DUMMYFUNCTION("IF(LEN(D2627)&gt;4, IFERROR(REGEXEXTRACT(TO_TEXT(D2627),""\d+""),""""),"""")"),"22968")</f>
        <v>22968</v>
      </c>
      <c r="F2627" s="6" t="str">
        <f t="shared" si="3"/>
        <v>Product</v>
      </c>
      <c r="G2627" s="1" t="s">
        <v>212</v>
      </c>
      <c r="H2627" s="6" t="str">
        <f>IFERROR(__xludf.DUMMYFUNCTION("IF(REGEXMATCH(LOWER(G2627), ""^(\?)+\s*(missing)?\s*(\?)*$""), """", PROPER(SUBSTITUTE(SUBSTITUTE(G2627, ""?"", """"), ""*"", """")))"),"Rose Cottage Keepsake Box")</f>
        <v>Rose Cottage Keepsake Box</v>
      </c>
      <c r="I2627" s="3">
        <v>8.0</v>
      </c>
      <c r="J2627" s="7">
        <v>40599.44375</v>
      </c>
      <c r="K2627" s="8" t="str">
        <f t="shared" si="4"/>
        <v>2011-02</v>
      </c>
      <c r="L2627" s="5">
        <v>8.5</v>
      </c>
      <c r="M2627" s="3">
        <v>15845.0</v>
      </c>
      <c r="N2627" s="1" t="str">
        <f t="shared" si="5"/>
        <v>Registered</v>
      </c>
      <c r="O2627" s="1" t="s">
        <v>19</v>
      </c>
      <c r="P2627" s="9" t="str">
        <f t="shared" si="6"/>
        <v>UK</v>
      </c>
      <c r="Q2627" s="8">
        <f t="shared" si="7"/>
        <v>68</v>
      </c>
    </row>
    <row r="2628">
      <c r="A2628" s="1">
        <v>544943.0</v>
      </c>
      <c r="B2628" s="1" t="str">
        <f t="shared" si="1"/>
        <v>544943</v>
      </c>
      <c r="C2628" s="1" t="str">
        <f t="shared" si="2"/>
        <v>Sale</v>
      </c>
      <c r="D2628" s="1">
        <v>84819.0</v>
      </c>
      <c r="E2628" s="1" t="str">
        <f>IFERROR(__xludf.DUMMYFUNCTION("IF(LEN(D2628)&gt;4, IFERROR(REGEXEXTRACT(TO_TEXT(D2628),""\d+""),""""),"""")"),"84819")</f>
        <v>84819</v>
      </c>
      <c r="F2628" s="6" t="str">
        <f t="shared" si="3"/>
        <v>Product</v>
      </c>
      <c r="G2628" s="1" t="s">
        <v>1125</v>
      </c>
      <c r="H2628" s="6" t="str">
        <f>IFERROR(__xludf.DUMMYFUNCTION("IF(REGEXMATCH(LOWER(G2628), ""^(\?)+\s*(missing)?\s*(\?)*$""), """", PROPER(SUBSTITUTE(SUBSTITUTE(G2628, ""?"", """"), ""*"", """")))"),"Danish Rose Round Sewing Box")</f>
        <v>Danish Rose Round Sewing Box</v>
      </c>
      <c r="I2628" s="3">
        <v>8.0</v>
      </c>
      <c r="J2628" s="7">
        <v>40599.44375</v>
      </c>
      <c r="K2628" s="8" t="str">
        <f t="shared" si="4"/>
        <v>2011-02</v>
      </c>
      <c r="L2628" s="5">
        <v>3.39</v>
      </c>
      <c r="M2628" s="3">
        <v>15845.0</v>
      </c>
      <c r="N2628" s="1" t="str">
        <f t="shared" si="5"/>
        <v>Registered</v>
      </c>
      <c r="O2628" s="1" t="s">
        <v>19</v>
      </c>
      <c r="P2628" s="9" t="str">
        <f t="shared" si="6"/>
        <v>UK</v>
      </c>
      <c r="Q2628" s="8">
        <f t="shared" si="7"/>
        <v>27.12</v>
      </c>
    </row>
    <row r="2629">
      <c r="A2629" s="1">
        <v>544943.0</v>
      </c>
      <c r="B2629" s="1" t="str">
        <f t="shared" si="1"/>
        <v>544943</v>
      </c>
      <c r="C2629" s="1" t="str">
        <f t="shared" si="2"/>
        <v>Sale</v>
      </c>
      <c r="D2629" s="1">
        <v>22570.0</v>
      </c>
      <c r="E2629" s="1" t="str">
        <f>IFERROR(__xludf.DUMMYFUNCTION("IF(LEN(D2629)&gt;4, IFERROR(REGEXEXTRACT(TO_TEXT(D2629),""\d+""),""""),"""")"),"22570")</f>
        <v>22570</v>
      </c>
      <c r="F2629" s="6" t="str">
        <f t="shared" si="3"/>
        <v>Product</v>
      </c>
      <c r="G2629" s="1" t="s">
        <v>453</v>
      </c>
      <c r="H2629" s="6" t="str">
        <f>IFERROR(__xludf.DUMMYFUNCTION("IF(REGEXMATCH(LOWER(G2629), ""^(\?)+\s*(missing)?\s*(\?)*$""), """", PROPER(SUBSTITUTE(SUBSTITUTE(G2629, ""?"", """"), ""*"", """")))"),"Feltcraft Cushion Rabbit")</f>
        <v>Feltcraft Cushion Rabbit</v>
      </c>
      <c r="I2629" s="3">
        <v>8.0</v>
      </c>
      <c r="J2629" s="7">
        <v>40599.44375</v>
      </c>
      <c r="K2629" s="8" t="str">
        <f t="shared" si="4"/>
        <v>2011-02</v>
      </c>
      <c r="L2629" s="5">
        <v>3.75</v>
      </c>
      <c r="M2629" s="3">
        <v>15845.0</v>
      </c>
      <c r="N2629" s="1" t="str">
        <f t="shared" si="5"/>
        <v>Registered</v>
      </c>
      <c r="O2629" s="1" t="s">
        <v>19</v>
      </c>
      <c r="P2629" s="9" t="str">
        <f t="shared" si="6"/>
        <v>UK</v>
      </c>
      <c r="Q2629" s="8">
        <f t="shared" si="7"/>
        <v>30</v>
      </c>
    </row>
    <row r="2630">
      <c r="A2630" s="1">
        <v>544943.0</v>
      </c>
      <c r="B2630" s="1" t="str">
        <f t="shared" si="1"/>
        <v>544943</v>
      </c>
      <c r="C2630" s="1" t="str">
        <f t="shared" si="2"/>
        <v>Sale</v>
      </c>
      <c r="D2630" s="1">
        <v>22150.0</v>
      </c>
      <c r="E2630" s="1" t="str">
        <f>IFERROR(__xludf.DUMMYFUNCTION("IF(LEN(D2630)&gt;4, IFERROR(REGEXEXTRACT(TO_TEXT(D2630),""\d+""),""""),"""")"),"22150")</f>
        <v>22150</v>
      </c>
      <c r="F2630" s="6" t="str">
        <f t="shared" si="3"/>
        <v>Product</v>
      </c>
      <c r="G2630" s="1" t="s">
        <v>235</v>
      </c>
      <c r="H2630" s="6" t="str">
        <f>IFERROR(__xludf.DUMMYFUNCTION("IF(REGEXMATCH(LOWER(G2630), ""^(\?)+\s*(missing)?\s*(\?)*$""), """", PROPER(SUBSTITUTE(SUBSTITUTE(G2630, ""?"", """"), ""*"", """")))"),"3 Stripey Mice Feltcraft")</f>
        <v>3 Stripey Mice Feltcraft</v>
      </c>
      <c r="I2630" s="3">
        <v>12.0</v>
      </c>
      <c r="J2630" s="7">
        <v>40599.44375</v>
      </c>
      <c r="K2630" s="8" t="str">
        <f t="shared" si="4"/>
        <v>2011-02</v>
      </c>
      <c r="L2630" s="5">
        <v>1.95</v>
      </c>
      <c r="M2630" s="3">
        <v>15845.0</v>
      </c>
      <c r="N2630" s="1" t="str">
        <f t="shared" si="5"/>
        <v>Registered</v>
      </c>
      <c r="O2630" s="1" t="s">
        <v>19</v>
      </c>
      <c r="P2630" s="9" t="str">
        <f t="shared" si="6"/>
        <v>UK</v>
      </c>
      <c r="Q2630" s="8">
        <f t="shared" si="7"/>
        <v>23.4</v>
      </c>
    </row>
    <row r="2631">
      <c r="A2631" s="1">
        <v>544943.0</v>
      </c>
      <c r="B2631" s="1" t="str">
        <f t="shared" si="1"/>
        <v>544943</v>
      </c>
      <c r="C2631" s="1" t="str">
        <f t="shared" si="2"/>
        <v>Sale</v>
      </c>
      <c r="D2631" s="1">
        <v>22569.0</v>
      </c>
      <c r="E2631" s="1" t="str">
        <f>IFERROR(__xludf.DUMMYFUNCTION("IF(LEN(D2631)&gt;4, IFERROR(REGEXEXTRACT(TO_TEXT(D2631),""\d+""),""""),"""")"),"22569")</f>
        <v>22569</v>
      </c>
      <c r="F2631" s="6" t="str">
        <f t="shared" si="3"/>
        <v>Product</v>
      </c>
      <c r="G2631" s="1" t="s">
        <v>454</v>
      </c>
      <c r="H2631" s="6" t="str">
        <f>IFERROR(__xludf.DUMMYFUNCTION("IF(REGEXMATCH(LOWER(G2631), ""^(\?)+\s*(missing)?\s*(\?)*$""), """", PROPER(SUBSTITUTE(SUBSTITUTE(G2631, ""?"", """"), ""*"", """")))"),"Feltcraft Cushion Butterfly")</f>
        <v>Feltcraft Cushion Butterfly</v>
      </c>
      <c r="I2631" s="3">
        <v>8.0</v>
      </c>
      <c r="J2631" s="7">
        <v>40599.44375</v>
      </c>
      <c r="K2631" s="8" t="str">
        <f t="shared" si="4"/>
        <v>2011-02</v>
      </c>
      <c r="L2631" s="5">
        <v>3.75</v>
      </c>
      <c r="M2631" s="3">
        <v>15845.0</v>
      </c>
      <c r="N2631" s="1" t="str">
        <f t="shared" si="5"/>
        <v>Registered</v>
      </c>
      <c r="O2631" s="1" t="s">
        <v>19</v>
      </c>
      <c r="P2631" s="9" t="str">
        <f t="shared" si="6"/>
        <v>UK</v>
      </c>
      <c r="Q2631" s="8">
        <f t="shared" si="7"/>
        <v>30</v>
      </c>
    </row>
    <row r="2632">
      <c r="A2632" s="1">
        <v>544943.0</v>
      </c>
      <c r="B2632" s="1" t="str">
        <f t="shared" si="1"/>
        <v>544943</v>
      </c>
      <c r="C2632" s="1" t="str">
        <f t="shared" si="2"/>
        <v>Sale</v>
      </c>
      <c r="D2632" s="1">
        <v>22568.0</v>
      </c>
      <c r="E2632" s="1" t="str">
        <f>IFERROR(__xludf.DUMMYFUNCTION("IF(LEN(D2632)&gt;4, IFERROR(REGEXEXTRACT(TO_TEXT(D2632),""\d+""),""""),"""")"),"22568")</f>
        <v>22568</v>
      </c>
      <c r="F2632" s="6" t="str">
        <f t="shared" si="3"/>
        <v>Product</v>
      </c>
      <c r="G2632" s="1" t="s">
        <v>395</v>
      </c>
      <c r="H2632" s="6" t="str">
        <f>IFERROR(__xludf.DUMMYFUNCTION("IF(REGEXMATCH(LOWER(G2632), ""^(\?)+\s*(missing)?\s*(\?)*$""), """", PROPER(SUBSTITUTE(SUBSTITUTE(G2632, ""?"", """"), ""*"", """")))"),"Feltcraft Cushion Owl")</f>
        <v>Feltcraft Cushion Owl</v>
      </c>
      <c r="I2632" s="3">
        <v>8.0</v>
      </c>
      <c r="J2632" s="7">
        <v>40599.44375</v>
      </c>
      <c r="K2632" s="8" t="str">
        <f t="shared" si="4"/>
        <v>2011-02</v>
      </c>
      <c r="L2632" s="5">
        <v>3.75</v>
      </c>
      <c r="M2632" s="3">
        <v>15845.0</v>
      </c>
      <c r="N2632" s="1" t="str">
        <f t="shared" si="5"/>
        <v>Registered</v>
      </c>
      <c r="O2632" s="1" t="s">
        <v>19</v>
      </c>
      <c r="P2632" s="9" t="str">
        <f t="shared" si="6"/>
        <v>UK</v>
      </c>
      <c r="Q2632" s="8">
        <f t="shared" si="7"/>
        <v>30</v>
      </c>
    </row>
    <row r="2633">
      <c r="A2633" s="1">
        <v>544943.0</v>
      </c>
      <c r="B2633" s="1" t="str">
        <f t="shared" si="1"/>
        <v>544943</v>
      </c>
      <c r="C2633" s="1" t="str">
        <f t="shared" si="2"/>
        <v>Sale</v>
      </c>
      <c r="D2633" s="1">
        <v>21584.0</v>
      </c>
      <c r="E2633" s="1" t="str">
        <f>IFERROR(__xludf.DUMMYFUNCTION("IF(LEN(D2633)&gt;4, IFERROR(REGEXEXTRACT(TO_TEXT(D2633),""\d+""),""""),"""")"),"21584")</f>
        <v>21584</v>
      </c>
      <c r="F2633" s="6" t="str">
        <f t="shared" si="3"/>
        <v>Product</v>
      </c>
      <c r="G2633" s="1" t="s">
        <v>598</v>
      </c>
      <c r="H2633" s="6" t="str">
        <f>IFERROR(__xludf.DUMMYFUNCTION("IF(REGEXMATCH(LOWER(G2633), ""^(\?)+\s*(missing)?\s*(\?)*$""), """", PROPER(SUBSTITUTE(SUBSTITUTE(G2633, ""?"", """"), ""*"", """")))"),"Retrospot Small Tube Matches")</f>
        <v>Retrospot Small Tube Matches</v>
      </c>
      <c r="I2633" s="3">
        <v>20.0</v>
      </c>
      <c r="J2633" s="7">
        <v>40599.44375</v>
      </c>
      <c r="K2633" s="8" t="str">
        <f t="shared" si="4"/>
        <v>2011-02</v>
      </c>
      <c r="L2633" s="5">
        <v>1.65</v>
      </c>
      <c r="M2633" s="3">
        <v>15845.0</v>
      </c>
      <c r="N2633" s="1" t="str">
        <f t="shared" si="5"/>
        <v>Registered</v>
      </c>
      <c r="O2633" s="1" t="s">
        <v>19</v>
      </c>
      <c r="P2633" s="9" t="str">
        <f t="shared" si="6"/>
        <v>UK</v>
      </c>
      <c r="Q2633" s="8">
        <f t="shared" si="7"/>
        <v>33</v>
      </c>
    </row>
    <row r="2634">
      <c r="A2634" s="1">
        <v>544943.0</v>
      </c>
      <c r="B2634" s="1" t="str">
        <f t="shared" si="1"/>
        <v>544943</v>
      </c>
      <c r="C2634" s="1" t="str">
        <f t="shared" si="2"/>
        <v>Sale</v>
      </c>
      <c r="D2634" s="1">
        <v>21198.0</v>
      </c>
      <c r="E2634" s="1" t="str">
        <f>IFERROR(__xludf.DUMMYFUNCTION("IF(LEN(D2634)&gt;4, IFERROR(REGEXEXTRACT(TO_TEXT(D2634),""\d+""),""""),"""")"),"21198")</f>
        <v>21198</v>
      </c>
      <c r="F2634" s="6" t="str">
        <f t="shared" si="3"/>
        <v>Product</v>
      </c>
      <c r="G2634" s="1" t="s">
        <v>1098</v>
      </c>
      <c r="H2634" s="6" t="str">
        <f>IFERROR(__xludf.DUMMYFUNCTION("IF(REGEXMATCH(LOWER(G2634), ""^(\?)+\s*(missing)?\s*(\?)*$""), """", PROPER(SUBSTITUTE(SUBSTITUTE(G2634, ""?"", """"), ""*"", """")))"),"White Heart Confetti In Tube")</f>
        <v>White Heart Confetti In Tube</v>
      </c>
      <c r="I2634" s="3">
        <v>12.0</v>
      </c>
      <c r="J2634" s="7">
        <v>40599.44375</v>
      </c>
      <c r="K2634" s="8" t="str">
        <f t="shared" si="4"/>
        <v>2011-02</v>
      </c>
      <c r="L2634" s="5">
        <v>1.65</v>
      </c>
      <c r="M2634" s="3">
        <v>15845.0</v>
      </c>
      <c r="N2634" s="1" t="str">
        <f t="shared" si="5"/>
        <v>Registered</v>
      </c>
      <c r="O2634" s="1" t="s">
        <v>19</v>
      </c>
      <c r="P2634" s="9" t="str">
        <f t="shared" si="6"/>
        <v>UK</v>
      </c>
      <c r="Q2634" s="8">
        <f t="shared" si="7"/>
        <v>19.8</v>
      </c>
    </row>
    <row r="2635">
      <c r="A2635" s="1">
        <v>544943.0</v>
      </c>
      <c r="B2635" s="1" t="str">
        <f t="shared" si="1"/>
        <v>544943</v>
      </c>
      <c r="C2635" s="1" t="str">
        <f t="shared" si="2"/>
        <v>Sale</v>
      </c>
      <c r="D2635" s="1">
        <v>21430.0</v>
      </c>
      <c r="E2635" s="1" t="str">
        <f>IFERROR(__xludf.DUMMYFUNCTION("IF(LEN(D2635)&gt;4, IFERROR(REGEXEXTRACT(TO_TEXT(D2635),""\d+""),""""),"""")"),"21430")</f>
        <v>21430</v>
      </c>
      <c r="F2635" s="6" t="str">
        <f t="shared" si="3"/>
        <v>Product</v>
      </c>
      <c r="G2635" s="1" t="s">
        <v>1318</v>
      </c>
      <c r="H2635" s="6" t="str">
        <f>IFERROR(__xludf.DUMMYFUNCTION("IF(REGEXMATCH(LOWER(G2635), ""^(\?)+\s*(missing)?\s*(\?)*$""), """", PROPER(SUBSTITUTE(SUBSTITUTE(G2635, ""?"", """"), ""*"", """")))"),"Set/3 Red Gingham Rose Storage Box")</f>
        <v>Set/3 Red Gingham Rose Storage Box</v>
      </c>
      <c r="I2635" s="3">
        <v>8.0</v>
      </c>
      <c r="J2635" s="7">
        <v>40599.44375</v>
      </c>
      <c r="K2635" s="8" t="str">
        <f t="shared" si="4"/>
        <v>2011-02</v>
      </c>
      <c r="L2635" s="5">
        <v>3.75</v>
      </c>
      <c r="M2635" s="3">
        <v>15845.0</v>
      </c>
      <c r="N2635" s="1" t="str">
        <f t="shared" si="5"/>
        <v>Registered</v>
      </c>
      <c r="O2635" s="1" t="s">
        <v>19</v>
      </c>
      <c r="P2635" s="9" t="str">
        <f t="shared" si="6"/>
        <v>UK</v>
      </c>
      <c r="Q2635" s="8">
        <f t="shared" si="7"/>
        <v>30</v>
      </c>
    </row>
    <row r="2636">
      <c r="A2636" s="1">
        <v>544943.0</v>
      </c>
      <c r="B2636" s="1" t="str">
        <f t="shared" si="1"/>
        <v>544943</v>
      </c>
      <c r="C2636" s="1" t="str">
        <f t="shared" si="2"/>
        <v>Sale</v>
      </c>
      <c r="D2636" s="1">
        <v>21890.0</v>
      </c>
      <c r="E2636" s="1" t="str">
        <f>IFERROR(__xludf.DUMMYFUNCTION("IF(LEN(D2636)&gt;4, IFERROR(REGEXEXTRACT(TO_TEXT(D2636),""\d+""),""""),"""")"),"21890")</f>
        <v>21890</v>
      </c>
      <c r="F2636" s="6" t="str">
        <f t="shared" si="3"/>
        <v>Product</v>
      </c>
      <c r="G2636" s="1" t="s">
        <v>511</v>
      </c>
      <c r="H2636" s="6" t="str">
        <f>IFERROR(__xludf.DUMMYFUNCTION("IF(REGEXMATCH(LOWER(G2636), ""^(\?)+\s*(missing)?\s*(\?)*$""), """", PROPER(SUBSTITUTE(SUBSTITUTE(G2636, ""?"", """"), ""*"", """")))"),"S/6 Wooden Skittles In Cotton Bag")</f>
        <v>S/6 Wooden Skittles In Cotton Bag</v>
      </c>
      <c r="I2636" s="3">
        <v>12.0</v>
      </c>
      <c r="J2636" s="7">
        <v>40599.44375</v>
      </c>
      <c r="K2636" s="8" t="str">
        <f t="shared" si="4"/>
        <v>2011-02</v>
      </c>
      <c r="L2636" s="5">
        <v>2.95</v>
      </c>
      <c r="M2636" s="3">
        <v>15845.0</v>
      </c>
      <c r="N2636" s="1" t="str">
        <f t="shared" si="5"/>
        <v>Registered</v>
      </c>
      <c r="O2636" s="1" t="s">
        <v>19</v>
      </c>
      <c r="P2636" s="9" t="str">
        <f t="shared" si="6"/>
        <v>UK</v>
      </c>
      <c r="Q2636" s="8">
        <f t="shared" si="7"/>
        <v>35.4</v>
      </c>
    </row>
    <row r="2637">
      <c r="A2637" s="1">
        <v>544943.0</v>
      </c>
      <c r="B2637" s="1" t="str">
        <f t="shared" si="1"/>
        <v>544943</v>
      </c>
      <c r="C2637" s="1" t="str">
        <f t="shared" si="2"/>
        <v>Sale</v>
      </c>
      <c r="D2637" s="1">
        <v>21891.0</v>
      </c>
      <c r="E2637" s="1" t="str">
        <f>IFERROR(__xludf.DUMMYFUNCTION("IF(LEN(D2637)&gt;4, IFERROR(REGEXEXTRACT(TO_TEXT(D2637),""\d+""),""""),"""")"),"21891")</f>
        <v>21891</v>
      </c>
      <c r="F2637" s="6" t="str">
        <f t="shared" si="3"/>
        <v>Product</v>
      </c>
      <c r="G2637" s="1" t="s">
        <v>237</v>
      </c>
      <c r="H2637" s="6" t="str">
        <f>IFERROR(__xludf.DUMMYFUNCTION("IF(REGEXMATCH(LOWER(G2637), ""^(\?)+\s*(missing)?\s*(\?)*$""), """", PROPER(SUBSTITUTE(SUBSTITUTE(G2637, ""?"", """"), ""*"", """")))"),"Traditional Wooden Skipping Rope")</f>
        <v>Traditional Wooden Skipping Rope</v>
      </c>
      <c r="I2637" s="3">
        <v>12.0</v>
      </c>
      <c r="J2637" s="7">
        <v>40599.44375</v>
      </c>
      <c r="K2637" s="8" t="str">
        <f t="shared" si="4"/>
        <v>2011-02</v>
      </c>
      <c r="L2637" s="5">
        <v>1.25</v>
      </c>
      <c r="M2637" s="3">
        <v>15845.0</v>
      </c>
      <c r="N2637" s="1" t="str">
        <f t="shared" si="5"/>
        <v>Registered</v>
      </c>
      <c r="O2637" s="1" t="s">
        <v>19</v>
      </c>
      <c r="P2637" s="9" t="str">
        <f t="shared" si="6"/>
        <v>UK</v>
      </c>
      <c r="Q2637" s="8">
        <f t="shared" si="7"/>
        <v>15</v>
      </c>
    </row>
    <row r="2638">
      <c r="A2638" s="1">
        <v>544943.0</v>
      </c>
      <c r="B2638" s="1" t="str">
        <f t="shared" si="1"/>
        <v>544943</v>
      </c>
      <c r="C2638" s="1" t="str">
        <f t="shared" si="2"/>
        <v>Sale</v>
      </c>
      <c r="D2638" s="1">
        <v>21936.0</v>
      </c>
      <c r="E2638" s="1" t="str">
        <f>IFERROR(__xludf.DUMMYFUNCTION("IF(LEN(D2638)&gt;4, IFERROR(REGEXEXTRACT(TO_TEXT(D2638),""\d+""),""""),"""")"),"21936")</f>
        <v>21936</v>
      </c>
      <c r="F2638" s="6" t="str">
        <f t="shared" si="3"/>
        <v>Product</v>
      </c>
      <c r="G2638" s="1" t="s">
        <v>806</v>
      </c>
      <c r="H2638" s="6" t="str">
        <f>IFERROR(__xludf.DUMMYFUNCTION("IF(REGEXMATCH(LOWER(G2638), ""^(\?)+\s*(missing)?\s*(\?)*$""), """", PROPER(SUBSTITUTE(SUBSTITUTE(G2638, ""?"", """"), ""*"", """")))"),"Red Retrospot Picnic Bag")</f>
        <v>Red Retrospot Picnic Bag</v>
      </c>
      <c r="I2638" s="3">
        <v>10.0</v>
      </c>
      <c r="J2638" s="7">
        <v>40599.44375</v>
      </c>
      <c r="K2638" s="8" t="str">
        <f t="shared" si="4"/>
        <v>2011-02</v>
      </c>
      <c r="L2638" s="5">
        <v>2.95</v>
      </c>
      <c r="M2638" s="3">
        <v>15845.0</v>
      </c>
      <c r="N2638" s="1" t="str">
        <f t="shared" si="5"/>
        <v>Registered</v>
      </c>
      <c r="O2638" s="1" t="s">
        <v>19</v>
      </c>
      <c r="P2638" s="9" t="str">
        <f t="shared" si="6"/>
        <v>UK</v>
      </c>
      <c r="Q2638" s="8">
        <f t="shared" si="7"/>
        <v>29.5</v>
      </c>
    </row>
    <row r="2639">
      <c r="A2639" s="1">
        <v>544943.0</v>
      </c>
      <c r="B2639" s="1" t="str">
        <f t="shared" si="1"/>
        <v>544943</v>
      </c>
      <c r="C2639" s="1" t="str">
        <f t="shared" si="2"/>
        <v>Sale</v>
      </c>
      <c r="D2639" s="1">
        <v>48187.0</v>
      </c>
      <c r="E2639" s="1" t="str">
        <f>IFERROR(__xludf.DUMMYFUNCTION("IF(LEN(D2639)&gt;4, IFERROR(REGEXEXTRACT(TO_TEXT(D2639),""\d+""),""""),"""")"),"48187")</f>
        <v>48187</v>
      </c>
      <c r="F2639" s="6" t="str">
        <f t="shared" si="3"/>
        <v>Product</v>
      </c>
      <c r="G2639" s="1" t="s">
        <v>42</v>
      </c>
      <c r="H2639" s="6" t="str">
        <f>IFERROR(__xludf.DUMMYFUNCTION("IF(REGEXMATCH(LOWER(G2639), ""^(\?)+\s*(missing)?\s*(\?)*$""), """", PROPER(SUBSTITUTE(SUBSTITUTE(G2639, ""?"", """"), ""*"", """")))"),"Doormat New England")</f>
        <v>Doormat New England</v>
      </c>
      <c r="I2639" s="3">
        <v>6.0</v>
      </c>
      <c r="J2639" s="7">
        <v>40599.44375</v>
      </c>
      <c r="K2639" s="8" t="str">
        <f t="shared" si="4"/>
        <v>2011-02</v>
      </c>
      <c r="L2639" s="5">
        <v>7.95</v>
      </c>
      <c r="M2639" s="3">
        <v>15845.0</v>
      </c>
      <c r="N2639" s="1" t="str">
        <f t="shared" si="5"/>
        <v>Registered</v>
      </c>
      <c r="O2639" s="1" t="s">
        <v>19</v>
      </c>
      <c r="P2639" s="9" t="str">
        <f t="shared" si="6"/>
        <v>UK</v>
      </c>
      <c r="Q2639" s="8">
        <f t="shared" si="7"/>
        <v>47.7</v>
      </c>
    </row>
    <row r="2640">
      <c r="A2640" s="1">
        <v>544943.0</v>
      </c>
      <c r="B2640" s="1" t="str">
        <f t="shared" si="1"/>
        <v>544943</v>
      </c>
      <c r="C2640" s="1" t="str">
        <f t="shared" si="2"/>
        <v>Sale</v>
      </c>
      <c r="D2640" s="1">
        <v>22087.0</v>
      </c>
      <c r="E2640" s="1" t="str">
        <f>IFERROR(__xludf.DUMMYFUNCTION("IF(LEN(D2640)&gt;4, IFERROR(REGEXEXTRACT(TO_TEXT(D2640),""\d+""),""""),"""")"),"22087")</f>
        <v>22087</v>
      </c>
      <c r="F2640" s="6" t="str">
        <f t="shared" si="3"/>
        <v>Product</v>
      </c>
      <c r="G2640" s="1" t="s">
        <v>626</v>
      </c>
      <c r="H2640" s="6" t="str">
        <f>IFERROR(__xludf.DUMMYFUNCTION("IF(REGEXMATCH(LOWER(G2640), ""^(\?)+\s*(missing)?\s*(\?)*$""), """", PROPER(SUBSTITUTE(SUBSTITUTE(G2640, ""?"", """"), ""*"", """")))"),"Paper Bunting White Lace")</f>
        <v>Paper Bunting White Lace</v>
      </c>
      <c r="I2640" s="3">
        <v>24.0</v>
      </c>
      <c r="J2640" s="7">
        <v>40599.44375</v>
      </c>
      <c r="K2640" s="8" t="str">
        <f t="shared" si="4"/>
        <v>2011-02</v>
      </c>
      <c r="L2640" s="5">
        <v>2.95</v>
      </c>
      <c r="M2640" s="3">
        <v>15845.0</v>
      </c>
      <c r="N2640" s="1" t="str">
        <f t="shared" si="5"/>
        <v>Registered</v>
      </c>
      <c r="O2640" s="1" t="s">
        <v>19</v>
      </c>
      <c r="P2640" s="9" t="str">
        <f t="shared" si="6"/>
        <v>UK</v>
      </c>
      <c r="Q2640" s="8">
        <f t="shared" si="7"/>
        <v>70.8</v>
      </c>
    </row>
    <row r="2641">
      <c r="A2641" s="1">
        <v>544943.0</v>
      </c>
      <c r="B2641" s="1" t="str">
        <f t="shared" si="1"/>
        <v>544943</v>
      </c>
      <c r="C2641" s="1" t="str">
        <f t="shared" si="2"/>
        <v>Sale</v>
      </c>
      <c r="D2641" s="1" t="s">
        <v>1162</v>
      </c>
      <c r="E2641" s="1" t="str">
        <f>IFERROR(__xludf.DUMMYFUNCTION("IF(LEN(D2641)&gt;4, IFERROR(REGEXEXTRACT(TO_TEXT(D2641),""\d+""),""""),"""")"),"47566")</f>
        <v>47566</v>
      </c>
      <c r="F2641" s="6" t="str">
        <f t="shared" si="3"/>
        <v>Product</v>
      </c>
      <c r="G2641" s="1" t="s">
        <v>1163</v>
      </c>
      <c r="H2641" s="6" t="str">
        <f>IFERROR(__xludf.DUMMYFUNCTION("IF(REGEXMATCH(LOWER(G2641), ""^(\?)+\s*(missing)?\s*(\?)*$""), """", PROPER(SUBSTITUTE(SUBSTITUTE(G2641, ""?"", """"), ""*"", """")))"),"Tea Time Party Bunting")</f>
        <v>Tea Time Party Bunting</v>
      </c>
      <c r="I2641" s="3">
        <v>8.0</v>
      </c>
      <c r="J2641" s="7">
        <v>40599.44375</v>
      </c>
      <c r="K2641" s="8" t="str">
        <f t="shared" si="4"/>
        <v>2011-02</v>
      </c>
      <c r="L2641" s="5">
        <v>4.95</v>
      </c>
      <c r="M2641" s="3">
        <v>15845.0</v>
      </c>
      <c r="N2641" s="1" t="str">
        <f t="shared" si="5"/>
        <v>Registered</v>
      </c>
      <c r="O2641" s="1" t="s">
        <v>19</v>
      </c>
      <c r="P2641" s="9" t="str">
        <f t="shared" si="6"/>
        <v>UK</v>
      </c>
      <c r="Q2641" s="8">
        <f t="shared" si="7"/>
        <v>39.6</v>
      </c>
    </row>
    <row r="2642">
      <c r="A2642" s="1">
        <v>544943.0</v>
      </c>
      <c r="B2642" s="1" t="str">
        <f t="shared" si="1"/>
        <v>544943</v>
      </c>
      <c r="C2642" s="1" t="str">
        <f t="shared" si="2"/>
        <v>Sale</v>
      </c>
      <c r="D2642" s="1">
        <v>22771.0</v>
      </c>
      <c r="E2642" s="1" t="str">
        <f>IFERROR(__xludf.DUMMYFUNCTION("IF(LEN(D2642)&gt;4, IFERROR(REGEXEXTRACT(TO_TEXT(D2642),""\d+""),""""),"""")"),"22771")</f>
        <v>22771</v>
      </c>
      <c r="F2642" s="6" t="str">
        <f t="shared" si="3"/>
        <v>Product</v>
      </c>
      <c r="G2642" s="1" t="s">
        <v>116</v>
      </c>
      <c r="H2642" s="6" t="str">
        <f>IFERROR(__xludf.DUMMYFUNCTION("IF(REGEXMATCH(LOWER(G2642), ""^(\?)+\s*(missing)?\s*(\?)*$""), """", PROPER(SUBSTITUTE(SUBSTITUTE(G2642, ""?"", """"), ""*"", """")))"),"Clear Drawer Knob Acrylic Edwardian")</f>
        <v>Clear Drawer Knob Acrylic Edwardian</v>
      </c>
      <c r="I2642" s="3">
        <v>24.0</v>
      </c>
      <c r="J2642" s="7">
        <v>40599.44375</v>
      </c>
      <c r="K2642" s="8" t="str">
        <f t="shared" si="4"/>
        <v>2011-02</v>
      </c>
      <c r="L2642" s="5">
        <v>1.25</v>
      </c>
      <c r="M2642" s="3">
        <v>15845.0</v>
      </c>
      <c r="N2642" s="1" t="str">
        <f t="shared" si="5"/>
        <v>Registered</v>
      </c>
      <c r="O2642" s="1" t="s">
        <v>19</v>
      </c>
      <c r="P2642" s="9" t="str">
        <f t="shared" si="6"/>
        <v>UK</v>
      </c>
      <c r="Q2642" s="8">
        <f t="shared" si="7"/>
        <v>30</v>
      </c>
    </row>
    <row r="2643">
      <c r="A2643" s="1">
        <v>544943.0</v>
      </c>
      <c r="B2643" s="1" t="str">
        <f t="shared" si="1"/>
        <v>544943</v>
      </c>
      <c r="C2643" s="1" t="str">
        <f t="shared" si="2"/>
        <v>Sale</v>
      </c>
      <c r="D2643" s="1">
        <v>22083.0</v>
      </c>
      <c r="E2643" s="1" t="str">
        <f>IFERROR(__xludf.DUMMYFUNCTION("IF(LEN(D2643)&gt;4, IFERROR(REGEXEXTRACT(TO_TEXT(D2643),""\d+""),""""),"""")"),"22083")</f>
        <v>22083</v>
      </c>
      <c r="F2643" s="6" t="str">
        <f t="shared" si="3"/>
        <v>Product</v>
      </c>
      <c r="G2643" s="1" t="s">
        <v>128</v>
      </c>
      <c r="H2643" s="6" t="str">
        <f>IFERROR(__xludf.DUMMYFUNCTION("IF(REGEXMATCH(LOWER(G2643), ""^(\?)+\s*(missing)?\s*(\?)*$""), """", PROPER(SUBSTITUTE(SUBSTITUTE(G2643, ""?"", """"), ""*"", """")))"),"Paper Chain Kit Retrospot")</f>
        <v>Paper Chain Kit Retrospot</v>
      </c>
      <c r="I2643" s="3">
        <v>12.0</v>
      </c>
      <c r="J2643" s="7">
        <v>40599.44375</v>
      </c>
      <c r="K2643" s="8" t="str">
        <f t="shared" si="4"/>
        <v>2011-02</v>
      </c>
      <c r="L2643" s="5">
        <v>2.95</v>
      </c>
      <c r="M2643" s="3">
        <v>15845.0</v>
      </c>
      <c r="N2643" s="1" t="str">
        <f t="shared" si="5"/>
        <v>Registered</v>
      </c>
      <c r="O2643" s="1" t="s">
        <v>19</v>
      </c>
      <c r="P2643" s="9" t="str">
        <f t="shared" si="6"/>
        <v>UK</v>
      </c>
      <c r="Q2643" s="8">
        <f t="shared" si="7"/>
        <v>35.4</v>
      </c>
    </row>
    <row r="2644">
      <c r="A2644" s="1">
        <v>544943.0</v>
      </c>
      <c r="B2644" s="1" t="str">
        <f t="shared" si="1"/>
        <v>544943</v>
      </c>
      <c r="C2644" s="1" t="str">
        <f t="shared" si="2"/>
        <v>Sale</v>
      </c>
      <c r="D2644" s="1">
        <v>22084.0</v>
      </c>
      <c r="E2644" s="1" t="str">
        <f>IFERROR(__xludf.DUMMYFUNCTION("IF(LEN(D2644)&gt;4, IFERROR(REGEXEXTRACT(TO_TEXT(D2644),""\d+""),""""),"""")"),"22084")</f>
        <v>22084</v>
      </c>
      <c r="F2644" s="6" t="str">
        <f t="shared" si="3"/>
        <v>Product</v>
      </c>
      <c r="G2644" s="1" t="s">
        <v>718</v>
      </c>
      <c r="H2644" s="6" t="str">
        <f>IFERROR(__xludf.DUMMYFUNCTION("IF(REGEXMATCH(LOWER(G2644), ""^(\?)+\s*(missing)?\s*(\?)*$""), """", PROPER(SUBSTITUTE(SUBSTITUTE(G2644, ""?"", """"), ""*"", """")))"),"Paper Chain Kit Empire")</f>
        <v>Paper Chain Kit Empire</v>
      </c>
      <c r="I2644" s="3">
        <v>12.0</v>
      </c>
      <c r="J2644" s="7">
        <v>40599.44375</v>
      </c>
      <c r="K2644" s="8" t="str">
        <f t="shared" si="4"/>
        <v>2011-02</v>
      </c>
      <c r="L2644" s="5">
        <v>2.95</v>
      </c>
      <c r="M2644" s="3">
        <v>15845.0</v>
      </c>
      <c r="N2644" s="1" t="str">
        <f t="shared" si="5"/>
        <v>Registered</v>
      </c>
      <c r="O2644" s="1" t="s">
        <v>19</v>
      </c>
      <c r="P2644" s="9" t="str">
        <f t="shared" si="6"/>
        <v>UK</v>
      </c>
      <c r="Q2644" s="8">
        <f t="shared" si="7"/>
        <v>35.4</v>
      </c>
    </row>
    <row r="2645">
      <c r="A2645" s="1">
        <v>544943.0</v>
      </c>
      <c r="B2645" s="1" t="str">
        <f t="shared" si="1"/>
        <v>544943</v>
      </c>
      <c r="C2645" s="1" t="str">
        <f t="shared" si="2"/>
        <v>Sale</v>
      </c>
      <c r="D2645" s="1">
        <v>22120.0</v>
      </c>
      <c r="E2645" s="1" t="str">
        <f>IFERROR(__xludf.DUMMYFUNCTION("IF(LEN(D2645)&gt;4, IFERROR(REGEXEXTRACT(TO_TEXT(D2645),""\d+""),""""),"""")"),"22120")</f>
        <v>22120</v>
      </c>
      <c r="F2645" s="6" t="str">
        <f t="shared" si="3"/>
        <v>Product</v>
      </c>
      <c r="G2645" s="1" t="s">
        <v>1319</v>
      </c>
      <c r="H2645" s="6" t="str">
        <f>IFERROR(__xludf.DUMMYFUNCTION("IF(REGEXMATCH(LOWER(G2645), ""^(\?)+\s*(missing)?\s*(\?)*$""), """", PROPER(SUBSTITUTE(SUBSTITUTE(G2645, ""?"", """"), ""*"", """")))"),"Welcome Wooden Block Letters")</f>
        <v>Welcome Wooden Block Letters</v>
      </c>
      <c r="I2645" s="3">
        <v>6.0</v>
      </c>
      <c r="J2645" s="7">
        <v>40599.44375</v>
      </c>
      <c r="K2645" s="8" t="str">
        <f t="shared" si="4"/>
        <v>2011-02</v>
      </c>
      <c r="L2645" s="5">
        <v>9.95</v>
      </c>
      <c r="M2645" s="3">
        <v>15845.0</v>
      </c>
      <c r="N2645" s="1" t="str">
        <f t="shared" si="5"/>
        <v>Registered</v>
      </c>
      <c r="O2645" s="1" t="s">
        <v>19</v>
      </c>
      <c r="P2645" s="9" t="str">
        <f t="shared" si="6"/>
        <v>UK</v>
      </c>
      <c r="Q2645" s="8">
        <f t="shared" si="7"/>
        <v>59.7</v>
      </c>
    </row>
    <row r="2646">
      <c r="A2646" s="1">
        <v>544943.0</v>
      </c>
      <c r="B2646" s="1" t="str">
        <f t="shared" si="1"/>
        <v>544943</v>
      </c>
      <c r="C2646" s="1" t="str">
        <f t="shared" si="2"/>
        <v>Sale</v>
      </c>
      <c r="D2646" s="1">
        <v>21672.0</v>
      </c>
      <c r="E2646" s="1" t="str">
        <f>IFERROR(__xludf.DUMMYFUNCTION("IF(LEN(D2646)&gt;4, IFERROR(REGEXEXTRACT(TO_TEXT(D2646),""\d+""),""""),"""")"),"21672")</f>
        <v>21672</v>
      </c>
      <c r="F2646" s="6" t="str">
        <f t="shared" si="3"/>
        <v>Product</v>
      </c>
      <c r="G2646" s="1" t="s">
        <v>114</v>
      </c>
      <c r="H2646" s="6" t="str">
        <f>IFERROR(__xludf.DUMMYFUNCTION("IF(REGEXMATCH(LOWER(G2646), ""^(\?)+\s*(missing)?\s*(\?)*$""), """", PROPER(SUBSTITUTE(SUBSTITUTE(G2646, ""?"", """"), ""*"", """")))"),"White Spot Red Ceramic Drawer Knob")</f>
        <v>White Spot Red Ceramic Drawer Knob</v>
      </c>
      <c r="I2646" s="3">
        <v>12.0</v>
      </c>
      <c r="J2646" s="7">
        <v>40599.44375</v>
      </c>
      <c r="K2646" s="8" t="str">
        <f t="shared" si="4"/>
        <v>2011-02</v>
      </c>
      <c r="L2646" s="5">
        <v>1.25</v>
      </c>
      <c r="M2646" s="3">
        <v>15845.0</v>
      </c>
      <c r="N2646" s="1" t="str">
        <f t="shared" si="5"/>
        <v>Registered</v>
      </c>
      <c r="O2646" s="1" t="s">
        <v>19</v>
      </c>
      <c r="P2646" s="9" t="str">
        <f t="shared" si="6"/>
        <v>UK</v>
      </c>
      <c r="Q2646" s="8">
        <f t="shared" si="7"/>
        <v>15</v>
      </c>
    </row>
    <row r="2647">
      <c r="A2647" s="1">
        <v>544943.0</v>
      </c>
      <c r="B2647" s="1" t="str">
        <f t="shared" si="1"/>
        <v>544943</v>
      </c>
      <c r="C2647" s="1" t="str">
        <f t="shared" si="2"/>
        <v>Sale</v>
      </c>
      <c r="D2647" s="1">
        <v>21671.0</v>
      </c>
      <c r="E2647" s="1" t="str">
        <f>IFERROR(__xludf.DUMMYFUNCTION("IF(LEN(D2647)&gt;4, IFERROR(REGEXEXTRACT(TO_TEXT(D2647),""\d+""),""""),"""")"),"21671")</f>
        <v>21671</v>
      </c>
      <c r="F2647" s="6" t="str">
        <f t="shared" si="3"/>
        <v>Product</v>
      </c>
      <c r="G2647" s="1" t="s">
        <v>770</v>
      </c>
      <c r="H2647" s="6" t="str">
        <f>IFERROR(__xludf.DUMMYFUNCTION("IF(REGEXMATCH(LOWER(G2647), ""^(\?)+\s*(missing)?\s*(\?)*$""), """", PROPER(SUBSTITUTE(SUBSTITUTE(G2647, ""?"", """"), ""*"", """")))"),"Red Spot Ceramic Drawer Knob")</f>
        <v>Red Spot Ceramic Drawer Knob</v>
      </c>
      <c r="I2647" s="3">
        <v>12.0</v>
      </c>
      <c r="J2647" s="7">
        <v>40599.44375</v>
      </c>
      <c r="K2647" s="8" t="str">
        <f t="shared" si="4"/>
        <v>2011-02</v>
      </c>
      <c r="L2647" s="5">
        <v>1.25</v>
      </c>
      <c r="M2647" s="3">
        <v>15845.0</v>
      </c>
      <c r="N2647" s="1" t="str">
        <f t="shared" si="5"/>
        <v>Registered</v>
      </c>
      <c r="O2647" s="1" t="s">
        <v>19</v>
      </c>
      <c r="P2647" s="9" t="str">
        <f t="shared" si="6"/>
        <v>UK</v>
      </c>
      <c r="Q2647" s="8">
        <f t="shared" si="7"/>
        <v>15</v>
      </c>
    </row>
    <row r="2648">
      <c r="A2648" s="1">
        <v>544943.0</v>
      </c>
      <c r="B2648" s="1" t="str">
        <f t="shared" si="1"/>
        <v>544943</v>
      </c>
      <c r="C2648" s="1" t="str">
        <f t="shared" si="2"/>
        <v>Sale</v>
      </c>
      <c r="D2648" s="1">
        <v>21673.0</v>
      </c>
      <c r="E2648" s="1" t="str">
        <f>IFERROR(__xludf.DUMMYFUNCTION("IF(LEN(D2648)&gt;4, IFERROR(REGEXEXTRACT(TO_TEXT(D2648),""\d+""),""""),"""")"),"21673")</f>
        <v>21673</v>
      </c>
      <c r="F2648" s="6" t="str">
        <f t="shared" si="3"/>
        <v>Product</v>
      </c>
      <c r="G2648" s="1" t="s">
        <v>767</v>
      </c>
      <c r="H2648" s="6" t="str">
        <f>IFERROR(__xludf.DUMMYFUNCTION("IF(REGEXMATCH(LOWER(G2648), ""^(\?)+\s*(missing)?\s*(\?)*$""), """", PROPER(SUBSTITUTE(SUBSTITUTE(G2648, ""?"", """"), ""*"", """")))"),"White Spot Blue Ceramic Drawer Knob")</f>
        <v>White Spot Blue Ceramic Drawer Knob</v>
      </c>
      <c r="I2648" s="3">
        <v>12.0</v>
      </c>
      <c r="J2648" s="7">
        <v>40599.44375</v>
      </c>
      <c r="K2648" s="8" t="str">
        <f t="shared" si="4"/>
        <v>2011-02</v>
      </c>
      <c r="L2648" s="5">
        <v>1.25</v>
      </c>
      <c r="M2648" s="3">
        <v>15845.0</v>
      </c>
      <c r="N2648" s="1" t="str">
        <f t="shared" si="5"/>
        <v>Registered</v>
      </c>
      <c r="O2648" s="1" t="s">
        <v>19</v>
      </c>
      <c r="P2648" s="9" t="str">
        <f t="shared" si="6"/>
        <v>UK</v>
      </c>
      <c r="Q2648" s="8">
        <f t="shared" si="7"/>
        <v>15</v>
      </c>
    </row>
    <row r="2649">
      <c r="A2649" s="1">
        <v>544943.0</v>
      </c>
      <c r="B2649" s="1" t="str">
        <f t="shared" si="1"/>
        <v>544943</v>
      </c>
      <c r="C2649" s="1" t="str">
        <f t="shared" si="2"/>
        <v>Sale</v>
      </c>
      <c r="D2649" s="1">
        <v>21670.0</v>
      </c>
      <c r="E2649" s="1" t="str">
        <f>IFERROR(__xludf.DUMMYFUNCTION("IF(LEN(D2649)&gt;4, IFERROR(REGEXEXTRACT(TO_TEXT(D2649),""\d+""),""""),"""")"),"21670")</f>
        <v>21670</v>
      </c>
      <c r="F2649" s="6" t="str">
        <f t="shared" si="3"/>
        <v>Product</v>
      </c>
      <c r="G2649" s="1" t="s">
        <v>768</v>
      </c>
      <c r="H2649" s="6" t="str">
        <f>IFERROR(__xludf.DUMMYFUNCTION("IF(REGEXMATCH(LOWER(G2649), ""^(\?)+\s*(missing)?\s*(\?)*$""), """", PROPER(SUBSTITUTE(SUBSTITUTE(G2649, ""?"", """"), ""*"", """")))"),"Blue Spot Ceramic Drawer Knob")</f>
        <v>Blue Spot Ceramic Drawer Knob</v>
      </c>
      <c r="I2649" s="3">
        <v>12.0</v>
      </c>
      <c r="J2649" s="7">
        <v>40599.44375</v>
      </c>
      <c r="K2649" s="8" t="str">
        <f t="shared" si="4"/>
        <v>2011-02</v>
      </c>
      <c r="L2649" s="5">
        <v>1.25</v>
      </c>
      <c r="M2649" s="3">
        <v>15845.0</v>
      </c>
      <c r="N2649" s="1" t="str">
        <f t="shared" si="5"/>
        <v>Registered</v>
      </c>
      <c r="O2649" s="1" t="s">
        <v>19</v>
      </c>
      <c r="P2649" s="9" t="str">
        <f t="shared" si="6"/>
        <v>UK</v>
      </c>
      <c r="Q2649" s="8">
        <f t="shared" si="7"/>
        <v>15</v>
      </c>
    </row>
    <row r="2650">
      <c r="A2650" s="1">
        <v>544944.0</v>
      </c>
      <c r="B2650" s="1" t="str">
        <f t="shared" si="1"/>
        <v>544944</v>
      </c>
      <c r="C2650" s="1" t="str">
        <f t="shared" si="2"/>
        <v>Sale</v>
      </c>
      <c r="D2650" s="1" t="s">
        <v>1320</v>
      </c>
      <c r="E2650" s="1" t="str">
        <f>IFERROR(__xludf.DUMMYFUNCTION("IF(LEN(D2650)&gt;4, IFERROR(REGEXEXTRACT(TO_TEXT(D2650),""\d+""),""""),"""")"),"46000")</f>
        <v>46000</v>
      </c>
      <c r="F2650" s="6" t="str">
        <f t="shared" si="3"/>
        <v>Product</v>
      </c>
      <c r="G2650" s="1" t="s">
        <v>1321</v>
      </c>
      <c r="H2650" s="6" t="str">
        <f>IFERROR(__xludf.DUMMYFUNCTION("IF(REGEXMATCH(LOWER(G2650), ""^(\?)+\s*(missing)?\s*(\?)*$""), """", PROPER(SUBSTITUTE(SUBSTITUTE(G2650, ""?"", """"), ""*"", """")))"),"Polyester Filler Pad 40X40Cm")</f>
        <v>Polyester Filler Pad 40X40Cm</v>
      </c>
      <c r="I2650" s="3">
        <v>12.0</v>
      </c>
      <c r="J2650" s="7">
        <v>40599.44861111111</v>
      </c>
      <c r="K2650" s="8" t="str">
        <f t="shared" si="4"/>
        <v>2011-02</v>
      </c>
      <c r="L2650" s="5">
        <v>1.45</v>
      </c>
      <c r="M2650" s="3">
        <v>14541.0</v>
      </c>
      <c r="N2650" s="1" t="str">
        <f t="shared" si="5"/>
        <v>Registered</v>
      </c>
      <c r="O2650" s="1" t="s">
        <v>19</v>
      </c>
      <c r="P2650" s="9" t="str">
        <f t="shared" si="6"/>
        <v>UK</v>
      </c>
      <c r="Q2650" s="8">
        <f t="shared" si="7"/>
        <v>17.4</v>
      </c>
    </row>
    <row r="2651">
      <c r="A2651" s="1">
        <v>544944.0</v>
      </c>
      <c r="B2651" s="1" t="str">
        <f t="shared" si="1"/>
        <v>544944</v>
      </c>
      <c r="C2651" s="1" t="str">
        <f t="shared" si="2"/>
        <v>Sale</v>
      </c>
      <c r="D2651" s="1">
        <v>21559.0</v>
      </c>
      <c r="E2651" s="1" t="str">
        <f>IFERROR(__xludf.DUMMYFUNCTION("IF(LEN(D2651)&gt;4, IFERROR(REGEXEXTRACT(TO_TEXT(D2651),""\d+""),""""),"""")"),"21559")</f>
        <v>21559</v>
      </c>
      <c r="F2651" s="6" t="str">
        <f t="shared" si="3"/>
        <v>Product</v>
      </c>
      <c r="G2651" s="1" t="s">
        <v>95</v>
      </c>
      <c r="H2651" s="6" t="str">
        <f>IFERROR(__xludf.DUMMYFUNCTION("IF(REGEXMATCH(LOWER(G2651), ""^(\?)+\s*(missing)?\s*(\?)*$""), """", PROPER(SUBSTITUTE(SUBSTITUTE(G2651, ""?"", """"), ""*"", """")))"),"Strawberry Lunch Box With Cutlery")</f>
        <v>Strawberry Lunch Box With Cutlery</v>
      </c>
      <c r="I2651" s="3">
        <v>3.0</v>
      </c>
      <c r="J2651" s="7">
        <v>40599.44861111111</v>
      </c>
      <c r="K2651" s="8" t="str">
        <f t="shared" si="4"/>
        <v>2011-02</v>
      </c>
      <c r="L2651" s="5">
        <v>2.55</v>
      </c>
      <c r="M2651" s="3">
        <v>14541.0</v>
      </c>
      <c r="N2651" s="1" t="str">
        <f t="shared" si="5"/>
        <v>Registered</v>
      </c>
      <c r="O2651" s="1" t="s">
        <v>19</v>
      </c>
      <c r="P2651" s="9" t="str">
        <f t="shared" si="6"/>
        <v>UK</v>
      </c>
      <c r="Q2651" s="8">
        <f t="shared" si="7"/>
        <v>7.65</v>
      </c>
    </row>
    <row r="2652">
      <c r="A2652" s="1">
        <v>544944.0</v>
      </c>
      <c r="B2652" s="1" t="str">
        <f t="shared" si="1"/>
        <v>544944</v>
      </c>
      <c r="C2652" s="1" t="str">
        <f t="shared" si="2"/>
        <v>Sale</v>
      </c>
      <c r="D2652" s="1">
        <v>22483.0</v>
      </c>
      <c r="E2652" s="1" t="str">
        <f>IFERROR(__xludf.DUMMYFUNCTION("IF(LEN(D2652)&gt;4, IFERROR(REGEXEXTRACT(TO_TEXT(D2652),""\d+""),""""),"""")"),"22483")</f>
        <v>22483</v>
      </c>
      <c r="F2652" s="6" t="str">
        <f t="shared" si="3"/>
        <v>Product</v>
      </c>
      <c r="G2652" s="1" t="s">
        <v>1322</v>
      </c>
      <c r="H2652" s="6" t="str">
        <f>IFERROR(__xludf.DUMMYFUNCTION("IF(REGEXMATCH(LOWER(G2652), ""^(\?)+\s*(missing)?\s*(\?)*$""), """", PROPER(SUBSTITUTE(SUBSTITUTE(G2652, ""?"", """"), ""*"", """")))"),"Red Gingham Teddy Bear")</f>
        <v>Red Gingham Teddy Bear</v>
      </c>
      <c r="I2652" s="3">
        <v>5.0</v>
      </c>
      <c r="J2652" s="7">
        <v>40599.44861111111</v>
      </c>
      <c r="K2652" s="8" t="str">
        <f t="shared" si="4"/>
        <v>2011-02</v>
      </c>
      <c r="L2652" s="5">
        <v>2.95</v>
      </c>
      <c r="M2652" s="3">
        <v>14541.0</v>
      </c>
      <c r="N2652" s="1" t="str">
        <f t="shared" si="5"/>
        <v>Registered</v>
      </c>
      <c r="O2652" s="1" t="s">
        <v>19</v>
      </c>
      <c r="P2652" s="9" t="str">
        <f t="shared" si="6"/>
        <v>UK</v>
      </c>
      <c r="Q2652" s="8">
        <f t="shared" si="7"/>
        <v>14.75</v>
      </c>
    </row>
    <row r="2653">
      <c r="A2653" s="1">
        <v>544944.0</v>
      </c>
      <c r="B2653" s="1" t="str">
        <f t="shared" si="1"/>
        <v>544944</v>
      </c>
      <c r="C2653" s="1" t="str">
        <f t="shared" si="2"/>
        <v>Sale</v>
      </c>
      <c r="D2653" s="1">
        <v>22457.0</v>
      </c>
      <c r="E2653" s="1" t="str">
        <f>IFERROR(__xludf.DUMMYFUNCTION("IF(LEN(D2653)&gt;4, IFERROR(REGEXEXTRACT(TO_TEXT(D2653),""\d+""),""""),"""")"),"22457")</f>
        <v>22457</v>
      </c>
      <c r="F2653" s="6" t="str">
        <f t="shared" si="3"/>
        <v>Product</v>
      </c>
      <c r="G2653" s="1" t="s">
        <v>166</v>
      </c>
      <c r="H2653" s="6" t="str">
        <f>IFERROR(__xludf.DUMMYFUNCTION("IF(REGEXMATCH(LOWER(G2653), ""^(\?)+\s*(missing)?\s*(\?)*$""), """", PROPER(SUBSTITUTE(SUBSTITUTE(G2653, ""?"", """"), ""*"", """")))"),"Natural Slate Heart Chalkboard")</f>
        <v>Natural Slate Heart Chalkboard</v>
      </c>
      <c r="I2653" s="3">
        <v>12.0</v>
      </c>
      <c r="J2653" s="7">
        <v>40599.44861111111</v>
      </c>
      <c r="K2653" s="8" t="str">
        <f t="shared" si="4"/>
        <v>2011-02</v>
      </c>
      <c r="L2653" s="5">
        <v>2.95</v>
      </c>
      <c r="M2653" s="3">
        <v>14541.0</v>
      </c>
      <c r="N2653" s="1" t="str">
        <f t="shared" si="5"/>
        <v>Registered</v>
      </c>
      <c r="O2653" s="1" t="s">
        <v>19</v>
      </c>
      <c r="P2653" s="9" t="str">
        <f t="shared" si="6"/>
        <v>UK</v>
      </c>
      <c r="Q2653" s="8">
        <f t="shared" si="7"/>
        <v>35.4</v>
      </c>
    </row>
    <row r="2654">
      <c r="A2654" s="1">
        <v>544944.0</v>
      </c>
      <c r="B2654" s="1" t="str">
        <f t="shared" si="1"/>
        <v>544944</v>
      </c>
      <c r="C2654" s="1" t="str">
        <f t="shared" si="2"/>
        <v>Sale</v>
      </c>
      <c r="D2654" s="1">
        <v>21559.0</v>
      </c>
      <c r="E2654" s="1" t="str">
        <f>IFERROR(__xludf.DUMMYFUNCTION("IF(LEN(D2654)&gt;4, IFERROR(REGEXEXTRACT(TO_TEXT(D2654),""\d+""),""""),"""")"),"21559")</f>
        <v>21559</v>
      </c>
      <c r="F2654" s="6" t="str">
        <f t="shared" si="3"/>
        <v>Product</v>
      </c>
      <c r="G2654" s="1" t="s">
        <v>95</v>
      </c>
      <c r="H2654" s="6" t="str">
        <f>IFERROR(__xludf.DUMMYFUNCTION("IF(REGEXMATCH(LOWER(G2654), ""^(\?)+\s*(missing)?\s*(\?)*$""), """", PROPER(SUBSTITUTE(SUBSTITUTE(G2654, ""?"", """"), ""*"", """")))"),"Strawberry Lunch Box With Cutlery")</f>
        <v>Strawberry Lunch Box With Cutlery</v>
      </c>
      <c r="I2654" s="3">
        <v>2.0</v>
      </c>
      <c r="J2654" s="7">
        <v>40599.44861111111</v>
      </c>
      <c r="K2654" s="8" t="str">
        <f t="shared" si="4"/>
        <v>2011-02</v>
      </c>
      <c r="L2654" s="5">
        <v>2.55</v>
      </c>
      <c r="M2654" s="3">
        <v>14541.0</v>
      </c>
      <c r="N2654" s="1" t="str">
        <f t="shared" si="5"/>
        <v>Registered</v>
      </c>
      <c r="O2654" s="1" t="s">
        <v>19</v>
      </c>
      <c r="P2654" s="9" t="str">
        <f t="shared" si="6"/>
        <v>UK</v>
      </c>
      <c r="Q2654" s="8">
        <f t="shared" si="7"/>
        <v>5.1</v>
      </c>
    </row>
    <row r="2655">
      <c r="A2655" s="1">
        <v>544944.0</v>
      </c>
      <c r="B2655" s="1" t="str">
        <f t="shared" si="1"/>
        <v>544944</v>
      </c>
      <c r="C2655" s="1" t="str">
        <f t="shared" si="2"/>
        <v>Sale</v>
      </c>
      <c r="D2655" s="1" t="s">
        <v>1117</v>
      </c>
      <c r="E2655" s="1" t="str">
        <f>IFERROR(__xludf.DUMMYFUNCTION("IF(LEN(D2655)&gt;4, IFERROR(REGEXEXTRACT(TO_TEXT(D2655),""\d+""),""""),"""")"),"84997")</f>
        <v>84997</v>
      </c>
      <c r="F2655" s="6" t="str">
        <f t="shared" si="3"/>
        <v>Product</v>
      </c>
      <c r="G2655" s="1" t="s">
        <v>1118</v>
      </c>
      <c r="H2655" s="6" t="str">
        <f>IFERROR(__xludf.DUMMYFUNCTION("IF(REGEXMATCH(LOWER(G2655), ""^(\?)+\s*(missing)?\s*(\?)*$""), """", PROPER(SUBSTITUTE(SUBSTITUTE(G2655, ""?"", """"), ""*"", """")))"),"Childrens Cutlery Polkadot Pink")</f>
        <v>Childrens Cutlery Polkadot Pink</v>
      </c>
      <c r="I2655" s="3">
        <v>5.0</v>
      </c>
      <c r="J2655" s="7">
        <v>40599.44861111111</v>
      </c>
      <c r="K2655" s="8" t="str">
        <f t="shared" si="4"/>
        <v>2011-02</v>
      </c>
      <c r="L2655" s="5">
        <v>4.15</v>
      </c>
      <c r="M2655" s="3">
        <v>14541.0</v>
      </c>
      <c r="N2655" s="1" t="str">
        <f t="shared" si="5"/>
        <v>Registered</v>
      </c>
      <c r="O2655" s="1" t="s">
        <v>19</v>
      </c>
      <c r="P2655" s="9" t="str">
        <f t="shared" si="6"/>
        <v>UK</v>
      </c>
      <c r="Q2655" s="8">
        <f t="shared" si="7"/>
        <v>20.75</v>
      </c>
    </row>
    <row r="2656">
      <c r="A2656" s="1">
        <v>544944.0</v>
      </c>
      <c r="B2656" s="1" t="str">
        <f t="shared" si="1"/>
        <v>544944</v>
      </c>
      <c r="C2656" s="1" t="str">
        <f t="shared" si="2"/>
        <v>Sale</v>
      </c>
      <c r="D2656" s="1" t="s">
        <v>1315</v>
      </c>
      <c r="E2656" s="1" t="str">
        <f>IFERROR(__xludf.DUMMYFUNCTION("IF(LEN(D2656)&gt;4, IFERROR(REGEXEXTRACT(TO_TEXT(D2656),""\d+""),""""),"""")"),"84997")</f>
        <v>84997</v>
      </c>
      <c r="F2656" s="6" t="str">
        <f t="shared" si="3"/>
        <v>Product</v>
      </c>
      <c r="G2656" s="1" t="s">
        <v>1316</v>
      </c>
      <c r="H2656" s="6" t="str">
        <f>IFERROR(__xludf.DUMMYFUNCTION("IF(REGEXMATCH(LOWER(G2656), ""^(\?)+\s*(missing)?\s*(\?)*$""), """", PROPER(SUBSTITUTE(SUBSTITUTE(G2656, ""?"", """"), ""*"", """")))"),"Childrens Cutlery Polkadot Green")</f>
        <v>Childrens Cutlery Polkadot Green</v>
      </c>
      <c r="I2656" s="3">
        <v>3.0</v>
      </c>
      <c r="J2656" s="7">
        <v>40599.44861111111</v>
      </c>
      <c r="K2656" s="8" t="str">
        <f t="shared" si="4"/>
        <v>2011-02</v>
      </c>
      <c r="L2656" s="5">
        <v>4.15</v>
      </c>
      <c r="M2656" s="3">
        <v>14541.0</v>
      </c>
      <c r="N2656" s="1" t="str">
        <f t="shared" si="5"/>
        <v>Registered</v>
      </c>
      <c r="O2656" s="1" t="s">
        <v>19</v>
      </c>
      <c r="P2656" s="9" t="str">
        <f t="shared" si="6"/>
        <v>UK</v>
      </c>
      <c r="Q2656" s="8">
        <f t="shared" si="7"/>
        <v>12.45</v>
      </c>
    </row>
    <row r="2657">
      <c r="A2657" s="1">
        <v>544944.0</v>
      </c>
      <c r="B2657" s="1" t="str">
        <f t="shared" si="1"/>
        <v>544944</v>
      </c>
      <c r="C2657" s="1" t="str">
        <f t="shared" si="2"/>
        <v>Sale</v>
      </c>
      <c r="D2657" s="1" t="s">
        <v>91</v>
      </c>
      <c r="E2657" s="1" t="str">
        <f>IFERROR(__xludf.DUMMYFUNCTION("IF(LEN(D2657)&gt;4, IFERROR(REGEXEXTRACT(TO_TEXT(D2657),""\d+""),""""),"""")"),"84997")</f>
        <v>84997</v>
      </c>
      <c r="F2657" s="6" t="str">
        <f t="shared" si="3"/>
        <v>Product</v>
      </c>
      <c r="G2657" s="1" t="s">
        <v>1323</v>
      </c>
      <c r="H2657" s="6" t="str">
        <f>IFERROR(__xludf.DUMMYFUNCTION("IF(REGEXMATCH(LOWER(G2657), ""^(\?)+\s*(missing)?\s*(\?)*$""), """", PROPER(SUBSTITUTE(SUBSTITUTE(G2657, ""?"", """"), ""*"", """")))"),"Childrens Cutlery Polkadot Blue")</f>
        <v>Childrens Cutlery Polkadot Blue</v>
      </c>
      <c r="I2657" s="3">
        <v>4.0</v>
      </c>
      <c r="J2657" s="7">
        <v>40599.44861111111</v>
      </c>
      <c r="K2657" s="8" t="str">
        <f t="shared" si="4"/>
        <v>2011-02</v>
      </c>
      <c r="L2657" s="5">
        <v>4.15</v>
      </c>
      <c r="M2657" s="3">
        <v>14541.0</v>
      </c>
      <c r="N2657" s="1" t="str">
        <f t="shared" si="5"/>
        <v>Registered</v>
      </c>
      <c r="O2657" s="1" t="s">
        <v>19</v>
      </c>
      <c r="P2657" s="9" t="str">
        <f t="shared" si="6"/>
        <v>UK</v>
      </c>
      <c r="Q2657" s="8">
        <f t="shared" si="7"/>
        <v>16.6</v>
      </c>
    </row>
    <row r="2658">
      <c r="A2658" s="1">
        <v>544944.0</v>
      </c>
      <c r="B2658" s="1" t="str">
        <f t="shared" si="1"/>
        <v>544944</v>
      </c>
      <c r="C2658" s="1" t="str">
        <f t="shared" si="2"/>
        <v>Sale</v>
      </c>
      <c r="D2658" s="1" t="s">
        <v>89</v>
      </c>
      <c r="E2658" s="1" t="str">
        <f>IFERROR(__xludf.DUMMYFUNCTION("IF(LEN(D2658)&gt;4, IFERROR(REGEXEXTRACT(TO_TEXT(D2658),""\d+""),""""),"""")"),"84997")</f>
        <v>84997</v>
      </c>
      <c r="F2658" s="6" t="str">
        <f t="shared" si="3"/>
        <v>Product</v>
      </c>
      <c r="G2658" s="1" t="s">
        <v>1317</v>
      </c>
      <c r="H2658" s="6" t="str">
        <f>IFERROR(__xludf.DUMMYFUNCTION("IF(REGEXMATCH(LOWER(G2658), ""^(\?)+\s*(missing)?\s*(\?)*$""), """", PROPER(SUBSTITUTE(SUBSTITUTE(G2658, ""?"", """"), ""*"", """")))"),"Childrens Cutlery Retrospot Red")</f>
        <v>Childrens Cutlery Retrospot Red</v>
      </c>
      <c r="I2658" s="3">
        <v>5.0</v>
      </c>
      <c r="J2658" s="7">
        <v>40599.44861111111</v>
      </c>
      <c r="K2658" s="8" t="str">
        <f t="shared" si="4"/>
        <v>2011-02</v>
      </c>
      <c r="L2658" s="5">
        <v>4.15</v>
      </c>
      <c r="M2658" s="3">
        <v>14541.0</v>
      </c>
      <c r="N2658" s="1" t="str">
        <f t="shared" si="5"/>
        <v>Registered</v>
      </c>
      <c r="O2658" s="1" t="s">
        <v>19</v>
      </c>
      <c r="P2658" s="9" t="str">
        <f t="shared" si="6"/>
        <v>UK</v>
      </c>
      <c r="Q2658" s="8">
        <f t="shared" si="7"/>
        <v>20.75</v>
      </c>
    </row>
    <row r="2659">
      <c r="A2659" s="1">
        <v>544944.0</v>
      </c>
      <c r="B2659" s="1" t="str">
        <f t="shared" si="1"/>
        <v>544944</v>
      </c>
      <c r="C2659" s="1" t="str">
        <f t="shared" si="2"/>
        <v>Sale</v>
      </c>
      <c r="D2659" s="1">
        <v>85200.0</v>
      </c>
      <c r="E2659" s="1" t="str">
        <f>IFERROR(__xludf.DUMMYFUNCTION("IF(LEN(D2659)&gt;4, IFERROR(REGEXEXTRACT(TO_TEXT(D2659),""\d+""),""""),"""")"),"85200")</f>
        <v>85200</v>
      </c>
      <c r="F2659" s="6" t="str">
        <f t="shared" si="3"/>
        <v>Product</v>
      </c>
      <c r="G2659" s="1" t="s">
        <v>1324</v>
      </c>
      <c r="H2659" s="6" t="str">
        <f>IFERROR(__xludf.DUMMYFUNCTION("IF(REGEXMATCH(LOWER(G2659), ""^(\?)+\s*(missing)?\s*(\?)*$""), """", PROPER(SUBSTITUTE(SUBSTITUTE(G2659, ""?"", """"), ""*"", """")))"),"Bunny Egg Box")</f>
        <v>Bunny Egg Box</v>
      </c>
      <c r="I2659" s="3">
        <v>12.0</v>
      </c>
      <c r="J2659" s="7">
        <v>40599.44861111111</v>
      </c>
      <c r="K2659" s="8" t="str">
        <f t="shared" si="4"/>
        <v>2011-02</v>
      </c>
      <c r="L2659" s="5">
        <v>1.25</v>
      </c>
      <c r="M2659" s="3">
        <v>14541.0</v>
      </c>
      <c r="N2659" s="1" t="str">
        <f t="shared" si="5"/>
        <v>Registered</v>
      </c>
      <c r="O2659" s="1" t="s">
        <v>19</v>
      </c>
      <c r="P2659" s="9" t="str">
        <f t="shared" si="6"/>
        <v>UK</v>
      </c>
      <c r="Q2659" s="8">
        <f t="shared" si="7"/>
        <v>15</v>
      </c>
    </row>
    <row r="2660">
      <c r="A2660" s="1">
        <v>544944.0</v>
      </c>
      <c r="B2660" s="1" t="str">
        <f t="shared" si="1"/>
        <v>544944</v>
      </c>
      <c r="C2660" s="1" t="str">
        <f t="shared" si="2"/>
        <v>Sale</v>
      </c>
      <c r="D2660" s="1">
        <v>21535.0</v>
      </c>
      <c r="E2660" s="1" t="str">
        <f>IFERROR(__xludf.DUMMYFUNCTION("IF(LEN(D2660)&gt;4, IFERROR(REGEXEXTRACT(TO_TEXT(D2660),""\d+""),""""),"""")"),"21535")</f>
        <v>21535</v>
      </c>
      <c r="F2660" s="6" t="str">
        <f t="shared" si="3"/>
        <v>Product</v>
      </c>
      <c r="G2660" s="1" t="s">
        <v>817</v>
      </c>
      <c r="H2660" s="6" t="str">
        <f>IFERROR(__xludf.DUMMYFUNCTION("IF(REGEXMATCH(LOWER(G2660), ""^(\?)+\s*(missing)?\s*(\?)*$""), """", PROPER(SUBSTITUTE(SUBSTITUTE(G2660, ""?"", """"), ""*"", """")))"),"Red Retrospot Small Milk Jug")</f>
        <v>Red Retrospot Small Milk Jug</v>
      </c>
      <c r="I2660" s="3">
        <v>5.0</v>
      </c>
      <c r="J2660" s="7">
        <v>40599.44861111111</v>
      </c>
      <c r="K2660" s="8" t="str">
        <f t="shared" si="4"/>
        <v>2011-02</v>
      </c>
      <c r="L2660" s="5">
        <v>2.55</v>
      </c>
      <c r="M2660" s="3">
        <v>14541.0</v>
      </c>
      <c r="N2660" s="1" t="str">
        <f t="shared" si="5"/>
        <v>Registered</v>
      </c>
      <c r="O2660" s="1" t="s">
        <v>19</v>
      </c>
      <c r="P2660" s="9" t="str">
        <f t="shared" si="6"/>
        <v>UK</v>
      </c>
      <c r="Q2660" s="8">
        <f t="shared" si="7"/>
        <v>12.75</v>
      </c>
    </row>
    <row r="2661">
      <c r="A2661" s="1">
        <v>544944.0</v>
      </c>
      <c r="B2661" s="1" t="str">
        <f t="shared" si="1"/>
        <v>544944</v>
      </c>
      <c r="C2661" s="1" t="str">
        <f t="shared" si="2"/>
        <v>Sale</v>
      </c>
      <c r="D2661" s="1">
        <v>21539.0</v>
      </c>
      <c r="E2661" s="1" t="str">
        <f>IFERROR(__xludf.DUMMYFUNCTION("IF(LEN(D2661)&gt;4, IFERROR(REGEXEXTRACT(TO_TEXT(D2661),""\d+""),""""),"""")"),"21539")</f>
        <v>21539</v>
      </c>
      <c r="F2661" s="6" t="str">
        <f t="shared" si="3"/>
        <v>Product</v>
      </c>
      <c r="G2661" s="1" t="s">
        <v>1007</v>
      </c>
      <c r="H2661" s="6" t="str">
        <f>IFERROR(__xludf.DUMMYFUNCTION("IF(REGEXMATCH(LOWER(G2661), ""^(\?)+\s*(missing)?\s*(\?)*$""), """", PROPER(SUBSTITUTE(SUBSTITUTE(G2661, ""?"", """"), ""*"", """")))"),"Red Retrospot Butter Dish")</f>
        <v>Red Retrospot Butter Dish</v>
      </c>
      <c r="I2661" s="3">
        <v>4.0</v>
      </c>
      <c r="J2661" s="7">
        <v>40599.44861111111</v>
      </c>
      <c r="K2661" s="8" t="str">
        <f t="shared" si="4"/>
        <v>2011-02</v>
      </c>
      <c r="L2661" s="5">
        <v>4.95</v>
      </c>
      <c r="M2661" s="3">
        <v>14541.0</v>
      </c>
      <c r="N2661" s="1" t="str">
        <f t="shared" si="5"/>
        <v>Registered</v>
      </c>
      <c r="O2661" s="1" t="s">
        <v>19</v>
      </c>
      <c r="P2661" s="9" t="str">
        <f t="shared" si="6"/>
        <v>UK</v>
      </c>
      <c r="Q2661" s="8">
        <f t="shared" si="7"/>
        <v>19.8</v>
      </c>
    </row>
    <row r="2662">
      <c r="A2662" s="1">
        <v>544944.0</v>
      </c>
      <c r="B2662" s="1" t="str">
        <f t="shared" si="1"/>
        <v>544944</v>
      </c>
      <c r="C2662" s="1" t="str">
        <f t="shared" si="2"/>
        <v>Sale</v>
      </c>
      <c r="D2662" s="1">
        <v>21527.0</v>
      </c>
      <c r="E2662" s="1" t="str">
        <f>IFERROR(__xludf.DUMMYFUNCTION("IF(LEN(D2662)&gt;4, IFERROR(REGEXEXTRACT(TO_TEXT(D2662),""\d+""),""""),"""")"),"21527")</f>
        <v>21527</v>
      </c>
      <c r="F2662" s="6" t="str">
        <f t="shared" si="3"/>
        <v>Product</v>
      </c>
      <c r="G2662" s="1" t="s">
        <v>949</v>
      </c>
      <c r="H2662" s="6" t="str">
        <f>IFERROR(__xludf.DUMMYFUNCTION("IF(REGEXMATCH(LOWER(G2662), ""^(\?)+\s*(missing)?\s*(\?)*$""), """", PROPER(SUBSTITUTE(SUBSTITUTE(G2662, ""?"", """"), ""*"", """")))"),"Red Retrospot Traditional Teapot")</f>
        <v>Red Retrospot Traditional Teapot</v>
      </c>
      <c r="I2662" s="3">
        <v>2.0</v>
      </c>
      <c r="J2662" s="7">
        <v>40599.44861111111</v>
      </c>
      <c r="K2662" s="8" t="str">
        <f t="shared" si="4"/>
        <v>2011-02</v>
      </c>
      <c r="L2662" s="5">
        <v>7.95</v>
      </c>
      <c r="M2662" s="3">
        <v>14541.0</v>
      </c>
      <c r="N2662" s="1" t="str">
        <f t="shared" si="5"/>
        <v>Registered</v>
      </c>
      <c r="O2662" s="1" t="s">
        <v>19</v>
      </c>
      <c r="P2662" s="9" t="str">
        <f t="shared" si="6"/>
        <v>UK</v>
      </c>
      <c r="Q2662" s="8">
        <f t="shared" si="7"/>
        <v>15.9</v>
      </c>
    </row>
    <row r="2663">
      <c r="A2663" s="1">
        <v>544944.0</v>
      </c>
      <c r="B2663" s="1" t="str">
        <f t="shared" si="1"/>
        <v>544944</v>
      </c>
      <c r="C2663" s="1" t="str">
        <f t="shared" si="2"/>
        <v>Sale</v>
      </c>
      <c r="D2663" s="1">
        <v>21034.0</v>
      </c>
      <c r="E2663" s="1" t="str">
        <f>IFERROR(__xludf.DUMMYFUNCTION("IF(LEN(D2663)&gt;4, IFERROR(REGEXEXTRACT(TO_TEXT(D2663),""\d+""),""""),"""")"),"21034")</f>
        <v>21034</v>
      </c>
      <c r="F2663" s="6" t="str">
        <f t="shared" si="3"/>
        <v>Product</v>
      </c>
      <c r="G2663" s="1" t="s">
        <v>452</v>
      </c>
      <c r="H2663" s="6" t="str">
        <f>IFERROR(__xludf.DUMMYFUNCTION("IF(REGEXMATCH(LOWER(G2663), ""^(\?)+\s*(missing)?\s*(\?)*$""), """", PROPER(SUBSTITUTE(SUBSTITUTE(G2663, ""?"", """"), ""*"", """")))"),"Rex Cash+Carry Jumbo Shopper")</f>
        <v>Rex Cash+Carry Jumbo Shopper</v>
      </c>
      <c r="I2663" s="3">
        <v>2.0</v>
      </c>
      <c r="J2663" s="7">
        <v>40599.44861111111</v>
      </c>
      <c r="K2663" s="8" t="str">
        <f t="shared" si="4"/>
        <v>2011-02</v>
      </c>
      <c r="L2663" s="5">
        <v>0.95</v>
      </c>
      <c r="M2663" s="3">
        <v>14541.0</v>
      </c>
      <c r="N2663" s="1" t="str">
        <f t="shared" si="5"/>
        <v>Registered</v>
      </c>
      <c r="O2663" s="1" t="s">
        <v>19</v>
      </c>
      <c r="P2663" s="9" t="str">
        <f t="shared" si="6"/>
        <v>UK</v>
      </c>
      <c r="Q2663" s="8">
        <f t="shared" si="7"/>
        <v>1.9</v>
      </c>
    </row>
    <row r="2664">
      <c r="A2664" s="1">
        <v>544944.0</v>
      </c>
      <c r="B2664" s="1" t="str">
        <f t="shared" si="1"/>
        <v>544944</v>
      </c>
      <c r="C2664" s="1" t="str">
        <f t="shared" si="2"/>
        <v>Sale</v>
      </c>
      <c r="D2664" s="1">
        <v>21411.0</v>
      </c>
      <c r="E2664" s="1" t="str">
        <f>IFERROR(__xludf.DUMMYFUNCTION("IF(LEN(D2664)&gt;4, IFERROR(REGEXEXTRACT(TO_TEXT(D2664),""\d+""),""""),"""")"),"21411")</f>
        <v>21411</v>
      </c>
      <c r="F2664" s="6" t="str">
        <f t="shared" si="3"/>
        <v>Product</v>
      </c>
      <c r="G2664" s="1" t="s">
        <v>188</v>
      </c>
      <c r="H2664" s="6" t="str">
        <f>IFERROR(__xludf.DUMMYFUNCTION("IF(REGEXMATCH(LOWER(G2664), ""^(\?)+\s*(missing)?\s*(\?)*$""), """", PROPER(SUBSTITUTE(SUBSTITUTE(G2664, ""?"", """"), ""*"", """")))"),"Gingham Heart Doorstop Red")</f>
        <v>Gingham Heart Doorstop Red</v>
      </c>
      <c r="I2664" s="3">
        <v>4.0</v>
      </c>
      <c r="J2664" s="7">
        <v>40599.44861111111</v>
      </c>
      <c r="K2664" s="8" t="str">
        <f t="shared" si="4"/>
        <v>2011-02</v>
      </c>
      <c r="L2664" s="5">
        <v>4.25</v>
      </c>
      <c r="M2664" s="3">
        <v>14541.0</v>
      </c>
      <c r="N2664" s="1" t="str">
        <f t="shared" si="5"/>
        <v>Registered</v>
      </c>
      <c r="O2664" s="1" t="s">
        <v>19</v>
      </c>
      <c r="P2664" s="9" t="str">
        <f t="shared" si="6"/>
        <v>UK</v>
      </c>
      <c r="Q2664" s="8">
        <f t="shared" si="7"/>
        <v>17</v>
      </c>
    </row>
    <row r="2665">
      <c r="A2665" s="1">
        <v>544944.0</v>
      </c>
      <c r="B2665" s="1" t="str">
        <f t="shared" si="1"/>
        <v>544944</v>
      </c>
      <c r="C2665" s="1" t="str">
        <f t="shared" si="2"/>
        <v>Sale</v>
      </c>
      <c r="D2665" s="1">
        <v>21937.0</v>
      </c>
      <c r="E2665" s="1" t="str">
        <f>IFERROR(__xludf.DUMMYFUNCTION("IF(LEN(D2665)&gt;4, IFERROR(REGEXEXTRACT(TO_TEXT(D2665),""\d+""),""""),"""")"),"21937")</f>
        <v>21937</v>
      </c>
      <c r="F2665" s="6" t="str">
        <f t="shared" si="3"/>
        <v>Product</v>
      </c>
      <c r="G2665" s="1" t="s">
        <v>1325</v>
      </c>
      <c r="H2665" s="6" t="str">
        <f>IFERROR(__xludf.DUMMYFUNCTION("IF(REGEXMATCH(LOWER(G2665), ""^(\?)+\s*(missing)?\s*(\?)*$""), """", PROPER(SUBSTITUTE(SUBSTITUTE(G2665, ""?"", """"), ""*"", """")))"),"Strawberry Picnic Bag")</f>
        <v>Strawberry Picnic Bag</v>
      </c>
      <c r="I2665" s="3">
        <v>10.0</v>
      </c>
      <c r="J2665" s="7">
        <v>40599.44861111111</v>
      </c>
      <c r="K2665" s="8" t="str">
        <f t="shared" si="4"/>
        <v>2011-02</v>
      </c>
      <c r="L2665" s="5">
        <v>2.95</v>
      </c>
      <c r="M2665" s="3">
        <v>14541.0</v>
      </c>
      <c r="N2665" s="1" t="str">
        <f t="shared" si="5"/>
        <v>Registered</v>
      </c>
      <c r="O2665" s="1" t="s">
        <v>19</v>
      </c>
      <c r="P2665" s="9" t="str">
        <f t="shared" si="6"/>
        <v>UK</v>
      </c>
      <c r="Q2665" s="8">
        <f t="shared" si="7"/>
        <v>29.5</v>
      </c>
    </row>
    <row r="2666">
      <c r="A2666" s="1">
        <v>544944.0</v>
      </c>
      <c r="B2666" s="1" t="str">
        <f t="shared" si="1"/>
        <v>544944</v>
      </c>
      <c r="C2666" s="1" t="str">
        <f t="shared" si="2"/>
        <v>Sale</v>
      </c>
      <c r="D2666" s="1">
        <v>22456.0</v>
      </c>
      <c r="E2666" s="1" t="str">
        <f>IFERROR(__xludf.DUMMYFUNCTION("IF(LEN(D2666)&gt;4, IFERROR(REGEXEXTRACT(TO_TEXT(D2666),""\d+""),""""),"""")"),"22456")</f>
        <v>22456</v>
      </c>
      <c r="F2666" s="6" t="str">
        <f t="shared" si="3"/>
        <v>Product</v>
      </c>
      <c r="G2666" s="1" t="s">
        <v>793</v>
      </c>
      <c r="H2666" s="6" t="str">
        <f>IFERROR(__xludf.DUMMYFUNCTION("IF(REGEXMATCH(LOWER(G2666), ""^(\?)+\s*(missing)?\s*(\?)*$""), """", PROPER(SUBSTITUTE(SUBSTITUTE(G2666, ""?"", """"), ""*"", """")))"),"Natural Slate Chalkboard Large")</f>
        <v>Natural Slate Chalkboard Large</v>
      </c>
      <c r="I2666" s="3">
        <v>6.0</v>
      </c>
      <c r="J2666" s="7">
        <v>40599.44861111111</v>
      </c>
      <c r="K2666" s="8" t="str">
        <f t="shared" si="4"/>
        <v>2011-02</v>
      </c>
      <c r="L2666" s="5">
        <v>4.95</v>
      </c>
      <c r="M2666" s="3">
        <v>14541.0</v>
      </c>
      <c r="N2666" s="1" t="str">
        <f t="shared" si="5"/>
        <v>Registered</v>
      </c>
      <c r="O2666" s="1" t="s">
        <v>19</v>
      </c>
      <c r="P2666" s="9" t="str">
        <f t="shared" si="6"/>
        <v>UK</v>
      </c>
      <c r="Q2666" s="8">
        <f t="shared" si="7"/>
        <v>29.7</v>
      </c>
    </row>
    <row r="2667">
      <c r="A2667" s="1">
        <v>544945.0</v>
      </c>
      <c r="B2667" s="1" t="str">
        <f t="shared" si="1"/>
        <v>544945</v>
      </c>
      <c r="C2667" s="1" t="str">
        <f t="shared" si="2"/>
        <v>Sale</v>
      </c>
      <c r="D2667" s="1">
        <v>21586.0</v>
      </c>
      <c r="E2667" s="1" t="str">
        <f>IFERROR(__xludf.DUMMYFUNCTION("IF(LEN(D2667)&gt;4, IFERROR(REGEXEXTRACT(TO_TEXT(D2667),""\d+""),""""),"""")"),"21586")</f>
        <v>21586</v>
      </c>
      <c r="F2667" s="6" t="str">
        <f t="shared" si="3"/>
        <v>Product</v>
      </c>
      <c r="G2667" s="1" t="s">
        <v>548</v>
      </c>
      <c r="H2667" s="6" t="str">
        <f>IFERROR(__xludf.DUMMYFUNCTION("IF(REGEXMATCH(LOWER(G2667), ""^(\?)+\s*(missing)?\s*(\?)*$""), """", PROPER(SUBSTITUTE(SUBSTITUTE(G2667, ""?"", """"), ""*"", """")))"),"Kings Choice Giant Tube Matches")</f>
        <v>Kings Choice Giant Tube Matches</v>
      </c>
      <c r="I2667" s="3">
        <v>12.0</v>
      </c>
      <c r="J2667" s="7">
        <v>40599.45347222222</v>
      </c>
      <c r="K2667" s="8" t="str">
        <f t="shared" si="4"/>
        <v>2011-02</v>
      </c>
      <c r="L2667" s="5">
        <v>2.55</v>
      </c>
      <c r="M2667" s="3">
        <v>17735.0</v>
      </c>
      <c r="N2667" s="1" t="str">
        <f t="shared" si="5"/>
        <v>Registered</v>
      </c>
      <c r="O2667" s="1" t="s">
        <v>19</v>
      </c>
      <c r="P2667" s="9" t="str">
        <f t="shared" si="6"/>
        <v>UK</v>
      </c>
      <c r="Q2667" s="8">
        <f t="shared" si="7"/>
        <v>30.6</v>
      </c>
    </row>
    <row r="2668">
      <c r="A2668" s="1">
        <v>544945.0</v>
      </c>
      <c r="B2668" s="1" t="str">
        <f t="shared" si="1"/>
        <v>544945</v>
      </c>
      <c r="C2668" s="1" t="str">
        <f t="shared" si="2"/>
        <v>Sale</v>
      </c>
      <c r="D2668" s="1">
        <v>21592.0</v>
      </c>
      <c r="E2668" s="1" t="str">
        <f>IFERROR(__xludf.DUMMYFUNCTION("IF(LEN(D2668)&gt;4, IFERROR(REGEXEXTRACT(TO_TEXT(D2668),""\d+""),""""),"""")"),"21592")</f>
        <v>21592</v>
      </c>
      <c r="F2668" s="6" t="str">
        <f t="shared" si="3"/>
        <v>Product</v>
      </c>
      <c r="G2668" s="1" t="s">
        <v>315</v>
      </c>
      <c r="H2668" s="6" t="str">
        <f>IFERROR(__xludf.DUMMYFUNCTION("IF(REGEXMATCH(LOWER(G2668), ""^(\?)+\s*(missing)?\s*(\?)*$""), """", PROPER(SUBSTITUTE(SUBSTITUTE(G2668, ""?"", """"), ""*"", """")))"),"Retrospot Cigar Box Matches")</f>
        <v>Retrospot Cigar Box Matches</v>
      </c>
      <c r="I2668" s="3">
        <v>24.0</v>
      </c>
      <c r="J2668" s="7">
        <v>40599.45347222222</v>
      </c>
      <c r="K2668" s="8" t="str">
        <f t="shared" si="4"/>
        <v>2011-02</v>
      </c>
      <c r="L2668" s="5">
        <v>1.25</v>
      </c>
      <c r="M2668" s="3">
        <v>17735.0</v>
      </c>
      <c r="N2668" s="1" t="str">
        <f t="shared" si="5"/>
        <v>Registered</v>
      </c>
      <c r="O2668" s="1" t="s">
        <v>19</v>
      </c>
      <c r="P2668" s="9" t="str">
        <f t="shared" si="6"/>
        <v>UK</v>
      </c>
      <c r="Q2668" s="8">
        <f t="shared" si="7"/>
        <v>30</v>
      </c>
    </row>
    <row r="2669">
      <c r="A2669" s="1">
        <v>544945.0</v>
      </c>
      <c r="B2669" s="1" t="str">
        <f t="shared" si="1"/>
        <v>544945</v>
      </c>
      <c r="C2669" s="1" t="str">
        <f t="shared" si="2"/>
        <v>Sale</v>
      </c>
      <c r="D2669" s="1">
        <v>22477.0</v>
      </c>
      <c r="E2669" s="1" t="str">
        <f>IFERROR(__xludf.DUMMYFUNCTION("IF(LEN(D2669)&gt;4, IFERROR(REGEXEXTRACT(TO_TEXT(D2669),""\d+""),""""),"""")"),"22477")</f>
        <v>22477</v>
      </c>
      <c r="F2669" s="6" t="str">
        <f t="shared" si="3"/>
        <v>Product</v>
      </c>
      <c r="G2669" s="1" t="s">
        <v>1267</v>
      </c>
      <c r="H2669" s="6" t="str">
        <f>IFERROR(__xludf.DUMMYFUNCTION("IF(REGEXMATCH(LOWER(G2669), ""^(\?)+\s*(missing)?\s*(\?)*$""), """", PROPER(SUBSTITUTE(SUBSTITUTE(G2669, ""?"", """"), ""*"", """")))"),"Watering Can Garden Marker")</f>
        <v>Watering Can Garden Marker</v>
      </c>
      <c r="I2669" s="3">
        <v>10.0</v>
      </c>
      <c r="J2669" s="7">
        <v>40599.45347222222</v>
      </c>
      <c r="K2669" s="8" t="str">
        <f t="shared" si="4"/>
        <v>2011-02</v>
      </c>
      <c r="L2669" s="5">
        <v>1.25</v>
      </c>
      <c r="M2669" s="3">
        <v>17735.0</v>
      </c>
      <c r="N2669" s="1" t="str">
        <f t="shared" si="5"/>
        <v>Registered</v>
      </c>
      <c r="O2669" s="1" t="s">
        <v>19</v>
      </c>
      <c r="P2669" s="9" t="str">
        <f t="shared" si="6"/>
        <v>UK</v>
      </c>
      <c r="Q2669" s="8">
        <f t="shared" si="7"/>
        <v>12.5</v>
      </c>
    </row>
    <row r="2670">
      <c r="A2670" s="1">
        <v>544945.0</v>
      </c>
      <c r="B2670" s="1" t="str">
        <f t="shared" si="1"/>
        <v>544945</v>
      </c>
      <c r="C2670" s="1" t="str">
        <f t="shared" si="2"/>
        <v>Sale</v>
      </c>
      <c r="D2670" s="1">
        <v>22980.0</v>
      </c>
      <c r="E2670" s="1" t="str">
        <f>IFERROR(__xludf.DUMMYFUNCTION("IF(LEN(D2670)&gt;4, IFERROR(REGEXEXTRACT(TO_TEXT(D2670),""\d+""),""""),"""")"),"22980")</f>
        <v>22980</v>
      </c>
      <c r="F2670" s="6" t="str">
        <f t="shared" si="3"/>
        <v>Product</v>
      </c>
      <c r="G2670" s="1" t="s">
        <v>777</v>
      </c>
      <c r="H2670" s="6" t="str">
        <f>IFERROR(__xludf.DUMMYFUNCTION("IF(REGEXMATCH(LOWER(G2670), ""^(\?)+\s*(missing)?\s*(\?)*$""), """", PROPER(SUBSTITUTE(SUBSTITUTE(G2670, ""?"", """"), ""*"", """")))"),"Pantry Scrubbing Brush")</f>
        <v>Pantry Scrubbing Brush</v>
      </c>
      <c r="I2670" s="3">
        <v>12.0</v>
      </c>
      <c r="J2670" s="7">
        <v>40599.45347222222</v>
      </c>
      <c r="K2670" s="8" t="str">
        <f t="shared" si="4"/>
        <v>2011-02</v>
      </c>
      <c r="L2670" s="5">
        <v>1.65</v>
      </c>
      <c r="M2670" s="3">
        <v>17735.0</v>
      </c>
      <c r="N2670" s="1" t="str">
        <f t="shared" si="5"/>
        <v>Registered</v>
      </c>
      <c r="O2670" s="1" t="s">
        <v>19</v>
      </c>
      <c r="P2670" s="9" t="str">
        <f t="shared" si="6"/>
        <v>UK</v>
      </c>
      <c r="Q2670" s="8">
        <f t="shared" si="7"/>
        <v>19.8</v>
      </c>
    </row>
    <row r="2671">
      <c r="A2671" s="1">
        <v>544945.0</v>
      </c>
      <c r="B2671" s="1" t="str">
        <f t="shared" si="1"/>
        <v>544945</v>
      </c>
      <c r="C2671" s="1" t="str">
        <f t="shared" si="2"/>
        <v>Sale</v>
      </c>
      <c r="D2671" s="1">
        <v>22993.0</v>
      </c>
      <c r="E2671" s="1" t="str">
        <f>IFERROR(__xludf.DUMMYFUNCTION("IF(LEN(D2671)&gt;4, IFERROR(REGEXEXTRACT(TO_TEXT(D2671),""\d+""),""""),"""")"),"22993")</f>
        <v>22993</v>
      </c>
      <c r="F2671" s="6" t="str">
        <f t="shared" si="3"/>
        <v>Product</v>
      </c>
      <c r="G2671" s="1" t="s">
        <v>709</v>
      </c>
      <c r="H2671" s="6" t="str">
        <f>IFERROR(__xludf.DUMMYFUNCTION("IF(REGEXMATCH(LOWER(G2671), ""^(\?)+\s*(missing)?\s*(\?)*$""), """", PROPER(SUBSTITUTE(SUBSTITUTE(G2671, ""?"", """"), ""*"", """")))"),"Set Of 4 Pantry Jelly Moulds")</f>
        <v>Set Of 4 Pantry Jelly Moulds</v>
      </c>
      <c r="I2671" s="3">
        <v>12.0</v>
      </c>
      <c r="J2671" s="7">
        <v>40599.45347222222</v>
      </c>
      <c r="K2671" s="8" t="str">
        <f t="shared" si="4"/>
        <v>2011-02</v>
      </c>
      <c r="L2671" s="5">
        <v>1.25</v>
      </c>
      <c r="M2671" s="3">
        <v>17735.0</v>
      </c>
      <c r="N2671" s="1" t="str">
        <f t="shared" si="5"/>
        <v>Registered</v>
      </c>
      <c r="O2671" s="1" t="s">
        <v>19</v>
      </c>
      <c r="P2671" s="9" t="str">
        <f t="shared" si="6"/>
        <v>UK</v>
      </c>
      <c r="Q2671" s="8">
        <f t="shared" si="7"/>
        <v>15</v>
      </c>
    </row>
    <row r="2672">
      <c r="A2672" s="1">
        <v>544945.0</v>
      </c>
      <c r="B2672" s="1" t="str">
        <f t="shared" si="1"/>
        <v>544945</v>
      </c>
      <c r="C2672" s="1" t="str">
        <f t="shared" si="2"/>
        <v>Sale</v>
      </c>
      <c r="D2672" s="1" t="s">
        <v>907</v>
      </c>
      <c r="E2672" s="1" t="str">
        <f>IFERROR(__xludf.DUMMYFUNCTION("IF(LEN(D2672)&gt;4, IFERROR(REGEXEXTRACT(TO_TEXT(D2672),""\d+""),""""),"""")"),"85206")</f>
        <v>85206</v>
      </c>
      <c r="F2672" s="6" t="str">
        <f t="shared" si="3"/>
        <v>Product</v>
      </c>
      <c r="G2672" s="1" t="s">
        <v>908</v>
      </c>
      <c r="H2672" s="6" t="str">
        <f>IFERROR(__xludf.DUMMYFUNCTION("IF(REGEXMATCH(LOWER(G2672), ""^(\?)+\s*(missing)?\s*(\?)*$""), """", PROPER(SUBSTITUTE(SUBSTITUTE(G2672, ""?"", """"), ""*"", """")))"),"Cream Felt Easter Egg Basket")</f>
        <v>Cream Felt Easter Egg Basket</v>
      </c>
      <c r="I2672" s="3">
        <v>6.0</v>
      </c>
      <c r="J2672" s="7">
        <v>40599.45347222222</v>
      </c>
      <c r="K2672" s="8" t="str">
        <f t="shared" si="4"/>
        <v>2011-02</v>
      </c>
      <c r="L2672" s="5">
        <v>1.65</v>
      </c>
      <c r="M2672" s="3">
        <v>17735.0</v>
      </c>
      <c r="N2672" s="1" t="str">
        <f t="shared" si="5"/>
        <v>Registered</v>
      </c>
      <c r="O2672" s="1" t="s">
        <v>19</v>
      </c>
      <c r="P2672" s="9" t="str">
        <f t="shared" si="6"/>
        <v>UK</v>
      </c>
      <c r="Q2672" s="8">
        <f t="shared" si="7"/>
        <v>9.9</v>
      </c>
    </row>
    <row r="2673">
      <c r="A2673" s="1">
        <v>544945.0</v>
      </c>
      <c r="B2673" s="1" t="str">
        <f t="shared" si="1"/>
        <v>544945</v>
      </c>
      <c r="C2673" s="1" t="str">
        <f t="shared" si="2"/>
        <v>Sale</v>
      </c>
      <c r="D2673" s="1">
        <v>21382.0</v>
      </c>
      <c r="E2673" s="1" t="str">
        <f>IFERROR(__xludf.DUMMYFUNCTION("IF(LEN(D2673)&gt;4, IFERROR(REGEXEXTRACT(TO_TEXT(D2673),""\d+""),""""),"""")"),"21382")</f>
        <v>21382</v>
      </c>
      <c r="F2673" s="6" t="str">
        <f t="shared" si="3"/>
        <v>Product</v>
      </c>
      <c r="G2673" s="1" t="s">
        <v>1312</v>
      </c>
      <c r="H2673" s="6" t="str">
        <f>IFERROR(__xludf.DUMMYFUNCTION("IF(REGEXMATCH(LOWER(G2673), ""^(\?)+\s*(missing)?\s*(\?)*$""), """", PROPER(SUBSTITUTE(SUBSTITUTE(G2673, ""?"", """"), ""*"", """")))"),"Set/4 Spring Flower Decoration")</f>
        <v>Set/4 Spring Flower Decoration</v>
      </c>
      <c r="I2673" s="3">
        <v>6.0</v>
      </c>
      <c r="J2673" s="7">
        <v>40599.45347222222</v>
      </c>
      <c r="K2673" s="8" t="str">
        <f t="shared" si="4"/>
        <v>2011-02</v>
      </c>
      <c r="L2673" s="5">
        <v>2.95</v>
      </c>
      <c r="M2673" s="3">
        <v>17735.0</v>
      </c>
      <c r="N2673" s="1" t="str">
        <f t="shared" si="5"/>
        <v>Registered</v>
      </c>
      <c r="O2673" s="1" t="s">
        <v>19</v>
      </c>
      <c r="P2673" s="9" t="str">
        <f t="shared" si="6"/>
        <v>UK</v>
      </c>
      <c r="Q2673" s="8">
        <f t="shared" si="7"/>
        <v>17.7</v>
      </c>
    </row>
    <row r="2674">
      <c r="A2674" s="1">
        <v>544945.0</v>
      </c>
      <c r="B2674" s="1" t="str">
        <f t="shared" si="1"/>
        <v>544945</v>
      </c>
      <c r="C2674" s="1" t="str">
        <f t="shared" si="2"/>
        <v>Sale</v>
      </c>
      <c r="D2674" s="1" t="s">
        <v>1326</v>
      </c>
      <c r="E2674" s="1" t="str">
        <f>IFERROR(__xludf.DUMMYFUNCTION("IF(LEN(D2674)&gt;4, IFERROR(REGEXEXTRACT(TO_TEXT(D2674),""\d+""),""""),"""")"),"35910")</f>
        <v>35910</v>
      </c>
      <c r="F2674" s="6" t="str">
        <f t="shared" si="3"/>
        <v>Product</v>
      </c>
      <c r="G2674" s="1" t="s">
        <v>1327</v>
      </c>
      <c r="H2674" s="6" t="str">
        <f>IFERROR(__xludf.DUMMYFUNCTION("IF(REGEXMATCH(LOWER(G2674), ""^(\?)+\s*(missing)?\s*(\?)*$""), """", PROPER(SUBSTITUTE(SUBSTITUTE(G2674, ""?"", """"), ""*"", """")))"),"Multicolour Easter Rabbit")</f>
        <v>Multicolour Easter Rabbit</v>
      </c>
      <c r="I2674" s="3">
        <v>6.0</v>
      </c>
      <c r="J2674" s="7">
        <v>40599.45347222222</v>
      </c>
      <c r="K2674" s="8" t="str">
        <f t="shared" si="4"/>
        <v>2011-02</v>
      </c>
      <c r="L2674" s="5">
        <v>1.95</v>
      </c>
      <c r="M2674" s="3">
        <v>17735.0</v>
      </c>
      <c r="N2674" s="1" t="str">
        <f t="shared" si="5"/>
        <v>Registered</v>
      </c>
      <c r="O2674" s="1" t="s">
        <v>19</v>
      </c>
      <c r="P2674" s="9" t="str">
        <f t="shared" si="6"/>
        <v>UK</v>
      </c>
      <c r="Q2674" s="8">
        <f t="shared" si="7"/>
        <v>11.7</v>
      </c>
    </row>
    <row r="2675">
      <c r="A2675" s="1">
        <v>544945.0</v>
      </c>
      <c r="B2675" s="1" t="str">
        <f t="shared" si="1"/>
        <v>544945</v>
      </c>
      <c r="C2675" s="1" t="str">
        <f t="shared" si="2"/>
        <v>Sale</v>
      </c>
      <c r="D2675" s="1" t="s">
        <v>1328</v>
      </c>
      <c r="E2675" s="1" t="str">
        <f>IFERROR(__xludf.DUMMYFUNCTION("IF(LEN(D2675)&gt;4, IFERROR(REGEXEXTRACT(TO_TEXT(D2675),""\d+""),""""),"""")"),"35912")</f>
        <v>35912</v>
      </c>
      <c r="F2675" s="6" t="str">
        <f t="shared" si="3"/>
        <v>Product</v>
      </c>
      <c r="G2675" s="1" t="s">
        <v>1329</v>
      </c>
      <c r="H2675" s="6" t="str">
        <f>IFERROR(__xludf.DUMMYFUNCTION("IF(REGEXMATCH(LOWER(G2675), ""^(\?)+\s*(missing)?\s*(\?)*$""), """", PROPER(SUBSTITUTE(SUBSTITUTE(G2675, ""?"", """"), ""*"", """")))"),"White/Pink Chick Decoration")</f>
        <v>White/Pink Chick Decoration</v>
      </c>
      <c r="I2675" s="3">
        <v>12.0</v>
      </c>
      <c r="J2675" s="7">
        <v>40599.45347222222</v>
      </c>
      <c r="K2675" s="8" t="str">
        <f t="shared" si="4"/>
        <v>2011-02</v>
      </c>
      <c r="L2675" s="5">
        <v>1.25</v>
      </c>
      <c r="M2675" s="3">
        <v>17735.0</v>
      </c>
      <c r="N2675" s="1" t="str">
        <f t="shared" si="5"/>
        <v>Registered</v>
      </c>
      <c r="O2675" s="1" t="s">
        <v>19</v>
      </c>
      <c r="P2675" s="9" t="str">
        <f t="shared" si="6"/>
        <v>UK</v>
      </c>
      <c r="Q2675" s="8">
        <f t="shared" si="7"/>
        <v>15</v>
      </c>
    </row>
    <row r="2676">
      <c r="A2676" s="1">
        <v>544945.0</v>
      </c>
      <c r="B2676" s="1" t="str">
        <f t="shared" si="1"/>
        <v>544945</v>
      </c>
      <c r="C2676" s="1" t="str">
        <f t="shared" si="2"/>
        <v>Sale</v>
      </c>
      <c r="D2676" s="1">
        <v>85213.0</v>
      </c>
      <c r="E2676" s="1" t="str">
        <f>IFERROR(__xludf.DUMMYFUNCTION("IF(LEN(D2676)&gt;4, IFERROR(REGEXEXTRACT(TO_TEXT(D2676),""\d+""),""""),"""")"),"85213")</f>
        <v>85213</v>
      </c>
      <c r="F2676" s="6" t="str">
        <f t="shared" si="3"/>
        <v>Product</v>
      </c>
      <c r="G2676" s="1" t="s">
        <v>1330</v>
      </c>
      <c r="H2676" s="6" t="str">
        <f>IFERROR(__xludf.DUMMYFUNCTION("IF(REGEXMATCH(LOWER(G2676), ""^(\?)+\s*(missing)?\s*(\?)*$""), """", PROPER(SUBSTITUTE(SUBSTITUTE(G2676, ""?"", """"), ""*"", """")))"),"Mini Zinc Garden Decorations")</f>
        <v>Mini Zinc Garden Decorations</v>
      </c>
      <c r="I2676" s="3">
        <v>12.0</v>
      </c>
      <c r="J2676" s="7">
        <v>40599.45347222222</v>
      </c>
      <c r="K2676" s="8" t="str">
        <f t="shared" si="4"/>
        <v>2011-02</v>
      </c>
      <c r="L2676" s="5">
        <v>0.85</v>
      </c>
      <c r="M2676" s="3">
        <v>17735.0</v>
      </c>
      <c r="N2676" s="1" t="str">
        <f t="shared" si="5"/>
        <v>Registered</v>
      </c>
      <c r="O2676" s="1" t="s">
        <v>19</v>
      </c>
      <c r="P2676" s="9" t="str">
        <f t="shared" si="6"/>
        <v>UK</v>
      </c>
      <c r="Q2676" s="8">
        <f t="shared" si="7"/>
        <v>10.2</v>
      </c>
    </row>
    <row r="2677">
      <c r="A2677" s="1">
        <v>544945.0</v>
      </c>
      <c r="B2677" s="1" t="str">
        <f t="shared" si="1"/>
        <v>544945</v>
      </c>
      <c r="C2677" s="1" t="str">
        <f t="shared" si="2"/>
        <v>Sale</v>
      </c>
      <c r="D2677" s="1">
        <v>85212.0</v>
      </c>
      <c r="E2677" s="1" t="str">
        <f>IFERROR(__xludf.DUMMYFUNCTION("IF(LEN(D2677)&gt;4, IFERROR(REGEXEXTRACT(TO_TEXT(D2677),""\d+""),""""),"""")"),"85212")</f>
        <v>85212</v>
      </c>
      <c r="F2677" s="6" t="str">
        <f t="shared" si="3"/>
        <v>Product</v>
      </c>
      <c r="G2677" s="1" t="s">
        <v>1331</v>
      </c>
      <c r="H2677" s="6" t="str">
        <f>IFERROR(__xludf.DUMMYFUNCTION("IF(REGEXMATCH(LOWER(G2677), ""^(\?)+\s*(missing)?\s*(\?)*$""), """", PROPER(SUBSTITUTE(SUBSTITUTE(G2677, ""?"", """"), ""*"", """")))"),"Mini Painted Garden Decoration")</f>
        <v>Mini Painted Garden Decoration</v>
      </c>
      <c r="I2677" s="3">
        <v>12.0</v>
      </c>
      <c r="J2677" s="7">
        <v>40599.45347222222</v>
      </c>
      <c r="K2677" s="8" t="str">
        <f t="shared" si="4"/>
        <v>2011-02</v>
      </c>
      <c r="L2677" s="5">
        <v>0.85</v>
      </c>
      <c r="M2677" s="3">
        <v>17735.0</v>
      </c>
      <c r="N2677" s="1" t="str">
        <f t="shared" si="5"/>
        <v>Registered</v>
      </c>
      <c r="O2677" s="1" t="s">
        <v>19</v>
      </c>
      <c r="P2677" s="9" t="str">
        <f t="shared" si="6"/>
        <v>UK</v>
      </c>
      <c r="Q2677" s="8">
        <f t="shared" si="7"/>
        <v>10.2</v>
      </c>
    </row>
    <row r="2678">
      <c r="A2678" s="1">
        <v>544945.0</v>
      </c>
      <c r="B2678" s="1" t="str">
        <f t="shared" si="1"/>
        <v>544945</v>
      </c>
      <c r="C2678" s="1" t="str">
        <f t="shared" si="2"/>
        <v>Sale</v>
      </c>
      <c r="D2678" s="1">
        <v>22441.0</v>
      </c>
      <c r="E2678" s="1" t="str">
        <f>IFERROR(__xludf.DUMMYFUNCTION("IF(LEN(D2678)&gt;4, IFERROR(REGEXEXTRACT(TO_TEXT(D2678),""\d+""),""""),"""")"),"22441")</f>
        <v>22441</v>
      </c>
      <c r="F2678" s="6" t="str">
        <f t="shared" si="3"/>
        <v>Product</v>
      </c>
      <c r="G2678" s="1" t="s">
        <v>301</v>
      </c>
      <c r="H2678" s="6" t="str">
        <f>IFERROR(__xludf.DUMMYFUNCTION("IF(REGEXMATCH(LOWER(G2678), ""^(\?)+\s*(missing)?\s*(\?)*$""), """", PROPER(SUBSTITUTE(SUBSTITUTE(G2678, ""?"", """"), ""*"", """")))"),"Grow Your Own Basil In Enamel Mug")</f>
        <v>Grow Your Own Basil In Enamel Mug</v>
      </c>
      <c r="I2678" s="3">
        <v>8.0</v>
      </c>
      <c r="J2678" s="7">
        <v>40599.45347222222</v>
      </c>
      <c r="K2678" s="8" t="str">
        <f t="shared" si="4"/>
        <v>2011-02</v>
      </c>
      <c r="L2678" s="5">
        <v>2.1</v>
      </c>
      <c r="M2678" s="3">
        <v>17735.0</v>
      </c>
      <c r="N2678" s="1" t="str">
        <f t="shared" si="5"/>
        <v>Registered</v>
      </c>
      <c r="O2678" s="1" t="s">
        <v>19</v>
      </c>
      <c r="P2678" s="9" t="str">
        <f t="shared" si="6"/>
        <v>UK</v>
      </c>
      <c r="Q2678" s="8">
        <f t="shared" si="7"/>
        <v>16.8</v>
      </c>
    </row>
    <row r="2679">
      <c r="A2679" s="1">
        <v>544945.0</v>
      </c>
      <c r="B2679" s="1" t="str">
        <f t="shared" si="1"/>
        <v>544945</v>
      </c>
      <c r="C2679" s="1" t="str">
        <f t="shared" si="2"/>
        <v>Sale</v>
      </c>
      <c r="D2679" s="1" t="s">
        <v>1332</v>
      </c>
      <c r="E2679" s="1" t="str">
        <f>IFERROR(__xludf.DUMMYFUNCTION("IF(LEN(D2679)&gt;4, IFERROR(REGEXEXTRACT(TO_TEXT(D2679),""\d+""),""""),"""")"),"84809")</f>
        <v>84809</v>
      </c>
      <c r="F2679" s="6" t="str">
        <f t="shared" si="3"/>
        <v>Product</v>
      </c>
      <c r="G2679" s="1" t="s">
        <v>1333</v>
      </c>
      <c r="H2679" s="6" t="str">
        <f>IFERROR(__xludf.DUMMYFUNCTION("IF(REGEXMATCH(LOWER(G2679), ""^(\?)+\s*(missing)?\s*(\?)*$""), """", PROPER(SUBSTITUTE(SUBSTITUTE(G2679, ""?"", """"), ""*"", """")))"),"Pink Chrysanthemums Art Flower")</f>
        <v>Pink Chrysanthemums Art Flower</v>
      </c>
      <c r="I2679" s="3">
        <v>18.0</v>
      </c>
      <c r="J2679" s="7">
        <v>40599.45347222222</v>
      </c>
      <c r="K2679" s="8" t="str">
        <f t="shared" si="4"/>
        <v>2011-02</v>
      </c>
      <c r="L2679" s="5">
        <v>2.1</v>
      </c>
      <c r="M2679" s="3">
        <v>17735.0</v>
      </c>
      <c r="N2679" s="1" t="str">
        <f t="shared" si="5"/>
        <v>Registered</v>
      </c>
      <c r="O2679" s="1" t="s">
        <v>19</v>
      </c>
      <c r="P2679" s="9" t="str">
        <f t="shared" si="6"/>
        <v>UK</v>
      </c>
      <c r="Q2679" s="8">
        <f t="shared" si="7"/>
        <v>37.8</v>
      </c>
    </row>
    <row r="2680">
      <c r="A2680" s="1">
        <v>544945.0</v>
      </c>
      <c r="B2680" s="1" t="str">
        <f t="shared" si="1"/>
        <v>544945</v>
      </c>
      <c r="C2680" s="1" t="str">
        <f t="shared" si="2"/>
        <v>Sale</v>
      </c>
      <c r="D2680" s="1" t="s">
        <v>1334</v>
      </c>
      <c r="E2680" s="1" t="str">
        <f>IFERROR(__xludf.DUMMYFUNCTION("IF(LEN(D2680)&gt;4, IFERROR(REGEXEXTRACT(TO_TEXT(D2680),""\d+""),""""),"""")"),"84800")</f>
        <v>84800</v>
      </c>
      <c r="F2680" s="6" t="str">
        <f t="shared" si="3"/>
        <v>Product</v>
      </c>
      <c r="G2680" s="1" t="s">
        <v>1335</v>
      </c>
      <c r="H2680" s="6" t="str">
        <f>IFERROR(__xludf.DUMMYFUNCTION("IF(REGEXMATCH(LOWER(G2680), ""^(\?)+\s*(missing)?\s*(\?)*$""), """", PROPER(SUBSTITUTE(SUBSTITUTE(G2680, ""?"", """"), ""*"", """")))"),"Large White/Pink Rose Art Flower")</f>
        <v>Large White/Pink Rose Art Flower</v>
      </c>
      <c r="I2680" s="3">
        <v>24.0</v>
      </c>
      <c r="J2680" s="7">
        <v>40599.45347222222</v>
      </c>
      <c r="K2680" s="8" t="str">
        <f t="shared" si="4"/>
        <v>2011-02</v>
      </c>
      <c r="L2680" s="5">
        <v>1.69</v>
      </c>
      <c r="M2680" s="3">
        <v>17735.0</v>
      </c>
      <c r="N2680" s="1" t="str">
        <f t="shared" si="5"/>
        <v>Registered</v>
      </c>
      <c r="O2680" s="1" t="s">
        <v>19</v>
      </c>
      <c r="P2680" s="9" t="str">
        <f t="shared" si="6"/>
        <v>UK</v>
      </c>
      <c r="Q2680" s="8">
        <f t="shared" si="7"/>
        <v>40.56</v>
      </c>
    </row>
    <row r="2681">
      <c r="A2681" s="1">
        <v>544945.0</v>
      </c>
      <c r="B2681" s="1" t="str">
        <f t="shared" si="1"/>
        <v>544945</v>
      </c>
      <c r="C2681" s="1" t="str">
        <f t="shared" si="2"/>
        <v>Sale</v>
      </c>
      <c r="D2681" s="1" t="s">
        <v>1336</v>
      </c>
      <c r="E2681" s="1" t="str">
        <f>IFERROR(__xludf.DUMMYFUNCTION("IF(LEN(D2681)&gt;4, IFERROR(REGEXEXTRACT(TO_TEXT(D2681),""\d+""),""""),"""")"),"84800")</f>
        <v>84800</v>
      </c>
      <c r="F2681" s="6" t="str">
        <f t="shared" si="3"/>
        <v>Product</v>
      </c>
      <c r="G2681" s="1" t="s">
        <v>1337</v>
      </c>
      <c r="H2681" s="6" t="str">
        <f>IFERROR(__xludf.DUMMYFUNCTION("IF(REGEXMATCH(LOWER(G2681), ""^(\?)+\s*(missing)?\s*(\?)*$""), """", PROPER(SUBSTITUTE(SUBSTITUTE(G2681, ""?"", """"), ""*"", """")))"),"Medium White/Pink Rose Art Flower")</f>
        <v>Medium White/Pink Rose Art Flower</v>
      </c>
      <c r="I2681" s="3">
        <v>24.0</v>
      </c>
      <c r="J2681" s="7">
        <v>40599.45347222222</v>
      </c>
      <c r="K2681" s="8" t="str">
        <f t="shared" si="4"/>
        <v>2011-02</v>
      </c>
      <c r="L2681" s="5">
        <v>1.27</v>
      </c>
      <c r="M2681" s="3">
        <v>17735.0</v>
      </c>
      <c r="N2681" s="1" t="str">
        <f t="shared" si="5"/>
        <v>Registered</v>
      </c>
      <c r="O2681" s="1" t="s">
        <v>19</v>
      </c>
      <c r="P2681" s="9" t="str">
        <f t="shared" si="6"/>
        <v>UK</v>
      </c>
      <c r="Q2681" s="8">
        <f t="shared" si="7"/>
        <v>30.48</v>
      </c>
    </row>
    <row r="2682">
      <c r="A2682" s="1">
        <v>544945.0</v>
      </c>
      <c r="B2682" s="1" t="str">
        <f t="shared" si="1"/>
        <v>544945</v>
      </c>
      <c r="C2682" s="1" t="str">
        <f t="shared" si="2"/>
        <v>Sale</v>
      </c>
      <c r="D2682" s="1">
        <v>84375.0</v>
      </c>
      <c r="E2682" s="1" t="str">
        <f>IFERROR(__xludf.DUMMYFUNCTION("IF(LEN(D2682)&gt;4, IFERROR(REGEXEXTRACT(TO_TEXT(D2682),""\d+""),""""),"""")"),"84375")</f>
        <v>84375</v>
      </c>
      <c r="F2682" s="6" t="str">
        <f t="shared" si="3"/>
        <v>Product</v>
      </c>
      <c r="G2682" s="1" t="s">
        <v>367</v>
      </c>
      <c r="H2682" s="6" t="str">
        <f>IFERROR(__xludf.DUMMYFUNCTION("IF(REGEXMATCH(LOWER(G2682), ""^(\?)+\s*(missing)?\s*(\?)*$""), """", PROPER(SUBSTITUTE(SUBSTITUTE(G2682, ""?"", """"), ""*"", """")))"),"Set Of 20 Kids Cookie Cutters")</f>
        <v>Set Of 20 Kids Cookie Cutters</v>
      </c>
      <c r="I2682" s="3">
        <v>12.0</v>
      </c>
      <c r="J2682" s="7">
        <v>40599.45347222222</v>
      </c>
      <c r="K2682" s="8" t="str">
        <f t="shared" si="4"/>
        <v>2011-02</v>
      </c>
      <c r="L2682" s="5">
        <v>2.1</v>
      </c>
      <c r="M2682" s="3">
        <v>17735.0</v>
      </c>
      <c r="N2682" s="1" t="str">
        <f t="shared" si="5"/>
        <v>Registered</v>
      </c>
      <c r="O2682" s="1" t="s">
        <v>19</v>
      </c>
      <c r="P2682" s="9" t="str">
        <f t="shared" si="6"/>
        <v>UK</v>
      </c>
      <c r="Q2682" s="8">
        <f t="shared" si="7"/>
        <v>25.2</v>
      </c>
    </row>
    <row r="2683">
      <c r="A2683" s="1">
        <v>544945.0</v>
      </c>
      <c r="B2683" s="1" t="str">
        <f t="shared" si="1"/>
        <v>544945</v>
      </c>
      <c r="C2683" s="1" t="str">
        <f t="shared" si="2"/>
        <v>Sale</v>
      </c>
      <c r="D2683" s="1">
        <v>22932.0</v>
      </c>
      <c r="E2683" s="1" t="str">
        <f>IFERROR(__xludf.DUMMYFUNCTION("IF(LEN(D2683)&gt;4, IFERROR(REGEXEXTRACT(TO_TEXT(D2683),""\d+""),""""),"""")"),"22932")</f>
        <v>22932</v>
      </c>
      <c r="F2683" s="6" t="str">
        <f t="shared" si="3"/>
        <v>Product</v>
      </c>
      <c r="G2683" s="1" t="s">
        <v>802</v>
      </c>
      <c r="H2683" s="6" t="str">
        <f>IFERROR(__xludf.DUMMYFUNCTION("IF(REGEXMATCH(LOWER(G2683), ""^(\?)+\s*(missing)?\s*(\?)*$""), """", PROPER(SUBSTITUTE(SUBSTITUTE(G2683, ""?"", """"), ""*"", """")))"),"Baking Mould Toffee Cup Chocolate")</f>
        <v>Baking Mould Toffee Cup Chocolate</v>
      </c>
      <c r="I2683" s="3">
        <v>6.0</v>
      </c>
      <c r="J2683" s="7">
        <v>40599.45347222222</v>
      </c>
      <c r="K2683" s="8" t="str">
        <f t="shared" si="4"/>
        <v>2011-02</v>
      </c>
      <c r="L2683" s="5">
        <v>2.55</v>
      </c>
      <c r="M2683" s="3">
        <v>17735.0</v>
      </c>
      <c r="N2683" s="1" t="str">
        <f t="shared" si="5"/>
        <v>Registered</v>
      </c>
      <c r="O2683" s="1" t="s">
        <v>19</v>
      </c>
      <c r="P2683" s="9" t="str">
        <f t="shared" si="6"/>
        <v>UK</v>
      </c>
      <c r="Q2683" s="8">
        <f t="shared" si="7"/>
        <v>15.3</v>
      </c>
    </row>
    <row r="2684">
      <c r="A2684" s="1">
        <v>544945.0</v>
      </c>
      <c r="B2684" s="1" t="str">
        <f t="shared" si="1"/>
        <v>544945</v>
      </c>
      <c r="C2684" s="1" t="str">
        <f t="shared" si="2"/>
        <v>Sale</v>
      </c>
      <c r="D2684" s="1">
        <v>22501.0</v>
      </c>
      <c r="E2684" s="1" t="str">
        <f>IFERROR(__xludf.DUMMYFUNCTION("IF(LEN(D2684)&gt;4, IFERROR(REGEXEXTRACT(TO_TEXT(D2684),""\d+""),""""),"""")"),"22501")</f>
        <v>22501</v>
      </c>
      <c r="F2684" s="6" t="str">
        <f t="shared" si="3"/>
        <v>Product</v>
      </c>
      <c r="G2684" s="1" t="s">
        <v>795</v>
      </c>
      <c r="H2684" s="6" t="str">
        <f>IFERROR(__xludf.DUMMYFUNCTION("IF(REGEXMATCH(LOWER(G2684), ""^(\?)+\s*(missing)?\s*(\?)*$""), """", PROPER(SUBSTITUTE(SUBSTITUTE(G2684, ""?"", """"), ""*"", """")))"),"Picnic Basket Wicker Large")</f>
        <v>Picnic Basket Wicker Large</v>
      </c>
      <c r="I2684" s="3">
        <v>2.0</v>
      </c>
      <c r="J2684" s="7">
        <v>40599.45347222222</v>
      </c>
      <c r="K2684" s="8" t="str">
        <f t="shared" si="4"/>
        <v>2011-02</v>
      </c>
      <c r="L2684" s="5">
        <v>9.95</v>
      </c>
      <c r="M2684" s="3">
        <v>17735.0</v>
      </c>
      <c r="N2684" s="1" t="str">
        <f t="shared" si="5"/>
        <v>Registered</v>
      </c>
      <c r="O2684" s="1" t="s">
        <v>19</v>
      </c>
      <c r="P2684" s="9" t="str">
        <f t="shared" si="6"/>
        <v>UK</v>
      </c>
      <c r="Q2684" s="8">
        <f t="shared" si="7"/>
        <v>19.9</v>
      </c>
    </row>
    <row r="2685">
      <c r="A2685" s="1">
        <v>544945.0</v>
      </c>
      <c r="B2685" s="1" t="str">
        <f t="shared" si="1"/>
        <v>544945</v>
      </c>
      <c r="C2685" s="1" t="str">
        <f t="shared" si="2"/>
        <v>Sale</v>
      </c>
      <c r="D2685" s="1">
        <v>22283.0</v>
      </c>
      <c r="E2685" s="1" t="str">
        <f>IFERROR(__xludf.DUMMYFUNCTION("IF(LEN(D2685)&gt;4, IFERROR(REGEXEXTRACT(TO_TEXT(D2685),""\d+""),""""),"""")"),"22283")</f>
        <v>22283</v>
      </c>
      <c r="F2685" s="6" t="str">
        <f t="shared" si="3"/>
        <v>Product</v>
      </c>
      <c r="G2685" s="1" t="s">
        <v>1338</v>
      </c>
      <c r="H2685" s="6" t="str">
        <f>IFERROR(__xludf.DUMMYFUNCTION("IF(REGEXMATCH(LOWER(G2685), ""^(\?)+\s*(missing)?\s*(\?)*$""), """", PROPER(SUBSTITUTE(SUBSTITUTE(G2685, ""?"", """"), ""*"", """")))"),"6 Egg House Painted Wood")</f>
        <v>6 Egg House Painted Wood</v>
      </c>
      <c r="I2685" s="3">
        <v>2.0</v>
      </c>
      <c r="J2685" s="7">
        <v>40599.45347222222</v>
      </c>
      <c r="K2685" s="8" t="str">
        <f t="shared" si="4"/>
        <v>2011-02</v>
      </c>
      <c r="L2685" s="5">
        <v>7.95</v>
      </c>
      <c r="M2685" s="3">
        <v>17735.0</v>
      </c>
      <c r="N2685" s="1" t="str">
        <f t="shared" si="5"/>
        <v>Registered</v>
      </c>
      <c r="O2685" s="1" t="s">
        <v>19</v>
      </c>
      <c r="P2685" s="9" t="str">
        <f t="shared" si="6"/>
        <v>UK</v>
      </c>
      <c r="Q2685" s="8">
        <f t="shared" si="7"/>
        <v>15.9</v>
      </c>
    </row>
    <row r="2686">
      <c r="A2686" s="1">
        <v>544945.0</v>
      </c>
      <c r="B2686" s="1" t="str">
        <f t="shared" si="1"/>
        <v>544945</v>
      </c>
      <c r="C2686" s="1" t="str">
        <f t="shared" si="2"/>
        <v>Sale</v>
      </c>
      <c r="D2686" s="1">
        <v>21397.0</v>
      </c>
      <c r="E2686" s="1" t="str">
        <f>IFERROR(__xludf.DUMMYFUNCTION("IF(LEN(D2686)&gt;4, IFERROR(REGEXEXTRACT(TO_TEXT(D2686),""\d+""),""""),"""")"),"21397")</f>
        <v>21397</v>
      </c>
      <c r="F2686" s="6" t="str">
        <f t="shared" si="3"/>
        <v>Product</v>
      </c>
      <c r="G2686" s="1" t="s">
        <v>1339</v>
      </c>
      <c r="H2686" s="6" t="str">
        <f>IFERROR(__xludf.DUMMYFUNCTION("IF(REGEXMATCH(LOWER(G2686), ""^(\?)+\s*(missing)?\s*(\?)*$""), """", PROPER(SUBSTITUTE(SUBSTITUTE(G2686, ""?"", """"), ""*"", """")))"),"Blue Polkadot Egg Cup")</f>
        <v>Blue Polkadot Egg Cup</v>
      </c>
      <c r="I2686" s="3">
        <v>12.0</v>
      </c>
      <c r="J2686" s="7">
        <v>40599.45347222222</v>
      </c>
      <c r="K2686" s="8" t="str">
        <f t="shared" si="4"/>
        <v>2011-02</v>
      </c>
      <c r="L2686" s="5">
        <v>1.25</v>
      </c>
      <c r="M2686" s="3">
        <v>17735.0</v>
      </c>
      <c r="N2686" s="1" t="str">
        <f t="shared" si="5"/>
        <v>Registered</v>
      </c>
      <c r="O2686" s="1" t="s">
        <v>19</v>
      </c>
      <c r="P2686" s="9" t="str">
        <f t="shared" si="6"/>
        <v>UK</v>
      </c>
      <c r="Q2686" s="8">
        <f t="shared" si="7"/>
        <v>15</v>
      </c>
    </row>
    <row r="2687">
      <c r="A2687" s="1">
        <v>544945.0</v>
      </c>
      <c r="B2687" s="1" t="str">
        <f t="shared" si="1"/>
        <v>544945</v>
      </c>
      <c r="C2687" s="1" t="str">
        <f t="shared" si="2"/>
        <v>Sale</v>
      </c>
      <c r="D2687" s="1">
        <v>21403.0</v>
      </c>
      <c r="E2687" s="1" t="str">
        <f>IFERROR(__xludf.DUMMYFUNCTION("IF(LEN(D2687)&gt;4, IFERROR(REGEXEXTRACT(TO_TEXT(D2687),""\d+""),""""),"""")"),"21403")</f>
        <v>21403</v>
      </c>
      <c r="F2687" s="6" t="str">
        <f t="shared" si="3"/>
        <v>Product</v>
      </c>
      <c r="G2687" s="1" t="s">
        <v>1340</v>
      </c>
      <c r="H2687" s="6" t="str">
        <f>IFERROR(__xludf.DUMMYFUNCTION("IF(REGEXMATCH(LOWER(G2687), ""^(\?)+\s*(missing)?\s*(\?)*$""), """", PROPER(SUBSTITUTE(SUBSTITUTE(G2687, ""?"", """"), ""*"", """")))"),"Blue Egg Spoon")</f>
        <v>Blue Egg Spoon</v>
      </c>
      <c r="I2687" s="3">
        <v>12.0</v>
      </c>
      <c r="J2687" s="7">
        <v>40599.45347222222</v>
      </c>
      <c r="K2687" s="8" t="str">
        <f t="shared" si="4"/>
        <v>2011-02</v>
      </c>
      <c r="L2687" s="5">
        <v>0.42</v>
      </c>
      <c r="M2687" s="3">
        <v>17735.0</v>
      </c>
      <c r="N2687" s="1" t="str">
        <f t="shared" si="5"/>
        <v>Registered</v>
      </c>
      <c r="O2687" s="1" t="s">
        <v>19</v>
      </c>
      <c r="P2687" s="9" t="str">
        <f t="shared" si="6"/>
        <v>UK</v>
      </c>
      <c r="Q2687" s="8">
        <f t="shared" si="7"/>
        <v>5.04</v>
      </c>
    </row>
    <row r="2688">
      <c r="A2688" s="1">
        <v>544945.0</v>
      </c>
      <c r="B2688" s="1" t="str">
        <f t="shared" si="1"/>
        <v>544945</v>
      </c>
      <c r="C2688" s="1" t="str">
        <f t="shared" si="2"/>
        <v>Sale</v>
      </c>
      <c r="D2688" s="1">
        <v>22021.0</v>
      </c>
      <c r="E2688" s="1" t="str">
        <f>IFERROR(__xludf.DUMMYFUNCTION("IF(LEN(D2688)&gt;4, IFERROR(REGEXEXTRACT(TO_TEXT(D2688),""\d+""),""""),"""")"),"22021")</f>
        <v>22021</v>
      </c>
      <c r="F2688" s="6" t="str">
        <f t="shared" si="3"/>
        <v>Product</v>
      </c>
      <c r="G2688" s="1" t="s">
        <v>1157</v>
      </c>
      <c r="H2688" s="6" t="str">
        <f>IFERROR(__xludf.DUMMYFUNCTION("IF(REGEXMATCH(LOWER(G2688), ""^(\?)+\s*(missing)?\s*(\?)*$""), """", PROPER(SUBSTITUTE(SUBSTITUTE(G2688, ""?"", """"), ""*"", """")))"),"Blue Felt Easter Egg Basket")</f>
        <v>Blue Felt Easter Egg Basket</v>
      </c>
      <c r="I2688" s="3">
        <v>6.0</v>
      </c>
      <c r="J2688" s="7">
        <v>40599.45347222222</v>
      </c>
      <c r="K2688" s="8" t="str">
        <f t="shared" si="4"/>
        <v>2011-02</v>
      </c>
      <c r="L2688" s="5">
        <v>1.65</v>
      </c>
      <c r="M2688" s="3">
        <v>17735.0</v>
      </c>
      <c r="N2688" s="1" t="str">
        <f t="shared" si="5"/>
        <v>Registered</v>
      </c>
      <c r="O2688" s="1" t="s">
        <v>19</v>
      </c>
      <c r="P2688" s="9" t="str">
        <f t="shared" si="6"/>
        <v>UK</v>
      </c>
      <c r="Q2688" s="8">
        <f t="shared" si="7"/>
        <v>9.9</v>
      </c>
    </row>
    <row r="2689">
      <c r="A2689" s="1">
        <v>544945.0</v>
      </c>
      <c r="B2689" s="1" t="str">
        <f t="shared" si="1"/>
        <v>544945</v>
      </c>
      <c r="C2689" s="1" t="str">
        <f t="shared" si="2"/>
        <v>Sale</v>
      </c>
      <c r="D2689" s="1">
        <v>22470.0</v>
      </c>
      <c r="E2689" s="1" t="str">
        <f>IFERROR(__xludf.DUMMYFUNCTION("IF(LEN(D2689)&gt;4, IFERROR(REGEXEXTRACT(TO_TEXT(D2689),""\d+""),""""),"""")"),"22470")</f>
        <v>22470</v>
      </c>
      <c r="F2689" s="6" t="str">
        <f t="shared" si="3"/>
        <v>Product</v>
      </c>
      <c r="G2689" s="1" t="s">
        <v>168</v>
      </c>
      <c r="H2689" s="6" t="str">
        <f>IFERROR(__xludf.DUMMYFUNCTION("IF(REGEXMATCH(LOWER(G2689), ""^(\?)+\s*(missing)?\s*(\?)*$""), """", PROPER(SUBSTITUTE(SUBSTITUTE(G2689, ""?"", """"), ""*"", """")))"),"Heart Of Wicker Large")</f>
        <v>Heart Of Wicker Large</v>
      </c>
      <c r="I2689" s="3">
        <v>12.0</v>
      </c>
      <c r="J2689" s="7">
        <v>40599.45347222222</v>
      </c>
      <c r="K2689" s="8" t="str">
        <f t="shared" si="4"/>
        <v>2011-02</v>
      </c>
      <c r="L2689" s="5">
        <v>2.95</v>
      </c>
      <c r="M2689" s="3">
        <v>17735.0</v>
      </c>
      <c r="N2689" s="1" t="str">
        <f t="shared" si="5"/>
        <v>Registered</v>
      </c>
      <c r="O2689" s="1" t="s">
        <v>19</v>
      </c>
      <c r="P2689" s="9" t="str">
        <f t="shared" si="6"/>
        <v>UK</v>
      </c>
      <c r="Q2689" s="8">
        <f t="shared" si="7"/>
        <v>35.4</v>
      </c>
    </row>
    <row r="2690">
      <c r="A2690" s="1">
        <v>544945.0</v>
      </c>
      <c r="B2690" s="1" t="str">
        <f t="shared" si="1"/>
        <v>544945</v>
      </c>
      <c r="C2690" s="1" t="str">
        <f t="shared" si="2"/>
        <v>Sale</v>
      </c>
      <c r="D2690" s="1">
        <v>22694.0</v>
      </c>
      <c r="E2690" s="1" t="str">
        <f>IFERROR(__xludf.DUMMYFUNCTION("IF(LEN(D2690)&gt;4, IFERROR(REGEXEXTRACT(TO_TEXT(D2690),""\d+""),""""),"""")"),"22694")</f>
        <v>22694</v>
      </c>
      <c r="F2690" s="6" t="str">
        <f t="shared" si="3"/>
        <v>Product</v>
      </c>
      <c r="G2690" s="1" t="s">
        <v>476</v>
      </c>
      <c r="H2690" s="6" t="str">
        <f>IFERROR(__xludf.DUMMYFUNCTION("IF(REGEXMATCH(LOWER(G2690), ""^(\?)+\s*(missing)?\s*(\?)*$""), """", PROPER(SUBSTITUTE(SUBSTITUTE(G2690, ""?"", """"), ""*"", """")))"),"Wicker Star")</f>
        <v>Wicker Star</v>
      </c>
      <c r="I2690" s="3">
        <v>6.0</v>
      </c>
      <c r="J2690" s="7">
        <v>40599.45347222222</v>
      </c>
      <c r="K2690" s="8" t="str">
        <f t="shared" si="4"/>
        <v>2011-02</v>
      </c>
      <c r="L2690" s="5">
        <v>2.1</v>
      </c>
      <c r="M2690" s="3">
        <v>17735.0</v>
      </c>
      <c r="N2690" s="1" t="str">
        <f t="shared" si="5"/>
        <v>Registered</v>
      </c>
      <c r="O2690" s="1" t="s">
        <v>19</v>
      </c>
      <c r="P2690" s="9" t="str">
        <f t="shared" si="6"/>
        <v>UK</v>
      </c>
      <c r="Q2690" s="8">
        <f t="shared" si="7"/>
        <v>12.6</v>
      </c>
    </row>
    <row r="2691">
      <c r="A2691" s="1">
        <v>544945.0</v>
      </c>
      <c r="B2691" s="1" t="str">
        <f t="shared" si="1"/>
        <v>544945</v>
      </c>
      <c r="C2691" s="1" t="str">
        <f t="shared" si="2"/>
        <v>Sale</v>
      </c>
      <c r="D2691" s="1">
        <v>22667.0</v>
      </c>
      <c r="E2691" s="1" t="str">
        <f>IFERROR(__xludf.DUMMYFUNCTION("IF(LEN(D2691)&gt;4, IFERROR(REGEXEXTRACT(TO_TEXT(D2691),""\d+""),""""),"""")"),"22667")</f>
        <v>22667</v>
      </c>
      <c r="F2691" s="6" t="str">
        <f t="shared" si="3"/>
        <v>Product</v>
      </c>
      <c r="G2691" s="1" t="s">
        <v>1004</v>
      </c>
      <c r="H2691" s="6" t="str">
        <f>IFERROR(__xludf.DUMMYFUNCTION("IF(REGEXMATCH(LOWER(G2691), ""^(\?)+\s*(missing)?\s*(\?)*$""), """", PROPER(SUBSTITUTE(SUBSTITUTE(G2691, ""?"", """"), ""*"", """")))"),"Recipe Box Retrospot")</f>
        <v>Recipe Box Retrospot</v>
      </c>
      <c r="I2691" s="3">
        <v>6.0</v>
      </c>
      <c r="J2691" s="7">
        <v>40599.45347222222</v>
      </c>
      <c r="K2691" s="8" t="str">
        <f t="shared" si="4"/>
        <v>2011-02</v>
      </c>
      <c r="L2691" s="5">
        <v>2.95</v>
      </c>
      <c r="M2691" s="3">
        <v>17735.0</v>
      </c>
      <c r="N2691" s="1" t="str">
        <f t="shared" si="5"/>
        <v>Registered</v>
      </c>
      <c r="O2691" s="1" t="s">
        <v>19</v>
      </c>
      <c r="P2691" s="9" t="str">
        <f t="shared" si="6"/>
        <v>UK</v>
      </c>
      <c r="Q2691" s="8">
        <f t="shared" si="7"/>
        <v>17.7</v>
      </c>
    </row>
    <row r="2692">
      <c r="A2692" s="1">
        <v>544945.0</v>
      </c>
      <c r="B2692" s="1" t="str">
        <f t="shared" si="1"/>
        <v>544945</v>
      </c>
      <c r="C2692" s="1" t="str">
        <f t="shared" si="2"/>
        <v>Sale</v>
      </c>
      <c r="D2692" s="1">
        <v>22933.0</v>
      </c>
      <c r="E2692" s="1" t="str">
        <f>IFERROR(__xludf.DUMMYFUNCTION("IF(LEN(D2692)&gt;4, IFERROR(REGEXEXTRACT(TO_TEXT(D2692),""\d+""),""""),"""")"),"22933")</f>
        <v>22933</v>
      </c>
      <c r="F2692" s="6" t="str">
        <f t="shared" si="3"/>
        <v>Product</v>
      </c>
      <c r="G2692" s="1" t="s">
        <v>1039</v>
      </c>
      <c r="H2692" s="6" t="str">
        <f>IFERROR(__xludf.DUMMYFUNCTION("IF(REGEXMATCH(LOWER(G2692), ""^(\?)+\s*(missing)?\s*(\?)*$""), """", PROPER(SUBSTITUTE(SUBSTITUTE(G2692, ""?"", """"), ""*"", """")))"),"Baking Mould Easter Egg Milk Choc")</f>
        <v>Baking Mould Easter Egg Milk Choc</v>
      </c>
      <c r="I2692" s="3">
        <v>6.0</v>
      </c>
      <c r="J2692" s="7">
        <v>40599.45347222222</v>
      </c>
      <c r="K2692" s="8" t="str">
        <f t="shared" si="4"/>
        <v>2011-02</v>
      </c>
      <c r="L2692" s="5">
        <v>2.95</v>
      </c>
      <c r="M2692" s="3">
        <v>17735.0</v>
      </c>
      <c r="N2692" s="1" t="str">
        <f t="shared" si="5"/>
        <v>Registered</v>
      </c>
      <c r="O2692" s="1" t="s">
        <v>19</v>
      </c>
      <c r="P2692" s="9" t="str">
        <f t="shared" si="6"/>
        <v>UK</v>
      </c>
      <c r="Q2692" s="8">
        <f t="shared" si="7"/>
        <v>17.7</v>
      </c>
    </row>
    <row r="2693">
      <c r="A2693" s="1">
        <v>544945.0</v>
      </c>
      <c r="B2693" s="1" t="str">
        <f t="shared" si="1"/>
        <v>544945</v>
      </c>
      <c r="C2693" s="1" t="str">
        <f t="shared" si="2"/>
        <v>Sale</v>
      </c>
      <c r="D2693" s="1">
        <v>22326.0</v>
      </c>
      <c r="E2693" s="1" t="str">
        <f>IFERROR(__xludf.DUMMYFUNCTION("IF(LEN(D2693)&gt;4, IFERROR(REGEXEXTRACT(TO_TEXT(D2693),""\d+""),""""),"""")"),"22326")</f>
        <v>22326</v>
      </c>
      <c r="F2693" s="6" t="str">
        <f t="shared" si="3"/>
        <v>Product</v>
      </c>
      <c r="G2693" s="1" t="s">
        <v>57</v>
      </c>
      <c r="H2693" s="6" t="str">
        <f>IFERROR(__xludf.DUMMYFUNCTION("IF(REGEXMATCH(LOWER(G2693), ""^(\?)+\s*(missing)?\s*(\?)*$""), """", PROPER(SUBSTITUTE(SUBSTITUTE(G2693, ""?"", """"), ""*"", """")))"),"Round Snack Boxes Set Of4 Woodland")</f>
        <v>Round Snack Boxes Set Of4 Woodland</v>
      </c>
      <c r="I2693" s="3">
        <v>6.0</v>
      </c>
      <c r="J2693" s="7">
        <v>40599.45347222222</v>
      </c>
      <c r="K2693" s="8" t="str">
        <f t="shared" si="4"/>
        <v>2011-02</v>
      </c>
      <c r="L2693" s="5">
        <v>2.95</v>
      </c>
      <c r="M2693" s="3">
        <v>17735.0</v>
      </c>
      <c r="N2693" s="1" t="str">
        <f t="shared" si="5"/>
        <v>Registered</v>
      </c>
      <c r="O2693" s="1" t="s">
        <v>19</v>
      </c>
      <c r="P2693" s="9" t="str">
        <f t="shared" si="6"/>
        <v>UK</v>
      </c>
      <c r="Q2693" s="8">
        <f t="shared" si="7"/>
        <v>17.7</v>
      </c>
    </row>
    <row r="2694">
      <c r="A2694" s="1">
        <v>544945.0</v>
      </c>
      <c r="B2694" s="1" t="str">
        <f t="shared" si="1"/>
        <v>544945</v>
      </c>
      <c r="C2694" s="1" t="str">
        <f t="shared" si="2"/>
        <v>Sale</v>
      </c>
      <c r="D2694" s="1">
        <v>22328.0</v>
      </c>
      <c r="E2694" s="1" t="str">
        <f>IFERROR(__xludf.DUMMYFUNCTION("IF(LEN(D2694)&gt;4, IFERROR(REGEXEXTRACT(TO_TEXT(D2694),""\d+""),""""),"""")"),"22328")</f>
        <v>22328</v>
      </c>
      <c r="F2694" s="6" t="str">
        <f t="shared" si="3"/>
        <v>Product</v>
      </c>
      <c r="G2694" s="1" t="s">
        <v>431</v>
      </c>
      <c r="H2694" s="6" t="str">
        <f>IFERROR(__xludf.DUMMYFUNCTION("IF(REGEXMATCH(LOWER(G2694), ""^(\?)+\s*(missing)?\s*(\?)*$""), """", PROPER(SUBSTITUTE(SUBSTITUTE(G2694, ""?"", """"), ""*"", """")))"),"Round Snack Boxes Set Of 4 Fruits")</f>
        <v>Round Snack Boxes Set Of 4 Fruits</v>
      </c>
      <c r="I2694" s="3">
        <v>6.0</v>
      </c>
      <c r="J2694" s="7">
        <v>40599.45347222222</v>
      </c>
      <c r="K2694" s="8" t="str">
        <f t="shared" si="4"/>
        <v>2011-02</v>
      </c>
      <c r="L2694" s="5">
        <v>2.95</v>
      </c>
      <c r="M2694" s="3">
        <v>17735.0</v>
      </c>
      <c r="N2694" s="1" t="str">
        <f t="shared" si="5"/>
        <v>Registered</v>
      </c>
      <c r="O2694" s="1" t="s">
        <v>19</v>
      </c>
      <c r="P2694" s="9" t="str">
        <f t="shared" si="6"/>
        <v>UK</v>
      </c>
      <c r="Q2694" s="8">
        <f t="shared" si="7"/>
        <v>17.7</v>
      </c>
    </row>
    <row r="2695">
      <c r="A2695" s="1">
        <v>544945.0</v>
      </c>
      <c r="B2695" s="1" t="str">
        <f t="shared" si="1"/>
        <v>544945</v>
      </c>
      <c r="C2695" s="1" t="str">
        <f t="shared" si="2"/>
        <v>Sale</v>
      </c>
      <c r="D2695" s="1">
        <v>84991.0</v>
      </c>
      <c r="E2695" s="1" t="str">
        <f>IFERROR(__xludf.DUMMYFUNCTION("IF(LEN(D2695)&gt;4, IFERROR(REGEXEXTRACT(TO_TEXT(D2695),""\d+""),""""),"""")"),"84991")</f>
        <v>84991</v>
      </c>
      <c r="F2695" s="6" t="str">
        <f t="shared" si="3"/>
        <v>Product</v>
      </c>
      <c r="G2695" s="1" t="s">
        <v>100</v>
      </c>
      <c r="H2695" s="6" t="str">
        <f>IFERROR(__xludf.DUMMYFUNCTION("IF(REGEXMATCH(LOWER(G2695), ""^(\?)+\s*(missing)?\s*(\?)*$""), """", PROPER(SUBSTITUTE(SUBSTITUTE(G2695, ""?"", """"), ""*"", """")))"),"60 Teatime Fairy Cake Cases")</f>
        <v>60 Teatime Fairy Cake Cases</v>
      </c>
      <c r="I2695" s="3">
        <v>24.0</v>
      </c>
      <c r="J2695" s="7">
        <v>40599.45347222222</v>
      </c>
      <c r="K2695" s="8" t="str">
        <f t="shared" si="4"/>
        <v>2011-02</v>
      </c>
      <c r="L2695" s="5">
        <v>0.55</v>
      </c>
      <c r="M2695" s="3">
        <v>17735.0</v>
      </c>
      <c r="N2695" s="1" t="str">
        <f t="shared" si="5"/>
        <v>Registered</v>
      </c>
      <c r="O2695" s="1" t="s">
        <v>19</v>
      </c>
      <c r="P2695" s="9" t="str">
        <f t="shared" si="6"/>
        <v>UK</v>
      </c>
      <c r="Q2695" s="8">
        <f t="shared" si="7"/>
        <v>13.2</v>
      </c>
    </row>
    <row r="2696">
      <c r="A2696" s="1">
        <v>544945.0</v>
      </c>
      <c r="B2696" s="1" t="str">
        <f t="shared" si="1"/>
        <v>544945</v>
      </c>
      <c r="C2696" s="1" t="str">
        <f t="shared" si="2"/>
        <v>Sale</v>
      </c>
      <c r="D2696" s="1">
        <v>21975.0</v>
      </c>
      <c r="E2696" s="1" t="str">
        <f>IFERROR(__xludf.DUMMYFUNCTION("IF(LEN(D2696)&gt;4, IFERROR(REGEXEXTRACT(TO_TEXT(D2696),""\d+""),""""),"""")"),"21975")</f>
        <v>21975</v>
      </c>
      <c r="F2696" s="6" t="str">
        <f t="shared" si="3"/>
        <v>Product</v>
      </c>
      <c r="G2696" s="1" t="s">
        <v>98</v>
      </c>
      <c r="H2696" s="6" t="str">
        <f>IFERROR(__xludf.DUMMYFUNCTION("IF(REGEXMATCH(LOWER(G2696), ""^(\?)+\s*(missing)?\s*(\?)*$""), """", PROPER(SUBSTITUTE(SUBSTITUTE(G2696, ""?"", """"), ""*"", """")))"),"Pack Of 60 Dinosaur Cake Cases")</f>
        <v>Pack Of 60 Dinosaur Cake Cases</v>
      </c>
      <c r="I2696" s="3">
        <v>24.0</v>
      </c>
      <c r="J2696" s="7">
        <v>40599.45347222222</v>
      </c>
      <c r="K2696" s="8" t="str">
        <f t="shared" si="4"/>
        <v>2011-02</v>
      </c>
      <c r="L2696" s="5">
        <v>0.55</v>
      </c>
      <c r="M2696" s="3">
        <v>17735.0</v>
      </c>
      <c r="N2696" s="1" t="str">
        <f t="shared" si="5"/>
        <v>Registered</v>
      </c>
      <c r="O2696" s="1" t="s">
        <v>19</v>
      </c>
      <c r="P2696" s="9" t="str">
        <f t="shared" si="6"/>
        <v>UK</v>
      </c>
      <c r="Q2696" s="8">
        <f t="shared" si="7"/>
        <v>13.2</v>
      </c>
    </row>
    <row r="2697">
      <c r="A2697" s="1">
        <v>544945.0</v>
      </c>
      <c r="B2697" s="1" t="str">
        <f t="shared" si="1"/>
        <v>544945</v>
      </c>
      <c r="C2697" s="1" t="str">
        <f t="shared" si="2"/>
        <v>Sale</v>
      </c>
      <c r="D2697" s="1">
        <v>84987.0</v>
      </c>
      <c r="E2697" s="1" t="str">
        <f>IFERROR(__xludf.DUMMYFUNCTION("IF(LEN(D2697)&gt;4, IFERROR(REGEXEXTRACT(TO_TEXT(D2697),""\d+""),""""),"""")"),"84987")</f>
        <v>84987</v>
      </c>
      <c r="F2697" s="6" t="str">
        <f t="shared" si="3"/>
        <v>Product</v>
      </c>
      <c r="G2697" s="1" t="s">
        <v>1230</v>
      </c>
      <c r="H2697" s="6" t="str">
        <f>IFERROR(__xludf.DUMMYFUNCTION("IF(REGEXMATCH(LOWER(G2697), ""^(\?)+\s*(missing)?\s*(\?)*$""), """", PROPER(SUBSTITUTE(SUBSTITUTE(G2697, ""?"", """"), ""*"", """")))"),"Set Of 36 Teatime Paper Doilies")</f>
        <v>Set Of 36 Teatime Paper Doilies</v>
      </c>
      <c r="I2697" s="3">
        <v>12.0</v>
      </c>
      <c r="J2697" s="7">
        <v>40599.45347222222</v>
      </c>
      <c r="K2697" s="8" t="str">
        <f t="shared" si="4"/>
        <v>2011-02</v>
      </c>
      <c r="L2697" s="5">
        <v>1.45</v>
      </c>
      <c r="M2697" s="3">
        <v>17735.0</v>
      </c>
      <c r="N2697" s="1" t="str">
        <f t="shared" si="5"/>
        <v>Registered</v>
      </c>
      <c r="O2697" s="1" t="s">
        <v>19</v>
      </c>
      <c r="P2697" s="9" t="str">
        <f t="shared" si="6"/>
        <v>UK</v>
      </c>
      <c r="Q2697" s="8">
        <f t="shared" si="7"/>
        <v>17.4</v>
      </c>
    </row>
    <row r="2698">
      <c r="A2698" s="1">
        <v>544945.0</v>
      </c>
      <c r="B2698" s="1" t="str">
        <f t="shared" si="1"/>
        <v>544945</v>
      </c>
      <c r="C2698" s="1" t="str">
        <f t="shared" si="2"/>
        <v>Sale</v>
      </c>
      <c r="D2698" s="1">
        <v>84050.0</v>
      </c>
      <c r="E2698" s="1" t="str">
        <f>IFERROR(__xludf.DUMMYFUNCTION("IF(LEN(D2698)&gt;4, IFERROR(REGEXEXTRACT(TO_TEXT(D2698),""\d+""),""""),"""")"),"84050")</f>
        <v>84050</v>
      </c>
      <c r="F2698" s="6" t="str">
        <f t="shared" si="3"/>
        <v>Product</v>
      </c>
      <c r="G2698" s="1" t="s">
        <v>1131</v>
      </c>
      <c r="H2698" s="6" t="str">
        <f>IFERROR(__xludf.DUMMYFUNCTION("IF(REGEXMATCH(LOWER(G2698), ""^(\?)+\s*(missing)?\s*(\?)*$""), """", PROPER(SUBSTITUTE(SUBSTITUTE(G2698, ""?"", """"), ""*"", """")))"),"Pink Heart Shape Egg Frying Pan")</f>
        <v>Pink Heart Shape Egg Frying Pan</v>
      </c>
      <c r="I2698" s="3">
        <v>6.0</v>
      </c>
      <c r="J2698" s="7">
        <v>40599.45347222222</v>
      </c>
      <c r="K2698" s="8" t="str">
        <f t="shared" si="4"/>
        <v>2011-02</v>
      </c>
      <c r="L2698" s="5">
        <v>1.65</v>
      </c>
      <c r="M2698" s="3">
        <v>17735.0</v>
      </c>
      <c r="N2698" s="1" t="str">
        <f t="shared" si="5"/>
        <v>Registered</v>
      </c>
      <c r="O2698" s="1" t="s">
        <v>19</v>
      </c>
      <c r="P2698" s="9" t="str">
        <f t="shared" si="6"/>
        <v>UK</v>
      </c>
      <c r="Q2698" s="8">
        <f t="shared" si="7"/>
        <v>9.9</v>
      </c>
    </row>
    <row r="2699">
      <c r="A2699" s="1">
        <v>544945.0</v>
      </c>
      <c r="B2699" s="1" t="str">
        <f t="shared" si="1"/>
        <v>544945</v>
      </c>
      <c r="C2699" s="1" t="str">
        <f t="shared" si="2"/>
        <v>Sale</v>
      </c>
      <c r="D2699" s="1">
        <v>22956.0</v>
      </c>
      <c r="E2699" s="1" t="str">
        <f>IFERROR(__xludf.DUMMYFUNCTION("IF(LEN(D2699)&gt;4, IFERROR(REGEXEXTRACT(TO_TEXT(D2699),""\d+""),""""),"""")"),"22956")</f>
        <v>22956</v>
      </c>
      <c r="F2699" s="6" t="str">
        <f t="shared" si="3"/>
        <v>Product</v>
      </c>
      <c r="G2699" s="1" t="s">
        <v>600</v>
      </c>
      <c r="H2699" s="6" t="str">
        <f>IFERROR(__xludf.DUMMYFUNCTION("IF(REGEXMATCH(LOWER(G2699), ""^(\?)+\s*(missing)?\s*(\?)*$""), """", PROPER(SUBSTITUTE(SUBSTITUTE(G2699, ""?"", """"), ""*"", """")))"),"36 Foil Heart Cake Cases")</f>
        <v>36 Foil Heart Cake Cases</v>
      </c>
      <c r="I2699" s="3">
        <v>6.0</v>
      </c>
      <c r="J2699" s="7">
        <v>40599.45347222222</v>
      </c>
      <c r="K2699" s="8" t="str">
        <f t="shared" si="4"/>
        <v>2011-02</v>
      </c>
      <c r="L2699" s="5">
        <v>2.1</v>
      </c>
      <c r="M2699" s="3">
        <v>17735.0</v>
      </c>
      <c r="N2699" s="1" t="str">
        <f t="shared" si="5"/>
        <v>Registered</v>
      </c>
      <c r="O2699" s="1" t="s">
        <v>19</v>
      </c>
      <c r="P2699" s="9" t="str">
        <f t="shared" si="6"/>
        <v>UK</v>
      </c>
      <c r="Q2699" s="8">
        <f t="shared" si="7"/>
        <v>12.6</v>
      </c>
    </row>
    <row r="2700">
      <c r="A2700" s="1">
        <v>544945.0</v>
      </c>
      <c r="B2700" s="1" t="str">
        <f t="shared" si="1"/>
        <v>544945</v>
      </c>
      <c r="C2700" s="1" t="str">
        <f t="shared" si="2"/>
        <v>Sale</v>
      </c>
      <c r="D2700" s="1">
        <v>22955.0</v>
      </c>
      <c r="E2700" s="1" t="str">
        <f>IFERROR(__xludf.DUMMYFUNCTION("IF(LEN(D2700)&gt;4, IFERROR(REGEXEXTRACT(TO_TEXT(D2700),""\d+""),""""),"""")"),"22955")</f>
        <v>22955</v>
      </c>
      <c r="F2700" s="6" t="str">
        <f t="shared" si="3"/>
        <v>Product</v>
      </c>
      <c r="G2700" s="1" t="s">
        <v>673</v>
      </c>
      <c r="H2700" s="6" t="str">
        <f>IFERROR(__xludf.DUMMYFUNCTION("IF(REGEXMATCH(LOWER(G2700), ""^(\?)+\s*(missing)?\s*(\?)*$""), """", PROPER(SUBSTITUTE(SUBSTITUTE(G2700, ""?"", """"), ""*"", """")))"),"36 Foil Star Cake Cases")</f>
        <v>36 Foil Star Cake Cases</v>
      </c>
      <c r="I2700" s="3">
        <v>6.0</v>
      </c>
      <c r="J2700" s="7">
        <v>40599.45347222222</v>
      </c>
      <c r="K2700" s="8" t="str">
        <f t="shared" si="4"/>
        <v>2011-02</v>
      </c>
      <c r="L2700" s="5">
        <v>2.1</v>
      </c>
      <c r="M2700" s="3">
        <v>17735.0</v>
      </c>
      <c r="N2700" s="1" t="str">
        <f t="shared" si="5"/>
        <v>Registered</v>
      </c>
      <c r="O2700" s="1" t="s">
        <v>19</v>
      </c>
      <c r="P2700" s="9" t="str">
        <f t="shared" si="6"/>
        <v>UK</v>
      </c>
      <c r="Q2700" s="8">
        <f t="shared" si="7"/>
        <v>12.6</v>
      </c>
    </row>
    <row r="2701">
      <c r="A2701" s="1">
        <v>544945.0</v>
      </c>
      <c r="B2701" s="1" t="str">
        <f t="shared" si="1"/>
        <v>544945</v>
      </c>
      <c r="C2701" s="1" t="str">
        <f t="shared" si="2"/>
        <v>Sale</v>
      </c>
      <c r="D2701" s="1">
        <v>22631.0</v>
      </c>
      <c r="E2701" s="1" t="str">
        <f>IFERROR(__xludf.DUMMYFUNCTION("IF(LEN(D2701)&gt;4, IFERROR(REGEXEXTRACT(TO_TEXT(D2701),""\d+""),""""),"""")"),"22631")</f>
        <v>22631</v>
      </c>
      <c r="F2701" s="6" t="str">
        <f t="shared" si="3"/>
        <v>Product</v>
      </c>
      <c r="G2701" s="1" t="s">
        <v>60</v>
      </c>
      <c r="H2701" s="6" t="str">
        <f>IFERROR(__xludf.DUMMYFUNCTION("IF(REGEXMATCH(LOWER(G2701), ""^(\?)+\s*(missing)?\s*(\?)*$""), """", PROPER(SUBSTITUTE(SUBSTITUTE(G2701, ""?"", """"), ""*"", """")))"),"Circus Parade Lunch Box")</f>
        <v>Circus Parade Lunch Box</v>
      </c>
      <c r="I2701" s="3">
        <v>12.0</v>
      </c>
      <c r="J2701" s="7">
        <v>40599.45347222222</v>
      </c>
      <c r="K2701" s="8" t="str">
        <f t="shared" si="4"/>
        <v>2011-02</v>
      </c>
      <c r="L2701" s="5">
        <v>1.95</v>
      </c>
      <c r="M2701" s="3">
        <v>17735.0</v>
      </c>
      <c r="N2701" s="1" t="str">
        <f t="shared" si="5"/>
        <v>Registered</v>
      </c>
      <c r="O2701" s="1" t="s">
        <v>19</v>
      </c>
      <c r="P2701" s="9" t="str">
        <f t="shared" si="6"/>
        <v>UK</v>
      </c>
      <c r="Q2701" s="8">
        <f t="shared" si="7"/>
        <v>23.4</v>
      </c>
    </row>
    <row r="2702">
      <c r="A2702" s="1">
        <v>544945.0</v>
      </c>
      <c r="B2702" s="1" t="str">
        <f t="shared" si="1"/>
        <v>544945</v>
      </c>
      <c r="C2702" s="1" t="str">
        <f t="shared" si="2"/>
        <v>Sale</v>
      </c>
      <c r="D2702" s="1">
        <v>84378.0</v>
      </c>
      <c r="E2702" s="1" t="str">
        <f>IFERROR(__xludf.DUMMYFUNCTION("IF(LEN(D2702)&gt;4, IFERROR(REGEXEXTRACT(TO_TEXT(D2702),""\d+""),""""),"""")"),"84378")</f>
        <v>84378</v>
      </c>
      <c r="F2702" s="6" t="str">
        <f t="shared" si="3"/>
        <v>Product</v>
      </c>
      <c r="G2702" s="1" t="s">
        <v>350</v>
      </c>
      <c r="H2702" s="6" t="str">
        <f>IFERROR(__xludf.DUMMYFUNCTION("IF(REGEXMATCH(LOWER(G2702), ""^(\?)+\s*(missing)?\s*(\?)*$""), """", PROPER(SUBSTITUTE(SUBSTITUTE(G2702, ""?"", """"), ""*"", """")))"),"Set Of 3 Heart Cookie Cutters")</f>
        <v>Set Of 3 Heart Cookie Cutters</v>
      </c>
      <c r="I2702" s="3">
        <v>12.0</v>
      </c>
      <c r="J2702" s="7">
        <v>40599.45347222222</v>
      </c>
      <c r="K2702" s="8" t="str">
        <f t="shared" si="4"/>
        <v>2011-02</v>
      </c>
      <c r="L2702" s="5">
        <v>1.25</v>
      </c>
      <c r="M2702" s="3">
        <v>17735.0</v>
      </c>
      <c r="N2702" s="1" t="str">
        <f t="shared" si="5"/>
        <v>Registered</v>
      </c>
      <c r="O2702" s="1" t="s">
        <v>19</v>
      </c>
      <c r="P2702" s="9" t="str">
        <f t="shared" si="6"/>
        <v>UK</v>
      </c>
      <c r="Q2702" s="8">
        <f t="shared" si="7"/>
        <v>15</v>
      </c>
    </row>
    <row r="2703">
      <c r="A2703" s="1">
        <v>544945.0</v>
      </c>
      <c r="B2703" s="1" t="str">
        <f t="shared" si="1"/>
        <v>544945</v>
      </c>
      <c r="C2703" s="1" t="str">
        <f t="shared" si="2"/>
        <v>Sale</v>
      </c>
      <c r="D2703" s="1">
        <v>22092.0</v>
      </c>
      <c r="E2703" s="1" t="str">
        <f>IFERROR(__xludf.DUMMYFUNCTION("IF(LEN(D2703)&gt;4, IFERROR(REGEXEXTRACT(TO_TEXT(D2703),""\d+""),""""),"""")"),"22092")</f>
        <v>22092</v>
      </c>
      <c r="F2703" s="6" t="str">
        <f t="shared" si="3"/>
        <v>Product</v>
      </c>
      <c r="G2703" s="1" t="s">
        <v>678</v>
      </c>
      <c r="H2703" s="6" t="str">
        <f>IFERROR(__xludf.DUMMYFUNCTION("IF(REGEXMATCH(LOWER(G2703), ""^(\?)+\s*(missing)?\s*(\?)*$""), """", PROPER(SUBSTITUTE(SUBSTITUTE(G2703, ""?"", """"), ""*"", """")))"),"Blue Paisley Tissue Box")</f>
        <v>Blue Paisley Tissue Box</v>
      </c>
      <c r="I2703" s="3">
        <v>12.0</v>
      </c>
      <c r="J2703" s="7">
        <v>40599.45347222222</v>
      </c>
      <c r="K2703" s="8" t="str">
        <f t="shared" si="4"/>
        <v>2011-02</v>
      </c>
      <c r="L2703" s="5">
        <v>1.25</v>
      </c>
      <c r="M2703" s="3">
        <v>17735.0</v>
      </c>
      <c r="N2703" s="1" t="str">
        <f t="shared" si="5"/>
        <v>Registered</v>
      </c>
      <c r="O2703" s="1" t="s">
        <v>19</v>
      </c>
      <c r="P2703" s="9" t="str">
        <f t="shared" si="6"/>
        <v>UK</v>
      </c>
      <c r="Q2703" s="8">
        <f t="shared" si="7"/>
        <v>15</v>
      </c>
    </row>
    <row r="2704">
      <c r="A2704" s="1">
        <v>544945.0</v>
      </c>
      <c r="B2704" s="1" t="str">
        <f t="shared" si="1"/>
        <v>544945</v>
      </c>
      <c r="C2704" s="1" t="str">
        <f t="shared" si="2"/>
        <v>Sale</v>
      </c>
      <c r="D2704" s="1">
        <v>22384.0</v>
      </c>
      <c r="E2704" s="1" t="str">
        <f>IFERROR(__xludf.DUMMYFUNCTION("IF(LEN(D2704)&gt;4, IFERROR(REGEXEXTRACT(TO_TEXT(D2704),""\d+""),""""),"""")"),"22384")</f>
        <v>22384</v>
      </c>
      <c r="F2704" s="6" t="str">
        <f t="shared" si="3"/>
        <v>Product</v>
      </c>
      <c r="G2704" s="1" t="s">
        <v>322</v>
      </c>
      <c r="H2704" s="6" t="str">
        <f>IFERROR(__xludf.DUMMYFUNCTION("IF(REGEXMATCH(LOWER(G2704), ""^(\?)+\s*(missing)?\s*(\?)*$""), """", PROPER(SUBSTITUTE(SUBSTITUTE(G2704, ""?"", """"), ""*"", """")))"),"Lunch Bag Pink Polkadot")</f>
        <v>Lunch Bag Pink Polkadot</v>
      </c>
      <c r="I2704" s="3">
        <v>10.0</v>
      </c>
      <c r="J2704" s="7">
        <v>40599.45347222222</v>
      </c>
      <c r="K2704" s="8" t="str">
        <f t="shared" si="4"/>
        <v>2011-02</v>
      </c>
      <c r="L2704" s="5">
        <v>1.65</v>
      </c>
      <c r="M2704" s="3">
        <v>17735.0</v>
      </c>
      <c r="N2704" s="1" t="str">
        <f t="shared" si="5"/>
        <v>Registered</v>
      </c>
      <c r="O2704" s="1" t="s">
        <v>19</v>
      </c>
      <c r="P2704" s="9" t="str">
        <f t="shared" si="6"/>
        <v>UK</v>
      </c>
      <c r="Q2704" s="8">
        <f t="shared" si="7"/>
        <v>16.5</v>
      </c>
    </row>
    <row r="2705">
      <c r="A2705" s="1">
        <v>544945.0</v>
      </c>
      <c r="B2705" s="1" t="str">
        <f t="shared" si="1"/>
        <v>544945</v>
      </c>
      <c r="C2705" s="1" t="str">
        <f t="shared" si="2"/>
        <v>Sale</v>
      </c>
      <c r="D2705" s="1">
        <v>22094.0</v>
      </c>
      <c r="E2705" s="1" t="str">
        <f>IFERROR(__xludf.DUMMYFUNCTION("IF(LEN(D2705)&gt;4, IFERROR(REGEXEXTRACT(TO_TEXT(D2705),""\d+""),""""),"""")"),"22094")</f>
        <v>22094</v>
      </c>
      <c r="F2705" s="6" t="str">
        <f t="shared" si="3"/>
        <v>Product</v>
      </c>
      <c r="G2705" s="1" t="s">
        <v>1341</v>
      </c>
      <c r="H2705" s="6" t="str">
        <f>IFERROR(__xludf.DUMMYFUNCTION("IF(REGEXMATCH(LOWER(G2705), ""^(\?)+\s*(missing)?\s*(\?)*$""), """", PROPER(SUBSTITUTE(SUBSTITUTE(G2705, ""?"", """"), ""*"", """")))"),"Red Retrospot Tissue Box")</f>
        <v>Red Retrospot Tissue Box</v>
      </c>
      <c r="I2705" s="3">
        <v>12.0</v>
      </c>
      <c r="J2705" s="7">
        <v>40599.45347222222</v>
      </c>
      <c r="K2705" s="8" t="str">
        <f t="shared" si="4"/>
        <v>2011-02</v>
      </c>
      <c r="L2705" s="5">
        <v>1.25</v>
      </c>
      <c r="M2705" s="3">
        <v>17735.0</v>
      </c>
      <c r="N2705" s="1" t="str">
        <f t="shared" si="5"/>
        <v>Registered</v>
      </c>
      <c r="O2705" s="1" t="s">
        <v>19</v>
      </c>
      <c r="P2705" s="9" t="str">
        <f t="shared" si="6"/>
        <v>UK</v>
      </c>
      <c r="Q2705" s="8">
        <f t="shared" si="7"/>
        <v>15</v>
      </c>
    </row>
    <row r="2706">
      <c r="A2706" s="1">
        <v>544945.0</v>
      </c>
      <c r="B2706" s="1" t="str">
        <f t="shared" si="1"/>
        <v>544945</v>
      </c>
      <c r="C2706" s="1" t="str">
        <f t="shared" si="2"/>
        <v>Sale</v>
      </c>
      <c r="D2706" s="1">
        <v>22554.0</v>
      </c>
      <c r="E2706" s="1" t="str">
        <f>IFERROR(__xludf.DUMMYFUNCTION("IF(LEN(D2706)&gt;4, IFERROR(REGEXEXTRACT(TO_TEXT(D2706),""\d+""),""""),"""")"),"22554")</f>
        <v>22554</v>
      </c>
      <c r="F2706" s="6" t="str">
        <f t="shared" si="3"/>
        <v>Product</v>
      </c>
      <c r="G2706" s="1" t="s">
        <v>499</v>
      </c>
      <c r="H2706" s="6" t="str">
        <f>IFERROR(__xludf.DUMMYFUNCTION("IF(REGEXMATCH(LOWER(G2706), ""^(\?)+\s*(missing)?\s*(\?)*$""), """", PROPER(SUBSTITUTE(SUBSTITUTE(G2706, ""?"", """"), ""*"", """")))"),"Plasters In Tin Woodland Animals")</f>
        <v>Plasters In Tin Woodland Animals</v>
      </c>
      <c r="I2706" s="3">
        <v>12.0</v>
      </c>
      <c r="J2706" s="7">
        <v>40599.45347222222</v>
      </c>
      <c r="K2706" s="8" t="str">
        <f t="shared" si="4"/>
        <v>2011-02</v>
      </c>
      <c r="L2706" s="5">
        <v>1.65</v>
      </c>
      <c r="M2706" s="3">
        <v>17735.0</v>
      </c>
      <c r="N2706" s="1" t="str">
        <f t="shared" si="5"/>
        <v>Registered</v>
      </c>
      <c r="O2706" s="1" t="s">
        <v>19</v>
      </c>
      <c r="P2706" s="9" t="str">
        <f t="shared" si="6"/>
        <v>UK</v>
      </c>
      <c r="Q2706" s="8">
        <f t="shared" si="7"/>
        <v>19.8</v>
      </c>
    </row>
    <row r="2707">
      <c r="A2707" s="1">
        <v>544945.0</v>
      </c>
      <c r="B2707" s="1" t="str">
        <f t="shared" si="1"/>
        <v>544945</v>
      </c>
      <c r="C2707" s="1" t="str">
        <f t="shared" si="2"/>
        <v>Sale</v>
      </c>
      <c r="D2707" s="1">
        <v>20727.0</v>
      </c>
      <c r="E2707" s="1" t="str">
        <f>IFERROR(__xludf.DUMMYFUNCTION("IF(LEN(D2707)&gt;4, IFERROR(REGEXEXTRACT(TO_TEXT(D2707),""\d+""),""""),"""")"),"20727")</f>
        <v>20727</v>
      </c>
      <c r="F2707" s="6" t="str">
        <f t="shared" si="3"/>
        <v>Product</v>
      </c>
      <c r="G2707" s="1" t="s">
        <v>357</v>
      </c>
      <c r="H2707" s="6" t="str">
        <f>IFERROR(__xludf.DUMMYFUNCTION("IF(REGEXMATCH(LOWER(G2707), ""^(\?)+\s*(missing)?\s*(\?)*$""), """", PROPER(SUBSTITUTE(SUBSTITUTE(G2707, ""?"", """"), ""*"", """")))"),"Lunch Bag Black Skull.")</f>
        <v>Lunch Bag Black Skull.</v>
      </c>
      <c r="I2707" s="3">
        <v>10.0</v>
      </c>
      <c r="J2707" s="7">
        <v>40599.45347222222</v>
      </c>
      <c r="K2707" s="8" t="str">
        <f t="shared" si="4"/>
        <v>2011-02</v>
      </c>
      <c r="L2707" s="5">
        <v>1.65</v>
      </c>
      <c r="M2707" s="3">
        <v>17735.0</v>
      </c>
      <c r="N2707" s="1" t="str">
        <f t="shared" si="5"/>
        <v>Registered</v>
      </c>
      <c r="O2707" s="1" t="s">
        <v>19</v>
      </c>
      <c r="P2707" s="9" t="str">
        <f t="shared" si="6"/>
        <v>UK</v>
      </c>
      <c r="Q2707" s="8">
        <f t="shared" si="7"/>
        <v>16.5</v>
      </c>
    </row>
    <row r="2708">
      <c r="A2708" s="1">
        <v>544945.0</v>
      </c>
      <c r="B2708" s="1" t="str">
        <f t="shared" si="1"/>
        <v>544945</v>
      </c>
      <c r="C2708" s="1" t="str">
        <f t="shared" si="2"/>
        <v>Sale</v>
      </c>
      <c r="D2708" s="1">
        <v>20726.0</v>
      </c>
      <c r="E2708" s="1" t="str">
        <f>IFERROR(__xludf.DUMMYFUNCTION("IF(LEN(D2708)&gt;4, IFERROR(REGEXEXTRACT(TO_TEXT(D2708),""\d+""),""""),"""")"),"20726")</f>
        <v>20726</v>
      </c>
      <c r="F2708" s="6" t="str">
        <f t="shared" si="3"/>
        <v>Product</v>
      </c>
      <c r="G2708" s="1" t="s">
        <v>321</v>
      </c>
      <c r="H2708" s="6" t="str">
        <f>IFERROR(__xludf.DUMMYFUNCTION("IF(REGEXMATCH(LOWER(G2708), ""^(\?)+\s*(missing)?\s*(\?)*$""), """", PROPER(SUBSTITUTE(SUBSTITUTE(G2708, ""?"", """"), ""*"", """")))"),"Lunch Bag Woodland")</f>
        <v>Lunch Bag Woodland</v>
      </c>
      <c r="I2708" s="3">
        <v>10.0</v>
      </c>
      <c r="J2708" s="7">
        <v>40599.45347222222</v>
      </c>
      <c r="K2708" s="8" t="str">
        <f t="shared" si="4"/>
        <v>2011-02</v>
      </c>
      <c r="L2708" s="5">
        <v>1.65</v>
      </c>
      <c r="M2708" s="3">
        <v>17735.0</v>
      </c>
      <c r="N2708" s="1" t="str">
        <f t="shared" si="5"/>
        <v>Registered</v>
      </c>
      <c r="O2708" s="1" t="s">
        <v>19</v>
      </c>
      <c r="P2708" s="9" t="str">
        <f t="shared" si="6"/>
        <v>UK</v>
      </c>
      <c r="Q2708" s="8">
        <f t="shared" si="7"/>
        <v>16.5</v>
      </c>
    </row>
    <row r="2709">
      <c r="A2709" s="1">
        <v>544945.0</v>
      </c>
      <c r="B2709" s="1" t="str">
        <f t="shared" si="1"/>
        <v>544945</v>
      </c>
      <c r="C2709" s="1" t="str">
        <f t="shared" si="2"/>
        <v>Sale</v>
      </c>
      <c r="D2709" s="1">
        <v>22383.0</v>
      </c>
      <c r="E2709" s="1" t="str">
        <f>IFERROR(__xludf.DUMMYFUNCTION("IF(LEN(D2709)&gt;4, IFERROR(REGEXEXTRACT(TO_TEXT(D2709),""\d+""),""""),"""")"),"22383")</f>
        <v>22383</v>
      </c>
      <c r="F2709" s="6" t="str">
        <f t="shared" si="3"/>
        <v>Product</v>
      </c>
      <c r="G2709" s="1" t="s">
        <v>355</v>
      </c>
      <c r="H2709" s="6" t="str">
        <f>IFERROR(__xludf.DUMMYFUNCTION("IF(REGEXMATCH(LOWER(G2709), ""^(\?)+\s*(missing)?\s*(\?)*$""), """", PROPER(SUBSTITUTE(SUBSTITUTE(G2709, ""?"", """"), ""*"", """")))"),"Lunch Bag Suki Design")</f>
        <v>Lunch Bag Suki Design</v>
      </c>
      <c r="I2709" s="3">
        <v>10.0</v>
      </c>
      <c r="J2709" s="7">
        <v>40599.45347222222</v>
      </c>
      <c r="K2709" s="8" t="str">
        <f t="shared" si="4"/>
        <v>2011-02</v>
      </c>
      <c r="L2709" s="5">
        <v>1.65</v>
      </c>
      <c r="M2709" s="3">
        <v>17735.0</v>
      </c>
      <c r="N2709" s="1" t="str">
        <f t="shared" si="5"/>
        <v>Registered</v>
      </c>
      <c r="O2709" s="1" t="s">
        <v>19</v>
      </c>
      <c r="P2709" s="9" t="str">
        <f t="shared" si="6"/>
        <v>UK</v>
      </c>
      <c r="Q2709" s="8">
        <f t="shared" si="7"/>
        <v>16.5</v>
      </c>
    </row>
    <row r="2710">
      <c r="A2710" s="1">
        <v>544945.0</v>
      </c>
      <c r="B2710" s="1" t="str">
        <f t="shared" si="1"/>
        <v>544945</v>
      </c>
      <c r="C2710" s="1" t="str">
        <f t="shared" si="2"/>
        <v>Sale</v>
      </c>
      <c r="D2710" s="1">
        <v>22382.0</v>
      </c>
      <c r="E2710" s="1" t="str">
        <f>IFERROR(__xludf.DUMMYFUNCTION("IF(LEN(D2710)&gt;4, IFERROR(REGEXEXTRACT(TO_TEXT(D2710),""\d+""),""""),"""")"),"22382")</f>
        <v>22382</v>
      </c>
      <c r="F2710" s="6" t="str">
        <f t="shared" si="3"/>
        <v>Product</v>
      </c>
      <c r="G2710" s="1" t="s">
        <v>320</v>
      </c>
      <c r="H2710" s="6" t="str">
        <f>IFERROR(__xludf.DUMMYFUNCTION("IF(REGEXMATCH(LOWER(G2710), ""^(\?)+\s*(missing)?\s*(\?)*$""), """", PROPER(SUBSTITUTE(SUBSTITUTE(G2710, ""?"", """"), ""*"", """")))"),"Lunch Bag Spaceboy Design")</f>
        <v>Lunch Bag Spaceboy Design</v>
      </c>
      <c r="I2710" s="3">
        <v>10.0</v>
      </c>
      <c r="J2710" s="7">
        <v>40599.45347222222</v>
      </c>
      <c r="K2710" s="8" t="str">
        <f t="shared" si="4"/>
        <v>2011-02</v>
      </c>
      <c r="L2710" s="5">
        <v>1.65</v>
      </c>
      <c r="M2710" s="3">
        <v>17735.0</v>
      </c>
      <c r="N2710" s="1" t="str">
        <f t="shared" si="5"/>
        <v>Registered</v>
      </c>
      <c r="O2710" s="1" t="s">
        <v>19</v>
      </c>
      <c r="P2710" s="9" t="str">
        <f t="shared" si="6"/>
        <v>UK</v>
      </c>
      <c r="Q2710" s="8">
        <f t="shared" si="7"/>
        <v>16.5</v>
      </c>
    </row>
    <row r="2711">
      <c r="A2711" s="1">
        <v>544945.0</v>
      </c>
      <c r="B2711" s="1" t="str">
        <f t="shared" si="1"/>
        <v>544945</v>
      </c>
      <c r="C2711" s="1" t="str">
        <f t="shared" si="2"/>
        <v>Sale</v>
      </c>
      <c r="D2711" s="1">
        <v>21125.0</v>
      </c>
      <c r="E2711" s="1" t="str">
        <f>IFERROR(__xludf.DUMMYFUNCTION("IF(LEN(D2711)&gt;4, IFERROR(REGEXEXTRACT(TO_TEXT(D2711),""\d+""),""""),"""")"),"21125")</f>
        <v>21125</v>
      </c>
      <c r="F2711" s="6" t="str">
        <f t="shared" si="3"/>
        <v>Product</v>
      </c>
      <c r="G2711" s="1" t="s">
        <v>338</v>
      </c>
      <c r="H2711" s="6" t="str">
        <f>IFERROR(__xludf.DUMMYFUNCTION("IF(REGEXMATCH(LOWER(G2711), ""^(\?)+\s*(missing)?\s*(\?)*$""), """", PROPER(SUBSTITUTE(SUBSTITUTE(G2711, ""?"", """"), ""*"", """")))"),"Set 6 Football Celebration Candles")</f>
        <v>Set 6 Football Celebration Candles</v>
      </c>
      <c r="I2711" s="3">
        <v>12.0</v>
      </c>
      <c r="J2711" s="7">
        <v>40599.45347222222</v>
      </c>
      <c r="K2711" s="8" t="str">
        <f t="shared" si="4"/>
        <v>2011-02</v>
      </c>
      <c r="L2711" s="5">
        <v>1.25</v>
      </c>
      <c r="M2711" s="3">
        <v>17735.0</v>
      </c>
      <c r="N2711" s="1" t="str">
        <f t="shared" si="5"/>
        <v>Registered</v>
      </c>
      <c r="O2711" s="1" t="s">
        <v>19</v>
      </c>
      <c r="P2711" s="9" t="str">
        <f t="shared" si="6"/>
        <v>UK</v>
      </c>
      <c r="Q2711" s="8">
        <f t="shared" si="7"/>
        <v>15</v>
      </c>
    </row>
    <row r="2712">
      <c r="A2712" s="1">
        <v>544945.0</v>
      </c>
      <c r="B2712" s="1" t="str">
        <f t="shared" si="1"/>
        <v>544945</v>
      </c>
      <c r="C2712" s="1" t="str">
        <f t="shared" si="2"/>
        <v>Sale</v>
      </c>
      <c r="D2712" s="1">
        <v>22469.0</v>
      </c>
      <c r="E2712" s="1" t="str">
        <f>IFERROR(__xludf.DUMMYFUNCTION("IF(LEN(D2712)&gt;4, IFERROR(REGEXEXTRACT(TO_TEXT(D2712),""\d+""),""""),"""")"),"22469")</f>
        <v>22469</v>
      </c>
      <c r="F2712" s="6" t="str">
        <f t="shared" si="3"/>
        <v>Product</v>
      </c>
      <c r="G2712" s="1" t="s">
        <v>167</v>
      </c>
      <c r="H2712" s="6" t="str">
        <f>IFERROR(__xludf.DUMMYFUNCTION("IF(REGEXMATCH(LOWER(G2712), ""^(\?)+\s*(missing)?\s*(\?)*$""), """", PROPER(SUBSTITUTE(SUBSTITUTE(G2712, ""?"", """"), ""*"", """")))"),"Heart Of Wicker Small")</f>
        <v>Heart Of Wicker Small</v>
      </c>
      <c r="I2712" s="3">
        <v>12.0</v>
      </c>
      <c r="J2712" s="7">
        <v>40599.45347222222</v>
      </c>
      <c r="K2712" s="8" t="str">
        <f t="shared" si="4"/>
        <v>2011-02</v>
      </c>
      <c r="L2712" s="5">
        <v>1.65</v>
      </c>
      <c r="M2712" s="3">
        <v>17735.0</v>
      </c>
      <c r="N2712" s="1" t="str">
        <f t="shared" si="5"/>
        <v>Registered</v>
      </c>
      <c r="O2712" s="1" t="s">
        <v>19</v>
      </c>
      <c r="P2712" s="9" t="str">
        <f t="shared" si="6"/>
        <v>UK</v>
      </c>
      <c r="Q2712" s="8">
        <f t="shared" si="7"/>
        <v>19.8</v>
      </c>
    </row>
    <row r="2713">
      <c r="A2713" s="1">
        <v>544945.0</v>
      </c>
      <c r="B2713" s="1" t="str">
        <f t="shared" si="1"/>
        <v>544945</v>
      </c>
      <c r="C2713" s="1" t="str">
        <f t="shared" si="2"/>
        <v>Sale</v>
      </c>
      <c r="D2713" s="1">
        <v>22844.0</v>
      </c>
      <c r="E2713" s="1" t="str">
        <f>IFERROR(__xludf.DUMMYFUNCTION("IF(LEN(D2713)&gt;4, IFERROR(REGEXEXTRACT(TO_TEXT(D2713),""\d+""),""""),"""")"),"22844")</f>
        <v>22844</v>
      </c>
      <c r="F2713" s="6" t="str">
        <f t="shared" si="3"/>
        <v>Product</v>
      </c>
      <c r="G2713" s="1" t="s">
        <v>786</v>
      </c>
      <c r="H2713" s="6" t="str">
        <f>IFERROR(__xludf.DUMMYFUNCTION("IF(REGEXMATCH(LOWER(G2713), ""^(\?)+\s*(missing)?\s*(\?)*$""), """", PROPER(SUBSTITUTE(SUBSTITUTE(G2713, ""?"", """"), ""*"", """")))"),"Vintage Cream Dog Food Container")</f>
        <v>Vintage Cream Dog Food Container</v>
      </c>
      <c r="I2713" s="3">
        <v>2.0</v>
      </c>
      <c r="J2713" s="7">
        <v>40599.45347222222</v>
      </c>
      <c r="K2713" s="8" t="str">
        <f t="shared" si="4"/>
        <v>2011-02</v>
      </c>
      <c r="L2713" s="5">
        <v>8.5</v>
      </c>
      <c r="M2713" s="3">
        <v>17735.0</v>
      </c>
      <c r="N2713" s="1" t="str">
        <f t="shared" si="5"/>
        <v>Registered</v>
      </c>
      <c r="O2713" s="1" t="s">
        <v>19</v>
      </c>
      <c r="P2713" s="9" t="str">
        <f t="shared" si="6"/>
        <v>UK</v>
      </c>
      <c r="Q2713" s="8">
        <f t="shared" si="7"/>
        <v>17</v>
      </c>
    </row>
    <row r="2714">
      <c r="A2714" s="1">
        <v>544945.0</v>
      </c>
      <c r="B2714" s="1" t="str">
        <f t="shared" si="1"/>
        <v>544945</v>
      </c>
      <c r="C2714" s="1" t="str">
        <f t="shared" si="2"/>
        <v>Sale</v>
      </c>
      <c r="D2714" s="1">
        <v>22845.0</v>
      </c>
      <c r="E2714" s="1" t="str">
        <f>IFERROR(__xludf.DUMMYFUNCTION("IF(LEN(D2714)&gt;4, IFERROR(REGEXEXTRACT(TO_TEXT(D2714),""\d+""),""""),"""")"),"22845")</f>
        <v>22845</v>
      </c>
      <c r="F2714" s="6" t="str">
        <f t="shared" si="3"/>
        <v>Product</v>
      </c>
      <c r="G2714" s="1" t="s">
        <v>787</v>
      </c>
      <c r="H2714" s="6" t="str">
        <f>IFERROR(__xludf.DUMMYFUNCTION("IF(REGEXMATCH(LOWER(G2714), ""^(\?)+\s*(missing)?\s*(\?)*$""), """", PROPER(SUBSTITUTE(SUBSTITUTE(G2714, ""?"", """"), ""*"", """")))"),"Vintage Cream Cat Food Container")</f>
        <v>Vintage Cream Cat Food Container</v>
      </c>
      <c r="I2714" s="3">
        <v>2.0</v>
      </c>
      <c r="J2714" s="7">
        <v>40599.45347222222</v>
      </c>
      <c r="K2714" s="8" t="str">
        <f t="shared" si="4"/>
        <v>2011-02</v>
      </c>
      <c r="L2714" s="5">
        <v>6.35</v>
      </c>
      <c r="M2714" s="3">
        <v>17735.0</v>
      </c>
      <c r="N2714" s="1" t="str">
        <f t="shared" si="5"/>
        <v>Registered</v>
      </c>
      <c r="O2714" s="1" t="s">
        <v>19</v>
      </c>
      <c r="P2714" s="9" t="str">
        <f t="shared" si="6"/>
        <v>UK</v>
      </c>
      <c r="Q2714" s="8">
        <f t="shared" si="7"/>
        <v>12.7</v>
      </c>
    </row>
    <row r="2715">
      <c r="A2715" s="1">
        <v>544968.0</v>
      </c>
      <c r="B2715" s="1" t="str">
        <f t="shared" si="1"/>
        <v>544968</v>
      </c>
      <c r="C2715" s="1" t="str">
        <f t="shared" si="2"/>
        <v>Sale</v>
      </c>
      <c r="D2715" s="1">
        <v>85053.0</v>
      </c>
      <c r="E2715" s="1" t="str">
        <f>IFERROR(__xludf.DUMMYFUNCTION("IF(LEN(D2715)&gt;4, IFERROR(REGEXEXTRACT(TO_TEXT(D2715),""\d+""),""""),"""")"),"85053")</f>
        <v>85053</v>
      </c>
      <c r="F2715" s="6" t="str">
        <f t="shared" si="3"/>
        <v>Product</v>
      </c>
      <c r="G2715" s="1" t="s">
        <v>922</v>
      </c>
      <c r="H2715" s="6" t="str">
        <f>IFERROR(__xludf.DUMMYFUNCTION("IF(REGEXMATCH(LOWER(G2715), ""^(\?)+\s*(missing)?\s*(\?)*$""), """", PROPER(SUBSTITUTE(SUBSTITUTE(G2715, ""?"", """"), ""*"", """")))"),"French Enamel Candleholder")</f>
        <v>French Enamel Candleholder</v>
      </c>
      <c r="I2715" s="3">
        <v>6.0</v>
      </c>
      <c r="J2715" s="7">
        <v>40599.479166666664</v>
      </c>
      <c r="K2715" s="8" t="str">
        <f t="shared" si="4"/>
        <v>2011-02</v>
      </c>
      <c r="L2715" s="5">
        <v>2.1</v>
      </c>
      <c r="M2715" s="3">
        <v>13458.0</v>
      </c>
      <c r="N2715" s="1" t="str">
        <f t="shared" si="5"/>
        <v>Registered</v>
      </c>
      <c r="O2715" s="1" t="s">
        <v>19</v>
      </c>
      <c r="P2715" s="9" t="str">
        <f t="shared" si="6"/>
        <v>UK</v>
      </c>
      <c r="Q2715" s="8">
        <f t="shared" si="7"/>
        <v>12.6</v>
      </c>
    </row>
    <row r="2716">
      <c r="A2716" s="1">
        <v>544968.0</v>
      </c>
      <c r="B2716" s="1" t="str">
        <f t="shared" si="1"/>
        <v>544968</v>
      </c>
      <c r="C2716" s="1" t="str">
        <f t="shared" si="2"/>
        <v>Sale</v>
      </c>
      <c r="D2716" s="1">
        <v>22197.0</v>
      </c>
      <c r="E2716" s="1" t="str">
        <f>IFERROR(__xludf.DUMMYFUNCTION("IF(LEN(D2716)&gt;4, IFERROR(REGEXEXTRACT(TO_TEXT(D2716),""\d+""),""""),"""")"),"22197")</f>
        <v>22197</v>
      </c>
      <c r="F2716" s="6" t="str">
        <f t="shared" si="3"/>
        <v>Product</v>
      </c>
      <c r="G2716" s="1" t="s">
        <v>217</v>
      </c>
      <c r="H2716" s="6" t="str">
        <f>IFERROR(__xludf.DUMMYFUNCTION("IF(REGEXMATCH(LOWER(G2716), ""^(\?)+\s*(missing)?\s*(\?)*$""), """", PROPER(SUBSTITUTE(SUBSTITUTE(G2716, ""?"", """"), ""*"", """")))"),"Small Popcorn Holder")</f>
        <v>Small Popcorn Holder</v>
      </c>
      <c r="I2716" s="3">
        <v>48.0</v>
      </c>
      <c r="J2716" s="7">
        <v>40599.479166666664</v>
      </c>
      <c r="K2716" s="8" t="str">
        <f t="shared" si="4"/>
        <v>2011-02</v>
      </c>
      <c r="L2716" s="5">
        <v>0.85</v>
      </c>
      <c r="M2716" s="3">
        <v>13458.0</v>
      </c>
      <c r="N2716" s="1" t="str">
        <f t="shared" si="5"/>
        <v>Registered</v>
      </c>
      <c r="O2716" s="1" t="s">
        <v>19</v>
      </c>
      <c r="P2716" s="9" t="str">
        <f t="shared" si="6"/>
        <v>UK</v>
      </c>
      <c r="Q2716" s="8">
        <f t="shared" si="7"/>
        <v>40.8</v>
      </c>
    </row>
    <row r="2717">
      <c r="A2717" s="1">
        <v>544968.0</v>
      </c>
      <c r="B2717" s="1" t="str">
        <f t="shared" si="1"/>
        <v>544968</v>
      </c>
      <c r="C2717" s="1" t="str">
        <f t="shared" si="2"/>
        <v>Sale</v>
      </c>
      <c r="D2717" s="1" t="s">
        <v>21</v>
      </c>
      <c r="E2717" s="1" t="str">
        <f>IFERROR(__xludf.DUMMYFUNCTION("IF(LEN(D2717)&gt;4, IFERROR(REGEXEXTRACT(TO_TEXT(D2717),""\d+""),""""),"""")"),"84406")</f>
        <v>84406</v>
      </c>
      <c r="F2717" s="6" t="str">
        <f t="shared" si="3"/>
        <v>Product</v>
      </c>
      <c r="G2717" s="1" t="s">
        <v>22</v>
      </c>
      <c r="H2717" s="6" t="str">
        <f>IFERROR(__xludf.DUMMYFUNCTION("IF(REGEXMATCH(LOWER(G2717), ""^(\?)+\s*(missing)?\s*(\?)*$""), """", PROPER(SUBSTITUTE(SUBSTITUTE(G2717, ""?"", """"), ""*"", """")))"),"Cream Cupid Hearts Coat Hanger")</f>
        <v>Cream Cupid Hearts Coat Hanger</v>
      </c>
      <c r="I2717" s="3">
        <v>16.0</v>
      </c>
      <c r="J2717" s="7">
        <v>40599.479166666664</v>
      </c>
      <c r="K2717" s="8" t="str">
        <f t="shared" si="4"/>
        <v>2011-02</v>
      </c>
      <c r="L2717" s="5">
        <v>4.15</v>
      </c>
      <c r="M2717" s="3">
        <v>13458.0</v>
      </c>
      <c r="N2717" s="1" t="str">
        <f t="shared" si="5"/>
        <v>Registered</v>
      </c>
      <c r="O2717" s="1" t="s">
        <v>19</v>
      </c>
      <c r="P2717" s="9" t="str">
        <f t="shared" si="6"/>
        <v>UK</v>
      </c>
      <c r="Q2717" s="8">
        <f t="shared" si="7"/>
        <v>66.4</v>
      </c>
    </row>
    <row r="2718">
      <c r="A2718" s="1">
        <v>544968.0</v>
      </c>
      <c r="B2718" s="1" t="str">
        <f t="shared" si="1"/>
        <v>544968</v>
      </c>
      <c r="C2718" s="1" t="str">
        <f t="shared" si="2"/>
        <v>Sale</v>
      </c>
      <c r="D2718" s="1">
        <v>84882.0</v>
      </c>
      <c r="E2718" s="1" t="str">
        <f>IFERROR(__xludf.DUMMYFUNCTION("IF(LEN(D2718)&gt;4, IFERROR(REGEXEXTRACT(TO_TEXT(D2718),""\d+""),""""),"""")"),"84882")</f>
        <v>84882</v>
      </c>
      <c r="F2718" s="6" t="str">
        <f t="shared" si="3"/>
        <v>Product</v>
      </c>
      <c r="G2718" s="1" t="s">
        <v>1342</v>
      </c>
      <c r="H2718" s="6" t="str">
        <f>IFERROR(__xludf.DUMMYFUNCTION("IF(REGEXMATCH(LOWER(G2718), ""^(\?)+\s*(missing)?\s*(\?)*$""), """", PROPER(SUBSTITUTE(SUBSTITUTE(G2718, ""?"", """"), ""*"", """")))"),"Green Wire Standing Candle Holder")</f>
        <v>Green Wire Standing Candle Holder</v>
      </c>
      <c r="I2718" s="3">
        <v>4.0</v>
      </c>
      <c r="J2718" s="7">
        <v>40599.479166666664</v>
      </c>
      <c r="K2718" s="8" t="str">
        <f t="shared" si="4"/>
        <v>2011-02</v>
      </c>
      <c r="L2718" s="5">
        <v>3.75</v>
      </c>
      <c r="M2718" s="3">
        <v>13458.0</v>
      </c>
      <c r="N2718" s="1" t="str">
        <f t="shared" si="5"/>
        <v>Registered</v>
      </c>
      <c r="O2718" s="1" t="s">
        <v>19</v>
      </c>
      <c r="P2718" s="9" t="str">
        <f t="shared" si="6"/>
        <v>UK</v>
      </c>
      <c r="Q2718" s="8">
        <f t="shared" si="7"/>
        <v>15</v>
      </c>
    </row>
    <row r="2719">
      <c r="A2719" s="1">
        <v>544968.0</v>
      </c>
      <c r="B2719" s="1" t="str">
        <f t="shared" si="1"/>
        <v>544968</v>
      </c>
      <c r="C2719" s="1" t="str">
        <f t="shared" si="2"/>
        <v>Sale</v>
      </c>
      <c r="D2719" s="1" t="s">
        <v>17</v>
      </c>
      <c r="E2719" s="1" t="str">
        <f>IFERROR(__xludf.DUMMYFUNCTION("IF(LEN(D2719)&gt;4, IFERROR(REGEXEXTRACT(TO_TEXT(D2719),""\d+""),""""),"""")"),"85123")</f>
        <v>85123</v>
      </c>
      <c r="F2719" s="6" t="str">
        <f t="shared" si="3"/>
        <v>Product</v>
      </c>
      <c r="G2719" s="1" t="s">
        <v>18</v>
      </c>
      <c r="H2719" s="6" t="str">
        <f>IFERROR(__xludf.DUMMYFUNCTION("IF(REGEXMATCH(LOWER(G2719), ""^(\?)+\s*(missing)?\s*(\?)*$""), """", PROPER(SUBSTITUTE(SUBSTITUTE(G2719, ""?"", """"), ""*"", """")))"),"White Hanging Heart T-Light Holder")</f>
        <v>White Hanging Heart T-Light Holder</v>
      </c>
      <c r="I2719" s="3">
        <v>18.0</v>
      </c>
      <c r="J2719" s="7">
        <v>40599.479166666664</v>
      </c>
      <c r="K2719" s="8" t="str">
        <f t="shared" si="4"/>
        <v>2011-02</v>
      </c>
      <c r="L2719" s="5">
        <v>2.95</v>
      </c>
      <c r="M2719" s="3">
        <v>13458.0</v>
      </c>
      <c r="N2719" s="1" t="str">
        <f t="shared" si="5"/>
        <v>Registered</v>
      </c>
      <c r="O2719" s="1" t="s">
        <v>19</v>
      </c>
      <c r="P2719" s="9" t="str">
        <f t="shared" si="6"/>
        <v>UK</v>
      </c>
      <c r="Q2719" s="8">
        <f t="shared" si="7"/>
        <v>53.1</v>
      </c>
    </row>
    <row r="2720">
      <c r="A2720" s="1">
        <v>544968.0</v>
      </c>
      <c r="B2720" s="1" t="str">
        <f t="shared" si="1"/>
        <v>544968</v>
      </c>
      <c r="C2720" s="1" t="str">
        <f t="shared" si="2"/>
        <v>Sale</v>
      </c>
      <c r="D2720" s="1">
        <v>21916.0</v>
      </c>
      <c r="E2720" s="1" t="str">
        <f>IFERROR(__xludf.DUMMYFUNCTION("IF(LEN(D2720)&gt;4, IFERROR(REGEXEXTRACT(TO_TEXT(D2720),""\d+""),""""),"""")"),"21916")</f>
        <v>21916</v>
      </c>
      <c r="F2720" s="6" t="str">
        <f t="shared" si="3"/>
        <v>Product</v>
      </c>
      <c r="G2720" s="1" t="s">
        <v>493</v>
      </c>
      <c r="H2720" s="6" t="str">
        <f>IFERROR(__xludf.DUMMYFUNCTION("IF(REGEXMATCH(LOWER(G2720), ""^(\?)+\s*(missing)?\s*(\?)*$""), """", PROPER(SUBSTITUTE(SUBSTITUTE(G2720, ""?"", """"), ""*"", """")))"),"Set 12 Retro White Chalk Sticks")</f>
        <v>Set 12 Retro White Chalk Sticks</v>
      </c>
      <c r="I2720" s="3">
        <v>24.0</v>
      </c>
      <c r="J2720" s="7">
        <v>40599.479166666664</v>
      </c>
      <c r="K2720" s="8" t="str">
        <f t="shared" si="4"/>
        <v>2011-02</v>
      </c>
      <c r="L2720" s="5">
        <v>0.42</v>
      </c>
      <c r="M2720" s="3">
        <v>13458.0</v>
      </c>
      <c r="N2720" s="1" t="str">
        <f t="shared" si="5"/>
        <v>Registered</v>
      </c>
      <c r="O2720" s="1" t="s">
        <v>19</v>
      </c>
      <c r="P2720" s="9" t="str">
        <f t="shared" si="6"/>
        <v>UK</v>
      </c>
      <c r="Q2720" s="8">
        <f t="shared" si="7"/>
        <v>10.08</v>
      </c>
    </row>
    <row r="2721">
      <c r="A2721" s="1">
        <v>544968.0</v>
      </c>
      <c r="B2721" s="1" t="str">
        <f t="shared" si="1"/>
        <v>544968</v>
      </c>
      <c r="C2721" s="1" t="str">
        <f t="shared" si="2"/>
        <v>Sale</v>
      </c>
      <c r="D2721" s="1">
        <v>21155.0</v>
      </c>
      <c r="E2721" s="1" t="str">
        <f>IFERROR(__xludf.DUMMYFUNCTION("IF(LEN(D2721)&gt;4, IFERROR(REGEXEXTRACT(TO_TEXT(D2721),""\d+""),""""),"""")"),"21155")</f>
        <v>21155</v>
      </c>
      <c r="F2721" s="6" t="str">
        <f t="shared" si="3"/>
        <v>Product</v>
      </c>
      <c r="G2721" s="1" t="s">
        <v>1159</v>
      </c>
      <c r="H2721" s="6" t="str">
        <f>IFERROR(__xludf.DUMMYFUNCTION("IF(REGEXMATCH(LOWER(G2721), ""^(\?)+\s*(missing)?\s*(\?)*$""), """", PROPER(SUBSTITUTE(SUBSTITUTE(G2721, ""?"", """"), ""*"", """")))"),"Red Retrospot Peg Bag")</f>
        <v>Red Retrospot Peg Bag</v>
      </c>
      <c r="I2721" s="3">
        <v>6.0</v>
      </c>
      <c r="J2721" s="7">
        <v>40599.479166666664</v>
      </c>
      <c r="K2721" s="8" t="str">
        <f t="shared" si="4"/>
        <v>2011-02</v>
      </c>
      <c r="L2721" s="5">
        <v>2.55</v>
      </c>
      <c r="M2721" s="3">
        <v>13458.0</v>
      </c>
      <c r="N2721" s="1" t="str">
        <f t="shared" si="5"/>
        <v>Registered</v>
      </c>
      <c r="O2721" s="1" t="s">
        <v>19</v>
      </c>
      <c r="P2721" s="9" t="str">
        <f t="shared" si="6"/>
        <v>UK</v>
      </c>
      <c r="Q2721" s="8">
        <f t="shared" si="7"/>
        <v>15.3</v>
      </c>
    </row>
    <row r="2722">
      <c r="A2722" s="1">
        <v>544968.0</v>
      </c>
      <c r="B2722" s="1" t="str">
        <f t="shared" si="1"/>
        <v>544968</v>
      </c>
      <c r="C2722" s="1" t="str">
        <f t="shared" si="2"/>
        <v>Sale</v>
      </c>
      <c r="D2722" s="1" t="s">
        <v>284</v>
      </c>
      <c r="E2722" s="1" t="str">
        <f>IFERROR(__xludf.DUMMYFUNCTION("IF(LEN(D2722)&gt;4, IFERROR(REGEXEXTRACT(TO_TEXT(D2722),""\d+""),""""),"""")"),"84509")</f>
        <v>84509</v>
      </c>
      <c r="F2722" s="6" t="str">
        <f t="shared" si="3"/>
        <v>Product</v>
      </c>
      <c r="G2722" s="1" t="s">
        <v>285</v>
      </c>
      <c r="H2722" s="6" t="str">
        <f>IFERROR(__xludf.DUMMYFUNCTION("IF(REGEXMATCH(LOWER(G2722), ""^(\?)+\s*(missing)?\s*(\?)*$""), """", PROPER(SUBSTITUTE(SUBSTITUTE(G2722, ""?"", """"), ""*"", """")))"),"Set Of 4 English Rose Placemats")</f>
        <v>Set Of 4 English Rose Placemats</v>
      </c>
      <c r="I2722" s="3">
        <v>8.0</v>
      </c>
      <c r="J2722" s="7">
        <v>40599.479166666664</v>
      </c>
      <c r="K2722" s="8" t="str">
        <f t="shared" si="4"/>
        <v>2011-02</v>
      </c>
      <c r="L2722" s="5">
        <v>3.75</v>
      </c>
      <c r="M2722" s="3">
        <v>13458.0</v>
      </c>
      <c r="N2722" s="1" t="str">
        <f t="shared" si="5"/>
        <v>Registered</v>
      </c>
      <c r="O2722" s="1" t="s">
        <v>19</v>
      </c>
      <c r="P2722" s="9" t="str">
        <f t="shared" si="6"/>
        <v>UK</v>
      </c>
      <c r="Q2722" s="8">
        <f t="shared" si="7"/>
        <v>30</v>
      </c>
    </row>
    <row r="2723">
      <c r="A2723" s="1">
        <v>544968.0</v>
      </c>
      <c r="B2723" s="1" t="str">
        <f t="shared" si="1"/>
        <v>544968</v>
      </c>
      <c r="C2723" s="1" t="str">
        <f t="shared" si="2"/>
        <v>Sale</v>
      </c>
      <c r="D2723" s="1" t="s">
        <v>286</v>
      </c>
      <c r="E2723" s="1" t="str">
        <f>IFERROR(__xludf.DUMMYFUNCTION("IF(LEN(D2723)&gt;4, IFERROR(REGEXEXTRACT(TO_TEXT(D2723),""\d+""),""""),"""")"),"84510")</f>
        <v>84510</v>
      </c>
      <c r="F2723" s="6" t="str">
        <f t="shared" si="3"/>
        <v>Product</v>
      </c>
      <c r="G2723" s="1" t="s">
        <v>287</v>
      </c>
      <c r="H2723" s="6" t="str">
        <f>IFERROR(__xludf.DUMMYFUNCTION("IF(REGEXMATCH(LOWER(G2723), ""^(\?)+\s*(missing)?\s*(\?)*$""), """", PROPER(SUBSTITUTE(SUBSTITUTE(G2723, ""?"", """"), ""*"", """")))"),"Set Of 4 English Rose Coasters")</f>
        <v>Set Of 4 English Rose Coasters</v>
      </c>
      <c r="I2723" s="3">
        <v>10.0</v>
      </c>
      <c r="J2723" s="7">
        <v>40599.479166666664</v>
      </c>
      <c r="K2723" s="8" t="str">
        <f t="shared" si="4"/>
        <v>2011-02</v>
      </c>
      <c r="L2723" s="5">
        <v>1.25</v>
      </c>
      <c r="M2723" s="3">
        <v>13458.0</v>
      </c>
      <c r="N2723" s="1" t="str">
        <f t="shared" si="5"/>
        <v>Registered</v>
      </c>
      <c r="O2723" s="1" t="s">
        <v>19</v>
      </c>
      <c r="P2723" s="9" t="str">
        <f t="shared" si="6"/>
        <v>UK</v>
      </c>
      <c r="Q2723" s="8">
        <f t="shared" si="7"/>
        <v>12.5</v>
      </c>
    </row>
    <row r="2724">
      <c r="A2724" s="1">
        <v>544968.0</v>
      </c>
      <c r="B2724" s="1" t="str">
        <f t="shared" si="1"/>
        <v>544968</v>
      </c>
      <c r="C2724" s="1" t="str">
        <f t="shared" si="2"/>
        <v>Sale</v>
      </c>
      <c r="D2724" s="1">
        <v>22151.0</v>
      </c>
      <c r="E2724" s="1" t="str">
        <f>IFERROR(__xludf.DUMMYFUNCTION("IF(LEN(D2724)&gt;4, IFERROR(REGEXEXTRACT(TO_TEXT(D2724),""\d+""),""""),"""")"),"22151")</f>
        <v>22151</v>
      </c>
      <c r="F2724" s="6" t="str">
        <f t="shared" si="3"/>
        <v>Product</v>
      </c>
      <c r="G2724" s="1" t="s">
        <v>656</v>
      </c>
      <c r="H2724" s="6" t="str">
        <f>IFERROR(__xludf.DUMMYFUNCTION("IF(REGEXMATCH(LOWER(G2724), ""^(\?)+\s*(missing)?\s*(\?)*$""), """", PROPER(SUBSTITUTE(SUBSTITUTE(G2724, ""?"", """"), ""*"", """")))"),"Place Setting White Heart")</f>
        <v>Place Setting White Heart</v>
      </c>
      <c r="I2724" s="3">
        <v>24.0</v>
      </c>
      <c r="J2724" s="7">
        <v>40599.479166666664</v>
      </c>
      <c r="K2724" s="8" t="str">
        <f t="shared" si="4"/>
        <v>2011-02</v>
      </c>
      <c r="L2724" s="5">
        <v>0.42</v>
      </c>
      <c r="M2724" s="3">
        <v>13458.0</v>
      </c>
      <c r="N2724" s="1" t="str">
        <f t="shared" si="5"/>
        <v>Registered</v>
      </c>
      <c r="O2724" s="1" t="s">
        <v>19</v>
      </c>
      <c r="P2724" s="9" t="str">
        <f t="shared" si="6"/>
        <v>UK</v>
      </c>
      <c r="Q2724" s="8">
        <f t="shared" si="7"/>
        <v>10.08</v>
      </c>
    </row>
    <row r="2725">
      <c r="A2725" s="1">
        <v>544968.0</v>
      </c>
      <c r="B2725" s="1" t="str">
        <f t="shared" si="1"/>
        <v>544968</v>
      </c>
      <c r="C2725" s="1" t="str">
        <f t="shared" si="2"/>
        <v>Sale</v>
      </c>
      <c r="D2725" s="1">
        <v>21844.0</v>
      </c>
      <c r="E2725" s="1" t="str">
        <f>IFERROR(__xludf.DUMMYFUNCTION("IF(LEN(D2725)&gt;4, IFERROR(REGEXEXTRACT(TO_TEXT(D2725),""\d+""),""""),"""")"),"21844")</f>
        <v>21844</v>
      </c>
      <c r="F2725" s="6" t="str">
        <f t="shared" si="3"/>
        <v>Product</v>
      </c>
      <c r="G2725" s="1" t="s">
        <v>261</v>
      </c>
      <c r="H2725" s="6" t="str">
        <f>IFERROR(__xludf.DUMMYFUNCTION("IF(REGEXMATCH(LOWER(G2725), ""^(\?)+\s*(missing)?\s*(\?)*$""), """", PROPER(SUBSTITUTE(SUBSTITUTE(G2725, ""?"", """"), ""*"", """")))"),"Red Retrospot Mug")</f>
        <v>Red Retrospot Mug</v>
      </c>
      <c r="I2725" s="3">
        <v>6.0</v>
      </c>
      <c r="J2725" s="7">
        <v>40599.479166666664</v>
      </c>
      <c r="K2725" s="8" t="str">
        <f t="shared" si="4"/>
        <v>2011-02</v>
      </c>
      <c r="L2725" s="5">
        <v>2.95</v>
      </c>
      <c r="M2725" s="3">
        <v>13458.0</v>
      </c>
      <c r="N2725" s="1" t="str">
        <f t="shared" si="5"/>
        <v>Registered</v>
      </c>
      <c r="O2725" s="1" t="s">
        <v>19</v>
      </c>
      <c r="P2725" s="9" t="str">
        <f t="shared" si="6"/>
        <v>UK</v>
      </c>
      <c r="Q2725" s="8">
        <f t="shared" si="7"/>
        <v>17.7</v>
      </c>
    </row>
    <row r="2726">
      <c r="A2726" s="1">
        <v>544968.0</v>
      </c>
      <c r="B2726" s="1" t="str">
        <f t="shared" si="1"/>
        <v>544968</v>
      </c>
      <c r="C2726" s="1" t="str">
        <f t="shared" si="2"/>
        <v>Sale</v>
      </c>
      <c r="D2726" s="1">
        <v>22630.0</v>
      </c>
      <c r="E2726" s="1" t="str">
        <f>IFERROR(__xludf.DUMMYFUNCTION("IF(LEN(D2726)&gt;4, IFERROR(REGEXEXTRACT(TO_TEXT(D2726),""\d+""),""""),"""")"),"22630")</f>
        <v>22630</v>
      </c>
      <c r="F2726" s="6" t="str">
        <f t="shared" si="3"/>
        <v>Product</v>
      </c>
      <c r="G2726" s="1" t="s">
        <v>433</v>
      </c>
      <c r="H2726" s="6" t="str">
        <f>IFERROR(__xludf.DUMMYFUNCTION("IF(REGEXMATCH(LOWER(G2726), ""^(\?)+\s*(missing)?\s*(\?)*$""), """", PROPER(SUBSTITUTE(SUBSTITUTE(G2726, ""?"", """"), ""*"", """")))"),"Dolly Girl Lunch Box")</f>
        <v>Dolly Girl Lunch Box</v>
      </c>
      <c r="I2726" s="3">
        <v>12.0</v>
      </c>
      <c r="J2726" s="7">
        <v>40599.479166666664</v>
      </c>
      <c r="K2726" s="8" t="str">
        <f t="shared" si="4"/>
        <v>2011-02</v>
      </c>
      <c r="L2726" s="5">
        <v>1.95</v>
      </c>
      <c r="M2726" s="3">
        <v>13458.0</v>
      </c>
      <c r="N2726" s="1" t="str">
        <f t="shared" si="5"/>
        <v>Registered</v>
      </c>
      <c r="O2726" s="1" t="s">
        <v>19</v>
      </c>
      <c r="P2726" s="9" t="str">
        <f t="shared" si="6"/>
        <v>UK</v>
      </c>
      <c r="Q2726" s="8">
        <f t="shared" si="7"/>
        <v>23.4</v>
      </c>
    </row>
    <row r="2727">
      <c r="A2727" s="1">
        <v>544968.0</v>
      </c>
      <c r="B2727" s="1" t="str">
        <f t="shared" si="1"/>
        <v>544968</v>
      </c>
      <c r="C2727" s="1" t="str">
        <f t="shared" si="2"/>
        <v>Sale</v>
      </c>
      <c r="D2727" s="1">
        <v>21078.0</v>
      </c>
      <c r="E2727" s="1" t="str">
        <f>IFERROR(__xludf.DUMMYFUNCTION("IF(LEN(D2727)&gt;4, IFERROR(REGEXEXTRACT(TO_TEXT(D2727),""\d+""),""""),"""")"),"21078")</f>
        <v>21078</v>
      </c>
      <c r="F2727" s="6" t="str">
        <f t="shared" si="3"/>
        <v>Product</v>
      </c>
      <c r="G2727" s="1" t="s">
        <v>1121</v>
      </c>
      <c r="H2727" s="6" t="str">
        <f>IFERROR(__xludf.DUMMYFUNCTION("IF(REGEXMATCH(LOWER(G2727), ""^(\?)+\s*(missing)?\s*(\?)*$""), """", PROPER(SUBSTITUTE(SUBSTITUTE(G2727, ""?"", """"), ""*"", """")))"),"Set/20 Strawberry Paper Napkins")</f>
        <v>Set/20 Strawberry Paper Napkins</v>
      </c>
      <c r="I2727" s="3">
        <v>12.0</v>
      </c>
      <c r="J2727" s="7">
        <v>40599.479166666664</v>
      </c>
      <c r="K2727" s="8" t="str">
        <f t="shared" si="4"/>
        <v>2011-02</v>
      </c>
      <c r="L2727" s="5">
        <v>0.85</v>
      </c>
      <c r="M2727" s="3">
        <v>13458.0</v>
      </c>
      <c r="N2727" s="1" t="str">
        <f t="shared" si="5"/>
        <v>Registered</v>
      </c>
      <c r="O2727" s="1" t="s">
        <v>19</v>
      </c>
      <c r="P2727" s="9" t="str">
        <f t="shared" si="6"/>
        <v>UK</v>
      </c>
      <c r="Q2727" s="8">
        <f t="shared" si="7"/>
        <v>10.2</v>
      </c>
    </row>
    <row r="2728">
      <c r="A2728" s="1">
        <v>544968.0</v>
      </c>
      <c r="B2728" s="1" t="str">
        <f t="shared" si="1"/>
        <v>544968</v>
      </c>
      <c r="C2728" s="1" t="str">
        <f t="shared" si="2"/>
        <v>Sale</v>
      </c>
      <c r="D2728" s="1">
        <v>22766.0</v>
      </c>
      <c r="E2728" s="1" t="str">
        <f>IFERROR(__xludf.DUMMYFUNCTION("IF(LEN(D2728)&gt;4, IFERROR(REGEXEXTRACT(TO_TEXT(D2728),""\d+""),""""),"""")"),"22766")</f>
        <v>22766</v>
      </c>
      <c r="F2728" s="6" t="str">
        <f t="shared" si="3"/>
        <v>Product</v>
      </c>
      <c r="G2728" s="1" t="s">
        <v>274</v>
      </c>
      <c r="H2728" s="6" t="str">
        <f>IFERROR(__xludf.DUMMYFUNCTION("IF(REGEXMATCH(LOWER(G2728), ""^(\?)+\s*(missing)?\s*(\?)*$""), """", PROPER(SUBSTITUTE(SUBSTITUTE(G2728, ""?"", """"), ""*"", """")))"),"Photo Frame Cornice")</f>
        <v>Photo Frame Cornice</v>
      </c>
      <c r="I2728" s="3">
        <v>8.0</v>
      </c>
      <c r="J2728" s="7">
        <v>40599.479166666664</v>
      </c>
      <c r="K2728" s="8" t="str">
        <f t="shared" si="4"/>
        <v>2011-02</v>
      </c>
      <c r="L2728" s="5">
        <v>2.95</v>
      </c>
      <c r="M2728" s="3">
        <v>13458.0</v>
      </c>
      <c r="N2728" s="1" t="str">
        <f t="shared" si="5"/>
        <v>Registered</v>
      </c>
      <c r="O2728" s="1" t="s">
        <v>19</v>
      </c>
      <c r="P2728" s="9" t="str">
        <f t="shared" si="6"/>
        <v>UK</v>
      </c>
      <c r="Q2728" s="8">
        <f t="shared" si="7"/>
        <v>23.6</v>
      </c>
    </row>
    <row r="2729">
      <c r="A2729" s="1">
        <v>544968.0</v>
      </c>
      <c r="B2729" s="1" t="str">
        <f t="shared" si="1"/>
        <v>544968</v>
      </c>
      <c r="C2729" s="1" t="str">
        <f t="shared" si="2"/>
        <v>Sale</v>
      </c>
      <c r="D2729" s="1">
        <v>22470.0</v>
      </c>
      <c r="E2729" s="1" t="str">
        <f>IFERROR(__xludf.DUMMYFUNCTION("IF(LEN(D2729)&gt;4, IFERROR(REGEXEXTRACT(TO_TEXT(D2729),""\d+""),""""),"""")"),"22470")</f>
        <v>22470</v>
      </c>
      <c r="F2729" s="6" t="str">
        <f t="shared" si="3"/>
        <v>Product</v>
      </c>
      <c r="G2729" s="1" t="s">
        <v>168</v>
      </c>
      <c r="H2729" s="6" t="str">
        <f>IFERROR(__xludf.DUMMYFUNCTION("IF(REGEXMATCH(LOWER(G2729), ""^(\?)+\s*(missing)?\s*(\?)*$""), """", PROPER(SUBSTITUTE(SUBSTITUTE(G2729, ""?"", """"), ""*"", """")))"),"Heart Of Wicker Large")</f>
        <v>Heart Of Wicker Large</v>
      </c>
      <c r="I2729" s="3">
        <v>24.0</v>
      </c>
      <c r="J2729" s="7">
        <v>40599.479166666664</v>
      </c>
      <c r="K2729" s="8" t="str">
        <f t="shared" si="4"/>
        <v>2011-02</v>
      </c>
      <c r="L2729" s="5">
        <v>2.95</v>
      </c>
      <c r="M2729" s="3">
        <v>13458.0</v>
      </c>
      <c r="N2729" s="1" t="str">
        <f t="shared" si="5"/>
        <v>Registered</v>
      </c>
      <c r="O2729" s="1" t="s">
        <v>19</v>
      </c>
      <c r="P2729" s="9" t="str">
        <f t="shared" si="6"/>
        <v>UK</v>
      </c>
      <c r="Q2729" s="8">
        <f t="shared" si="7"/>
        <v>70.8</v>
      </c>
    </row>
    <row r="2730">
      <c r="A2730" s="1">
        <v>544968.0</v>
      </c>
      <c r="B2730" s="1" t="str">
        <f t="shared" si="1"/>
        <v>544968</v>
      </c>
      <c r="C2730" s="1" t="str">
        <f t="shared" si="2"/>
        <v>Sale</v>
      </c>
      <c r="D2730" s="1">
        <v>84879.0</v>
      </c>
      <c r="E2730" s="1" t="str">
        <f>IFERROR(__xludf.DUMMYFUNCTION("IF(LEN(D2730)&gt;4, IFERROR(REGEXEXTRACT(TO_TEXT(D2730),""\d+""),""""),"""")"),"84879")</f>
        <v>84879</v>
      </c>
      <c r="F2730" s="6" t="str">
        <f t="shared" si="3"/>
        <v>Product</v>
      </c>
      <c r="G2730" s="1" t="s">
        <v>31</v>
      </c>
      <c r="H2730" s="6" t="str">
        <f>IFERROR(__xludf.DUMMYFUNCTION("IF(REGEXMATCH(LOWER(G2730), ""^(\?)+\s*(missing)?\s*(\?)*$""), """", PROPER(SUBSTITUTE(SUBSTITUTE(G2730, ""?"", """"), ""*"", """")))"),"Assorted Colour Bird Ornament")</f>
        <v>Assorted Colour Bird Ornament</v>
      </c>
      <c r="I2730" s="3">
        <v>16.0</v>
      </c>
      <c r="J2730" s="7">
        <v>40599.479166666664</v>
      </c>
      <c r="K2730" s="8" t="str">
        <f t="shared" si="4"/>
        <v>2011-02</v>
      </c>
      <c r="L2730" s="5">
        <v>1.69</v>
      </c>
      <c r="M2730" s="3">
        <v>13458.0</v>
      </c>
      <c r="N2730" s="1" t="str">
        <f t="shared" si="5"/>
        <v>Registered</v>
      </c>
      <c r="O2730" s="1" t="s">
        <v>19</v>
      </c>
      <c r="P2730" s="9" t="str">
        <f t="shared" si="6"/>
        <v>UK</v>
      </c>
      <c r="Q2730" s="8">
        <f t="shared" si="7"/>
        <v>27.04</v>
      </c>
    </row>
    <row r="2731">
      <c r="A2731" s="1">
        <v>544968.0</v>
      </c>
      <c r="B2731" s="1" t="str">
        <f t="shared" si="1"/>
        <v>544968</v>
      </c>
      <c r="C2731" s="1" t="str">
        <f t="shared" si="2"/>
        <v>Sale</v>
      </c>
      <c r="D2731" s="1">
        <v>21363.0</v>
      </c>
      <c r="E2731" s="1" t="str">
        <f>IFERROR(__xludf.DUMMYFUNCTION("IF(LEN(D2731)&gt;4, IFERROR(REGEXEXTRACT(TO_TEXT(D2731),""\d+""),""""),"""")"),"21363")</f>
        <v>21363</v>
      </c>
      <c r="F2731" s="6" t="str">
        <f t="shared" si="3"/>
        <v>Product</v>
      </c>
      <c r="G2731" s="1" t="s">
        <v>187</v>
      </c>
      <c r="H2731" s="6" t="str">
        <f>IFERROR(__xludf.DUMMYFUNCTION("IF(REGEXMATCH(LOWER(G2731), ""^(\?)+\s*(missing)?\s*(\?)*$""), """", PROPER(SUBSTITUTE(SUBSTITUTE(G2731, ""?"", """"), ""*"", """")))"),"Home Small Wood Letters")</f>
        <v>Home Small Wood Letters</v>
      </c>
      <c r="I2731" s="3">
        <v>3.0</v>
      </c>
      <c r="J2731" s="7">
        <v>40599.479166666664</v>
      </c>
      <c r="K2731" s="8" t="str">
        <f t="shared" si="4"/>
        <v>2011-02</v>
      </c>
      <c r="L2731" s="5">
        <v>4.95</v>
      </c>
      <c r="M2731" s="3">
        <v>13458.0</v>
      </c>
      <c r="N2731" s="1" t="str">
        <f t="shared" si="5"/>
        <v>Registered</v>
      </c>
      <c r="O2731" s="1" t="s">
        <v>19</v>
      </c>
      <c r="P2731" s="9" t="str">
        <f t="shared" si="6"/>
        <v>UK</v>
      </c>
      <c r="Q2731" s="8">
        <f t="shared" si="7"/>
        <v>14.85</v>
      </c>
    </row>
    <row r="2732">
      <c r="A2732" s="1">
        <v>544968.0</v>
      </c>
      <c r="B2732" s="1" t="str">
        <f t="shared" si="1"/>
        <v>544968</v>
      </c>
      <c r="C2732" s="1" t="str">
        <f t="shared" si="2"/>
        <v>Sale</v>
      </c>
      <c r="D2732" s="1">
        <v>21754.0</v>
      </c>
      <c r="E2732" s="1" t="str">
        <f>IFERROR(__xludf.DUMMYFUNCTION("IF(LEN(D2732)&gt;4, IFERROR(REGEXEXTRACT(TO_TEXT(D2732),""\d+""),""""),"""")"),"21754")</f>
        <v>21754</v>
      </c>
      <c r="F2732" s="6" t="str">
        <f t="shared" si="3"/>
        <v>Product</v>
      </c>
      <c r="G2732" s="1" t="s">
        <v>39</v>
      </c>
      <c r="H2732" s="6" t="str">
        <f>IFERROR(__xludf.DUMMYFUNCTION("IF(REGEXMATCH(LOWER(G2732), ""^(\?)+\s*(missing)?\s*(\?)*$""), """", PROPER(SUBSTITUTE(SUBSTITUTE(G2732, ""?"", """"), ""*"", """")))"),"Home Building Block Word")</f>
        <v>Home Building Block Word</v>
      </c>
      <c r="I2732" s="3">
        <v>6.0</v>
      </c>
      <c r="J2732" s="7">
        <v>40599.479166666664</v>
      </c>
      <c r="K2732" s="8" t="str">
        <f t="shared" si="4"/>
        <v>2011-02</v>
      </c>
      <c r="L2732" s="5">
        <v>5.95</v>
      </c>
      <c r="M2732" s="3">
        <v>13458.0</v>
      </c>
      <c r="N2732" s="1" t="str">
        <f t="shared" si="5"/>
        <v>Registered</v>
      </c>
      <c r="O2732" s="1" t="s">
        <v>19</v>
      </c>
      <c r="P2732" s="9" t="str">
        <f t="shared" si="6"/>
        <v>UK</v>
      </c>
      <c r="Q2732" s="8">
        <f t="shared" si="7"/>
        <v>35.7</v>
      </c>
    </row>
    <row r="2733">
      <c r="A2733" s="1">
        <v>544968.0</v>
      </c>
      <c r="B2733" s="1" t="str">
        <f t="shared" si="1"/>
        <v>544968</v>
      </c>
      <c r="C2733" s="1" t="str">
        <f t="shared" si="2"/>
        <v>Sale</v>
      </c>
      <c r="D2733" s="1">
        <v>21756.0</v>
      </c>
      <c r="E2733" s="1" t="str">
        <f>IFERROR(__xludf.DUMMYFUNCTION("IF(LEN(D2733)&gt;4, IFERROR(REGEXEXTRACT(TO_TEXT(D2733),""\d+""),""""),"""")"),"21756")</f>
        <v>21756</v>
      </c>
      <c r="F2733" s="6" t="str">
        <f t="shared" si="3"/>
        <v>Product</v>
      </c>
      <c r="G2733" s="1" t="s">
        <v>47</v>
      </c>
      <c r="H2733" s="6" t="str">
        <f>IFERROR(__xludf.DUMMYFUNCTION("IF(REGEXMATCH(LOWER(G2733), ""^(\?)+\s*(missing)?\s*(\?)*$""), """", PROPER(SUBSTITUTE(SUBSTITUTE(G2733, ""?"", """"), ""*"", """")))"),"Bath Building Block Word")</f>
        <v>Bath Building Block Word</v>
      </c>
      <c r="I2733" s="3">
        <v>3.0</v>
      </c>
      <c r="J2733" s="7">
        <v>40599.479166666664</v>
      </c>
      <c r="K2733" s="8" t="str">
        <f t="shared" si="4"/>
        <v>2011-02</v>
      </c>
      <c r="L2733" s="5">
        <v>5.95</v>
      </c>
      <c r="M2733" s="3">
        <v>13458.0</v>
      </c>
      <c r="N2733" s="1" t="str">
        <f t="shared" si="5"/>
        <v>Registered</v>
      </c>
      <c r="O2733" s="1" t="s">
        <v>19</v>
      </c>
      <c r="P2733" s="9" t="str">
        <f t="shared" si="6"/>
        <v>UK</v>
      </c>
      <c r="Q2733" s="8">
        <f t="shared" si="7"/>
        <v>17.85</v>
      </c>
    </row>
    <row r="2734">
      <c r="A2734" s="1">
        <v>544968.0</v>
      </c>
      <c r="B2734" s="1" t="str">
        <f t="shared" si="1"/>
        <v>544968</v>
      </c>
      <c r="C2734" s="1" t="str">
        <f t="shared" si="2"/>
        <v>Sale</v>
      </c>
      <c r="D2734" s="1">
        <v>21166.0</v>
      </c>
      <c r="E2734" s="1" t="str">
        <f>IFERROR(__xludf.DUMMYFUNCTION("IF(LEN(D2734)&gt;4, IFERROR(REGEXEXTRACT(TO_TEXT(D2734),""\d+""),""""),"""")"),"21166")</f>
        <v>21166</v>
      </c>
      <c r="F2734" s="6" t="str">
        <f t="shared" si="3"/>
        <v>Product</v>
      </c>
      <c r="G2734" s="1" t="s">
        <v>122</v>
      </c>
      <c r="H2734" s="6" t="str">
        <f>IFERROR(__xludf.DUMMYFUNCTION("IF(REGEXMATCH(LOWER(G2734), ""^(\?)+\s*(missing)?\s*(\?)*$""), """", PROPER(SUBSTITUTE(SUBSTITUTE(G2734, ""?"", """"), ""*"", """")))"),"Cook With Wine Metal Sign")</f>
        <v>Cook With Wine Metal Sign</v>
      </c>
      <c r="I2734" s="3">
        <v>48.0</v>
      </c>
      <c r="J2734" s="7">
        <v>40599.479166666664</v>
      </c>
      <c r="K2734" s="8" t="str">
        <f t="shared" si="4"/>
        <v>2011-02</v>
      </c>
      <c r="L2734" s="5">
        <v>1.85</v>
      </c>
      <c r="M2734" s="3">
        <v>13458.0</v>
      </c>
      <c r="N2734" s="1" t="str">
        <f t="shared" si="5"/>
        <v>Registered</v>
      </c>
      <c r="O2734" s="1" t="s">
        <v>19</v>
      </c>
      <c r="P2734" s="9" t="str">
        <f t="shared" si="6"/>
        <v>UK</v>
      </c>
      <c r="Q2734" s="8">
        <f t="shared" si="7"/>
        <v>88.8</v>
      </c>
    </row>
    <row r="2735">
      <c r="A2735" s="1">
        <v>544968.0</v>
      </c>
      <c r="B2735" s="1" t="str">
        <f t="shared" si="1"/>
        <v>544968</v>
      </c>
      <c r="C2735" s="1" t="str">
        <f t="shared" si="2"/>
        <v>Sale</v>
      </c>
      <c r="D2735" s="1">
        <v>85152.0</v>
      </c>
      <c r="E2735" s="1" t="str">
        <f>IFERROR(__xludf.DUMMYFUNCTION("IF(LEN(D2735)&gt;4, IFERROR(REGEXEXTRACT(TO_TEXT(D2735),""\d+""),""""),"""")"),"85152")</f>
        <v>85152</v>
      </c>
      <c r="F2735" s="6" t="str">
        <f t="shared" si="3"/>
        <v>Product</v>
      </c>
      <c r="G2735" s="1" t="s">
        <v>251</v>
      </c>
      <c r="H2735" s="6" t="str">
        <f>IFERROR(__xludf.DUMMYFUNCTION("IF(REGEXMATCH(LOWER(G2735), ""^(\?)+\s*(missing)?\s*(\?)*$""), """", PROPER(SUBSTITUTE(SUBSTITUTE(G2735, ""?"", """"), ""*"", """")))"),"Hand Over The Chocolate Sign")</f>
        <v>Hand Over The Chocolate Sign</v>
      </c>
      <c r="I2735" s="3">
        <v>48.0</v>
      </c>
      <c r="J2735" s="7">
        <v>40599.479166666664</v>
      </c>
      <c r="K2735" s="8" t="str">
        <f t="shared" si="4"/>
        <v>2011-02</v>
      </c>
      <c r="L2735" s="5">
        <v>1.69</v>
      </c>
      <c r="M2735" s="3">
        <v>13458.0</v>
      </c>
      <c r="N2735" s="1" t="str">
        <f t="shared" si="5"/>
        <v>Registered</v>
      </c>
      <c r="O2735" s="1" t="s">
        <v>19</v>
      </c>
      <c r="P2735" s="9" t="str">
        <f t="shared" si="6"/>
        <v>UK</v>
      </c>
      <c r="Q2735" s="8">
        <f t="shared" si="7"/>
        <v>81.12</v>
      </c>
    </row>
    <row r="2736">
      <c r="A2736" s="1">
        <v>544969.0</v>
      </c>
      <c r="B2736" s="1" t="str">
        <f t="shared" si="1"/>
        <v>544969</v>
      </c>
      <c r="C2736" s="1" t="str">
        <f t="shared" si="2"/>
        <v>Sale</v>
      </c>
      <c r="D2736" s="1">
        <v>22138.0</v>
      </c>
      <c r="E2736" s="1" t="str">
        <f>IFERROR(__xludf.DUMMYFUNCTION("IF(LEN(D2736)&gt;4, IFERROR(REGEXEXTRACT(TO_TEXT(D2736),""\d+""),""""),"""")"),"22138")</f>
        <v>22138</v>
      </c>
      <c r="F2736" s="6" t="str">
        <f t="shared" si="3"/>
        <v>Product</v>
      </c>
      <c r="G2736" s="1" t="s">
        <v>735</v>
      </c>
      <c r="H2736" s="6" t="str">
        <f>IFERROR(__xludf.DUMMYFUNCTION("IF(REGEXMATCH(LOWER(G2736), ""^(\?)+\s*(missing)?\s*(\?)*$""), """", PROPER(SUBSTITUTE(SUBSTITUTE(G2736, ""?"", """"), ""*"", """")))"),"Baking Set 9 Piece Retrospot")</f>
        <v>Baking Set 9 Piece Retrospot</v>
      </c>
      <c r="I2736" s="3">
        <v>3.0</v>
      </c>
      <c r="J2736" s="7">
        <v>40599.48055555556</v>
      </c>
      <c r="K2736" s="8" t="str">
        <f t="shared" si="4"/>
        <v>2011-02</v>
      </c>
      <c r="L2736" s="5">
        <v>4.95</v>
      </c>
      <c r="M2736" s="3">
        <v>15712.0</v>
      </c>
      <c r="N2736" s="1" t="str">
        <f t="shared" si="5"/>
        <v>Registered</v>
      </c>
      <c r="O2736" s="1" t="s">
        <v>19</v>
      </c>
      <c r="P2736" s="9" t="str">
        <f t="shared" si="6"/>
        <v>UK</v>
      </c>
      <c r="Q2736" s="8">
        <f t="shared" si="7"/>
        <v>14.85</v>
      </c>
    </row>
    <row r="2737">
      <c r="A2737" s="1">
        <v>544969.0</v>
      </c>
      <c r="B2737" s="1" t="str">
        <f t="shared" si="1"/>
        <v>544969</v>
      </c>
      <c r="C2737" s="1" t="str">
        <f t="shared" si="2"/>
        <v>Sale</v>
      </c>
      <c r="D2737" s="1" t="s">
        <v>89</v>
      </c>
      <c r="E2737" s="1" t="str">
        <f>IFERROR(__xludf.DUMMYFUNCTION("IF(LEN(D2737)&gt;4, IFERROR(REGEXEXTRACT(TO_TEXT(D2737),""\d+""),""""),"""")"),"84997")</f>
        <v>84997</v>
      </c>
      <c r="F2737" s="6" t="str">
        <f t="shared" si="3"/>
        <v>Product</v>
      </c>
      <c r="G2737" s="1" t="s">
        <v>1317</v>
      </c>
      <c r="H2737" s="6" t="str">
        <f>IFERROR(__xludf.DUMMYFUNCTION("IF(REGEXMATCH(LOWER(G2737), ""^(\?)+\s*(missing)?\s*(\?)*$""), """", PROPER(SUBSTITUTE(SUBSTITUTE(G2737, ""?"", """"), ""*"", """")))"),"Childrens Cutlery Retrospot Red")</f>
        <v>Childrens Cutlery Retrospot Red</v>
      </c>
      <c r="I2737" s="3">
        <v>4.0</v>
      </c>
      <c r="J2737" s="7">
        <v>40599.48055555556</v>
      </c>
      <c r="K2737" s="8" t="str">
        <f t="shared" si="4"/>
        <v>2011-02</v>
      </c>
      <c r="L2737" s="5">
        <v>4.15</v>
      </c>
      <c r="M2737" s="3">
        <v>15712.0</v>
      </c>
      <c r="N2737" s="1" t="str">
        <f t="shared" si="5"/>
        <v>Registered</v>
      </c>
      <c r="O2737" s="1" t="s">
        <v>19</v>
      </c>
      <c r="P2737" s="9" t="str">
        <f t="shared" si="6"/>
        <v>UK</v>
      </c>
      <c r="Q2737" s="8">
        <f t="shared" si="7"/>
        <v>16.6</v>
      </c>
    </row>
    <row r="2738">
      <c r="A2738" s="1">
        <v>544969.0</v>
      </c>
      <c r="B2738" s="1" t="str">
        <f t="shared" si="1"/>
        <v>544969</v>
      </c>
      <c r="C2738" s="1" t="str">
        <f t="shared" si="2"/>
        <v>Sale</v>
      </c>
      <c r="D2738" s="1">
        <v>21472.0</v>
      </c>
      <c r="E2738" s="1" t="str">
        <f>IFERROR(__xludf.DUMMYFUNCTION("IF(LEN(D2738)&gt;4, IFERROR(REGEXEXTRACT(TO_TEXT(D2738),""\d+""),""""),"""")"),"21472")</f>
        <v>21472</v>
      </c>
      <c r="F2738" s="6" t="str">
        <f t="shared" si="3"/>
        <v>Product</v>
      </c>
      <c r="G2738" s="1" t="s">
        <v>1153</v>
      </c>
      <c r="H2738" s="6" t="str">
        <f>IFERROR(__xludf.DUMMYFUNCTION("IF(REGEXMATCH(LOWER(G2738), ""^(\?)+\s*(missing)?\s*(\?)*$""), """", PROPER(SUBSTITUTE(SUBSTITUTE(G2738, ""?"", """"), ""*"", """")))"),"Ladybird + Bee Raffia Food Cover")</f>
        <v>Ladybird + Bee Raffia Food Cover</v>
      </c>
      <c r="I2738" s="3">
        <v>6.0</v>
      </c>
      <c r="J2738" s="7">
        <v>40599.48055555556</v>
      </c>
      <c r="K2738" s="8" t="str">
        <f t="shared" si="4"/>
        <v>2011-02</v>
      </c>
      <c r="L2738" s="5">
        <v>3.75</v>
      </c>
      <c r="M2738" s="3">
        <v>15712.0</v>
      </c>
      <c r="N2738" s="1" t="str">
        <f t="shared" si="5"/>
        <v>Registered</v>
      </c>
      <c r="O2738" s="1" t="s">
        <v>19</v>
      </c>
      <c r="P2738" s="9" t="str">
        <f t="shared" si="6"/>
        <v>UK</v>
      </c>
      <c r="Q2738" s="8">
        <f t="shared" si="7"/>
        <v>22.5</v>
      </c>
    </row>
    <row r="2739">
      <c r="A2739" s="1">
        <v>544969.0</v>
      </c>
      <c r="B2739" s="1" t="str">
        <f t="shared" si="1"/>
        <v>544969</v>
      </c>
      <c r="C2739" s="1" t="str">
        <f t="shared" si="2"/>
        <v>Sale</v>
      </c>
      <c r="D2739" s="1">
        <v>21466.0</v>
      </c>
      <c r="E2739" s="1" t="str">
        <f>IFERROR(__xludf.DUMMYFUNCTION("IF(LEN(D2739)&gt;4, IFERROR(REGEXEXTRACT(TO_TEXT(D2739),""\d+""),""""),"""")"),"21466")</f>
        <v>21466</v>
      </c>
      <c r="F2739" s="6" t="str">
        <f t="shared" si="3"/>
        <v>Product</v>
      </c>
      <c r="G2739" s="1" t="s">
        <v>1343</v>
      </c>
      <c r="H2739" s="6" t="str">
        <f>IFERROR(__xludf.DUMMYFUNCTION("IF(REGEXMATCH(LOWER(G2739), ""^(\?)+\s*(missing)?\s*(\?)*$""), """", PROPER(SUBSTITUTE(SUBSTITUTE(G2739, ""?"", """"), ""*"", """")))"),"Red Flower Crochet Food Cover")</f>
        <v>Red Flower Crochet Food Cover</v>
      </c>
      <c r="I2739" s="3">
        <v>6.0</v>
      </c>
      <c r="J2739" s="7">
        <v>40599.48055555556</v>
      </c>
      <c r="K2739" s="8" t="str">
        <f t="shared" si="4"/>
        <v>2011-02</v>
      </c>
      <c r="L2739" s="5">
        <v>3.75</v>
      </c>
      <c r="M2739" s="3">
        <v>15712.0</v>
      </c>
      <c r="N2739" s="1" t="str">
        <f t="shared" si="5"/>
        <v>Registered</v>
      </c>
      <c r="O2739" s="1" t="s">
        <v>19</v>
      </c>
      <c r="P2739" s="9" t="str">
        <f t="shared" si="6"/>
        <v>UK</v>
      </c>
      <c r="Q2739" s="8">
        <f t="shared" si="7"/>
        <v>22.5</v>
      </c>
    </row>
    <row r="2740">
      <c r="A2740" s="1">
        <v>544969.0</v>
      </c>
      <c r="B2740" s="1" t="str">
        <f t="shared" si="1"/>
        <v>544969</v>
      </c>
      <c r="C2740" s="1" t="str">
        <f t="shared" si="2"/>
        <v>Sale</v>
      </c>
      <c r="D2740" s="1">
        <v>21465.0</v>
      </c>
      <c r="E2740" s="1" t="str">
        <f>IFERROR(__xludf.DUMMYFUNCTION("IF(LEN(D2740)&gt;4, IFERROR(REGEXEXTRACT(TO_TEXT(D2740),""\d+""),""""),"""")"),"21465")</f>
        <v>21465</v>
      </c>
      <c r="F2740" s="6" t="str">
        <f t="shared" si="3"/>
        <v>Product</v>
      </c>
      <c r="G2740" s="1" t="s">
        <v>1344</v>
      </c>
      <c r="H2740" s="6" t="str">
        <f>IFERROR(__xludf.DUMMYFUNCTION("IF(REGEXMATCH(LOWER(G2740), ""^(\?)+\s*(missing)?\s*(\?)*$""), """", PROPER(SUBSTITUTE(SUBSTITUTE(G2740, ""?"", """"), ""*"", """")))"),"Pink Flower Crochet Food Cover")</f>
        <v>Pink Flower Crochet Food Cover</v>
      </c>
      <c r="I2740" s="3">
        <v>6.0</v>
      </c>
      <c r="J2740" s="7">
        <v>40599.48055555556</v>
      </c>
      <c r="K2740" s="8" t="str">
        <f t="shared" si="4"/>
        <v>2011-02</v>
      </c>
      <c r="L2740" s="5">
        <v>3.75</v>
      </c>
      <c r="M2740" s="3">
        <v>15712.0</v>
      </c>
      <c r="N2740" s="1" t="str">
        <f t="shared" si="5"/>
        <v>Registered</v>
      </c>
      <c r="O2740" s="1" t="s">
        <v>19</v>
      </c>
      <c r="P2740" s="9" t="str">
        <f t="shared" si="6"/>
        <v>UK</v>
      </c>
      <c r="Q2740" s="8">
        <f t="shared" si="7"/>
        <v>22.5</v>
      </c>
    </row>
    <row r="2741">
      <c r="A2741" s="1">
        <v>544969.0</v>
      </c>
      <c r="B2741" s="1" t="str">
        <f t="shared" si="1"/>
        <v>544969</v>
      </c>
      <c r="C2741" s="1" t="str">
        <f t="shared" si="2"/>
        <v>Sale</v>
      </c>
      <c r="D2741" s="1" t="s">
        <v>1162</v>
      </c>
      <c r="E2741" s="1" t="str">
        <f>IFERROR(__xludf.DUMMYFUNCTION("IF(LEN(D2741)&gt;4, IFERROR(REGEXEXTRACT(TO_TEXT(D2741),""\d+""),""""),"""")"),"47566")</f>
        <v>47566</v>
      </c>
      <c r="F2741" s="6" t="str">
        <f t="shared" si="3"/>
        <v>Product</v>
      </c>
      <c r="G2741" s="1" t="s">
        <v>1163</v>
      </c>
      <c r="H2741" s="6" t="str">
        <f>IFERROR(__xludf.DUMMYFUNCTION("IF(REGEXMATCH(LOWER(G2741), ""^(\?)+\s*(missing)?\s*(\?)*$""), """", PROPER(SUBSTITUTE(SUBSTITUTE(G2741, ""?"", """"), ""*"", """")))"),"Tea Time Party Bunting")</f>
        <v>Tea Time Party Bunting</v>
      </c>
      <c r="I2741" s="3">
        <v>4.0</v>
      </c>
      <c r="J2741" s="7">
        <v>40599.48055555556</v>
      </c>
      <c r="K2741" s="8" t="str">
        <f t="shared" si="4"/>
        <v>2011-02</v>
      </c>
      <c r="L2741" s="5">
        <v>4.95</v>
      </c>
      <c r="M2741" s="3">
        <v>15712.0</v>
      </c>
      <c r="N2741" s="1" t="str">
        <f t="shared" si="5"/>
        <v>Registered</v>
      </c>
      <c r="O2741" s="1" t="s">
        <v>19</v>
      </c>
      <c r="P2741" s="9" t="str">
        <f t="shared" si="6"/>
        <v>UK</v>
      </c>
      <c r="Q2741" s="8">
        <f t="shared" si="7"/>
        <v>19.8</v>
      </c>
    </row>
    <row r="2742">
      <c r="A2742" s="1">
        <v>544969.0</v>
      </c>
      <c r="B2742" s="1" t="str">
        <f t="shared" si="1"/>
        <v>544969</v>
      </c>
      <c r="C2742" s="1" t="str">
        <f t="shared" si="2"/>
        <v>Sale</v>
      </c>
      <c r="D2742" s="1">
        <v>20685.0</v>
      </c>
      <c r="E2742" s="1" t="str">
        <f>IFERROR(__xludf.DUMMYFUNCTION("IF(LEN(D2742)&gt;4, IFERROR(REGEXEXTRACT(TO_TEXT(D2742),""\d+""),""""),"""")"),"20685")</f>
        <v>20685</v>
      </c>
      <c r="F2742" s="6" t="str">
        <f t="shared" si="3"/>
        <v>Product</v>
      </c>
      <c r="G2742" s="1" t="s">
        <v>374</v>
      </c>
      <c r="H2742" s="6" t="str">
        <f>IFERROR(__xludf.DUMMYFUNCTION("IF(REGEXMATCH(LOWER(G2742), ""^(\?)+\s*(missing)?\s*(\?)*$""), """", PROPER(SUBSTITUTE(SUBSTITUTE(G2742, ""?"", """"), ""*"", """")))"),"Doormat Red Retrospot")</f>
        <v>Doormat Red Retrospot</v>
      </c>
      <c r="I2742" s="3">
        <v>2.0</v>
      </c>
      <c r="J2742" s="7">
        <v>40599.48055555556</v>
      </c>
      <c r="K2742" s="8" t="str">
        <f t="shared" si="4"/>
        <v>2011-02</v>
      </c>
      <c r="L2742" s="5">
        <v>7.95</v>
      </c>
      <c r="M2742" s="3">
        <v>15712.0</v>
      </c>
      <c r="N2742" s="1" t="str">
        <f t="shared" si="5"/>
        <v>Registered</v>
      </c>
      <c r="O2742" s="1" t="s">
        <v>19</v>
      </c>
      <c r="P2742" s="9" t="str">
        <f t="shared" si="6"/>
        <v>UK</v>
      </c>
      <c r="Q2742" s="8">
        <f t="shared" si="7"/>
        <v>15.9</v>
      </c>
    </row>
    <row r="2743">
      <c r="A2743" s="1">
        <v>544969.0</v>
      </c>
      <c r="B2743" s="1" t="str">
        <f t="shared" si="1"/>
        <v>544969</v>
      </c>
      <c r="C2743" s="1" t="str">
        <f t="shared" si="2"/>
        <v>Sale</v>
      </c>
      <c r="D2743" s="1">
        <v>48184.0</v>
      </c>
      <c r="E2743" s="1" t="str">
        <f>IFERROR(__xludf.DUMMYFUNCTION("IF(LEN(D2743)&gt;4, IFERROR(REGEXEXTRACT(TO_TEXT(D2743),""\d+""),""""),"""")"),"48184")</f>
        <v>48184</v>
      </c>
      <c r="F2743" s="6" t="str">
        <f t="shared" si="3"/>
        <v>Product</v>
      </c>
      <c r="G2743" s="1" t="s">
        <v>1179</v>
      </c>
      <c r="H2743" s="6" t="str">
        <f>IFERROR(__xludf.DUMMYFUNCTION("IF(REGEXMATCH(LOWER(G2743), ""^(\?)+\s*(missing)?\s*(\?)*$""), """", PROPER(SUBSTITUTE(SUBSTITUTE(G2743, ""?"", """"), ""*"", """")))"),"Doormat English Rose")</f>
        <v>Doormat English Rose</v>
      </c>
      <c r="I2743" s="3">
        <v>2.0</v>
      </c>
      <c r="J2743" s="7">
        <v>40599.48055555556</v>
      </c>
      <c r="K2743" s="8" t="str">
        <f t="shared" si="4"/>
        <v>2011-02</v>
      </c>
      <c r="L2743" s="5">
        <v>7.95</v>
      </c>
      <c r="M2743" s="3">
        <v>15712.0</v>
      </c>
      <c r="N2743" s="1" t="str">
        <f t="shared" si="5"/>
        <v>Registered</v>
      </c>
      <c r="O2743" s="1" t="s">
        <v>19</v>
      </c>
      <c r="P2743" s="9" t="str">
        <f t="shared" si="6"/>
        <v>UK</v>
      </c>
      <c r="Q2743" s="8">
        <f t="shared" si="7"/>
        <v>15.9</v>
      </c>
    </row>
    <row r="2744">
      <c r="A2744" s="1">
        <v>544969.0</v>
      </c>
      <c r="B2744" s="1" t="str">
        <f t="shared" si="1"/>
        <v>544969</v>
      </c>
      <c r="C2744" s="1" t="str">
        <f t="shared" si="2"/>
        <v>Sale</v>
      </c>
      <c r="D2744" s="1">
        <v>48185.0</v>
      </c>
      <c r="E2744" s="1" t="str">
        <f>IFERROR(__xludf.DUMMYFUNCTION("IF(LEN(D2744)&gt;4, IFERROR(REGEXEXTRACT(TO_TEXT(D2744),""\d+""),""""),"""")"),"48185")</f>
        <v>48185</v>
      </c>
      <c r="F2744" s="6" t="str">
        <f t="shared" si="3"/>
        <v>Product</v>
      </c>
      <c r="G2744" s="1" t="s">
        <v>263</v>
      </c>
      <c r="H2744" s="6" t="str">
        <f>IFERROR(__xludf.DUMMYFUNCTION("IF(REGEXMATCH(LOWER(G2744), ""^(\?)+\s*(missing)?\s*(\?)*$""), """", PROPER(SUBSTITUTE(SUBSTITUTE(G2744, ""?"", """"), ""*"", """")))"),"Doormat Fairy Cake")</f>
        <v>Doormat Fairy Cake</v>
      </c>
      <c r="I2744" s="3">
        <v>2.0</v>
      </c>
      <c r="J2744" s="7">
        <v>40599.48055555556</v>
      </c>
      <c r="K2744" s="8" t="str">
        <f t="shared" si="4"/>
        <v>2011-02</v>
      </c>
      <c r="L2744" s="5">
        <v>7.95</v>
      </c>
      <c r="M2744" s="3">
        <v>15712.0</v>
      </c>
      <c r="N2744" s="1" t="str">
        <f t="shared" si="5"/>
        <v>Registered</v>
      </c>
      <c r="O2744" s="1" t="s">
        <v>19</v>
      </c>
      <c r="P2744" s="9" t="str">
        <f t="shared" si="6"/>
        <v>UK</v>
      </c>
      <c r="Q2744" s="8">
        <f t="shared" si="7"/>
        <v>15.9</v>
      </c>
    </row>
    <row r="2745">
      <c r="A2745" s="1">
        <v>544969.0</v>
      </c>
      <c r="B2745" s="1" t="str">
        <f t="shared" si="1"/>
        <v>544969</v>
      </c>
      <c r="C2745" s="1" t="str">
        <f t="shared" si="2"/>
        <v>Sale</v>
      </c>
      <c r="D2745" s="1">
        <v>22694.0</v>
      </c>
      <c r="E2745" s="1" t="str">
        <f>IFERROR(__xludf.DUMMYFUNCTION("IF(LEN(D2745)&gt;4, IFERROR(REGEXEXTRACT(TO_TEXT(D2745),""\d+""),""""),"""")"),"22694")</f>
        <v>22694</v>
      </c>
      <c r="F2745" s="6" t="str">
        <f t="shared" si="3"/>
        <v>Product</v>
      </c>
      <c r="G2745" s="1" t="s">
        <v>476</v>
      </c>
      <c r="H2745" s="6" t="str">
        <f>IFERROR(__xludf.DUMMYFUNCTION("IF(REGEXMATCH(LOWER(G2745), ""^(\?)+\s*(missing)?\s*(\?)*$""), """", PROPER(SUBSTITUTE(SUBSTITUTE(G2745, ""?"", """"), ""*"", """")))"),"Wicker Star")</f>
        <v>Wicker Star</v>
      </c>
      <c r="I2745" s="3">
        <v>6.0</v>
      </c>
      <c r="J2745" s="7">
        <v>40599.48055555556</v>
      </c>
      <c r="K2745" s="8" t="str">
        <f t="shared" si="4"/>
        <v>2011-02</v>
      </c>
      <c r="L2745" s="5">
        <v>2.1</v>
      </c>
      <c r="M2745" s="3">
        <v>15712.0</v>
      </c>
      <c r="N2745" s="1" t="str">
        <f t="shared" si="5"/>
        <v>Registered</v>
      </c>
      <c r="O2745" s="1" t="s">
        <v>19</v>
      </c>
      <c r="P2745" s="9" t="str">
        <f t="shared" si="6"/>
        <v>UK</v>
      </c>
      <c r="Q2745" s="8">
        <f t="shared" si="7"/>
        <v>12.6</v>
      </c>
    </row>
    <row r="2746">
      <c r="A2746" s="1">
        <v>544969.0</v>
      </c>
      <c r="B2746" s="1" t="str">
        <f t="shared" si="1"/>
        <v>544969</v>
      </c>
      <c r="C2746" s="1" t="str">
        <f t="shared" si="2"/>
        <v>Sale</v>
      </c>
      <c r="D2746" s="1">
        <v>22470.0</v>
      </c>
      <c r="E2746" s="1" t="str">
        <f>IFERROR(__xludf.DUMMYFUNCTION("IF(LEN(D2746)&gt;4, IFERROR(REGEXEXTRACT(TO_TEXT(D2746),""\d+""),""""),"""")"),"22470")</f>
        <v>22470</v>
      </c>
      <c r="F2746" s="6" t="str">
        <f t="shared" si="3"/>
        <v>Product</v>
      </c>
      <c r="G2746" s="1" t="s">
        <v>168</v>
      </c>
      <c r="H2746" s="6" t="str">
        <f>IFERROR(__xludf.DUMMYFUNCTION("IF(REGEXMATCH(LOWER(G2746), ""^(\?)+\s*(missing)?\s*(\?)*$""), """", PROPER(SUBSTITUTE(SUBSTITUTE(G2746, ""?"", """"), ""*"", """")))"),"Heart Of Wicker Large")</f>
        <v>Heart Of Wicker Large</v>
      </c>
      <c r="I2746" s="3">
        <v>6.0</v>
      </c>
      <c r="J2746" s="7">
        <v>40599.48055555556</v>
      </c>
      <c r="K2746" s="8" t="str">
        <f t="shared" si="4"/>
        <v>2011-02</v>
      </c>
      <c r="L2746" s="5">
        <v>2.95</v>
      </c>
      <c r="M2746" s="3">
        <v>15712.0</v>
      </c>
      <c r="N2746" s="1" t="str">
        <f t="shared" si="5"/>
        <v>Registered</v>
      </c>
      <c r="O2746" s="1" t="s">
        <v>19</v>
      </c>
      <c r="P2746" s="9" t="str">
        <f t="shared" si="6"/>
        <v>UK</v>
      </c>
      <c r="Q2746" s="8">
        <f t="shared" si="7"/>
        <v>17.7</v>
      </c>
    </row>
    <row r="2747">
      <c r="A2747" s="1">
        <v>544969.0</v>
      </c>
      <c r="B2747" s="1" t="str">
        <f t="shared" si="1"/>
        <v>544969</v>
      </c>
      <c r="C2747" s="1" t="str">
        <f t="shared" si="2"/>
        <v>Sale</v>
      </c>
      <c r="D2747" s="1">
        <v>22469.0</v>
      </c>
      <c r="E2747" s="1" t="str">
        <f>IFERROR(__xludf.DUMMYFUNCTION("IF(LEN(D2747)&gt;4, IFERROR(REGEXEXTRACT(TO_TEXT(D2747),""\d+""),""""),"""")"),"22469")</f>
        <v>22469</v>
      </c>
      <c r="F2747" s="6" t="str">
        <f t="shared" si="3"/>
        <v>Product</v>
      </c>
      <c r="G2747" s="1" t="s">
        <v>167</v>
      </c>
      <c r="H2747" s="6" t="str">
        <f>IFERROR(__xludf.DUMMYFUNCTION("IF(REGEXMATCH(LOWER(G2747), ""^(\?)+\s*(missing)?\s*(\?)*$""), """", PROPER(SUBSTITUTE(SUBSTITUTE(G2747, ""?"", """"), ""*"", """")))"),"Heart Of Wicker Small")</f>
        <v>Heart Of Wicker Small</v>
      </c>
      <c r="I2747" s="3">
        <v>12.0</v>
      </c>
      <c r="J2747" s="7">
        <v>40599.48055555556</v>
      </c>
      <c r="K2747" s="8" t="str">
        <f t="shared" si="4"/>
        <v>2011-02</v>
      </c>
      <c r="L2747" s="5">
        <v>1.65</v>
      </c>
      <c r="M2747" s="3">
        <v>15712.0</v>
      </c>
      <c r="N2747" s="1" t="str">
        <f t="shared" si="5"/>
        <v>Registered</v>
      </c>
      <c r="O2747" s="1" t="s">
        <v>19</v>
      </c>
      <c r="P2747" s="9" t="str">
        <f t="shared" si="6"/>
        <v>UK</v>
      </c>
      <c r="Q2747" s="8">
        <f t="shared" si="7"/>
        <v>19.8</v>
      </c>
    </row>
    <row r="2748">
      <c r="A2748" s="1">
        <v>544969.0</v>
      </c>
      <c r="B2748" s="1" t="str">
        <f t="shared" si="1"/>
        <v>544969</v>
      </c>
      <c r="C2748" s="1" t="str">
        <f t="shared" si="2"/>
        <v>Sale</v>
      </c>
      <c r="D2748" s="1">
        <v>22381.0</v>
      </c>
      <c r="E2748" s="1" t="str">
        <f>IFERROR(__xludf.DUMMYFUNCTION("IF(LEN(D2748)&gt;4, IFERROR(REGEXEXTRACT(TO_TEXT(D2748),""\d+""),""""),"""")"),"22381")</f>
        <v>22381</v>
      </c>
      <c r="F2748" s="6" t="str">
        <f t="shared" si="3"/>
        <v>Product</v>
      </c>
      <c r="G2748" s="1" t="s">
        <v>153</v>
      </c>
      <c r="H2748" s="6" t="str">
        <f>IFERROR(__xludf.DUMMYFUNCTION("IF(REGEXMATCH(LOWER(G2748), ""^(\?)+\s*(missing)?\s*(\?)*$""), """", PROPER(SUBSTITUTE(SUBSTITUTE(G2748, ""?"", """"), ""*"", """")))"),"Toy Tidy Pink Polkadot")</f>
        <v>Toy Tidy Pink Polkadot</v>
      </c>
      <c r="I2748" s="3">
        <v>5.0</v>
      </c>
      <c r="J2748" s="7">
        <v>40599.48055555556</v>
      </c>
      <c r="K2748" s="8" t="str">
        <f t="shared" si="4"/>
        <v>2011-02</v>
      </c>
      <c r="L2748" s="5">
        <v>2.1</v>
      </c>
      <c r="M2748" s="3">
        <v>15712.0</v>
      </c>
      <c r="N2748" s="1" t="str">
        <f t="shared" si="5"/>
        <v>Registered</v>
      </c>
      <c r="O2748" s="1" t="s">
        <v>19</v>
      </c>
      <c r="P2748" s="9" t="str">
        <f t="shared" si="6"/>
        <v>UK</v>
      </c>
      <c r="Q2748" s="8">
        <f t="shared" si="7"/>
        <v>10.5</v>
      </c>
    </row>
    <row r="2749">
      <c r="A2749" s="1">
        <v>544969.0</v>
      </c>
      <c r="B2749" s="1" t="str">
        <f t="shared" si="1"/>
        <v>544969</v>
      </c>
      <c r="C2749" s="1" t="str">
        <f t="shared" si="2"/>
        <v>Sale</v>
      </c>
      <c r="D2749" s="1">
        <v>21868.0</v>
      </c>
      <c r="E2749" s="1" t="str">
        <f>IFERROR(__xludf.DUMMYFUNCTION("IF(LEN(D2749)&gt;4, IFERROR(REGEXEXTRACT(TO_TEXT(D2749),""\d+""),""""),"""")"),"21868")</f>
        <v>21868</v>
      </c>
      <c r="F2749" s="6" t="str">
        <f t="shared" si="3"/>
        <v>Product</v>
      </c>
      <c r="G2749" s="1" t="s">
        <v>1345</v>
      </c>
      <c r="H2749" s="6" t="str">
        <f>IFERROR(__xludf.DUMMYFUNCTION("IF(REGEXMATCH(LOWER(G2749), ""^(\?)+\s*(missing)?\s*(\?)*$""), """", PROPER(SUBSTITUTE(SUBSTITUTE(G2749, ""?"", """"), ""*"", """")))"),"Potting Shed Tea Mug")</f>
        <v>Potting Shed Tea Mug</v>
      </c>
      <c r="I2749" s="3">
        <v>12.0</v>
      </c>
      <c r="J2749" s="7">
        <v>40599.48055555556</v>
      </c>
      <c r="K2749" s="8" t="str">
        <f t="shared" si="4"/>
        <v>2011-02</v>
      </c>
      <c r="L2749" s="5">
        <v>1.25</v>
      </c>
      <c r="M2749" s="3">
        <v>15712.0</v>
      </c>
      <c r="N2749" s="1" t="str">
        <f t="shared" si="5"/>
        <v>Registered</v>
      </c>
      <c r="O2749" s="1" t="s">
        <v>19</v>
      </c>
      <c r="P2749" s="9" t="str">
        <f t="shared" si="6"/>
        <v>UK</v>
      </c>
      <c r="Q2749" s="8">
        <f t="shared" si="7"/>
        <v>15</v>
      </c>
    </row>
    <row r="2750">
      <c r="A2750" s="1">
        <v>544969.0</v>
      </c>
      <c r="B2750" s="1" t="str">
        <f t="shared" si="1"/>
        <v>544969</v>
      </c>
      <c r="C2750" s="1" t="str">
        <f t="shared" si="2"/>
        <v>Sale</v>
      </c>
      <c r="D2750" s="1">
        <v>22318.0</v>
      </c>
      <c r="E2750" s="1" t="str">
        <f>IFERROR(__xludf.DUMMYFUNCTION("IF(LEN(D2750)&gt;4, IFERROR(REGEXEXTRACT(TO_TEXT(D2750),""\d+""),""""),"""")"),"22318")</f>
        <v>22318</v>
      </c>
      <c r="F2750" s="6" t="str">
        <f t="shared" si="3"/>
        <v>Product</v>
      </c>
      <c r="G2750" s="1" t="s">
        <v>189</v>
      </c>
      <c r="H2750" s="6" t="str">
        <f>IFERROR(__xludf.DUMMYFUNCTION("IF(REGEXMATCH(LOWER(G2750), ""^(\?)+\s*(missing)?\s*(\?)*$""), """", PROPER(SUBSTITUTE(SUBSTITUTE(G2750, ""?"", """"), ""*"", """")))"),"Five Heart Hanging Decoration")</f>
        <v>Five Heart Hanging Decoration</v>
      </c>
      <c r="I2750" s="3">
        <v>6.0</v>
      </c>
      <c r="J2750" s="7">
        <v>40599.48055555556</v>
      </c>
      <c r="K2750" s="8" t="str">
        <f t="shared" si="4"/>
        <v>2011-02</v>
      </c>
      <c r="L2750" s="5">
        <v>2.95</v>
      </c>
      <c r="M2750" s="3">
        <v>15712.0</v>
      </c>
      <c r="N2750" s="1" t="str">
        <f t="shared" si="5"/>
        <v>Registered</v>
      </c>
      <c r="O2750" s="1" t="s">
        <v>19</v>
      </c>
      <c r="P2750" s="9" t="str">
        <f t="shared" si="6"/>
        <v>UK</v>
      </c>
      <c r="Q2750" s="8">
        <f t="shared" si="7"/>
        <v>17.7</v>
      </c>
    </row>
    <row r="2751">
      <c r="A2751" s="1">
        <v>544969.0</v>
      </c>
      <c r="B2751" s="1" t="str">
        <f t="shared" si="1"/>
        <v>544969</v>
      </c>
      <c r="C2751" s="1" t="str">
        <f t="shared" si="2"/>
        <v>Sale</v>
      </c>
      <c r="D2751" s="1">
        <v>22139.0</v>
      </c>
      <c r="E2751" s="1" t="str">
        <f>IFERROR(__xludf.DUMMYFUNCTION("IF(LEN(D2751)&gt;4, IFERROR(REGEXEXTRACT(TO_TEXT(D2751),""\d+""),""""),"""")"),"22139")</f>
        <v>22139</v>
      </c>
      <c r="F2751" s="6" t="str">
        <f t="shared" si="3"/>
        <v>Product</v>
      </c>
      <c r="G2751" s="1" t="s">
        <v>110</v>
      </c>
      <c r="H2751" s="6" t="str">
        <f>IFERROR(__xludf.DUMMYFUNCTION("IF(REGEXMATCH(LOWER(G2751), ""^(\?)+\s*(missing)?\s*(\?)*$""), """", PROPER(SUBSTITUTE(SUBSTITUTE(G2751, ""?"", """"), ""*"", """")))"),"Retrospot Tea Set Ceramic 11 Pc")</f>
        <v>Retrospot Tea Set Ceramic 11 Pc</v>
      </c>
      <c r="I2751" s="3">
        <v>3.0</v>
      </c>
      <c r="J2751" s="7">
        <v>40599.48055555556</v>
      </c>
      <c r="K2751" s="8" t="str">
        <f t="shared" si="4"/>
        <v>2011-02</v>
      </c>
      <c r="L2751" s="5">
        <v>4.95</v>
      </c>
      <c r="M2751" s="3">
        <v>15712.0</v>
      </c>
      <c r="N2751" s="1" t="str">
        <f t="shared" si="5"/>
        <v>Registered</v>
      </c>
      <c r="O2751" s="1" t="s">
        <v>19</v>
      </c>
      <c r="P2751" s="9" t="str">
        <f t="shared" si="6"/>
        <v>UK</v>
      </c>
      <c r="Q2751" s="8">
        <f t="shared" si="7"/>
        <v>14.85</v>
      </c>
    </row>
    <row r="2752">
      <c r="A2752" s="1">
        <v>544969.0</v>
      </c>
      <c r="B2752" s="1" t="str">
        <f t="shared" si="1"/>
        <v>544969</v>
      </c>
      <c r="C2752" s="1" t="str">
        <f t="shared" si="2"/>
        <v>Sale</v>
      </c>
      <c r="D2752" s="1" t="s">
        <v>213</v>
      </c>
      <c r="E2752" s="1" t="str">
        <f>IFERROR(__xludf.DUMMYFUNCTION("IF(LEN(D2752)&gt;4, IFERROR(REGEXEXTRACT(TO_TEXT(D2752),""\d+""),""""),"""")"),"84970")</f>
        <v>84970</v>
      </c>
      <c r="F2752" s="6" t="str">
        <f t="shared" si="3"/>
        <v>Product</v>
      </c>
      <c r="G2752" s="1" t="s">
        <v>214</v>
      </c>
      <c r="H2752" s="6" t="str">
        <f>IFERROR(__xludf.DUMMYFUNCTION("IF(REGEXMATCH(LOWER(G2752), ""^(\?)+\s*(missing)?\s*(\?)*$""), """", PROPER(SUBSTITUTE(SUBSTITUTE(G2752, ""?"", """"), ""*"", """")))"),"Hanging Heart Zinc T-Light Holder")</f>
        <v>Hanging Heart Zinc T-Light Holder</v>
      </c>
      <c r="I2752" s="3">
        <v>12.0</v>
      </c>
      <c r="J2752" s="7">
        <v>40599.48055555556</v>
      </c>
      <c r="K2752" s="8" t="str">
        <f t="shared" si="4"/>
        <v>2011-02</v>
      </c>
      <c r="L2752" s="5">
        <v>0.85</v>
      </c>
      <c r="M2752" s="3">
        <v>15712.0</v>
      </c>
      <c r="N2752" s="1" t="str">
        <f t="shared" si="5"/>
        <v>Registered</v>
      </c>
      <c r="O2752" s="1" t="s">
        <v>19</v>
      </c>
      <c r="P2752" s="9" t="str">
        <f t="shared" si="6"/>
        <v>UK</v>
      </c>
      <c r="Q2752" s="8">
        <f t="shared" si="7"/>
        <v>10.2</v>
      </c>
    </row>
    <row r="2753">
      <c r="A2753" s="1">
        <v>544969.0</v>
      </c>
      <c r="B2753" s="1" t="str">
        <f t="shared" si="1"/>
        <v>544969</v>
      </c>
      <c r="C2753" s="1" t="str">
        <f t="shared" si="2"/>
        <v>Sale</v>
      </c>
      <c r="D2753" s="1">
        <v>22178.0</v>
      </c>
      <c r="E2753" s="1" t="str">
        <f>IFERROR(__xludf.DUMMYFUNCTION("IF(LEN(D2753)&gt;4, IFERROR(REGEXEXTRACT(TO_TEXT(D2753),""\d+""),""""),"""")"),"22178")</f>
        <v>22178</v>
      </c>
      <c r="F2753" s="6" t="str">
        <f t="shared" si="3"/>
        <v>Product</v>
      </c>
      <c r="G2753" s="1" t="s">
        <v>369</v>
      </c>
      <c r="H2753" s="6" t="str">
        <f>IFERROR(__xludf.DUMMYFUNCTION("IF(REGEXMATCH(LOWER(G2753), ""^(\?)+\s*(missing)?\s*(\?)*$""), """", PROPER(SUBSTITUTE(SUBSTITUTE(G2753, ""?"", """"), ""*"", """")))"),"Victorian Glass Hanging T-Light")</f>
        <v>Victorian Glass Hanging T-Light</v>
      </c>
      <c r="I2753" s="3">
        <v>12.0</v>
      </c>
      <c r="J2753" s="7">
        <v>40599.48055555556</v>
      </c>
      <c r="K2753" s="8" t="str">
        <f t="shared" si="4"/>
        <v>2011-02</v>
      </c>
      <c r="L2753" s="5">
        <v>1.25</v>
      </c>
      <c r="M2753" s="3">
        <v>15712.0</v>
      </c>
      <c r="N2753" s="1" t="str">
        <f t="shared" si="5"/>
        <v>Registered</v>
      </c>
      <c r="O2753" s="1" t="s">
        <v>19</v>
      </c>
      <c r="P2753" s="9" t="str">
        <f t="shared" si="6"/>
        <v>UK</v>
      </c>
      <c r="Q2753" s="8">
        <f t="shared" si="7"/>
        <v>15</v>
      </c>
    </row>
    <row r="2754">
      <c r="A2754" s="1">
        <v>544970.0</v>
      </c>
      <c r="B2754" s="1" t="str">
        <f t="shared" si="1"/>
        <v>544970</v>
      </c>
      <c r="C2754" s="1" t="str">
        <f t="shared" si="2"/>
        <v>Sale</v>
      </c>
      <c r="D2754" s="1">
        <v>22469.0</v>
      </c>
      <c r="E2754" s="1" t="str">
        <f>IFERROR(__xludf.DUMMYFUNCTION("IF(LEN(D2754)&gt;4, IFERROR(REGEXEXTRACT(TO_TEXT(D2754),""\d+""),""""),"""")"),"22469")</f>
        <v>22469</v>
      </c>
      <c r="F2754" s="6" t="str">
        <f t="shared" si="3"/>
        <v>Product</v>
      </c>
      <c r="G2754" s="1" t="s">
        <v>167</v>
      </c>
      <c r="H2754" s="6" t="str">
        <f>IFERROR(__xludf.DUMMYFUNCTION("IF(REGEXMATCH(LOWER(G2754), ""^(\?)+\s*(missing)?\s*(\?)*$""), """", PROPER(SUBSTITUTE(SUBSTITUTE(G2754, ""?"", """"), ""*"", """")))"),"Heart Of Wicker Small")</f>
        <v>Heart Of Wicker Small</v>
      </c>
      <c r="I2754" s="3">
        <v>12.0</v>
      </c>
      <c r="J2754" s="7">
        <v>40599.48125</v>
      </c>
      <c r="K2754" s="8" t="str">
        <f t="shared" si="4"/>
        <v>2011-02</v>
      </c>
      <c r="L2754" s="5">
        <v>1.65</v>
      </c>
      <c r="M2754" s="3">
        <v>13362.0</v>
      </c>
      <c r="N2754" s="1" t="str">
        <f t="shared" si="5"/>
        <v>Registered</v>
      </c>
      <c r="O2754" s="1" t="s">
        <v>19</v>
      </c>
      <c r="P2754" s="9" t="str">
        <f t="shared" si="6"/>
        <v>UK</v>
      </c>
      <c r="Q2754" s="8">
        <f t="shared" si="7"/>
        <v>19.8</v>
      </c>
    </row>
    <row r="2755">
      <c r="A2755" s="1">
        <v>544970.0</v>
      </c>
      <c r="B2755" s="1" t="str">
        <f t="shared" si="1"/>
        <v>544970</v>
      </c>
      <c r="C2755" s="1" t="str">
        <f t="shared" si="2"/>
        <v>Sale</v>
      </c>
      <c r="D2755" s="1">
        <v>22595.0</v>
      </c>
      <c r="E2755" s="1" t="str">
        <f>IFERROR(__xludf.DUMMYFUNCTION("IF(LEN(D2755)&gt;4, IFERROR(REGEXEXTRACT(TO_TEXT(D2755),""\d+""),""""),"""")"),"22595")</f>
        <v>22595</v>
      </c>
      <c r="F2755" s="6" t="str">
        <f t="shared" si="3"/>
        <v>Product</v>
      </c>
      <c r="G2755" s="1" t="s">
        <v>916</v>
      </c>
      <c r="H2755" s="6" t="str">
        <f>IFERROR(__xludf.DUMMYFUNCTION("IF(REGEXMATCH(LOWER(G2755), ""^(\?)+\s*(missing)?\s*(\?)*$""), """", PROPER(SUBSTITUTE(SUBSTITUTE(G2755, ""?"", """"), ""*"", """")))"),"Gingham Heart Decoration")</f>
        <v>Gingham Heart Decoration</v>
      </c>
      <c r="I2755" s="3">
        <v>12.0</v>
      </c>
      <c r="J2755" s="7">
        <v>40599.48125</v>
      </c>
      <c r="K2755" s="8" t="str">
        <f t="shared" si="4"/>
        <v>2011-02</v>
      </c>
      <c r="L2755" s="5">
        <v>0.85</v>
      </c>
      <c r="M2755" s="3">
        <v>13362.0</v>
      </c>
      <c r="N2755" s="1" t="str">
        <f t="shared" si="5"/>
        <v>Registered</v>
      </c>
      <c r="O2755" s="1" t="s">
        <v>19</v>
      </c>
      <c r="P2755" s="9" t="str">
        <f t="shared" si="6"/>
        <v>UK</v>
      </c>
      <c r="Q2755" s="8">
        <f t="shared" si="7"/>
        <v>10.2</v>
      </c>
    </row>
    <row r="2756">
      <c r="A2756" s="1">
        <v>544970.0</v>
      </c>
      <c r="B2756" s="1" t="str">
        <f t="shared" si="1"/>
        <v>544970</v>
      </c>
      <c r="C2756" s="1" t="str">
        <f t="shared" si="2"/>
        <v>Sale</v>
      </c>
      <c r="D2756" s="1">
        <v>22169.0</v>
      </c>
      <c r="E2756" s="1" t="str">
        <f>IFERROR(__xludf.DUMMYFUNCTION("IF(LEN(D2756)&gt;4, IFERROR(REGEXEXTRACT(TO_TEXT(D2756),""\d+""),""""),"""")"),"22169")</f>
        <v>22169</v>
      </c>
      <c r="F2756" s="6" t="str">
        <f t="shared" si="3"/>
        <v>Product</v>
      </c>
      <c r="G2756" s="1" t="s">
        <v>969</v>
      </c>
      <c r="H2756" s="6" t="str">
        <f>IFERROR(__xludf.DUMMYFUNCTION("IF(REGEXMATCH(LOWER(G2756), ""^(\?)+\s*(missing)?\s*(\?)*$""), """", PROPER(SUBSTITUTE(SUBSTITUTE(G2756, ""?"", """"), ""*"", """")))"),"Family Album White Picture Frame")</f>
        <v>Family Album White Picture Frame</v>
      </c>
      <c r="I2756" s="3">
        <v>2.0</v>
      </c>
      <c r="J2756" s="7">
        <v>40599.48125</v>
      </c>
      <c r="K2756" s="8" t="str">
        <f t="shared" si="4"/>
        <v>2011-02</v>
      </c>
      <c r="L2756" s="5">
        <v>8.5</v>
      </c>
      <c r="M2756" s="3">
        <v>13362.0</v>
      </c>
      <c r="N2756" s="1" t="str">
        <f t="shared" si="5"/>
        <v>Registered</v>
      </c>
      <c r="O2756" s="1" t="s">
        <v>19</v>
      </c>
      <c r="P2756" s="9" t="str">
        <f t="shared" si="6"/>
        <v>UK</v>
      </c>
      <c r="Q2756" s="8">
        <f t="shared" si="7"/>
        <v>17</v>
      </c>
    </row>
    <row r="2757">
      <c r="A2757" s="1">
        <v>544970.0</v>
      </c>
      <c r="B2757" s="1" t="str">
        <f t="shared" si="1"/>
        <v>544970</v>
      </c>
      <c r="C2757" s="1" t="str">
        <f t="shared" si="2"/>
        <v>Sale</v>
      </c>
      <c r="D2757" s="1">
        <v>22170.0</v>
      </c>
      <c r="E2757" s="1" t="str">
        <f>IFERROR(__xludf.DUMMYFUNCTION("IF(LEN(D2757)&gt;4, IFERROR(REGEXEXTRACT(TO_TEXT(D2757),""\d+""),""""),"""")"),"22170")</f>
        <v>22170</v>
      </c>
      <c r="F2757" s="6" t="str">
        <f t="shared" si="3"/>
        <v>Product</v>
      </c>
      <c r="G2757" s="1" t="s">
        <v>978</v>
      </c>
      <c r="H2757" s="6" t="str">
        <f>IFERROR(__xludf.DUMMYFUNCTION("IF(REGEXMATCH(LOWER(G2757), ""^(\?)+\s*(missing)?\s*(\?)*$""), """", PROPER(SUBSTITUTE(SUBSTITUTE(G2757, ""?"", """"), ""*"", """")))"),"Picture Frame Wood Triple Portrait")</f>
        <v>Picture Frame Wood Triple Portrait</v>
      </c>
      <c r="I2757" s="3">
        <v>4.0</v>
      </c>
      <c r="J2757" s="7">
        <v>40599.48125</v>
      </c>
      <c r="K2757" s="8" t="str">
        <f t="shared" si="4"/>
        <v>2011-02</v>
      </c>
      <c r="L2757" s="5">
        <v>6.75</v>
      </c>
      <c r="M2757" s="3">
        <v>13362.0</v>
      </c>
      <c r="N2757" s="1" t="str">
        <f t="shared" si="5"/>
        <v>Registered</v>
      </c>
      <c r="O2757" s="1" t="s">
        <v>19</v>
      </c>
      <c r="P2757" s="9" t="str">
        <f t="shared" si="6"/>
        <v>UK</v>
      </c>
      <c r="Q2757" s="8">
        <f t="shared" si="7"/>
        <v>27</v>
      </c>
    </row>
    <row r="2758">
      <c r="A2758" s="1">
        <v>544970.0</v>
      </c>
      <c r="B2758" s="1" t="str">
        <f t="shared" si="1"/>
        <v>544970</v>
      </c>
      <c r="C2758" s="1" t="str">
        <f t="shared" si="2"/>
        <v>Sale</v>
      </c>
      <c r="D2758" s="1">
        <v>21164.0</v>
      </c>
      <c r="E2758" s="1" t="str">
        <f>IFERROR(__xludf.DUMMYFUNCTION("IF(LEN(D2758)&gt;4, IFERROR(REGEXEXTRACT(TO_TEXT(D2758),""\d+""),""""),"""")"),"21164")</f>
        <v>21164</v>
      </c>
      <c r="F2758" s="6" t="str">
        <f t="shared" si="3"/>
        <v>Product</v>
      </c>
      <c r="G2758" s="1" t="s">
        <v>872</v>
      </c>
      <c r="H2758" s="6" t="str">
        <f>IFERROR(__xludf.DUMMYFUNCTION("IF(REGEXMATCH(LOWER(G2758), ""^(\?)+\s*(missing)?\s*(\?)*$""), """", PROPER(SUBSTITUTE(SUBSTITUTE(G2758, ""?"", """"), ""*"", """")))"),"Home Sweet Home Metal Sign")</f>
        <v>Home Sweet Home Metal Sign</v>
      </c>
      <c r="I2758" s="3">
        <v>6.0</v>
      </c>
      <c r="J2758" s="7">
        <v>40599.48125</v>
      </c>
      <c r="K2758" s="8" t="str">
        <f t="shared" si="4"/>
        <v>2011-02</v>
      </c>
      <c r="L2758" s="5">
        <v>2.95</v>
      </c>
      <c r="M2758" s="3">
        <v>13362.0</v>
      </c>
      <c r="N2758" s="1" t="str">
        <f t="shared" si="5"/>
        <v>Registered</v>
      </c>
      <c r="O2758" s="1" t="s">
        <v>19</v>
      </c>
      <c r="P2758" s="9" t="str">
        <f t="shared" si="6"/>
        <v>UK</v>
      </c>
      <c r="Q2758" s="8">
        <f t="shared" si="7"/>
        <v>17.7</v>
      </c>
    </row>
    <row r="2759">
      <c r="A2759" s="1">
        <v>544970.0</v>
      </c>
      <c r="B2759" s="1" t="str">
        <f t="shared" si="1"/>
        <v>544970</v>
      </c>
      <c r="C2759" s="1" t="str">
        <f t="shared" si="2"/>
        <v>Sale</v>
      </c>
      <c r="D2759" s="1">
        <v>22844.0</v>
      </c>
      <c r="E2759" s="1" t="str">
        <f>IFERROR(__xludf.DUMMYFUNCTION("IF(LEN(D2759)&gt;4, IFERROR(REGEXEXTRACT(TO_TEXT(D2759),""\d+""),""""),"""")"),"22844")</f>
        <v>22844</v>
      </c>
      <c r="F2759" s="6" t="str">
        <f t="shared" si="3"/>
        <v>Product</v>
      </c>
      <c r="G2759" s="1" t="s">
        <v>786</v>
      </c>
      <c r="H2759" s="6" t="str">
        <f>IFERROR(__xludf.DUMMYFUNCTION("IF(REGEXMATCH(LOWER(G2759), ""^(\?)+\s*(missing)?\s*(\?)*$""), """", PROPER(SUBSTITUTE(SUBSTITUTE(G2759, ""?"", """"), ""*"", """")))"),"Vintage Cream Dog Food Container")</f>
        <v>Vintage Cream Dog Food Container</v>
      </c>
      <c r="I2759" s="3">
        <v>2.0</v>
      </c>
      <c r="J2759" s="7">
        <v>40599.48125</v>
      </c>
      <c r="K2759" s="8" t="str">
        <f t="shared" si="4"/>
        <v>2011-02</v>
      </c>
      <c r="L2759" s="5">
        <v>8.5</v>
      </c>
      <c r="M2759" s="3">
        <v>13362.0</v>
      </c>
      <c r="N2759" s="1" t="str">
        <f t="shared" si="5"/>
        <v>Registered</v>
      </c>
      <c r="O2759" s="1" t="s">
        <v>19</v>
      </c>
      <c r="P2759" s="9" t="str">
        <f t="shared" si="6"/>
        <v>UK</v>
      </c>
      <c r="Q2759" s="8">
        <f t="shared" si="7"/>
        <v>17</v>
      </c>
    </row>
    <row r="2760">
      <c r="A2760" s="1">
        <v>544970.0</v>
      </c>
      <c r="B2760" s="1" t="str">
        <f t="shared" si="1"/>
        <v>544970</v>
      </c>
      <c r="C2760" s="1" t="str">
        <f t="shared" si="2"/>
        <v>Sale</v>
      </c>
      <c r="D2760" s="1">
        <v>22845.0</v>
      </c>
      <c r="E2760" s="1" t="str">
        <f>IFERROR(__xludf.DUMMYFUNCTION("IF(LEN(D2760)&gt;4, IFERROR(REGEXEXTRACT(TO_TEXT(D2760),""\d+""),""""),"""")"),"22845")</f>
        <v>22845</v>
      </c>
      <c r="F2760" s="6" t="str">
        <f t="shared" si="3"/>
        <v>Product</v>
      </c>
      <c r="G2760" s="1" t="s">
        <v>787</v>
      </c>
      <c r="H2760" s="6" t="str">
        <f>IFERROR(__xludf.DUMMYFUNCTION("IF(REGEXMATCH(LOWER(G2760), ""^(\?)+\s*(missing)?\s*(\?)*$""), """", PROPER(SUBSTITUTE(SUBSTITUTE(G2760, ""?"", """"), ""*"", """")))"),"Vintage Cream Cat Food Container")</f>
        <v>Vintage Cream Cat Food Container</v>
      </c>
      <c r="I2760" s="3">
        <v>2.0</v>
      </c>
      <c r="J2760" s="7">
        <v>40599.48125</v>
      </c>
      <c r="K2760" s="8" t="str">
        <f t="shared" si="4"/>
        <v>2011-02</v>
      </c>
      <c r="L2760" s="5">
        <v>6.35</v>
      </c>
      <c r="M2760" s="3">
        <v>13362.0</v>
      </c>
      <c r="N2760" s="1" t="str">
        <f t="shared" si="5"/>
        <v>Registered</v>
      </c>
      <c r="O2760" s="1" t="s">
        <v>19</v>
      </c>
      <c r="P2760" s="9" t="str">
        <f t="shared" si="6"/>
        <v>UK</v>
      </c>
      <c r="Q2760" s="8">
        <f t="shared" si="7"/>
        <v>12.7</v>
      </c>
    </row>
    <row r="2761">
      <c r="A2761" s="1">
        <v>544970.0</v>
      </c>
      <c r="B2761" s="1" t="str">
        <f t="shared" si="1"/>
        <v>544970</v>
      </c>
      <c r="C2761" s="1" t="str">
        <f t="shared" si="2"/>
        <v>Sale</v>
      </c>
      <c r="D2761" s="1">
        <v>21086.0</v>
      </c>
      <c r="E2761" s="1" t="str">
        <f>IFERROR(__xludf.DUMMYFUNCTION("IF(LEN(D2761)&gt;4, IFERROR(REGEXEXTRACT(TO_TEXT(D2761),""\d+""),""""),"""")"),"21086")</f>
        <v>21086</v>
      </c>
      <c r="F2761" s="6" t="str">
        <f t="shared" si="3"/>
        <v>Product</v>
      </c>
      <c r="G2761" s="1" t="s">
        <v>220</v>
      </c>
      <c r="H2761" s="6" t="str">
        <f>IFERROR(__xludf.DUMMYFUNCTION("IF(REGEXMATCH(LOWER(G2761), ""^(\?)+\s*(missing)?\s*(\?)*$""), """", PROPER(SUBSTITUTE(SUBSTITUTE(G2761, ""?"", """"), ""*"", """")))"),"Set/6 Red Spotty Paper Cups")</f>
        <v>Set/6 Red Spotty Paper Cups</v>
      </c>
      <c r="I2761" s="3">
        <v>12.0</v>
      </c>
      <c r="J2761" s="7">
        <v>40599.48125</v>
      </c>
      <c r="K2761" s="8" t="str">
        <f t="shared" si="4"/>
        <v>2011-02</v>
      </c>
      <c r="L2761" s="5">
        <v>0.65</v>
      </c>
      <c r="M2761" s="3">
        <v>13362.0</v>
      </c>
      <c r="N2761" s="1" t="str">
        <f t="shared" si="5"/>
        <v>Registered</v>
      </c>
      <c r="O2761" s="1" t="s">
        <v>19</v>
      </c>
      <c r="P2761" s="9" t="str">
        <f t="shared" si="6"/>
        <v>UK</v>
      </c>
      <c r="Q2761" s="8">
        <f t="shared" si="7"/>
        <v>7.8</v>
      </c>
    </row>
    <row r="2762">
      <c r="A2762" s="1">
        <v>544970.0</v>
      </c>
      <c r="B2762" s="1" t="str">
        <f t="shared" si="1"/>
        <v>544970</v>
      </c>
      <c r="C2762" s="1" t="str">
        <f t="shared" si="2"/>
        <v>Sale</v>
      </c>
      <c r="D2762" s="1">
        <v>21087.0</v>
      </c>
      <c r="E2762" s="1" t="str">
        <f>IFERROR(__xludf.DUMMYFUNCTION("IF(LEN(D2762)&gt;4, IFERROR(REGEXEXTRACT(TO_TEXT(D2762),""\d+""),""""),"""")"),"21087")</f>
        <v>21087</v>
      </c>
      <c r="F2762" s="6" t="str">
        <f t="shared" si="3"/>
        <v>Product</v>
      </c>
      <c r="G2762" s="1" t="s">
        <v>975</v>
      </c>
      <c r="H2762" s="6" t="str">
        <f>IFERROR(__xludf.DUMMYFUNCTION("IF(REGEXMATCH(LOWER(G2762), ""^(\?)+\s*(missing)?\s*(\?)*$""), """", PROPER(SUBSTITUTE(SUBSTITUTE(G2762, ""?"", """"), ""*"", """")))"),"Set/6 Posies Paper Cups")</f>
        <v>Set/6 Posies Paper Cups</v>
      </c>
      <c r="I2762" s="3">
        <v>12.0</v>
      </c>
      <c r="J2762" s="7">
        <v>40599.48125</v>
      </c>
      <c r="K2762" s="8" t="str">
        <f t="shared" si="4"/>
        <v>2011-02</v>
      </c>
      <c r="L2762" s="5">
        <v>0.65</v>
      </c>
      <c r="M2762" s="3">
        <v>13362.0</v>
      </c>
      <c r="N2762" s="1" t="str">
        <f t="shared" si="5"/>
        <v>Registered</v>
      </c>
      <c r="O2762" s="1" t="s">
        <v>19</v>
      </c>
      <c r="P2762" s="9" t="str">
        <f t="shared" si="6"/>
        <v>UK</v>
      </c>
      <c r="Q2762" s="8">
        <f t="shared" si="7"/>
        <v>7.8</v>
      </c>
    </row>
    <row r="2763">
      <c r="A2763" s="1">
        <v>544970.0</v>
      </c>
      <c r="B2763" s="1" t="str">
        <f t="shared" si="1"/>
        <v>544970</v>
      </c>
      <c r="C2763" s="1" t="str">
        <f t="shared" si="2"/>
        <v>Sale</v>
      </c>
      <c r="D2763" s="1">
        <v>21094.0</v>
      </c>
      <c r="E2763" s="1" t="str">
        <f>IFERROR(__xludf.DUMMYFUNCTION("IF(LEN(D2763)&gt;4, IFERROR(REGEXEXTRACT(TO_TEXT(D2763),""\d+""),""""),"""")"),"21094")</f>
        <v>21094</v>
      </c>
      <c r="F2763" s="6" t="str">
        <f t="shared" si="3"/>
        <v>Product</v>
      </c>
      <c r="G2763" s="1" t="s">
        <v>93</v>
      </c>
      <c r="H2763" s="6" t="str">
        <f>IFERROR(__xludf.DUMMYFUNCTION("IF(REGEXMATCH(LOWER(G2763), ""^(\?)+\s*(missing)?\s*(\?)*$""), """", PROPER(SUBSTITUTE(SUBSTITUTE(G2763, ""?"", """"), ""*"", """")))"),"Set/6 Red Spotty Paper Plates")</f>
        <v>Set/6 Red Spotty Paper Plates</v>
      </c>
      <c r="I2763" s="3">
        <v>12.0</v>
      </c>
      <c r="J2763" s="7">
        <v>40599.48125</v>
      </c>
      <c r="K2763" s="8" t="str">
        <f t="shared" si="4"/>
        <v>2011-02</v>
      </c>
      <c r="L2763" s="5">
        <v>0.85</v>
      </c>
      <c r="M2763" s="3">
        <v>13362.0</v>
      </c>
      <c r="N2763" s="1" t="str">
        <f t="shared" si="5"/>
        <v>Registered</v>
      </c>
      <c r="O2763" s="1" t="s">
        <v>19</v>
      </c>
      <c r="P2763" s="9" t="str">
        <f t="shared" si="6"/>
        <v>UK</v>
      </c>
      <c r="Q2763" s="8">
        <f t="shared" si="7"/>
        <v>10.2</v>
      </c>
    </row>
    <row r="2764">
      <c r="A2764" s="1">
        <v>544970.0</v>
      </c>
      <c r="B2764" s="1" t="str">
        <f t="shared" si="1"/>
        <v>544970</v>
      </c>
      <c r="C2764" s="1" t="str">
        <f t="shared" si="2"/>
        <v>Sale</v>
      </c>
      <c r="D2764" s="1">
        <v>21095.0</v>
      </c>
      <c r="E2764" s="1" t="str">
        <f>IFERROR(__xludf.DUMMYFUNCTION("IF(LEN(D2764)&gt;4, IFERROR(REGEXEXTRACT(TO_TEXT(D2764),""\d+""),""""),"""")"),"21095")</f>
        <v>21095</v>
      </c>
      <c r="F2764" s="6" t="str">
        <f t="shared" si="3"/>
        <v>Product</v>
      </c>
      <c r="G2764" s="1" t="s">
        <v>971</v>
      </c>
      <c r="H2764" s="6" t="str">
        <f>IFERROR(__xludf.DUMMYFUNCTION("IF(REGEXMATCH(LOWER(G2764), ""^(\?)+\s*(missing)?\s*(\?)*$""), """", PROPER(SUBSTITUTE(SUBSTITUTE(G2764, ""?"", """"), ""*"", """")))"),"Set/6 Posies Paper Plates")</f>
        <v>Set/6 Posies Paper Plates</v>
      </c>
      <c r="I2764" s="3">
        <v>12.0</v>
      </c>
      <c r="J2764" s="7">
        <v>40599.48125</v>
      </c>
      <c r="K2764" s="8" t="str">
        <f t="shared" si="4"/>
        <v>2011-02</v>
      </c>
      <c r="L2764" s="5">
        <v>0.85</v>
      </c>
      <c r="M2764" s="3">
        <v>13362.0</v>
      </c>
      <c r="N2764" s="1" t="str">
        <f t="shared" si="5"/>
        <v>Registered</v>
      </c>
      <c r="O2764" s="1" t="s">
        <v>19</v>
      </c>
      <c r="P2764" s="9" t="str">
        <f t="shared" si="6"/>
        <v>UK</v>
      </c>
      <c r="Q2764" s="8">
        <f t="shared" si="7"/>
        <v>10.2</v>
      </c>
    </row>
    <row r="2765">
      <c r="A2765" s="1">
        <v>544970.0</v>
      </c>
      <c r="B2765" s="1" t="str">
        <f t="shared" si="1"/>
        <v>544970</v>
      </c>
      <c r="C2765" s="1" t="str">
        <f t="shared" si="2"/>
        <v>Sale</v>
      </c>
      <c r="D2765" s="1">
        <v>21539.0</v>
      </c>
      <c r="E2765" s="1" t="str">
        <f>IFERROR(__xludf.DUMMYFUNCTION("IF(LEN(D2765)&gt;4, IFERROR(REGEXEXTRACT(TO_TEXT(D2765),""\d+""),""""),"""")"),"21539")</f>
        <v>21539</v>
      </c>
      <c r="F2765" s="6" t="str">
        <f t="shared" si="3"/>
        <v>Product</v>
      </c>
      <c r="G2765" s="1" t="s">
        <v>1007</v>
      </c>
      <c r="H2765" s="6" t="str">
        <f>IFERROR(__xludf.DUMMYFUNCTION("IF(REGEXMATCH(LOWER(G2765), ""^(\?)+\s*(missing)?\s*(\?)*$""), """", PROPER(SUBSTITUTE(SUBSTITUTE(G2765, ""?"", """"), ""*"", """")))"),"Red Retrospot Butter Dish")</f>
        <v>Red Retrospot Butter Dish</v>
      </c>
      <c r="I2765" s="3">
        <v>3.0</v>
      </c>
      <c r="J2765" s="7">
        <v>40599.48125</v>
      </c>
      <c r="K2765" s="8" t="str">
        <f t="shared" si="4"/>
        <v>2011-02</v>
      </c>
      <c r="L2765" s="5">
        <v>4.95</v>
      </c>
      <c r="M2765" s="3">
        <v>13362.0</v>
      </c>
      <c r="N2765" s="1" t="str">
        <f t="shared" si="5"/>
        <v>Registered</v>
      </c>
      <c r="O2765" s="1" t="s">
        <v>19</v>
      </c>
      <c r="P2765" s="9" t="str">
        <f t="shared" si="6"/>
        <v>UK</v>
      </c>
      <c r="Q2765" s="8">
        <f t="shared" si="7"/>
        <v>14.85</v>
      </c>
    </row>
    <row r="2766">
      <c r="A2766" s="1">
        <v>544970.0</v>
      </c>
      <c r="B2766" s="1" t="str">
        <f t="shared" si="1"/>
        <v>544970</v>
      </c>
      <c r="C2766" s="1" t="str">
        <f t="shared" si="2"/>
        <v>Sale</v>
      </c>
      <c r="D2766" s="1" t="s">
        <v>284</v>
      </c>
      <c r="E2766" s="1" t="str">
        <f>IFERROR(__xludf.DUMMYFUNCTION("IF(LEN(D2766)&gt;4, IFERROR(REGEXEXTRACT(TO_TEXT(D2766),""\d+""),""""),"""")"),"84509")</f>
        <v>84509</v>
      </c>
      <c r="F2766" s="6" t="str">
        <f t="shared" si="3"/>
        <v>Product</v>
      </c>
      <c r="G2766" s="1" t="s">
        <v>285</v>
      </c>
      <c r="H2766" s="6" t="str">
        <f>IFERROR(__xludf.DUMMYFUNCTION("IF(REGEXMATCH(LOWER(G2766), ""^(\?)+\s*(missing)?\s*(\?)*$""), """", PROPER(SUBSTITUTE(SUBSTITUTE(G2766, ""?"", """"), ""*"", """")))"),"Set Of 4 English Rose Placemats")</f>
        <v>Set Of 4 English Rose Placemats</v>
      </c>
      <c r="I2766" s="3">
        <v>4.0</v>
      </c>
      <c r="J2766" s="7">
        <v>40599.48125</v>
      </c>
      <c r="K2766" s="8" t="str">
        <f t="shared" si="4"/>
        <v>2011-02</v>
      </c>
      <c r="L2766" s="5">
        <v>3.75</v>
      </c>
      <c r="M2766" s="3">
        <v>13362.0</v>
      </c>
      <c r="N2766" s="1" t="str">
        <f t="shared" si="5"/>
        <v>Registered</v>
      </c>
      <c r="O2766" s="1" t="s">
        <v>19</v>
      </c>
      <c r="P2766" s="9" t="str">
        <f t="shared" si="6"/>
        <v>UK</v>
      </c>
      <c r="Q2766" s="8">
        <f t="shared" si="7"/>
        <v>15</v>
      </c>
    </row>
    <row r="2767">
      <c r="A2767" s="1">
        <v>544970.0</v>
      </c>
      <c r="B2767" s="1" t="str">
        <f t="shared" si="1"/>
        <v>544970</v>
      </c>
      <c r="C2767" s="1" t="str">
        <f t="shared" si="2"/>
        <v>Sale</v>
      </c>
      <c r="D2767" s="1">
        <v>20767.0</v>
      </c>
      <c r="E2767" s="1" t="str">
        <f>IFERROR(__xludf.DUMMYFUNCTION("IF(LEN(D2767)&gt;4, IFERROR(REGEXEXTRACT(TO_TEXT(D2767),""\d+""),""""),"""")"),"20767")</f>
        <v>20767</v>
      </c>
      <c r="F2767" s="6" t="str">
        <f t="shared" si="3"/>
        <v>Product</v>
      </c>
      <c r="G2767" s="1" t="s">
        <v>1346</v>
      </c>
      <c r="H2767" s="6" t="str">
        <f>IFERROR(__xludf.DUMMYFUNCTION("IF(REGEXMATCH(LOWER(G2767), ""^(\?)+\s*(missing)?\s*(\?)*$""), """", PROPER(SUBSTITUTE(SUBSTITUTE(G2767, ""?"", """"), ""*"", """")))"),"Blue Paisley Journal")</f>
        <v>Blue Paisley Journal</v>
      </c>
      <c r="I2767" s="3">
        <v>6.0</v>
      </c>
      <c r="J2767" s="7">
        <v>40599.48125</v>
      </c>
      <c r="K2767" s="8" t="str">
        <f t="shared" si="4"/>
        <v>2011-02</v>
      </c>
      <c r="L2767" s="5">
        <v>2.55</v>
      </c>
      <c r="M2767" s="3">
        <v>13362.0</v>
      </c>
      <c r="N2767" s="1" t="str">
        <f t="shared" si="5"/>
        <v>Registered</v>
      </c>
      <c r="O2767" s="1" t="s">
        <v>19</v>
      </c>
      <c r="P2767" s="9" t="str">
        <f t="shared" si="6"/>
        <v>UK</v>
      </c>
      <c r="Q2767" s="8">
        <f t="shared" si="7"/>
        <v>15.3</v>
      </c>
    </row>
    <row r="2768">
      <c r="A2768" s="1">
        <v>544970.0</v>
      </c>
      <c r="B2768" s="1" t="str">
        <f t="shared" si="1"/>
        <v>544970</v>
      </c>
      <c r="C2768" s="1" t="str">
        <f t="shared" si="2"/>
        <v>Sale</v>
      </c>
      <c r="D2768" s="1">
        <v>20769.0</v>
      </c>
      <c r="E2768" s="1" t="str">
        <f>IFERROR(__xludf.DUMMYFUNCTION("IF(LEN(D2768)&gt;4, IFERROR(REGEXEXTRACT(TO_TEXT(D2768),""\d+""),""""),"""")"),"20769")</f>
        <v>20769</v>
      </c>
      <c r="F2768" s="6" t="str">
        <f t="shared" si="3"/>
        <v>Product</v>
      </c>
      <c r="G2768" s="1" t="s">
        <v>1347</v>
      </c>
      <c r="H2768" s="6" t="str">
        <f>IFERROR(__xludf.DUMMYFUNCTION("IF(REGEXMATCH(LOWER(G2768), ""^(\?)+\s*(missing)?\s*(\?)*$""), """", PROPER(SUBSTITUTE(SUBSTITUTE(G2768, ""?"", """"), ""*"", """")))"),"Daisy Journal")</f>
        <v>Daisy Journal</v>
      </c>
      <c r="I2768" s="3">
        <v>6.0</v>
      </c>
      <c r="J2768" s="7">
        <v>40599.48125</v>
      </c>
      <c r="K2768" s="8" t="str">
        <f t="shared" si="4"/>
        <v>2011-02</v>
      </c>
      <c r="L2768" s="5">
        <v>2.55</v>
      </c>
      <c r="M2768" s="3">
        <v>13362.0</v>
      </c>
      <c r="N2768" s="1" t="str">
        <f t="shared" si="5"/>
        <v>Registered</v>
      </c>
      <c r="O2768" s="1" t="s">
        <v>19</v>
      </c>
      <c r="P2768" s="9" t="str">
        <f t="shared" si="6"/>
        <v>UK</v>
      </c>
      <c r="Q2768" s="8">
        <f t="shared" si="7"/>
        <v>15.3</v>
      </c>
    </row>
    <row r="2769">
      <c r="A2769" s="1">
        <v>544970.0</v>
      </c>
      <c r="B2769" s="1" t="str">
        <f t="shared" si="1"/>
        <v>544970</v>
      </c>
      <c r="C2769" s="1" t="str">
        <f t="shared" si="2"/>
        <v>Sale</v>
      </c>
      <c r="D2769" s="1">
        <v>20981.0</v>
      </c>
      <c r="E2769" s="1" t="str">
        <f>IFERROR(__xludf.DUMMYFUNCTION("IF(LEN(D2769)&gt;4, IFERROR(REGEXEXTRACT(TO_TEXT(D2769),""\d+""),""""),"""")"),"20981")</f>
        <v>20981</v>
      </c>
      <c r="F2769" s="6" t="str">
        <f t="shared" si="3"/>
        <v>Product</v>
      </c>
      <c r="G2769" s="1" t="s">
        <v>1348</v>
      </c>
      <c r="H2769" s="6" t="str">
        <f>IFERROR(__xludf.DUMMYFUNCTION("IF(REGEXMATCH(LOWER(G2769), ""^(\?)+\s*(missing)?\s*(\?)*$""), """", PROPER(SUBSTITUTE(SUBSTITUTE(G2769, ""?"", """"), ""*"", """")))"),"12 Pencils Tall Tube Woodland")</f>
        <v>12 Pencils Tall Tube Woodland</v>
      </c>
      <c r="I2769" s="3">
        <v>12.0</v>
      </c>
      <c r="J2769" s="7">
        <v>40599.48125</v>
      </c>
      <c r="K2769" s="8" t="str">
        <f t="shared" si="4"/>
        <v>2011-02</v>
      </c>
      <c r="L2769" s="5">
        <v>0.85</v>
      </c>
      <c r="M2769" s="3">
        <v>13362.0</v>
      </c>
      <c r="N2769" s="1" t="str">
        <f t="shared" si="5"/>
        <v>Registered</v>
      </c>
      <c r="O2769" s="1" t="s">
        <v>19</v>
      </c>
      <c r="P2769" s="9" t="str">
        <f t="shared" si="6"/>
        <v>UK</v>
      </c>
      <c r="Q2769" s="8">
        <f t="shared" si="7"/>
        <v>10.2</v>
      </c>
    </row>
    <row r="2770">
      <c r="A2770" s="1">
        <v>544970.0</v>
      </c>
      <c r="B2770" s="1" t="str">
        <f t="shared" si="1"/>
        <v>544970</v>
      </c>
      <c r="C2770" s="1" t="str">
        <f t="shared" si="2"/>
        <v>Sale</v>
      </c>
      <c r="D2770" s="1">
        <v>20982.0</v>
      </c>
      <c r="E2770" s="1" t="str">
        <f>IFERROR(__xludf.DUMMYFUNCTION("IF(LEN(D2770)&gt;4, IFERROR(REGEXEXTRACT(TO_TEXT(D2770),""\d+""),""""),"""")"),"20982")</f>
        <v>20982</v>
      </c>
      <c r="F2770" s="6" t="str">
        <f t="shared" si="3"/>
        <v>Product</v>
      </c>
      <c r="G2770" s="1" t="s">
        <v>362</v>
      </c>
      <c r="H2770" s="6" t="str">
        <f>IFERROR(__xludf.DUMMYFUNCTION("IF(REGEXMATCH(LOWER(G2770), ""^(\?)+\s*(missing)?\s*(\?)*$""), """", PROPER(SUBSTITUTE(SUBSTITUTE(G2770, ""?"", """"), ""*"", """")))"),"12 Pencils Tall Tube Skulls")</f>
        <v>12 Pencils Tall Tube Skulls</v>
      </c>
      <c r="I2770" s="3">
        <v>12.0</v>
      </c>
      <c r="J2770" s="7">
        <v>40599.48125</v>
      </c>
      <c r="K2770" s="8" t="str">
        <f t="shared" si="4"/>
        <v>2011-02</v>
      </c>
      <c r="L2770" s="5">
        <v>0.85</v>
      </c>
      <c r="M2770" s="3">
        <v>13362.0</v>
      </c>
      <c r="N2770" s="1" t="str">
        <f t="shared" si="5"/>
        <v>Registered</v>
      </c>
      <c r="O2770" s="1" t="s">
        <v>19</v>
      </c>
      <c r="P2770" s="9" t="str">
        <f t="shared" si="6"/>
        <v>UK</v>
      </c>
      <c r="Q2770" s="8">
        <f t="shared" si="7"/>
        <v>10.2</v>
      </c>
    </row>
    <row r="2771">
      <c r="A2771" s="1">
        <v>544970.0</v>
      </c>
      <c r="B2771" s="1" t="str">
        <f t="shared" si="1"/>
        <v>544970</v>
      </c>
      <c r="C2771" s="1" t="str">
        <f t="shared" si="2"/>
        <v>Sale</v>
      </c>
      <c r="D2771" s="1">
        <v>20983.0</v>
      </c>
      <c r="E2771" s="1" t="str">
        <f>IFERROR(__xludf.DUMMYFUNCTION("IF(LEN(D2771)&gt;4, IFERROR(REGEXEXTRACT(TO_TEXT(D2771),""\d+""),""""),"""")"),"20983")</f>
        <v>20983</v>
      </c>
      <c r="F2771" s="6" t="str">
        <f t="shared" si="3"/>
        <v>Product</v>
      </c>
      <c r="G2771" s="1" t="s">
        <v>1349</v>
      </c>
      <c r="H2771" s="6" t="str">
        <f>IFERROR(__xludf.DUMMYFUNCTION("IF(REGEXMATCH(LOWER(G2771), ""^(\?)+\s*(missing)?\s*(\?)*$""), """", PROPER(SUBSTITUTE(SUBSTITUTE(G2771, ""?"", """"), ""*"", """")))"),"12 Pencils Tall Tube Red Retrospot")</f>
        <v>12 Pencils Tall Tube Red Retrospot</v>
      </c>
      <c r="I2771" s="3">
        <v>12.0</v>
      </c>
      <c r="J2771" s="7">
        <v>40599.48125</v>
      </c>
      <c r="K2771" s="8" t="str">
        <f t="shared" si="4"/>
        <v>2011-02</v>
      </c>
      <c r="L2771" s="5">
        <v>0.85</v>
      </c>
      <c r="M2771" s="3">
        <v>13362.0</v>
      </c>
      <c r="N2771" s="1" t="str">
        <f t="shared" si="5"/>
        <v>Registered</v>
      </c>
      <c r="O2771" s="1" t="s">
        <v>19</v>
      </c>
      <c r="P2771" s="9" t="str">
        <f t="shared" si="6"/>
        <v>UK</v>
      </c>
      <c r="Q2771" s="8">
        <f t="shared" si="7"/>
        <v>10.2</v>
      </c>
    </row>
    <row r="2772">
      <c r="A2772" s="1">
        <v>544970.0</v>
      </c>
      <c r="B2772" s="1" t="str">
        <f t="shared" si="1"/>
        <v>544970</v>
      </c>
      <c r="C2772" s="1" t="str">
        <f t="shared" si="2"/>
        <v>Sale</v>
      </c>
      <c r="D2772" s="1">
        <v>21675.0</v>
      </c>
      <c r="E2772" s="1" t="str">
        <f>IFERROR(__xludf.DUMMYFUNCTION("IF(LEN(D2772)&gt;4, IFERROR(REGEXEXTRACT(TO_TEXT(D2772),""\d+""),""""),"""")"),"21675")</f>
        <v>21675</v>
      </c>
      <c r="F2772" s="6" t="str">
        <f t="shared" si="3"/>
        <v>Product</v>
      </c>
      <c r="G2772" s="1" t="s">
        <v>1143</v>
      </c>
      <c r="H2772" s="6" t="str">
        <f>IFERROR(__xludf.DUMMYFUNCTION("IF(REGEXMATCH(LOWER(G2772), ""^(\?)+\s*(missing)?\s*(\?)*$""), """", PROPER(SUBSTITUTE(SUBSTITUTE(G2772, ""?"", """"), ""*"", """")))"),"Butterflies Stickers")</f>
        <v>Butterflies Stickers</v>
      </c>
      <c r="I2772" s="3">
        <v>12.0</v>
      </c>
      <c r="J2772" s="7">
        <v>40599.48125</v>
      </c>
      <c r="K2772" s="8" t="str">
        <f t="shared" si="4"/>
        <v>2011-02</v>
      </c>
      <c r="L2772" s="5">
        <v>0.85</v>
      </c>
      <c r="M2772" s="3">
        <v>13362.0</v>
      </c>
      <c r="N2772" s="1" t="str">
        <f t="shared" si="5"/>
        <v>Registered</v>
      </c>
      <c r="O2772" s="1" t="s">
        <v>19</v>
      </c>
      <c r="P2772" s="9" t="str">
        <f t="shared" si="6"/>
        <v>UK</v>
      </c>
      <c r="Q2772" s="8">
        <f t="shared" si="7"/>
        <v>10.2</v>
      </c>
    </row>
    <row r="2773">
      <c r="A2773" s="1">
        <v>544970.0</v>
      </c>
      <c r="B2773" s="1" t="str">
        <f t="shared" si="1"/>
        <v>544970</v>
      </c>
      <c r="C2773" s="1" t="str">
        <f t="shared" si="2"/>
        <v>Sale</v>
      </c>
      <c r="D2773" s="1">
        <v>21680.0</v>
      </c>
      <c r="E2773" s="1" t="str">
        <f>IFERROR(__xludf.DUMMYFUNCTION("IF(LEN(D2773)&gt;4, IFERROR(REGEXEXTRACT(TO_TEXT(D2773),""\d+""),""""),"""")"),"21680")</f>
        <v>21680</v>
      </c>
      <c r="F2773" s="6" t="str">
        <f t="shared" si="3"/>
        <v>Product</v>
      </c>
      <c r="G2773" s="1" t="s">
        <v>1269</v>
      </c>
      <c r="H2773" s="6" t="str">
        <f>IFERROR(__xludf.DUMMYFUNCTION("IF(REGEXMATCH(LOWER(G2773), ""^(\?)+\s*(missing)?\s*(\?)*$""), """", PROPER(SUBSTITUTE(SUBSTITUTE(G2773, ""?"", """"), ""*"", """")))"),"Woodland Stickers")</f>
        <v>Woodland Stickers</v>
      </c>
      <c r="I2773" s="3">
        <v>12.0</v>
      </c>
      <c r="J2773" s="7">
        <v>40599.48125</v>
      </c>
      <c r="K2773" s="8" t="str">
        <f t="shared" si="4"/>
        <v>2011-02</v>
      </c>
      <c r="L2773" s="5">
        <v>0.85</v>
      </c>
      <c r="M2773" s="3">
        <v>13362.0</v>
      </c>
      <c r="N2773" s="1" t="str">
        <f t="shared" si="5"/>
        <v>Registered</v>
      </c>
      <c r="O2773" s="1" t="s">
        <v>19</v>
      </c>
      <c r="P2773" s="9" t="str">
        <f t="shared" si="6"/>
        <v>UK</v>
      </c>
      <c r="Q2773" s="8">
        <f t="shared" si="7"/>
        <v>10.2</v>
      </c>
    </row>
    <row r="2774">
      <c r="A2774" s="1">
        <v>544970.0</v>
      </c>
      <c r="B2774" s="1" t="str">
        <f t="shared" si="1"/>
        <v>544970</v>
      </c>
      <c r="C2774" s="1" t="str">
        <f t="shared" si="2"/>
        <v>Sale</v>
      </c>
      <c r="D2774" s="1">
        <v>84592.0</v>
      </c>
      <c r="E2774" s="1" t="str">
        <f>IFERROR(__xludf.DUMMYFUNCTION("IF(LEN(D2774)&gt;4, IFERROR(REGEXEXTRACT(TO_TEXT(D2774),""\d+""),""""),"""")"),"84592")</f>
        <v>84592</v>
      </c>
      <c r="F2774" s="6" t="str">
        <f t="shared" si="3"/>
        <v>Product</v>
      </c>
      <c r="G2774" s="1" t="s">
        <v>1350</v>
      </c>
      <c r="H2774" s="6" t="str">
        <f>IFERROR(__xludf.DUMMYFUNCTION("IF(REGEXMATCH(LOWER(G2774), ""^(\?)+\s*(missing)?\s*(\?)*$""), """", PROPER(SUBSTITUTE(SUBSTITUTE(G2774, ""?"", """"), ""*"", """")))"),"Crochet Rose Purse With Suede Back")</f>
        <v>Crochet Rose Purse With Suede Back</v>
      </c>
      <c r="I2774" s="3">
        <v>6.0</v>
      </c>
      <c r="J2774" s="7">
        <v>40599.48125</v>
      </c>
      <c r="K2774" s="8" t="str">
        <f t="shared" si="4"/>
        <v>2011-02</v>
      </c>
      <c r="L2774" s="5">
        <v>2.95</v>
      </c>
      <c r="M2774" s="3">
        <v>13362.0</v>
      </c>
      <c r="N2774" s="1" t="str">
        <f t="shared" si="5"/>
        <v>Registered</v>
      </c>
      <c r="O2774" s="1" t="s">
        <v>19</v>
      </c>
      <c r="P2774" s="9" t="str">
        <f t="shared" si="6"/>
        <v>UK</v>
      </c>
      <c r="Q2774" s="8">
        <f t="shared" si="7"/>
        <v>17.7</v>
      </c>
    </row>
    <row r="2775">
      <c r="A2775" s="1">
        <v>544970.0</v>
      </c>
      <c r="B2775" s="1" t="str">
        <f t="shared" si="1"/>
        <v>544970</v>
      </c>
      <c r="C2775" s="1" t="str">
        <f t="shared" si="2"/>
        <v>Sale</v>
      </c>
      <c r="D2775" s="1">
        <v>21415.0</v>
      </c>
      <c r="E2775" s="1" t="str">
        <f>IFERROR(__xludf.DUMMYFUNCTION("IF(LEN(D2775)&gt;4, IFERROR(REGEXEXTRACT(TO_TEXT(D2775),""\d+""),""""),"""")"),"21415")</f>
        <v>21415</v>
      </c>
      <c r="F2775" s="6" t="str">
        <f t="shared" si="3"/>
        <v>Product</v>
      </c>
      <c r="G2775" s="1" t="s">
        <v>1351</v>
      </c>
      <c r="H2775" s="6" t="str">
        <f>IFERROR(__xludf.DUMMYFUNCTION("IF(REGEXMATCH(LOWER(G2775), ""^(\?)+\s*(missing)?\s*(\?)*$""), """", PROPER(SUBSTITUTE(SUBSTITUTE(G2775, ""?"", """"), ""*"", """")))"),"Clam Shell Small")</f>
        <v>Clam Shell Small</v>
      </c>
      <c r="I2775" s="3">
        <v>6.0</v>
      </c>
      <c r="J2775" s="7">
        <v>40599.48125</v>
      </c>
      <c r="K2775" s="8" t="str">
        <f t="shared" si="4"/>
        <v>2011-02</v>
      </c>
      <c r="L2775" s="5">
        <v>2.1</v>
      </c>
      <c r="M2775" s="3">
        <v>13362.0</v>
      </c>
      <c r="N2775" s="1" t="str">
        <f t="shared" si="5"/>
        <v>Registered</v>
      </c>
      <c r="O2775" s="1" t="s">
        <v>19</v>
      </c>
      <c r="P2775" s="9" t="str">
        <f t="shared" si="6"/>
        <v>UK</v>
      </c>
      <c r="Q2775" s="8">
        <f t="shared" si="7"/>
        <v>12.6</v>
      </c>
    </row>
    <row r="2776">
      <c r="A2776" s="1">
        <v>544970.0</v>
      </c>
      <c r="B2776" s="1" t="str">
        <f t="shared" si="1"/>
        <v>544970</v>
      </c>
      <c r="C2776" s="1" t="str">
        <f t="shared" si="2"/>
        <v>Sale</v>
      </c>
      <c r="D2776" s="1" t="s">
        <v>224</v>
      </c>
      <c r="E2776" s="1" t="str">
        <f>IFERROR(__xludf.DUMMYFUNCTION("IF(LEN(D2776)&gt;4, IFERROR(REGEXEXTRACT(TO_TEXT(D2776),""\d+""),""""),"""")"),"84030")</f>
        <v>84030</v>
      </c>
      <c r="F2776" s="6" t="str">
        <f t="shared" si="3"/>
        <v>Product</v>
      </c>
      <c r="G2776" s="1" t="s">
        <v>225</v>
      </c>
      <c r="H2776" s="6" t="str">
        <f>IFERROR(__xludf.DUMMYFUNCTION("IF(REGEXMATCH(LOWER(G2776), ""^(\?)+\s*(missing)?\s*(\?)*$""), """", PROPER(SUBSTITUTE(SUBSTITUTE(G2776, ""?"", """"), ""*"", """")))"),"English Rose Hot Water Bottle")</f>
        <v>English Rose Hot Water Bottle</v>
      </c>
      <c r="I2776" s="3">
        <v>4.0</v>
      </c>
      <c r="J2776" s="7">
        <v>40599.48125</v>
      </c>
      <c r="K2776" s="8" t="str">
        <f t="shared" si="4"/>
        <v>2011-02</v>
      </c>
      <c r="L2776" s="5">
        <v>4.25</v>
      </c>
      <c r="M2776" s="3">
        <v>13362.0</v>
      </c>
      <c r="N2776" s="1" t="str">
        <f t="shared" si="5"/>
        <v>Registered</v>
      </c>
      <c r="O2776" s="1" t="s">
        <v>19</v>
      </c>
      <c r="P2776" s="9" t="str">
        <f t="shared" si="6"/>
        <v>UK</v>
      </c>
      <c r="Q2776" s="8">
        <f t="shared" si="7"/>
        <v>17</v>
      </c>
    </row>
    <row r="2777">
      <c r="A2777" s="1">
        <v>544970.0</v>
      </c>
      <c r="B2777" s="1" t="str">
        <f t="shared" si="1"/>
        <v>544970</v>
      </c>
      <c r="C2777" s="1" t="str">
        <f t="shared" si="2"/>
        <v>Sale</v>
      </c>
      <c r="D2777" s="1">
        <v>22112.0</v>
      </c>
      <c r="E2777" s="1" t="str">
        <f>IFERROR(__xludf.DUMMYFUNCTION("IF(LEN(D2777)&gt;4, IFERROR(REGEXEXTRACT(TO_TEXT(D2777),""\d+""),""""),"""")"),"22112")</f>
        <v>22112</v>
      </c>
      <c r="F2777" s="6" t="str">
        <f t="shared" si="3"/>
        <v>Product</v>
      </c>
      <c r="G2777" s="1" t="s">
        <v>268</v>
      </c>
      <c r="H2777" s="6" t="str">
        <f>IFERROR(__xludf.DUMMYFUNCTION("IF(REGEXMATCH(LOWER(G2777), ""^(\?)+\s*(missing)?\s*(\?)*$""), """", PROPER(SUBSTITUTE(SUBSTITUTE(G2777, ""?"", """"), ""*"", """")))"),"Chocolate Hot Water Bottle")</f>
        <v>Chocolate Hot Water Bottle</v>
      </c>
      <c r="I2777" s="3">
        <v>3.0</v>
      </c>
      <c r="J2777" s="7">
        <v>40599.48125</v>
      </c>
      <c r="K2777" s="8" t="str">
        <f t="shared" si="4"/>
        <v>2011-02</v>
      </c>
      <c r="L2777" s="5">
        <v>4.95</v>
      </c>
      <c r="M2777" s="3">
        <v>13362.0</v>
      </c>
      <c r="N2777" s="1" t="str">
        <f t="shared" si="5"/>
        <v>Registered</v>
      </c>
      <c r="O2777" s="1" t="s">
        <v>19</v>
      </c>
      <c r="P2777" s="9" t="str">
        <f t="shared" si="6"/>
        <v>UK</v>
      </c>
      <c r="Q2777" s="8">
        <f t="shared" si="7"/>
        <v>14.85</v>
      </c>
    </row>
    <row r="2778">
      <c r="A2778" s="1">
        <v>544970.0</v>
      </c>
      <c r="B2778" s="1" t="str">
        <f t="shared" si="1"/>
        <v>544970</v>
      </c>
      <c r="C2778" s="1" t="str">
        <f t="shared" si="2"/>
        <v>Sale</v>
      </c>
      <c r="D2778" s="1">
        <v>22111.0</v>
      </c>
      <c r="E2778" s="1" t="str">
        <f>IFERROR(__xludf.DUMMYFUNCTION("IF(LEN(D2778)&gt;4, IFERROR(REGEXEXTRACT(TO_TEXT(D2778),""\d+""),""""),"""")"),"22111")</f>
        <v>22111</v>
      </c>
      <c r="F2778" s="6" t="str">
        <f t="shared" si="3"/>
        <v>Product</v>
      </c>
      <c r="G2778" s="1" t="s">
        <v>270</v>
      </c>
      <c r="H2778" s="6" t="str">
        <f>IFERROR(__xludf.DUMMYFUNCTION("IF(REGEXMATCH(LOWER(G2778), ""^(\?)+\s*(missing)?\s*(\?)*$""), """", PROPER(SUBSTITUTE(SUBSTITUTE(G2778, ""?"", """"), ""*"", """")))"),"Scottie Dog Hot Water Bottle")</f>
        <v>Scottie Dog Hot Water Bottle</v>
      </c>
      <c r="I2778" s="3">
        <v>3.0</v>
      </c>
      <c r="J2778" s="7">
        <v>40599.48125</v>
      </c>
      <c r="K2778" s="8" t="str">
        <f t="shared" si="4"/>
        <v>2011-02</v>
      </c>
      <c r="L2778" s="5">
        <v>4.95</v>
      </c>
      <c r="M2778" s="3">
        <v>13362.0</v>
      </c>
      <c r="N2778" s="1" t="str">
        <f t="shared" si="5"/>
        <v>Registered</v>
      </c>
      <c r="O2778" s="1" t="s">
        <v>19</v>
      </c>
      <c r="P2778" s="9" t="str">
        <f t="shared" si="6"/>
        <v>UK</v>
      </c>
      <c r="Q2778" s="8">
        <f t="shared" si="7"/>
        <v>14.85</v>
      </c>
    </row>
    <row r="2779">
      <c r="A2779" s="1">
        <v>544970.0</v>
      </c>
      <c r="B2779" s="1" t="str">
        <f t="shared" si="1"/>
        <v>544970</v>
      </c>
      <c r="C2779" s="1" t="str">
        <f t="shared" si="2"/>
        <v>Sale</v>
      </c>
      <c r="D2779" s="1">
        <v>21417.0</v>
      </c>
      <c r="E2779" s="1" t="str">
        <f>IFERROR(__xludf.DUMMYFUNCTION("IF(LEN(D2779)&gt;4, IFERROR(REGEXEXTRACT(TO_TEXT(D2779),""\d+""),""""),"""")"),"21417")</f>
        <v>21417</v>
      </c>
      <c r="F2779" s="6" t="str">
        <f t="shared" si="3"/>
        <v>Product</v>
      </c>
      <c r="G2779" s="1" t="s">
        <v>1352</v>
      </c>
      <c r="H2779" s="6" t="str">
        <f>IFERROR(__xludf.DUMMYFUNCTION("IF(REGEXMATCH(LOWER(G2779), ""^(\?)+\s*(missing)?\s*(\?)*$""), """", PROPER(SUBSTITUTE(SUBSTITUTE(G2779, ""?"", """"), ""*"", """")))"),"Cockle Shell Dish")</f>
        <v>Cockle Shell Dish</v>
      </c>
      <c r="I2779" s="3">
        <v>6.0</v>
      </c>
      <c r="J2779" s="7">
        <v>40599.48125</v>
      </c>
      <c r="K2779" s="8" t="str">
        <f t="shared" si="4"/>
        <v>2011-02</v>
      </c>
      <c r="L2779" s="5">
        <v>2.1</v>
      </c>
      <c r="M2779" s="3">
        <v>13362.0</v>
      </c>
      <c r="N2779" s="1" t="str">
        <f t="shared" si="5"/>
        <v>Registered</v>
      </c>
      <c r="O2779" s="1" t="s">
        <v>19</v>
      </c>
      <c r="P2779" s="9" t="str">
        <f t="shared" si="6"/>
        <v>UK</v>
      </c>
      <c r="Q2779" s="8">
        <f t="shared" si="7"/>
        <v>12.6</v>
      </c>
    </row>
    <row r="2780">
      <c r="A2780" s="1">
        <v>544970.0</v>
      </c>
      <c r="B2780" s="1" t="str">
        <f t="shared" si="1"/>
        <v>544970</v>
      </c>
      <c r="C2780" s="1" t="str">
        <f t="shared" si="2"/>
        <v>Sale</v>
      </c>
      <c r="D2780" s="1">
        <v>21418.0</v>
      </c>
      <c r="E2780" s="1" t="str">
        <f>IFERROR(__xludf.DUMMYFUNCTION("IF(LEN(D2780)&gt;4, IFERROR(REGEXEXTRACT(TO_TEXT(D2780),""\d+""),""""),"""")"),"21418")</f>
        <v>21418</v>
      </c>
      <c r="F2780" s="6" t="str">
        <f t="shared" si="3"/>
        <v>Product</v>
      </c>
      <c r="G2780" s="1" t="s">
        <v>1353</v>
      </c>
      <c r="H2780" s="6" t="str">
        <f>IFERROR(__xludf.DUMMYFUNCTION("IF(REGEXMATCH(LOWER(G2780), ""^(\?)+\s*(missing)?\s*(\?)*$""), """", PROPER(SUBSTITUTE(SUBSTITUTE(G2780, ""?"", """"), ""*"", """")))"),"Starfish Soap Dish")</f>
        <v>Starfish Soap Dish</v>
      </c>
      <c r="I2780" s="3">
        <v>6.0</v>
      </c>
      <c r="J2780" s="7">
        <v>40599.48125</v>
      </c>
      <c r="K2780" s="8" t="str">
        <f t="shared" si="4"/>
        <v>2011-02</v>
      </c>
      <c r="L2780" s="5">
        <v>2.55</v>
      </c>
      <c r="M2780" s="3">
        <v>13362.0</v>
      </c>
      <c r="N2780" s="1" t="str">
        <f t="shared" si="5"/>
        <v>Registered</v>
      </c>
      <c r="O2780" s="1" t="s">
        <v>19</v>
      </c>
      <c r="P2780" s="9" t="str">
        <f t="shared" si="6"/>
        <v>UK</v>
      </c>
      <c r="Q2780" s="8">
        <f t="shared" si="7"/>
        <v>15.3</v>
      </c>
    </row>
    <row r="2781">
      <c r="A2781" s="1">
        <v>544970.0</v>
      </c>
      <c r="B2781" s="1" t="str">
        <f t="shared" si="1"/>
        <v>544970</v>
      </c>
      <c r="C2781" s="1" t="str">
        <f t="shared" si="2"/>
        <v>Sale</v>
      </c>
      <c r="D2781" s="1" t="s">
        <v>1354</v>
      </c>
      <c r="E2781" s="1" t="str">
        <f>IFERROR(__xludf.DUMMYFUNCTION("IF(LEN(D2781)&gt;4, IFERROR(REGEXEXTRACT(TO_TEXT(D2781),""\d+""),""""),"""")"),"72802")</f>
        <v>72802</v>
      </c>
      <c r="F2781" s="6" t="str">
        <f t="shared" si="3"/>
        <v>Product</v>
      </c>
      <c r="G2781" s="1" t="s">
        <v>1355</v>
      </c>
      <c r="H2781" s="6" t="str">
        <f>IFERROR(__xludf.DUMMYFUNCTION("IF(REGEXMATCH(LOWER(G2781), ""^(\?)+\s*(missing)?\s*(\?)*$""), """", PROPER(SUBSTITUTE(SUBSTITUTE(G2781, ""?"", """"), ""*"", """")))"),"Rose Scent Candle In Jewelled Box")</f>
        <v>Rose Scent Candle In Jewelled Box</v>
      </c>
      <c r="I2781" s="3">
        <v>6.0</v>
      </c>
      <c r="J2781" s="7">
        <v>40599.48125</v>
      </c>
      <c r="K2781" s="8" t="str">
        <f t="shared" si="4"/>
        <v>2011-02</v>
      </c>
      <c r="L2781" s="5">
        <v>4.25</v>
      </c>
      <c r="M2781" s="3">
        <v>13362.0</v>
      </c>
      <c r="N2781" s="1" t="str">
        <f t="shared" si="5"/>
        <v>Registered</v>
      </c>
      <c r="O2781" s="1" t="s">
        <v>19</v>
      </c>
      <c r="P2781" s="9" t="str">
        <f t="shared" si="6"/>
        <v>UK</v>
      </c>
      <c r="Q2781" s="8">
        <f t="shared" si="7"/>
        <v>25.5</v>
      </c>
    </row>
    <row r="2782">
      <c r="A2782" s="1">
        <v>544970.0</v>
      </c>
      <c r="B2782" s="1" t="str">
        <f t="shared" si="1"/>
        <v>544970</v>
      </c>
      <c r="C2782" s="1" t="str">
        <f t="shared" si="2"/>
        <v>Sale</v>
      </c>
      <c r="D2782" s="1" t="s">
        <v>1356</v>
      </c>
      <c r="E2782" s="1" t="str">
        <f>IFERROR(__xludf.DUMMYFUNCTION("IF(LEN(D2782)&gt;4, IFERROR(REGEXEXTRACT(TO_TEXT(D2782),""\d+""),""""),"""")"),"72802")</f>
        <v>72802</v>
      </c>
      <c r="F2782" s="6" t="str">
        <f t="shared" si="3"/>
        <v>Product</v>
      </c>
      <c r="G2782" s="1" t="s">
        <v>1357</v>
      </c>
      <c r="H2782" s="6" t="str">
        <f>IFERROR(__xludf.DUMMYFUNCTION("IF(REGEXMATCH(LOWER(G2782), ""^(\?)+\s*(missing)?\s*(\?)*$""), """", PROPER(SUBSTITUTE(SUBSTITUTE(G2782, ""?"", """"), ""*"", """")))"),"Ocean Scent Candle In Jewelled Box")</f>
        <v>Ocean Scent Candle In Jewelled Box</v>
      </c>
      <c r="I2782" s="3">
        <v>6.0</v>
      </c>
      <c r="J2782" s="7">
        <v>40599.48125</v>
      </c>
      <c r="K2782" s="8" t="str">
        <f t="shared" si="4"/>
        <v>2011-02</v>
      </c>
      <c r="L2782" s="5">
        <v>4.25</v>
      </c>
      <c r="M2782" s="3">
        <v>13362.0</v>
      </c>
      <c r="N2782" s="1" t="str">
        <f t="shared" si="5"/>
        <v>Registered</v>
      </c>
      <c r="O2782" s="1" t="s">
        <v>19</v>
      </c>
      <c r="P2782" s="9" t="str">
        <f t="shared" si="6"/>
        <v>UK</v>
      </c>
      <c r="Q2782" s="8">
        <f t="shared" si="7"/>
        <v>25.5</v>
      </c>
    </row>
    <row r="2783">
      <c r="A2783" s="1">
        <v>544970.0</v>
      </c>
      <c r="B2783" s="1" t="str">
        <f t="shared" si="1"/>
        <v>544970</v>
      </c>
      <c r="C2783" s="1" t="str">
        <f t="shared" si="2"/>
        <v>Sale</v>
      </c>
      <c r="D2783" s="1" t="s">
        <v>1358</v>
      </c>
      <c r="E2783" s="1" t="str">
        <f>IFERROR(__xludf.DUMMYFUNCTION("IF(LEN(D2783)&gt;4, IFERROR(REGEXEXTRACT(TO_TEXT(D2783),""\d+""),""""),"""")"),"85035")</f>
        <v>85035</v>
      </c>
      <c r="F2783" s="6" t="str">
        <f t="shared" si="3"/>
        <v>Product</v>
      </c>
      <c r="G2783" s="1" t="s">
        <v>1359</v>
      </c>
      <c r="H2783" s="6" t="str">
        <f>IFERROR(__xludf.DUMMYFUNCTION("IF(REGEXMATCH(LOWER(G2783), ""^(\?)+\s*(missing)?\s*(\?)*$""), """", PROPER(SUBSTITUTE(SUBSTITUTE(G2783, ""?"", """"), ""*"", """")))"),"Gardenia 3 Wick Morris Boxed Candle")</f>
        <v>Gardenia 3 Wick Morris Boxed Candle</v>
      </c>
      <c r="I2783" s="3">
        <v>4.0</v>
      </c>
      <c r="J2783" s="7">
        <v>40599.48125</v>
      </c>
      <c r="K2783" s="8" t="str">
        <f t="shared" si="4"/>
        <v>2011-02</v>
      </c>
      <c r="L2783" s="5">
        <v>4.25</v>
      </c>
      <c r="M2783" s="3">
        <v>13362.0</v>
      </c>
      <c r="N2783" s="1" t="str">
        <f t="shared" si="5"/>
        <v>Registered</v>
      </c>
      <c r="O2783" s="1" t="s">
        <v>19</v>
      </c>
      <c r="P2783" s="9" t="str">
        <f t="shared" si="6"/>
        <v>UK</v>
      </c>
      <c r="Q2783" s="8">
        <f t="shared" si="7"/>
        <v>17</v>
      </c>
    </row>
    <row r="2784">
      <c r="A2784" s="1">
        <v>544970.0</v>
      </c>
      <c r="B2784" s="1" t="str">
        <f t="shared" si="1"/>
        <v>544970</v>
      </c>
      <c r="C2784" s="1" t="str">
        <f t="shared" si="2"/>
        <v>Sale</v>
      </c>
      <c r="D2784" s="1" t="s">
        <v>1360</v>
      </c>
      <c r="E2784" s="1" t="str">
        <f>IFERROR(__xludf.DUMMYFUNCTION("IF(LEN(D2784)&gt;4, IFERROR(REGEXEXTRACT(TO_TEXT(D2784),""\d+""),""""),"""")"),"85035")</f>
        <v>85035</v>
      </c>
      <c r="F2784" s="6" t="str">
        <f t="shared" si="3"/>
        <v>Product</v>
      </c>
      <c r="G2784" s="1" t="s">
        <v>1361</v>
      </c>
      <c r="H2784" s="6" t="str">
        <f>IFERROR(__xludf.DUMMYFUNCTION("IF(REGEXMATCH(LOWER(G2784), ""^(\?)+\s*(missing)?\s*(\?)*$""), """", PROPER(SUBSTITUTE(SUBSTITUTE(G2784, ""?"", """"), ""*"", """")))"),"Rose 3 Wick Morris Box Candle")</f>
        <v>Rose 3 Wick Morris Box Candle</v>
      </c>
      <c r="I2784" s="3">
        <v>4.0</v>
      </c>
      <c r="J2784" s="7">
        <v>40599.48125</v>
      </c>
      <c r="K2784" s="8" t="str">
        <f t="shared" si="4"/>
        <v>2011-02</v>
      </c>
      <c r="L2784" s="5">
        <v>4.25</v>
      </c>
      <c r="M2784" s="3">
        <v>13362.0</v>
      </c>
      <c r="N2784" s="1" t="str">
        <f t="shared" si="5"/>
        <v>Registered</v>
      </c>
      <c r="O2784" s="1" t="s">
        <v>19</v>
      </c>
      <c r="P2784" s="9" t="str">
        <f t="shared" si="6"/>
        <v>UK</v>
      </c>
      <c r="Q2784" s="8">
        <f t="shared" si="7"/>
        <v>17</v>
      </c>
    </row>
    <row r="2785">
      <c r="A2785" s="1">
        <v>544970.0</v>
      </c>
      <c r="B2785" s="1" t="str">
        <f t="shared" si="1"/>
        <v>544970</v>
      </c>
      <c r="C2785" s="1" t="str">
        <f t="shared" si="2"/>
        <v>Sale</v>
      </c>
      <c r="D2785" s="1">
        <v>22969.0</v>
      </c>
      <c r="E2785" s="1" t="str">
        <f>IFERROR(__xludf.DUMMYFUNCTION("IF(LEN(D2785)&gt;4, IFERROR(REGEXEXTRACT(TO_TEXT(D2785),""\d+""),""""),"""")"),"22969")</f>
        <v>22969</v>
      </c>
      <c r="F2785" s="6" t="str">
        <f t="shared" si="3"/>
        <v>Product</v>
      </c>
      <c r="G2785" s="1" t="s">
        <v>192</v>
      </c>
      <c r="H2785" s="6" t="str">
        <f>IFERROR(__xludf.DUMMYFUNCTION("IF(REGEXMATCH(LOWER(G2785), ""^(\?)+\s*(missing)?\s*(\?)*$""), """", PROPER(SUBSTITUTE(SUBSTITUTE(G2785, ""?"", """"), ""*"", """")))"),"Homemade Jam Scented Candles")</f>
        <v>Homemade Jam Scented Candles</v>
      </c>
      <c r="I2785" s="3">
        <v>12.0</v>
      </c>
      <c r="J2785" s="7">
        <v>40599.48125</v>
      </c>
      <c r="K2785" s="8" t="str">
        <f t="shared" si="4"/>
        <v>2011-02</v>
      </c>
      <c r="L2785" s="5">
        <v>1.45</v>
      </c>
      <c r="M2785" s="3">
        <v>13362.0</v>
      </c>
      <c r="N2785" s="1" t="str">
        <f t="shared" si="5"/>
        <v>Registered</v>
      </c>
      <c r="O2785" s="1" t="s">
        <v>19</v>
      </c>
      <c r="P2785" s="9" t="str">
        <f t="shared" si="6"/>
        <v>UK</v>
      </c>
      <c r="Q2785" s="8">
        <f t="shared" si="7"/>
        <v>17.4</v>
      </c>
    </row>
    <row r="2786">
      <c r="A2786" s="1">
        <v>544970.0</v>
      </c>
      <c r="B2786" s="1" t="str">
        <f t="shared" si="1"/>
        <v>544970</v>
      </c>
      <c r="C2786" s="1" t="str">
        <f t="shared" si="2"/>
        <v>Sale</v>
      </c>
      <c r="D2786" s="1" t="s">
        <v>1362</v>
      </c>
      <c r="E2786" s="1" t="str">
        <f>IFERROR(__xludf.DUMMYFUNCTION("IF(LEN(D2786)&gt;4, IFERROR(REGEXEXTRACT(TO_TEXT(D2786),""\d+""),""""),"""")"),"85039")</f>
        <v>85039</v>
      </c>
      <c r="F2786" s="6" t="str">
        <f t="shared" si="3"/>
        <v>Product</v>
      </c>
      <c r="G2786" s="1" t="s">
        <v>1363</v>
      </c>
      <c r="H2786" s="6" t="str">
        <f>IFERROR(__xludf.DUMMYFUNCTION("IF(REGEXMATCH(LOWER(G2786), ""^(\?)+\s*(missing)?\s*(\?)*$""), """", PROPER(SUBSTITUTE(SUBSTITUTE(G2786, ""?"", """"), ""*"", """")))"),"Set/4 Red Mini Rose Candle In Bowl")</f>
        <v>Set/4 Red Mini Rose Candle In Bowl</v>
      </c>
      <c r="I2786" s="3">
        <v>12.0</v>
      </c>
      <c r="J2786" s="7">
        <v>40599.48125</v>
      </c>
      <c r="K2786" s="8" t="str">
        <f t="shared" si="4"/>
        <v>2011-02</v>
      </c>
      <c r="L2786" s="5">
        <v>1.65</v>
      </c>
      <c r="M2786" s="3">
        <v>13362.0</v>
      </c>
      <c r="N2786" s="1" t="str">
        <f t="shared" si="5"/>
        <v>Registered</v>
      </c>
      <c r="O2786" s="1" t="s">
        <v>19</v>
      </c>
      <c r="P2786" s="9" t="str">
        <f t="shared" si="6"/>
        <v>UK</v>
      </c>
      <c r="Q2786" s="8">
        <f t="shared" si="7"/>
        <v>19.8</v>
      </c>
    </row>
    <row r="2787">
      <c r="A2787" s="1">
        <v>544970.0</v>
      </c>
      <c r="B2787" s="1" t="str">
        <f t="shared" si="1"/>
        <v>544970</v>
      </c>
      <c r="C2787" s="1" t="str">
        <f t="shared" si="2"/>
        <v>Sale</v>
      </c>
      <c r="D2787" s="1" t="s">
        <v>1364</v>
      </c>
      <c r="E2787" s="1" t="str">
        <f>IFERROR(__xludf.DUMMYFUNCTION("IF(LEN(D2787)&gt;4, IFERROR(REGEXEXTRACT(TO_TEXT(D2787),""\d+""),""""),"""")"),"85040")</f>
        <v>85040</v>
      </c>
      <c r="F2787" s="6" t="str">
        <f t="shared" si="3"/>
        <v>Product</v>
      </c>
      <c r="G2787" s="1" t="s">
        <v>1365</v>
      </c>
      <c r="H2787" s="6" t="str">
        <f>IFERROR(__xludf.DUMMYFUNCTION("IF(REGEXMATCH(LOWER(G2787), ""^(\?)+\s*(missing)?\s*(\?)*$""), """", PROPER(SUBSTITUTE(SUBSTITUTE(G2787, ""?"", """"), ""*"", """")))"),"S/4 Pink Flower Candles In Bowl")</f>
        <v>S/4 Pink Flower Candles In Bowl</v>
      </c>
      <c r="I2787" s="3">
        <v>12.0</v>
      </c>
      <c r="J2787" s="7">
        <v>40599.48125</v>
      </c>
      <c r="K2787" s="8" t="str">
        <f t="shared" si="4"/>
        <v>2011-02</v>
      </c>
      <c r="L2787" s="5">
        <v>1.65</v>
      </c>
      <c r="M2787" s="3">
        <v>13362.0</v>
      </c>
      <c r="N2787" s="1" t="str">
        <f t="shared" si="5"/>
        <v>Registered</v>
      </c>
      <c r="O2787" s="1" t="s">
        <v>19</v>
      </c>
      <c r="P2787" s="9" t="str">
        <f t="shared" si="6"/>
        <v>UK</v>
      </c>
      <c r="Q2787" s="8">
        <f t="shared" si="7"/>
        <v>19.8</v>
      </c>
    </row>
    <row r="2788">
      <c r="A2788" s="1">
        <v>544970.0</v>
      </c>
      <c r="B2788" s="1" t="str">
        <f t="shared" si="1"/>
        <v>544970</v>
      </c>
      <c r="C2788" s="1" t="str">
        <f t="shared" si="2"/>
        <v>Sale</v>
      </c>
      <c r="D2788" s="1">
        <v>22637.0</v>
      </c>
      <c r="E2788" s="1" t="str">
        <f>IFERROR(__xludf.DUMMYFUNCTION("IF(LEN(D2788)&gt;4, IFERROR(REGEXEXTRACT(TO_TEXT(D2788),""\d+""),""""),"""")"),"22637")</f>
        <v>22637</v>
      </c>
      <c r="F2788" s="6" t="str">
        <f t="shared" si="3"/>
        <v>Product</v>
      </c>
      <c r="G2788" s="1" t="s">
        <v>119</v>
      </c>
      <c r="H2788" s="6" t="str">
        <f>IFERROR(__xludf.DUMMYFUNCTION("IF(REGEXMATCH(LOWER(G2788), ""^(\?)+\s*(missing)?\s*(\?)*$""), """", PROPER(SUBSTITUTE(SUBSTITUTE(G2788, ""?"", """"), ""*"", """")))"),"Piggy Bank Retrospot")</f>
        <v>Piggy Bank Retrospot</v>
      </c>
      <c r="I2788" s="3">
        <v>4.0</v>
      </c>
      <c r="J2788" s="7">
        <v>40599.48125</v>
      </c>
      <c r="K2788" s="8" t="str">
        <f t="shared" si="4"/>
        <v>2011-02</v>
      </c>
      <c r="L2788" s="5">
        <v>2.55</v>
      </c>
      <c r="M2788" s="3">
        <v>13362.0</v>
      </c>
      <c r="N2788" s="1" t="str">
        <f t="shared" si="5"/>
        <v>Registered</v>
      </c>
      <c r="O2788" s="1" t="s">
        <v>19</v>
      </c>
      <c r="P2788" s="9" t="str">
        <f t="shared" si="6"/>
        <v>UK</v>
      </c>
      <c r="Q2788" s="8">
        <f t="shared" si="7"/>
        <v>10.2</v>
      </c>
    </row>
    <row r="2789">
      <c r="A2789" s="1">
        <v>544970.0</v>
      </c>
      <c r="B2789" s="1" t="str">
        <f t="shared" si="1"/>
        <v>544970</v>
      </c>
      <c r="C2789" s="1" t="str">
        <f t="shared" si="2"/>
        <v>Sale</v>
      </c>
      <c r="D2789" s="1">
        <v>22646.0</v>
      </c>
      <c r="E2789" s="1" t="str">
        <f>IFERROR(__xludf.DUMMYFUNCTION("IF(LEN(D2789)&gt;4, IFERROR(REGEXEXTRACT(TO_TEXT(D2789),""\d+""),""""),"""")"),"22646")</f>
        <v>22646</v>
      </c>
      <c r="F2789" s="6" t="str">
        <f t="shared" si="3"/>
        <v>Product</v>
      </c>
      <c r="G2789" s="1" t="s">
        <v>141</v>
      </c>
      <c r="H2789" s="6" t="str">
        <f>IFERROR(__xludf.DUMMYFUNCTION("IF(REGEXMATCH(LOWER(G2789), ""^(\?)+\s*(missing)?\s*(\?)*$""), """", PROPER(SUBSTITUTE(SUBSTITUTE(G2789, ""?"", """"), ""*"", """")))"),"Ceramic Strawberry Cake Money Bank")</f>
        <v>Ceramic Strawberry Cake Money Bank</v>
      </c>
      <c r="I2789" s="3">
        <v>12.0</v>
      </c>
      <c r="J2789" s="7">
        <v>40599.48125</v>
      </c>
      <c r="K2789" s="8" t="str">
        <f t="shared" si="4"/>
        <v>2011-02</v>
      </c>
      <c r="L2789" s="5">
        <v>1.45</v>
      </c>
      <c r="M2789" s="3">
        <v>13362.0</v>
      </c>
      <c r="N2789" s="1" t="str">
        <f t="shared" si="5"/>
        <v>Registered</v>
      </c>
      <c r="O2789" s="1" t="s">
        <v>19</v>
      </c>
      <c r="P2789" s="9" t="str">
        <f t="shared" si="6"/>
        <v>UK</v>
      </c>
      <c r="Q2789" s="8">
        <f t="shared" si="7"/>
        <v>17.4</v>
      </c>
    </row>
    <row r="2790">
      <c r="A2790" s="1">
        <v>544970.0</v>
      </c>
      <c r="B2790" s="1" t="str">
        <f t="shared" si="1"/>
        <v>544970</v>
      </c>
      <c r="C2790" s="1" t="str">
        <f t="shared" si="2"/>
        <v>Sale</v>
      </c>
      <c r="D2790" s="1">
        <v>21056.0</v>
      </c>
      <c r="E2790" s="1" t="str">
        <f>IFERROR(__xludf.DUMMYFUNCTION("IF(LEN(D2790)&gt;4, IFERROR(REGEXEXTRACT(TO_TEXT(D2790),""\d+""),""""),"""")"),"21056")</f>
        <v>21056</v>
      </c>
      <c r="F2790" s="6" t="str">
        <f t="shared" si="3"/>
        <v>Product</v>
      </c>
      <c r="G2790" s="1" t="s">
        <v>1366</v>
      </c>
      <c r="H2790" s="6" t="str">
        <f>IFERROR(__xludf.DUMMYFUNCTION("IF(REGEXMATCH(LOWER(G2790), ""^(\?)+\s*(missing)?\s*(\?)*$""), """", PROPER(SUBSTITUTE(SUBSTITUTE(G2790, ""?"", """"), ""*"", """")))"),"Doctor'S Bag Soft Toy")</f>
        <v>Doctor'S Bag Soft Toy</v>
      </c>
      <c r="I2790" s="3">
        <v>2.0</v>
      </c>
      <c r="J2790" s="7">
        <v>40599.48125</v>
      </c>
      <c r="K2790" s="8" t="str">
        <f t="shared" si="4"/>
        <v>2011-02</v>
      </c>
      <c r="L2790" s="5">
        <v>8.95</v>
      </c>
      <c r="M2790" s="3">
        <v>13362.0</v>
      </c>
      <c r="N2790" s="1" t="str">
        <f t="shared" si="5"/>
        <v>Registered</v>
      </c>
      <c r="O2790" s="1" t="s">
        <v>19</v>
      </c>
      <c r="P2790" s="9" t="str">
        <f t="shared" si="6"/>
        <v>UK</v>
      </c>
      <c r="Q2790" s="8">
        <f t="shared" si="7"/>
        <v>17.9</v>
      </c>
    </row>
    <row r="2791">
      <c r="A2791" s="1">
        <v>544970.0</v>
      </c>
      <c r="B2791" s="1" t="str">
        <f t="shared" si="1"/>
        <v>544970</v>
      </c>
      <c r="C2791" s="1" t="str">
        <f t="shared" si="2"/>
        <v>Sale</v>
      </c>
      <c r="D2791" s="1">
        <v>21055.0</v>
      </c>
      <c r="E2791" s="1" t="str">
        <f>IFERROR(__xludf.DUMMYFUNCTION("IF(LEN(D2791)&gt;4, IFERROR(REGEXEXTRACT(TO_TEXT(D2791),""\d+""),""""),"""")"),"21055")</f>
        <v>21055</v>
      </c>
      <c r="F2791" s="6" t="str">
        <f t="shared" si="3"/>
        <v>Product</v>
      </c>
      <c r="G2791" s="1" t="s">
        <v>1367</v>
      </c>
      <c r="H2791" s="6" t="str">
        <f>IFERROR(__xludf.DUMMYFUNCTION("IF(REGEXMATCH(LOWER(G2791), ""^(\?)+\s*(missing)?\s*(\?)*$""), """", PROPER(SUBSTITUTE(SUBSTITUTE(G2791, ""?"", """"), ""*"", """")))"),"Tool Box Soft Toy")</f>
        <v>Tool Box Soft Toy</v>
      </c>
      <c r="I2791" s="3">
        <v>2.0</v>
      </c>
      <c r="J2791" s="7">
        <v>40599.48125</v>
      </c>
      <c r="K2791" s="8" t="str">
        <f t="shared" si="4"/>
        <v>2011-02</v>
      </c>
      <c r="L2791" s="5">
        <v>8.95</v>
      </c>
      <c r="M2791" s="3">
        <v>13362.0</v>
      </c>
      <c r="N2791" s="1" t="str">
        <f t="shared" si="5"/>
        <v>Registered</v>
      </c>
      <c r="O2791" s="1" t="s">
        <v>19</v>
      </c>
      <c r="P2791" s="9" t="str">
        <f t="shared" si="6"/>
        <v>UK</v>
      </c>
      <c r="Q2791" s="8">
        <f t="shared" si="7"/>
        <v>17.9</v>
      </c>
    </row>
    <row r="2792">
      <c r="A2792" s="1">
        <v>544970.0</v>
      </c>
      <c r="B2792" s="1" t="str">
        <f t="shared" si="1"/>
        <v>544970</v>
      </c>
      <c r="C2792" s="1" t="str">
        <f t="shared" si="2"/>
        <v>Sale</v>
      </c>
      <c r="D2792" s="1">
        <v>22483.0</v>
      </c>
      <c r="E2792" s="1" t="str">
        <f>IFERROR(__xludf.DUMMYFUNCTION("IF(LEN(D2792)&gt;4, IFERROR(REGEXEXTRACT(TO_TEXT(D2792),""\d+""),""""),"""")"),"22483")</f>
        <v>22483</v>
      </c>
      <c r="F2792" s="6" t="str">
        <f t="shared" si="3"/>
        <v>Product</v>
      </c>
      <c r="G2792" s="1" t="s">
        <v>1322</v>
      </c>
      <c r="H2792" s="6" t="str">
        <f>IFERROR(__xludf.DUMMYFUNCTION("IF(REGEXMATCH(LOWER(G2792), ""^(\?)+\s*(missing)?\s*(\?)*$""), """", PROPER(SUBSTITUTE(SUBSTITUTE(G2792, ""?"", """"), ""*"", """")))"),"Red Gingham Teddy Bear")</f>
        <v>Red Gingham Teddy Bear</v>
      </c>
      <c r="I2792" s="3">
        <v>6.0</v>
      </c>
      <c r="J2792" s="7">
        <v>40599.48125</v>
      </c>
      <c r="K2792" s="8" t="str">
        <f t="shared" si="4"/>
        <v>2011-02</v>
      </c>
      <c r="L2792" s="5">
        <v>2.95</v>
      </c>
      <c r="M2792" s="3">
        <v>13362.0</v>
      </c>
      <c r="N2792" s="1" t="str">
        <f t="shared" si="5"/>
        <v>Registered</v>
      </c>
      <c r="O2792" s="1" t="s">
        <v>19</v>
      </c>
      <c r="P2792" s="9" t="str">
        <f t="shared" si="6"/>
        <v>UK</v>
      </c>
      <c r="Q2792" s="8">
        <f t="shared" si="7"/>
        <v>17.7</v>
      </c>
    </row>
    <row r="2793">
      <c r="A2793" s="1">
        <v>544970.0</v>
      </c>
      <c r="B2793" s="1" t="str">
        <f t="shared" si="1"/>
        <v>544970</v>
      </c>
      <c r="C2793" s="1" t="str">
        <f t="shared" si="2"/>
        <v>Sale</v>
      </c>
      <c r="D2793" s="1">
        <v>84584.0</v>
      </c>
      <c r="E2793" s="1" t="str">
        <f>IFERROR(__xludf.DUMMYFUNCTION("IF(LEN(D2793)&gt;4, IFERROR(REGEXEXTRACT(TO_TEXT(D2793),""\d+""),""""),"""")"),"84584")</f>
        <v>84584</v>
      </c>
      <c r="F2793" s="6" t="str">
        <f t="shared" si="3"/>
        <v>Product</v>
      </c>
      <c r="G2793" s="1" t="s">
        <v>1368</v>
      </c>
      <c r="H2793" s="6" t="str">
        <f>IFERROR(__xludf.DUMMYFUNCTION("IF(REGEXMATCH(LOWER(G2793), ""^(\?)+\s*(missing)?\s*(\?)*$""), """", PROPER(SUBSTITUTE(SUBSTITUTE(G2793, ""?"", """"), ""*"", """")))"),"Pink Gingham Cat With Scarf")</f>
        <v>Pink Gingham Cat With Scarf</v>
      </c>
      <c r="I2793" s="3">
        <v>6.0</v>
      </c>
      <c r="J2793" s="7">
        <v>40599.48125</v>
      </c>
      <c r="K2793" s="8" t="str">
        <f t="shared" si="4"/>
        <v>2011-02</v>
      </c>
      <c r="L2793" s="5">
        <v>2.55</v>
      </c>
      <c r="M2793" s="3">
        <v>13362.0</v>
      </c>
      <c r="N2793" s="1" t="str">
        <f t="shared" si="5"/>
        <v>Registered</v>
      </c>
      <c r="O2793" s="1" t="s">
        <v>19</v>
      </c>
      <c r="P2793" s="9" t="str">
        <f t="shared" si="6"/>
        <v>UK</v>
      </c>
      <c r="Q2793" s="8">
        <f t="shared" si="7"/>
        <v>15.3</v>
      </c>
    </row>
    <row r="2794">
      <c r="A2794" s="1">
        <v>544970.0</v>
      </c>
      <c r="B2794" s="1" t="str">
        <f t="shared" si="1"/>
        <v>544970</v>
      </c>
      <c r="C2794" s="1" t="str">
        <f t="shared" si="2"/>
        <v>Sale</v>
      </c>
      <c r="D2794" s="1">
        <v>20685.0</v>
      </c>
      <c r="E2794" s="1" t="str">
        <f>IFERROR(__xludf.DUMMYFUNCTION("IF(LEN(D2794)&gt;4, IFERROR(REGEXEXTRACT(TO_TEXT(D2794),""\d+""),""""),"""")"),"20685")</f>
        <v>20685</v>
      </c>
      <c r="F2794" s="6" t="str">
        <f t="shared" si="3"/>
        <v>Product</v>
      </c>
      <c r="G2794" s="1" t="s">
        <v>374</v>
      </c>
      <c r="H2794" s="6" t="str">
        <f>IFERROR(__xludf.DUMMYFUNCTION("IF(REGEXMATCH(LOWER(G2794), ""^(\?)+\s*(missing)?\s*(\?)*$""), """", PROPER(SUBSTITUTE(SUBSTITUTE(G2794, ""?"", """"), ""*"", """")))"),"Doormat Red Retrospot")</f>
        <v>Doormat Red Retrospot</v>
      </c>
      <c r="I2794" s="3">
        <v>2.0</v>
      </c>
      <c r="J2794" s="7">
        <v>40599.48125</v>
      </c>
      <c r="K2794" s="8" t="str">
        <f t="shared" si="4"/>
        <v>2011-02</v>
      </c>
      <c r="L2794" s="5">
        <v>7.95</v>
      </c>
      <c r="M2794" s="3">
        <v>13362.0</v>
      </c>
      <c r="N2794" s="1" t="str">
        <f t="shared" si="5"/>
        <v>Registered</v>
      </c>
      <c r="O2794" s="1" t="s">
        <v>19</v>
      </c>
      <c r="P2794" s="9" t="str">
        <f t="shared" si="6"/>
        <v>UK</v>
      </c>
      <c r="Q2794" s="8">
        <f t="shared" si="7"/>
        <v>15.9</v>
      </c>
    </row>
    <row r="2795">
      <c r="A2795" s="1">
        <v>544970.0</v>
      </c>
      <c r="B2795" s="1" t="str">
        <f t="shared" si="1"/>
        <v>544970</v>
      </c>
      <c r="C2795" s="1" t="str">
        <f t="shared" si="2"/>
        <v>Sale</v>
      </c>
      <c r="D2795" s="1">
        <v>21523.0</v>
      </c>
      <c r="E2795" s="1" t="str">
        <f>IFERROR(__xludf.DUMMYFUNCTION("IF(LEN(D2795)&gt;4, IFERROR(REGEXEXTRACT(TO_TEXT(D2795),""\d+""),""""),"""")"),"21523")</f>
        <v>21523</v>
      </c>
      <c r="F2795" s="6" t="str">
        <f t="shared" si="3"/>
        <v>Product</v>
      </c>
      <c r="G2795" s="1" t="s">
        <v>146</v>
      </c>
      <c r="H2795" s="6" t="str">
        <f>IFERROR(__xludf.DUMMYFUNCTION("IF(REGEXMATCH(LOWER(G2795), ""^(\?)+\s*(missing)?\s*(\?)*$""), """", PROPER(SUBSTITUTE(SUBSTITUTE(G2795, ""?"", """"), ""*"", """")))"),"Doormat Fancy Font Home Sweet Home")</f>
        <v>Doormat Fancy Font Home Sweet Home</v>
      </c>
      <c r="I2795" s="3">
        <v>2.0</v>
      </c>
      <c r="J2795" s="7">
        <v>40599.48125</v>
      </c>
      <c r="K2795" s="8" t="str">
        <f t="shared" si="4"/>
        <v>2011-02</v>
      </c>
      <c r="L2795" s="5">
        <v>7.95</v>
      </c>
      <c r="M2795" s="3">
        <v>13362.0</v>
      </c>
      <c r="N2795" s="1" t="str">
        <f t="shared" si="5"/>
        <v>Registered</v>
      </c>
      <c r="O2795" s="1" t="s">
        <v>19</v>
      </c>
      <c r="P2795" s="9" t="str">
        <f t="shared" si="6"/>
        <v>UK</v>
      </c>
      <c r="Q2795" s="8">
        <f t="shared" si="7"/>
        <v>15.9</v>
      </c>
    </row>
    <row r="2796">
      <c r="A2796" s="1">
        <v>544970.0</v>
      </c>
      <c r="B2796" s="1" t="str">
        <f t="shared" si="1"/>
        <v>544970</v>
      </c>
      <c r="C2796" s="1" t="str">
        <f t="shared" si="2"/>
        <v>Sale</v>
      </c>
      <c r="D2796" s="1">
        <v>22690.0</v>
      </c>
      <c r="E2796" s="1" t="str">
        <f>IFERROR(__xludf.DUMMYFUNCTION("IF(LEN(D2796)&gt;4, IFERROR(REGEXEXTRACT(TO_TEXT(D2796),""\d+""),""""),"""")"),"22690")</f>
        <v>22690</v>
      </c>
      <c r="F2796" s="6" t="str">
        <f t="shared" si="3"/>
        <v>Product</v>
      </c>
      <c r="G2796" s="1" t="s">
        <v>799</v>
      </c>
      <c r="H2796" s="6" t="str">
        <f>IFERROR(__xludf.DUMMYFUNCTION("IF(REGEXMATCH(LOWER(G2796), ""^(\?)+\s*(missing)?\s*(\?)*$""), """", PROPER(SUBSTITUTE(SUBSTITUTE(G2796, ""?"", """"), ""*"", """")))"),"Doormat Home Sweet Home Blue")</f>
        <v>Doormat Home Sweet Home Blue</v>
      </c>
      <c r="I2796" s="3">
        <v>2.0</v>
      </c>
      <c r="J2796" s="7">
        <v>40599.48125</v>
      </c>
      <c r="K2796" s="8" t="str">
        <f t="shared" si="4"/>
        <v>2011-02</v>
      </c>
      <c r="L2796" s="5">
        <v>7.95</v>
      </c>
      <c r="M2796" s="3">
        <v>13362.0</v>
      </c>
      <c r="N2796" s="1" t="str">
        <f t="shared" si="5"/>
        <v>Registered</v>
      </c>
      <c r="O2796" s="1" t="s">
        <v>19</v>
      </c>
      <c r="P2796" s="9" t="str">
        <f t="shared" si="6"/>
        <v>UK</v>
      </c>
      <c r="Q2796" s="8">
        <f t="shared" si="7"/>
        <v>15.9</v>
      </c>
    </row>
    <row r="2797">
      <c r="A2797" s="1">
        <v>544970.0</v>
      </c>
      <c r="B2797" s="1" t="str">
        <f t="shared" si="1"/>
        <v>544970</v>
      </c>
      <c r="C2797" s="1" t="str">
        <f t="shared" si="2"/>
        <v>Sale</v>
      </c>
      <c r="D2797" s="1">
        <v>48184.0</v>
      </c>
      <c r="E2797" s="1" t="str">
        <f>IFERROR(__xludf.DUMMYFUNCTION("IF(LEN(D2797)&gt;4, IFERROR(REGEXEXTRACT(TO_TEXT(D2797),""\d+""),""""),"""")"),"48184")</f>
        <v>48184</v>
      </c>
      <c r="F2797" s="6" t="str">
        <f t="shared" si="3"/>
        <v>Product</v>
      </c>
      <c r="G2797" s="1" t="s">
        <v>1179</v>
      </c>
      <c r="H2797" s="6" t="str">
        <f>IFERROR(__xludf.DUMMYFUNCTION("IF(REGEXMATCH(LOWER(G2797), ""^(\?)+\s*(missing)?\s*(\?)*$""), """", PROPER(SUBSTITUTE(SUBSTITUTE(G2797, ""?"", """"), ""*"", """")))"),"Doormat English Rose")</f>
        <v>Doormat English Rose</v>
      </c>
      <c r="I2797" s="3">
        <v>2.0</v>
      </c>
      <c r="J2797" s="7">
        <v>40599.48125</v>
      </c>
      <c r="K2797" s="8" t="str">
        <f t="shared" si="4"/>
        <v>2011-02</v>
      </c>
      <c r="L2797" s="5">
        <v>7.95</v>
      </c>
      <c r="M2797" s="3">
        <v>13362.0</v>
      </c>
      <c r="N2797" s="1" t="str">
        <f t="shared" si="5"/>
        <v>Registered</v>
      </c>
      <c r="O2797" s="1" t="s">
        <v>19</v>
      </c>
      <c r="P2797" s="9" t="str">
        <f t="shared" si="6"/>
        <v>UK</v>
      </c>
      <c r="Q2797" s="8">
        <f t="shared" si="7"/>
        <v>15.9</v>
      </c>
    </row>
    <row r="2798">
      <c r="A2798" s="1">
        <v>544970.0</v>
      </c>
      <c r="B2798" s="1" t="str">
        <f t="shared" si="1"/>
        <v>544970</v>
      </c>
      <c r="C2798" s="1" t="str">
        <f t="shared" si="2"/>
        <v>Sale</v>
      </c>
      <c r="D2798" s="1">
        <v>48188.0</v>
      </c>
      <c r="E2798" s="1" t="str">
        <f>IFERROR(__xludf.DUMMYFUNCTION("IF(LEN(D2798)&gt;4, IFERROR(REGEXEXTRACT(TO_TEXT(D2798),""\d+""),""""),"""")"),"48188")</f>
        <v>48188</v>
      </c>
      <c r="F2798" s="6" t="str">
        <f t="shared" si="3"/>
        <v>Product</v>
      </c>
      <c r="G2798" s="1" t="s">
        <v>1022</v>
      </c>
      <c r="H2798" s="6" t="str">
        <f>IFERROR(__xludf.DUMMYFUNCTION("IF(REGEXMATCH(LOWER(G2798), ""^(\?)+\s*(missing)?\s*(\?)*$""), """", PROPER(SUBSTITUTE(SUBSTITUTE(G2798, ""?"", """"), ""*"", """")))"),"Doormat Welcome Puppies")</f>
        <v>Doormat Welcome Puppies</v>
      </c>
      <c r="I2798" s="3">
        <v>2.0</v>
      </c>
      <c r="J2798" s="7">
        <v>40599.48125</v>
      </c>
      <c r="K2798" s="8" t="str">
        <f t="shared" si="4"/>
        <v>2011-02</v>
      </c>
      <c r="L2798" s="5">
        <v>7.95</v>
      </c>
      <c r="M2798" s="3">
        <v>13362.0</v>
      </c>
      <c r="N2798" s="1" t="str">
        <f t="shared" si="5"/>
        <v>Registered</v>
      </c>
      <c r="O2798" s="1" t="s">
        <v>19</v>
      </c>
      <c r="P2798" s="9" t="str">
        <f t="shared" si="6"/>
        <v>UK</v>
      </c>
      <c r="Q2798" s="8">
        <f t="shared" si="7"/>
        <v>15.9</v>
      </c>
    </row>
    <row r="2799">
      <c r="A2799" s="1">
        <v>544970.0</v>
      </c>
      <c r="B2799" s="1" t="str">
        <f t="shared" si="1"/>
        <v>544970</v>
      </c>
      <c r="C2799" s="1" t="str">
        <f t="shared" si="2"/>
        <v>Sale</v>
      </c>
      <c r="D2799" s="1">
        <v>22430.0</v>
      </c>
      <c r="E2799" s="1" t="str">
        <f>IFERROR(__xludf.DUMMYFUNCTION("IF(LEN(D2799)&gt;4, IFERROR(REGEXEXTRACT(TO_TEXT(D2799),""\d+""),""""),"""")"),"22430")</f>
        <v>22430</v>
      </c>
      <c r="F2799" s="6" t="str">
        <f t="shared" si="3"/>
        <v>Product</v>
      </c>
      <c r="G2799" s="1" t="s">
        <v>1014</v>
      </c>
      <c r="H2799" s="6" t="str">
        <f>IFERROR(__xludf.DUMMYFUNCTION("IF(REGEXMATCH(LOWER(G2799), ""^(\?)+\s*(missing)?\s*(\?)*$""), """", PROPER(SUBSTITUTE(SUBSTITUTE(G2799, ""?"", """"), ""*"", """")))"),"Enamel Watering Can Cream")</f>
        <v>Enamel Watering Can Cream</v>
      </c>
      <c r="I2799" s="3">
        <v>4.0</v>
      </c>
      <c r="J2799" s="7">
        <v>40599.48125</v>
      </c>
      <c r="K2799" s="8" t="str">
        <f t="shared" si="4"/>
        <v>2011-02</v>
      </c>
      <c r="L2799" s="5">
        <v>4.95</v>
      </c>
      <c r="M2799" s="3">
        <v>13362.0</v>
      </c>
      <c r="N2799" s="1" t="str">
        <f t="shared" si="5"/>
        <v>Registered</v>
      </c>
      <c r="O2799" s="1" t="s">
        <v>19</v>
      </c>
      <c r="P2799" s="9" t="str">
        <f t="shared" si="6"/>
        <v>UK</v>
      </c>
      <c r="Q2799" s="8">
        <f t="shared" si="7"/>
        <v>19.8</v>
      </c>
    </row>
    <row r="2800">
      <c r="A2800" s="1">
        <v>544970.0</v>
      </c>
      <c r="B2800" s="1" t="str">
        <f t="shared" si="1"/>
        <v>544970</v>
      </c>
      <c r="C2800" s="1" t="str">
        <f t="shared" si="2"/>
        <v>Sale</v>
      </c>
      <c r="D2800" s="1">
        <v>22271.0</v>
      </c>
      <c r="E2800" s="1" t="str">
        <f>IFERROR(__xludf.DUMMYFUNCTION("IF(LEN(D2800)&gt;4, IFERROR(REGEXEXTRACT(TO_TEXT(D2800),""\d+""),""""),"""")"),"22271")</f>
        <v>22271</v>
      </c>
      <c r="F2800" s="6" t="str">
        <f t="shared" si="3"/>
        <v>Product</v>
      </c>
      <c r="G2800" s="1" t="s">
        <v>449</v>
      </c>
      <c r="H2800" s="6" t="str">
        <f>IFERROR(__xludf.DUMMYFUNCTION("IF(REGEXMATCH(LOWER(G2800), ""^(\?)+\s*(missing)?\s*(\?)*$""), """", PROPER(SUBSTITUTE(SUBSTITUTE(G2800, ""?"", """"), ""*"", """")))"),"Feltcraft Doll Rosie")</f>
        <v>Feltcraft Doll Rosie</v>
      </c>
      <c r="I2800" s="3">
        <v>6.0</v>
      </c>
      <c r="J2800" s="7">
        <v>40599.48125</v>
      </c>
      <c r="K2800" s="8" t="str">
        <f t="shared" si="4"/>
        <v>2011-02</v>
      </c>
      <c r="L2800" s="5">
        <v>2.95</v>
      </c>
      <c r="M2800" s="3">
        <v>13362.0</v>
      </c>
      <c r="N2800" s="1" t="str">
        <f t="shared" si="5"/>
        <v>Registered</v>
      </c>
      <c r="O2800" s="1" t="s">
        <v>19</v>
      </c>
      <c r="P2800" s="9" t="str">
        <f t="shared" si="6"/>
        <v>UK</v>
      </c>
      <c r="Q2800" s="8">
        <f t="shared" si="7"/>
        <v>17.7</v>
      </c>
    </row>
    <row r="2801">
      <c r="A2801" s="1">
        <v>544970.0</v>
      </c>
      <c r="B2801" s="1" t="str">
        <f t="shared" si="1"/>
        <v>544970</v>
      </c>
      <c r="C2801" s="1" t="str">
        <f t="shared" si="2"/>
        <v>Sale</v>
      </c>
      <c r="D2801" s="1">
        <v>22273.0</v>
      </c>
      <c r="E2801" s="1" t="str">
        <f>IFERROR(__xludf.DUMMYFUNCTION("IF(LEN(D2801)&gt;4, IFERROR(REGEXEXTRACT(TO_TEXT(D2801),""\d+""),""""),"""")"),"22273")</f>
        <v>22273</v>
      </c>
      <c r="F2801" s="6" t="str">
        <f t="shared" si="3"/>
        <v>Product</v>
      </c>
      <c r="G2801" s="1" t="s">
        <v>438</v>
      </c>
      <c r="H2801" s="6" t="str">
        <f>IFERROR(__xludf.DUMMYFUNCTION("IF(REGEXMATCH(LOWER(G2801), ""^(\?)+\s*(missing)?\s*(\?)*$""), """", PROPER(SUBSTITUTE(SUBSTITUTE(G2801, ""?"", """"), ""*"", """")))"),"Feltcraft Doll Molly")</f>
        <v>Feltcraft Doll Molly</v>
      </c>
      <c r="I2801" s="3">
        <v>6.0</v>
      </c>
      <c r="J2801" s="7">
        <v>40599.48125</v>
      </c>
      <c r="K2801" s="8" t="str">
        <f t="shared" si="4"/>
        <v>2011-02</v>
      </c>
      <c r="L2801" s="5">
        <v>2.95</v>
      </c>
      <c r="M2801" s="3">
        <v>13362.0</v>
      </c>
      <c r="N2801" s="1" t="str">
        <f t="shared" si="5"/>
        <v>Registered</v>
      </c>
      <c r="O2801" s="1" t="s">
        <v>19</v>
      </c>
      <c r="P2801" s="9" t="str">
        <f t="shared" si="6"/>
        <v>UK</v>
      </c>
      <c r="Q2801" s="8">
        <f t="shared" si="7"/>
        <v>17.7</v>
      </c>
    </row>
    <row r="2802">
      <c r="A2802" s="1">
        <v>544970.0</v>
      </c>
      <c r="B2802" s="1" t="str">
        <f t="shared" si="1"/>
        <v>544970</v>
      </c>
      <c r="C2802" s="1" t="str">
        <f t="shared" si="2"/>
        <v>Sale</v>
      </c>
      <c r="D2802" s="1">
        <v>22274.0</v>
      </c>
      <c r="E2802" s="1" t="str">
        <f>IFERROR(__xludf.DUMMYFUNCTION("IF(LEN(D2802)&gt;4, IFERROR(REGEXEXTRACT(TO_TEXT(D2802),""\d+""),""""),"""")"),"22274")</f>
        <v>22274</v>
      </c>
      <c r="F2802" s="6" t="str">
        <f t="shared" si="3"/>
        <v>Product</v>
      </c>
      <c r="G2802" s="1" t="s">
        <v>450</v>
      </c>
      <c r="H2802" s="6" t="str">
        <f>IFERROR(__xludf.DUMMYFUNCTION("IF(REGEXMATCH(LOWER(G2802), ""^(\?)+\s*(missing)?\s*(\?)*$""), """", PROPER(SUBSTITUTE(SUBSTITUTE(G2802, ""?"", """"), ""*"", """")))"),"Feltcraft Doll Emily")</f>
        <v>Feltcraft Doll Emily</v>
      </c>
      <c r="I2802" s="3">
        <v>6.0</v>
      </c>
      <c r="J2802" s="7">
        <v>40599.48125</v>
      </c>
      <c r="K2802" s="8" t="str">
        <f t="shared" si="4"/>
        <v>2011-02</v>
      </c>
      <c r="L2802" s="5">
        <v>2.95</v>
      </c>
      <c r="M2802" s="3">
        <v>13362.0</v>
      </c>
      <c r="N2802" s="1" t="str">
        <f t="shared" si="5"/>
        <v>Registered</v>
      </c>
      <c r="O2802" s="1" t="s">
        <v>19</v>
      </c>
      <c r="P2802" s="9" t="str">
        <f t="shared" si="6"/>
        <v>UK</v>
      </c>
      <c r="Q2802" s="8">
        <f t="shared" si="7"/>
        <v>17.7</v>
      </c>
    </row>
    <row r="2803">
      <c r="A2803" s="1">
        <v>544970.0</v>
      </c>
      <c r="B2803" s="1" t="str">
        <f t="shared" si="1"/>
        <v>544970</v>
      </c>
      <c r="C2803" s="1" t="str">
        <f t="shared" si="2"/>
        <v>Sale</v>
      </c>
      <c r="D2803" s="1">
        <v>84819.0</v>
      </c>
      <c r="E2803" s="1" t="str">
        <f>IFERROR(__xludf.DUMMYFUNCTION("IF(LEN(D2803)&gt;4, IFERROR(REGEXEXTRACT(TO_TEXT(D2803),""\d+""),""""),"""")"),"84819")</f>
        <v>84819</v>
      </c>
      <c r="F2803" s="6" t="str">
        <f t="shared" si="3"/>
        <v>Product</v>
      </c>
      <c r="G2803" s="1" t="s">
        <v>1125</v>
      </c>
      <c r="H2803" s="6" t="str">
        <f>IFERROR(__xludf.DUMMYFUNCTION("IF(REGEXMATCH(LOWER(G2803), ""^(\?)+\s*(missing)?\s*(\?)*$""), """", PROPER(SUBSTITUTE(SUBSTITUTE(G2803, ""?"", """"), ""*"", """")))"),"Danish Rose Round Sewing Box")</f>
        <v>Danish Rose Round Sewing Box</v>
      </c>
      <c r="I2803" s="3">
        <v>3.0</v>
      </c>
      <c r="J2803" s="7">
        <v>40599.48125</v>
      </c>
      <c r="K2803" s="8" t="str">
        <f t="shared" si="4"/>
        <v>2011-02</v>
      </c>
      <c r="L2803" s="5">
        <v>4.25</v>
      </c>
      <c r="M2803" s="3">
        <v>13362.0</v>
      </c>
      <c r="N2803" s="1" t="str">
        <f t="shared" si="5"/>
        <v>Registered</v>
      </c>
      <c r="O2803" s="1" t="s">
        <v>19</v>
      </c>
      <c r="P2803" s="9" t="str">
        <f t="shared" si="6"/>
        <v>UK</v>
      </c>
      <c r="Q2803" s="8">
        <f t="shared" si="7"/>
        <v>12.75</v>
      </c>
    </row>
    <row r="2804">
      <c r="A2804" s="1">
        <v>544970.0</v>
      </c>
      <c r="B2804" s="1" t="str">
        <f t="shared" si="1"/>
        <v>544970</v>
      </c>
      <c r="C2804" s="1" t="str">
        <f t="shared" si="2"/>
        <v>Sale</v>
      </c>
      <c r="D2804" s="1">
        <v>22457.0</v>
      </c>
      <c r="E2804" s="1" t="str">
        <f>IFERROR(__xludf.DUMMYFUNCTION("IF(LEN(D2804)&gt;4, IFERROR(REGEXEXTRACT(TO_TEXT(D2804),""\d+""),""""),"""")"),"22457")</f>
        <v>22457</v>
      </c>
      <c r="F2804" s="6" t="str">
        <f t="shared" si="3"/>
        <v>Product</v>
      </c>
      <c r="G2804" s="1" t="s">
        <v>166</v>
      </c>
      <c r="H2804" s="6" t="str">
        <f>IFERROR(__xludf.DUMMYFUNCTION("IF(REGEXMATCH(LOWER(G2804), ""^(\?)+\s*(missing)?\s*(\?)*$""), """", PROPER(SUBSTITUTE(SUBSTITUTE(G2804, ""?"", """"), ""*"", """")))"),"Natural Slate Heart Chalkboard")</f>
        <v>Natural Slate Heart Chalkboard</v>
      </c>
      <c r="I2804" s="3">
        <v>6.0</v>
      </c>
      <c r="J2804" s="7">
        <v>40599.48125</v>
      </c>
      <c r="K2804" s="8" t="str">
        <f t="shared" si="4"/>
        <v>2011-02</v>
      </c>
      <c r="L2804" s="5">
        <v>2.95</v>
      </c>
      <c r="M2804" s="3">
        <v>13362.0</v>
      </c>
      <c r="N2804" s="1" t="str">
        <f t="shared" si="5"/>
        <v>Registered</v>
      </c>
      <c r="O2804" s="1" t="s">
        <v>19</v>
      </c>
      <c r="P2804" s="9" t="str">
        <f t="shared" si="6"/>
        <v>UK</v>
      </c>
      <c r="Q2804" s="8">
        <f t="shared" si="7"/>
        <v>17.7</v>
      </c>
    </row>
    <row r="2805">
      <c r="A2805" s="1">
        <v>544970.0</v>
      </c>
      <c r="B2805" s="1" t="str">
        <f t="shared" si="1"/>
        <v>544970</v>
      </c>
      <c r="C2805" s="1" t="str">
        <f t="shared" si="2"/>
        <v>Sale</v>
      </c>
      <c r="D2805" s="1">
        <v>22470.0</v>
      </c>
      <c r="E2805" s="1" t="str">
        <f>IFERROR(__xludf.DUMMYFUNCTION("IF(LEN(D2805)&gt;4, IFERROR(REGEXEXTRACT(TO_TEXT(D2805),""\d+""),""""),"""")"),"22470")</f>
        <v>22470</v>
      </c>
      <c r="F2805" s="6" t="str">
        <f t="shared" si="3"/>
        <v>Product</v>
      </c>
      <c r="G2805" s="1" t="s">
        <v>168</v>
      </c>
      <c r="H2805" s="6" t="str">
        <f>IFERROR(__xludf.DUMMYFUNCTION("IF(REGEXMATCH(LOWER(G2805), ""^(\?)+\s*(missing)?\s*(\?)*$""), """", PROPER(SUBSTITUTE(SUBSTITUTE(G2805, ""?"", """"), ""*"", """")))"),"Heart Of Wicker Large")</f>
        <v>Heart Of Wicker Large</v>
      </c>
      <c r="I2805" s="3">
        <v>6.0</v>
      </c>
      <c r="J2805" s="7">
        <v>40599.48125</v>
      </c>
      <c r="K2805" s="8" t="str">
        <f t="shared" si="4"/>
        <v>2011-02</v>
      </c>
      <c r="L2805" s="5">
        <v>2.95</v>
      </c>
      <c r="M2805" s="3">
        <v>13362.0</v>
      </c>
      <c r="N2805" s="1" t="str">
        <f t="shared" si="5"/>
        <v>Registered</v>
      </c>
      <c r="O2805" s="1" t="s">
        <v>19</v>
      </c>
      <c r="P2805" s="9" t="str">
        <f t="shared" si="6"/>
        <v>UK</v>
      </c>
      <c r="Q2805" s="8">
        <f t="shared" si="7"/>
        <v>17.7</v>
      </c>
    </row>
    <row r="2806">
      <c r="A2806" s="1">
        <v>544996.0</v>
      </c>
      <c r="B2806" s="1" t="str">
        <f t="shared" si="1"/>
        <v>544996</v>
      </c>
      <c r="C2806" s="1" t="str">
        <f t="shared" si="2"/>
        <v>Sale</v>
      </c>
      <c r="D2806" s="1">
        <v>21456.0</v>
      </c>
      <c r="E2806" s="1" t="str">
        <f>IFERROR(__xludf.DUMMYFUNCTION("IF(LEN(D2806)&gt;4, IFERROR(REGEXEXTRACT(TO_TEXT(D2806),""\d+""),""""),"""")"),"21456")</f>
        <v>21456</v>
      </c>
      <c r="F2806" s="6" t="str">
        <f t="shared" si="3"/>
        <v>Product</v>
      </c>
      <c r="G2806" s="1" t="s">
        <v>1369</v>
      </c>
      <c r="H2806" s="6" t="str">
        <f>IFERROR(__xludf.DUMMYFUNCTION("IF(REGEXMATCH(LOWER(G2806), ""^(\?)+\s*(missing)?\s*(\?)*$""), """", PROPER(SUBSTITUTE(SUBSTITUTE(G2806, ""?"", """"), ""*"", """")))"),"2 Picture Book Eggs Easter Chicks")</f>
        <v>2 Picture Book Eggs Easter Chicks</v>
      </c>
      <c r="I2806" s="3">
        <v>12.0</v>
      </c>
      <c r="J2806" s="7">
        <v>40599.49513888889</v>
      </c>
      <c r="K2806" s="8" t="str">
        <f t="shared" si="4"/>
        <v>2011-02</v>
      </c>
      <c r="L2806" s="5">
        <v>1.25</v>
      </c>
      <c r="M2806" s="3">
        <v>12474.0</v>
      </c>
      <c r="N2806" s="1" t="str">
        <f t="shared" si="5"/>
        <v>Registered</v>
      </c>
      <c r="O2806" s="1" t="s">
        <v>1288</v>
      </c>
      <c r="P2806" s="9" t="str">
        <f t="shared" si="6"/>
        <v>International</v>
      </c>
      <c r="Q2806" s="8">
        <f t="shared" si="7"/>
        <v>15</v>
      </c>
    </row>
    <row r="2807">
      <c r="A2807" s="1">
        <v>544996.0</v>
      </c>
      <c r="B2807" s="1" t="str">
        <f t="shared" si="1"/>
        <v>544996</v>
      </c>
      <c r="C2807" s="1" t="str">
        <f t="shared" si="2"/>
        <v>Sale</v>
      </c>
      <c r="D2807" s="1">
        <v>22326.0</v>
      </c>
      <c r="E2807" s="1" t="str">
        <f>IFERROR(__xludf.DUMMYFUNCTION("IF(LEN(D2807)&gt;4, IFERROR(REGEXEXTRACT(TO_TEXT(D2807),""\d+""),""""),"""")"),"22326")</f>
        <v>22326</v>
      </c>
      <c r="F2807" s="6" t="str">
        <f t="shared" si="3"/>
        <v>Product</v>
      </c>
      <c r="G2807" s="1" t="s">
        <v>57</v>
      </c>
      <c r="H2807" s="6" t="str">
        <f>IFERROR(__xludf.DUMMYFUNCTION("IF(REGEXMATCH(LOWER(G2807), ""^(\?)+\s*(missing)?\s*(\?)*$""), """", PROPER(SUBSTITUTE(SUBSTITUTE(G2807, ""?"", """"), ""*"", """")))"),"Round Snack Boxes Set Of4 Woodland")</f>
        <v>Round Snack Boxes Set Of4 Woodland</v>
      </c>
      <c r="I2807" s="3">
        <v>12.0</v>
      </c>
      <c r="J2807" s="7">
        <v>40599.49513888889</v>
      </c>
      <c r="K2807" s="8" t="str">
        <f t="shared" si="4"/>
        <v>2011-02</v>
      </c>
      <c r="L2807" s="5">
        <v>2.95</v>
      </c>
      <c r="M2807" s="3">
        <v>12474.0</v>
      </c>
      <c r="N2807" s="1" t="str">
        <f t="shared" si="5"/>
        <v>Registered</v>
      </c>
      <c r="O2807" s="1" t="s">
        <v>1288</v>
      </c>
      <c r="P2807" s="9" t="str">
        <f t="shared" si="6"/>
        <v>International</v>
      </c>
      <c r="Q2807" s="8">
        <f t="shared" si="7"/>
        <v>35.4</v>
      </c>
    </row>
    <row r="2808">
      <c r="A2808" s="1">
        <v>544996.0</v>
      </c>
      <c r="B2808" s="1" t="str">
        <f t="shared" si="1"/>
        <v>544996</v>
      </c>
      <c r="C2808" s="1" t="str">
        <f t="shared" si="2"/>
        <v>Sale</v>
      </c>
      <c r="D2808" s="1">
        <v>22555.0</v>
      </c>
      <c r="E2808" s="1" t="str">
        <f>IFERROR(__xludf.DUMMYFUNCTION("IF(LEN(D2808)&gt;4, IFERROR(REGEXEXTRACT(TO_TEXT(D2808),""\d+""),""""),"""")"),"22555")</f>
        <v>22555</v>
      </c>
      <c r="F2808" s="6" t="str">
        <f t="shared" si="3"/>
        <v>Product</v>
      </c>
      <c r="G2808" s="1" t="s">
        <v>914</v>
      </c>
      <c r="H2808" s="6" t="str">
        <f>IFERROR(__xludf.DUMMYFUNCTION("IF(REGEXMATCH(LOWER(G2808), ""^(\?)+\s*(missing)?\s*(\?)*$""), """", PROPER(SUBSTITUTE(SUBSTITUTE(G2808, ""?"", """"), ""*"", """")))"),"Plasters In Tin Strongman")</f>
        <v>Plasters In Tin Strongman</v>
      </c>
      <c r="I2808" s="3">
        <v>12.0</v>
      </c>
      <c r="J2808" s="7">
        <v>40599.49513888889</v>
      </c>
      <c r="K2808" s="8" t="str">
        <f t="shared" si="4"/>
        <v>2011-02</v>
      </c>
      <c r="L2808" s="5">
        <v>1.65</v>
      </c>
      <c r="M2808" s="3">
        <v>12474.0</v>
      </c>
      <c r="N2808" s="1" t="str">
        <f t="shared" si="5"/>
        <v>Registered</v>
      </c>
      <c r="O2808" s="1" t="s">
        <v>1288</v>
      </c>
      <c r="P2808" s="9" t="str">
        <f t="shared" si="6"/>
        <v>International</v>
      </c>
      <c r="Q2808" s="8">
        <f t="shared" si="7"/>
        <v>19.8</v>
      </c>
    </row>
    <row r="2809">
      <c r="A2809" s="1">
        <v>544996.0</v>
      </c>
      <c r="B2809" s="1" t="str">
        <f t="shared" si="1"/>
        <v>544996</v>
      </c>
      <c r="C2809" s="1" t="str">
        <f t="shared" si="2"/>
        <v>Sale</v>
      </c>
      <c r="D2809" s="1">
        <v>22556.0</v>
      </c>
      <c r="E2809" s="1" t="str">
        <f>IFERROR(__xludf.DUMMYFUNCTION("IF(LEN(D2809)&gt;4, IFERROR(REGEXEXTRACT(TO_TEXT(D2809),""\d+""),""""),"""")"),"22556")</f>
        <v>22556</v>
      </c>
      <c r="F2809" s="6" t="str">
        <f t="shared" si="3"/>
        <v>Product</v>
      </c>
      <c r="G2809" s="1" t="s">
        <v>228</v>
      </c>
      <c r="H2809" s="6" t="str">
        <f>IFERROR(__xludf.DUMMYFUNCTION("IF(REGEXMATCH(LOWER(G2809), ""^(\?)+\s*(missing)?\s*(\?)*$""), """", PROPER(SUBSTITUTE(SUBSTITUTE(G2809, ""?"", """"), ""*"", """")))"),"Plasters In Tin Circus Parade")</f>
        <v>Plasters In Tin Circus Parade</v>
      </c>
      <c r="I2809" s="3">
        <v>12.0</v>
      </c>
      <c r="J2809" s="7">
        <v>40599.49513888889</v>
      </c>
      <c r="K2809" s="8" t="str">
        <f t="shared" si="4"/>
        <v>2011-02</v>
      </c>
      <c r="L2809" s="5">
        <v>1.65</v>
      </c>
      <c r="M2809" s="3">
        <v>12474.0</v>
      </c>
      <c r="N2809" s="1" t="str">
        <f t="shared" si="5"/>
        <v>Registered</v>
      </c>
      <c r="O2809" s="1" t="s">
        <v>1288</v>
      </c>
      <c r="P2809" s="9" t="str">
        <f t="shared" si="6"/>
        <v>International</v>
      </c>
      <c r="Q2809" s="8">
        <f t="shared" si="7"/>
        <v>19.8</v>
      </c>
    </row>
    <row r="2810">
      <c r="A2810" s="1">
        <v>544996.0</v>
      </c>
      <c r="B2810" s="1" t="str">
        <f t="shared" si="1"/>
        <v>544996</v>
      </c>
      <c r="C2810" s="1" t="str">
        <f t="shared" si="2"/>
        <v>Sale</v>
      </c>
      <c r="D2810" s="1">
        <v>22553.0</v>
      </c>
      <c r="E2810" s="1" t="str">
        <f>IFERROR(__xludf.DUMMYFUNCTION("IF(LEN(D2810)&gt;4, IFERROR(REGEXEXTRACT(TO_TEXT(D2810),""\d+""),""""),"""")"),"22553")</f>
        <v>22553</v>
      </c>
      <c r="F2810" s="6" t="str">
        <f t="shared" si="3"/>
        <v>Product</v>
      </c>
      <c r="G2810" s="1" t="s">
        <v>234</v>
      </c>
      <c r="H2810" s="6" t="str">
        <f>IFERROR(__xludf.DUMMYFUNCTION("IF(REGEXMATCH(LOWER(G2810), ""^(\?)+\s*(missing)?\s*(\?)*$""), """", PROPER(SUBSTITUTE(SUBSTITUTE(G2810, ""?"", """"), ""*"", """")))"),"Plasters In Tin Skulls")</f>
        <v>Plasters In Tin Skulls</v>
      </c>
      <c r="I2810" s="3">
        <v>12.0</v>
      </c>
      <c r="J2810" s="7">
        <v>40599.49513888889</v>
      </c>
      <c r="K2810" s="8" t="str">
        <f t="shared" si="4"/>
        <v>2011-02</v>
      </c>
      <c r="L2810" s="5">
        <v>1.65</v>
      </c>
      <c r="M2810" s="3">
        <v>12474.0</v>
      </c>
      <c r="N2810" s="1" t="str">
        <f t="shared" si="5"/>
        <v>Registered</v>
      </c>
      <c r="O2810" s="1" t="s">
        <v>1288</v>
      </c>
      <c r="P2810" s="9" t="str">
        <f t="shared" si="6"/>
        <v>International</v>
      </c>
      <c r="Q2810" s="8">
        <f t="shared" si="7"/>
        <v>19.8</v>
      </c>
    </row>
    <row r="2811">
      <c r="A2811" s="1">
        <v>544996.0</v>
      </c>
      <c r="B2811" s="1" t="str">
        <f t="shared" si="1"/>
        <v>544996</v>
      </c>
      <c r="C2811" s="1" t="str">
        <f t="shared" si="2"/>
        <v>Sale</v>
      </c>
      <c r="D2811" s="1">
        <v>22716.0</v>
      </c>
      <c r="E2811" s="1" t="str">
        <f>IFERROR(__xludf.DUMMYFUNCTION("IF(LEN(D2811)&gt;4, IFERROR(REGEXEXTRACT(TO_TEXT(D2811),""\d+""),""""),"""")"),"22716")</f>
        <v>22716</v>
      </c>
      <c r="F2811" s="6" t="str">
        <f t="shared" si="3"/>
        <v>Product</v>
      </c>
      <c r="G2811" s="1" t="s">
        <v>379</v>
      </c>
      <c r="H2811" s="6" t="str">
        <f>IFERROR(__xludf.DUMMYFUNCTION("IF(REGEXMATCH(LOWER(G2811), ""^(\?)+\s*(missing)?\s*(\?)*$""), """", PROPER(SUBSTITUTE(SUBSTITUTE(G2811, ""?"", """"), ""*"", """")))"),"Card Circus Parade")</f>
        <v>Card Circus Parade</v>
      </c>
      <c r="I2811" s="3">
        <v>12.0</v>
      </c>
      <c r="J2811" s="7">
        <v>40599.49513888889</v>
      </c>
      <c r="K2811" s="8" t="str">
        <f t="shared" si="4"/>
        <v>2011-02</v>
      </c>
      <c r="L2811" s="5">
        <v>0.42</v>
      </c>
      <c r="M2811" s="3">
        <v>12474.0</v>
      </c>
      <c r="N2811" s="1" t="str">
        <f t="shared" si="5"/>
        <v>Registered</v>
      </c>
      <c r="O2811" s="1" t="s">
        <v>1288</v>
      </c>
      <c r="P2811" s="9" t="str">
        <f t="shared" si="6"/>
        <v>International</v>
      </c>
      <c r="Q2811" s="8">
        <f t="shared" si="7"/>
        <v>5.04</v>
      </c>
    </row>
    <row r="2812">
      <c r="A2812" s="1">
        <v>544996.0</v>
      </c>
      <c r="B2812" s="1" t="str">
        <f t="shared" si="1"/>
        <v>544996</v>
      </c>
      <c r="C2812" s="1" t="str">
        <f t="shared" si="2"/>
        <v>Sale</v>
      </c>
      <c r="D2812" s="1">
        <v>22814.0</v>
      </c>
      <c r="E2812" s="1" t="str">
        <f>IFERROR(__xludf.DUMMYFUNCTION("IF(LEN(D2812)&gt;4, IFERROR(REGEXEXTRACT(TO_TEXT(D2812),""\d+""),""""),"""")"),"22814")</f>
        <v>22814</v>
      </c>
      <c r="F2812" s="6" t="str">
        <f t="shared" si="3"/>
        <v>Product</v>
      </c>
      <c r="G2812" s="1" t="s">
        <v>1370</v>
      </c>
      <c r="H2812" s="6" t="str">
        <f>IFERROR(__xludf.DUMMYFUNCTION("IF(REGEXMATCH(LOWER(G2812), ""^(\?)+\s*(missing)?\s*(\?)*$""), """", PROPER(SUBSTITUTE(SUBSTITUTE(G2812, ""?"", """"), ""*"", """")))"),"Card Party Games")</f>
        <v>Card Party Games</v>
      </c>
      <c r="I2812" s="3">
        <v>12.0</v>
      </c>
      <c r="J2812" s="7">
        <v>40599.49513888889</v>
      </c>
      <c r="K2812" s="8" t="str">
        <f t="shared" si="4"/>
        <v>2011-02</v>
      </c>
      <c r="L2812" s="5">
        <v>0.42</v>
      </c>
      <c r="M2812" s="3">
        <v>12474.0</v>
      </c>
      <c r="N2812" s="1" t="str">
        <f t="shared" si="5"/>
        <v>Registered</v>
      </c>
      <c r="O2812" s="1" t="s">
        <v>1288</v>
      </c>
      <c r="P2812" s="9" t="str">
        <f t="shared" si="6"/>
        <v>International</v>
      </c>
      <c r="Q2812" s="8">
        <f t="shared" si="7"/>
        <v>5.04</v>
      </c>
    </row>
    <row r="2813">
      <c r="A2813" s="1">
        <v>544996.0</v>
      </c>
      <c r="B2813" s="1" t="str">
        <f t="shared" si="1"/>
        <v>544996</v>
      </c>
      <c r="C2813" s="1" t="str">
        <f t="shared" si="2"/>
        <v>Sale</v>
      </c>
      <c r="D2813" s="1">
        <v>22824.0</v>
      </c>
      <c r="E2813" s="1" t="str">
        <f>IFERROR(__xludf.DUMMYFUNCTION("IF(LEN(D2813)&gt;4, IFERROR(REGEXEXTRACT(TO_TEXT(D2813),""\d+""),""""),"""")"),"22824")</f>
        <v>22824</v>
      </c>
      <c r="F2813" s="6" t="str">
        <f t="shared" si="3"/>
        <v>Product</v>
      </c>
      <c r="G2813" s="1" t="s">
        <v>1062</v>
      </c>
      <c r="H2813" s="6" t="str">
        <f>IFERROR(__xludf.DUMMYFUNCTION("IF(REGEXMATCH(LOWER(G2813), ""^(\?)+\s*(missing)?\s*(\?)*$""), """", PROPER(SUBSTITUTE(SUBSTITUTE(G2813, ""?"", """"), ""*"", """")))"),"3 Tier Sweetheart Garden Shelf")</f>
        <v>3 Tier Sweetheart Garden Shelf</v>
      </c>
      <c r="I2813" s="3">
        <v>1.0</v>
      </c>
      <c r="J2813" s="7">
        <v>40599.49513888889</v>
      </c>
      <c r="K2813" s="8" t="str">
        <f t="shared" si="4"/>
        <v>2011-02</v>
      </c>
      <c r="L2813" s="5">
        <v>35.95</v>
      </c>
      <c r="M2813" s="3">
        <v>12474.0</v>
      </c>
      <c r="N2813" s="1" t="str">
        <f t="shared" si="5"/>
        <v>Registered</v>
      </c>
      <c r="O2813" s="1" t="s">
        <v>1288</v>
      </c>
      <c r="P2813" s="9" t="str">
        <f t="shared" si="6"/>
        <v>International</v>
      </c>
      <c r="Q2813" s="8">
        <f t="shared" si="7"/>
        <v>35.95</v>
      </c>
    </row>
    <row r="2814">
      <c r="A2814" s="1">
        <v>544996.0</v>
      </c>
      <c r="B2814" s="1" t="str">
        <f t="shared" si="1"/>
        <v>544996</v>
      </c>
      <c r="C2814" s="1" t="str">
        <f t="shared" si="2"/>
        <v>Sale</v>
      </c>
      <c r="D2814" s="1">
        <v>21458.0</v>
      </c>
      <c r="E2814" s="1" t="str">
        <f>IFERROR(__xludf.DUMMYFUNCTION("IF(LEN(D2814)&gt;4, IFERROR(REGEXEXTRACT(TO_TEXT(D2814),""\d+""),""""),"""")"),"21458")</f>
        <v>21458</v>
      </c>
      <c r="F2814" s="6" t="str">
        <f t="shared" si="3"/>
        <v>Product</v>
      </c>
      <c r="G2814" s="1" t="s">
        <v>1371</v>
      </c>
      <c r="H2814" s="6" t="str">
        <f>IFERROR(__xludf.DUMMYFUNCTION("IF(REGEXMATCH(LOWER(G2814), ""^(\?)+\s*(missing)?\s*(\?)*$""), """", PROPER(SUBSTITUTE(SUBSTITUTE(G2814, ""?"", """"), ""*"", """")))"),"2 Picture Book Eggs Easter Bunny")</f>
        <v>2 Picture Book Eggs Easter Bunny</v>
      </c>
      <c r="I2814" s="3">
        <v>12.0</v>
      </c>
      <c r="J2814" s="7">
        <v>40599.49513888889</v>
      </c>
      <c r="K2814" s="8" t="str">
        <f t="shared" si="4"/>
        <v>2011-02</v>
      </c>
      <c r="L2814" s="5">
        <v>1.25</v>
      </c>
      <c r="M2814" s="3">
        <v>12474.0</v>
      </c>
      <c r="N2814" s="1" t="str">
        <f t="shared" si="5"/>
        <v>Registered</v>
      </c>
      <c r="O2814" s="1" t="s">
        <v>1288</v>
      </c>
      <c r="P2814" s="9" t="str">
        <f t="shared" si="6"/>
        <v>International</v>
      </c>
      <c r="Q2814" s="8">
        <f t="shared" si="7"/>
        <v>15</v>
      </c>
    </row>
    <row r="2815">
      <c r="A2815" s="1">
        <v>544996.0</v>
      </c>
      <c r="B2815" s="1" t="str">
        <f t="shared" si="1"/>
        <v>544996</v>
      </c>
      <c r="C2815" s="1" t="str">
        <f t="shared" si="2"/>
        <v>Sale</v>
      </c>
      <c r="D2815" s="1">
        <v>22328.0</v>
      </c>
      <c r="E2815" s="1" t="str">
        <f>IFERROR(__xludf.DUMMYFUNCTION("IF(LEN(D2815)&gt;4, IFERROR(REGEXEXTRACT(TO_TEXT(D2815),""\d+""),""""),"""")"),"22328")</f>
        <v>22328</v>
      </c>
      <c r="F2815" s="6" t="str">
        <f t="shared" si="3"/>
        <v>Product</v>
      </c>
      <c r="G2815" s="1" t="s">
        <v>431</v>
      </c>
      <c r="H2815" s="6" t="str">
        <f>IFERROR(__xludf.DUMMYFUNCTION("IF(REGEXMATCH(LOWER(G2815), ""^(\?)+\s*(missing)?\s*(\?)*$""), """", PROPER(SUBSTITUTE(SUBSTITUTE(G2815, ""?"", """"), ""*"", """")))"),"Round Snack Boxes Set Of 4 Fruits")</f>
        <v>Round Snack Boxes Set Of 4 Fruits</v>
      </c>
      <c r="I2815" s="3">
        <v>12.0</v>
      </c>
      <c r="J2815" s="7">
        <v>40599.49513888889</v>
      </c>
      <c r="K2815" s="8" t="str">
        <f t="shared" si="4"/>
        <v>2011-02</v>
      </c>
      <c r="L2815" s="5">
        <v>2.95</v>
      </c>
      <c r="M2815" s="3">
        <v>12474.0</v>
      </c>
      <c r="N2815" s="1" t="str">
        <f t="shared" si="5"/>
        <v>Registered</v>
      </c>
      <c r="O2815" s="1" t="s">
        <v>1288</v>
      </c>
      <c r="P2815" s="9" t="str">
        <f t="shared" si="6"/>
        <v>International</v>
      </c>
      <c r="Q2815" s="8">
        <f t="shared" si="7"/>
        <v>35.4</v>
      </c>
    </row>
    <row r="2816">
      <c r="A2816" s="1">
        <v>544996.0</v>
      </c>
      <c r="B2816" s="1" t="str">
        <f t="shared" si="1"/>
        <v>544996</v>
      </c>
      <c r="C2816" s="1" t="str">
        <f t="shared" si="2"/>
        <v>Sale</v>
      </c>
      <c r="D2816" s="1">
        <v>22957.0</v>
      </c>
      <c r="E2816" s="1" t="str">
        <f>IFERROR(__xludf.DUMMYFUNCTION("IF(LEN(D2816)&gt;4, IFERROR(REGEXEXTRACT(TO_TEXT(D2816),""\d+""),""""),"""")"),"22957")</f>
        <v>22957</v>
      </c>
      <c r="F2816" s="6" t="str">
        <f t="shared" si="3"/>
        <v>Product</v>
      </c>
      <c r="G2816" s="1" t="s">
        <v>909</v>
      </c>
      <c r="H2816" s="6" t="str">
        <f>IFERROR(__xludf.DUMMYFUNCTION("IF(REGEXMATCH(LOWER(G2816), ""^(\?)+\s*(missing)?\s*(\?)*$""), """", PROPER(SUBSTITUTE(SUBSTITUTE(G2816, ""?"", """"), ""*"", """")))"),"Set 3 Paper Vintage Chick Paper Egg")</f>
        <v>Set 3 Paper Vintage Chick Paper Egg</v>
      </c>
      <c r="I2816" s="3">
        <v>12.0</v>
      </c>
      <c r="J2816" s="7">
        <v>40599.49513888889</v>
      </c>
      <c r="K2816" s="8" t="str">
        <f t="shared" si="4"/>
        <v>2011-02</v>
      </c>
      <c r="L2816" s="5">
        <v>2.95</v>
      </c>
      <c r="M2816" s="3">
        <v>12474.0</v>
      </c>
      <c r="N2816" s="1" t="str">
        <f t="shared" si="5"/>
        <v>Registered</v>
      </c>
      <c r="O2816" s="1" t="s">
        <v>1288</v>
      </c>
      <c r="P2816" s="9" t="str">
        <f t="shared" si="6"/>
        <v>International</v>
      </c>
      <c r="Q2816" s="8">
        <f t="shared" si="7"/>
        <v>35.4</v>
      </c>
    </row>
    <row r="2817">
      <c r="A2817" s="1">
        <v>544996.0</v>
      </c>
      <c r="B2817" s="1" t="str">
        <f t="shared" si="1"/>
        <v>544996</v>
      </c>
      <c r="C2817" s="1" t="str">
        <f t="shared" si="2"/>
        <v>Sale</v>
      </c>
      <c r="D2817" s="1">
        <v>22487.0</v>
      </c>
      <c r="E2817" s="1" t="str">
        <f>IFERROR(__xludf.DUMMYFUNCTION("IF(LEN(D2817)&gt;4, IFERROR(REGEXEXTRACT(TO_TEXT(D2817),""\d+""),""""),"""")"),"22487")</f>
        <v>22487</v>
      </c>
      <c r="F2817" s="6" t="str">
        <f t="shared" si="3"/>
        <v>Product</v>
      </c>
      <c r="G2817" s="1" t="s">
        <v>985</v>
      </c>
      <c r="H2817" s="6" t="str">
        <f>IFERROR(__xludf.DUMMYFUNCTION("IF(REGEXMATCH(LOWER(G2817), ""^(\?)+\s*(missing)?\s*(\?)*$""), """", PROPER(SUBSTITUTE(SUBSTITUTE(G2817, ""?"", """"), ""*"", """")))"),"White Wood Garden Plant Ladder")</f>
        <v>White Wood Garden Plant Ladder</v>
      </c>
      <c r="I2817" s="3">
        <v>1.0</v>
      </c>
      <c r="J2817" s="7">
        <v>40599.49513888889</v>
      </c>
      <c r="K2817" s="8" t="str">
        <f t="shared" si="4"/>
        <v>2011-02</v>
      </c>
      <c r="L2817" s="5">
        <v>9.95</v>
      </c>
      <c r="M2817" s="3">
        <v>12474.0</v>
      </c>
      <c r="N2817" s="1" t="str">
        <f t="shared" si="5"/>
        <v>Registered</v>
      </c>
      <c r="O2817" s="1" t="s">
        <v>1288</v>
      </c>
      <c r="P2817" s="9" t="str">
        <f t="shared" si="6"/>
        <v>International</v>
      </c>
      <c r="Q2817" s="8">
        <f t="shared" si="7"/>
        <v>9.95</v>
      </c>
    </row>
    <row r="2818">
      <c r="A2818" s="1">
        <v>544996.0</v>
      </c>
      <c r="B2818" s="1" t="str">
        <f t="shared" si="1"/>
        <v>544996</v>
      </c>
      <c r="C2818" s="1" t="str">
        <f t="shared" si="2"/>
        <v>Sale</v>
      </c>
      <c r="D2818" s="1" t="s">
        <v>68</v>
      </c>
      <c r="E2818" s="1" t="str">
        <f>IFERROR(__xludf.DUMMYFUNCTION("IF(LEN(D2818)&gt;4, IFERROR(REGEXEXTRACT(TO_TEXT(D2818),""\d+""),""""),"""")"),"")</f>
        <v/>
      </c>
      <c r="F2818" s="6" t="str">
        <f t="shared" si="3"/>
        <v>Shipping</v>
      </c>
      <c r="G2818" s="1" t="s">
        <v>69</v>
      </c>
      <c r="H2818" s="6" t="str">
        <f>IFERROR(__xludf.DUMMYFUNCTION("IF(REGEXMATCH(LOWER(G2818), ""^(\?)+\s*(missing)?\s*(\?)*$""), """", PROPER(SUBSTITUTE(SUBSTITUTE(G2818, ""?"", """"), ""*"", """")))"),"Postage")</f>
        <v>Postage</v>
      </c>
      <c r="I2818" s="3">
        <v>2.0</v>
      </c>
      <c r="J2818" s="7">
        <v>40599.49513888889</v>
      </c>
      <c r="K2818" s="8" t="str">
        <f t="shared" si="4"/>
        <v>2011-02</v>
      </c>
      <c r="L2818" s="5">
        <v>18.0</v>
      </c>
      <c r="M2818" s="3">
        <v>12474.0</v>
      </c>
      <c r="N2818" s="1" t="str">
        <f t="shared" si="5"/>
        <v>Registered</v>
      </c>
      <c r="O2818" s="1" t="s">
        <v>1288</v>
      </c>
      <c r="P2818" s="9" t="str">
        <f t="shared" si="6"/>
        <v>International</v>
      </c>
      <c r="Q2818" s="8">
        <f t="shared" si="7"/>
        <v>36</v>
      </c>
    </row>
    <row r="2819">
      <c r="A2819" s="1">
        <v>544998.0</v>
      </c>
      <c r="B2819" s="1" t="str">
        <f t="shared" si="1"/>
        <v>544998</v>
      </c>
      <c r="C2819" s="1" t="str">
        <f t="shared" si="2"/>
        <v>Sale</v>
      </c>
      <c r="D2819" s="1">
        <v>48138.0</v>
      </c>
      <c r="E2819" s="1" t="str">
        <f>IFERROR(__xludf.DUMMYFUNCTION("IF(LEN(D2819)&gt;4, IFERROR(REGEXEXTRACT(TO_TEXT(D2819),""\d+""),""""),"""")"),"48138")</f>
        <v>48138</v>
      </c>
      <c r="F2819" s="6" t="str">
        <f t="shared" si="3"/>
        <v>Product</v>
      </c>
      <c r="G2819" s="1" t="s">
        <v>1372</v>
      </c>
      <c r="H2819" s="6" t="str">
        <f>IFERROR(__xludf.DUMMYFUNCTION("IF(REGEXMATCH(LOWER(G2819), ""^(\?)+\s*(missing)?\s*(\?)*$""), """", PROPER(SUBSTITUTE(SUBSTITUTE(G2819, ""?"", """"), ""*"", """")))"),"Doormat Union Flag")</f>
        <v>Doormat Union Flag</v>
      </c>
      <c r="I2819" s="3">
        <v>1.0</v>
      </c>
      <c r="J2819" s="7">
        <v>40599.49722222222</v>
      </c>
      <c r="K2819" s="8" t="str">
        <f t="shared" si="4"/>
        <v>2011-02</v>
      </c>
      <c r="L2819" s="5">
        <v>7.95</v>
      </c>
      <c r="M2819" s="3">
        <v>14470.0</v>
      </c>
      <c r="N2819" s="1" t="str">
        <f t="shared" si="5"/>
        <v>Registered</v>
      </c>
      <c r="O2819" s="1" t="s">
        <v>19</v>
      </c>
      <c r="P2819" s="9" t="str">
        <f t="shared" si="6"/>
        <v>UK</v>
      </c>
      <c r="Q2819" s="8">
        <f t="shared" si="7"/>
        <v>7.95</v>
      </c>
    </row>
    <row r="2820">
      <c r="A2820" s="1">
        <v>544998.0</v>
      </c>
      <c r="B2820" s="1" t="str">
        <f t="shared" si="1"/>
        <v>544998</v>
      </c>
      <c r="C2820" s="1" t="str">
        <f t="shared" si="2"/>
        <v>Sale</v>
      </c>
      <c r="D2820" s="1" t="s">
        <v>1373</v>
      </c>
      <c r="E2820" s="1" t="str">
        <f>IFERROR(__xludf.DUMMYFUNCTION("IF(LEN(D2820)&gt;4, IFERROR(REGEXEXTRACT(TO_TEXT(D2820),""\d+""),""""),"""")"),"84858")</f>
        <v>84858</v>
      </c>
      <c r="F2820" s="6" t="str">
        <f t="shared" si="3"/>
        <v>Product</v>
      </c>
      <c r="G2820" s="1" t="s">
        <v>1374</v>
      </c>
      <c r="H2820" s="6" t="str">
        <f>IFERROR(__xludf.DUMMYFUNCTION("IF(REGEXMATCH(LOWER(G2820), ""^(\?)+\s*(missing)?\s*(\?)*$""), """", PROPER(SUBSTITUTE(SUBSTITUTE(G2820, ""?"", """"), ""*"", """")))"),"Pink Riviera Handbag")</f>
        <v>Pink Riviera Handbag</v>
      </c>
      <c r="I2820" s="3">
        <v>2.0</v>
      </c>
      <c r="J2820" s="7">
        <v>40599.49722222222</v>
      </c>
      <c r="K2820" s="8" t="str">
        <f t="shared" si="4"/>
        <v>2011-02</v>
      </c>
      <c r="L2820" s="5">
        <v>5.95</v>
      </c>
      <c r="M2820" s="3">
        <v>14470.0</v>
      </c>
      <c r="N2820" s="1" t="str">
        <f t="shared" si="5"/>
        <v>Registered</v>
      </c>
      <c r="O2820" s="1" t="s">
        <v>19</v>
      </c>
      <c r="P2820" s="9" t="str">
        <f t="shared" si="6"/>
        <v>UK</v>
      </c>
      <c r="Q2820" s="8">
        <f t="shared" si="7"/>
        <v>11.9</v>
      </c>
    </row>
    <row r="2821">
      <c r="A2821" s="1">
        <v>544998.0</v>
      </c>
      <c r="B2821" s="1" t="str">
        <f t="shared" si="1"/>
        <v>544998</v>
      </c>
      <c r="C2821" s="1" t="str">
        <f t="shared" si="2"/>
        <v>Sale</v>
      </c>
      <c r="D2821" s="1">
        <v>22838.0</v>
      </c>
      <c r="E2821" s="1" t="str">
        <f>IFERROR(__xludf.DUMMYFUNCTION("IF(LEN(D2821)&gt;4, IFERROR(REGEXEXTRACT(TO_TEXT(D2821),""\d+""),""""),"""")"),"22838")</f>
        <v>22838</v>
      </c>
      <c r="F2821" s="6" t="str">
        <f t="shared" si="3"/>
        <v>Product</v>
      </c>
      <c r="G2821" s="1" t="s">
        <v>157</v>
      </c>
      <c r="H2821" s="6" t="str">
        <f>IFERROR(__xludf.DUMMYFUNCTION("IF(REGEXMATCH(LOWER(G2821), ""^(\?)+\s*(missing)?\s*(\?)*$""), """", PROPER(SUBSTITUTE(SUBSTITUTE(G2821, ""?"", """"), ""*"", """")))"),"3 Tier Cake Tin Red And Cream")</f>
        <v>3 Tier Cake Tin Red And Cream</v>
      </c>
      <c r="I2821" s="3">
        <v>1.0</v>
      </c>
      <c r="J2821" s="7">
        <v>40599.49722222222</v>
      </c>
      <c r="K2821" s="8" t="str">
        <f t="shared" si="4"/>
        <v>2011-02</v>
      </c>
      <c r="L2821" s="5">
        <v>14.95</v>
      </c>
      <c r="M2821" s="3">
        <v>14470.0</v>
      </c>
      <c r="N2821" s="1" t="str">
        <f t="shared" si="5"/>
        <v>Registered</v>
      </c>
      <c r="O2821" s="1" t="s">
        <v>19</v>
      </c>
      <c r="P2821" s="9" t="str">
        <f t="shared" si="6"/>
        <v>UK</v>
      </c>
      <c r="Q2821" s="8">
        <f t="shared" si="7"/>
        <v>14.95</v>
      </c>
    </row>
    <row r="2822">
      <c r="A2822" s="1">
        <v>544998.0</v>
      </c>
      <c r="B2822" s="1" t="str">
        <f t="shared" si="1"/>
        <v>544998</v>
      </c>
      <c r="C2822" s="1" t="str">
        <f t="shared" si="2"/>
        <v>Sale</v>
      </c>
      <c r="D2822" s="1">
        <v>22842.0</v>
      </c>
      <c r="E2822" s="1" t="str">
        <f>IFERROR(__xludf.DUMMYFUNCTION("IF(LEN(D2822)&gt;4, IFERROR(REGEXEXTRACT(TO_TEXT(D2822),""\d+""),""""),"""")"),"22842")</f>
        <v>22842</v>
      </c>
      <c r="F2822" s="6" t="str">
        <f t="shared" si="3"/>
        <v>Product</v>
      </c>
      <c r="G2822" s="1" t="s">
        <v>783</v>
      </c>
      <c r="H2822" s="6" t="str">
        <f>IFERROR(__xludf.DUMMYFUNCTION("IF(REGEXMATCH(LOWER(G2822), ""^(\?)+\s*(missing)?\s*(\?)*$""), """", PROPER(SUBSTITUTE(SUBSTITUTE(G2822, ""?"", """"), ""*"", """")))"),"Biscuit Tin Vintage Red")</f>
        <v>Biscuit Tin Vintage Red</v>
      </c>
      <c r="I2822" s="3">
        <v>1.0</v>
      </c>
      <c r="J2822" s="7">
        <v>40599.49722222222</v>
      </c>
      <c r="K2822" s="8" t="str">
        <f t="shared" si="4"/>
        <v>2011-02</v>
      </c>
      <c r="L2822" s="5">
        <v>6.75</v>
      </c>
      <c r="M2822" s="3">
        <v>14470.0</v>
      </c>
      <c r="N2822" s="1" t="str">
        <f t="shared" si="5"/>
        <v>Registered</v>
      </c>
      <c r="O2822" s="1" t="s">
        <v>19</v>
      </c>
      <c r="P2822" s="9" t="str">
        <f t="shared" si="6"/>
        <v>UK</v>
      </c>
      <c r="Q2822" s="8">
        <f t="shared" si="7"/>
        <v>6.75</v>
      </c>
    </row>
    <row r="2823">
      <c r="A2823" s="1">
        <v>544998.0</v>
      </c>
      <c r="B2823" s="1" t="str">
        <f t="shared" si="1"/>
        <v>544998</v>
      </c>
      <c r="C2823" s="1" t="str">
        <f t="shared" si="2"/>
        <v>Sale</v>
      </c>
      <c r="D2823" s="1">
        <v>21430.0</v>
      </c>
      <c r="E2823" s="1" t="str">
        <f>IFERROR(__xludf.DUMMYFUNCTION("IF(LEN(D2823)&gt;4, IFERROR(REGEXEXTRACT(TO_TEXT(D2823),""\d+""),""""),"""")"),"21430")</f>
        <v>21430</v>
      </c>
      <c r="F2823" s="6" t="str">
        <f t="shared" si="3"/>
        <v>Product</v>
      </c>
      <c r="G2823" s="1" t="s">
        <v>1318</v>
      </c>
      <c r="H2823" s="6" t="str">
        <f>IFERROR(__xludf.DUMMYFUNCTION("IF(REGEXMATCH(LOWER(G2823), ""^(\?)+\s*(missing)?\s*(\?)*$""), """", PROPER(SUBSTITUTE(SUBSTITUTE(G2823, ""?"", """"), ""*"", """")))"),"Set/3 Red Gingham Rose Storage Box")</f>
        <v>Set/3 Red Gingham Rose Storage Box</v>
      </c>
      <c r="I2823" s="3">
        <v>2.0</v>
      </c>
      <c r="J2823" s="7">
        <v>40599.49722222222</v>
      </c>
      <c r="K2823" s="8" t="str">
        <f t="shared" si="4"/>
        <v>2011-02</v>
      </c>
      <c r="L2823" s="5">
        <v>3.75</v>
      </c>
      <c r="M2823" s="3">
        <v>14470.0</v>
      </c>
      <c r="N2823" s="1" t="str">
        <f t="shared" si="5"/>
        <v>Registered</v>
      </c>
      <c r="O2823" s="1" t="s">
        <v>19</v>
      </c>
      <c r="P2823" s="9" t="str">
        <f t="shared" si="6"/>
        <v>UK</v>
      </c>
      <c r="Q2823" s="8">
        <f t="shared" si="7"/>
        <v>7.5</v>
      </c>
    </row>
    <row r="2824">
      <c r="A2824" s="1">
        <v>544998.0</v>
      </c>
      <c r="B2824" s="1" t="str">
        <f t="shared" si="1"/>
        <v>544998</v>
      </c>
      <c r="C2824" s="1" t="str">
        <f t="shared" si="2"/>
        <v>Sale</v>
      </c>
      <c r="D2824" s="1" t="s">
        <v>890</v>
      </c>
      <c r="E2824" s="1" t="str">
        <f>IFERROR(__xludf.DUMMYFUNCTION("IF(LEN(D2824)&gt;4, IFERROR(REGEXEXTRACT(TO_TEXT(D2824),""\d+""),""""),"""")"),"84884")</f>
        <v>84884</v>
      </c>
      <c r="F2824" s="6" t="str">
        <f t="shared" si="3"/>
        <v>Product</v>
      </c>
      <c r="G2824" s="1" t="s">
        <v>891</v>
      </c>
      <c r="H2824" s="6" t="str">
        <f>IFERROR(__xludf.DUMMYFUNCTION("IF(REGEXMATCH(LOWER(G2824), ""^(\?)+\s*(missing)?\s*(\?)*$""), """", PROPER(SUBSTITUTE(SUBSTITUTE(G2824, ""?"", """"), ""*"", """")))"),"Ant White Wire Heart Spiral")</f>
        <v>Ant White Wire Heart Spiral</v>
      </c>
      <c r="I2824" s="3">
        <v>2.0</v>
      </c>
      <c r="J2824" s="7">
        <v>40599.49722222222</v>
      </c>
      <c r="K2824" s="8" t="str">
        <f t="shared" si="4"/>
        <v>2011-02</v>
      </c>
      <c r="L2824" s="5">
        <v>3.95</v>
      </c>
      <c r="M2824" s="3">
        <v>14470.0</v>
      </c>
      <c r="N2824" s="1" t="str">
        <f t="shared" si="5"/>
        <v>Registered</v>
      </c>
      <c r="O2824" s="1" t="s">
        <v>19</v>
      </c>
      <c r="P2824" s="9" t="str">
        <f t="shared" si="6"/>
        <v>UK</v>
      </c>
      <c r="Q2824" s="8">
        <f t="shared" si="7"/>
        <v>7.9</v>
      </c>
    </row>
    <row r="2825">
      <c r="A2825" s="1">
        <v>544998.0</v>
      </c>
      <c r="B2825" s="1" t="str">
        <f t="shared" si="1"/>
        <v>544998</v>
      </c>
      <c r="C2825" s="1" t="str">
        <f t="shared" si="2"/>
        <v>Sale</v>
      </c>
      <c r="D2825" s="1">
        <v>21913.0</v>
      </c>
      <c r="E2825" s="1" t="str">
        <f>IFERROR(__xludf.DUMMYFUNCTION("IF(LEN(D2825)&gt;4, IFERROR(REGEXEXTRACT(TO_TEXT(D2825),""\d+""),""""),"""")"),"21913")</f>
        <v>21913</v>
      </c>
      <c r="F2825" s="6" t="str">
        <f t="shared" si="3"/>
        <v>Product</v>
      </c>
      <c r="G2825" s="1" t="s">
        <v>64</v>
      </c>
      <c r="H2825" s="6" t="str">
        <f>IFERROR(__xludf.DUMMYFUNCTION("IF(REGEXMATCH(LOWER(G2825), ""^(\?)+\s*(missing)?\s*(\?)*$""), """", PROPER(SUBSTITUTE(SUBSTITUTE(G2825, ""?"", """"), ""*"", """")))"),"Vintage Seaside Jigsaw Puzzles")</f>
        <v>Vintage Seaside Jigsaw Puzzles</v>
      </c>
      <c r="I2825" s="3">
        <v>1.0</v>
      </c>
      <c r="J2825" s="7">
        <v>40599.49722222222</v>
      </c>
      <c r="K2825" s="8" t="str">
        <f t="shared" si="4"/>
        <v>2011-02</v>
      </c>
      <c r="L2825" s="5">
        <v>3.75</v>
      </c>
      <c r="M2825" s="3">
        <v>14470.0</v>
      </c>
      <c r="N2825" s="1" t="str">
        <f t="shared" si="5"/>
        <v>Registered</v>
      </c>
      <c r="O2825" s="1" t="s">
        <v>19</v>
      </c>
      <c r="P2825" s="9" t="str">
        <f t="shared" si="6"/>
        <v>UK</v>
      </c>
      <c r="Q2825" s="8">
        <f t="shared" si="7"/>
        <v>3.75</v>
      </c>
    </row>
    <row r="2826">
      <c r="A2826" s="1">
        <v>544998.0</v>
      </c>
      <c r="B2826" s="1" t="str">
        <f t="shared" si="1"/>
        <v>544998</v>
      </c>
      <c r="C2826" s="1" t="str">
        <f t="shared" si="2"/>
        <v>Sale</v>
      </c>
      <c r="D2826" s="1">
        <v>22814.0</v>
      </c>
      <c r="E2826" s="1" t="str">
        <f>IFERROR(__xludf.DUMMYFUNCTION("IF(LEN(D2826)&gt;4, IFERROR(REGEXEXTRACT(TO_TEXT(D2826),""\d+""),""""),"""")"),"22814")</f>
        <v>22814</v>
      </c>
      <c r="F2826" s="6" t="str">
        <f t="shared" si="3"/>
        <v>Product</v>
      </c>
      <c r="G2826" s="1" t="s">
        <v>1370</v>
      </c>
      <c r="H2826" s="6" t="str">
        <f>IFERROR(__xludf.DUMMYFUNCTION("IF(REGEXMATCH(LOWER(G2826), ""^(\?)+\s*(missing)?\s*(\?)*$""), """", PROPER(SUBSTITUTE(SUBSTITUTE(G2826, ""?"", """"), ""*"", """")))"),"Card Party Games")</f>
        <v>Card Party Games</v>
      </c>
      <c r="I2826" s="3">
        <v>12.0</v>
      </c>
      <c r="J2826" s="7">
        <v>40599.49722222222</v>
      </c>
      <c r="K2826" s="8" t="str">
        <f t="shared" si="4"/>
        <v>2011-02</v>
      </c>
      <c r="L2826" s="5">
        <v>0.42</v>
      </c>
      <c r="M2826" s="3">
        <v>14470.0</v>
      </c>
      <c r="N2826" s="1" t="str">
        <f t="shared" si="5"/>
        <v>Registered</v>
      </c>
      <c r="O2826" s="1" t="s">
        <v>19</v>
      </c>
      <c r="P2826" s="9" t="str">
        <f t="shared" si="6"/>
        <v>UK</v>
      </c>
      <c r="Q2826" s="8">
        <f t="shared" si="7"/>
        <v>5.04</v>
      </c>
    </row>
    <row r="2827">
      <c r="A2827" s="1">
        <v>544998.0</v>
      </c>
      <c r="B2827" s="1" t="str">
        <f t="shared" si="1"/>
        <v>544998</v>
      </c>
      <c r="C2827" s="1" t="str">
        <f t="shared" si="2"/>
        <v>Sale</v>
      </c>
      <c r="D2827" s="1" t="s">
        <v>1016</v>
      </c>
      <c r="E2827" s="1" t="str">
        <f>IFERROR(__xludf.DUMMYFUNCTION("IF(LEN(D2827)&gt;4, IFERROR(REGEXEXTRACT(TO_TEXT(D2827),""\d+""),""""),"""")"),"85049")</f>
        <v>85049</v>
      </c>
      <c r="F2827" s="6" t="str">
        <f t="shared" si="3"/>
        <v>Product</v>
      </c>
      <c r="G2827" s="1" t="s">
        <v>1017</v>
      </c>
      <c r="H2827" s="6" t="str">
        <f>IFERROR(__xludf.DUMMYFUNCTION("IF(REGEXMATCH(LOWER(G2827), ""^(\?)+\s*(missing)?\s*(\?)*$""), """", PROPER(SUBSTITUTE(SUBSTITUTE(G2827, ""?"", """"), ""*"", """")))"),"Baby Boom Ribbons")</f>
        <v>Baby Boom Ribbons</v>
      </c>
      <c r="I2827" s="3">
        <v>1.0</v>
      </c>
      <c r="J2827" s="7">
        <v>40599.49722222222</v>
      </c>
      <c r="K2827" s="8" t="str">
        <f t="shared" si="4"/>
        <v>2011-02</v>
      </c>
      <c r="L2827" s="5">
        <v>1.25</v>
      </c>
      <c r="M2827" s="3">
        <v>14470.0</v>
      </c>
      <c r="N2827" s="1" t="str">
        <f t="shared" si="5"/>
        <v>Registered</v>
      </c>
      <c r="O2827" s="1" t="s">
        <v>19</v>
      </c>
      <c r="P2827" s="9" t="str">
        <f t="shared" si="6"/>
        <v>UK</v>
      </c>
      <c r="Q2827" s="8">
        <f t="shared" si="7"/>
        <v>1.25</v>
      </c>
    </row>
    <row r="2828">
      <c r="A2828" s="1">
        <v>544998.0</v>
      </c>
      <c r="B2828" s="1" t="str">
        <f t="shared" si="1"/>
        <v>544998</v>
      </c>
      <c r="C2828" s="1" t="str">
        <f t="shared" si="2"/>
        <v>Sale</v>
      </c>
      <c r="D2828" s="1" t="s">
        <v>340</v>
      </c>
      <c r="E2828" s="1" t="str">
        <f>IFERROR(__xludf.DUMMYFUNCTION("IF(LEN(D2828)&gt;4, IFERROR(REGEXEXTRACT(TO_TEXT(D2828),""\d+""),""""),"""")"),"85049")</f>
        <v>85049</v>
      </c>
      <c r="F2828" s="6" t="str">
        <f t="shared" si="3"/>
        <v>Product</v>
      </c>
      <c r="G2828" s="1" t="s">
        <v>341</v>
      </c>
      <c r="H2828" s="6" t="str">
        <f>IFERROR(__xludf.DUMMYFUNCTION("IF(REGEXMATCH(LOWER(G2828), ""^(\?)+\s*(missing)?\s*(\?)*$""), """", PROPER(SUBSTITUTE(SUBSTITUTE(G2828, ""?"", """"), ""*"", """")))"),"Romantic Pinks Ribbons")</f>
        <v>Romantic Pinks Ribbons</v>
      </c>
      <c r="I2828" s="3">
        <v>1.0</v>
      </c>
      <c r="J2828" s="7">
        <v>40599.49722222222</v>
      </c>
      <c r="K2828" s="8" t="str">
        <f t="shared" si="4"/>
        <v>2011-02</v>
      </c>
      <c r="L2828" s="5">
        <v>1.25</v>
      </c>
      <c r="M2828" s="3">
        <v>14470.0</v>
      </c>
      <c r="N2828" s="1" t="str">
        <f t="shared" si="5"/>
        <v>Registered</v>
      </c>
      <c r="O2828" s="1" t="s">
        <v>19</v>
      </c>
      <c r="P2828" s="9" t="str">
        <f t="shared" si="6"/>
        <v>UK</v>
      </c>
      <c r="Q2828" s="8">
        <f t="shared" si="7"/>
        <v>1.25</v>
      </c>
    </row>
    <row r="2829">
      <c r="A2829" s="1">
        <v>544998.0</v>
      </c>
      <c r="B2829" s="1" t="str">
        <f t="shared" si="1"/>
        <v>544998</v>
      </c>
      <c r="C2829" s="1" t="str">
        <f t="shared" si="2"/>
        <v>Sale</v>
      </c>
      <c r="D2829" s="1">
        <v>22077.0</v>
      </c>
      <c r="E2829" s="1" t="str">
        <f>IFERROR(__xludf.DUMMYFUNCTION("IF(LEN(D2829)&gt;4, IFERROR(REGEXEXTRACT(TO_TEXT(D2829),""\d+""),""""),"""")"),"22077")</f>
        <v>22077</v>
      </c>
      <c r="F2829" s="6" t="str">
        <f t="shared" si="3"/>
        <v>Product</v>
      </c>
      <c r="G2829" s="1" t="s">
        <v>443</v>
      </c>
      <c r="H2829" s="6" t="str">
        <f>IFERROR(__xludf.DUMMYFUNCTION("IF(REGEXMATCH(LOWER(G2829), ""^(\?)+\s*(missing)?\s*(\?)*$""), """", PROPER(SUBSTITUTE(SUBSTITUTE(G2829, ""?"", """"), ""*"", """")))"),"6 Ribbons Rustic Charm")</f>
        <v>6 Ribbons Rustic Charm</v>
      </c>
      <c r="I2829" s="3">
        <v>1.0</v>
      </c>
      <c r="J2829" s="7">
        <v>40599.49722222222</v>
      </c>
      <c r="K2829" s="8" t="str">
        <f t="shared" si="4"/>
        <v>2011-02</v>
      </c>
      <c r="L2829" s="5">
        <v>1.65</v>
      </c>
      <c r="M2829" s="3">
        <v>14470.0</v>
      </c>
      <c r="N2829" s="1" t="str">
        <f t="shared" si="5"/>
        <v>Registered</v>
      </c>
      <c r="O2829" s="1" t="s">
        <v>19</v>
      </c>
      <c r="P2829" s="9" t="str">
        <f t="shared" si="6"/>
        <v>UK</v>
      </c>
      <c r="Q2829" s="8">
        <f t="shared" si="7"/>
        <v>1.65</v>
      </c>
    </row>
    <row r="2830">
      <c r="A2830" s="1">
        <v>544998.0</v>
      </c>
      <c r="B2830" s="1" t="str">
        <f t="shared" si="1"/>
        <v>544998</v>
      </c>
      <c r="C2830" s="1" t="str">
        <f t="shared" si="2"/>
        <v>Sale</v>
      </c>
      <c r="D2830" s="1">
        <v>21692.0</v>
      </c>
      <c r="E2830" s="1" t="str">
        <f>IFERROR(__xludf.DUMMYFUNCTION("IF(LEN(D2830)&gt;4, IFERROR(REGEXEXTRACT(TO_TEXT(D2830),""\d+""),""""),"""")"),"21692")</f>
        <v>21692</v>
      </c>
      <c r="F2830" s="6" t="str">
        <f t="shared" si="3"/>
        <v>Product</v>
      </c>
      <c r="G2830" s="1" t="s">
        <v>1375</v>
      </c>
      <c r="H2830" s="6" t="str">
        <f>IFERROR(__xludf.DUMMYFUNCTION("IF(REGEXMATCH(LOWER(G2830), ""^(\?)+\s*(missing)?\s*(\?)*$""), """", PROPER(SUBSTITUTE(SUBSTITUTE(G2830, ""?"", """"), ""*"", """")))"),"Silver Lattice Vanilla Candle Pot")</f>
        <v>Silver Lattice Vanilla Candle Pot</v>
      </c>
      <c r="I2830" s="3">
        <v>2.0</v>
      </c>
      <c r="J2830" s="7">
        <v>40599.49722222222</v>
      </c>
      <c r="K2830" s="8" t="str">
        <f t="shared" si="4"/>
        <v>2011-02</v>
      </c>
      <c r="L2830" s="5">
        <v>3.75</v>
      </c>
      <c r="M2830" s="3">
        <v>14470.0</v>
      </c>
      <c r="N2830" s="1" t="str">
        <f t="shared" si="5"/>
        <v>Registered</v>
      </c>
      <c r="O2830" s="1" t="s">
        <v>19</v>
      </c>
      <c r="P2830" s="9" t="str">
        <f t="shared" si="6"/>
        <v>UK</v>
      </c>
      <c r="Q2830" s="8">
        <f t="shared" si="7"/>
        <v>7.5</v>
      </c>
    </row>
    <row r="2831">
      <c r="A2831" s="1">
        <v>544998.0</v>
      </c>
      <c r="B2831" s="1" t="str">
        <f t="shared" si="1"/>
        <v>544998</v>
      </c>
      <c r="C2831" s="1" t="str">
        <f t="shared" si="2"/>
        <v>Sale</v>
      </c>
      <c r="D2831" s="1">
        <v>22319.0</v>
      </c>
      <c r="E2831" s="1" t="str">
        <f>IFERROR(__xludf.DUMMYFUNCTION("IF(LEN(D2831)&gt;4, IFERROR(REGEXEXTRACT(TO_TEXT(D2831),""\d+""),""""),"""")"),"22319")</f>
        <v>22319</v>
      </c>
      <c r="F2831" s="6" t="str">
        <f t="shared" si="3"/>
        <v>Product</v>
      </c>
      <c r="G2831" s="1" t="s">
        <v>1376</v>
      </c>
      <c r="H2831" s="6" t="str">
        <f>IFERROR(__xludf.DUMMYFUNCTION("IF(REGEXMATCH(LOWER(G2831), ""^(\?)+\s*(missing)?\s*(\?)*$""), """", PROPER(SUBSTITUTE(SUBSTITUTE(G2831, ""?"", """"), ""*"", """")))"),"Hairclips Forties Fabric Assorted")</f>
        <v>Hairclips Forties Fabric Assorted</v>
      </c>
      <c r="I2831" s="3">
        <v>24.0</v>
      </c>
      <c r="J2831" s="7">
        <v>40599.49722222222</v>
      </c>
      <c r="K2831" s="8" t="str">
        <f t="shared" si="4"/>
        <v>2011-02</v>
      </c>
      <c r="L2831" s="5">
        <v>0.65</v>
      </c>
      <c r="M2831" s="3">
        <v>14470.0</v>
      </c>
      <c r="N2831" s="1" t="str">
        <f t="shared" si="5"/>
        <v>Registered</v>
      </c>
      <c r="O2831" s="1" t="s">
        <v>19</v>
      </c>
      <c r="P2831" s="9" t="str">
        <f t="shared" si="6"/>
        <v>UK</v>
      </c>
      <c r="Q2831" s="8">
        <f t="shared" si="7"/>
        <v>15.6</v>
      </c>
    </row>
    <row r="2832">
      <c r="A2832" s="1">
        <v>544998.0</v>
      </c>
      <c r="B2832" s="1" t="str">
        <f t="shared" si="1"/>
        <v>544998</v>
      </c>
      <c r="C2832" s="1" t="str">
        <f t="shared" si="2"/>
        <v>Sale</v>
      </c>
      <c r="D2832" s="1">
        <v>21054.0</v>
      </c>
      <c r="E2832" s="1" t="str">
        <f>IFERROR(__xludf.DUMMYFUNCTION("IF(LEN(D2832)&gt;4, IFERROR(REGEXEXTRACT(TO_TEXT(D2832),""\d+""),""""),"""")"),"21054")</f>
        <v>21054</v>
      </c>
      <c r="F2832" s="6" t="str">
        <f t="shared" si="3"/>
        <v>Product</v>
      </c>
      <c r="G2832" s="1" t="s">
        <v>1377</v>
      </c>
      <c r="H2832" s="6" t="str">
        <f>IFERROR(__xludf.DUMMYFUNCTION("IF(REGEXMATCH(LOWER(G2832), ""^(\?)+\s*(missing)?\s*(\?)*$""), """", PROPER(SUBSTITUTE(SUBSTITUTE(G2832, ""?"", """"), ""*"", """")))"),"Nurse'S Bag Soft Toy")</f>
        <v>Nurse'S Bag Soft Toy</v>
      </c>
      <c r="I2832" s="3">
        <v>1.0</v>
      </c>
      <c r="J2832" s="7">
        <v>40599.49722222222</v>
      </c>
      <c r="K2832" s="8" t="str">
        <f t="shared" si="4"/>
        <v>2011-02</v>
      </c>
      <c r="L2832" s="5">
        <v>8.95</v>
      </c>
      <c r="M2832" s="3">
        <v>14470.0</v>
      </c>
      <c r="N2832" s="1" t="str">
        <f t="shared" si="5"/>
        <v>Registered</v>
      </c>
      <c r="O2832" s="1" t="s">
        <v>19</v>
      </c>
      <c r="P2832" s="9" t="str">
        <f t="shared" si="6"/>
        <v>UK</v>
      </c>
      <c r="Q2832" s="8">
        <f t="shared" si="7"/>
        <v>8.95</v>
      </c>
    </row>
    <row r="2833">
      <c r="A2833" s="1">
        <v>544998.0</v>
      </c>
      <c r="B2833" s="1" t="str">
        <f t="shared" si="1"/>
        <v>544998</v>
      </c>
      <c r="C2833" s="1" t="str">
        <f t="shared" si="2"/>
        <v>Sale</v>
      </c>
      <c r="D2833" s="1">
        <v>21055.0</v>
      </c>
      <c r="E2833" s="1" t="str">
        <f>IFERROR(__xludf.DUMMYFUNCTION("IF(LEN(D2833)&gt;4, IFERROR(REGEXEXTRACT(TO_TEXT(D2833),""\d+""),""""),"""")"),"21055")</f>
        <v>21055</v>
      </c>
      <c r="F2833" s="6" t="str">
        <f t="shared" si="3"/>
        <v>Product</v>
      </c>
      <c r="G2833" s="1" t="s">
        <v>1367</v>
      </c>
      <c r="H2833" s="6" t="str">
        <f>IFERROR(__xludf.DUMMYFUNCTION("IF(REGEXMATCH(LOWER(G2833), ""^(\?)+\s*(missing)?\s*(\?)*$""), """", PROPER(SUBSTITUTE(SUBSTITUTE(G2833, ""?"", """"), ""*"", """")))"),"Tool Box Soft Toy")</f>
        <v>Tool Box Soft Toy</v>
      </c>
      <c r="I2833" s="3">
        <v>1.0</v>
      </c>
      <c r="J2833" s="7">
        <v>40599.49722222222</v>
      </c>
      <c r="K2833" s="8" t="str">
        <f t="shared" si="4"/>
        <v>2011-02</v>
      </c>
      <c r="L2833" s="5">
        <v>8.95</v>
      </c>
      <c r="M2833" s="3">
        <v>14470.0</v>
      </c>
      <c r="N2833" s="1" t="str">
        <f t="shared" si="5"/>
        <v>Registered</v>
      </c>
      <c r="O2833" s="1" t="s">
        <v>19</v>
      </c>
      <c r="P2833" s="9" t="str">
        <f t="shared" si="6"/>
        <v>UK</v>
      </c>
      <c r="Q2833" s="8">
        <f t="shared" si="7"/>
        <v>8.95</v>
      </c>
    </row>
    <row r="2834">
      <c r="A2834" s="1">
        <v>544998.0</v>
      </c>
      <c r="B2834" s="1" t="str">
        <f t="shared" si="1"/>
        <v>544998</v>
      </c>
      <c r="C2834" s="1" t="str">
        <f t="shared" si="2"/>
        <v>Sale</v>
      </c>
      <c r="D2834" s="1">
        <v>21945.0</v>
      </c>
      <c r="E2834" s="1" t="str">
        <f>IFERROR(__xludf.DUMMYFUNCTION("IF(LEN(D2834)&gt;4, IFERROR(REGEXEXTRACT(TO_TEXT(D2834),""\d+""),""""),"""")"),"21945")</f>
        <v>21945</v>
      </c>
      <c r="F2834" s="6" t="str">
        <f t="shared" si="3"/>
        <v>Product</v>
      </c>
      <c r="G2834" s="1" t="s">
        <v>1378</v>
      </c>
      <c r="H2834" s="6" t="str">
        <f>IFERROR(__xludf.DUMMYFUNCTION("IF(REGEXMATCH(LOWER(G2834), ""^(\?)+\s*(missing)?\s*(\?)*$""), """", PROPER(SUBSTITUTE(SUBSTITUTE(G2834, ""?"", """"), ""*"", """")))"),"Strawberries Design Flannel")</f>
        <v>Strawberries Design Flannel</v>
      </c>
      <c r="I2834" s="3">
        <v>12.0</v>
      </c>
      <c r="J2834" s="7">
        <v>40599.49722222222</v>
      </c>
      <c r="K2834" s="8" t="str">
        <f t="shared" si="4"/>
        <v>2011-02</v>
      </c>
      <c r="L2834" s="5">
        <v>0.85</v>
      </c>
      <c r="M2834" s="3">
        <v>14470.0</v>
      </c>
      <c r="N2834" s="1" t="str">
        <f t="shared" si="5"/>
        <v>Registered</v>
      </c>
      <c r="O2834" s="1" t="s">
        <v>19</v>
      </c>
      <c r="P2834" s="9" t="str">
        <f t="shared" si="6"/>
        <v>UK</v>
      </c>
      <c r="Q2834" s="8">
        <f t="shared" si="7"/>
        <v>10.2</v>
      </c>
    </row>
    <row r="2835">
      <c r="A2835" s="1">
        <v>544998.0</v>
      </c>
      <c r="B2835" s="1" t="str">
        <f t="shared" si="1"/>
        <v>544998</v>
      </c>
      <c r="C2835" s="1" t="str">
        <f t="shared" si="2"/>
        <v>Sale</v>
      </c>
      <c r="D2835" s="1">
        <v>20749.0</v>
      </c>
      <c r="E2835" s="1" t="str">
        <f>IFERROR(__xludf.DUMMYFUNCTION("IF(LEN(D2835)&gt;4, IFERROR(REGEXEXTRACT(TO_TEXT(D2835),""\d+""),""""),"""")"),"20749")</f>
        <v>20749</v>
      </c>
      <c r="F2835" s="6" t="str">
        <f t="shared" si="3"/>
        <v>Product</v>
      </c>
      <c r="G2835" s="1" t="s">
        <v>319</v>
      </c>
      <c r="H2835" s="6" t="str">
        <f>IFERROR(__xludf.DUMMYFUNCTION("IF(REGEXMATCH(LOWER(G2835), ""^(\?)+\s*(missing)?\s*(\?)*$""), """", PROPER(SUBSTITUTE(SUBSTITUTE(G2835, ""?"", """"), ""*"", """")))"),"Assorted Colour Mini Cases")</f>
        <v>Assorted Colour Mini Cases</v>
      </c>
      <c r="I2835" s="3">
        <v>1.0</v>
      </c>
      <c r="J2835" s="7">
        <v>40599.49722222222</v>
      </c>
      <c r="K2835" s="8" t="str">
        <f t="shared" si="4"/>
        <v>2011-02</v>
      </c>
      <c r="L2835" s="5">
        <v>7.95</v>
      </c>
      <c r="M2835" s="3">
        <v>14470.0</v>
      </c>
      <c r="N2835" s="1" t="str">
        <f t="shared" si="5"/>
        <v>Registered</v>
      </c>
      <c r="O2835" s="1" t="s">
        <v>19</v>
      </c>
      <c r="P2835" s="9" t="str">
        <f t="shared" si="6"/>
        <v>UK</v>
      </c>
      <c r="Q2835" s="8">
        <f t="shared" si="7"/>
        <v>7.95</v>
      </c>
    </row>
    <row r="2836">
      <c r="A2836" s="1">
        <v>544998.0</v>
      </c>
      <c r="B2836" s="1" t="str">
        <f t="shared" si="1"/>
        <v>544998</v>
      </c>
      <c r="C2836" s="1" t="str">
        <f t="shared" si="2"/>
        <v>Sale</v>
      </c>
      <c r="D2836" s="1" t="s">
        <v>23</v>
      </c>
      <c r="E2836" s="1" t="str">
        <f>IFERROR(__xludf.DUMMYFUNCTION("IF(LEN(D2836)&gt;4, IFERROR(REGEXEXTRACT(TO_TEXT(D2836),""\d+""),""""),"""")"),"84029")</f>
        <v>84029</v>
      </c>
      <c r="F2836" s="6" t="str">
        <f t="shared" si="3"/>
        <v>Product</v>
      </c>
      <c r="G2836" s="1" t="s">
        <v>24</v>
      </c>
      <c r="H2836" s="6" t="str">
        <f>IFERROR(__xludf.DUMMYFUNCTION("IF(REGEXMATCH(LOWER(G2836), ""^(\?)+\s*(missing)?\s*(\?)*$""), """", PROPER(SUBSTITUTE(SUBSTITUTE(G2836, ""?"", """"), ""*"", """")))"),"Knitted Union Flag Hot Water Bottle")</f>
        <v>Knitted Union Flag Hot Water Bottle</v>
      </c>
      <c r="I2836" s="3">
        <v>2.0</v>
      </c>
      <c r="J2836" s="7">
        <v>40599.49722222222</v>
      </c>
      <c r="K2836" s="8" t="str">
        <f t="shared" si="4"/>
        <v>2011-02</v>
      </c>
      <c r="L2836" s="5">
        <v>3.75</v>
      </c>
      <c r="M2836" s="3">
        <v>14470.0</v>
      </c>
      <c r="N2836" s="1" t="str">
        <f t="shared" si="5"/>
        <v>Registered</v>
      </c>
      <c r="O2836" s="1" t="s">
        <v>19</v>
      </c>
      <c r="P2836" s="9" t="str">
        <f t="shared" si="6"/>
        <v>UK</v>
      </c>
      <c r="Q2836" s="8">
        <f t="shared" si="7"/>
        <v>7.5</v>
      </c>
    </row>
    <row r="2837">
      <c r="A2837" s="1">
        <v>544998.0</v>
      </c>
      <c r="B2837" s="1" t="str">
        <f t="shared" si="1"/>
        <v>544998</v>
      </c>
      <c r="C2837" s="1" t="str">
        <f t="shared" si="2"/>
        <v>Sale</v>
      </c>
      <c r="D2837" s="1">
        <v>22113.0</v>
      </c>
      <c r="E2837" s="1" t="str">
        <f>IFERROR(__xludf.DUMMYFUNCTION("IF(LEN(D2837)&gt;4, IFERROR(REGEXEXTRACT(TO_TEXT(D2837),""\d+""),""""),"""")"),"22113")</f>
        <v>22113</v>
      </c>
      <c r="F2837" s="6" t="str">
        <f t="shared" si="3"/>
        <v>Product</v>
      </c>
      <c r="G2837" s="1" t="s">
        <v>515</v>
      </c>
      <c r="H2837" s="6" t="str">
        <f>IFERROR(__xludf.DUMMYFUNCTION("IF(REGEXMATCH(LOWER(G2837), ""^(\?)+\s*(missing)?\s*(\?)*$""), """", PROPER(SUBSTITUTE(SUBSTITUTE(G2837, ""?"", """"), ""*"", """")))"),"Grey Heart Hot Water Bottle")</f>
        <v>Grey Heart Hot Water Bottle</v>
      </c>
      <c r="I2837" s="3">
        <v>4.0</v>
      </c>
      <c r="J2837" s="7">
        <v>40599.49722222222</v>
      </c>
      <c r="K2837" s="8" t="str">
        <f t="shared" si="4"/>
        <v>2011-02</v>
      </c>
      <c r="L2837" s="5">
        <v>3.75</v>
      </c>
      <c r="M2837" s="3">
        <v>14470.0</v>
      </c>
      <c r="N2837" s="1" t="str">
        <f t="shared" si="5"/>
        <v>Registered</v>
      </c>
      <c r="O2837" s="1" t="s">
        <v>19</v>
      </c>
      <c r="P2837" s="9" t="str">
        <f t="shared" si="6"/>
        <v>UK</v>
      </c>
      <c r="Q2837" s="8">
        <f t="shared" si="7"/>
        <v>15</v>
      </c>
    </row>
    <row r="2838">
      <c r="A2838" s="1">
        <v>544998.0</v>
      </c>
      <c r="B2838" s="1" t="str">
        <f t="shared" si="1"/>
        <v>544998</v>
      </c>
      <c r="C2838" s="1" t="str">
        <f t="shared" si="2"/>
        <v>Sale</v>
      </c>
      <c r="D2838" s="1">
        <v>22721.0</v>
      </c>
      <c r="E2838" s="1" t="str">
        <f>IFERROR(__xludf.DUMMYFUNCTION("IF(LEN(D2838)&gt;4, IFERROR(REGEXEXTRACT(TO_TEXT(D2838),""\d+""),""""),"""")"),"22721")</f>
        <v>22721</v>
      </c>
      <c r="F2838" s="6" t="str">
        <f t="shared" si="3"/>
        <v>Product</v>
      </c>
      <c r="G2838" s="1" t="s">
        <v>1296</v>
      </c>
      <c r="H2838" s="6" t="str">
        <f>IFERROR(__xludf.DUMMYFUNCTION("IF(REGEXMATCH(LOWER(G2838), ""^(\?)+\s*(missing)?\s*(\?)*$""), """", PROPER(SUBSTITUTE(SUBSTITUTE(G2838, ""?"", """"), ""*"", """")))"),"Set Of 3 Cake Tins Sketchbook")</f>
        <v>Set Of 3 Cake Tins Sketchbook</v>
      </c>
      <c r="I2838" s="3">
        <v>1.0</v>
      </c>
      <c r="J2838" s="7">
        <v>40599.49722222222</v>
      </c>
      <c r="K2838" s="8" t="str">
        <f t="shared" si="4"/>
        <v>2011-02</v>
      </c>
      <c r="L2838" s="5">
        <v>4.95</v>
      </c>
      <c r="M2838" s="3">
        <v>14470.0</v>
      </c>
      <c r="N2838" s="1" t="str">
        <f t="shared" si="5"/>
        <v>Registered</v>
      </c>
      <c r="O2838" s="1" t="s">
        <v>19</v>
      </c>
      <c r="P2838" s="9" t="str">
        <f t="shared" si="6"/>
        <v>UK</v>
      </c>
      <c r="Q2838" s="8">
        <f t="shared" si="7"/>
        <v>4.95</v>
      </c>
    </row>
    <row r="2839">
      <c r="A2839" s="1">
        <v>544998.0</v>
      </c>
      <c r="B2839" s="1" t="str">
        <f t="shared" si="1"/>
        <v>544998</v>
      </c>
      <c r="C2839" s="1" t="str">
        <f t="shared" si="2"/>
        <v>Sale</v>
      </c>
      <c r="D2839" s="1">
        <v>22720.0</v>
      </c>
      <c r="E2839" s="1" t="str">
        <f>IFERROR(__xludf.DUMMYFUNCTION("IF(LEN(D2839)&gt;4, IFERROR(REGEXEXTRACT(TO_TEXT(D2839),""\d+""),""""),"""")"),"22720")</f>
        <v>22720</v>
      </c>
      <c r="F2839" s="6" t="str">
        <f t="shared" si="3"/>
        <v>Product</v>
      </c>
      <c r="G2839" s="1" t="s">
        <v>685</v>
      </c>
      <c r="H2839" s="6" t="str">
        <f>IFERROR(__xludf.DUMMYFUNCTION("IF(REGEXMATCH(LOWER(G2839), ""^(\?)+\s*(missing)?\s*(\?)*$""), """", PROPER(SUBSTITUTE(SUBSTITUTE(G2839, ""?"", """"), ""*"", """")))"),"Set Of 3 Cake Tins Pantry Design")</f>
        <v>Set Of 3 Cake Tins Pantry Design</v>
      </c>
      <c r="I2839" s="3">
        <v>1.0</v>
      </c>
      <c r="J2839" s="7">
        <v>40599.49722222222</v>
      </c>
      <c r="K2839" s="8" t="str">
        <f t="shared" si="4"/>
        <v>2011-02</v>
      </c>
      <c r="L2839" s="5">
        <v>4.95</v>
      </c>
      <c r="M2839" s="3">
        <v>14470.0</v>
      </c>
      <c r="N2839" s="1" t="str">
        <f t="shared" si="5"/>
        <v>Registered</v>
      </c>
      <c r="O2839" s="1" t="s">
        <v>19</v>
      </c>
      <c r="P2839" s="9" t="str">
        <f t="shared" si="6"/>
        <v>UK</v>
      </c>
      <c r="Q2839" s="8">
        <f t="shared" si="7"/>
        <v>4.95</v>
      </c>
    </row>
    <row r="2840">
      <c r="A2840" s="1">
        <v>544998.0</v>
      </c>
      <c r="B2840" s="1" t="str">
        <f t="shared" si="1"/>
        <v>544998</v>
      </c>
      <c r="C2840" s="1" t="str">
        <f t="shared" si="2"/>
        <v>Sale</v>
      </c>
      <c r="D2840" s="1">
        <v>22722.0</v>
      </c>
      <c r="E2840" s="1" t="str">
        <f>IFERROR(__xludf.DUMMYFUNCTION("IF(LEN(D2840)&gt;4, IFERROR(REGEXEXTRACT(TO_TEXT(D2840),""\d+""),""""),"""")"),"22722")</f>
        <v>22722</v>
      </c>
      <c r="F2840" s="6" t="str">
        <f t="shared" si="3"/>
        <v>Product</v>
      </c>
      <c r="G2840" s="1" t="s">
        <v>686</v>
      </c>
      <c r="H2840" s="6" t="str">
        <f>IFERROR(__xludf.DUMMYFUNCTION("IF(REGEXMATCH(LOWER(G2840), ""^(\?)+\s*(missing)?\s*(\?)*$""), """", PROPER(SUBSTITUTE(SUBSTITUTE(G2840, ""?"", """"), ""*"", """")))"),"Set Of 6 Spice Tins Pantry Design")</f>
        <v>Set Of 6 Spice Tins Pantry Design</v>
      </c>
      <c r="I2840" s="3">
        <v>1.0</v>
      </c>
      <c r="J2840" s="7">
        <v>40599.49722222222</v>
      </c>
      <c r="K2840" s="8" t="str">
        <f t="shared" si="4"/>
        <v>2011-02</v>
      </c>
      <c r="L2840" s="5">
        <v>3.95</v>
      </c>
      <c r="M2840" s="3">
        <v>14470.0</v>
      </c>
      <c r="N2840" s="1" t="str">
        <f t="shared" si="5"/>
        <v>Registered</v>
      </c>
      <c r="O2840" s="1" t="s">
        <v>19</v>
      </c>
      <c r="P2840" s="9" t="str">
        <f t="shared" si="6"/>
        <v>UK</v>
      </c>
      <c r="Q2840" s="8">
        <f t="shared" si="7"/>
        <v>3.95</v>
      </c>
    </row>
    <row r="2841">
      <c r="A2841" s="1">
        <v>544998.0</v>
      </c>
      <c r="B2841" s="1" t="str">
        <f t="shared" si="1"/>
        <v>544998</v>
      </c>
      <c r="C2841" s="1" t="str">
        <f t="shared" si="2"/>
        <v>Sale</v>
      </c>
      <c r="D2841" s="1">
        <v>22723.0</v>
      </c>
      <c r="E2841" s="1" t="str">
        <f>IFERROR(__xludf.DUMMYFUNCTION("IF(LEN(D2841)&gt;4, IFERROR(REGEXEXTRACT(TO_TEXT(D2841),""\d+""),""""),"""")"),"22723")</f>
        <v>22723</v>
      </c>
      <c r="F2841" s="6" t="str">
        <f t="shared" si="3"/>
        <v>Product</v>
      </c>
      <c r="G2841" s="1" t="s">
        <v>1200</v>
      </c>
      <c r="H2841" s="6" t="str">
        <f>IFERROR(__xludf.DUMMYFUNCTION("IF(REGEXMATCH(LOWER(G2841), ""^(\?)+\s*(missing)?\s*(\?)*$""), """", PROPER(SUBSTITUTE(SUBSTITUTE(G2841, ""?"", """"), ""*"", """")))"),"Set Of 6 Herb Tins Sketchbook")</f>
        <v>Set Of 6 Herb Tins Sketchbook</v>
      </c>
      <c r="I2841" s="3">
        <v>1.0</v>
      </c>
      <c r="J2841" s="7">
        <v>40599.49722222222</v>
      </c>
      <c r="K2841" s="8" t="str">
        <f t="shared" si="4"/>
        <v>2011-02</v>
      </c>
      <c r="L2841" s="5">
        <v>3.95</v>
      </c>
      <c r="M2841" s="3">
        <v>14470.0</v>
      </c>
      <c r="N2841" s="1" t="str">
        <f t="shared" si="5"/>
        <v>Registered</v>
      </c>
      <c r="O2841" s="1" t="s">
        <v>19</v>
      </c>
      <c r="P2841" s="9" t="str">
        <f t="shared" si="6"/>
        <v>UK</v>
      </c>
      <c r="Q2841" s="8">
        <f t="shared" si="7"/>
        <v>3.95</v>
      </c>
    </row>
    <row r="2842">
      <c r="A2842" s="1">
        <v>544998.0</v>
      </c>
      <c r="B2842" s="1" t="str">
        <f t="shared" si="1"/>
        <v>544998</v>
      </c>
      <c r="C2842" s="1" t="str">
        <f t="shared" si="2"/>
        <v>Sale</v>
      </c>
      <c r="D2842" s="1">
        <v>21110.0</v>
      </c>
      <c r="E2842" s="1" t="str">
        <f>IFERROR(__xludf.DUMMYFUNCTION("IF(LEN(D2842)&gt;4, IFERROR(REGEXEXTRACT(TO_TEXT(D2842),""\d+""),""""),"""")"),"21110")</f>
        <v>21110</v>
      </c>
      <c r="F2842" s="6" t="str">
        <f t="shared" si="3"/>
        <v>Product</v>
      </c>
      <c r="G2842" s="1" t="s">
        <v>1101</v>
      </c>
      <c r="H2842" s="6" t="str">
        <f>IFERROR(__xludf.DUMMYFUNCTION("IF(REGEXMATCH(LOWER(G2842), ""^(\?)+\s*(missing)?\s*(\?)*$""), """", PROPER(SUBSTITUTE(SUBSTITUTE(G2842, ""?"", """"), ""*"", """")))"),"Large Cake Towel Pink Spots")</f>
        <v>Large Cake Towel Pink Spots</v>
      </c>
      <c r="I2842" s="3">
        <v>2.0</v>
      </c>
      <c r="J2842" s="7">
        <v>40599.49722222222</v>
      </c>
      <c r="K2842" s="8" t="str">
        <f t="shared" si="4"/>
        <v>2011-02</v>
      </c>
      <c r="L2842" s="5">
        <v>6.75</v>
      </c>
      <c r="M2842" s="3">
        <v>14470.0</v>
      </c>
      <c r="N2842" s="1" t="str">
        <f t="shared" si="5"/>
        <v>Registered</v>
      </c>
      <c r="O2842" s="1" t="s">
        <v>19</v>
      </c>
      <c r="P2842" s="9" t="str">
        <f t="shared" si="6"/>
        <v>UK</v>
      </c>
      <c r="Q2842" s="8">
        <f t="shared" si="7"/>
        <v>13.5</v>
      </c>
    </row>
    <row r="2843">
      <c r="A2843" s="1">
        <v>544998.0</v>
      </c>
      <c r="B2843" s="1" t="str">
        <f t="shared" si="1"/>
        <v>544998</v>
      </c>
      <c r="C2843" s="1" t="str">
        <f t="shared" si="2"/>
        <v>Sale</v>
      </c>
      <c r="D2843" s="1">
        <v>22318.0</v>
      </c>
      <c r="E2843" s="1" t="str">
        <f>IFERROR(__xludf.DUMMYFUNCTION("IF(LEN(D2843)&gt;4, IFERROR(REGEXEXTRACT(TO_TEXT(D2843),""\d+""),""""),"""")"),"22318")</f>
        <v>22318</v>
      </c>
      <c r="F2843" s="6" t="str">
        <f t="shared" si="3"/>
        <v>Product</v>
      </c>
      <c r="G2843" s="1" t="s">
        <v>189</v>
      </c>
      <c r="H2843" s="6" t="str">
        <f>IFERROR(__xludf.DUMMYFUNCTION("IF(REGEXMATCH(LOWER(G2843), ""^(\?)+\s*(missing)?\s*(\?)*$""), """", PROPER(SUBSTITUTE(SUBSTITUTE(G2843, ""?"", """"), ""*"", """")))"),"Five Heart Hanging Decoration")</f>
        <v>Five Heart Hanging Decoration</v>
      </c>
      <c r="I2843" s="3">
        <v>2.0</v>
      </c>
      <c r="J2843" s="7">
        <v>40599.49722222222</v>
      </c>
      <c r="K2843" s="8" t="str">
        <f t="shared" si="4"/>
        <v>2011-02</v>
      </c>
      <c r="L2843" s="5">
        <v>2.95</v>
      </c>
      <c r="M2843" s="3">
        <v>14470.0</v>
      </c>
      <c r="N2843" s="1" t="str">
        <f t="shared" si="5"/>
        <v>Registered</v>
      </c>
      <c r="O2843" s="1" t="s">
        <v>19</v>
      </c>
      <c r="P2843" s="9" t="str">
        <f t="shared" si="6"/>
        <v>UK</v>
      </c>
      <c r="Q2843" s="8">
        <f t="shared" si="7"/>
        <v>5.9</v>
      </c>
    </row>
    <row r="2844">
      <c r="A2844" s="1">
        <v>544998.0</v>
      </c>
      <c r="B2844" s="1" t="str">
        <f t="shared" si="1"/>
        <v>544998</v>
      </c>
      <c r="C2844" s="1" t="str">
        <f t="shared" si="2"/>
        <v>Sale</v>
      </c>
      <c r="D2844" s="1" t="s">
        <v>1360</v>
      </c>
      <c r="E2844" s="1" t="str">
        <f>IFERROR(__xludf.DUMMYFUNCTION("IF(LEN(D2844)&gt;4, IFERROR(REGEXEXTRACT(TO_TEXT(D2844),""\d+""),""""),"""")"),"85035")</f>
        <v>85035</v>
      </c>
      <c r="F2844" s="6" t="str">
        <f t="shared" si="3"/>
        <v>Product</v>
      </c>
      <c r="G2844" s="1" t="s">
        <v>1361</v>
      </c>
      <c r="H2844" s="6" t="str">
        <f>IFERROR(__xludf.DUMMYFUNCTION("IF(REGEXMATCH(LOWER(G2844), ""^(\?)+\s*(missing)?\s*(\?)*$""), """", PROPER(SUBSTITUTE(SUBSTITUTE(G2844, ""?"", """"), ""*"", """")))"),"Rose 3 Wick Morris Box Candle")</f>
        <v>Rose 3 Wick Morris Box Candle</v>
      </c>
      <c r="I2844" s="3">
        <v>2.0</v>
      </c>
      <c r="J2844" s="7">
        <v>40599.49722222222</v>
      </c>
      <c r="K2844" s="8" t="str">
        <f t="shared" si="4"/>
        <v>2011-02</v>
      </c>
      <c r="L2844" s="5">
        <v>4.25</v>
      </c>
      <c r="M2844" s="3">
        <v>14470.0</v>
      </c>
      <c r="N2844" s="1" t="str">
        <f t="shared" si="5"/>
        <v>Registered</v>
      </c>
      <c r="O2844" s="1" t="s">
        <v>19</v>
      </c>
      <c r="P2844" s="9" t="str">
        <f t="shared" si="6"/>
        <v>UK</v>
      </c>
      <c r="Q2844" s="8">
        <f t="shared" si="7"/>
        <v>8.5</v>
      </c>
    </row>
    <row r="2845">
      <c r="A2845" s="1">
        <v>544998.0</v>
      </c>
      <c r="B2845" s="1" t="str">
        <f t="shared" si="1"/>
        <v>544998</v>
      </c>
      <c r="C2845" s="1" t="str">
        <f t="shared" si="2"/>
        <v>Sale</v>
      </c>
      <c r="D2845" s="1" t="s">
        <v>1358</v>
      </c>
      <c r="E2845" s="1" t="str">
        <f>IFERROR(__xludf.DUMMYFUNCTION("IF(LEN(D2845)&gt;4, IFERROR(REGEXEXTRACT(TO_TEXT(D2845),""\d+""),""""),"""")"),"85035")</f>
        <v>85035</v>
      </c>
      <c r="F2845" s="6" t="str">
        <f t="shared" si="3"/>
        <v>Product</v>
      </c>
      <c r="G2845" s="1" t="s">
        <v>1359</v>
      </c>
      <c r="H2845" s="6" t="str">
        <f>IFERROR(__xludf.DUMMYFUNCTION("IF(REGEXMATCH(LOWER(G2845), ""^(\?)+\s*(missing)?\s*(\?)*$""), """", PROPER(SUBSTITUTE(SUBSTITUTE(G2845, ""?"", """"), ""*"", """")))"),"Gardenia 3 Wick Morris Boxed Candle")</f>
        <v>Gardenia 3 Wick Morris Boxed Candle</v>
      </c>
      <c r="I2845" s="3">
        <v>2.0</v>
      </c>
      <c r="J2845" s="7">
        <v>40599.49722222222</v>
      </c>
      <c r="K2845" s="8" t="str">
        <f t="shared" si="4"/>
        <v>2011-02</v>
      </c>
      <c r="L2845" s="5">
        <v>4.25</v>
      </c>
      <c r="M2845" s="3">
        <v>14470.0</v>
      </c>
      <c r="N2845" s="1" t="str">
        <f t="shared" si="5"/>
        <v>Registered</v>
      </c>
      <c r="O2845" s="1" t="s">
        <v>19</v>
      </c>
      <c r="P2845" s="9" t="str">
        <f t="shared" si="6"/>
        <v>UK</v>
      </c>
      <c r="Q2845" s="8">
        <f t="shared" si="7"/>
        <v>8.5</v>
      </c>
    </row>
    <row r="2846">
      <c r="A2846" s="1">
        <v>544998.0</v>
      </c>
      <c r="B2846" s="1" t="str">
        <f t="shared" si="1"/>
        <v>544998</v>
      </c>
      <c r="C2846" s="1" t="str">
        <f t="shared" si="2"/>
        <v>Sale</v>
      </c>
      <c r="D2846" s="1">
        <v>22609.0</v>
      </c>
      <c r="E2846" s="1" t="str">
        <f>IFERROR(__xludf.DUMMYFUNCTION("IF(LEN(D2846)&gt;4, IFERROR(REGEXEXTRACT(TO_TEXT(D2846),""\d+""),""""),"""")"),"22609")</f>
        <v>22609</v>
      </c>
      <c r="F2846" s="6" t="str">
        <f t="shared" si="3"/>
        <v>Product</v>
      </c>
      <c r="G2846" s="1" t="s">
        <v>1093</v>
      </c>
      <c r="H2846" s="6" t="str">
        <f>IFERROR(__xludf.DUMMYFUNCTION("IF(REGEXMATCH(LOWER(G2846), ""^(\?)+\s*(missing)?\s*(\?)*$""), """", PROPER(SUBSTITUTE(SUBSTITUTE(G2846, ""?"", """"), ""*"", """")))"),"Pens Assorted Spaceball")</f>
        <v>Pens Assorted Spaceball</v>
      </c>
      <c r="I2846" s="3">
        <v>36.0</v>
      </c>
      <c r="J2846" s="7">
        <v>40599.49722222222</v>
      </c>
      <c r="K2846" s="8" t="str">
        <f t="shared" si="4"/>
        <v>2011-02</v>
      </c>
      <c r="L2846" s="5">
        <v>0.85</v>
      </c>
      <c r="M2846" s="3">
        <v>14470.0</v>
      </c>
      <c r="N2846" s="1" t="str">
        <f t="shared" si="5"/>
        <v>Registered</v>
      </c>
      <c r="O2846" s="1" t="s">
        <v>19</v>
      </c>
      <c r="P2846" s="9" t="str">
        <f t="shared" si="6"/>
        <v>UK</v>
      </c>
      <c r="Q2846" s="8">
        <f t="shared" si="7"/>
        <v>30.6</v>
      </c>
    </row>
    <row r="2847">
      <c r="A2847" s="1">
        <v>544998.0</v>
      </c>
      <c r="B2847" s="1" t="str">
        <f t="shared" si="1"/>
        <v>544998</v>
      </c>
      <c r="C2847" s="1" t="str">
        <f t="shared" si="2"/>
        <v>Sale</v>
      </c>
      <c r="D2847" s="1">
        <v>22607.0</v>
      </c>
      <c r="E2847" s="1" t="str">
        <f>IFERROR(__xludf.DUMMYFUNCTION("IF(LEN(D2847)&gt;4, IFERROR(REGEXEXTRACT(TO_TEXT(D2847),""\d+""),""""),"""")"),"22607")</f>
        <v>22607</v>
      </c>
      <c r="F2847" s="6" t="str">
        <f t="shared" si="3"/>
        <v>Product</v>
      </c>
      <c r="G2847" s="1" t="s">
        <v>796</v>
      </c>
      <c r="H2847" s="6" t="str">
        <f>IFERROR(__xludf.DUMMYFUNCTION("IF(REGEXMATCH(LOWER(G2847), ""^(\?)+\s*(missing)?\s*(\?)*$""), """", PROPER(SUBSTITUTE(SUBSTITUTE(G2847, ""?"", """"), ""*"", """")))"),"Wooden Rounders Garden Set")</f>
        <v>Wooden Rounders Garden Set</v>
      </c>
      <c r="I2847" s="3">
        <v>1.0</v>
      </c>
      <c r="J2847" s="7">
        <v>40599.49722222222</v>
      </c>
      <c r="K2847" s="8" t="str">
        <f t="shared" si="4"/>
        <v>2011-02</v>
      </c>
      <c r="L2847" s="5">
        <v>9.95</v>
      </c>
      <c r="M2847" s="3">
        <v>14470.0</v>
      </c>
      <c r="N2847" s="1" t="str">
        <f t="shared" si="5"/>
        <v>Registered</v>
      </c>
      <c r="O2847" s="1" t="s">
        <v>19</v>
      </c>
      <c r="P2847" s="9" t="str">
        <f t="shared" si="6"/>
        <v>UK</v>
      </c>
      <c r="Q2847" s="8">
        <f t="shared" si="7"/>
        <v>9.95</v>
      </c>
    </row>
    <row r="2848">
      <c r="A2848" s="1">
        <v>544998.0</v>
      </c>
      <c r="B2848" s="1" t="str">
        <f t="shared" si="1"/>
        <v>544998</v>
      </c>
      <c r="C2848" s="1" t="str">
        <f t="shared" si="2"/>
        <v>Sale</v>
      </c>
      <c r="D2848" s="1" t="s">
        <v>1379</v>
      </c>
      <c r="E2848" s="1" t="str">
        <f>IFERROR(__xludf.DUMMYFUNCTION("IF(LEN(D2848)&gt;4, IFERROR(REGEXEXTRACT(TO_TEXT(D2848),""\d+""),""""),"""")"),"47367")</f>
        <v>47367</v>
      </c>
      <c r="F2848" s="6" t="str">
        <f t="shared" si="3"/>
        <v>Product</v>
      </c>
      <c r="G2848" s="1" t="s">
        <v>1380</v>
      </c>
      <c r="H2848" s="6" t="str">
        <f>IFERROR(__xludf.DUMMYFUNCTION("IF(REGEXMATCH(LOWER(G2848), ""^(\?)+\s*(missing)?\s*(\?)*$""), """", PROPER(SUBSTITUTE(SUBSTITUTE(G2848, ""?"", """"), ""*"", """")))"),"Pair Padded Hangers Pink Check")</f>
        <v>Pair Padded Hangers Pink Check</v>
      </c>
      <c r="I2848" s="3">
        <v>4.0</v>
      </c>
      <c r="J2848" s="7">
        <v>40599.49722222222</v>
      </c>
      <c r="K2848" s="8" t="str">
        <f t="shared" si="4"/>
        <v>2011-02</v>
      </c>
      <c r="L2848" s="5">
        <v>3.75</v>
      </c>
      <c r="M2848" s="3">
        <v>14470.0</v>
      </c>
      <c r="N2848" s="1" t="str">
        <f t="shared" si="5"/>
        <v>Registered</v>
      </c>
      <c r="O2848" s="1" t="s">
        <v>19</v>
      </c>
      <c r="P2848" s="9" t="str">
        <f t="shared" si="6"/>
        <v>UK</v>
      </c>
      <c r="Q2848" s="8">
        <f t="shared" si="7"/>
        <v>15</v>
      </c>
    </row>
    <row r="2849">
      <c r="A2849" s="1">
        <v>544998.0</v>
      </c>
      <c r="B2849" s="1" t="str">
        <f t="shared" si="1"/>
        <v>544998</v>
      </c>
      <c r="C2849" s="1" t="str">
        <f t="shared" si="2"/>
        <v>Sale</v>
      </c>
      <c r="D2849" s="1">
        <v>20750.0</v>
      </c>
      <c r="E2849" s="1" t="str">
        <f>IFERROR(__xludf.DUMMYFUNCTION("IF(LEN(D2849)&gt;4, IFERROR(REGEXEXTRACT(TO_TEXT(D2849),""\d+""),""""),"""")"),"20750")</f>
        <v>20750</v>
      </c>
      <c r="F2849" s="6" t="str">
        <f t="shared" si="3"/>
        <v>Product</v>
      </c>
      <c r="G2849" s="1" t="s">
        <v>464</v>
      </c>
      <c r="H2849" s="6" t="str">
        <f>IFERROR(__xludf.DUMMYFUNCTION("IF(REGEXMATCH(LOWER(G2849), ""^(\?)+\s*(missing)?\s*(\?)*$""), """", PROPER(SUBSTITUTE(SUBSTITUTE(G2849, ""?"", """"), ""*"", """")))"),"Red Retrospot Mini Cases")</f>
        <v>Red Retrospot Mini Cases</v>
      </c>
      <c r="I2849" s="3">
        <v>1.0</v>
      </c>
      <c r="J2849" s="7">
        <v>40599.49722222222</v>
      </c>
      <c r="K2849" s="8" t="str">
        <f t="shared" si="4"/>
        <v>2011-02</v>
      </c>
      <c r="L2849" s="5">
        <v>7.95</v>
      </c>
      <c r="M2849" s="3">
        <v>14470.0</v>
      </c>
      <c r="N2849" s="1" t="str">
        <f t="shared" si="5"/>
        <v>Registered</v>
      </c>
      <c r="O2849" s="1" t="s">
        <v>19</v>
      </c>
      <c r="P2849" s="9" t="str">
        <f t="shared" si="6"/>
        <v>UK</v>
      </c>
      <c r="Q2849" s="8">
        <f t="shared" si="7"/>
        <v>7.95</v>
      </c>
    </row>
    <row r="2850">
      <c r="A2850" s="1">
        <v>544998.0</v>
      </c>
      <c r="B2850" s="1" t="str">
        <f t="shared" si="1"/>
        <v>544998</v>
      </c>
      <c r="C2850" s="1" t="str">
        <f t="shared" si="2"/>
        <v>Sale</v>
      </c>
      <c r="D2850" s="1">
        <v>22622.0</v>
      </c>
      <c r="E2850" s="1" t="str">
        <f>IFERROR(__xludf.DUMMYFUNCTION("IF(LEN(D2850)&gt;4, IFERROR(REGEXEXTRACT(TO_TEXT(D2850),""\d+""),""""),"""")"),"22622")</f>
        <v>22622</v>
      </c>
      <c r="F2850" s="6" t="str">
        <f t="shared" si="3"/>
        <v>Product</v>
      </c>
      <c r="G2850" s="1" t="s">
        <v>38</v>
      </c>
      <c r="H2850" s="6" t="str">
        <f>IFERROR(__xludf.DUMMYFUNCTION("IF(REGEXMATCH(LOWER(G2850), ""^(\?)+\s*(missing)?\s*(\?)*$""), """", PROPER(SUBSTITUTE(SUBSTITUTE(G2850, ""?"", """"), ""*"", """")))"),"Box Of Vintage Alphabet Blocks")</f>
        <v>Box Of Vintage Alphabet Blocks</v>
      </c>
      <c r="I2850" s="3">
        <v>1.0</v>
      </c>
      <c r="J2850" s="7">
        <v>40599.49722222222</v>
      </c>
      <c r="K2850" s="8" t="str">
        <f t="shared" si="4"/>
        <v>2011-02</v>
      </c>
      <c r="L2850" s="5">
        <v>9.95</v>
      </c>
      <c r="M2850" s="3">
        <v>14470.0</v>
      </c>
      <c r="N2850" s="1" t="str">
        <f t="shared" si="5"/>
        <v>Registered</v>
      </c>
      <c r="O2850" s="1" t="s">
        <v>19</v>
      </c>
      <c r="P2850" s="9" t="str">
        <f t="shared" si="6"/>
        <v>UK</v>
      </c>
      <c r="Q2850" s="8">
        <f t="shared" si="7"/>
        <v>9.95</v>
      </c>
    </row>
    <row r="2851">
      <c r="A2851" s="1">
        <v>544998.0</v>
      </c>
      <c r="B2851" s="1" t="str">
        <f t="shared" si="1"/>
        <v>544998</v>
      </c>
      <c r="C2851" s="1" t="str">
        <f t="shared" si="2"/>
        <v>Sale</v>
      </c>
      <c r="D2851" s="1">
        <v>22386.0</v>
      </c>
      <c r="E2851" s="1" t="str">
        <f>IFERROR(__xludf.DUMMYFUNCTION("IF(LEN(D2851)&gt;4, IFERROR(REGEXEXTRACT(TO_TEXT(D2851),""\d+""),""""),"""")"),"22386")</f>
        <v>22386</v>
      </c>
      <c r="F2851" s="6" t="str">
        <f t="shared" si="3"/>
        <v>Product</v>
      </c>
      <c r="G2851" s="1" t="s">
        <v>84</v>
      </c>
      <c r="H2851" s="6" t="str">
        <f>IFERROR(__xludf.DUMMYFUNCTION("IF(REGEXMATCH(LOWER(G2851), ""^(\?)+\s*(missing)?\s*(\?)*$""), """", PROPER(SUBSTITUTE(SUBSTITUTE(G2851, ""?"", """"), ""*"", """")))"),"Jumbo Bag Pink Polkadot")</f>
        <v>Jumbo Bag Pink Polkadot</v>
      </c>
      <c r="I2851" s="3">
        <v>3.0</v>
      </c>
      <c r="J2851" s="7">
        <v>40599.49722222222</v>
      </c>
      <c r="K2851" s="8" t="str">
        <f t="shared" si="4"/>
        <v>2011-02</v>
      </c>
      <c r="L2851" s="5">
        <v>1.95</v>
      </c>
      <c r="M2851" s="3">
        <v>14470.0</v>
      </c>
      <c r="N2851" s="1" t="str">
        <f t="shared" si="5"/>
        <v>Registered</v>
      </c>
      <c r="O2851" s="1" t="s">
        <v>19</v>
      </c>
      <c r="P2851" s="9" t="str">
        <f t="shared" si="6"/>
        <v>UK</v>
      </c>
      <c r="Q2851" s="8">
        <f t="shared" si="7"/>
        <v>5.85</v>
      </c>
    </row>
    <row r="2852">
      <c r="A2852" s="1">
        <v>544998.0</v>
      </c>
      <c r="B2852" s="1" t="str">
        <f t="shared" si="1"/>
        <v>544998</v>
      </c>
      <c r="C2852" s="1" t="str">
        <f t="shared" si="2"/>
        <v>Sale</v>
      </c>
      <c r="D2852" s="1">
        <v>22411.0</v>
      </c>
      <c r="E2852" s="1" t="str">
        <f>IFERROR(__xludf.DUMMYFUNCTION("IF(LEN(D2852)&gt;4, IFERROR(REGEXEXTRACT(TO_TEXT(D2852),""\d+""),""""),"""")"),"22411")</f>
        <v>22411</v>
      </c>
      <c r="F2852" s="6" t="str">
        <f t="shared" si="3"/>
        <v>Product</v>
      </c>
      <c r="G2852" s="1" t="s">
        <v>112</v>
      </c>
      <c r="H2852" s="6" t="str">
        <f>IFERROR(__xludf.DUMMYFUNCTION("IF(REGEXMATCH(LOWER(G2852), ""^(\?)+\s*(missing)?\s*(\?)*$""), """", PROPER(SUBSTITUTE(SUBSTITUTE(G2852, ""?"", """"), ""*"", """")))"),"Jumbo Shopper Vintage Red Paisley")</f>
        <v>Jumbo Shopper Vintage Red Paisley</v>
      </c>
      <c r="I2852" s="3">
        <v>5.0</v>
      </c>
      <c r="J2852" s="7">
        <v>40599.49722222222</v>
      </c>
      <c r="K2852" s="8" t="str">
        <f t="shared" si="4"/>
        <v>2011-02</v>
      </c>
      <c r="L2852" s="5">
        <v>1.95</v>
      </c>
      <c r="M2852" s="3">
        <v>14470.0</v>
      </c>
      <c r="N2852" s="1" t="str">
        <f t="shared" si="5"/>
        <v>Registered</v>
      </c>
      <c r="O2852" s="1" t="s">
        <v>19</v>
      </c>
      <c r="P2852" s="9" t="str">
        <f t="shared" si="6"/>
        <v>UK</v>
      </c>
      <c r="Q2852" s="8">
        <f t="shared" si="7"/>
        <v>9.75</v>
      </c>
    </row>
    <row r="2853">
      <c r="A2853" s="1">
        <v>544998.0</v>
      </c>
      <c r="B2853" s="1" t="str">
        <f t="shared" si="1"/>
        <v>544998</v>
      </c>
      <c r="C2853" s="1" t="str">
        <f t="shared" si="2"/>
        <v>Sale</v>
      </c>
      <c r="D2853" s="1">
        <v>21034.0</v>
      </c>
      <c r="E2853" s="1" t="str">
        <f>IFERROR(__xludf.DUMMYFUNCTION("IF(LEN(D2853)&gt;4, IFERROR(REGEXEXTRACT(TO_TEXT(D2853),""\d+""),""""),"""")"),"21034")</f>
        <v>21034</v>
      </c>
      <c r="F2853" s="6" t="str">
        <f t="shared" si="3"/>
        <v>Product</v>
      </c>
      <c r="G2853" s="1" t="s">
        <v>452</v>
      </c>
      <c r="H2853" s="6" t="str">
        <f>IFERROR(__xludf.DUMMYFUNCTION("IF(REGEXMATCH(LOWER(G2853), ""^(\?)+\s*(missing)?\s*(\?)*$""), """", PROPER(SUBSTITUTE(SUBSTITUTE(G2853, ""?"", """"), ""*"", """")))"),"Rex Cash+Carry Jumbo Shopper")</f>
        <v>Rex Cash+Carry Jumbo Shopper</v>
      </c>
      <c r="I2853" s="3">
        <v>3.0</v>
      </c>
      <c r="J2853" s="7">
        <v>40599.49722222222</v>
      </c>
      <c r="K2853" s="8" t="str">
        <f t="shared" si="4"/>
        <v>2011-02</v>
      </c>
      <c r="L2853" s="5">
        <v>0.95</v>
      </c>
      <c r="M2853" s="3">
        <v>14470.0</v>
      </c>
      <c r="N2853" s="1" t="str">
        <f t="shared" si="5"/>
        <v>Registered</v>
      </c>
      <c r="O2853" s="1" t="s">
        <v>19</v>
      </c>
      <c r="P2853" s="9" t="str">
        <f t="shared" si="6"/>
        <v>UK</v>
      </c>
      <c r="Q2853" s="8">
        <f t="shared" si="7"/>
        <v>2.85</v>
      </c>
    </row>
    <row r="2854">
      <c r="A2854" s="1">
        <v>544999.0</v>
      </c>
      <c r="B2854" s="1" t="str">
        <f t="shared" si="1"/>
        <v>544999</v>
      </c>
      <c r="C2854" s="1" t="str">
        <f t="shared" si="2"/>
        <v>Sale</v>
      </c>
      <c r="D2854" s="1">
        <v>84947.0</v>
      </c>
      <c r="E2854" s="1" t="str">
        <f>IFERROR(__xludf.DUMMYFUNCTION("IF(LEN(D2854)&gt;4, IFERROR(REGEXEXTRACT(TO_TEXT(D2854),""\d+""),""""),"""")"),"84947")</f>
        <v>84947</v>
      </c>
      <c r="F2854" s="6" t="str">
        <f t="shared" si="3"/>
        <v>Product</v>
      </c>
      <c r="G2854" s="1" t="s">
        <v>646</v>
      </c>
      <c r="H2854" s="6" t="str">
        <f>IFERROR(__xludf.DUMMYFUNCTION("IF(REGEXMATCH(LOWER(G2854), ""^(\?)+\s*(missing)?\s*(\?)*$""), """", PROPER(SUBSTITUTE(SUBSTITUTE(G2854, ""?"", """"), ""*"", """")))"),"Antique Silver Tea Glass Engraved")</f>
        <v>Antique Silver Tea Glass Engraved</v>
      </c>
      <c r="I2854" s="3">
        <v>360.0</v>
      </c>
      <c r="J2854" s="7">
        <v>40599.51944444444</v>
      </c>
      <c r="K2854" s="8" t="str">
        <f t="shared" si="4"/>
        <v>2011-02</v>
      </c>
      <c r="L2854" s="5">
        <v>1.06</v>
      </c>
      <c r="M2854" s="3">
        <v>17388.0</v>
      </c>
      <c r="N2854" s="1" t="str">
        <f t="shared" si="5"/>
        <v>Registered</v>
      </c>
      <c r="O2854" s="1" t="s">
        <v>19</v>
      </c>
      <c r="P2854" s="9" t="str">
        <f t="shared" si="6"/>
        <v>UK</v>
      </c>
      <c r="Q2854" s="8">
        <f t="shared" si="7"/>
        <v>381.6</v>
      </c>
    </row>
    <row r="2855">
      <c r="A2855" s="1">
        <v>545000.0</v>
      </c>
      <c r="B2855" s="1" t="str">
        <f t="shared" si="1"/>
        <v>545000</v>
      </c>
      <c r="C2855" s="1" t="str">
        <f t="shared" si="2"/>
        <v>Sale</v>
      </c>
      <c r="D2855" s="1">
        <v>20914.0</v>
      </c>
      <c r="E2855" s="1" t="str">
        <f>IFERROR(__xludf.DUMMYFUNCTION("IF(LEN(D2855)&gt;4, IFERROR(REGEXEXTRACT(TO_TEXT(D2855),""\d+""),""""),"""")"),"20914")</f>
        <v>20914</v>
      </c>
      <c r="F2855" s="6" t="str">
        <f t="shared" si="3"/>
        <v>Product</v>
      </c>
      <c r="G2855" s="1" t="s">
        <v>359</v>
      </c>
      <c r="H2855" s="6" t="str">
        <f>IFERROR(__xludf.DUMMYFUNCTION("IF(REGEXMATCH(LOWER(G2855), ""^(\?)+\s*(missing)?\s*(\?)*$""), """", PROPER(SUBSTITUTE(SUBSTITUTE(G2855, ""?"", """"), ""*"", """")))"),"Set/5 Red Retrospot Lid Glass Bowls")</f>
        <v>Set/5 Red Retrospot Lid Glass Bowls</v>
      </c>
      <c r="I2855" s="3">
        <v>6.0</v>
      </c>
      <c r="J2855" s="7">
        <v>40599.52569444444</v>
      </c>
      <c r="K2855" s="8" t="str">
        <f t="shared" si="4"/>
        <v>2011-02</v>
      </c>
      <c r="L2855" s="5">
        <v>2.95</v>
      </c>
      <c r="M2855" s="3">
        <v>15281.0</v>
      </c>
      <c r="N2855" s="1" t="str">
        <f t="shared" si="5"/>
        <v>Registered</v>
      </c>
      <c r="O2855" s="1" t="s">
        <v>19</v>
      </c>
      <c r="P2855" s="9" t="str">
        <f t="shared" si="6"/>
        <v>UK</v>
      </c>
      <c r="Q2855" s="8">
        <f t="shared" si="7"/>
        <v>17.7</v>
      </c>
    </row>
    <row r="2856">
      <c r="A2856" s="1">
        <v>545000.0</v>
      </c>
      <c r="B2856" s="1" t="str">
        <f t="shared" si="1"/>
        <v>545000</v>
      </c>
      <c r="C2856" s="1" t="str">
        <f t="shared" si="2"/>
        <v>Sale</v>
      </c>
      <c r="D2856" s="1">
        <v>21527.0</v>
      </c>
      <c r="E2856" s="1" t="str">
        <f>IFERROR(__xludf.DUMMYFUNCTION("IF(LEN(D2856)&gt;4, IFERROR(REGEXEXTRACT(TO_TEXT(D2856),""\d+""),""""),"""")"),"21527")</f>
        <v>21527</v>
      </c>
      <c r="F2856" s="6" t="str">
        <f t="shared" si="3"/>
        <v>Product</v>
      </c>
      <c r="G2856" s="1" t="s">
        <v>949</v>
      </c>
      <c r="H2856" s="6" t="str">
        <f>IFERROR(__xludf.DUMMYFUNCTION("IF(REGEXMATCH(LOWER(G2856), ""^(\?)+\s*(missing)?\s*(\?)*$""), """", PROPER(SUBSTITUTE(SUBSTITUTE(G2856, ""?"", """"), ""*"", """")))"),"Red Retrospot Traditional Teapot")</f>
        <v>Red Retrospot Traditional Teapot</v>
      </c>
      <c r="I2856" s="3">
        <v>4.0</v>
      </c>
      <c r="J2856" s="7">
        <v>40599.52569444444</v>
      </c>
      <c r="K2856" s="8" t="str">
        <f t="shared" si="4"/>
        <v>2011-02</v>
      </c>
      <c r="L2856" s="5">
        <v>7.95</v>
      </c>
      <c r="M2856" s="3">
        <v>15281.0</v>
      </c>
      <c r="N2856" s="1" t="str">
        <f t="shared" si="5"/>
        <v>Registered</v>
      </c>
      <c r="O2856" s="1" t="s">
        <v>19</v>
      </c>
      <c r="P2856" s="9" t="str">
        <f t="shared" si="6"/>
        <v>UK</v>
      </c>
      <c r="Q2856" s="8">
        <f t="shared" si="7"/>
        <v>31.8</v>
      </c>
    </row>
    <row r="2857">
      <c r="A2857" s="1">
        <v>545000.0</v>
      </c>
      <c r="B2857" s="1" t="str">
        <f t="shared" si="1"/>
        <v>545000</v>
      </c>
      <c r="C2857" s="1" t="str">
        <f t="shared" si="2"/>
        <v>Sale</v>
      </c>
      <c r="D2857" s="1">
        <v>21531.0</v>
      </c>
      <c r="E2857" s="1" t="str">
        <f>IFERROR(__xludf.DUMMYFUNCTION("IF(LEN(D2857)&gt;4, IFERROR(REGEXEXTRACT(TO_TEXT(D2857),""\d+""),""""),"""")"),"21531")</f>
        <v>21531</v>
      </c>
      <c r="F2857" s="6" t="str">
        <f t="shared" si="3"/>
        <v>Product</v>
      </c>
      <c r="G2857" s="1" t="s">
        <v>950</v>
      </c>
      <c r="H2857" s="6" t="str">
        <f>IFERROR(__xludf.DUMMYFUNCTION("IF(REGEXMATCH(LOWER(G2857), ""^(\?)+\s*(missing)?\s*(\?)*$""), """", PROPER(SUBSTITUTE(SUBSTITUTE(G2857, ""?"", """"), ""*"", """")))"),"Red Retrospot Sugar Jam Bowl")</f>
        <v>Red Retrospot Sugar Jam Bowl</v>
      </c>
      <c r="I2857" s="3">
        <v>6.0</v>
      </c>
      <c r="J2857" s="7">
        <v>40599.52569444444</v>
      </c>
      <c r="K2857" s="8" t="str">
        <f t="shared" si="4"/>
        <v>2011-02</v>
      </c>
      <c r="L2857" s="5">
        <v>2.55</v>
      </c>
      <c r="M2857" s="3">
        <v>15281.0</v>
      </c>
      <c r="N2857" s="1" t="str">
        <f t="shared" si="5"/>
        <v>Registered</v>
      </c>
      <c r="O2857" s="1" t="s">
        <v>19</v>
      </c>
      <c r="P2857" s="9" t="str">
        <f t="shared" si="6"/>
        <v>UK</v>
      </c>
      <c r="Q2857" s="8">
        <f t="shared" si="7"/>
        <v>15.3</v>
      </c>
    </row>
    <row r="2858">
      <c r="A2858" s="1">
        <v>545000.0</v>
      </c>
      <c r="B2858" s="1" t="str">
        <f t="shared" si="1"/>
        <v>545000</v>
      </c>
      <c r="C2858" s="1" t="str">
        <f t="shared" si="2"/>
        <v>Sale</v>
      </c>
      <c r="D2858" s="1">
        <v>21533.0</v>
      </c>
      <c r="E2858" s="1" t="str">
        <f>IFERROR(__xludf.DUMMYFUNCTION("IF(LEN(D2858)&gt;4, IFERROR(REGEXEXTRACT(TO_TEXT(D2858),""\d+""),""""),"""")"),"21533")</f>
        <v>21533</v>
      </c>
      <c r="F2858" s="6" t="str">
        <f t="shared" si="3"/>
        <v>Product</v>
      </c>
      <c r="G2858" s="1" t="s">
        <v>135</v>
      </c>
      <c r="H2858" s="6" t="str">
        <f>IFERROR(__xludf.DUMMYFUNCTION("IF(REGEXMATCH(LOWER(G2858), ""^(\?)+\s*(missing)?\s*(\?)*$""), """", PROPER(SUBSTITUTE(SUBSTITUTE(G2858, ""?"", """"), ""*"", """")))"),"Retrospot Large Milk Jug")</f>
        <v>Retrospot Large Milk Jug</v>
      </c>
      <c r="I2858" s="3">
        <v>3.0</v>
      </c>
      <c r="J2858" s="7">
        <v>40599.52569444444</v>
      </c>
      <c r="K2858" s="8" t="str">
        <f t="shared" si="4"/>
        <v>2011-02</v>
      </c>
      <c r="L2858" s="5">
        <v>4.95</v>
      </c>
      <c r="M2858" s="3">
        <v>15281.0</v>
      </c>
      <c r="N2858" s="1" t="str">
        <f t="shared" si="5"/>
        <v>Registered</v>
      </c>
      <c r="O2858" s="1" t="s">
        <v>19</v>
      </c>
      <c r="P2858" s="9" t="str">
        <f t="shared" si="6"/>
        <v>UK</v>
      </c>
      <c r="Q2858" s="8">
        <f t="shared" si="7"/>
        <v>14.85</v>
      </c>
    </row>
    <row r="2859">
      <c r="A2859" s="1">
        <v>545000.0</v>
      </c>
      <c r="B2859" s="1" t="str">
        <f t="shared" si="1"/>
        <v>545000</v>
      </c>
      <c r="C2859" s="1" t="str">
        <f t="shared" si="2"/>
        <v>Sale</v>
      </c>
      <c r="D2859" s="1">
        <v>21539.0</v>
      </c>
      <c r="E2859" s="1" t="str">
        <f>IFERROR(__xludf.DUMMYFUNCTION("IF(LEN(D2859)&gt;4, IFERROR(REGEXEXTRACT(TO_TEXT(D2859),""\d+""),""""),"""")"),"21539")</f>
        <v>21539</v>
      </c>
      <c r="F2859" s="6" t="str">
        <f t="shared" si="3"/>
        <v>Product</v>
      </c>
      <c r="G2859" s="1" t="s">
        <v>1007</v>
      </c>
      <c r="H2859" s="6" t="str">
        <f>IFERROR(__xludf.DUMMYFUNCTION("IF(REGEXMATCH(LOWER(G2859), ""^(\?)+\s*(missing)?\s*(\?)*$""), """", PROPER(SUBSTITUTE(SUBSTITUTE(G2859, ""?"", """"), ""*"", """")))"),"Red Retrospot Butter Dish")</f>
        <v>Red Retrospot Butter Dish</v>
      </c>
      <c r="I2859" s="3">
        <v>6.0</v>
      </c>
      <c r="J2859" s="7">
        <v>40599.52569444444</v>
      </c>
      <c r="K2859" s="8" t="str">
        <f t="shared" si="4"/>
        <v>2011-02</v>
      </c>
      <c r="L2859" s="5">
        <v>4.95</v>
      </c>
      <c r="M2859" s="3">
        <v>15281.0</v>
      </c>
      <c r="N2859" s="1" t="str">
        <f t="shared" si="5"/>
        <v>Registered</v>
      </c>
      <c r="O2859" s="1" t="s">
        <v>19</v>
      </c>
      <c r="P2859" s="9" t="str">
        <f t="shared" si="6"/>
        <v>UK</v>
      </c>
      <c r="Q2859" s="8">
        <f t="shared" si="7"/>
        <v>29.7</v>
      </c>
    </row>
    <row r="2860">
      <c r="A2860" s="1">
        <v>545000.0</v>
      </c>
      <c r="B2860" s="1" t="str">
        <f t="shared" si="1"/>
        <v>545000</v>
      </c>
      <c r="C2860" s="1" t="str">
        <f t="shared" si="2"/>
        <v>Sale</v>
      </c>
      <c r="D2860" s="1">
        <v>22720.0</v>
      </c>
      <c r="E2860" s="1" t="str">
        <f>IFERROR(__xludf.DUMMYFUNCTION("IF(LEN(D2860)&gt;4, IFERROR(REGEXEXTRACT(TO_TEXT(D2860),""\d+""),""""),"""")"),"22720")</f>
        <v>22720</v>
      </c>
      <c r="F2860" s="6" t="str">
        <f t="shared" si="3"/>
        <v>Product</v>
      </c>
      <c r="G2860" s="1" t="s">
        <v>685</v>
      </c>
      <c r="H2860" s="6" t="str">
        <f>IFERROR(__xludf.DUMMYFUNCTION("IF(REGEXMATCH(LOWER(G2860), ""^(\?)+\s*(missing)?\s*(\?)*$""), """", PROPER(SUBSTITUTE(SUBSTITUTE(G2860, ""?"", """"), ""*"", """")))"),"Set Of 3 Cake Tins Pantry Design")</f>
        <v>Set Of 3 Cake Tins Pantry Design</v>
      </c>
      <c r="I2860" s="3">
        <v>6.0</v>
      </c>
      <c r="J2860" s="7">
        <v>40599.52569444444</v>
      </c>
      <c r="K2860" s="8" t="str">
        <f t="shared" si="4"/>
        <v>2011-02</v>
      </c>
      <c r="L2860" s="5">
        <v>4.95</v>
      </c>
      <c r="M2860" s="3">
        <v>15281.0</v>
      </c>
      <c r="N2860" s="1" t="str">
        <f t="shared" si="5"/>
        <v>Registered</v>
      </c>
      <c r="O2860" s="1" t="s">
        <v>19</v>
      </c>
      <c r="P2860" s="9" t="str">
        <f t="shared" si="6"/>
        <v>UK</v>
      </c>
      <c r="Q2860" s="8">
        <f t="shared" si="7"/>
        <v>29.7</v>
      </c>
    </row>
    <row r="2861">
      <c r="A2861" s="1">
        <v>545000.0</v>
      </c>
      <c r="B2861" s="1" t="str">
        <f t="shared" si="1"/>
        <v>545000</v>
      </c>
      <c r="C2861" s="1" t="str">
        <f t="shared" si="2"/>
        <v>Sale</v>
      </c>
      <c r="D2861" s="1">
        <v>22457.0</v>
      </c>
      <c r="E2861" s="1" t="str">
        <f>IFERROR(__xludf.DUMMYFUNCTION("IF(LEN(D2861)&gt;4, IFERROR(REGEXEXTRACT(TO_TEXT(D2861),""\d+""),""""),"""")"),"22457")</f>
        <v>22457</v>
      </c>
      <c r="F2861" s="6" t="str">
        <f t="shared" si="3"/>
        <v>Product</v>
      </c>
      <c r="G2861" s="1" t="s">
        <v>166</v>
      </c>
      <c r="H2861" s="6" t="str">
        <f>IFERROR(__xludf.DUMMYFUNCTION("IF(REGEXMATCH(LOWER(G2861), ""^(\?)+\s*(missing)?\s*(\?)*$""), """", PROPER(SUBSTITUTE(SUBSTITUTE(G2861, ""?"", """"), ""*"", """")))"),"Natural Slate Heart Chalkboard")</f>
        <v>Natural Slate Heart Chalkboard</v>
      </c>
      <c r="I2861" s="3">
        <v>6.0</v>
      </c>
      <c r="J2861" s="7">
        <v>40599.52569444444</v>
      </c>
      <c r="K2861" s="8" t="str">
        <f t="shared" si="4"/>
        <v>2011-02</v>
      </c>
      <c r="L2861" s="5">
        <v>2.95</v>
      </c>
      <c r="M2861" s="3">
        <v>15281.0</v>
      </c>
      <c r="N2861" s="1" t="str">
        <f t="shared" si="5"/>
        <v>Registered</v>
      </c>
      <c r="O2861" s="1" t="s">
        <v>19</v>
      </c>
      <c r="P2861" s="9" t="str">
        <f t="shared" si="6"/>
        <v>UK</v>
      </c>
      <c r="Q2861" s="8">
        <f t="shared" si="7"/>
        <v>17.7</v>
      </c>
    </row>
    <row r="2862">
      <c r="A2862" s="1">
        <v>545000.0</v>
      </c>
      <c r="B2862" s="1" t="str">
        <f t="shared" si="1"/>
        <v>545000</v>
      </c>
      <c r="C2862" s="1" t="str">
        <f t="shared" si="2"/>
        <v>Sale</v>
      </c>
      <c r="D2862" s="1">
        <v>22469.0</v>
      </c>
      <c r="E2862" s="1" t="str">
        <f>IFERROR(__xludf.DUMMYFUNCTION("IF(LEN(D2862)&gt;4, IFERROR(REGEXEXTRACT(TO_TEXT(D2862),""\d+""),""""),"""")"),"22469")</f>
        <v>22469</v>
      </c>
      <c r="F2862" s="6" t="str">
        <f t="shared" si="3"/>
        <v>Product</v>
      </c>
      <c r="G2862" s="1" t="s">
        <v>167</v>
      </c>
      <c r="H2862" s="6" t="str">
        <f>IFERROR(__xludf.DUMMYFUNCTION("IF(REGEXMATCH(LOWER(G2862), ""^(\?)+\s*(missing)?\s*(\?)*$""), """", PROPER(SUBSTITUTE(SUBSTITUTE(G2862, ""?"", """"), ""*"", """")))"),"Heart Of Wicker Small")</f>
        <v>Heart Of Wicker Small</v>
      </c>
      <c r="I2862" s="3">
        <v>12.0</v>
      </c>
      <c r="J2862" s="7">
        <v>40599.52569444444</v>
      </c>
      <c r="K2862" s="8" t="str">
        <f t="shared" si="4"/>
        <v>2011-02</v>
      </c>
      <c r="L2862" s="5">
        <v>1.65</v>
      </c>
      <c r="M2862" s="3">
        <v>15281.0</v>
      </c>
      <c r="N2862" s="1" t="str">
        <f t="shared" si="5"/>
        <v>Registered</v>
      </c>
      <c r="O2862" s="1" t="s">
        <v>19</v>
      </c>
      <c r="P2862" s="9" t="str">
        <f t="shared" si="6"/>
        <v>UK</v>
      </c>
      <c r="Q2862" s="8">
        <f t="shared" si="7"/>
        <v>19.8</v>
      </c>
    </row>
    <row r="2863">
      <c r="A2863" s="1">
        <v>545000.0</v>
      </c>
      <c r="B2863" s="1" t="str">
        <f t="shared" si="1"/>
        <v>545000</v>
      </c>
      <c r="C2863" s="1" t="str">
        <f t="shared" si="2"/>
        <v>Sale</v>
      </c>
      <c r="D2863" s="1">
        <v>22178.0</v>
      </c>
      <c r="E2863" s="1" t="str">
        <f>IFERROR(__xludf.DUMMYFUNCTION("IF(LEN(D2863)&gt;4, IFERROR(REGEXEXTRACT(TO_TEXT(D2863),""\d+""),""""),"""")"),"22178")</f>
        <v>22178</v>
      </c>
      <c r="F2863" s="6" t="str">
        <f t="shared" si="3"/>
        <v>Product</v>
      </c>
      <c r="G2863" s="1" t="s">
        <v>369</v>
      </c>
      <c r="H2863" s="6" t="str">
        <f>IFERROR(__xludf.DUMMYFUNCTION("IF(REGEXMATCH(LOWER(G2863), ""^(\?)+\s*(missing)?\s*(\?)*$""), """", PROPER(SUBSTITUTE(SUBSTITUTE(G2863, ""?"", """"), ""*"", """")))"),"Victorian Glass Hanging T-Light")</f>
        <v>Victorian Glass Hanging T-Light</v>
      </c>
      <c r="I2863" s="3">
        <v>12.0</v>
      </c>
      <c r="J2863" s="7">
        <v>40599.52569444444</v>
      </c>
      <c r="K2863" s="8" t="str">
        <f t="shared" si="4"/>
        <v>2011-02</v>
      </c>
      <c r="L2863" s="5">
        <v>1.25</v>
      </c>
      <c r="M2863" s="3">
        <v>15281.0</v>
      </c>
      <c r="N2863" s="1" t="str">
        <f t="shared" si="5"/>
        <v>Registered</v>
      </c>
      <c r="O2863" s="1" t="s">
        <v>19</v>
      </c>
      <c r="P2863" s="9" t="str">
        <f t="shared" si="6"/>
        <v>UK</v>
      </c>
      <c r="Q2863" s="8">
        <f t="shared" si="7"/>
        <v>15</v>
      </c>
    </row>
    <row r="2864">
      <c r="A2864" s="1">
        <v>545000.0</v>
      </c>
      <c r="B2864" s="1" t="str">
        <f t="shared" si="1"/>
        <v>545000</v>
      </c>
      <c r="C2864" s="1" t="str">
        <f t="shared" si="2"/>
        <v>Sale</v>
      </c>
      <c r="D2864" s="1">
        <v>22666.0</v>
      </c>
      <c r="E2864" s="1" t="str">
        <f>IFERROR(__xludf.DUMMYFUNCTION("IF(LEN(D2864)&gt;4, IFERROR(REGEXEXTRACT(TO_TEXT(D2864),""\d+""),""""),"""")"),"22666")</f>
        <v>22666</v>
      </c>
      <c r="F2864" s="6" t="str">
        <f t="shared" si="3"/>
        <v>Product</v>
      </c>
      <c r="G2864" s="1" t="s">
        <v>781</v>
      </c>
      <c r="H2864" s="6" t="str">
        <f>IFERROR(__xludf.DUMMYFUNCTION("IF(REGEXMATCH(LOWER(G2864), ""^(\?)+\s*(missing)?\s*(\?)*$""), """", PROPER(SUBSTITUTE(SUBSTITUTE(G2864, ""?"", """"), ""*"", """")))"),"Recipe Box Pantry Yellow Design")</f>
        <v>Recipe Box Pantry Yellow Design</v>
      </c>
      <c r="I2864" s="3">
        <v>6.0</v>
      </c>
      <c r="J2864" s="7">
        <v>40599.52569444444</v>
      </c>
      <c r="K2864" s="8" t="str">
        <f t="shared" si="4"/>
        <v>2011-02</v>
      </c>
      <c r="L2864" s="5">
        <v>2.95</v>
      </c>
      <c r="M2864" s="3">
        <v>15281.0</v>
      </c>
      <c r="N2864" s="1" t="str">
        <f t="shared" si="5"/>
        <v>Registered</v>
      </c>
      <c r="O2864" s="1" t="s">
        <v>19</v>
      </c>
      <c r="P2864" s="9" t="str">
        <f t="shared" si="6"/>
        <v>UK</v>
      </c>
      <c r="Q2864" s="8">
        <f t="shared" si="7"/>
        <v>17.7</v>
      </c>
    </row>
    <row r="2865">
      <c r="A2865" s="1">
        <v>545000.0</v>
      </c>
      <c r="B2865" s="1" t="str">
        <f t="shared" si="1"/>
        <v>545000</v>
      </c>
      <c r="C2865" s="1" t="str">
        <f t="shared" si="2"/>
        <v>Sale</v>
      </c>
      <c r="D2865" s="1" t="s">
        <v>907</v>
      </c>
      <c r="E2865" s="1" t="str">
        <f>IFERROR(__xludf.DUMMYFUNCTION("IF(LEN(D2865)&gt;4, IFERROR(REGEXEXTRACT(TO_TEXT(D2865),""\d+""),""""),"""")"),"85206")</f>
        <v>85206</v>
      </c>
      <c r="F2865" s="6" t="str">
        <f t="shared" si="3"/>
        <v>Product</v>
      </c>
      <c r="G2865" s="1" t="s">
        <v>908</v>
      </c>
      <c r="H2865" s="6" t="str">
        <f>IFERROR(__xludf.DUMMYFUNCTION("IF(REGEXMATCH(LOWER(G2865), ""^(\?)+\s*(missing)?\s*(\?)*$""), """", PROPER(SUBSTITUTE(SUBSTITUTE(G2865, ""?"", """"), ""*"", """")))"),"Cream Felt Easter Egg Basket")</f>
        <v>Cream Felt Easter Egg Basket</v>
      </c>
      <c r="I2865" s="3">
        <v>6.0</v>
      </c>
      <c r="J2865" s="7">
        <v>40599.52569444444</v>
      </c>
      <c r="K2865" s="8" t="str">
        <f t="shared" si="4"/>
        <v>2011-02</v>
      </c>
      <c r="L2865" s="5">
        <v>1.65</v>
      </c>
      <c r="M2865" s="3">
        <v>15281.0</v>
      </c>
      <c r="N2865" s="1" t="str">
        <f t="shared" si="5"/>
        <v>Registered</v>
      </c>
      <c r="O2865" s="1" t="s">
        <v>19</v>
      </c>
      <c r="P2865" s="9" t="str">
        <f t="shared" si="6"/>
        <v>UK</v>
      </c>
      <c r="Q2865" s="8">
        <f t="shared" si="7"/>
        <v>9.9</v>
      </c>
    </row>
    <row r="2866">
      <c r="A2866" s="1">
        <v>545000.0</v>
      </c>
      <c r="B2866" s="1" t="str">
        <f t="shared" si="1"/>
        <v>545000</v>
      </c>
      <c r="C2866" s="1" t="str">
        <f t="shared" si="2"/>
        <v>Sale</v>
      </c>
      <c r="D2866" s="1">
        <v>22280.0</v>
      </c>
      <c r="E2866" s="1" t="str">
        <f>IFERROR(__xludf.DUMMYFUNCTION("IF(LEN(D2866)&gt;4, IFERROR(REGEXEXTRACT(TO_TEXT(D2866),""\d+""),""""),"""")"),"22280")</f>
        <v>22280</v>
      </c>
      <c r="F2866" s="6" t="str">
        <f t="shared" si="3"/>
        <v>Product</v>
      </c>
      <c r="G2866" s="1" t="s">
        <v>1381</v>
      </c>
      <c r="H2866" s="6" t="str">
        <f>IFERROR(__xludf.DUMMYFUNCTION("IF(REGEXMATCH(LOWER(G2866), ""^(\?)+\s*(missing)?\s*(\?)*$""), """", PROPER(SUBSTITUTE(SUBSTITUTE(G2866, ""?"", """"), ""*"", """")))"),"Pocket Bag Pink Paisely Brown Spot")</f>
        <v>Pocket Bag Pink Paisely Brown Spot</v>
      </c>
      <c r="I2866" s="3">
        <v>12.0</v>
      </c>
      <c r="J2866" s="7">
        <v>40599.52569444444</v>
      </c>
      <c r="K2866" s="8" t="str">
        <f t="shared" si="4"/>
        <v>2011-02</v>
      </c>
      <c r="L2866" s="5">
        <v>1.25</v>
      </c>
      <c r="M2866" s="3">
        <v>15281.0</v>
      </c>
      <c r="N2866" s="1" t="str">
        <f t="shared" si="5"/>
        <v>Registered</v>
      </c>
      <c r="O2866" s="1" t="s">
        <v>19</v>
      </c>
      <c r="P2866" s="9" t="str">
        <f t="shared" si="6"/>
        <v>UK</v>
      </c>
      <c r="Q2866" s="8">
        <f t="shared" si="7"/>
        <v>15</v>
      </c>
    </row>
    <row r="2867">
      <c r="A2867" s="1">
        <v>545001.0</v>
      </c>
      <c r="B2867" s="1" t="str">
        <f t="shared" si="1"/>
        <v>545001</v>
      </c>
      <c r="C2867" s="1" t="str">
        <f t="shared" si="2"/>
        <v>Sale</v>
      </c>
      <c r="D2867" s="1">
        <v>21577.0</v>
      </c>
      <c r="E2867" s="1" t="str">
        <f>IFERROR(__xludf.DUMMYFUNCTION("IF(LEN(D2867)&gt;4, IFERROR(REGEXEXTRACT(TO_TEXT(D2867),""\d+""),""""),"""")"),"21577")</f>
        <v>21577</v>
      </c>
      <c r="F2867" s="6" t="str">
        <f t="shared" si="3"/>
        <v>Product</v>
      </c>
      <c r="G2867" s="1" t="s">
        <v>625</v>
      </c>
      <c r="H2867" s="6" t="str">
        <f>IFERROR(__xludf.DUMMYFUNCTION("IF(REGEXMATCH(LOWER(G2867), ""^(\?)+\s*(missing)?\s*(\?)*$""), """", PROPER(SUBSTITUTE(SUBSTITUTE(G2867, ""?"", """"), ""*"", """")))"),"Save The Planet Cotton Tote Bag")</f>
        <v>Save The Planet Cotton Tote Bag</v>
      </c>
      <c r="I2867" s="3">
        <v>6.0</v>
      </c>
      <c r="J2867" s="7">
        <v>40599.52777777778</v>
      </c>
      <c r="K2867" s="8" t="str">
        <f t="shared" si="4"/>
        <v>2011-02</v>
      </c>
      <c r="L2867" s="5">
        <v>2.25</v>
      </c>
      <c r="M2867" s="3">
        <v>16841.0</v>
      </c>
      <c r="N2867" s="1" t="str">
        <f t="shared" si="5"/>
        <v>Registered</v>
      </c>
      <c r="O2867" s="1" t="s">
        <v>19</v>
      </c>
      <c r="P2867" s="9" t="str">
        <f t="shared" si="6"/>
        <v>UK</v>
      </c>
      <c r="Q2867" s="8">
        <f t="shared" si="7"/>
        <v>13.5</v>
      </c>
    </row>
    <row r="2868">
      <c r="A2868" s="1">
        <v>545001.0</v>
      </c>
      <c r="B2868" s="1" t="str">
        <f t="shared" si="1"/>
        <v>545001</v>
      </c>
      <c r="C2868" s="1" t="str">
        <f t="shared" si="2"/>
        <v>Sale</v>
      </c>
      <c r="D2868" s="1">
        <v>21578.0</v>
      </c>
      <c r="E2868" s="1" t="str">
        <f>IFERROR(__xludf.DUMMYFUNCTION("IF(LEN(D2868)&gt;4, IFERROR(REGEXEXTRACT(TO_TEXT(D2868),""\d+""),""""),"""")"),"21578")</f>
        <v>21578</v>
      </c>
      <c r="F2868" s="6" t="str">
        <f t="shared" si="3"/>
        <v>Product</v>
      </c>
      <c r="G2868" s="1" t="s">
        <v>1382</v>
      </c>
      <c r="H2868" s="6" t="str">
        <f>IFERROR(__xludf.DUMMYFUNCTION("IF(REGEXMATCH(LOWER(G2868), ""^(\?)+\s*(missing)?\s*(\?)*$""), """", PROPER(SUBSTITUTE(SUBSTITUTE(G2868, ""?"", """"), ""*"", """")))"),"Woodland Design Cotton Tote Bag")</f>
        <v>Woodland Design Cotton Tote Bag</v>
      </c>
      <c r="I2868" s="3">
        <v>6.0</v>
      </c>
      <c r="J2868" s="7">
        <v>40599.52777777778</v>
      </c>
      <c r="K2868" s="8" t="str">
        <f t="shared" si="4"/>
        <v>2011-02</v>
      </c>
      <c r="L2868" s="5">
        <v>2.25</v>
      </c>
      <c r="M2868" s="3">
        <v>16841.0</v>
      </c>
      <c r="N2868" s="1" t="str">
        <f t="shared" si="5"/>
        <v>Registered</v>
      </c>
      <c r="O2868" s="1" t="s">
        <v>19</v>
      </c>
      <c r="P2868" s="9" t="str">
        <f t="shared" si="6"/>
        <v>UK</v>
      </c>
      <c r="Q2868" s="8">
        <f t="shared" si="7"/>
        <v>13.5</v>
      </c>
    </row>
    <row r="2869">
      <c r="A2869" s="1">
        <v>545001.0</v>
      </c>
      <c r="B2869" s="1" t="str">
        <f t="shared" si="1"/>
        <v>545001</v>
      </c>
      <c r="C2869" s="1" t="str">
        <f t="shared" si="2"/>
        <v>Sale</v>
      </c>
      <c r="D2869" s="1">
        <v>22665.0</v>
      </c>
      <c r="E2869" s="1" t="str">
        <f>IFERROR(__xludf.DUMMYFUNCTION("IF(LEN(D2869)&gt;4, IFERROR(REGEXEXTRACT(TO_TEXT(D2869),""\d+""),""""),"""")"),"22665")</f>
        <v>22665</v>
      </c>
      <c r="F2869" s="6" t="str">
        <f t="shared" si="3"/>
        <v>Product</v>
      </c>
      <c r="G2869" s="1" t="s">
        <v>1295</v>
      </c>
      <c r="H2869" s="6" t="str">
        <f>IFERROR(__xludf.DUMMYFUNCTION("IF(REGEXMATCH(LOWER(G2869), ""^(\?)+\s*(missing)?\s*(\?)*$""), """", PROPER(SUBSTITUTE(SUBSTITUTE(G2869, ""?"", """"), ""*"", """")))"),"Recipe Box Blue Sketchbook Design")</f>
        <v>Recipe Box Blue Sketchbook Design</v>
      </c>
      <c r="I2869" s="3">
        <v>6.0</v>
      </c>
      <c r="J2869" s="7">
        <v>40599.52777777778</v>
      </c>
      <c r="K2869" s="8" t="str">
        <f t="shared" si="4"/>
        <v>2011-02</v>
      </c>
      <c r="L2869" s="5">
        <v>2.95</v>
      </c>
      <c r="M2869" s="3">
        <v>16841.0</v>
      </c>
      <c r="N2869" s="1" t="str">
        <f t="shared" si="5"/>
        <v>Registered</v>
      </c>
      <c r="O2869" s="1" t="s">
        <v>19</v>
      </c>
      <c r="P2869" s="9" t="str">
        <f t="shared" si="6"/>
        <v>UK</v>
      </c>
      <c r="Q2869" s="8">
        <f t="shared" si="7"/>
        <v>17.7</v>
      </c>
    </row>
    <row r="2870">
      <c r="A2870" s="1">
        <v>545001.0</v>
      </c>
      <c r="B2870" s="1" t="str">
        <f t="shared" si="1"/>
        <v>545001</v>
      </c>
      <c r="C2870" s="1" t="str">
        <f t="shared" si="2"/>
        <v>Sale</v>
      </c>
      <c r="D2870" s="1">
        <v>22666.0</v>
      </c>
      <c r="E2870" s="1" t="str">
        <f>IFERROR(__xludf.DUMMYFUNCTION("IF(LEN(D2870)&gt;4, IFERROR(REGEXEXTRACT(TO_TEXT(D2870),""\d+""),""""),"""")"),"22666")</f>
        <v>22666</v>
      </c>
      <c r="F2870" s="6" t="str">
        <f t="shared" si="3"/>
        <v>Product</v>
      </c>
      <c r="G2870" s="1" t="s">
        <v>781</v>
      </c>
      <c r="H2870" s="6" t="str">
        <f>IFERROR(__xludf.DUMMYFUNCTION("IF(REGEXMATCH(LOWER(G2870), ""^(\?)+\s*(missing)?\s*(\?)*$""), """", PROPER(SUBSTITUTE(SUBSTITUTE(G2870, ""?"", """"), ""*"", """")))"),"Recipe Box Pantry Yellow Design")</f>
        <v>Recipe Box Pantry Yellow Design</v>
      </c>
      <c r="I2870" s="3">
        <v>6.0</v>
      </c>
      <c r="J2870" s="7">
        <v>40599.52777777778</v>
      </c>
      <c r="K2870" s="8" t="str">
        <f t="shared" si="4"/>
        <v>2011-02</v>
      </c>
      <c r="L2870" s="5">
        <v>2.95</v>
      </c>
      <c r="M2870" s="3">
        <v>16841.0</v>
      </c>
      <c r="N2870" s="1" t="str">
        <f t="shared" si="5"/>
        <v>Registered</v>
      </c>
      <c r="O2870" s="1" t="s">
        <v>19</v>
      </c>
      <c r="P2870" s="9" t="str">
        <f t="shared" si="6"/>
        <v>UK</v>
      </c>
      <c r="Q2870" s="8">
        <f t="shared" si="7"/>
        <v>17.7</v>
      </c>
    </row>
    <row r="2871">
      <c r="A2871" s="1">
        <v>545001.0</v>
      </c>
      <c r="B2871" s="1" t="str">
        <f t="shared" si="1"/>
        <v>545001</v>
      </c>
      <c r="C2871" s="1" t="str">
        <f t="shared" si="2"/>
        <v>Sale</v>
      </c>
      <c r="D2871" s="1">
        <v>21877.0</v>
      </c>
      <c r="E2871" s="1" t="str">
        <f>IFERROR(__xludf.DUMMYFUNCTION("IF(LEN(D2871)&gt;4, IFERROR(REGEXEXTRACT(TO_TEXT(D2871),""\d+""),""""),"""")"),"21877")</f>
        <v>21877</v>
      </c>
      <c r="F2871" s="6" t="str">
        <f t="shared" si="3"/>
        <v>Product</v>
      </c>
      <c r="G2871" s="1" t="s">
        <v>1383</v>
      </c>
      <c r="H2871" s="6" t="str">
        <f>IFERROR(__xludf.DUMMYFUNCTION("IF(REGEXMATCH(LOWER(G2871), ""^(\?)+\s*(missing)?\s*(\?)*$""), """", PROPER(SUBSTITUTE(SUBSTITUTE(G2871, ""?"", """"), ""*"", """")))"),"Home Sweet Home Mug")</f>
        <v>Home Sweet Home Mug</v>
      </c>
      <c r="I2871" s="3">
        <v>12.0</v>
      </c>
      <c r="J2871" s="7">
        <v>40599.52777777778</v>
      </c>
      <c r="K2871" s="8" t="str">
        <f t="shared" si="4"/>
        <v>2011-02</v>
      </c>
      <c r="L2871" s="5">
        <v>1.25</v>
      </c>
      <c r="M2871" s="3">
        <v>16841.0</v>
      </c>
      <c r="N2871" s="1" t="str">
        <f t="shared" si="5"/>
        <v>Registered</v>
      </c>
      <c r="O2871" s="1" t="s">
        <v>19</v>
      </c>
      <c r="P2871" s="9" t="str">
        <f t="shared" si="6"/>
        <v>UK</v>
      </c>
      <c r="Q2871" s="8">
        <f t="shared" si="7"/>
        <v>15</v>
      </c>
    </row>
    <row r="2872">
      <c r="A2872" s="1">
        <v>545001.0</v>
      </c>
      <c r="B2872" s="1" t="str">
        <f t="shared" si="1"/>
        <v>545001</v>
      </c>
      <c r="C2872" s="1" t="str">
        <f t="shared" si="2"/>
        <v>Sale</v>
      </c>
      <c r="D2872" s="1">
        <v>22951.0</v>
      </c>
      <c r="E2872" s="1" t="str">
        <f>IFERROR(__xludf.DUMMYFUNCTION("IF(LEN(D2872)&gt;4, IFERROR(REGEXEXTRACT(TO_TEXT(D2872),""\d+""),""""),"""")"),"22951")</f>
        <v>22951</v>
      </c>
      <c r="F2872" s="6" t="str">
        <f t="shared" si="3"/>
        <v>Product</v>
      </c>
      <c r="G2872" s="1" t="s">
        <v>491</v>
      </c>
      <c r="H2872" s="6" t="str">
        <f>IFERROR(__xludf.DUMMYFUNCTION("IF(REGEXMATCH(LOWER(G2872), ""^(\?)+\s*(missing)?\s*(\?)*$""), """", PROPER(SUBSTITUTE(SUBSTITUTE(G2872, ""?"", """"), ""*"", """")))"),"60 Cake Cases Dolly Girl Design")</f>
        <v>60 Cake Cases Dolly Girl Design</v>
      </c>
      <c r="I2872" s="3">
        <v>24.0</v>
      </c>
      <c r="J2872" s="7">
        <v>40599.52777777778</v>
      </c>
      <c r="K2872" s="8" t="str">
        <f t="shared" si="4"/>
        <v>2011-02</v>
      </c>
      <c r="L2872" s="5">
        <v>0.55</v>
      </c>
      <c r="M2872" s="3">
        <v>16841.0</v>
      </c>
      <c r="N2872" s="1" t="str">
        <f t="shared" si="5"/>
        <v>Registered</v>
      </c>
      <c r="O2872" s="1" t="s">
        <v>19</v>
      </c>
      <c r="P2872" s="9" t="str">
        <f t="shared" si="6"/>
        <v>UK</v>
      </c>
      <c r="Q2872" s="8">
        <f t="shared" si="7"/>
        <v>13.2</v>
      </c>
    </row>
    <row r="2873">
      <c r="A2873" s="1">
        <v>545001.0</v>
      </c>
      <c r="B2873" s="1" t="str">
        <f t="shared" si="1"/>
        <v>545001</v>
      </c>
      <c r="C2873" s="1" t="str">
        <f t="shared" si="2"/>
        <v>Sale</v>
      </c>
      <c r="D2873" s="1">
        <v>21975.0</v>
      </c>
      <c r="E2873" s="1" t="str">
        <f>IFERROR(__xludf.DUMMYFUNCTION("IF(LEN(D2873)&gt;4, IFERROR(REGEXEXTRACT(TO_TEXT(D2873),""\d+""),""""),"""")"),"21975")</f>
        <v>21975</v>
      </c>
      <c r="F2873" s="6" t="str">
        <f t="shared" si="3"/>
        <v>Product</v>
      </c>
      <c r="G2873" s="1" t="s">
        <v>98</v>
      </c>
      <c r="H2873" s="6" t="str">
        <f>IFERROR(__xludf.DUMMYFUNCTION("IF(REGEXMATCH(LOWER(G2873), ""^(\?)+\s*(missing)?\s*(\?)*$""), """", PROPER(SUBSTITUTE(SUBSTITUTE(G2873, ""?"", """"), ""*"", """")))"),"Pack Of 60 Dinosaur Cake Cases")</f>
        <v>Pack Of 60 Dinosaur Cake Cases</v>
      </c>
      <c r="I2873" s="3">
        <v>24.0</v>
      </c>
      <c r="J2873" s="7">
        <v>40599.52777777778</v>
      </c>
      <c r="K2873" s="8" t="str">
        <f t="shared" si="4"/>
        <v>2011-02</v>
      </c>
      <c r="L2873" s="5">
        <v>0.55</v>
      </c>
      <c r="M2873" s="3">
        <v>16841.0</v>
      </c>
      <c r="N2873" s="1" t="str">
        <f t="shared" si="5"/>
        <v>Registered</v>
      </c>
      <c r="O2873" s="1" t="s">
        <v>19</v>
      </c>
      <c r="P2873" s="9" t="str">
        <f t="shared" si="6"/>
        <v>UK</v>
      </c>
      <c r="Q2873" s="8">
        <f t="shared" si="7"/>
        <v>13.2</v>
      </c>
    </row>
    <row r="2874">
      <c r="A2874" s="1">
        <v>545001.0</v>
      </c>
      <c r="B2874" s="1" t="str">
        <f t="shared" si="1"/>
        <v>545001</v>
      </c>
      <c r="C2874" s="1" t="str">
        <f t="shared" si="2"/>
        <v>Sale</v>
      </c>
      <c r="D2874" s="1">
        <v>22584.0</v>
      </c>
      <c r="E2874" s="1" t="str">
        <f>IFERROR(__xludf.DUMMYFUNCTION("IF(LEN(D2874)&gt;4, IFERROR(REGEXEXTRACT(TO_TEXT(D2874),""\d+""),""""),"""")"),"22584")</f>
        <v>22584</v>
      </c>
      <c r="F2874" s="6" t="str">
        <f t="shared" si="3"/>
        <v>Product</v>
      </c>
      <c r="G2874" s="1" t="s">
        <v>1384</v>
      </c>
      <c r="H2874" s="6" t="str">
        <f>IFERROR(__xludf.DUMMYFUNCTION("IF(REGEXMATCH(LOWER(G2874), ""^(\?)+\s*(missing)?\s*(\?)*$""), """", PROPER(SUBSTITUTE(SUBSTITUTE(G2874, ""?"", """"), ""*"", """")))"),"Pack Of 6 Pannetone Gift Boxes")</f>
        <v>Pack Of 6 Pannetone Gift Boxes</v>
      </c>
      <c r="I2874" s="3">
        <v>6.0</v>
      </c>
      <c r="J2874" s="7">
        <v>40599.52777777778</v>
      </c>
      <c r="K2874" s="8" t="str">
        <f t="shared" si="4"/>
        <v>2011-02</v>
      </c>
      <c r="L2874" s="5">
        <v>2.55</v>
      </c>
      <c r="M2874" s="3">
        <v>16841.0</v>
      </c>
      <c r="N2874" s="1" t="str">
        <f t="shared" si="5"/>
        <v>Registered</v>
      </c>
      <c r="O2874" s="1" t="s">
        <v>19</v>
      </c>
      <c r="P2874" s="9" t="str">
        <f t="shared" si="6"/>
        <v>UK</v>
      </c>
      <c r="Q2874" s="8">
        <f t="shared" si="7"/>
        <v>15.3</v>
      </c>
    </row>
    <row r="2875">
      <c r="A2875" s="1">
        <v>545001.0</v>
      </c>
      <c r="B2875" s="1" t="str">
        <f t="shared" si="1"/>
        <v>545001</v>
      </c>
      <c r="C2875" s="1" t="str">
        <f t="shared" si="2"/>
        <v>Sale</v>
      </c>
      <c r="D2875" s="1">
        <v>22722.0</v>
      </c>
      <c r="E2875" s="1" t="str">
        <f>IFERROR(__xludf.DUMMYFUNCTION("IF(LEN(D2875)&gt;4, IFERROR(REGEXEXTRACT(TO_TEXT(D2875),""\d+""),""""),"""")"),"22722")</f>
        <v>22722</v>
      </c>
      <c r="F2875" s="6" t="str">
        <f t="shared" si="3"/>
        <v>Product</v>
      </c>
      <c r="G2875" s="1" t="s">
        <v>686</v>
      </c>
      <c r="H2875" s="6" t="str">
        <f>IFERROR(__xludf.DUMMYFUNCTION("IF(REGEXMATCH(LOWER(G2875), ""^(\?)+\s*(missing)?\s*(\?)*$""), """", PROPER(SUBSTITUTE(SUBSTITUTE(G2875, ""?"", """"), ""*"", """")))"),"Set Of 6 Spice Tins Pantry Design")</f>
        <v>Set Of 6 Spice Tins Pantry Design</v>
      </c>
      <c r="I2875" s="3">
        <v>4.0</v>
      </c>
      <c r="J2875" s="7">
        <v>40599.52777777778</v>
      </c>
      <c r="K2875" s="8" t="str">
        <f t="shared" si="4"/>
        <v>2011-02</v>
      </c>
      <c r="L2875" s="5">
        <v>3.95</v>
      </c>
      <c r="M2875" s="3">
        <v>16841.0</v>
      </c>
      <c r="N2875" s="1" t="str">
        <f t="shared" si="5"/>
        <v>Registered</v>
      </c>
      <c r="O2875" s="1" t="s">
        <v>19</v>
      </c>
      <c r="P2875" s="9" t="str">
        <f t="shared" si="6"/>
        <v>UK</v>
      </c>
      <c r="Q2875" s="8">
        <f t="shared" si="7"/>
        <v>15.8</v>
      </c>
    </row>
    <row r="2876">
      <c r="A2876" s="1">
        <v>545001.0</v>
      </c>
      <c r="B2876" s="1" t="str">
        <f t="shared" si="1"/>
        <v>545001</v>
      </c>
      <c r="C2876" s="1" t="str">
        <f t="shared" si="2"/>
        <v>Sale</v>
      </c>
      <c r="D2876" s="1">
        <v>22723.0</v>
      </c>
      <c r="E2876" s="1" t="str">
        <f>IFERROR(__xludf.DUMMYFUNCTION("IF(LEN(D2876)&gt;4, IFERROR(REGEXEXTRACT(TO_TEXT(D2876),""\d+""),""""),"""")"),"22723")</f>
        <v>22723</v>
      </c>
      <c r="F2876" s="6" t="str">
        <f t="shared" si="3"/>
        <v>Product</v>
      </c>
      <c r="G2876" s="1" t="s">
        <v>1200</v>
      </c>
      <c r="H2876" s="6" t="str">
        <f>IFERROR(__xludf.DUMMYFUNCTION("IF(REGEXMATCH(LOWER(G2876), ""^(\?)+\s*(missing)?\s*(\?)*$""), """", PROPER(SUBSTITUTE(SUBSTITUTE(G2876, ""?"", """"), ""*"", """")))"),"Set Of 6 Herb Tins Sketchbook")</f>
        <v>Set Of 6 Herb Tins Sketchbook</v>
      </c>
      <c r="I2876" s="3">
        <v>4.0</v>
      </c>
      <c r="J2876" s="7">
        <v>40599.52777777778</v>
      </c>
      <c r="K2876" s="8" t="str">
        <f t="shared" si="4"/>
        <v>2011-02</v>
      </c>
      <c r="L2876" s="5">
        <v>3.95</v>
      </c>
      <c r="M2876" s="3">
        <v>16841.0</v>
      </c>
      <c r="N2876" s="1" t="str">
        <f t="shared" si="5"/>
        <v>Registered</v>
      </c>
      <c r="O2876" s="1" t="s">
        <v>19</v>
      </c>
      <c r="P2876" s="9" t="str">
        <f t="shared" si="6"/>
        <v>UK</v>
      </c>
      <c r="Q2876" s="8">
        <f t="shared" si="7"/>
        <v>15.8</v>
      </c>
    </row>
    <row r="2877">
      <c r="A2877" s="1">
        <v>545001.0</v>
      </c>
      <c r="B2877" s="1" t="str">
        <f t="shared" si="1"/>
        <v>545001</v>
      </c>
      <c r="C2877" s="1" t="str">
        <f t="shared" si="2"/>
        <v>Sale</v>
      </c>
      <c r="D2877" s="1">
        <v>21876.0</v>
      </c>
      <c r="E2877" s="1" t="str">
        <f>IFERROR(__xludf.DUMMYFUNCTION("IF(LEN(D2877)&gt;4, IFERROR(REGEXEXTRACT(TO_TEXT(D2877),""\d+""),""""),"""")"),"21876")</f>
        <v>21876</v>
      </c>
      <c r="F2877" s="6" t="str">
        <f t="shared" si="3"/>
        <v>Product</v>
      </c>
      <c r="G2877" s="1" t="s">
        <v>1089</v>
      </c>
      <c r="H2877" s="6" t="str">
        <f>IFERROR(__xludf.DUMMYFUNCTION("IF(REGEXMATCH(LOWER(G2877), ""^(\?)+\s*(missing)?\s*(\?)*$""), """", PROPER(SUBSTITUTE(SUBSTITUTE(G2877, ""?"", """"), ""*"", """")))"),"Pottering Mug")</f>
        <v>Pottering Mug</v>
      </c>
      <c r="I2877" s="3">
        <v>24.0</v>
      </c>
      <c r="J2877" s="7">
        <v>40599.52777777778</v>
      </c>
      <c r="K2877" s="8" t="str">
        <f t="shared" si="4"/>
        <v>2011-02</v>
      </c>
      <c r="L2877" s="5">
        <v>1.25</v>
      </c>
      <c r="M2877" s="3">
        <v>16841.0</v>
      </c>
      <c r="N2877" s="1" t="str">
        <f t="shared" si="5"/>
        <v>Registered</v>
      </c>
      <c r="O2877" s="1" t="s">
        <v>19</v>
      </c>
      <c r="P2877" s="9" t="str">
        <f t="shared" si="6"/>
        <v>UK</v>
      </c>
      <c r="Q2877" s="8">
        <f t="shared" si="7"/>
        <v>30</v>
      </c>
    </row>
    <row r="2878">
      <c r="A2878" s="1">
        <v>545001.0</v>
      </c>
      <c r="B2878" s="1" t="str">
        <f t="shared" si="1"/>
        <v>545001</v>
      </c>
      <c r="C2878" s="1" t="str">
        <f t="shared" si="2"/>
        <v>Sale</v>
      </c>
      <c r="D2878" s="1">
        <v>22908.0</v>
      </c>
      <c r="E2878" s="1" t="str">
        <f>IFERROR(__xludf.DUMMYFUNCTION("IF(LEN(D2878)&gt;4, IFERROR(REGEXEXTRACT(TO_TEXT(D2878),""\d+""),""""),"""")"),"22908")</f>
        <v>22908</v>
      </c>
      <c r="F2878" s="6" t="str">
        <f t="shared" si="3"/>
        <v>Product</v>
      </c>
      <c r="G2878" s="1" t="s">
        <v>708</v>
      </c>
      <c r="H2878" s="6" t="str">
        <f>IFERROR(__xludf.DUMMYFUNCTION("IF(REGEXMATCH(LOWER(G2878), ""^(\?)+\s*(missing)?\s*(\?)*$""), """", PROPER(SUBSTITUTE(SUBSTITUTE(G2878, ""?"", """"), ""*"", """")))"),"Pack Of 20 Napkins Red Apples")</f>
        <v>Pack Of 20 Napkins Red Apples</v>
      </c>
      <c r="I2878" s="3">
        <v>12.0</v>
      </c>
      <c r="J2878" s="7">
        <v>40599.52777777778</v>
      </c>
      <c r="K2878" s="8" t="str">
        <f t="shared" si="4"/>
        <v>2011-02</v>
      </c>
      <c r="L2878" s="5">
        <v>0.85</v>
      </c>
      <c r="M2878" s="3">
        <v>16841.0</v>
      </c>
      <c r="N2878" s="1" t="str">
        <f t="shared" si="5"/>
        <v>Registered</v>
      </c>
      <c r="O2878" s="1" t="s">
        <v>19</v>
      </c>
      <c r="P2878" s="9" t="str">
        <f t="shared" si="6"/>
        <v>UK</v>
      </c>
      <c r="Q2878" s="8">
        <f t="shared" si="7"/>
        <v>10.2</v>
      </c>
    </row>
    <row r="2879">
      <c r="A2879" s="1">
        <v>545001.0</v>
      </c>
      <c r="B2879" s="1" t="str">
        <f t="shared" si="1"/>
        <v>545001</v>
      </c>
      <c r="C2879" s="1" t="str">
        <f t="shared" si="2"/>
        <v>Sale</v>
      </c>
      <c r="D2879" s="1">
        <v>22851.0</v>
      </c>
      <c r="E2879" s="1" t="str">
        <f>IFERROR(__xludf.DUMMYFUNCTION("IF(LEN(D2879)&gt;4, IFERROR(REGEXEXTRACT(TO_TEXT(D2879),""\d+""),""""),"""")"),"22851")</f>
        <v>22851</v>
      </c>
      <c r="F2879" s="6" t="str">
        <f t="shared" si="3"/>
        <v>Product</v>
      </c>
      <c r="G2879" s="1" t="s">
        <v>303</v>
      </c>
      <c r="H2879" s="6" t="str">
        <f>IFERROR(__xludf.DUMMYFUNCTION("IF(REGEXMATCH(LOWER(G2879), ""^(\?)+\s*(missing)?\s*(\?)*$""), """", PROPER(SUBSTITUTE(SUBSTITUTE(G2879, ""?"", """"), ""*"", """")))"),"Set 20 Napkins Fairy Cakes Design")</f>
        <v>Set 20 Napkins Fairy Cakes Design</v>
      </c>
      <c r="I2879" s="3">
        <v>12.0</v>
      </c>
      <c r="J2879" s="7">
        <v>40599.52777777778</v>
      </c>
      <c r="K2879" s="8" t="str">
        <f t="shared" si="4"/>
        <v>2011-02</v>
      </c>
      <c r="L2879" s="5">
        <v>0.85</v>
      </c>
      <c r="M2879" s="3">
        <v>16841.0</v>
      </c>
      <c r="N2879" s="1" t="str">
        <f t="shared" si="5"/>
        <v>Registered</v>
      </c>
      <c r="O2879" s="1" t="s">
        <v>19</v>
      </c>
      <c r="P2879" s="9" t="str">
        <f t="shared" si="6"/>
        <v>UK</v>
      </c>
      <c r="Q2879" s="8">
        <f t="shared" si="7"/>
        <v>10.2</v>
      </c>
    </row>
    <row r="2880">
      <c r="A2880" s="1">
        <v>545001.0</v>
      </c>
      <c r="B2880" s="1" t="str">
        <f t="shared" si="1"/>
        <v>545001</v>
      </c>
      <c r="C2880" s="1" t="str">
        <f t="shared" si="2"/>
        <v>Sale</v>
      </c>
      <c r="D2880" s="1">
        <v>22993.0</v>
      </c>
      <c r="E2880" s="1" t="str">
        <f>IFERROR(__xludf.DUMMYFUNCTION("IF(LEN(D2880)&gt;4, IFERROR(REGEXEXTRACT(TO_TEXT(D2880),""\d+""),""""),"""")"),"22993")</f>
        <v>22993</v>
      </c>
      <c r="F2880" s="6" t="str">
        <f t="shared" si="3"/>
        <v>Product</v>
      </c>
      <c r="G2880" s="1" t="s">
        <v>709</v>
      </c>
      <c r="H2880" s="6" t="str">
        <f>IFERROR(__xludf.DUMMYFUNCTION("IF(REGEXMATCH(LOWER(G2880), ""^(\?)+\s*(missing)?\s*(\?)*$""), """", PROPER(SUBSTITUTE(SUBSTITUTE(G2880, ""?"", """"), ""*"", """")))"),"Set Of 4 Pantry Jelly Moulds")</f>
        <v>Set Of 4 Pantry Jelly Moulds</v>
      </c>
      <c r="I2880" s="3">
        <v>12.0</v>
      </c>
      <c r="J2880" s="7">
        <v>40599.52777777778</v>
      </c>
      <c r="K2880" s="8" t="str">
        <f t="shared" si="4"/>
        <v>2011-02</v>
      </c>
      <c r="L2880" s="5">
        <v>1.25</v>
      </c>
      <c r="M2880" s="3">
        <v>16841.0</v>
      </c>
      <c r="N2880" s="1" t="str">
        <f t="shared" si="5"/>
        <v>Registered</v>
      </c>
      <c r="O2880" s="1" t="s">
        <v>19</v>
      </c>
      <c r="P2880" s="9" t="str">
        <f t="shared" si="6"/>
        <v>UK</v>
      </c>
      <c r="Q2880" s="8">
        <f t="shared" si="7"/>
        <v>15</v>
      </c>
    </row>
    <row r="2881">
      <c r="A2881" s="1">
        <v>545001.0</v>
      </c>
      <c r="B2881" s="1" t="str">
        <f t="shared" si="1"/>
        <v>545001</v>
      </c>
      <c r="C2881" s="1" t="str">
        <f t="shared" si="2"/>
        <v>Sale</v>
      </c>
      <c r="D2881" s="1" t="s">
        <v>907</v>
      </c>
      <c r="E2881" s="1" t="str">
        <f>IFERROR(__xludf.DUMMYFUNCTION("IF(LEN(D2881)&gt;4, IFERROR(REGEXEXTRACT(TO_TEXT(D2881),""\d+""),""""),"""")"),"85206")</f>
        <v>85206</v>
      </c>
      <c r="F2881" s="6" t="str">
        <f t="shared" si="3"/>
        <v>Product</v>
      </c>
      <c r="G2881" s="1" t="s">
        <v>908</v>
      </c>
      <c r="H2881" s="6" t="str">
        <f>IFERROR(__xludf.DUMMYFUNCTION("IF(REGEXMATCH(LOWER(G2881), ""^(\?)+\s*(missing)?\s*(\?)*$""), """", PROPER(SUBSTITUTE(SUBSTITUTE(G2881, ""?"", """"), ""*"", """")))"),"Cream Felt Easter Egg Basket")</f>
        <v>Cream Felt Easter Egg Basket</v>
      </c>
      <c r="I2881" s="3">
        <v>6.0</v>
      </c>
      <c r="J2881" s="7">
        <v>40599.52777777778</v>
      </c>
      <c r="K2881" s="8" t="str">
        <f t="shared" si="4"/>
        <v>2011-02</v>
      </c>
      <c r="L2881" s="5">
        <v>1.65</v>
      </c>
      <c r="M2881" s="3">
        <v>16841.0</v>
      </c>
      <c r="N2881" s="1" t="str">
        <f t="shared" si="5"/>
        <v>Registered</v>
      </c>
      <c r="O2881" s="1" t="s">
        <v>19</v>
      </c>
      <c r="P2881" s="9" t="str">
        <f t="shared" si="6"/>
        <v>UK</v>
      </c>
      <c r="Q2881" s="8">
        <f t="shared" si="7"/>
        <v>9.9</v>
      </c>
    </row>
    <row r="2882">
      <c r="A2882" s="1">
        <v>545001.0</v>
      </c>
      <c r="B2882" s="1" t="str">
        <f t="shared" si="1"/>
        <v>545001</v>
      </c>
      <c r="C2882" s="1" t="str">
        <f t="shared" si="2"/>
        <v>Sale</v>
      </c>
      <c r="D2882" s="1">
        <v>22021.0</v>
      </c>
      <c r="E2882" s="1" t="str">
        <f>IFERROR(__xludf.DUMMYFUNCTION("IF(LEN(D2882)&gt;4, IFERROR(REGEXEXTRACT(TO_TEXT(D2882),""\d+""),""""),"""")"),"22021")</f>
        <v>22021</v>
      </c>
      <c r="F2882" s="6" t="str">
        <f t="shared" si="3"/>
        <v>Product</v>
      </c>
      <c r="G2882" s="1" t="s">
        <v>1157</v>
      </c>
      <c r="H2882" s="6" t="str">
        <f>IFERROR(__xludf.DUMMYFUNCTION("IF(REGEXMATCH(LOWER(G2882), ""^(\?)+\s*(missing)?\s*(\?)*$""), """", PROPER(SUBSTITUTE(SUBSTITUTE(G2882, ""?"", """"), ""*"", """")))"),"Blue Felt Easter Egg Basket")</f>
        <v>Blue Felt Easter Egg Basket</v>
      </c>
      <c r="I2882" s="3">
        <v>6.0</v>
      </c>
      <c r="J2882" s="7">
        <v>40599.52777777778</v>
      </c>
      <c r="K2882" s="8" t="str">
        <f t="shared" si="4"/>
        <v>2011-02</v>
      </c>
      <c r="L2882" s="5">
        <v>1.65</v>
      </c>
      <c r="M2882" s="3">
        <v>16841.0</v>
      </c>
      <c r="N2882" s="1" t="str">
        <f t="shared" si="5"/>
        <v>Registered</v>
      </c>
      <c r="O2882" s="1" t="s">
        <v>19</v>
      </c>
      <c r="P2882" s="9" t="str">
        <f t="shared" si="6"/>
        <v>UK</v>
      </c>
      <c r="Q2882" s="8">
        <f t="shared" si="7"/>
        <v>9.9</v>
      </c>
    </row>
    <row r="2883">
      <c r="A2883" s="1">
        <v>545001.0</v>
      </c>
      <c r="B2883" s="1" t="str">
        <f t="shared" si="1"/>
        <v>545001</v>
      </c>
      <c r="C2883" s="1" t="str">
        <f t="shared" si="2"/>
        <v>Sale</v>
      </c>
      <c r="D2883" s="1">
        <v>85202.0</v>
      </c>
      <c r="E2883" s="1" t="str">
        <f>IFERROR(__xludf.DUMMYFUNCTION("IF(LEN(D2883)&gt;4, IFERROR(REGEXEXTRACT(TO_TEXT(D2883),""\d+""),""""),"""")"),"85202")</f>
        <v>85202</v>
      </c>
      <c r="F2883" s="6" t="str">
        <f t="shared" si="3"/>
        <v>Product</v>
      </c>
      <c r="G2883" s="1" t="s">
        <v>1385</v>
      </c>
      <c r="H2883" s="6" t="str">
        <f>IFERROR(__xludf.DUMMYFUNCTION("IF(REGEXMATCH(LOWER(G2883), ""^(\?)+\s*(missing)?\s*(\?)*$""), """", PROPER(SUBSTITUTE(SUBSTITUTE(G2883, ""?"", """"), ""*"", """")))"),"Hanging Wood And Felt Heart")</f>
        <v>Hanging Wood And Felt Heart</v>
      </c>
      <c r="I2883" s="3">
        <v>24.0</v>
      </c>
      <c r="J2883" s="7">
        <v>40599.52777777778</v>
      </c>
      <c r="K2883" s="8" t="str">
        <f t="shared" si="4"/>
        <v>2011-02</v>
      </c>
      <c r="L2883" s="5">
        <v>0.42</v>
      </c>
      <c r="M2883" s="3">
        <v>16841.0</v>
      </c>
      <c r="N2883" s="1" t="str">
        <f t="shared" si="5"/>
        <v>Registered</v>
      </c>
      <c r="O2883" s="1" t="s">
        <v>19</v>
      </c>
      <c r="P2883" s="9" t="str">
        <f t="shared" si="6"/>
        <v>UK</v>
      </c>
      <c r="Q2883" s="8">
        <f t="shared" si="7"/>
        <v>10.08</v>
      </c>
    </row>
    <row r="2884">
      <c r="A2884" s="1">
        <v>545001.0</v>
      </c>
      <c r="B2884" s="1" t="str">
        <f t="shared" si="1"/>
        <v>545001</v>
      </c>
      <c r="C2884" s="1" t="str">
        <f t="shared" si="2"/>
        <v>Sale</v>
      </c>
      <c r="D2884" s="1">
        <v>22621.0</v>
      </c>
      <c r="E2884" s="1" t="str">
        <f>IFERROR(__xludf.DUMMYFUNCTION("IF(LEN(D2884)&gt;4, IFERROR(REGEXEXTRACT(TO_TEXT(D2884),""\d+""),""""),"""")"),"22621")</f>
        <v>22621</v>
      </c>
      <c r="F2884" s="6" t="str">
        <f t="shared" si="3"/>
        <v>Product</v>
      </c>
      <c r="G2884" s="1" t="s">
        <v>1032</v>
      </c>
      <c r="H2884" s="6" t="str">
        <f>IFERROR(__xludf.DUMMYFUNCTION("IF(REGEXMATCH(LOWER(G2884), ""^(\?)+\s*(missing)?\s*(\?)*$""), """", PROPER(SUBSTITUTE(SUBSTITUTE(G2884, ""?"", """"), ""*"", """")))"),"Traditional Knitting Nancy")</f>
        <v>Traditional Knitting Nancy</v>
      </c>
      <c r="I2884" s="3">
        <v>12.0</v>
      </c>
      <c r="J2884" s="7">
        <v>40599.52777777778</v>
      </c>
      <c r="K2884" s="8" t="str">
        <f t="shared" si="4"/>
        <v>2011-02</v>
      </c>
      <c r="L2884" s="5">
        <v>1.45</v>
      </c>
      <c r="M2884" s="3">
        <v>16841.0</v>
      </c>
      <c r="N2884" s="1" t="str">
        <f t="shared" si="5"/>
        <v>Registered</v>
      </c>
      <c r="O2884" s="1" t="s">
        <v>19</v>
      </c>
      <c r="P2884" s="9" t="str">
        <f t="shared" si="6"/>
        <v>UK</v>
      </c>
      <c r="Q2884" s="8">
        <f t="shared" si="7"/>
        <v>17.4</v>
      </c>
    </row>
    <row r="2885">
      <c r="A2885" s="1">
        <v>545001.0</v>
      </c>
      <c r="B2885" s="1" t="str">
        <f t="shared" si="1"/>
        <v>545001</v>
      </c>
      <c r="C2885" s="1" t="str">
        <f t="shared" si="2"/>
        <v>Sale</v>
      </c>
      <c r="D2885" s="1">
        <v>21579.0</v>
      </c>
      <c r="E2885" s="1" t="str">
        <f>IFERROR(__xludf.DUMMYFUNCTION("IF(LEN(D2885)&gt;4, IFERROR(REGEXEXTRACT(TO_TEXT(D2885),""\d+""),""""),"""")"),"21579")</f>
        <v>21579</v>
      </c>
      <c r="F2885" s="6" t="str">
        <f t="shared" si="3"/>
        <v>Product</v>
      </c>
      <c r="G2885" s="1" t="s">
        <v>1386</v>
      </c>
      <c r="H2885" s="6" t="str">
        <f>IFERROR(__xludf.DUMMYFUNCTION("IF(REGEXMATCH(LOWER(G2885), ""^(\?)+\s*(missing)?\s*(\?)*$""), """", PROPER(SUBSTITUTE(SUBSTITUTE(G2885, ""?"", """"), ""*"", """")))"),"Lolita Design Cotton Tote Bag")</f>
        <v>Lolita Design Cotton Tote Bag</v>
      </c>
      <c r="I2885" s="3">
        <v>6.0</v>
      </c>
      <c r="J2885" s="7">
        <v>40599.52777777778</v>
      </c>
      <c r="K2885" s="8" t="str">
        <f t="shared" si="4"/>
        <v>2011-02</v>
      </c>
      <c r="L2885" s="5">
        <v>2.25</v>
      </c>
      <c r="M2885" s="3">
        <v>16841.0</v>
      </c>
      <c r="N2885" s="1" t="str">
        <f t="shared" si="5"/>
        <v>Registered</v>
      </c>
      <c r="O2885" s="1" t="s">
        <v>19</v>
      </c>
      <c r="P2885" s="9" t="str">
        <f t="shared" si="6"/>
        <v>UK</v>
      </c>
      <c r="Q2885" s="8">
        <f t="shared" si="7"/>
        <v>13.5</v>
      </c>
    </row>
    <row r="2886">
      <c r="A2886" s="1">
        <v>545001.0</v>
      </c>
      <c r="B2886" s="1" t="str">
        <f t="shared" si="1"/>
        <v>545001</v>
      </c>
      <c r="C2886" s="1" t="str">
        <f t="shared" si="2"/>
        <v>Sale</v>
      </c>
      <c r="D2886" s="1">
        <v>21580.0</v>
      </c>
      <c r="E2886" s="1" t="str">
        <f>IFERROR(__xludf.DUMMYFUNCTION("IF(LEN(D2886)&gt;4, IFERROR(REGEXEXTRACT(TO_TEXT(D2886),""\d+""),""""),"""")"),"21580")</f>
        <v>21580</v>
      </c>
      <c r="F2886" s="6" t="str">
        <f t="shared" si="3"/>
        <v>Product</v>
      </c>
      <c r="G2886" s="1" t="s">
        <v>1387</v>
      </c>
      <c r="H2886" s="6" t="str">
        <f>IFERROR(__xludf.DUMMYFUNCTION("IF(REGEXMATCH(LOWER(G2886), ""^(\?)+\s*(missing)?\s*(\?)*$""), """", PROPER(SUBSTITUTE(SUBSTITUTE(G2886, ""?"", """"), ""*"", """")))"),"Rabbit Design Cotton Tote Bag")</f>
        <v>Rabbit Design Cotton Tote Bag</v>
      </c>
      <c r="I2886" s="3">
        <v>6.0</v>
      </c>
      <c r="J2886" s="7">
        <v>40599.52777777778</v>
      </c>
      <c r="K2886" s="8" t="str">
        <f t="shared" si="4"/>
        <v>2011-02</v>
      </c>
      <c r="L2886" s="5">
        <v>2.25</v>
      </c>
      <c r="M2886" s="3">
        <v>16841.0</v>
      </c>
      <c r="N2886" s="1" t="str">
        <f t="shared" si="5"/>
        <v>Registered</v>
      </c>
      <c r="O2886" s="1" t="s">
        <v>19</v>
      </c>
      <c r="P2886" s="9" t="str">
        <f t="shared" si="6"/>
        <v>UK</v>
      </c>
      <c r="Q2886" s="8">
        <f t="shared" si="7"/>
        <v>13.5</v>
      </c>
    </row>
    <row r="2887">
      <c r="A2887" s="1">
        <v>545001.0</v>
      </c>
      <c r="B2887" s="1" t="str">
        <f t="shared" si="1"/>
        <v>545001</v>
      </c>
      <c r="C2887" s="1" t="str">
        <f t="shared" si="2"/>
        <v>Sale</v>
      </c>
      <c r="D2887" s="1">
        <v>21581.0</v>
      </c>
      <c r="E2887" s="1" t="str">
        <f>IFERROR(__xludf.DUMMYFUNCTION("IF(LEN(D2887)&gt;4, IFERROR(REGEXEXTRACT(TO_TEXT(D2887),""\d+""),""""),"""")"),"21581")</f>
        <v>21581</v>
      </c>
      <c r="F2887" s="6" t="str">
        <f t="shared" si="3"/>
        <v>Product</v>
      </c>
      <c r="G2887" s="1" t="s">
        <v>1388</v>
      </c>
      <c r="H2887" s="6" t="str">
        <f>IFERROR(__xludf.DUMMYFUNCTION("IF(REGEXMATCH(LOWER(G2887), ""^(\?)+\s*(missing)?\s*(\?)*$""), """", PROPER(SUBSTITUTE(SUBSTITUTE(G2887, ""?"", """"), ""*"", """")))"),"Skulls Design Cotton Tote Bag")</f>
        <v>Skulls Design Cotton Tote Bag</v>
      </c>
      <c r="I2887" s="3">
        <v>6.0</v>
      </c>
      <c r="J2887" s="7">
        <v>40599.52777777778</v>
      </c>
      <c r="K2887" s="8" t="str">
        <f t="shared" si="4"/>
        <v>2011-02</v>
      </c>
      <c r="L2887" s="5">
        <v>2.25</v>
      </c>
      <c r="M2887" s="3">
        <v>16841.0</v>
      </c>
      <c r="N2887" s="1" t="str">
        <f t="shared" si="5"/>
        <v>Registered</v>
      </c>
      <c r="O2887" s="1" t="s">
        <v>19</v>
      </c>
      <c r="P2887" s="9" t="str">
        <f t="shared" si="6"/>
        <v>UK</v>
      </c>
      <c r="Q2887" s="8">
        <f t="shared" si="7"/>
        <v>13.5</v>
      </c>
    </row>
    <row r="2888">
      <c r="A2888" s="1">
        <v>545001.0</v>
      </c>
      <c r="B2888" s="1" t="str">
        <f t="shared" si="1"/>
        <v>545001</v>
      </c>
      <c r="C2888" s="1" t="str">
        <f t="shared" si="2"/>
        <v>Sale</v>
      </c>
      <c r="D2888" s="1">
        <v>21576.0</v>
      </c>
      <c r="E2888" s="1" t="str">
        <f>IFERROR(__xludf.DUMMYFUNCTION("IF(LEN(D2888)&gt;4, IFERROR(REGEXEXTRACT(TO_TEXT(D2888),""\d+""),""""),"""")"),"21576")</f>
        <v>21576</v>
      </c>
      <c r="F2888" s="6" t="str">
        <f t="shared" si="3"/>
        <v>Product</v>
      </c>
      <c r="G2888" s="1" t="s">
        <v>1389</v>
      </c>
      <c r="H2888" s="6" t="str">
        <f>IFERROR(__xludf.DUMMYFUNCTION("IF(REGEXMATCH(LOWER(G2888), ""^(\?)+\s*(missing)?\s*(\?)*$""), """", PROPER(SUBSTITUTE(SUBSTITUTE(G2888, ""?"", """"), ""*"", """")))"),"Lets Go Shopping Cotton Tote Bag")</f>
        <v>Lets Go Shopping Cotton Tote Bag</v>
      </c>
      <c r="I2888" s="3">
        <v>6.0</v>
      </c>
      <c r="J2888" s="7">
        <v>40599.52777777778</v>
      </c>
      <c r="K2888" s="8" t="str">
        <f t="shared" si="4"/>
        <v>2011-02</v>
      </c>
      <c r="L2888" s="5">
        <v>2.25</v>
      </c>
      <c r="M2888" s="3">
        <v>16841.0</v>
      </c>
      <c r="N2888" s="1" t="str">
        <f t="shared" si="5"/>
        <v>Registered</v>
      </c>
      <c r="O2888" s="1" t="s">
        <v>19</v>
      </c>
      <c r="P2888" s="9" t="str">
        <f t="shared" si="6"/>
        <v>UK</v>
      </c>
      <c r="Q2888" s="8">
        <f t="shared" si="7"/>
        <v>13.5</v>
      </c>
    </row>
    <row r="2889">
      <c r="A2889" s="1">
        <v>545002.0</v>
      </c>
      <c r="B2889" s="1" t="str">
        <f t="shared" si="1"/>
        <v>545002</v>
      </c>
      <c r="C2889" s="1" t="str">
        <f t="shared" si="2"/>
        <v>Sale</v>
      </c>
      <c r="D2889" s="1">
        <v>22722.0</v>
      </c>
      <c r="E2889" s="1" t="str">
        <f>IFERROR(__xludf.DUMMYFUNCTION("IF(LEN(D2889)&gt;4, IFERROR(REGEXEXTRACT(TO_TEXT(D2889),""\d+""),""""),"""")"),"22722")</f>
        <v>22722</v>
      </c>
      <c r="F2889" s="6" t="str">
        <f t="shared" si="3"/>
        <v>Product</v>
      </c>
      <c r="G2889" s="1" t="s">
        <v>686</v>
      </c>
      <c r="H2889" s="6" t="str">
        <f>IFERROR(__xludf.DUMMYFUNCTION("IF(REGEXMATCH(LOWER(G2889), ""^(\?)+\s*(missing)?\s*(\?)*$""), """", PROPER(SUBSTITUTE(SUBSTITUTE(G2889, ""?"", """"), ""*"", """")))"),"Set Of 6 Spice Tins Pantry Design")</f>
        <v>Set Of 6 Spice Tins Pantry Design</v>
      </c>
      <c r="I2889" s="3">
        <v>4.0</v>
      </c>
      <c r="J2889" s="7">
        <v>40599.529861111114</v>
      </c>
      <c r="K2889" s="8" t="str">
        <f t="shared" si="4"/>
        <v>2011-02</v>
      </c>
      <c r="L2889" s="5">
        <v>3.95</v>
      </c>
      <c r="M2889" s="3">
        <v>13001.0</v>
      </c>
      <c r="N2889" s="1" t="str">
        <f t="shared" si="5"/>
        <v>Registered</v>
      </c>
      <c r="O2889" s="1" t="s">
        <v>19</v>
      </c>
      <c r="P2889" s="9" t="str">
        <f t="shared" si="6"/>
        <v>UK</v>
      </c>
      <c r="Q2889" s="8">
        <f t="shared" si="7"/>
        <v>15.8</v>
      </c>
    </row>
    <row r="2890">
      <c r="A2890" s="1">
        <v>545002.0</v>
      </c>
      <c r="B2890" s="1" t="str">
        <f t="shared" si="1"/>
        <v>545002</v>
      </c>
      <c r="C2890" s="1" t="str">
        <f t="shared" si="2"/>
        <v>Sale</v>
      </c>
      <c r="D2890" s="1">
        <v>22720.0</v>
      </c>
      <c r="E2890" s="1" t="str">
        <f>IFERROR(__xludf.DUMMYFUNCTION("IF(LEN(D2890)&gt;4, IFERROR(REGEXEXTRACT(TO_TEXT(D2890),""\d+""),""""),"""")"),"22720")</f>
        <v>22720</v>
      </c>
      <c r="F2890" s="6" t="str">
        <f t="shared" si="3"/>
        <v>Product</v>
      </c>
      <c r="G2890" s="1" t="s">
        <v>685</v>
      </c>
      <c r="H2890" s="6" t="str">
        <f>IFERROR(__xludf.DUMMYFUNCTION("IF(REGEXMATCH(LOWER(G2890), ""^(\?)+\s*(missing)?\s*(\?)*$""), """", PROPER(SUBSTITUTE(SUBSTITUTE(G2890, ""?"", """"), ""*"", """")))"),"Set Of 3 Cake Tins Pantry Design")</f>
        <v>Set Of 3 Cake Tins Pantry Design</v>
      </c>
      <c r="I2890" s="3">
        <v>4.0</v>
      </c>
      <c r="J2890" s="7">
        <v>40599.529861111114</v>
      </c>
      <c r="K2890" s="8" t="str">
        <f t="shared" si="4"/>
        <v>2011-02</v>
      </c>
      <c r="L2890" s="5">
        <v>4.95</v>
      </c>
      <c r="M2890" s="3">
        <v>13001.0</v>
      </c>
      <c r="N2890" s="1" t="str">
        <f t="shared" si="5"/>
        <v>Registered</v>
      </c>
      <c r="O2890" s="1" t="s">
        <v>19</v>
      </c>
      <c r="P2890" s="9" t="str">
        <f t="shared" si="6"/>
        <v>UK</v>
      </c>
      <c r="Q2890" s="8">
        <f t="shared" si="7"/>
        <v>19.8</v>
      </c>
    </row>
    <row r="2891">
      <c r="A2891" s="1">
        <v>545002.0</v>
      </c>
      <c r="B2891" s="1" t="str">
        <f t="shared" si="1"/>
        <v>545002</v>
      </c>
      <c r="C2891" s="1" t="str">
        <f t="shared" si="2"/>
        <v>Sale</v>
      </c>
      <c r="D2891" s="1">
        <v>20665.0</v>
      </c>
      <c r="E2891" s="1" t="str">
        <f>IFERROR(__xludf.DUMMYFUNCTION("IF(LEN(D2891)&gt;4, IFERROR(REGEXEXTRACT(TO_TEXT(D2891),""\d+""),""""),"""")"),"20665")</f>
        <v>20665</v>
      </c>
      <c r="F2891" s="6" t="str">
        <f t="shared" si="3"/>
        <v>Product</v>
      </c>
      <c r="G2891" s="1" t="s">
        <v>1246</v>
      </c>
      <c r="H2891" s="6" t="str">
        <f>IFERROR(__xludf.DUMMYFUNCTION("IF(REGEXMATCH(LOWER(G2891), ""^(\?)+\s*(missing)?\s*(\?)*$""), """", PROPER(SUBSTITUTE(SUBSTITUTE(G2891, ""?"", """"), ""*"", """")))"),"Red Retrospot Purse")</f>
        <v>Red Retrospot Purse</v>
      </c>
      <c r="I2891" s="3">
        <v>4.0</v>
      </c>
      <c r="J2891" s="7">
        <v>40599.529861111114</v>
      </c>
      <c r="K2891" s="8" t="str">
        <f t="shared" si="4"/>
        <v>2011-02</v>
      </c>
      <c r="L2891" s="5">
        <v>2.95</v>
      </c>
      <c r="M2891" s="3">
        <v>13001.0</v>
      </c>
      <c r="N2891" s="1" t="str">
        <f t="shared" si="5"/>
        <v>Registered</v>
      </c>
      <c r="O2891" s="1" t="s">
        <v>19</v>
      </c>
      <c r="P2891" s="9" t="str">
        <f t="shared" si="6"/>
        <v>UK</v>
      </c>
      <c r="Q2891" s="8">
        <f t="shared" si="7"/>
        <v>11.8</v>
      </c>
    </row>
    <row r="2892">
      <c r="A2892" s="1">
        <v>545002.0</v>
      </c>
      <c r="B2892" s="1" t="str">
        <f t="shared" si="1"/>
        <v>545002</v>
      </c>
      <c r="C2892" s="1" t="str">
        <f t="shared" si="2"/>
        <v>Sale</v>
      </c>
      <c r="D2892" s="1">
        <v>21157.0</v>
      </c>
      <c r="E2892" s="1" t="str">
        <f>IFERROR(__xludf.DUMMYFUNCTION("IF(LEN(D2892)&gt;4, IFERROR(REGEXEXTRACT(TO_TEXT(D2892),""\d+""),""""),"""")"),"21157")</f>
        <v>21157</v>
      </c>
      <c r="F2892" s="6" t="str">
        <f t="shared" si="3"/>
        <v>Product</v>
      </c>
      <c r="G2892" s="1" t="s">
        <v>1390</v>
      </c>
      <c r="H2892" s="6" t="str">
        <f>IFERROR(__xludf.DUMMYFUNCTION("IF(REGEXMATCH(LOWER(G2892), ""^(\?)+\s*(missing)?\s*(\?)*$""), """", PROPER(SUBSTITUTE(SUBSTITUTE(G2892, ""?"", """"), ""*"", """")))"),"Red Retrospot Washbag")</f>
        <v>Red Retrospot Washbag</v>
      </c>
      <c r="I2892" s="3">
        <v>10.0</v>
      </c>
      <c r="J2892" s="7">
        <v>40599.529861111114</v>
      </c>
      <c r="K2892" s="8" t="str">
        <f t="shared" si="4"/>
        <v>2011-02</v>
      </c>
      <c r="L2892" s="5">
        <v>2.1</v>
      </c>
      <c r="M2892" s="3">
        <v>13001.0</v>
      </c>
      <c r="N2892" s="1" t="str">
        <f t="shared" si="5"/>
        <v>Registered</v>
      </c>
      <c r="O2892" s="1" t="s">
        <v>19</v>
      </c>
      <c r="P2892" s="9" t="str">
        <f t="shared" si="6"/>
        <v>UK</v>
      </c>
      <c r="Q2892" s="8">
        <f t="shared" si="7"/>
        <v>21</v>
      </c>
    </row>
    <row r="2893">
      <c r="A2893" s="1">
        <v>545002.0</v>
      </c>
      <c r="B2893" s="1" t="str">
        <f t="shared" si="1"/>
        <v>545002</v>
      </c>
      <c r="C2893" s="1" t="str">
        <f t="shared" si="2"/>
        <v>Sale</v>
      </c>
      <c r="D2893" s="1">
        <v>22178.0</v>
      </c>
      <c r="E2893" s="1" t="str">
        <f>IFERROR(__xludf.DUMMYFUNCTION("IF(LEN(D2893)&gt;4, IFERROR(REGEXEXTRACT(TO_TEXT(D2893),""\d+""),""""),"""")"),"22178")</f>
        <v>22178</v>
      </c>
      <c r="F2893" s="6" t="str">
        <f t="shared" si="3"/>
        <v>Product</v>
      </c>
      <c r="G2893" s="1" t="s">
        <v>369</v>
      </c>
      <c r="H2893" s="6" t="str">
        <f>IFERROR(__xludf.DUMMYFUNCTION("IF(REGEXMATCH(LOWER(G2893), ""^(\?)+\s*(missing)?\s*(\?)*$""), """", PROPER(SUBSTITUTE(SUBSTITUTE(G2893, ""?"", """"), ""*"", """")))"),"Victorian Glass Hanging T-Light")</f>
        <v>Victorian Glass Hanging T-Light</v>
      </c>
      <c r="I2893" s="3">
        <v>198.0</v>
      </c>
      <c r="J2893" s="7">
        <v>40599.529861111114</v>
      </c>
      <c r="K2893" s="8" t="str">
        <f t="shared" si="4"/>
        <v>2011-02</v>
      </c>
      <c r="L2893" s="5">
        <v>1.06</v>
      </c>
      <c r="M2893" s="3">
        <v>13001.0</v>
      </c>
      <c r="N2893" s="1" t="str">
        <f t="shared" si="5"/>
        <v>Registered</v>
      </c>
      <c r="O2893" s="1" t="s">
        <v>19</v>
      </c>
      <c r="P2893" s="9" t="str">
        <f t="shared" si="6"/>
        <v>UK</v>
      </c>
      <c r="Q2893" s="8">
        <f t="shared" si="7"/>
        <v>209.88</v>
      </c>
    </row>
    <row r="2894">
      <c r="A2894" s="1" t="s">
        <v>1391</v>
      </c>
      <c r="B2894" s="1" t="str">
        <f t="shared" si="1"/>
        <v>545003</v>
      </c>
      <c r="C2894" s="1" t="str">
        <f t="shared" si="2"/>
        <v>Return</v>
      </c>
      <c r="D2894" s="1">
        <v>22149.0</v>
      </c>
      <c r="E2894" s="1" t="str">
        <f>IFERROR(__xludf.DUMMYFUNCTION("IF(LEN(D2894)&gt;4, IFERROR(REGEXEXTRACT(TO_TEXT(D2894),""\d+""),""""),"""")"),"22149")</f>
        <v>22149</v>
      </c>
      <c r="F2894" s="6" t="str">
        <f t="shared" si="3"/>
        <v>Product</v>
      </c>
      <c r="G2894" s="1" t="s">
        <v>478</v>
      </c>
      <c r="H2894" s="6" t="str">
        <f>IFERROR(__xludf.DUMMYFUNCTION("IF(REGEXMATCH(LOWER(G2894), ""^(\?)+\s*(missing)?\s*(\?)*$""), """", PROPER(SUBSTITUTE(SUBSTITUTE(G2894, ""?"", """"), ""*"", """")))"),"Feltcraft 6 Flower Friends")</f>
        <v>Feltcraft 6 Flower Friends</v>
      </c>
      <c r="I2894" s="3">
        <v>-1.0</v>
      </c>
      <c r="J2894" s="7">
        <v>40599.53194444445</v>
      </c>
      <c r="K2894" s="8" t="str">
        <f t="shared" si="4"/>
        <v>2011-02</v>
      </c>
      <c r="L2894" s="5">
        <v>2.1</v>
      </c>
      <c r="M2894" s="3">
        <v>18231.0</v>
      </c>
      <c r="N2894" s="1" t="str">
        <f t="shared" si="5"/>
        <v>Registered</v>
      </c>
      <c r="O2894" s="1" t="s">
        <v>19</v>
      </c>
      <c r="P2894" s="9" t="str">
        <f t="shared" si="6"/>
        <v>UK</v>
      </c>
      <c r="Q2894" s="8">
        <f t="shared" si="7"/>
        <v>-2.1</v>
      </c>
    </row>
    <row r="2895">
      <c r="A2895" s="1" t="s">
        <v>1391</v>
      </c>
      <c r="B2895" s="1" t="str">
        <f t="shared" si="1"/>
        <v>545003</v>
      </c>
      <c r="C2895" s="1" t="str">
        <f t="shared" si="2"/>
        <v>Return</v>
      </c>
      <c r="D2895" s="1">
        <v>20972.0</v>
      </c>
      <c r="E2895" s="1" t="str">
        <f>IFERROR(__xludf.DUMMYFUNCTION("IF(LEN(D2895)&gt;4, IFERROR(REGEXEXTRACT(TO_TEXT(D2895),""\d+""),""""),"""")"),"20972")</f>
        <v>20972</v>
      </c>
      <c r="F2895" s="6" t="str">
        <f t="shared" si="3"/>
        <v>Product</v>
      </c>
      <c r="G2895" s="1" t="s">
        <v>759</v>
      </c>
      <c r="H2895" s="6" t="str">
        <f>IFERROR(__xludf.DUMMYFUNCTION("IF(REGEXMATCH(LOWER(G2895), ""^(\?)+\s*(missing)?\s*(\?)*$""), """", PROPER(SUBSTITUTE(SUBSTITUTE(G2895, ""?"", """"), ""*"", """")))"),"Pink Cream Felt Craft Trinket Box")</f>
        <v>Pink Cream Felt Craft Trinket Box</v>
      </c>
      <c r="I2895" s="3">
        <v>-12.0</v>
      </c>
      <c r="J2895" s="7">
        <v>40599.53194444445</v>
      </c>
      <c r="K2895" s="8" t="str">
        <f t="shared" si="4"/>
        <v>2011-02</v>
      </c>
      <c r="L2895" s="5">
        <v>1.25</v>
      </c>
      <c r="M2895" s="3">
        <v>18231.0</v>
      </c>
      <c r="N2895" s="1" t="str">
        <f t="shared" si="5"/>
        <v>Registered</v>
      </c>
      <c r="O2895" s="1" t="s">
        <v>19</v>
      </c>
      <c r="P2895" s="9" t="str">
        <f t="shared" si="6"/>
        <v>UK</v>
      </c>
      <c r="Q2895" s="8">
        <f t="shared" si="7"/>
        <v>-15</v>
      </c>
    </row>
    <row r="2896">
      <c r="A2896" s="1">
        <v>545004.0</v>
      </c>
      <c r="B2896" s="1" t="str">
        <f t="shared" si="1"/>
        <v>545004</v>
      </c>
      <c r="C2896" s="1" t="str">
        <f t="shared" si="2"/>
        <v>Sale</v>
      </c>
      <c r="D2896" s="1">
        <v>21668.0</v>
      </c>
      <c r="E2896" s="1" t="str">
        <f>IFERROR(__xludf.DUMMYFUNCTION("IF(LEN(D2896)&gt;4, IFERROR(REGEXEXTRACT(TO_TEXT(D2896),""\d+""),""""),"""")"),"21668")</f>
        <v>21668</v>
      </c>
      <c r="F2896" s="6" t="str">
        <f t="shared" si="3"/>
        <v>Product</v>
      </c>
      <c r="G2896" s="1" t="s">
        <v>769</v>
      </c>
      <c r="H2896" s="6" t="str">
        <f>IFERROR(__xludf.DUMMYFUNCTION("IF(REGEXMATCH(LOWER(G2896), ""^(\?)+\s*(missing)?\s*(\?)*$""), """", PROPER(SUBSTITUTE(SUBSTITUTE(G2896, ""?"", """"), ""*"", """")))"),"Red Stripe Ceramic Drawer Knob")</f>
        <v>Red Stripe Ceramic Drawer Knob</v>
      </c>
      <c r="I2896" s="3">
        <v>12.0</v>
      </c>
      <c r="J2896" s="7">
        <v>40599.53333333333</v>
      </c>
      <c r="K2896" s="8" t="str">
        <f t="shared" si="4"/>
        <v>2011-02</v>
      </c>
      <c r="L2896" s="5">
        <v>1.25</v>
      </c>
      <c r="M2896" s="3">
        <v>13753.0</v>
      </c>
      <c r="N2896" s="1" t="str">
        <f t="shared" si="5"/>
        <v>Registered</v>
      </c>
      <c r="O2896" s="1" t="s">
        <v>19</v>
      </c>
      <c r="P2896" s="9" t="str">
        <f t="shared" si="6"/>
        <v>UK</v>
      </c>
      <c r="Q2896" s="8">
        <f t="shared" si="7"/>
        <v>15</v>
      </c>
    </row>
    <row r="2897">
      <c r="A2897" s="1">
        <v>545004.0</v>
      </c>
      <c r="B2897" s="1" t="str">
        <f t="shared" si="1"/>
        <v>545004</v>
      </c>
      <c r="C2897" s="1" t="str">
        <f t="shared" si="2"/>
        <v>Sale</v>
      </c>
      <c r="D2897" s="1">
        <v>21669.0</v>
      </c>
      <c r="E2897" s="1" t="str">
        <f>IFERROR(__xludf.DUMMYFUNCTION("IF(LEN(D2897)&gt;4, IFERROR(REGEXEXTRACT(TO_TEXT(D2897),""\d+""),""""),"""")"),"21669")</f>
        <v>21669</v>
      </c>
      <c r="F2897" s="6" t="str">
        <f t="shared" si="3"/>
        <v>Product</v>
      </c>
      <c r="G2897" s="1" t="s">
        <v>766</v>
      </c>
      <c r="H2897" s="6" t="str">
        <f>IFERROR(__xludf.DUMMYFUNCTION("IF(REGEXMATCH(LOWER(G2897), ""^(\?)+\s*(missing)?\s*(\?)*$""), """", PROPER(SUBSTITUTE(SUBSTITUTE(G2897, ""?"", """"), ""*"", """")))"),"Blue Stripe Ceramic Drawer Knob")</f>
        <v>Blue Stripe Ceramic Drawer Knob</v>
      </c>
      <c r="I2897" s="3">
        <v>12.0</v>
      </c>
      <c r="J2897" s="7">
        <v>40599.53333333333</v>
      </c>
      <c r="K2897" s="8" t="str">
        <f t="shared" si="4"/>
        <v>2011-02</v>
      </c>
      <c r="L2897" s="5">
        <v>1.25</v>
      </c>
      <c r="M2897" s="3">
        <v>13753.0</v>
      </c>
      <c r="N2897" s="1" t="str">
        <f t="shared" si="5"/>
        <v>Registered</v>
      </c>
      <c r="O2897" s="1" t="s">
        <v>19</v>
      </c>
      <c r="P2897" s="9" t="str">
        <f t="shared" si="6"/>
        <v>UK</v>
      </c>
      <c r="Q2897" s="8">
        <f t="shared" si="7"/>
        <v>15</v>
      </c>
    </row>
    <row r="2898">
      <c r="A2898" s="1">
        <v>545004.0</v>
      </c>
      <c r="B2898" s="1" t="str">
        <f t="shared" si="1"/>
        <v>545004</v>
      </c>
      <c r="C2898" s="1" t="str">
        <f t="shared" si="2"/>
        <v>Sale</v>
      </c>
      <c r="D2898" s="1">
        <v>79000.0</v>
      </c>
      <c r="E2898" s="1" t="str">
        <f>IFERROR(__xludf.DUMMYFUNCTION("IF(LEN(D2898)&gt;4, IFERROR(REGEXEXTRACT(TO_TEXT(D2898),""\d+""),""""),"""")"),"79000")</f>
        <v>79000</v>
      </c>
      <c r="F2898" s="6" t="str">
        <f t="shared" si="3"/>
        <v>Product</v>
      </c>
      <c r="G2898" s="1" t="s">
        <v>863</v>
      </c>
      <c r="H2898" s="6" t="str">
        <f>IFERROR(__xludf.DUMMYFUNCTION("IF(REGEXMATCH(LOWER(G2898), ""^(\?)+\s*(missing)?\s*(\?)*$""), """", PROPER(SUBSTITUTE(SUBSTITUTE(G2898, ""?"", """"), ""*"", """")))"),"Moroccan Tea Glass")</f>
        <v>Moroccan Tea Glass</v>
      </c>
      <c r="I2898" s="3">
        <v>12.0</v>
      </c>
      <c r="J2898" s="7">
        <v>40599.53333333333</v>
      </c>
      <c r="K2898" s="8" t="str">
        <f t="shared" si="4"/>
        <v>2011-02</v>
      </c>
      <c r="L2898" s="5">
        <v>0.85</v>
      </c>
      <c r="M2898" s="3">
        <v>13753.0</v>
      </c>
      <c r="N2898" s="1" t="str">
        <f t="shared" si="5"/>
        <v>Registered</v>
      </c>
      <c r="O2898" s="1" t="s">
        <v>19</v>
      </c>
      <c r="P2898" s="9" t="str">
        <f t="shared" si="6"/>
        <v>UK</v>
      </c>
      <c r="Q2898" s="8">
        <f t="shared" si="7"/>
        <v>10.2</v>
      </c>
    </row>
    <row r="2899">
      <c r="A2899" s="1">
        <v>545004.0</v>
      </c>
      <c r="B2899" s="1" t="str">
        <f t="shared" si="1"/>
        <v>545004</v>
      </c>
      <c r="C2899" s="1" t="str">
        <f t="shared" si="2"/>
        <v>Sale</v>
      </c>
      <c r="D2899" s="1">
        <v>22595.0</v>
      </c>
      <c r="E2899" s="1" t="str">
        <f>IFERROR(__xludf.DUMMYFUNCTION("IF(LEN(D2899)&gt;4, IFERROR(REGEXEXTRACT(TO_TEXT(D2899),""\d+""),""""),"""")"),"22595")</f>
        <v>22595</v>
      </c>
      <c r="F2899" s="6" t="str">
        <f t="shared" si="3"/>
        <v>Product</v>
      </c>
      <c r="G2899" s="1" t="s">
        <v>916</v>
      </c>
      <c r="H2899" s="6" t="str">
        <f>IFERROR(__xludf.DUMMYFUNCTION("IF(REGEXMATCH(LOWER(G2899), ""^(\?)+\s*(missing)?\s*(\?)*$""), """", PROPER(SUBSTITUTE(SUBSTITUTE(G2899, ""?"", """"), ""*"", """")))"),"Gingham Heart Decoration")</f>
        <v>Gingham Heart Decoration</v>
      </c>
      <c r="I2899" s="3">
        <v>12.0</v>
      </c>
      <c r="J2899" s="7">
        <v>40599.53333333333</v>
      </c>
      <c r="K2899" s="8" t="str">
        <f t="shared" si="4"/>
        <v>2011-02</v>
      </c>
      <c r="L2899" s="5">
        <v>0.85</v>
      </c>
      <c r="M2899" s="3">
        <v>13753.0</v>
      </c>
      <c r="N2899" s="1" t="str">
        <f t="shared" si="5"/>
        <v>Registered</v>
      </c>
      <c r="O2899" s="1" t="s">
        <v>19</v>
      </c>
      <c r="P2899" s="9" t="str">
        <f t="shared" si="6"/>
        <v>UK</v>
      </c>
      <c r="Q2899" s="8">
        <f t="shared" si="7"/>
        <v>10.2</v>
      </c>
    </row>
    <row r="2900">
      <c r="A2900" s="1">
        <v>545004.0</v>
      </c>
      <c r="B2900" s="1" t="str">
        <f t="shared" si="1"/>
        <v>545004</v>
      </c>
      <c r="C2900" s="1" t="str">
        <f t="shared" si="2"/>
        <v>Sale</v>
      </c>
      <c r="D2900" s="1">
        <v>22855.0</v>
      </c>
      <c r="E2900" s="1" t="str">
        <f>IFERROR(__xludf.DUMMYFUNCTION("IF(LEN(D2900)&gt;4, IFERROR(REGEXEXTRACT(TO_TEXT(D2900),""\d+""),""""),"""")"),"22855")</f>
        <v>22855</v>
      </c>
      <c r="F2900" s="6" t="str">
        <f t="shared" si="3"/>
        <v>Product</v>
      </c>
      <c r="G2900" s="1" t="s">
        <v>690</v>
      </c>
      <c r="H2900" s="6" t="str">
        <f>IFERROR(__xludf.DUMMYFUNCTION("IF(REGEXMATCH(LOWER(G2900), ""^(\?)+\s*(missing)?\s*(\?)*$""), """", PROPER(SUBSTITUTE(SUBSTITUTE(G2900, ""?"", """"), ""*"", """")))"),"Fine Wicker Heart")</f>
        <v>Fine Wicker Heart</v>
      </c>
      <c r="I2900" s="3">
        <v>12.0</v>
      </c>
      <c r="J2900" s="7">
        <v>40599.53333333333</v>
      </c>
      <c r="K2900" s="8" t="str">
        <f t="shared" si="4"/>
        <v>2011-02</v>
      </c>
      <c r="L2900" s="5">
        <v>1.25</v>
      </c>
      <c r="M2900" s="3">
        <v>13753.0</v>
      </c>
      <c r="N2900" s="1" t="str">
        <f t="shared" si="5"/>
        <v>Registered</v>
      </c>
      <c r="O2900" s="1" t="s">
        <v>19</v>
      </c>
      <c r="P2900" s="9" t="str">
        <f t="shared" si="6"/>
        <v>UK</v>
      </c>
      <c r="Q2900" s="8">
        <f t="shared" si="7"/>
        <v>15</v>
      </c>
    </row>
    <row r="2901">
      <c r="A2901" s="1">
        <v>545004.0</v>
      </c>
      <c r="B2901" s="1" t="str">
        <f t="shared" si="1"/>
        <v>545004</v>
      </c>
      <c r="C2901" s="1" t="str">
        <f t="shared" si="2"/>
        <v>Sale</v>
      </c>
      <c r="D2901" s="1">
        <v>22469.0</v>
      </c>
      <c r="E2901" s="1" t="str">
        <f>IFERROR(__xludf.DUMMYFUNCTION("IF(LEN(D2901)&gt;4, IFERROR(REGEXEXTRACT(TO_TEXT(D2901),""\d+""),""""),"""")"),"22469")</f>
        <v>22469</v>
      </c>
      <c r="F2901" s="6" t="str">
        <f t="shared" si="3"/>
        <v>Product</v>
      </c>
      <c r="G2901" s="1" t="s">
        <v>167</v>
      </c>
      <c r="H2901" s="6" t="str">
        <f>IFERROR(__xludf.DUMMYFUNCTION("IF(REGEXMATCH(LOWER(G2901), ""^(\?)+\s*(missing)?\s*(\?)*$""), """", PROPER(SUBSTITUTE(SUBSTITUTE(G2901, ""?"", """"), ""*"", """")))"),"Heart Of Wicker Small")</f>
        <v>Heart Of Wicker Small</v>
      </c>
      <c r="I2901" s="3">
        <v>12.0</v>
      </c>
      <c r="J2901" s="7">
        <v>40599.53333333333</v>
      </c>
      <c r="K2901" s="8" t="str">
        <f t="shared" si="4"/>
        <v>2011-02</v>
      </c>
      <c r="L2901" s="5">
        <v>1.65</v>
      </c>
      <c r="M2901" s="3">
        <v>13753.0</v>
      </c>
      <c r="N2901" s="1" t="str">
        <f t="shared" si="5"/>
        <v>Registered</v>
      </c>
      <c r="O2901" s="1" t="s">
        <v>19</v>
      </c>
      <c r="P2901" s="9" t="str">
        <f t="shared" si="6"/>
        <v>UK</v>
      </c>
      <c r="Q2901" s="8">
        <f t="shared" si="7"/>
        <v>19.8</v>
      </c>
    </row>
    <row r="2902">
      <c r="A2902" s="1">
        <v>545004.0</v>
      </c>
      <c r="B2902" s="1" t="str">
        <f t="shared" si="1"/>
        <v>545004</v>
      </c>
      <c r="C2902" s="1" t="str">
        <f t="shared" si="2"/>
        <v>Sale</v>
      </c>
      <c r="D2902" s="1">
        <v>21164.0</v>
      </c>
      <c r="E2902" s="1" t="str">
        <f>IFERROR(__xludf.DUMMYFUNCTION("IF(LEN(D2902)&gt;4, IFERROR(REGEXEXTRACT(TO_TEXT(D2902),""\d+""),""""),"""")"),"21164")</f>
        <v>21164</v>
      </c>
      <c r="F2902" s="6" t="str">
        <f t="shared" si="3"/>
        <v>Product</v>
      </c>
      <c r="G2902" s="1" t="s">
        <v>872</v>
      </c>
      <c r="H2902" s="6" t="str">
        <f>IFERROR(__xludf.DUMMYFUNCTION("IF(REGEXMATCH(LOWER(G2902), ""^(\?)+\s*(missing)?\s*(\?)*$""), """", PROPER(SUBSTITUTE(SUBSTITUTE(G2902, ""?"", """"), ""*"", """")))"),"Home Sweet Home Metal Sign")</f>
        <v>Home Sweet Home Metal Sign</v>
      </c>
      <c r="I2902" s="3">
        <v>6.0</v>
      </c>
      <c r="J2902" s="7">
        <v>40599.53333333333</v>
      </c>
      <c r="K2902" s="8" t="str">
        <f t="shared" si="4"/>
        <v>2011-02</v>
      </c>
      <c r="L2902" s="5">
        <v>2.95</v>
      </c>
      <c r="M2902" s="3">
        <v>13753.0</v>
      </c>
      <c r="N2902" s="1" t="str">
        <f t="shared" si="5"/>
        <v>Registered</v>
      </c>
      <c r="O2902" s="1" t="s">
        <v>19</v>
      </c>
      <c r="P2902" s="9" t="str">
        <f t="shared" si="6"/>
        <v>UK</v>
      </c>
      <c r="Q2902" s="8">
        <f t="shared" si="7"/>
        <v>17.7</v>
      </c>
    </row>
    <row r="2903">
      <c r="A2903" s="1">
        <v>545004.0</v>
      </c>
      <c r="B2903" s="1" t="str">
        <f t="shared" si="1"/>
        <v>545004</v>
      </c>
      <c r="C2903" s="1" t="str">
        <f t="shared" si="2"/>
        <v>Sale</v>
      </c>
      <c r="D2903" s="1">
        <v>21174.0</v>
      </c>
      <c r="E2903" s="1" t="str">
        <f>IFERROR(__xludf.DUMMYFUNCTION("IF(LEN(D2903)&gt;4, IFERROR(REGEXEXTRACT(TO_TEXT(D2903),""\d+""),""""),"""")"),"21174")</f>
        <v>21174</v>
      </c>
      <c r="F2903" s="6" t="str">
        <f t="shared" si="3"/>
        <v>Product</v>
      </c>
      <c r="G2903" s="1" t="s">
        <v>1392</v>
      </c>
      <c r="H2903" s="6" t="str">
        <f>IFERROR(__xludf.DUMMYFUNCTION("IF(REGEXMATCH(LOWER(G2903), ""^(\?)+\s*(missing)?\s*(\?)*$""), """", PROPER(SUBSTITUTE(SUBSTITUTE(G2903, ""?"", """"), ""*"", """")))"),"Pottering In The Shed Metal Sign")</f>
        <v>Pottering In The Shed Metal Sign</v>
      </c>
      <c r="I2903" s="3">
        <v>12.0</v>
      </c>
      <c r="J2903" s="7">
        <v>40599.53333333333</v>
      </c>
      <c r="K2903" s="8" t="str">
        <f t="shared" si="4"/>
        <v>2011-02</v>
      </c>
      <c r="L2903" s="5">
        <v>2.08</v>
      </c>
      <c r="M2903" s="3">
        <v>13753.0</v>
      </c>
      <c r="N2903" s="1" t="str">
        <f t="shared" si="5"/>
        <v>Registered</v>
      </c>
      <c r="O2903" s="1" t="s">
        <v>19</v>
      </c>
      <c r="P2903" s="9" t="str">
        <f t="shared" si="6"/>
        <v>UK</v>
      </c>
      <c r="Q2903" s="8">
        <f t="shared" si="7"/>
        <v>24.96</v>
      </c>
    </row>
    <row r="2904">
      <c r="A2904" s="1">
        <v>545004.0</v>
      </c>
      <c r="B2904" s="1" t="str">
        <f t="shared" si="1"/>
        <v>545004</v>
      </c>
      <c r="C2904" s="1" t="str">
        <f t="shared" si="2"/>
        <v>Sale</v>
      </c>
      <c r="D2904" s="1">
        <v>22674.0</v>
      </c>
      <c r="E2904" s="1" t="str">
        <f>IFERROR(__xludf.DUMMYFUNCTION("IF(LEN(D2904)&gt;4, IFERROR(REGEXEXTRACT(TO_TEXT(D2904),""\d+""),""""),"""")"),"22674")</f>
        <v>22674</v>
      </c>
      <c r="F2904" s="6" t="str">
        <f t="shared" si="3"/>
        <v>Product</v>
      </c>
      <c r="G2904" s="1" t="s">
        <v>1199</v>
      </c>
      <c r="H2904" s="6" t="str">
        <f>IFERROR(__xludf.DUMMYFUNCTION("IF(REGEXMATCH(LOWER(G2904), ""^(\?)+\s*(missing)?\s*(\?)*$""), """", PROPER(SUBSTITUTE(SUBSTITUTE(G2904, ""?"", """"), ""*"", """")))"),"French Toilet Sign Blue Metal")</f>
        <v>French Toilet Sign Blue Metal</v>
      </c>
      <c r="I2904" s="3">
        <v>12.0</v>
      </c>
      <c r="J2904" s="7">
        <v>40599.53333333333</v>
      </c>
      <c r="K2904" s="8" t="str">
        <f t="shared" si="4"/>
        <v>2011-02</v>
      </c>
      <c r="L2904" s="5">
        <v>1.25</v>
      </c>
      <c r="M2904" s="3">
        <v>13753.0</v>
      </c>
      <c r="N2904" s="1" t="str">
        <f t="shared" si="5"/>
        <v>Registered</v>
      </c>
      <c r="O2904" s="1" t="s">
        <v>19</v>
      </c>
      <c r="P2904" s="9" t="str">
        <f t="shared" si="6"/>
        <v>UK</v>
      </c>
      <c r="Q2904" s="8">
        <f t="shared" si="7"/>
        <v>15</v>
      </c>
    </row>
    <row r="2905">
      <c r="A2905" s="1">
        <v>545004.0</v>
      </c>
      <c r="B2905" s="1" t="str">
        <f t="shared" si="1"/>
        <v>545004</v>
      </c>
      <c r="C2905" s="1" t="str">
        <f t="shared" si="2"/>
        <v>Sale</v>
      </c>
      <c r="D2905" s="1">
        <v>22671.0</v>
      </c>
      <c r="E2905" s="1" t="str">
        <f>IFERROR(__xludf.DUMMYFUNCTION("IF(LEN(D2905)&gt;4, IFERROR(REGEXEXTRACT(TO_TEXT(D2905),""\d+""),""""),"""")"),"22671")</f>
        <v>22671</v>
      </c>
      <c r="F2905" s="6" t="str">
        <f t="shared" si="3"/>
        <v>Product</v>
      </c>
      <c r="G2905" s="1" t="s">
        <v>1393</v>
      </c>
      <c r="H2905" s="6" t="str">
        <f>IFERROR(__xludf.DUMMYFUNCTION("IF(REGEXMATCH(LOWER(G2905), ""^(\?)+\s*(missing)?\s*(\?)*$""), """", PROPER(SUBSTITUTE(SUBSTITUTE(G2905, ""?"", """"), ""*"", """")))"),"French Laundry Sign Blue Metal")</f>
        <v>French Laundry Sign Blue Metal</v>
      </c>
      <c r="I2905" s="3">
        <v>12.0</v>
      </c>
      <c r="J2905" s="7">
        <v>40599.53333333333</v>
      </c>
      <c r="K2905" s="8" t="str">
        <f t="shared" si="4"/>
        <v>2011-02</v>
      </c>
      <c r="L2905" s="5">
        <v>1.65</v>
      </c>
      <c r="M2905" s="3">
        <v>13753.0</v>
      </c>
      <c r="N2905" s="1" t="str">
        <f t="shared" si="5"/>
        <v>Registered</v>
      </c>
      <c r="O2905" s="1" t="s">
        <v>19</v>
      </c>
      <c r="P2905" s="9" t="str">
        <f t="shared" si="6"/>
        <v>UK</v>
      </c>
      <c r="Q2905" s="8">
        <f t="shared" si="7"/>
        <v>19.8</v>
      </c>
    </row>
    <row r="2906">
      <c r="A2906" s="1">
        <v>545004.0</v>
      </c>
      <c r="B2906" s="1" t="str">
        <f t="shared" si="1"/>
        <v>545004</v>
      </c>
      <c r="C2906" s="1" t="str">
        <f t="shared" si="2"/>
        <v>Sale</v>
      </c>
      <c r="D2906" s="1">
        <v>22672.0</v>
      </c>
      <c r="E2906" s="1" t="str">
        <f>IFERROR(__xludf.DUMMYFUNCTION("IF(LEN(D2906)&gt;4, IFERROR(REGEXEXTRACT(TO_TEXT(D2906),""\d+""),""""),"""")"),"22672")</f>
        <v>22672</v>
      </c>
      <c r="F2906" s="6" t="str">
        <f t="shared" si="3"/>
        <v>Product</v>
      </c>
      <c r="G2906" s="1" t="s">
        <v>1394</v>
      </c>
      <c r="H2906" s="6" t="str">
        <f>IFERROR(__xludf.DUMMYFUNCTION("IF(REGEXMATCH(LOWER(G2906), ""^(\?)+\s*(missing)?\s*(\?)*$""), """", PROPER(SUBSTITUTE(SUBSTITUTE(G2906, ""?"", """"), ""*"", """")))"),"French Bathroom Sign Blue Metal")</f>
        <v>French Bathroom Sign Blue Metal</v>
      </c>
      <c r="I2906" s="3">
        <v>12.0</v>
      </c>
      <c r="J2906" s="7">
        <v>40599.53333333333</v>
      </c>
      <c r="K2906" s="8" t="str">
        <f t="shared" si="4"/>
        <v>2011-02</v>
      </c>
      <c r="L2906" s="5">
        <v>1.65</v>
      </c>
      <c r="M2906" s="3">
        <v>13753.0</v>
      </c>
      <c r="N2906" s="1" t="str">
        <f t="shared" si="5"/>
        <v>Registered</v>
      </c>
      <c r="O2906" s="1" t="s">
        <v>19</v>
      </c>
      <c r="P2906" s="9" t="str">
        <f t="shared" si="6"/>
        <v>UK</v>
      </c>
      <c r="Q2906" s="8">
        <f t="shared" si="7"/>
        <v>19.8</v>
      </c>
    </row>
    <row r="2907">
      <c r="A2907" s="1">
        <v>545004.0</v>
      </c>
      <c r="B2907" s="1" t="str">
        <f t="shared" si="1"/>
        <v>545004</v>
      </c>
      <c r="C2907" s="1" t="str">
        <f t="shared" si="2"/>
        <v>Sale</v>
      </c>
      <c r="D2907" s="1">
        <v>22673.0</v>
      </c>
      <c r="E2907" s="1" t="str">
        <f>IFERROR(__xludf.DUMMYFUNCTION("IF(LEN(D2907)&gt;4, IFERROR(REGEXEXTRACT(TO_TEXT(D2907),""\d+""),""""),"""")"),"22673")</f>
        <v>22673</v>
      </c>
      <c r="F2907" s="6" t="str">
        <f t="shared" si="3"/>
        <v>Product</v>
      </c>
      <c r="G2907" s="1" t="s">
        <v>1395</v>
      </c>
      <c r="H2907" s="6" t="str">
        <f>IFERROR(__xludf.DUMMYFUNCTION("IF(REGEXMATCH(LOWER(G2907), ""^(\?)+\s*(missing)?\s*(\?)*$""), """", PROPER(SUBSTITUTE(SUBSTITUTE(G2907, ""?"", """"), ""*"", """")))"),"French Garden Sign Blue Metal")</f>
        <v>French Garden Sign Blue Metal</v>
      </c>
      <c r="I2907" s="3">
        <v>12.0</v>
      </c>
      <c r="J2907" s="7">
        <v>40599.53333333333</v>
      </c>
      <c r="K2907" s="8" t="str">
        <f t="shared" si="4"/>
        <v>2011-02</v>
      </c>
      <c r="L2907" s="5">
        <v>1.25</v>
      </c>
      <c r="M2907" s="3">
        <v>13753.0</v>
      </c>
      <c r="N2907" s="1" t="str">
        <f t="shared" si="5"/>
        <v>Registered</v>
      </c>
      <c r="O2907" s="1" t="s">
        <v>19</v>
      </c>
      <c r="P2907" s="9" t="str">
        <f t="shared" si="6"/>
        <v>UK</v>
      </c>
      <c r="Q2907" s="8">
        <f t="shared" si="7"/>
        <v>15</v>
      </c>
    </row>
    <row r="2908">
      <c r="A2908" s="1">
        <v>545004.0</v>
      </c>
      <c r="B2908" s="1" t="str">
        <f t="shared" si="1"/>
        <v>545004</v>
      </c>
      <c r="C2908" s="1" t="str">
        <f t="shared" si="2"/>
        <v>Sale</v>
      </c>
      <c r="D2908" s="1">
        <v>22675.0</v>
      </c>
      <c r="E2908" s="1" t="str">
        <f>IFERROR(__xludf.DUMMYFUNCTION("IF(LEN(D2908)&gt;4, IFERROR(REGEXEXTRACT(TO_TEXT(D2908),""\d+""),""""),"""")"),"22675")</f>
        <v>22675</v>
      </c>
      <c r="F2908" s="6" t="str">
        <f t="shared" si="3"/>
        <v>Product</v>
      </c>
      <c r="G2908" s="1" t="s">
        <v>1396</v>
      </c>
      <c r="H2908" s="6" t="str">
        <f>IFERROR(__xludf.DUMMYFUNCTION("IF(REGEXMATCH(LOWER(G2908), ""^(\?)+\s*(missing)?\s*(\?)*$""), """", PROPER(SUBSTITUTE(SUBSTITUTE(G2908, ""?"", """"), ""*"", """")))"),"French Kitchen Sign Blue Metal")</f>
        <v>French Kitchen Sign Blue Metal</v>
      </c>
      <c r="I2908" s="3">
        <v>12.0</v>
      </c>
      <c r="J2908" s="7">
        <v>40599.53333333333</v>
      </c>
      <c r="K2908" s="8" t="str">
        <f t="shared" si="4"/>
        <v>2011-02</v>
      </c>
      <c r="L2908" s="5">
        <v>1.25</v>
      </c>
      <c r="M2908" s="3">
        <v>13753.0</v>
      </c>
      <c r="N2908" s="1" t="str">
        <f t="shared" si="5"/>
        <v>Registered</v>
      </c>
      <c r="O2908" s="1" t="s">
        <v>19</v>
      </c>
      <c r="P2908" s="9" t="str">
        <f t="shared" si="6"/>
        <v>UK</v>
      </c>
      <c r="Q2908" s="8">
        <f t="shared" si="7"/>
        <v>15</v>
      </c>
    </row>
    <row r="2909">
      <c r="A2909" s="1">
        <v>545004.0</v>
      </c>
      <c r="B2909" s="1" t="str">
        <f t="shared" si="1"/>
        <v>545004</v>
      </c>
      <c r="C2909" s="1" t="str">
        <f t="shared" si="2"/>
        <v>Sale</v>
      </c>
      <c r="D2909" s="1">
        <v>22690.0</v>
      </c>
      <c r="E2909" s="1" t="str">
        <f>IFERROR(__xludf.DUMMYFUNCTION("IF(LEN(D2909)&gt;4, IFERROR(REGEXEXTRACT(TO_TEXT(D2909),""\d+""),""""),"""")"),"22690")</f>
        <v>22690</v>
      </c>
      <c r="F2909" s="6" t="str">
        <f t="shared" si="3"/>
        <v>Product</v>
      </c>
      <c r="G2909" s="1" t="s">
        <v>799</v>
      </c>
      <c r="H2909" s="6" t="str">
        <f>IFERROR(__xludf.DUMMYFUNCTION("IF(REGEXMATCH(LOWER(G2909), ""^(\?)+\s*(missing)?\s*(\?)*$""), """", PROPER(SUBSTITUTE(SUBSTITUTE(G2909, ""?"", """"), ""*"", """")))"),"Doormat Home Sweet Home Blue")</f>
        <v>Doormat Home Sweet Home Blue</v>
      </c>
      <c r="I2909" s="3">
        <v>10.0</v>
      </c>
      <c r="J2909" s="7">
        <v>40599.53333333333</v>
      </c>
      <c r="K2909" s="8" t="str">
        <f t="shared" si="4"/>
        <v>2011-02</v>
      </c>
      <c r="L2909" s="5">
        <v>6.75</v>
      </c>
      <c r="M2909" s="3">
        <v>13753.0</v>
      </c>
      <c r="N2909" s="1" t="str">
        <f t="shared" si="5"/>
        <v>Registered</v>
      </c>
      <c r="O2909" s="1" t="s">
        <v>19</v>
      </c>
      <c r="P2909" s="9" t="str">
        <f t="shared" si="6"/>
        <v>UK</v>
      </c>
      <c r="Q2909" s="8">
        <f t="shared" si="7"/>
        <v>67.5</v>
      </c>
    </row>
    <row r="2910">
      <c r="A2910" s="1">
        <v>545004.0</v>
      </c>
      <c r="B2910" s="1" t="str">
        <f t="shared" si="1"/>
        <v>545004</v>
      </c>
      <c r="C2910" s="1" t="str">
        <f t="shared" si="2"/>
        <v>Sale</v>
      </c>
      <c r="D2910" s="1">
        <v>22691.0</v>
      </c>
      <c r="E2910" s="1" t="str">
        <f>IFERROR(__xludf.DUMMYFUNCTION("IF(LEN(D2910)&gt;4, IFERROR(REGEXEXTRACT(TO_TEXT(D2910),""\d+""),""""),"""")"),"22691")</f>
        <v>22691</v>
      </c>
      <c r="F2910" s="6" t="str">
        <f t="shared" si="3"/>
        <v>Product</v>
      </c>
      <c r="G2910" s="1" t="s">
        <v>1397</v>
      </c>
      <c r="H2910" s="6" t="str">
        <f>IFERROR(__xludf.DUMMYFUNCTION("IF(REGEXMATCH(LOWER(G2910), ""^(\?)+\s*(missing)?\s*(\?)*$""), """", PROPER(SUBSTITUTE(SUBSTITUTE(G2910, ""?"", """"), ""*"", """")))"),"Doormat Welcome Sunrise")</f>
        <v>Doormat Welcome Sunrise</v>
      </c>
      <c r="I2910" s="3">
        <v>10.0</v>
      </c>
      <c r="J2910" s="7">
        <v>40599.53333333333</v>
      </c>
      <c r="K2910" s="8" t="str">
        <f t="shared" si="4"/>
        <v>2011-02</v>
      </c>
      <c r="L2910" s="5">
        <v>6.75</v>
      </c>
      <c r="M2910" s="3">
        <v>13753.0</v>
      </c>
      <c r="N2910" s="1" t="str">
        <f t="shared" si="5"/>
        <v>Registered</v>
      </c>
      <c r="O2910" s="1" t="s">
        <v>19</v>
      </c>
      <c r="P2910" s="9" t="str">
        <f t="shared" si="6"/>
        <v>UK</v>
      </c>
      <c r="Q2910" s="8">
        <f t="shared" si="7"/>
        <v>67.5</v>
      </c>
    </row>
    <row r="2911">
      <c r="A2911" s="1">
        <v>545004.0</v>
      </c>
      <c r="B2911" s="1" t="str">
        <f t="shared" si="1"/>
        <v>545004</v>
      </c>
      <c r="C2911" s="1" t="str">
        <f t="shared" si="2"/>
        <v>Sale</v>
      </c>
      <c r="D2911" s="1">
        <v>23230.0</v>
      </c>
      <c r="E2911" s="1" t="str">
        <f>IFERROR(__xludf.DUMMYFUNCTION("IF(LEN(D2911)&gt;4, IFERROR(REGEXEXTRACT(TO_TEXT(D2911),""\d+""),""""),"""")"),"23230")</f>
        <v>23230</v>
      </c>
      <c r="F2911" s="6" t="str">
        <f t="shared" si="3"/>
        <v>Product</v>
      </c>
      <c r="G2911" s="1" t="s">
        <v>1129</v>
      </c>
      <c r="H2911" s="6" t="str">
        <f>IFERROR(__xludf.DUMMYFUNCTION("IF(REGEXMATCH(LOWER(G2911), ""^(\?)+\s*(missing)?\s*(\?)*$""), """", PROPER(SUBSTITUTE(SUBSTITUTE(G2911, ""?"", """"), ""*"", """")))"),"Wrap Alphabet Design")</f>
        <v>Wrap Alphabet Design</v>
      </c>
      <c r="I2911" s="3">
        <v>25.0</v>
      </c>
      <c r="J2911" s="7">
        <v>40599.53333333333</v>
      </c>
      <c r="K2911" s="8" t="str">
        <f t="shared" si="4"/>
        <v>2011-02</v>
      </c>
      <c r="L2911" s="5">
        <v>0.42</v>
      </c>
      <c r="M2911" s="3">
        <v>13753.0</v>
      </c>
      <c r="N2911" s="1" t="str">
        <f t="shared" si="5"/>
        <v>Registered</v>
      </c>
      <c r="O2911" s="1" t="s">
        <v>19</v>
      </c>
      <c r="P2911" s="9" t="str">
        <f t="shared" si="6"/>
        <v>UK</v>
      </c>
      <c r="Q2911" s="8">
        <f t="shared" si="7"/>
        <v>10.5</v>
      </c>
    </row>
    <row r="2912">
      <c r="A2912" s="1">
        <v>545004.0</v>
      </c>
      <c r="B2912" s="1" t="str">
        <f t="shared" si="1"/>
        <v>545004</v>
      </c>
      <c r="C2912" s="1" t="str">
        <f t="shared" si="2"/>
        <v>Sale</v>
      </c>
      <c r="D2912" s="1">
        <v>23231.0</v>
      </c>
      <c r="E2912" s="1" t="str">
        <f>IFERROR(__xludf.DUMMYFUNCTION("IF(LEN(D2912)&gt;4, IFERROR(REGEXEXTRACT(TO_TEXT(D2912),""\d+""),""""),"""")"),"23231")</f>
        <v>23231</v>
      </c>
      <c r="F2912" s="6" t="str">
        <f t="shared" si="3"/>
        <v>Product</v>
      </c>
      <c r="G2912" s="1" t="s">
        <v>1398</v>
      </c>
      <c r="H2912" s="6" t="str">
        <f>IFERROR(__xludf.DUMMYFUNCTION("IF(REGEXMATCH(LOWER(G2912), ""^(\?)+\s*(missing)?\s*(\?)*$""), """", PROPER(SUBSTITUTE(SUBSTITUTE(G2912, ""?"", """"), ""*"", """")))"),"Wrap Doiley Design")</f>
        <v>Wrap Doiley Design</v>
      </c>
      <c r="I2912" s="3">
        <v>25.0</v>
      </c>
      <c r="J2912" s="7">
        <v>40599.53333333333</v>
      </c>
      <c r="K2912" s="8" t="str">
        <f t="shared" si="4"/>
        <v>2011-02</v>
      </c>
      <c r="L2912" s="5">
        <v>0.42</v>
      </c>
      <c r="M2912" s="3">
        <v>13753.0</v>
      </c>
      <c r="N2912" s="1" t="str">
        <f t="shared" si="5"/>
        <v>Registered</v>
      </c>
      <c r="O2912" s="1" t="s">
        <v>19</v>
      </c>
      <c r="P2912" s="9" t="str">
        <f t="shared" si="6"/>
        <v>UK</v>
      </c>
      <c r="Q2912" s="8">
        <f t="shared" si="7"/>
        <v>10.5</v>
      </c>
    </row>
    <row r="2913">
      <c r="A2913" s="1">
        <v>545004.0</v>
      </c>
      <c r="B2913" s="1" t="str">
        <f t="shared" si="1"/>
        <v>545004</v>
      </c>
      <c r="C2913" s="1" t="str">
        <f t="shared" si="2"/>
        <v>Sale</v>
      </c>
      <c r="D2913" s="1">
        <v>23232.0</v>
      </c>
      <c r="E2913" s="1" t="str">
        <f>IFERROR(__xludf.DUMMYFUNCTION("IF(LEN(D2913)&gt;4, IFERROR(REGEXEXTRACT(TO_TEXT(D2913),""\d+""),""""),"""")"),"23232")</f>
        <v>23232</v>
      </c>
      <c r="F2913" s="6" t="str">
        <f t="shared" si="3"/>
        <v>Product</v>
      </c>
      <c r="G2913" s="1" t="s">
        <v>1299</v>
      </c>
      <c r="H2913" s="6" t="str">
        <f>IFERROR(__xludf.DUMMYFUNCTION("IF(REGEXMATCH(LOWER(G2913), ""^(\?)+\s*(missing)?\s*(\?)*$""), """", PROPER(SUBSTITUTE(SUBSTITUTE(G2913, ""?"", """"), ""*"", """")))"),"Wrap Vintage Petals Design")</f>
        <v>Wrap Vintage Petals Design</v>
      </c>
      <c r="I2913" s="3">
        <v>25.0</v>
      </c>
      <c r="J2913" s="7">
        <v>40599.53333333333</v>
      </c>
      <c r="K2913" s="8" t="str">
        <f t="shared" si="4"/>
        <v>2011-02</v>
      </c>
      <c r="L2913" s="5">
        <v>0.42</v>
      </c>
      <c r="M2913" s="3">
        <v>13753.0</v>
      </c>
      <c r="N2913" s="1" t="str">
        <f t="shared" si="5"/>
        <v>Registered</v>
      </c>
      <c r="O2913" s="1" t="s">
        <v>19</v>
      </c>
      <c r="P2913" s="9" t="str">
        <f t="shared" si="6"/>
        <v>UK</v>
      </c>
      <c r="Q2913" s="8">
        <f t="shared" si="7"/>
        <v>10.5</v>
      </c>
    </row>
    <row r="2914">
      <c r="A2914" s="1">
        <v>545004.0</v>
      </c>
      <c r="B2914" s="1" t="str">
        <f t="shared" si="1"/>
        <v>545004</v>
      </c>
      <c r="C2914" s="1" t="str">
        <f t="shared" si="2"/>
        <v>Sale</v>
      </c>
      <c r="D2914" s="1">
        <v>23233.0</v>
      </c>
      <c r="E2914" s="1" t="str">
        <f>IFERROR(__xludf.DUMMYFUNCTION("IF(LEN(D2914)&gt;4, IFERROR(REGEXEXTRACT(TO_TEXT(D2914),""\d+""),""""),"""")"),"23233")</f>
        <v>23233</v>
      </c>
      <c r="F2914" s="6" t="str">
        <f t="shared" si="3"/>
        <v>Product</v>
      </c>
      <c r="G2914" s="1" t="s">
        <v>930</v>
      </c>
      <c r="H2914" s="6" t="str">
        <f>IFERROR(__xludf.DUMMYFUNCTION("IF(REGEXMATCH(LOWER(G2914), ""^(\?)+\s*(missing)?\s*(\?)*$""), """", PROPER(SUBSTITUTE(SUBSTITUTE(G2914, ""?"", """"), ""*"", """")))"),"Wrap Poppies Design")</f>
        <v>Wrap Poppies Design</v>
      </c>
      <c r="I2914" s="3">
        <v>25.0</v>
      </c>
      <c r="J2914" s="7">
        <v>40599.53333333333</v>
      </c>
      <c r="K2914" s="8" t="str">
        <f t="shared" si="4"/>
        <v>2011-02</v>
      </c>
      <c r="L2914" s="5">
        <v>0.42</v>
      </c>
      <c r="M2914" s="3">
        <v>13753.0</v>
      </c>
      <c r="N2914" s="1" t="str">
        <f t="shared" si="5"/>
        <v>Registered</v>
      </c>
      <c r="O2914" s="1" t="s">
        <v>19</v>
      </c>
      <c r="P2914" s="9" t="str">
        <f t="shared" si="6"/>
        <v>UK</v>
      </c>
      <c r="Q2914" s="8">
        <f t="shared" si="7"/>
        <v>10.5</v>
      </c>
    </row>
    <row r="2915">
      <c r="A2915" s="1">
        <v>545004.0</v>
      </c>
      <c r="B2915" s="1" t="str">
        <f t="shared" si="1"/>
        <v>545004</v>
      </c>
      <c r="C2915" s="1" t="str">
        <f t="shared" si="2"/>
        <v>Sale</v>
      </c>
      <c r="D2915" s="1">
        <v>22991.0</v>
      </c>
      <c r="E2915" s="1" t="str">
        <f>IFERROR(__xludf.DUMMYFUNCTION("IF(LEN(D2915)&gt;4, IFERROR(REGEXEXTRACT(TO_TEXT(D2915),""\d+""),""""),"""")"),"22991")</f>
        <v>22991</v>
      </c>
      <c r="F2915" s="6" t="str">
        <f t="shared" si="3"/>
        <v>Product</v>
      </c>
      <c r="G2915" s="1" t="s">
        <v>731</v>
      </c>
      <c r="H2915" s="6" t="str">
        <f>IFERROR(__xludf.DUMMYFUNCTION("IF(REGEXMATCH(LOWER(G2915), ""^(\?)+\s*(missing)?\s*(\?)*$""), """", PROPER(SUBSTITUTE(SUBSTITUTE(G2915, ""?"", """"), ""*"", """")))"),"Giraffe Wooden Ruler")</f>
        <v>Giraffe Wooden Ruler</v>
      </c>
      <c r="I2915" s="3">
        <v>12.0</v>
      </c>
      <c r="J2915" s="7">
        <v>40599.53333333333</v>
      </c>
      <c r="K2915" s="8" t="str">
        <f t="shared" si="4"/>
        <v>2011-02</v>
      </c>
      <c r="L2915" s="5">
        <v>1.95</v>
      </c>
      <c r="M2915" s="3">
        <v>13753.0</v>
      </c>
      <c r="N2915" s="1" t="str">
        <f t="shared" si="5"/>
        <v>Registered</v>
      </c>
      <c r="O2915" s="1" t="s">
        <v>19</v>
      </c>
      <c r="P2915" s="9" t="str">
        <f t="shared" si="6"/>
        <v>UK</v>
      </c>
      <c r="Q2915" s="8">
        <f t="shared" si="7"/>
        <v>23.4</v>
      </c>
    </row>
    <row r="2916">
      <c r="A2916" s="1">
        <v>545004.0</v>
      </c>
      <c r="B2916" s="1" t="str">
        <f t="shared" si="1"/>
        <v>545004</v>
      </c>
      <c r="C2916" s="1" t="str">
        <f t="shared" si="2"/>
        <v>Sale</v>
      </c>
      <c r="D2916" s="1">
        <v>22992.0</v>
      </c>
      <c r="E2916" s="1" t="str">
        <f>IFERROR(__xludf.DUMMYFUNCTION("IF(LEN(D2916)&gt;4, IFERROR(REGEXEXTRACT(TO_TEXT(D2916),""\d+""),""""),"""")"),"22992")</f>
        <v>22992</v>
      </c>
      <c r="F2916" s="6" t="str">
        <f t="shared" si="3"/>
        <v>Product</v>
      </c>
      <c r="G2916" s="1" t="s">
        <v>732</v>
      </c>
      <c r="H2916" s="6" t="str">
        <f>IFERROR(__xludf.DUMMYFUNCTION("IF(REGEXMATCH(LOWER(G2916), ""^(\?)+\s*(missing)?\s*(\?)*$""), """", PROPER(SUBSTITUTE(SUBSTITUTE(G2916, ""?"", """"), ""*"", """")))"),"Revolver Wooden Ruler")</f>
        <v>Revolver Wooden Ruler</v>
      </c>
      <c r="I2916" s="3">
        <v>12.0</v>
      </c>
      <c r="J2916" s="7">
        <v>40599.53333333333</v>
      </c>
      <c r="K2916" s="8" t="str">
        <f t="shared" si="4"/>
        <v>2011-02</v>
      </c>
      <c r="L2916" s="5">
        <v>1.95</v>
      </c>
      <c r="M2916" s="3">
        <v>13753.0</v>
      </c>
      <c r="N2916" s="1" t="str">
        <f t="shared" si="5"/>
        <v>Registered</v>
      </c>
      <c r="O2916" s="1" t="s">
        <v>19</v>
      </c>
      <c r="P2916" s="9" t="str">
        <f t="shared" si="6"/>
        <v>UK</v>
      </c>
      <c r="Q2916" s="8">
        <f t="shared" si="7"/>
        <v>23.4</v>
      </c>
    </row>
    <row r="2917">
      <c r="A2917" s="1">
        <v>545004.0</v>
      </c>
      <c r="B2917" s="1" t="str">
        <f t="shared" si="1"/>
        <v>545004</v>
      </c>
      <c r="C2917" s="1" t="str">
        <f t="shared" si="2"/>
        <v>Sale</v>
      </c>
      <c r="D2917" s="1">
        <v>22228.0</v>
      </c>
      <c r="E2917" s="1" t="str">
        <f>IFERROR(__xludf.DUMMYFUNCTION("IF(LEN(D2917)&gt;4, IFERROR(REGEXEXTRACT(TO_TEXT(D2917),""\d+""),""""),"""")"),"22228")</f>
        <v>22228</v>
      </c>
      <c r="F2917" s="6" t="str">
        <f t="shared" si="3"/>
        <v>Product</v>
      </c>
      <c r="G2917" s="1" t="s">
        <v>1399</v>
      </c>
      <c r="H2917" s="6" t="str">
        <f>IFERROR(__xludf.DUMMYFUNCTION("IF(REGEXMATCH(LOWER(G2917), ""^(\?)+\s*(missing)?\s*(\?)*$""), """", PROPER(SUBSTITUTE(SUBSTITUTE(G2917, ""?"", """"), ""*"", """")))"),"Bunny Wooden Painted With Bird")</f>
        <v>Bunny Wooden Painted With Bird</v>
      </c>
      <c r="I2917" s="3">
        <v>36.0</v>
      </c>
      <c r="J2917" s="7">
        <v>40599.53333333333</v>
      </c>
      <c r="K2917" s="8" t="str">
        <f t="shared" si="4"/>
        <v>2011-02</v>
      </c>
      <c r="L2917" s="5">
        <v>0.85</v>
      </c>
      <c r="M2917" s="3">
        <v>13753.0</v>
      </c>
      <c r="N2917" s="1" t="str">
        <f t="shared" si="5"/>
        <v>Registered</v>
      </c>
      <c r="O2917" s="1" t="s">
        <v>19</v>
      </c>
      <c r="P2917" s="9" t="str">
        <f t="shared" si="6"/>
        <v>UK</v>
      </c>
      <c r="Q2917" s="8">
        <f t="shared" si="7"/>
        <v>30.6</v>
      </c>
    </row>
    <row r="2918">
      <c r="A2918" s="1">
        <v>545004.0</v>
      </c>
      <c r="B2918" s="1" t="str">
        <f t="shared" si="1"/>
        <v>545004</v>
      </c>
      <c r="C2918" s="1" t="str">
        <f t="shared" si="2"/>
        <v>Sale</v>
      </c>
      <c r="D2918" s="1">
        <v>22231.0</v>
      </c>
      <c r="E2918" s="1" t="str">
        <f>IFERROR(__xludf.DUMMYFUNCTION("IF(LEN(D2918)&gt;4, IFERROR(REGEXEXTRACT(TO_TEXT(D2918),""\d+""),""""),"""")"),"22231")</f>
        <v>22231</v>
      </c>
      <c r="F2918" s="6" t="str">
        <f t="shared" si="3"/>
        <v>Product</v>
      </c>
      <c r="G2918" s="1" t="s">
        <v>1282</v>
      </c>
      <c r="H2918" s="6" t="str">
        <f>IFERROR(__xludf.DUMMYFUNCTION("IF(REGEXMATCH(LOWER(G2918), ""^(\?)+\s*(missing)?\s*(\?)*$""), """", PROPER(SUBSTITUTE(SUBSTITUTE(G2918, ""?"", """"), ""*"", """")))"),"Jigsaw Tree With Birdhouse")</f>
        <v>Jigsaw Tree With Birdhouse</v>
      </c>
      <c r="I2918" s="3">
        <v>24.0</v>
      </c>
      <c r="J2918" s="7">
        <v>40599.53333333333</v>
      </c>
      <c r="K2918" s="8" t="str">
        <f t="shared" si="4"/>
        <v>2011-02</v>
      </c>
      <c r="L2918" s="5">
        <v>1.45</v>
      </c>
      <c r="M2918" s="3">
        <v>13753.0</v>
      </c>
      <c r="N2918" s="1" t="str">
        <f t="shared" si="5"/>
        <v>Registered</v>
      </c>
      <c r="O2918" s="1" t="s">
        <v>19</v>
      </c>
      <c r="P2918" s="9" t="str">
        <f t="shared" si="6"/>
        <v>UK</v>
      </c>
      <c r="Q2918" s="8">
        <f t="shared" si="7"/>
        <v>34.8</v>
      </c>
    </row>
    <row r="2919">
      <c r="A2919" s="1">
        <v>545004.0</v>
      </c>
      <c r="B2919" s="1" t="str">
        <f t="shared" si="1"/>
        <v>545004</v>
      </c>
      <c r="C2919" s="1" t="str">
        <f t="shared" si="2"/>
        <v>Sale</v>
      </c>
      <c r="D2919" s="1">
        <v>21439.0</v>
      </c>
      <c r="E2919" s="1" t="str">
        <f>IFERROR(__xludf.DUMMYFUNCTION("IF(LEN(D2919)&gt;4, IFERROR(REGEXEXTRACT(TO_TEXT(D2919),""\d+""),""""),"""")"),"21439")</f>
        <v>21439</v>
      </c>
      <c r="F2919" s="6" t="str">
        <f t="shared" si="3"/>
        <v>Product</v>
      </c>
      <c r="G2919" s="1" t="s">
        <v>809</v>
      </c>
      <c r="H2919" s="6" t="str">
        <f>IFERROR(__xludf.DUMMYFUNCTION("IF(REGEXMATCH(LOWER(G2919), ""^(\?)+\s*(missing)?\s*(\?)*$""), """", PROPER(SUBSTITUTE(SUBSTITUTE(G2919, ""?"", """"), ""*"", """")))"),"Basket Of Toadstools")</f>
        <v>Basket Of Toadstools</v>
      </c>
      <c r="I2919" s="3">
        <v>12.0</v>
      </c>
      <c r="J2919" s="7">
        <v>40599.53333333333</v>
      </c>
      <c r="K2919" s="8" t="str">
        <f t="shared" si="4"/>
        <v>2011-02</v>
      </c>
      <c r="L2919" s="5">
        <v>1.25</v>
      </c>
      <c r="M2919" s="3">
        <v>13753.0</v>
      </c>
      <c r="N2919" s="1" t="str">
        <f t="shared" si="5"/>
        <v>Registered</v>
      </c>
      <c r="O2919" s="1" t="s">
        <v>19</v>
      </c>
      <c r="P2919" s="9" t="str">
        <f t="shared" si="6"/>
        <v>UK</v>
      </c>
      <c r="Q2919" s="8">
        <f t="shared" si="7"/>
        <v>15</v>
      </c>
    </row>
    <row r="2920">
      <c r="A2920" s="1">
        <v>545004.0</v>
      </c>
      <c r="B2920" s="1" t="str">
        <f t="shared" si="1"/>
        <v>545004</v>
      </c>
      <c r="C2920" s="1" t="str">
        <f t="shared" si="2"/>
        <v>Sale</v>
      </c>
      <c r="D2920" s="1">
        <v>22232.0</v>
      </c>
      <c r="E2920" s="1" t="str">
        <f>IFERROR(__xludf.DUMMYFUNCTION("IF(LEN(D2920)&gt;4, IFERROR(REGEXEXTRACT(TO_TEXT(D2920),""\d+""),""""),"""")"),"22232")</f>
        <v>22232</v>
      </c>
      <c r="F2920" s="6" t="str">
        <f t="shared" si="3"/>
        <v>Product</v>
      </c>
      <c r="G2920" s="1" t="s">
        <v>1400</v>
      </c>
      <c r="H2920" s="6" t="str">
        <f>IFERROR(__xludf.DUMMYFUNCTION("IF(REGEXMATCH(LOWER(G2920), ""^(\?)+\s*(missing)?\s*(\?)*$""), """", PROPER(SUBSTITUTE(SUBSTITUTE(G2920, ""?"", """"), ""*"", """")))"),"Jigsaw Toadstools 3 Piece")</f>
        <v>Jigsaw Toadstools 3 Piece</v>
      </c>
      <c r="I2920" s="3">
        <v>8.0</v>
      </c>
      <c r="J2920" s="7">
        <v>40599.53333333333</v>
      </c>
      <c r="K2920" s="8" t="str">
        <f t="shared" si="4"/>
        <v>2011-02</v>
      </c>
      <c r="L2920" s="5">
        <v>1.65</v>
      </c>
      <c r="M2920" s="3">
        <v>13753.0</v>
      </c>
      <c r="N2920" s="1" t="str">
        <f t="shared" si="5"/>
        <v>Registered</v>
      </c>
      <c r="O2920" s="1" t="s">
        <v>19</v>
      </c>
      <c r="P2920" s="9" t="str">
        <f t="shared" si="6"/>
        <v>UK</v>
      </c>
      <c r="Q2920" s="8">
        <f t="shared" si="7"/>
        <v>13.2</v>
      </c>
    </row>
    <row r="2921">
      <c r="A2921" s="1">
        <v>545004.0</v>
      </c>
      <c r="B2921" s="1" t="str">
        <f t="shared" si="1"/>
        <v>545004</v>
      </c>
      <c r="C2921" s="1" t="str">
        <f t="shared" si="2"/>
        <v>Sale</v>
      </c>
      <c r="D2921" s="1">
        <v>22858.0</v>
      </c>
      <c r="E2921" s="1" t="str">
        <f>IFERROR(__xludf.DUMMYFUNCTION("IF(LEN(D2921)&gt;4, IFERROR(REGEXEXTRACT(TO_TEXT(D2921),""\d+""),""""),"""")"),"22858")</f>
        <v>22858</v>
      </c>
      <c r="F2921" s="6" t="str">
        <f t="shared" si="3"/>
        <v>Product</v>
      </c>
      <c r="G2921" s="1" t="s">
        <v>1057</v>
      </c>
      <c r="H2921" s="6" t="str">
        <f>IFERROR(__xludf.DUMMYFUNCTION("IF(REGEXMATCH(LOWER(G2921), ""^(\?)+\s*(missing)?\s*(\?)*$""), """", PROPER(SUBSTITUTE(SUBSTITUTE(G2921, ""?"", """"), ""*"", """")))"),"Easter Tin Keepsake")</f>
        <v>Easter Tin Keepsake</v>
      </c>
      <c r="I2921" s="3">
        <v>12.0</v>
      </c>
      <c r="J2921" s="7">
        <v>40599.53333333333</v>
      </c>
      <c r="K2921" s="8" t="str">
        <f t="shared" si="4"/>
        <v>2011-02</v>
      </c>
      <c r="L2921" s="5">
        <v>1.65</v>
      </c>
      <c r="M2921" s="3">
        <v>13753.0</v>
      </c>
      <c r="N2921" s="1" t="str">
        <f t="shared" si="5"/>
        <v>Registered</v>
      </c>
      <c r="O2921" s="1" t="s">
        <v>19</v>
      </c>
      <c r="P2921" s="9" t="str">
        <f t="shared" si="6"/>
        <v>UK</v>
      </c>
      <c r="Q2921" s="8">
        <f t="shared" si="7"/>
        <v>19.8</v>
      </c>
    </row>
    <row r="2922">
      <c r="A2922" s="1">
        <v>545004.0</v>
      </c>
      <c r="B2922" s="1" t="str">
        <f t="shared" si="1"/>
        <v>545004</v>
      </c>
      <c r="C2922" s="1" t="str">
        <f t="shared" si="2"/>
        <v>Sale</v>
      </c>
      <c r="D2922" s="1">
        <v>22860.0</v>
      </c>
      <c r="E2922" s="1" t="str">
        <f>IFERROR(__xludf.DUMMYFUNCTION("IF(LEN(D2922)&gt;4, IFERROR(REGEXEXTRACT(TO_TEXT(D2922),""\d+""),""""),"""")"),"22860")</f>
        <v>22860</v>
      </c>
      <c r="F2922" s="6" t="str">
        <f t="shared" si="3"/>
        <v>Product</v>
      </c>
      <c r="G2922" s="1" t="s">
        <v>902</v>
      </c>
      <c r="H2922" s="6" t="str">
        <f>IFERROR(__xludf.DUMMYFUNCTION("IF(REGEXMATCH(LOWER(G2922), ""^(\?)+\s*(missing)?\s*(\?)*$""), """", PROPER(SUBSTITUTE(SUBSTITUTE(G2922, ""?"", """"), ""*"", """")))"),"Easter Tin Chicks Pink Daisy")</f>
        <v>Easter Tin Chicks Pink Daisy</v>
      </c>
      <c r="I2922" s="3">
        <v>12.0</v>
      </c>
      <c r="J2922" s="7">
        <v>40599.53333333333</v>
      </c>
      <c r="K2922" s="8" t="str">
        <f t="shared" si="4"/>
        <v>2011-02</v>
      </c>
      <c r="L2922" s="5">
        <v>1.65</v>
      </c>
      <c r="M2922" s="3">
        <v>13753.0</v>
      </c>
      <c r="N2922" s="1" t="str">
        <f t="shared" si="5"/>
        <v>Registered</v>
      </c>
      <c r="O2922" s="1" t="s">
        <v>19</v>
      </c>
      <c r="P2922" s="9" t="str">
        <f t="shared" si="6"/>
        <v>UK</v>
      </c>
      <c r="Q2922" s="8">
        <f t="shared" si="7"/>
        <v>19.8</v>
      </c>
    </row>
    <row r="2923">
      <c r="A2923" s="1">
        <v>545004.0</v>
      </c>
      <c r="B2923" s="1" t="str">
        <f t="shared" si="1"/>
        <v>545004</v>
      </c>
      <c r="C2923" s="1" t="str">
        <f t="shared" si="2"/>
        <v>Sale</v>
      </c>
      <c r="D2923" s="1">
        <v>22861.0</v>
      </c>
      <c r="E2923" s="1" t="str">
        <f>IFERROR(__xludf.DUMMYFUNCTION("IF(LEN(D2923)&gt;4, IFERROR(REGEXEXTRACT(TO_TEXT(D2923),""\d+""),""""),"""")"),"22861")</f>
        <v>22861</v>
      </c>
      <c r="F2923" s="6" t="str">
        <f t="shared" si="3"/>
        <v>Product</v>
      </c>
      <c r="G2923" s="1" t="s">
        <v>1058</v>
      </c>
      <c r="H2923" s="6" t="str">
        <f>IFERROR(__xludf.DUMMYFUNCTION("IF(REGEXMATCH(LOWER(G2923), ""^(\?)+\s*(missing)?\s*(\?)*$""), """", PROPER(SUBSTITUTE(SUBSTITUTE(G2923, ""?"", """"), ""*"", """")))"),"Easter Tin Chicks In Garden")</f>
        <v>Easter Tin Chicks In Garden</v>
      </c>
      <c r="I2923" s="3">
        <v>12.0</v>
      </c>
      <c r="J2923" s="7">
        <v>40599.53333333333</v>
      </c>
      <c r="K2923" s="8" t="str">
        <f t="shared" si="4"/>
        <v>2011-02</v>
      </c>
      <c r="L2923" s="5">
        <v>1.65</v>
      </c>
      <c r="M2923" s="3">
        <v>13753.0</v>
      </c>
      <c r="N2923" s="1" t="str">
        <f t="shared" si="5"/>
        <v>Registered</v>
      </c>
      <c r="O2923" s="1" t="s">
        <v>19</v>
      </c>
      <c r="P2923" s="9" t="str">
        <f t="shared" si="6"/>
        <v>UK</v>
      </c>
      <c r="Q2923" s="8">
        <f t="shared" si="7"/>
        <v>19.8</v>
      </c>
    </row>
    <row r="2924">
      <c r="A2924" s="1">
        <v>545004.0</v>
      </c>
      <c r="B2924" s="1" t="str">
        <f t="shared" si="1"/>
        <v>545004</v>
      </c>
      <c r="C2924" s="1" t="str">
        <f t="shared" si="2"/>
        <v>Sale</v>
      </c>
      <c r="D2924" s="1">
        <v>22961.0</v>
      </c>
      <c r="E2924" s="1" t="str">
        <f>IFERROR(__xludf.DUMMYFUNCTION("IF(LEN(D2924)&gt;4, IFERROR(REGEXEXTRACT(TO_TEXT(D2924),""\d+""),""""),"""")"),"22961")</f>
        <v>22961</v>
      </c>
      <c r="F2924" s="6" t="str">
        <f t="shared" si="3"/>
        <v>Product</v>
      </c>
      <c r="G2924" s="1" t="s">
        <v>109</v>
      </c>
      <c r="H2924" s="6" t="str">
        <f>IFERROR(__xludf.DUMMYFUNCTION("IF(REGEXMATCH(LOWER(G2924), ""^(\?)+\s*(missing)?\s*(\?)*$""), """", PROPER(SUBSTITUTE(SUBSTITUTE(G2924, ""?"", """"), ""*"", """")))"),"Jam Making Set Printed")</f>
        <v>Jam Making Set Printed</v>
      </c>
      <c r="I2924" s="3">
        <v>12.0</v>
      </c>
      <c r="J2924" s="7">
        <v>40599.53333333333</v>
      </c>
      <c r="K2924" s="8" t="str">
        <f t="shared" si="4"/>
        <v>2011-02</v>
      </c>
      <c r="L2924" s="5">
        <v>1.45</v>
      </c>
      <c r="M2924" s="3">
        <v>13753.0</v>
      </c>
      <c r="N2924" s="1" t="str">
        <f t="shared" si="5"/>
        <v>Registered</v>
      </c>
      <c r="O2924" s="1" t="s">
        <v>19</v>
      </c>
      <c r="P2924" s="9" t="str">
        <f t="shared" si="6"/>
        <v>UK</v>
      </c>
      <c r="Q2924" s="8">
        <f t="shared" si="7"/>
        <v>17.4</v>
      </c>
    </row>
    <row r="2925">
      <c r="A2925" s="1">
        <v>545004.0</v>
      </c>
      <c r="B2925" s="1" t="str">
        <f t="shared" si="1"/>
        <v>545004</v>
      </c>
      <c r="C2925" s="1" t="str">
        <f t="shared" si="2"/>
        <v>Sale</v>
      </c>
      <c r="D2925" s="1">
        <v>22052.0</v>
      </c>
      <c r="E2925" s="1" t="str">
        <f>IFERROR(__xludf.DUMMYFUNCTION("IF(LEN(D2925)&gt;4, IFERROR(REGEXEXTRACT(TO_TEXT(D2925),""\d+""),""""),"""")"),"22052")</f>
        <v>22052</v>
      </c>
      <c r="F2925" s="6" t="str">
        <f t="shared" si="3"/>
        <v>Product</v>
      </c>
      <c r="G2925" s="1" t="s">
        <v>1401</v>
      </c>
      <c r="H2925" s="6" t="str">
        <f>IFERROR(__xludf.DUMMYFUNCTION("IF(REGEXMATCH(LOWER(G2925), ""^(\?)+\s*(missing)?\s*(\?)*$""), """", PROPER(SUBSTITUTE(SUBSTITUTE(G2925, ""?"", """"), ""*"", """")))"),"Vintage Caravan Gift Wrap")</f>
        <v>Vintage Caravan Gift Wrap</v>
      </c>
      <c r="I2925" s="3">
        <v>25.0</v>
      </c>
      <c r="J2925" s="7">
        <v>40599.53333333333</v>
      </c>
      <c r="K2925" s="8" t="str">
        <f t="shared" si="4"/>
        <v>2011-02</v>
      </c>
      <c r="L2925" s="5">
        <v>0.42</v>
      </c>
      <c r="M2925" s="3">
        <v>13753.0</v>
      </c>
      <c r="N2925" s="1" t="str">
        <f t="shared" si="5"/>
        <v>Registered</v>
      </c>
      <c r="O2925" s="1" t="s">
        <v>19</v>
      </c>
      <c r="P2925" s="9" t="str">
        <f t="shared" si="6"/>
        <v>UK</v>
      </c>
      <c r="Q2925" s="8">
        <f t="shared" si="7"/>
        <v>10.5</v>
      </c>
    </row>
    <row r="2926">
      <c r="A2926" s="1">
        <v>545004.0</v>
      </c>
      <c r="B2926" s="1" t="str">
        <f t="shared" si="1"/>
        <v>545004</v>
      </c>
      <c r="C2926" s="1" t="str">
        <f t="shared" si="2"/>
        <v>Sale</v>
      </c>
      <c r="D2926" s="1">
        <v>22986.0</v>
      </c>
      <c r="E2926" s="1" t="str">
        <f>IFERROR(__xludf.DUMMYFUNCTION("IF(LEN(D2926)&gt;4, IFERROR(REGEXEXTRACT(TO_TEXT(D2926),""\d+""),""""),"""")"),"22986")</f>
        <v>22986</v>
      </c>
      <c r="F2926" s="6" t="str">
        <f t="shared" si="3"/>
        <v>Product</v>
      </c>
      <c r="G2926" s="1" t="s">
        <v>1402</v>
      </c>
      <c r="H2926" s="6" t="str">
        <f>IFERROR(__xludf.DUMMYFUNCTION("IF(REGEXMATCH(LOWER(G2926), ""^(\?)+\s*(missing)?\s*(\?)*$""), """", PROPER(SUBSTITUTE(SUBSTITUTE(G2926, ""?"", """"), ""*"", """")))"),"Gingham Rose Wrap")</f>
        <v>Gingham Rose Wrap</v>
      </c>
      <c r="I2926" s="3">
        <v>25.0</v>
      </c>
      <c r="J2926" s="7">
        <v>40599.53333333333</v>
      </c>
      <c r="K2926" s="8" t="str">
        <f t="shared" si="4"/>
        <v>2011-02</v>
      </c>
      <c r="L2926" s="5">
        <v>0.42</v>
      </c>
      <c r="M2926" s="3">
        <v>13753.0</v>
      </c>
      <c r="N2926" s="1" t="str">
        <f t="shared" si="5"/>
        <v>Registered</v>
      </c>
      <c r="O2926" s="1" t="s">
        <v>19</v>
      </c>
      <c r="P2926" s="9" t="str">
        <f t="shared" si="6"/>
        <v>UK</v>
      </c>
      <c r="Q2926" s="8">
        <f t="shared" si="7"/>
        <v>10.5</v>
      </c>
    </row>
    <row r="2927">
      <c r="A2927" s="1">
        <v>545004.0</v>
      </c>
      <c r="B2927" s="1" t="str">
        <f t="shared" si="1"/>
        <v>545004</v>
      </c>
      <c r="C2927" s="1" t="str">
        <f t="shared" si="2"/>
        <v>Sale</v>
      </c>
      <c r="D2927" s="1">
        <v>22585.0</v>
      </c>
      <c r="E2927" s="1" t="str">
        <f>IFERROR(__xludf.DUMMYFUNCTION("IF(LEN(D2927)&gt;4, IFERROR(REGEXEXTRACT(TO_TEXT(D2927),""\d+""),""""),"""")"),"22585")</f>
        <v>22585</v>
      </c>
      <c r="F2927" s="6" t="str">
        <f t="shared" si="3"/>
        <v>Product</v>
      </c>
      <c r="G2927" s="1" t="s">
        <v>520</v>
      </c>
      <c r="H2927" s="6" t="str">
        <f>IFERROR(__xludf.DUMMYFUNCTION("IF(REGEXMATCH(LOWER(G2927), ""^(\?)+\s*(missing)?\s*(\?)*$""), """", PROPER(SUBSTITUTE(SUBSTITUTE(G2927, ""?"", """"), ""*"", """")))"),"Pack Of 6 Birdy Gift Tags")</f>
        <v>Pack Of 6 Birdy Gift Tags</v>
      </c>
      <c r="I2927" s="3">
        <v>12.0</v>
      </c>
      <c r="J2927" s="7">
        <v>40599.53333333333</v>
      </c>
      <c r="K2927" s="8" t="str">
        <f t="shared" si="4"/>
        <v>2011-02</v>
      </c>
      <c r="L2927" s="5">
        <v>1.25</v>
      </c>
      <c r="M2927" s="3">
        <v>13753.0</v>
      </c>
      <c r="N2927" s="1" t="str">
        <f t="shared" si="5"/>
        <v>Registered</v>
      </c>
      <c r="O2927" s="1" t="s">
        <v>19</v>
      </c>
      <c r="P2927" s="9" t="str">
        <f t="shared" si="6"/>
        <v>UK</v>
      </c>
      <c r="Q2927" s="8">
        <f t="shared" si="7"/>
        <v>15</v>
      </c>
    </row>
    <row r="2928">
      <c r="A2928" s="1">
        <v>545004.0</v>
      </c>
      <c r="B2928" s="1" t="str">
        <f t="shared" si="1"/>
        <v>545004</v>
      </c>
      <c r="C2928" s="1" t="str">
        <f t="shared" si="2"/>
        <v>Sale</v>
      </c>
      <c r="D2928" s="1">
        <v>47566.0</v>
      </c>
      <c r="E2928" s="1" t="str">
        <f>IFERROR(__xludf.DUMMYFUNCTION("IF(LEN(D2928)&gt;4, IFERROR(REGEXEXTRACT(TO_TEXT(D2928),""\d+""),""""),"""")"),"47566")</f>
        <v>47566</v>
      </c>
      <c r="F2928" s="6" t="str">
        <f t="shared" si="3"/>
        <v>Product</v>
      </c>
      <c r="G2928" s="1" t="s">
        <v>1002</v>
      </c>
      <c r="H2928" s="6" t="str">
        <f>IFERROR(__xludf.DUMMYFUNCTION("IF(REGEXMATCH(LOWER(G2928), ""^(\?)+\s*(missing)?\s*(\?)*$""), """", PROPER(SUBSTITUTE(SUBSTITUTE(G2928, ""?"", """"), ""*"", """")))"),"Party Bunting")</f>
        <v>Party Bunting</v>
      </c>
      <c r="I2928" s="3">
        <v>8.0</v>
      </c>
      <c r="J2928" s="7">
        <v>40599.53333333333</v>
      </c>
      <c r="K2928" s="8" t="str">
        <f t="shared" si="4"/>
        <v>2011-02</v>
      </c>
      <c r="L2928" s="5">
        <v>4.95</v>
      </c>
      <c r="M2928" s="3">
        <v>13753.0</v>
      </c>
      <c r="N2928" s="1" t="str">
        <f t="shared" si="5"/>
        <v>Registered</v>
      </c>
      <c r="O2928" s="1" t="s">
        <v>19</v>
      </c>
      <c r="P2928" s="9" t="str">
        <f t="shared" si="6"/>
        <v>UK</v>
      </c>
      <c r="Q2928" s="8">
        <f t="shared" si="7"/>
        <v>39.6</v>
      </c>
    </row>
    <row r="2929">
      <c r="A2929" s="1">
        <v>545004.0</v>
      </c>
      <c r="B2929" s="1" t="str">
        <f t="shared" si="1"/>
        <v>545004</v>
      </c>
      <c r="C2929" s="1" t="str">
        <f t="shared" si="2"/>
        <v>Sale</v>
      </c>
      <c r="D2929" s="1">
        <v>22669.0</v>
      </c>
      <c r="E2929" s="1" t="str">
        <f>IFERROR(__xludf.DUMMYFUNCTION("IF(LEN(D2929)&gt;4, IFERROR(REGEXEXTRACT(TO_TEXT(D2929),""\d+""),""""),"""")"),"22669")</f>
        <v>22669</v>
      </c>
      <c r="F2929" s="6" t="str">
        <f t="shared" si="3"/>
        <v>Product</v>
      </c>
      <c r="G2929" s="1" t="s">
        <v>989</v>
      </c>
      <c r="H2929" s="6" t="str">
        <f>IFERROR(__xludf.DUMMYFUNCTION("IF(REGEXMATCH(LOWER(G2929), ""^(\?)+\s*(missing)?\s*(\?)*$""), """", PROPER(SUBSTITUTE(SUBSTITUTE(G2929, ""?"", """"), ""*"", """")))"),"Red Baby Bunting")</f>
        <v>Red Baby Bunting</v>
      </c>
      <c r="I2929" s="3">
        <v>10.0</v>
      </c>
      <c r="J2929" s="7">
        <v>40599.53333333333</v>
      </c>
      <c r="K2929" s="8" t="str">
        <f t="shared" si="4"/>
        <v>2011-02</v>
      </c>
      <c r="L2929" s="5">
        <v>2.95</v>
      </c>
      <c r="M2929" s="3">
        <v>13753.0</v>
      </c>
      <c r="N2929" s="1" t="str">
        <f t="shared" si="5"/>
        <v>Registered</v>
      </c>
      <c r="O2929" s="1" t="s">
        <v>19</v>
      </c>
      <c r="P2929" s="9" t="str">
        <f t="shared" si="6"/>
        <v>UK</v>
      </c>
      <c r="Q2929" s="8">
        <f t="shared" si="7"/>
        <v>29.5</v>
      </c>
    </row>
    <row r="2930">
      <c r="A2930" s="1">
        <v>545004.0</v>
      </c>
      <c r="B2930" s="1" t="str">
        <f t="shared" si="1"/>
        <v>545004</v>
      </c>
      <c r="C2930" s="1" t="str">
        <f t="shared" si="2"/>
        <v>Sale</v>
      </c>
      <c r="D2930" s="1">
        <v>22668.0</v>
      </c>
      <c r="E2930" s="1" t="str">
        <f>IFERROR(__xludf.DUMMYFUNCTION("IF(LEN(D2930)&gt;4, IFERROR(REGEXEXTRACT(TO_TEXT(D2930),""\d+""),""""),"""")"),"22668")</f>
        <v>22668</v>
      </c>
      <c r="F2930" s="6" t="str">
        <f t="shared" si="3"/>
        <v>Product</v>
      </c>
      <c r="G2930" s="1" t="s">
        <v>988</v>
      </c>
      <c r="H2930" s="6" t="str">
        <f>IFERROR(__xludf.DUMMYFUNCTION("IF(REGEXMATCH(LOWER(G2930), ""^(\?)+\s*(missing)?\s*(\?)*$""), """", PROPER(SUBSTITUTE(SUBSTITUTE(G2930, ""?"", """"), ""*"", """")))"),"Pink Baby Bunting")</f>
        <v>Pink Baby Bunting</v>
      </c>
      <c r="I2930" s="3">
        <v>10.0</v>
      </c>
      <c r="J2930" s="7">
        <v>40599.53333333333</v>
      </c>
      <c r="K2930" s="8" t="str">
        <f t="shared" si="4"/>
        <v>2011-02</v>
      </c>
      <c r="L2930" s="5">
        <v>2.95</v>
      </c>
      <c r="M2930" s="3">
        <v>13753.0</v>
      </c>
      <c r="N2930" s="1" t="str">
        <f t="shared" si="5"/>
        <v>Registered</v>
      </c>
      <c r="O2930" s="1" t="s">
        <v>19</v>
      </c>
      <c r="P2930" s="9" t="str">
        <f t="shared" si="6"/>
        <v>UK</v>
      </c>
      <c r="Q2930" s="8">
        <f t="shared" si="7"/>
        <v>29.5</v>
      </c>
    </row>
    <row r="2931">
      <c r="A2931" s="1">
        <v>545011.0</v>
      </c>
      <c r="B2931" s="1" t="str">
        <f t="shared" si="1"/>
        <v>545011</v>
      </c>
      <c r="C2931" s="1" t="str">
        <f t="shared" si="2"/>
        <v>Sale</v>
      </c>
      <c r="D2931" s="1" t="s">
        <v>1306</v>
      </c>
      <c r="E2931" s="1" t="str">
        <f>IFERROR(__xludf.DUMMYFUNCTION("IF(LEN(D2931)&gt;4, IFERROR(REGEXEXTRACT(TO_TEXT(D2931),""\d+""),""""),"""")"),"47590")</f>
        <v>47590</v>
      </c>
      <c r="F2931" s="6" t="str">
        <f t="shared" si="3"/>
        <v>Product</v>
      </c>
      <c r="G2931" s="1" t="s">
        <v>1307</v>
      </c>
      <c r="H2931" s="6" t="str">
        <f>IFERROR(__xludf.DUMMYFUNCTION("IF(REGEXMATCH(LOWER(G2931), ""^(\?)+\s*(missing)?\s*(\?)*$""), """", PROPER(SUBSTITUTE(SUBSTITUTE(G2931, ""?"", """"), ""*"", """")))"),"Blue Happy Birthday Bunting")</f>
        <v>Blue Happy Birthday Bunting</v>
      </c>
      <c r="I2931" s="3">
        <v>2.0</v>
      </c>
      <c r="J2931" s="7">
        <v>40599.54513888889</v>
      </c>
      <c r="K2931" s="8" t="str">
        <f t="shared" si="4"/>
        <v>2011-02</v>
      </c>
      <c r="L2931" s="5">
        <v>5.45</v>
      </c>
      <c r="M2931" s="3">
        <v>13666.0</v>
      </c>
      <c r="N2931" s="1" t="str">
        <f t="shared" si="5"/>
        <v>Registered</v>
      </c>
      <c r="O2931" s="1" t="s">
        <v>19</v>
      </c>
      <c r="P2931" s="9" t="str">
        <f t="shared" si="6"/>
        <v>UK</v>
      </c>
      <c r="Q2931" s="8">
        <f t="shared" si="7"/>
        <v>10.9</v>
      </c>
    </row>
    <row r="2932">
      <c r="A2932" s="1">
        <v>545011.0</v>
      </c>
      <c r="B2932" s="1" t="str">
        <f t="shared" si="1"/>
        <v>545011</v>
      </c>
      <c r="C2932" s="1" t="str">
        <f t="shared" si="2"/>
        <v>Sale</v>
      </c>
      <c r="D2932" s="1">
        <v>47566.0</v>
      </c>
      <c r="E2932" s="1" t="str">
        <f>IFERROR(__xludf.DUMMYFUNCTION("IF(LEN(D2932)&gt;4, IFERROR(REGEXEXTRACT(TO_TEXT(D2932),""\d+""),""""),"""")"),"47566")</f>
        <v>47566</v>
      </c>
      <c r="F2932" s="6" t="str">
        <f t="shared" si="3"/>
        <v>Product</v>
      </c>
      <c r="G2932" s="1" t="s">
        <v>1002</v>
      </c>
      <c r="H2932" s="6" t="str">
        <f>IFERROR(__xludf.DUMMYFUNCTION("IF(REGEXMATCH(LOWER(G2932), ""^(\?)+\s*(missing)?\s*(\?)*$""), """", PROPER(SUBSTITUTE(SUBSTITUTE(G2932, ""?"", """"), ""*"", """")))"),"Party Bunting")</f>
        <v>Party Bunting</v>
      </c>
      <c r="I2932" s="3">
        <v>1.0</v>
      </c>
      <c r="J2932" s="7">
        <v>40599.54513888889</v>
      </c>
      <c r="K2932" s="8" t="str">
        <f t="shared" si="4"/>
        <v>2011-02</v>
      </c>
      <c r="L2932" s="5">
        <v>4.95</v>
      </c>
      <c r="M2932" s="3">
        <v>13666.0</v>
      </c>
      <c r="N2932" s="1" t="str">
        <f t="shared" si="5"/>
        <v>Registered</v>
      </c>
      <c r="O2932" s="1" t="s">
        <v>19</v>
      </c>
      <c r="P2932" s="9" t="str">
        <f t="shared" si="6"/>
        <v>UK</v>
      </c>
      <c r="Q2932" s="8">
        <f t="shared" si="7"/>
        <v>4.95</v>
      </c>
    </row>
    <row r="2933">
      <c r="A2933" s="1">
        <v>545011.0</v>
      </c>
      <c r="B2933" s="1" t="str">
        <f t="shared" si="1"/>
        <v>545011</v>
      </c>
      <c r="C2933" s="1" t="str">
        <f t="shared" si="2"/>
        <v>Sale</v>
      </c>
      <c r="D2933" s="1">
        <v>22669.0</v>
      </c>
      <c r="E2933" s="1" t="str">
        <f>IFERROR(__xludf.DUMMYFUNCTION("IF(LEN(D2933)&gt;4, IFERROR(REGEXEXTRACT(TO_TEXT(D2933),""\d+""),""""),"""")"),"22669")</f>
        <v>22669</v>
      </c>
      <c r="F2933" s="6" t="str">
        <f t="shared" si="3"/>
        <v>Product</v>
      </c>
      <c r="G2933" s="1" t="s">
        <v>989</v>
      </c>
      <c r="H2933" s="6" t="str">
        <f>IFERROR(__xludf.DUMMYFUNCTION("IF(REGEXMATCH(LOWER(G2933), ""^(\?)+\s*(missing)?\s*(\?)*$""), """", PROPER(SUBSTITUTE(SUBSTITUTE(G2933, ""?"", """"), ""*"", """")))"),"Red Baby Bunting")</f>
        <v>Red Baby Bunting</v>
      </c>
      <c r="I2933" s="3">
        <v>5.0</v>
      </c>
      <c r="J2933" s="7">
        <v>40599.54513888889</v>
      </c>
      <c r="K2933" s="8" t="str">
        <f t="shared" si="4"/>
        <v>2011-02</v>
      </c>
      <c r="L2933" s="5">
        <v>2.95</v>
      </c>
      <c r="M2933" s="3">
        <v>13666.0</v>
      </c>
      <c r="N2933" s="1" t="str">
        <f t="shared" si="5"/>
        <v>Registered</v>
      </c>
      <c r="O2933" s="1" t="s">
        <v>19</v>
      </c>
      <c r="P2933" s="9" t="str">
        <f t="shared" si="6"/>
        <v>UK</v>
      </c>
      <c r="Q2933" s="8">
        <f t="shared" si="7"/>
        <v>14.75</v>
      </c>
    </row>
    <row r="2934">
      <c r="A2934" s="1">
        <v>545011.0</v>
      </c>
      <c r="B2934" s="1" t="str">
        <f t="shared" si="1"/>
        <v>545011</v>
      </c>
      <c r="C2934" s="1" t="str">
        <f t="shared" si="2"/>
        <v>Sale</v>
      </c>
      <c r="D2934" s="1">
        <v>22745.0</v>
      </c>
      <c r="E2934" s="1" t="str">
        <f>IFERROR(__xludf.DUMMYFUNCTION("IF(LEN(D2934)&gt;4, IFERROR(REGEXEXTRACT(TO_TEXT(D2934),""\d+""),""""),"""")"),"22745")</f>
        <v>22745</v>
      </c>
      <c r="F2934" s="6" t="str">
        <f t="shared" si="3"/>
        <v>Product</v>
      </c>
      <c r="G2934" s="1" t="s">
        <v>32</v>
      </c>
      <c r="H2934" s="6" t="str">
        <f>IFERROR(__xludf.DUMMYFUNCTION("IF(REGEXMATCH(LOWER(G2934), ""^(\?)+\s*(missing)?\s*(\?)*$""), """", PROPER(SUBSTITUTE(SUBSTITUTE(G2934, ""?"", """"), ""*"", """")))"),"Poppy'S Playhouse Bedroom")</f>
        <v>Poppy'S Playhouse Bedroom</v>
      </c>
      <c r="I2934" s="3">
        <v>1.0</v>
      </c>
      <c r="J2934" s="7">
        <v>40599.54513888889</v>
      </c>
      <c r="K2934" s="8" t="str">
        <f t="shared" si="4"/>
        <v>2011-02</v>
      </c>
      <c r="L2934" s="5">
        <v>2.1</v>
      </c>
      <c r="M2934" s="3">
        <v>13666.0</v>
      </c>
      <c r="N2934" s="1" t="str">
        <f t="shared" si="5"/>
        <v>Registered</v>
      </c>
      <c r="O2934" s="1" t="s">
        <v>19</v>
      </c>
      <c r="P2934" s="9" t="str">
        <f t="shared" si="6"/>
        <v>UK</v>
      </c>
      <c r="Q2934" s="8">
        <f t="shared" si="7"/>
        <v>2.1</v>
      </c>
    </row>
    <row r="2935">
      <c r="A2935" s="1">
        <v>545011.0</v>
      </c>
      <c r="B2935" s="1" t="str">
        <f t="shared" si="1"/>
        <v>545011</v>
      </c>
      <c r="C2935" s="1" t="str">
        <f t="shared" si="2"/>
        <v>Sale</v>
      </c>
      <c r="D2935" s="1">
        <v>22748.0</v>
      </c>
      <c r="E2935" s="1" t="str">
        <f>IFERROR(__xludf.DUMMYFUNCTION("IF(LEN(D2935)&gt;4, IFERROR(REGEXEXTRACT(TO_TEXT(D2935),""\d+""),""""),"""")"),"22748")</f>
        <v>22748</v>
      </c>
      <c r="F2935" s="6" t="str">
        <f t="shared" si="3"/>
        <v>Product</v>
      </c>
      <c r="G2935" s="1" t="s">
        <v>33</v>
      </c>
      <c r="H2935" s="6" t="str">
        <f>IFERROR(__xludf.DUMMYFUNCTION("IF(REGEXMATCH(LOWER(G2935), ""^(\?)+\s*(missing)?\s*(\?)*$""), """", PROPER(SUBSTITUTE(SUBSTITUTE(G2935, ""?"", """"), ""*"", """")))"),"Poppy'S Playhouse Kitchen")</f>
        <v>Poppy'S Playhouse Kitchen</v>
      </c>
      <c r="I2935" s="3">
        <v>1.0</v>
      </c>
      <c r="J2935" s="7">
        <v>40599.54513888889</v>
      </c>
      <c r="K2935" s="8" t="str">
        <f t="shared" si="4"/>
        <v>2011-02</v>
      </c>
      <c r="L2935" s="5">
        <v>2.1</v>
      </c>
      <c r="M2935" s="3">
        <v>13666.0</v>
      </c>
      <c r="N2935" s="1" t="str">
        <f t="shared" si="5"/>
        <v>Registered</v>
      </c>
      <c r="O2935" s="1" t="s">
        <v>19</v>
      </c>
      <c r="P2935" s="9" t="str">
        <f t="shared" si="6"/>
        <v>UK</v>
      </c>
      <c r="Q2935" s="8">
        <f t="shared" si="7"/>
        <v>2.1</v>
      </c>
    </row>
    <row r="2936">
      <c r="A2936" s="1">
        <v>545011.0</v>
      </c>
      <c r="B2936" s="1" t="str">
        <f t="shared" si="1"/>
        <v>545011</v>
      </c>
      <c r="C2936" s="1" t="str">
        <f t="shared" si="2"/>
        <v>Sale</v>
      </c>
      <c r="D2936" s="1">
        <v>22090.0</v>
      </c>
      <c r="E2936" s="1" t="str">
        <f>IFERROR(__xludf.DUMMYFUNCTION("IF(LEN(D2936)&gt;4, IFERROR(REGEXEXTRACT(TO_TEXT(D2936),""\d+""),""""),"""")"),"22090")</f>
        <v>22090</v>
      </c>
      <c r="F2936" s="6" t="str">
        <f t="shared" si="3"/>
        <v>Product</v>
      </c>
      <c r="G2936" s="1" t="s">
        <v>1015</v>
      </c>
      <c r="H2936" s="6" t="str">
        <f>IFERROR(__xludf.DUMMYFUNCTION("IF(REGEXMATCH(LOWER(G2936), ""^(\?)+\s*(missing)?\s*(\?)*$""), """", PROPER(SUBSTITUTE(SUBSTITUTE(G2936, ""?"", """"), ""*"", """")))"),"Paper Bunting Retrospot")</f>
        <v>Paper Bunting Retrospot</v>
      </c>
      <c r="I2936" s="3">
        <v>1.0</v>
      </c>
      <c r="J2936" s="7">
        <v>40599.54513888889</v>
      </c>
      <c r="K2936" s="8" t="str">
        <f t="shared" si="4"/>
        <v>2011-02</v>
      </c>
      <c r="L2936" s="5">
        <v>2.95</v>
      </c>
      <c r="M2936" s="3">
        <v>13666.0</v>
      </c>
      <c r="N2936" s="1" t="str">
        <f t="shared" si="5"/>
        <v>Registered</v>
      </c>
      <c r="O2936" s="1" t="s">
        <v>19</v>
      </c>
      <c r="P2936" s="9" t="str">
        <f t="shared" si="6"/>
        <v>UK</v>
      </c>
      <c r="Q2936" s="8">
        <f t="shared" si="7"/>
        <v>2.95</v>
      </c>
    </row>
    <row r="2937">
      <c r="A2937" s="1">
        <v>545011.0</v>
      </c>
      <c r="B2937" s="1" t="str">
        <f t="shared" si="1"/>
        <v>545011</v>
      </c>
      <c r="C2937" s="1" t="str">
        <f t="shared" si="2"/>
        <v>Sale</v>
      </c>
      <c r="D2937" s="1">
        <v>22087.0</v>
      </c>
      <c r="E2937" s="1" t="str">
        <f>IFERROR(__xludf.DUMMYFUNCTION("IF(LEN(D2937)&gt;4, IFERROR(REGEXEXTRACT(TO_TEXT(D2937),""\d+""),""""),"""")"),"22087")</f>
        <v>22087</v>
      </c>
      <c r="F2937" s="6" t="str">
        <f t="shared" si="3"/>
        <v>Product</v>
      </c>
      <c r="G2937" s="1" t="s">
        <v>626</v>
      </c>
      <c r="H2937" s="6" t="str">
        <f>IFERROR(__xludf.DUMMYFUNCTION("IF(REGEXMATCH(LOWER(G2937), ""^(\?)+\s*(missing)?\s*(\?)*$""), """", PROPER(SUBSTITUTE(SUBSTITUTE(G2937, ""?"", """"), ""*"", """")))"),"Paper Bunting White Lace")</f>
        <v>Paper Bunting White Lace</v>
      </c>
      <c r="I2937" s="3">
        <v>2.0</v>
      </c>
      <c r="J2937" s="7">
        <v>40599.54513888889</v>
      </c>
      <c r="K2937" s="8" t="str">
        <f t="shared" si="4"/>
        <v>2011-02</v>
      </c>
      <c r="L2937" s="5">
        <v>2.95</v>
      </c>
      <c r="M2937" s="3">
        <v>13666.0</v>
      </c>
      <c r="N2937" s="1" t="str">
        <f t="shared" si="5"/>
        <v>Registered</v>
      </c>
      <c r="O2937" s="1" t="s">
        <v>19</v>
      </c>
      <c r="P2937" s="9" t="str">
        <f t="shared" si="6"/>
        <v>UK</v>
      </c>
      <c r="Q2937" s="8">
        <f t="shared" si="7"/>
        <v>5.9</v>
      </c>
    </row>
    <row r="2938">
      <c r="A2938" s="1">
        <v>545012.0</v>
      </c>
      <c r="B2938" s="1" t="str">
        <f t="shared" si="1"/>
        <v>545012</v>
      </c>
      <c r="C2938" s="1" t="str">
        <f t="shared" si="2"/>
        <v>Sale</v>
      </c>
      <c r="D2938" s="1">
        <v>71459.0</v>
      </c>
      <c r="E2938" s="1" t="str">
        <f>IFERROR(__xludf.DUMMYFUNCTION("IF(LEN(D2938)&gt;4, IFERROR(REGEXEXTRACT(TO_TEXT(D2938),""\d+""),""""),"""")"),"71459")</f>
        <v>71459</v>
      </c>
      <c r="F2938" s="6" t="str">
        <f t="shared" si="3"/>
        <v>Product</v>
      </c>
      <c r="G2938" s="1" t="s">
        <v>881</v>
      </c>
      <c r="H2938" s="6" t="str">
        <f>IFERROR(__xludf.DUMMYFUNCTION("IF(REGEXMATCH(LOWER(G2938), ""^(\?)+\s*(missing)?\s*(\?)*$""), """", PROPER(SUBSTITUTE(SUBSTITUTE(G2938, ""?"", """"), ""*"", """")))"),"Hanging Jam Jar T-Light Holder")</f>
        <v>Hanging Jam Jar T-Light Holder</v>
      </c>
      <c r="I2938" s="3">
        <v>24.0</v>
      </c>
      <c r="J2938" s="7">
        <v>40599.54722222222</v>
      </c>
      <c r="K2938" s="8" t="str">
        <f t="shared" si="4"/>
        <v>2011-02</v>
      </c>
      <c r="L2938" s="5">
        <v>0.85</v>
      </c>
      <c r="M2938" s="3">
        <v>13666.0</v>
      </c>
      <c r="N2938" s="1" t="str">
        <f t="shared" si="5"/>
        <v>Registered</v>
      </c>
      <c r="O2938" s="1" t="s">
        <v>19</v>
      </c>
      <c r="P2938" s="9" t="str">
        <f t="shared" si="6"/>
        <v>UK</v>
      </c>
      <c r="Q2938" s="8">
        <f t="shared" si="7"/>
        <v>20.4</v>
      </c>
    </row>
    <row r="2939">
      <c r="A2939" s="1">
        <v>545013.0</v>
      </c>
      <c r="B2939" s="1" t="str">
        <f t="shared" si="1"/>
        <v>545013</v>
      </c>
      <c r="C2939" s="1" t="str">
        <f t="shared" si="2"/>
        <v>Sale</v>
      </c>
      <c r="D2939" s="1">
        <v>48184.0</v>
      </c>
      <c r="E2939" s="1" t="str">
        <f>IFERROR(__xludf.DUMMYFUNCTION("IF(LEN(D2939)&gt;4, IFERROR(REGEXEXTRACT(TO_TEXT(D2939),""\d+""),""""),"""")"),"48184")</f>
        <v>48184</v>
      </c>
      <c r="F2939" s="6" t="str">
        <f t="shared" si="3"/>
        <v>Product</v>
      </c>
      <c r="G2939" s="1" t="s">
        <v>1179</v>
      </c>
      <c r="H2939" s="6" t="str">
        <f>IFERROR(__xludf.DUMMYFUNCTION("IF(REGEXMATCH(LOWER(G2939), ""^(\?)+\s*(missing)?\s*(\?)*$""), """", PROPER(SUBSTITUTE(SUBSTITUTE(G2939, ""?"", """"), ""*"", """")))"),"Doormat English Rose")</f>
        <v>Doormat English Rose</v>
      </c>
      <c r="I2939" s="3">
        <v>10.0</v>
      </c>
      <c r="J2939" s="7">
        <v>40599.54791666667</v>
      </c>
      <c r="K2939" s="8" t="str">
        <f t="shared" si="4"/>
        <v>2011-02</v>
      </c>
      <c r="L2939" s="5">
        <v>6.75</v>
      </c>
      <c r="M2939" s="3">
        <v>13093.0</v>
      </c>
      <c r="N2939" s="1" t="str">
        <f t="shared" si="5"/>
        <v>Registered</v>
      </c>
      <c r="O2939" s="1" t="s">
        <v>19</v>
      </c>
      <c r="P2939" s="9" t="str">
        <f t="shared" si="6"/>
        <v>UK</v>
      </c>
      <c r="Q2939" s="8">
        <f t="shared" si="7"/>
        <v>67.5</v>
      </c>
    </row>
    <row r="2940">
      <c r="A2940" s="1">
        <v>545013.0</v>
      </c>
      <c r="B2940" s="1" t="str">
        <f t="shared" si="1"/>
        <v>545013</v>
      </c>
      <c r="C2940" s="1" t="str">
        <f t="shared" si="2"/>
        <v>Sale</v>
      </c>
      <c r="D2940" s="1">
        <v>79321.0</v>
      </c>
      <c r="E2940" s="1" t="str">
        <f>IFERROR(__xludf.DUMMYFUNCTION("IF(LEN(D2940)&gt;4, IFERROR(REGEXEXTRACT(TO_TEXT(D2940),""\d+""),""""),"""")"),"79321")</f>
        <v>79321</v>
      </c>
      <c r="F2940" s="6" t="str">
        <f t="shared" si="3"/>
        <v>Product</v>
      </c>
      <c r="G2940" s="1" t="s">
        <v>183</v>
      </c>
      <c r="H2940" s="6" t="str">
        <f>IFERROR(__xludf.DUMMYFUNCTION("IF(REGEXMATCH(LOWER(G2940), ""^(\?)+\s*(missing)?\s*(\?)*$""), """", PROPER(SUBSTITUTE(SUBSTITUTE(G2940, ""?"", """"), ""*"", """")))"),"Chilli Lights")</f>
        <v>Chilli Lights</v>
      </c>
      <c r="I2940" s="3">
        <v>24.0</v>
      </c>
      <c r="J2940" s="7">
        <v>40599.54791666667</v>
      </c>
      <c r="K2940" s="8" t="str">
        <f t="shared" si="4"/>
        <v>2011-02</v>
      </c>
      <c r="L2940" s="5">
        <v>4.95</v>
      </c>
      <c r="M2940" s="3">
        <v>13093.0</v>
      </c>
      <c r="N2940" s="1" t="str">
        <f t="shared" si="5"/>
        <v>Registered</v>
      </c>
      <c r="O2940" s="1" t="s">
        <v>19</v>
      </c>
      <c r="P2940" s="9" t="str">
        <f t="shared" si="6"/>
        <v>UK</v>
      </c>
      <c r="Q2940" s="8">
        <f t="shared" si="7"/>
        <v>118.8</v>
      </c>
    </row>
    <row r="2941">
      <c r="A2941" s="1">
        <v>545013.0</v>
      </c>
      <c r="B2941" s="1" t="str">
        <f t="shared" si="1"/>
        <v>545013</v>
      </c>
      <c r="C2941" s="1" t="str">
        <f t="shared" si="2"/>
        <v>Sale</v>
      </c>
      <c r="D2941" s="1">
        <v>22402.0</v>
      </c>
      <c r="E2941" s="1" t="str">
        <f>IFERROR(__xludf.DUMMYFUNCTION("IF(LEN(D2941)&gt;4, IFERROR(REGEXEXTRACT(TO_TEXT(D2941),""\d+""),""""),"""")"),"22402")</f>
        <v>22402</v>
      </c>
      <c r="F2941" s="6" t="str">
        <f t="shared" si="3"/>
        <v>Product</v>
      </c>
      <c r="G2941" s="1" t="s">
        <v>864</v>
      </c>
      <c r="H2941" s="6" t="str">
        <f>IFERROR(__xludf.DUMMYFUNCTION("IF(REGEXMATCH(LOWER(G2941), ""^(\?)+\s*(missing)?\s*(\?)*$""), """", PROPER(SUBSTITUTE(SUBSTITUTE(G2941, ""?"", """"), ""*"", """")))"),"Magnets Pack Of 4 Vintage Collage")</f>
        <v>Magnets Pack Of 4 Vintage Collage</v>
      </c>
      <c r="I2941" s="3">
        <v>12.0</v>
      </c>
      <c r="J2941" s="7">
        <v>40599.54791666667</v>
      </c>
      <c r="K2941" s="8" t="str">
        <f t="shared" si="4"/>
        <v>2011-02</v>
      </c>
      <c r="L2941" s="5">
        <v>1.25</v>
      </c>
      <c r="M2941" s="3">
        <v>13093.0</v>
      </c>
      <c r="N2941" s="1" t="str">
        <f t="shared" si="5"/>
        <v>Registered</v>
      </c>
      <c r="O2941" s="1" t="s">
        <v>19</v>
      </c>
      <c r="P2941" s="9" t="str">
        <f t="shared" si="6"/>
        <v>UK</v>
      </c>
      <c r="Q2941" s="8">
        <f t="shared" si="7"/>
        <v>15</v>
      </c>
    </row>
    <row r="2942">
      <c r="A2942" s="1">
        <v>545013.0</v>
      </c>
      <c r="B2942" s="1" t="str">
        <f t="shared" si="1"/>
        <v>545013</v>
      </c>
      <c r="C2942" s="1" t="str">
        <f t="shared" si="2"/>
        <v>Sale</v>
      </c>
      <c r="D2942" s="1">
        <v>22399.0</v>
      </c>
      <c r="E2942" s="1" t="str">
        <f>IFERROR(__xludf.DUMMYFUNCTION("IF(LEN(D2942)&gt;4, IFERROR(REGEXEXTRACT(TO_TEXT(D2942),""\d+""),""""),"""")"),"22399")</f>
        <v>22399</v>
      </c>
      <c r="F2942" s="6" t="str">
        <f t="shared" si="3"/>
        <v>Product</v>
      </c>
      <c r="G2942" s="1" t="s">
        <v>1403</v>
      </c>
      <c r="H2942" s="6" t="str">
        <f>IFERROR(__xludf.DUMMYFUNCTION("IF(REGEXMATCH(LOWER(G2942), ""^(\?)+\s*(missing)?\s*(\?)*$""), """", PROPER(SUBSTITUTE(SUBSTITUTE(G2942, ""?"", """"), ""*"", """")))"),"Magnets Pack Of 4 Childhood Memory")</f>
        <v>Magnets Pack Of 4 Childhood Memory</v>
      </c>
      <c r="I2942" s="3">
        <v>12.0</v>
      </c>
      <c r="J2942" s="7">
        <v>40599.54791666667</v>
      </c>
      <c r="K2942" s="8" t="str">
        <f t="shared" si="4"/>
        <v>2011-02</v>
      </c>
      <c r="L2942" s="5">
        <v>1.25</v>
      </c>
      <c r="M2942" s="3">
        <v>13093.0</v>
      </c>
      <c r="N2942" s="1" t="str">
        <f t="shared" si="5"/>
        <v>Registered</v>
      </c>
      <c r="O2942" s="1" t="s">
        <v>19</v>
      </c>
      <c r="P2942" s="9" t="str">
        <f t="shared" si="6"/>
        <v>UK</v>
      </c>
      <c r="Q2942" s="8">
        <f t="shared" si="7"/>
        <v>15</v>
      </c>
    </row>
    <row r="2943">
      <c r="A2943" s="1">
        <v>545013.0</v>
      </c>
      <c r="B2943" s="1" t="str">
        <f t="shared" si="1"/>
        <v>545013</v>
      </c>
      <c r="C2943" s="1" t="str">
        <f t="shared" si="2"/>
        <v>Sale</v>
      </c>
      <c r="D2943" s="1">
        <v>22383.0</v>
      </c>
      <c r="E2943" s="1" t="str">
        <f>IFERROR(__xludf.DUMMYFUNCTION("IF(LEN(D2943)&gt;4, IFERROR(REGEXEXTRACT(TO_TEXT(D2943),""\d+""),""""),"""")"),"22383")</f>
        <v>22383</v>
      </c>
      <c r="F2943" s="6" t="str">
        <f t="shared" si="3"/>
        <v>Product</v>
      </c>
      <c r="G2943" s="1" t="s">
        <v>355</v>
      </c>
      <c r="H2943" s="6" t="str">
        <f>IFERROR(__xludf.DUMMYFUNCTION("IF(REGEXMATCH(LOWER(G2943), ""^(\?)+\s*(missing)?\s*(\?)*$""), """", PROPER(SUBSTITUTE(SUBSTITUTE(G2943, ""?"", """"), ""*"", """")))"),"Lunch Bag Suki Design")</f>
        <v>Lunch Bag Suki Design</v>
      </c>
      <c r="I2943" s="3">
        <v>20.0</v>
      </c>
      <c r="J2943" s="7">
        <v>40599.54791666667</v>
      </c>
      <c r="K2943" s="8" t="str">
        <f t="shared" si="4"/>
        <v>2011-02</v>
      </c>
      <c r="L2943" s="5">
        <v>1.65</v>
      </c>
      <c r="M2943" s="3">
        <v>13093.0</v>
      </c>
      <c r="N2943" s="1" t="str">
        <f t="shared" si="5"/>
        <v>Registered</v>
      </c>
      <c r="O2943" s="1" t="s">
        <v>19</v>
      </c>
      <c r="P2943" s="9" t="str">
        <f t="shared" si="6"/>
        <v>UK</v>
      </c>
      <c r="Q2943" s="8">
        <f t="shared" si="7"/>
        <v>33</v>
      </c>
    </row>
    <row r="2944">
      <c r="A2944" s="1">
        <v>545013.0</v>
      </c>
      <c r="B2944" s="1" t="str">
        <f t="shared" si="1"/>
        <v>545013</v>
      </c>
      <c r="C2944" s="1" t="str">
        <f t="shared" si="2"/>
        <v>Sale</v>
      </c>
      <c r="D2944" s="1">
        <v>22382.0</v>
      </c>
      <c r="E2944" s="1" t="str">
        <f>IFERROR(__xludf.DUMMYFUNCTION("IF(LEN(D2944)&gt;4, IFERROR(REGEXEXTRACT(TO_TEXT(D2944),""\d+""),""""),"""")"),"22382")</f>
        <v>22382</v>
      </c>
      <c r="F2944" s="6" t="str">
        <f t="shared" si="3"/>
        <v>Product</v>
      </c>
      <c r="G2944" s="1" t="s">
        <v>320</v>
      </c>
      <c r="H2944" s="6" t="str">
        <f>IFERROR(__xludf.DUMMYFUNCTION("IF(REGEXMATCH(LOWER(G2944), ""^(\?)+\s*(missing)?\s*(\?)*$""), """", PROPER(SUBSTITUTE(SUBSTITUTE(G2944, ""?"", """"), ""*"", """")))"),"Lunch Bag Spaceboy Design")</f>
        <v>Lunch Bag Spaceboy Design</v>
      </c>
      <c r="I2944" s="3">
        <v>20.0</v>
      </c>
      <c r="J2944" s="7">
        <v>40599.54791666667</v>
      </c>
      <c r="K2944" s="8" t="str">
        <f t="shared" si="4"/>
        <v>2011-02</v>
      </c>
      <c r="L2944" s="5">
        <v>1.65</v>
      </c>
      <c r="M2944" s="3">
        <v>13093.0</v>
      </c>
      <c r="N2944" s="1" t="str">
        <f t="shared" si="5"/>
        <v>Registered</v>
      </c>
      <c r="O2944" s="1" t="s">
        <v>19</v>
      </c>
      <c r="P2944" s="9" t="str">
        <f t="shared" si="6"/>
        <v>UK</v>
      </c>
      <c r="Q2944" s="8">
        <f t="shared" si="7"/>
        <v>33</v>
      </c>
    </row>
    <row r="2945">
      <c r="A2945" s="1">
        <v>545013.0</v>
      </c>
      <c r="B2945" s="1" t="str">
        <f t="shared" si="1"/>
        <v>545013</v>
      </c>
      <c r="C2945" s="1" t="str">
        <f t="shared" si="2"/>
        <v>Sale</v>
      </c>
      <c r="D2945" s="1">
        <v>22136.0</v>
      </c>
      <c r="E2945" s="1" t="str">
        <f>IFERROR(__xludf.DUMMYFUNCTION("IF(LEN(D2945)&gt;4, IFERROR(REGEXEXTRACT(TO_TEXT(D2945),""\d+""),""""),"""")"),"22136")</f>
        <v>22136</v>
      </c>
      <c r="F2945" s="6" t="str">
        <f t="shared" si="3"/>
        <v>Product</v>
      </c>
      <c r="G2945" s="1" t="s">
        <v>1404</v>
      </c>
      <c r="H2945" s="6" t="str">
        <f>IFERROR(__xludf.DUMMYFUNCTION("IF(REGEXMATCH(LOWER(G2945), ""^(\?)+\s*(missing)?\s*(\?)*$""), """", PROPER(SUBSTITUTE(SUBSTITUTE(G2945, ""?"", """"), ""*"", """")))"),"Love Heart Sock Hanger")</f>
        <v>Love Heart Sock Hanger</v>
      </c>
      <c r="I2945" s="3">
        <v>12.0</v>
      </c>
      <c r="J2945" s="7">
        <v>40599.54791666667</v>
      </c>
      <c r="K2945" s="8" t="str">
        <f t="shared" si="4"/>
        <v>2011-02</v>
      </c>
      <c r="L2945" s="5">
        <v>1.65</v>
      </c>
      <c r="M2945" s="3">
        <v>13093.0</v>
      </c>
      <c r="N2945" s="1" t="str">
        <f t="shared" si="5"/>
        <v>Registered</v>
      </c>
      <c r="O2945" s="1" t="s">
        <v>19</v>
      </c>
      <c r="P2945" s="9" t="str">
        <f t="shared" si="6"/>
        <v>UK</v>
      </c>
      <c r="Q2945" s="8">
        <f t="shared" si="7"/>
        <v>19.8</v>
      </c>
    </row>
    <row r="2946">
      <c r="A2946" s="1">
        <v>545013.0</v>
      </c>
      <c r="B2946" s="1" t="str">
        <f t="shared" si="1"/>
        <v>545013</v>
      </c>
      <c r="C2946" s="1" t="str">
        <f t="shared" si="2"/>
        <v>Sale</v>
      </c>
      <c r="D2946" s="1">
        <v>22035.0</v>
      </c>
      <c r="E2946" s="1" t="str">
        <f>IFERROR(__xludf.DUMMYFUNCTION("IF(LEN(D2946)&gt;4, IFERROR(REGEXEXTRACT(TO_TEXT(D2946),""\d+""),""""),"""")"),"22035")</f>
        <v>22035</v>
      </c>
      <c r="F2946" s="6" t="str">
        <f t="shared" si="3"/>
        <v>Product</v>
      </c>
      <c r="G2946" s="1" t="s">
        <v>1405</v>
      </c>
      <c r="H2946" s="6" t="str">
        <f>IFERROR(__xludf.DUMMYFUNCTION("IF(REGEXMATCH(LOWER(G2946), ""^(\?)+\s*(missing)?\s*(\?)*$""), """", PROPER(SUBSTITUTE(SUBSTITUTE(G2946, ""?"", """"), ""*"", """")))"),"Vintage Caravan Greeting Card")</f>
        <v>Vintage Caravan Greeting Card</v>
      </c>
      <c r="I2946" s="3">
        <v>12.0</v>
      </c>
      <c r="J2946" s="7">
        <v>40599.54791666667</v>
      </c>
      <c r="K2946" s="8" t="str">
        <f t="shared" si="4"/>
        <v>2011-02</v>
      </c>
      <c r="L2946" s="5">
        <v>0.42</v>
      </c>
      <c r="M2946" s="3">
        <v>13093.0</v>
      </c>
      <c r="N2946" s="1" t="str">
        <f t="shared" si="5"/>
        <v>Registered</v>
      </c>
      <c r="O2946" s="1" t="s">
        <v>19</v>
      </c>
      <c r="P2946" s="9" t="str">
        <f t="shared" si="6"/>
        <v>UK</v>
      </c>
      <c r="Q2946" s="8">
        <f t="shared" si="7"/>
        <v>5.04</v>
      </c>
    </row>
    <row r="2947">
      <c r="A2947" s="1">
        <v>545013.0</v>
      </c>
      <c r="B2947" s="1" t="str">
        <f t="shared" si="1"/>
        <v>545013</v>
      </c>
      <c r="C2947" s="1" t="str">
        <f t="shared" si="2"/>
        <v>Sale</v>
      </c>
      <c r="D2947" s="1">
        <v>22030.0</v>
      </c>
      <c r="E2947" s="1" t="str">
        <f>IFERROR(__xludf.DUMMYFUNCTION("IF(LEN(D2947)&gt;4, IFERROR(REGEXEXTRACT(TO_TEXT(D2947),""\d+""),""""),"""")"),"22030")</f>
        <v>22030</v>
      </c>
      <c r="F2947" s="6" t="str">
        <f t="shared" si="3"/>
        <v>Product</v>
      </c>
      <c r="G2947" s="1" t="s">
        <v>898</v>
      </c>
      <c r="H2947" s="6" t="str">
        <f>IFERROR(__xludf.DUMMYFUNCTION("IF(REGEXMATCH(LOWER(G2947), ""^(\?)+\s*(missing)?\s*(\?)*$""), """", PROPER(SUBSTITUTE(SUBSTITUTE(G2947, ""?"", """"), ""*"", """")))"),"Swallows Greeting Card")</f>
        <v>Swallows Greeting Card</v>
      </c>
      <c r="I2947" s="3">
        <v>12.0</v>
      </c>
      <c r="J2947" s="7">
        <v>40599.54791666667</v>
      </c>
      <c r="K2947" s="8" t="str">
        <f t="shared" si="4"/>
        <v>2011-02</v>
      </c>
      <c r="L2947" s="5">
        <v>0.42</v>
      </c>
      <c r="M2947" s="3">
        <v>13093.0</v>
      </c>
      <c r="N2947" s="1" t="str">
        <f t="shared" si="5"/>
        <v>Registered</v>
      </c>
      <c r="O2947" s="1" t="s">
        <v>19</v>
      </c>
      <c r="P2947" s="9" t="str">
        <f t="shared" si="6"/>
        <v>UK</v>
      </c>
      <c r="Q2947" s="8">
        <f t="shared" si="7"/>
        <v>5.04</v>
      </c>
    </row>
    <row r="2948">
      <c r="A2948" s="1">
        <v>545013.0</v>
      </c>
      <c r="B2948" s="1" t="str">
        <f t="shared" si="1"/>
        <v>545013</v>
      </c>
      <c r="C2948" s="1" t="str">
        <f t="shared" si="2"/>
        <v>Sale</v>
      </c>
      <c r="D2948" s="1">
        <v>22029.0</v>
      </c>
      <c r="E2948" s="1" t="str">
        <f>IFERROR(__xludf.DUMMYFUNCTION("IF(LEN(D2948)&gt;4, IFERROR(REGEXEXTRACT(TO_TEXT(D2948),""\d+""),""""),"""")"),"22029")</f>
        <v>22029</v>
      </c>
      <c r="F2948" s="6" t="str">
        <f t="shared" si="3"/>
        <v>Product</v>
      </c>
      <c r="G2948" s="1" t="s">
        <v>900</v>
      </c>
      <c r="H2948" s="6" t="str">
        <f>IFERROR(__xludf.DUMMYFUNCTION("IF(REGEXMATCH(LOWER(G2948), ""^(\?)+\s*(missing)?\s*(\?)*$""), """", PROPER(SUBSTITUTE(SUBSTITUTE(G2948, ""?"", """"), ""*"", """")))"),"Spaceboy Birthday Card")</f>
        <v>Spaceboy Birthday Card</v>
      </c>
      <c r="I2948" s="3">
        <v>12.0</v>
      </c>
      <c r="J2948" s="7">
        <v>40599.54791666667</v>
      </c>
      <c r="K2948" s="8" t="str">
        <f t="shared" si="4"/>
        <v>2011-02</v>
      </c>
      <c r="L2948" s="5">
        <v>0.42</v>
      </c>
      <c r="M2948" s="3">
        <v>13093.0</v>
      </c>
      <c r="N2948" s="1" t="str">
        <f t="shared" si="5"/>
        <v>Registered</v>
      </c>
      <c r="O2948" s="1" t="s">
        <v>19</v>
      </c>
      <c r="P2948" s="9" t="str">
        <f t="shared" si="6"/>
        <v>UK</v>
      </c>
      <c r="Q2948" s="8">
        <f t="shared" si="7"/>
        <v>5.04</v>
      </c>
    </row>
    <row r="2949">
      <c r="A2949" s="1">
        <v>545013.0</v>
      </c>
      <c r="B2949" s="1" t="str">
        <f t="shared" si="1"/>
        <v>545013</v>
      </c>
      <c r="C2949" s="1" t="str">
        <f t="shared" si="2"/>
        <v>Sale</v>
      </c>
      <c r="D2949" s="1">
        <v>22027.0</v>
      </c>
      <c r="E2949" s="1" t="str">
        <f>IFERROR(__xludf.DUMMYFUNCTION("IF(LEN(D2949)&gt;4, IFERROR(REGEXEXTRACT(TO_TEXT(D2949),""\d+""),""""),"""")"),"22027")</f>
        <v>22027</v>
      </c>
      <c r="F2949" s="6" t="str">
        <f t="shared" si="3"/>
        <v>Product</v>
      </c>
      <c r="G2949" s="1" t="s">
        <v>896</v>
      </c>
      <c r="H2949" s="6" t="str">
        <f>IFERROR(__xludf.DUMMYFUNCTION("IF(REGEXMATCH(LOWER(G2949), ""^(\?)+\s*(missing)?\s*(\?)*$""), """", PROPER(SUBSTITUTE(SUBSTITUTE(G2949, ""?"", """"), ""*"", """")))"),"Tea Party Birthday Card")</f>
        <v>Tea Party Birthday Card</v>
      </c>
      <c r="I2949" s="3">
        <v>12.0</v>
      </c>
      <c r="J2949" s="7">
        <v>40599.54791666667</v>
      </c>
      <c r="K2949" s="8" t="str">
        <f t="shared" si="4"/>
        <v>2011-02</v>
      </c>
      <c r="L2949" s="5">
        <v>0.42</v>
      </c>
      <c r="M2949" s="3">
        <v>13093.0</v>
      </c>
      <c r="N2949" s="1" t="str">
        <f t="shared" si="5"/>
        <v>Registered</v>
      </c>
      <c r="O2949" s="1" t="s">
        <v>19</v>
      </c>
      <c r="P2949" s="9" t="str">
        <f t="shared" si="6"/>
        <v>UK</v>
      </c>
      <c r="Q2949" s="8">
        <f t="shared" si="7"/>
        <v>5.04</v>
      </c>
    </row>
    <row r="2950">
      <c r="A2950" s="1">
        <v>545013.0</v>
      </c>
      <c r="B2950" s="1" t="str">
        <f t="shared" si="1"/>
        <v>545013</v>
      </c>
      <c r="C2950" s="1" t="str">
        <f t="shared" si="2"/>
        <v>Sale</v>
      </c>
      <c r="D2950" s="1">
        <v>21508.0</v>
      </c>
      <c r="E2950" s="1" t="str">
        <f>IFERROR(__xludf.DUMMYFUNCTION("IF(LEN(D2950)&gt;4, IFERROR(REGEXEXTRACT(TO_TEXT(D2950),""\d+""),""""),"""")"),"21508")</f>
        <v>21508</v>
      </c>
      <c r="F2950" s="6" t="str">
        <f t="shared" si="3"/>
        <v>Product</v>
      </c>
      <c r="G2950" s="1" t="s">
        <v>958</v>
      </c>
      <c r="H2950" s="6" t="str">
        <f>IFERROR(__xludf.DUMMYFUNCTION("IF(REGEXMATCH(LOWER(G2950), ""^(\?)+\s*(missing)?\s*(\?)*$""), """", PROPER(SUBSTITUTE(SUBSTITUTE(G2950, ""?"", """"), ""*"", """")))"),"Vintage Kid Dolly Card")</f>
        <v>Vintage Kid Dolly Card</v>
      </c>
      <c r="I2950" s="3">
        <v>24.0</v>
      </c>
      <c r="J2950" s="7">
        <v>40599.54791666667</v>
      </c>
      <c r="K2950" s="8" t="str">
        <f t="shared" si="4"/>
        <v>2011-02</v>
      </c>
      <c r="L2950" s="5">
        <v>0.42</v>
      </c>
      <c r="M2950" s="3">
        <v>13093.0</v>
      </c>
      <c r="N2950" s="1" t="str">
        <f t="shared" si="5"/>
        <v>Registered</v>
      </c>
      <c r="O2950" s="1" t="s">
        <v>19</v>
      </c>
      <c r="P2950" s="9" t="str">
        <f t="shared" si="6"/>
        <v>UK</v>
      </c>
      <c r="Q2950" s="8">
        <f t="shared" si="7"/>
        <v>10.08</v>
      </c>
    </row>
    <row r="2951">
      <c r="A2951" s="1">
        <v>545013.0</v>
      </c>
      <c r="B2951" s="1" t="str">
        <f t="shared" si="1"/>
        <v>545013</v>
      </c>
      <c r="C2951" s="1" t="str">
        <f t="shared" si="2"/>
        <v>Sale</v>
      </c>
      <c r="D2951" s="1">
        <v>21507.0</v>
      </c>
      <c r="E2951" s="1" t="str">
        <f>IFERROR(__xludf.DUMMYFUNCTION("IF(LEN(D2951)&gt;4, IFERROR(REGEXEXTRACT(TO_TEXT(D2951),""\d+""),""""),"""")"),"21507")</f>
        <v>21507</v>
      </c>
      <c r="F2951" s="6" t="str">
        <f t="shared" si="3"/>
        <v>Product</v>
      </c>
      <c r="G2951" s="1" t="s">
        <v>1137</v>
      </c>
      <c r="H2951" s="6" t="str">
        <f>IFERROR(__xludf.DUMMYFUNCTION("IF(REGEXMATCH(LOWER(G2951), ""^(\?)+\s*(missing)?\s*(\?)*$""), """", PROPER(SUBSTITUTE(SUBSTITUTE(G2951, ""?"", """"), ""*"", """")))"),"Elephant, Birthday Card,")</f>
        <v>Elephant, Birthday Card,</v>
      </c>
      <c r="I2951" s="3">
        <v>12.0</v>
      </c>
      <c r="J2951" s="7">
        <v>40599.54791666667</v>
      </c>
      <c r="K2951" s="8" t="str">
        <f t="shared" si="4"/>
        <v>2011-02</v>
      </c>
      <c r="L2951" s="5">
        <v>0.42</v>
      </c>
      <c r="M2951" s="3">
        <v>13093.0</v>
      </c>
      <c r="N2951" s="1" t="str">
        <f t="shared" si="5"/>
        <v>Registered</v>
      </c>
      <c r="O2951" s="1" t="s">
        <v>19</v>
      </c>
      <c r="P2951" s="9" t="str">
        <f t="shared" si="6"/>
        <v>UK</v>
      </c>
      <c r="Q2951" s="8">
        <f t="shared" si="7"/>
        <v>5.04</v>
      </c>
    </row>
    <row r="2952">
      <c r="A2952" s="1">
        <v>545013.0</v>
      </c>
      <c r="B2952" s="1" t="str">
        <f t="shared" si="1"/>
        <v>545013</v>
      </c>
      <c r="C2952" s="1" t="str">
        <f t="shared" si="2"/>
        <v>Sale</v>
      </c>
      <c r="D2952" s="1">
        <v>21506.0</v>
      </c>
      <c r="E2952" s="1" t="str">
        <f>IFERROR(__xludf.DUMMYFUNCTION("IF(LEN(D2952)&gt;4, IFERROR(REGEXEXTRACT(TO_TEXT(D2952),""\d+""),""""),"""")"),"21506")</f>
        <v>21506</v>
      </c>
      <c r="F2952" s="6" t="str">
        <f t="shared" si="3"/>
        <v>Product</v>
      </c>
      <c r="G2952" s="1" t="s">
        <v>245</v>
      </c>
      <c r="H2952" s="6" t="str">
        <f>IFERROR(__xludf.DUMMYFUNCTION("IF(REGEXMATCH(LOWER(G2952), ""^(\?)+\s*(missing)?\s*(\?)*$""), """", PROPER(SUBSTITUTE(SUBSTITUTE(G2952, ""?"", """"), ""*"", """")))"),"Fancy Font Birthday Card,")</f>
        <v>Fancy Font Birthday Card,</v>
      </c>
      <c r="I2952" s="3">
        <v>12.0</v>
      </c>
      <c r="J2952" s="7">
        <v>40599.54791666667</v>
      </c>
      <c r="K2952" s="8" t="str">
        <f t="shared" si="4"/>
        <v>2011-02</v>
      </c>
      <c r="L2952" s="5">
        <v>0.42</v>
      </c>
      <c r="M2952" s="3">
        <v>13093.0</v>
      </c>
      <c r="N2952" s="1" t="str">
        <f t="shared" si="5"/>
        <v>Registered</v>
      </c>
      <c r="O2952" s="1" t="s">
        <v>19</v>
      </c>
      <c r="P2952" s="9" t="str">
        <f t="shared" si="6"/>
        <v>UK</v>
      </c>
      <c r="Q2952" s="8">
        <f t="shared" si="7"/>
        <v>5.04</v>
      </c>
    </row>
    <row r="2953">
      <c r="A2953" s="1">
        <v>545013.0</v>
      </c>
      <c r="B2953" s="1" t="str">
        <f t="shared" si="1"/>
        <v>545013</v>
      </c>
      <c r="C2953" s="1" t="str">
        <f t="shared" si="2"/>
        <v>Sale</v>
      </c>
      <c r="D2953" s="1">
        <v>21498.0</v>
      </c>
      <c r="E2953" s="1" t="str">
        <f>IFERROR(__xludf.DUMMYFUNCTION("IF(LEN(D2953)&gt;4, IFERROR(REGEXEXTRACT(TO_TEXT(D2953),""\d+""),""""),"""")"),"21498")</f>
        <v>21498</v>
      </c>
      <c r="F2953" s="6" t="str">
        <f t="shared" si="3"/>
        <v>Product</v>
      </c>
      <c r="G2953" s="1" t="s">
        <v>931</v>
      </c>
      <c r="H2953" s="6" t="str">
        <f>IFERROR(__xludf.DUMMYFUNCTION("IF(REGEXMATCH(LOWER(G2953), ""^(\?)+\s*(missing)?\s*(\?)*$""), """", PROPER(SUBSTITUTE(SUBSTITUTE(G2953, ""?"", """"), ""*"", """")))"),"Red Retrospot Wrap")</f>
        <v>Red Retrospot Wrap</v>
      </c>
      <c r="I2953" s="3">
        <v>25.0</v>
      </c>
      <c r="J2953" s="7">
        <v>40599.54791666667</v>
      </c>
      <c r="K2953" s="8" t="str">
        <f t="shared" si="4"/>
        <v>2011-02</v>
      </c>
      <c r="L2953" s="5">
        <v>0.42</v>
      </c>
      <c r="M2953" s="3">
        <v>13093.0</v>
      </c>
      <c r="N2953" s="1" t="str">
        <f t="shared" si="5"/>
        <v>Registered</v>
      </c>
      <c r="O2953" s="1" t="s">
        <v>19</v>
      </c>
      <c r="P2953" s="9" t="str">
        <f t="shared" si="6"/>
        <v>UK</v>
      </c>
      <c r="Q2953" s="8">
        <f t="shared" si="7"/>
        <v>10.5</v>
      </c>
    </row>
    <row r="2954">
      <c r="A2954" s="1">
        <v>545013.0</v>
      </c>
      <c r="B2954" s="1" t="str">
        <f t="shared" si="1"/>
        <v>545013</v>
      </c>
      <c r="C2954" s="1" t="str">
        <f t="shared" si="2"/>
        <v>Sale</v>
      </c>
      <c r="D2954" s="1">
        <v>20914.0</v>
      </c>
      <c r="E2954" s="1" t="str">
        <f>IFERROR(__xludf.DUMMYFUNCTION("IF(LEN(D2954)&gt;4, IFERROR(REGEXEXTRACT(TO_TEXT(D2954),""\d+""),""""),"""")"),"20914")</f>
        <v>20914</v>
      </c>
      <c r="F2954" s="6" t="str">
        <f t="shared" si="3"/>
        <v>Product</v>
      </c>
      <c r="G2954" s="1" t="s">
        <v>359</v>
      </c>
      <c r="H2954" s="6" t="str">
        <f>IFERROR(__xludf.DUMMYFUNCTION("IF(REGEXMATCH(LOWER(G2954), ""^(\?)+\s*(missing)?\s*(\?)*$""), """", PROPER(SUBSTITUTE(SUBSTITUTE(G2954, ""?"", """"), ""*"", """")))"),"Set/5 Red Retrospot Lid Glass Bowls")</f>
        <v>Set/5 Red Retrospot Lid Glass Bowls</v>
      </c>
      <c r="I2954" s="3">
        <v>32.0</v>
      </c>
      <c r="J2954" s="7">
        <v>40599.54791666667</v>
      </c>
      <c r="K2954" s="8" t="str">
        <f t="shared" si="4"/>
        <v>2011-02</v>
      </c>
      <c r="L2954" s="5">
        <v>2.55</v>
      </c>
      <c r="M2954" s="3">
        <v>13093.0</v>
      </c>
      <c r="N2954" s="1" t="str">
        <f t="shared" si="5"/>
        <v>Registered</v>
      </c>
      <c r="O2954" s="1" t="s">
        <v>19</v>
      </c>
      <c r="P2954" s="9" t="str">
        <f t="shared" si="6"/>
        <v>UK</v>
      </c>
      <c r="Q2954" s="8">
        <f t="shared" si="7"/>
        <v>81.6</v>
      </c>
    </row>
    <row r="2955">
      <c r="A2955" s="1">
        <v>545013.0</v>
      </c>
      <c r="B2955" s="1" t="str">
        <f t="shared" si="1"/>
        <v>545013</v>
      </c>
      <c r="C2955" s="1" t="str">
        <f t="shared" si="2"/>
        <v>Sale</v>
      </c>
      <c r="D2955" s="1">
        <v>20725.0</v>
      </c>
      <c r="E2955" s="1" t="str">
        <f>IFERROR(__xludf.DUMMYFUNCTION("IF(LEN(D2955)&gt;4, IFERROR(REGEXEXTRACT(TO_TEXT(D2955),""\d+""),""""),"""")"),"20725")</f>
        <v>20725</v>
      </c>
      <c r="F2955" s="6" t="str">
        <f t="shared" si="3"/>
        <v>Product</v>
      </c>
      <c r="G2955" s="1" t="s">
        <v>94</v>
      </c>
      <c r="H2955" s="6" t="str">
        <f>IFERROR(__xludf.DUMMYFUNCTION("IF(REGEXMATCH(LOWER(G2955), ""^(\?)+\s*(missing)?\s*(\?)*$""), """", PROPER(SUBSTITUTE(SUBSTITUTE(G2955, ""?"", """"), ""*"", """")))"),"Lunch Bag Red Retrospot")</f>
        <v>Lunch Bag Red Retrospot</v>
      </c>
      <c r="I2955" s="3">
        <v>20.0</v>
      </c>
      <c r="J2955" s="7">
        <v>40599.54791666667</v>
      </c>
      <c r="K2955" s="8" t="str">
        <f t="shared" si="4"/>
        <v>2011-02</v>
      </c>
      <c r="L2955" s="5">
        <v>1.65</v>
      </c>
      <c r="M2955" s="3">
        <v>13093.0</v>
      </c>
      <c r="N2955" s="1" t="str">
        <f t="shared" si="5"/>
        <v>Registered</v>
      </c>
      <c r="O2955" s="1" t="s">
        <v>19</v>
      </c>
      <c r="P2955" s="9" t="str">
        <f t="shared" si="6"/>
        <v>UK</v>
      </c>
      <c r="Q2955" s="8">
        <f t="shared" si="7"/>
        <v>33</v>
      </c>
    </row>
    <row r="2956">
      <c r="A2956" s="1">
        <v>545014.0</v>
      </c>
      <c r="B2956" s="1" t="str">
        <f t="shared" si="1"/>
        <v>545014</v>
      </c>
      <c r="C2956" s="1" t="str">
        <f t="shared" si="2"/>
        <v>Sale</v>
      </c>
      <c r="D2956" s="1">
        <v>22720.0</v>
      </c>
      <c r="E2956" s="1" t="str">
        <f>IFERROR(__xludf.DUMMYFUNCTION("IF(LEN(D2956)&gt;4, IFERROR(REGEXEXTRACT(TO_TEXT(D2956),""\d+""),""""),"""")"),"22720")</f>
        <v>22720</v>
      </c>
      <c r="F2956" s="6" t="str">
        <f t="shared" si="3"/>
        <v>Product</v>
      </c>
      <c r="G2956" s="1" t="s">
        <v>685</v>
      </c>
      <c r="H2956" s="6" t="str">
        <f>IFERROR(__xludf.DUMMYFUNCTION("IF(REGEXMATCH(LOWER(G2956), ""^(\?)+\s*(missing)?\s*(\?)*$""), """", PROPER(SUBSTITUTE(SUBSTITUTE(G2956, ""?"", """"), ""*"", """")))"),"Set Of 3 Cake Tins Pantry Design")</f>
        <v>Set Of 3 Cake Tins Pantry Design</v>
      </c>
      <c r="I2956" s="3">
        <v>6.0</v>
      </c>
      <c r="J2956" s="7">
        <v>40599.552083333336</v>
      </c>
      <c r="K2956" s="8" t="str">
        <f t="shared" si="4"/>
        <v>2011-02</v>
      </c>
      <c r="L2956" s="5">
        <v>4.95</v>
      </c>
      <c r="M2956" s="3">
        <v>18223.0</v>
      </c>
      <c r="N2956" s="1" t="str">
        <f t="shared" si="5"/>
        <v>Registered</v>
      </c>
      <c r="O2956" s="1" t="s">
        <v>19</v>
      </c>
      <c r="P2956" s="9" t="str">
        <f t="shared" si="6"/>
        <v>UK</v>
      </c>
      <c r="Q2956" s="8">
        <f t="shared" si="7"/>
        <v>29.7</v>
      </c>
    </row>
    <row r="2957">
      <c r="A2957" s="1">
        <v>545014.0</v>
      </c>
      <c r="B2957" s="1" t="str">
        <f t="shared" si="1"/>
        <v>545014</v>
      </c>
      <c r="C2957" s="1" t="str">
        <f t="shared" si="2"/>
        <v>Sale</v>
      </c>
      <c r="D2957" s="1">
        <v>22722.0</v>
      </c>
      <c r="E2957" s="1" t="str">
        <f>IFERROR(__xludf.DUMMYFUNCTION("IF(LEN(D2957)&gt;4, IFERROR(REGEXEXTRACT(TO_TEXT(D2957),""\d+""),""""),"""")"),"22722")</f>
        <v>22722</v>
      </c>
      <c r="F2957" s="6" t="str">
        <f t="shared" si="3"/>
        <v>Product</v>
      </c>
      <c r="G2957" s="1" t="s">
        <v>686</v>
      </c>
      <c r="H2957" s="6" t="str">
        <f>IFERROR(__xludf.DUMMYFUNCTION("IF(REGEXMATCH(LOWER(G2957), ""^(\?)+\s*(missing)?\s*(\?)*$""), """", PROPER(SUBSTITUTE(SUBSTITUTE(G2957, ""?"", """"), ""*"", """")))"),"Set Of 6 Spice Tins Pantry Design")</f>
        <v>Set Of 6 Spice Tins Pantry Design</v>
      </c>
      <c r="I2957" s="3">
        <v>8.0</v>
      </c>
      <c r="J2957" s="7">
        <v>40599.552083333336</v>
      </c>
      <c r="K2957" s="8" t="str">
        <f t="shared" si="4"/>
        <v>2011-02</v>
      </c>
      <c r="L2957" s="5">
        <v>3.95</v>
      </c>
      <c r="M2957" s="3">
        <v>18223.0</v>
      </c>
      <c r="N2957" s="1" t="str">
        <f t="shared" si="5"/>
        <v>Registered</v>
      </c>
      <c r="O2957" s="1" t="s">
        <v>19</v>
      </c>
      <c r="P2957" s="9" t="str">
        <f t="shared" si="6"/>
        <v>UK</v>
      </c>
      <c r="Q2957" s="8">
        <f t="shared" si="7"/>
        <v>31.6</v>
      </c>
    </row>
    <row r="2958">
      <c r="A2958" s="1">
        <v>545014.0</v>
      </c>
      <c r="B2958" s="1" t="str">
        <f t="shared" si="1"/>
        <v>545014</v>
      </c>
      <c r="C2958" s="1" t="str">
        <f t="shared" si="2"/>
        <v>Sale</v>
      </c>
      <c r="D2958" s="1">
        <v>22666.0</v>
      </c>
      <c r="E2958" s="1" t="str">
        <f>IFERROR(__xludf.DUMMYFUNCTION("IF(LEN(D2958)&gt;4, IFERROR(REGEXEXTRACT(TO_TEXT(D2958),""\d+""),""""),"""")"),"22666")</f>
        <v>22666</v>
      </c>
      <c r="F2958" s="6" t="str">
        <f t="shared" si="3"/>
        <v>Product</v>
      </c>
      <c r="G2958" s="1" t="s">
        <v>781</v>
      </c>
      <c r="H2958" s="6" t="str">
        <f>IFERROR(__xludf.DUMMYFUNCTION("IF(REGEXMATCH(LOWER(G2958), ""^(\?)+\s*(missing)?\s*(\?)*$""), """", PROPER(SUBSTITUTE(SUBSTITUTE(G2958, ""?"", """"), ""*"", """")))"),"Recipe Box Pantry Yellow Design")</f>
        <v>Recipe Box Pantry Yellow Design</v>
      </c>
      <c r="I2958" s="3">
        <v>6.0</v>
      </c>
      <c r="J2958" s="7">
        <v>40599.552083333336</v>
      </c>
      <c r="K2958" s="8" t="str">
        <f t="shared" si="4"/>
        <v>2011-02</v>
      </c>
      <c r="L2958" s="5">
        <v>2.95</v>
      </c>
      <c r="M2958" s="3">
        <v>18223.0</v>
      </c>
      <c r="N2958" s="1" t="str">
        <f t="shared" si="5"/>
        <v>Registered</v>
      </c>
      <c r="O2958" s="1" t="s">
        <v>19</v>
      </c>
      <c r="P2958" s="9" t="str">
        <f t="shared" si="6"/>
        <v>UK</v>
      </c>
      <c r="Q2958" s="8">
        <f t="shared" si="7"/>
        <v>17.7</v>
      </c>
    </row>
    <row r="2959">
      <c r="A2959" s="1">
        <v>545014.0</v>
      </c>
      <c r="B2959" s="1" t="str">
        <f t="shared" si="1"/>
        <v>545014</v>
      </c>
      <c r="C2959" s="1" t="str">
        <f t="shared" si="2"/>
        <v>Sale</v>
      </c>
      <c r="D2959" s="1">
        <v>22963.0</v>
      </c>
      <c r="E2959" s="1" t="str">
        <f>IFERROR(__xludf.DUMMYFUNCTION("IF(LEN(D2959)&gt;4, IFERROR(REGEXEXTRACT(TO_TEXT(D2959),""\d+""),""""),"""")"),"22963")</f>
        <v>22963</v>
      </c>
      <c r="F2959" s="6" t="str">
        <f t="shared" si="3"/>
        <v>Product</v>
      </c>
      <c r="G2959" s="1" t="s">
        <v>211</v>
      </c>
      <c r="H2959" s="6" t="str">
        <f>IFERROR(__xludf.DUMMYFUNCTION("IF(REGEXMATCH(LOWER(G2959), ""^(\?)+\s*(missing)?\s*(\?)*$""), """", PROPER(SUBSTITUTE(SUBSTITUTE(G2959, ""?"", """"), ""*"", """")))"),"Jam Jar With Green Lid")</f>
        <v>Jam Jar With Green Lid</v>
      </c>
      <c r="I2959" s="3">
        <v>12.0</v>
      </c>
      <c r="J2959" s="7">
        <v>40599.552083333336</v>
      </c>
      <c r="K2959" s="8" t="str">
        <f t="shared" si="4"/>
        <v>2011-02</v>
      </c>
      <c r="L2959" s="5">
        <v>0.85</v>
      </c>
      <c r="M2959" s="3">
        <v>18223.0</v>
      </c>
      <c r="N2959" s="1" t="str">
        <f t="shared" si="5"/>
        <v>Registered</v>
      </c>
      <c r="O2959" s="1" t="s">
        <v>19</v>
      </c>
      <c r="P2959" s="9" t="str">
        <f t="shared" si="6"/>
        <v>UK</v>
      </c>
      <c r="Q2959" s="8">
        <f t="shared" si="7"/>
        <v>10.2</v>
      </c>
    </row>
    <row r="2960">
      <c r="A2960" s="1">
        <v>545014.0</v>
      </c>
      <c r="B2960" s="1" t="str">
        <f t="shared" si="1"/>
        <v>545014</v>
      </c>
      <c r="C2960" s="1" t="str">
        <f t="shared" si="2"/>
        <v>Sale</v>
      </c>
      <c r="D2960" s="1">
        <v>22962.0</v>
      </c>
      <c r="E2960" s="1" t="str">
        <f>IFERROR(__xludf.DUMMYFUNCTION("IF(LEN(D2960)&gt;4, IFERROR(REGEXEXTRACT(TO_TEXT(D2960),""\d+""),""""),"""")"),"22962")</f>
        <v>22962</v>
      </c>
      <c r="F2960" s="6" t="str">
        <f t="shared" si="3"/>
        <v>Product</v>
      </c>
      <c r="G2960" s="1" t="s">
        <v>210</v>
      </c>
      <c r="H2960" s="6" t="str">
        <f>IFERROR(__xludf.DUMMYFUNCTION("IF(REGEXMATCH(LOWER(G2960), ""^(\?)+\s*(missing)?\s*(\?)*$""), """", PROPER(SUBSTITUTE(SUBSTITUTE(G2960, ""?"", """"), ""*"", """")))"),"Jam Jar With Pink Lid")</f>
        <v>Jam Jar With Pink Lid</v>
      </c>
      <c r="I2960" s="3">
        <v>12.0</v>
      </c>
      <c r="J2960" s="7">
        <v>40599.552083333336</v>
      </c>
      <c r="K2960" s="8" t="str">
        <f t="shared" si="4"/>
        <v>2011-02</v>
      </c>
      <c r="L2960" s="5">
        <v>0.85</v>
      </c>
      <c r="M2960" s="3">
        <v>18223.0</v>
      </c>
      <c r="N2960" s="1" t="str">
        <f t="shared" si="5"/>
        <v>Registered</v>
      </c>
      <c r="O2960" s="1" t="s">
        <v>19</v>
      </c>
      <c r="P2960" s="9" t="str">
        <f t="shared" si="6"/>
        <v>UK</v>
      </c>
      <c r="Q2960" s="8">
        <f t="shared" si="7"/>
        <v>10.2</v>
      </c>
    </row>
    <row r="2961">
      <c r="A2961" s="1">
        <v>545014.0</v>
      </c>
      <c r="B2961" s="1" t="str">
        <f t="shared" si="1"/>
        <v>545014</v>
      </c>
      <c r="C2961" s="1" t="str">
        <f t="shared" si="2"/>
        <v>Sale</v>
      </c>
      <c r="D2961" s="1">
        <v>22699.0</v>
      </c>
      <c r="E2961" s="1" t="str">
        <f>IFERROR(__xludf.DUMMYFUNCTION("IF(LEN(D2961)&gt;4, IFERROR(REGEXEXTRACT(TO_TEXT(D2961),""\d+""),""""),"""")"),"22699")</f>
        <v>22699</v>
      </c>
      <c r="F2961" s="6" t="str">
        <f t="shared" si="3"/>
        <v>Product</v>
      </c>
      <c r="G2961" s="1" t="s">
        <v>684</v>
      </c>
      <c r="H2961" s="6" t="str">
        <f>IFERROR(__xludf.DUMMYFUNCTION("IF(REGEXMATCH(LOWER(G2961), ""^(\?)+\s*(missing)?\s*(\?)*$""), """", PROPER(SUBSTITUTE(SUBSTITUTE(G2961, ""?"", """"), ""*"", """")))"),"Roses Regency Teacup And Saucer")</f>
        <v>Roses Regency Teacup And Saucer</v>
      </c>
      <c r="I2961" s="3">
        <v>6.0</v>
      </c>
      <c r="J2961" s="7">
        <v>40599.552083333336</v>
      </c>
      <c r="K2961" s="8" t="str">
        <f t="shared" si="4"/>
        <v>2011-02</v>
      </c>
      <c r="L2961" s="5">
        <v>2.95</v>
      </c>
      <c r="M2961" s="3">
        <v>18223.0</v>
      </c>
      <c r="N2961" s="1" t="str">
        <f t="shared" si="5"/>
        <v>Registered</v>
      </c>
      <c r="O2961" s="1" t="s">
        <v>19</v>
      </c>
      <c r="P2961" s="9" t="str">
        <f t="shared" si="6"/>
        <v>UK</v>
      </c>
      <c r="Q2961" s="8">
        <f t="shared" si="7"/>
        <v>17.7</v>
      </c>
    </row>
    <row r="2962">
      <c r="A2962" s="1">
        <v>545014.0</v>
      </c>
      <c r="B2962" s="1" t="str">
        <f t="shared" si="1"/>
        <v>545014</v>
      </c>
      <c r="C2962" s="1" t="str">
        <f t="shared" si="2"/>
        <v>Sale</v>
      </c>
      <c r="D2962" s="1">
        <v>22697.0</v>
      </c>
      <c r="E2962" s="1" t="str">
        <f>IFERROR(__xludf.DUMMYFUNCTION("IF(LEN(D2962)&gt;4, IFERROR(REGEXEXTRACT(TO_TEXT(D2962),""\d+""),""""),"""")"),"22697")</f>
        <v>22697</v>
      </c>
      <c r="F2962" s="6" t="str">
        <f t="shared" si="3"/>
        <v>Product</v>
      </c>
      <c r="G2962" s="1" t="s">
        <v>682</v>
      </c>
      <c r="H2962" s="6" t="str">
        <f>IFERROR(__xludf.DUMMYFUNCTION("IF(REGEXMATCH(LOWER(G2962), ""^(\?)+\s*(missing)?\s*(\?)*$""), """", PROPER(SUBSTITUTE(SUBSTITUTE(G2962, ""?"", """"), ""*"", """")))"),"Green Regency Teacup And Saucer")</f>
        <v>Green Regency Teacup And Saucer</v>
      </c>
      <c r="I2962" s="3">
        <v>6.0</v>
      </c>
      <c r="J2962" s="7">
        <v>40599.552083333336</v>
      </c>
      <c r="K2962" s="8" t="str">
        <f t="shared" si="4"/>
        <v>2011-02</v>
      </c>
      <c r="L2962" s="5">
        <v>2.95</v>
      </c>
      <c r="M2962" s="3">
        <v>18223.0</v>
      </c>
      <c r="N2962" s="1" t="str">
        <f t="shared" si="5"/>
        <v>Registered</v>
      </c>
      <c r="O2962" s="1" t="s">
        <v>19</v>
      </c>
      <c r="P2962" s="9" t="str">
        <f t="shared" si="6"/>
        <v>UK</v>
      </c>
      <c r="Q2962" s="8">
        <f t="shared" si="7"/>
        <v>17.7</v>
      </c>
    </row>
    <row r="2963">
      <c r="A2963" s="1">
        <v>545014.0</v>
      </c>
      <c r="B2963" s="1" t="str">
        <f t="shared" si="1"/>
        <v>545014</v>
      </c>
      <c r="C2963" s="1" t="str">
        <f t="shared" si="2"/>
        <v>Sale</v>
      </c>
      <c r="D2963" s="1">
        <v>22698.0</v>
      </c>
      <c r="E2963" s="1" t="str">
        <f>IFERROR(__xludf.DUMMYFUNCTION("IF(LEN(D2963)&gt;4, IFERROR(REGEXEXTRACT(TO_TEXT(D2963),""\d+""),""""),"""")"),"22698")</f>
        <v>22698</v>
      </c>
      <c r="F2963" s="6" t="str">
        <f t="shared" si="3"/>
        <v>Product</v>
      </c>
      <c r="G2963" s="1" t="s">
        <v>683</v>
      </c>
      <c r="H2963" s="6" t="str">
        <f>IFERROR(__xludf.DUMMYFUNCTION("IF(REGEXMATCH(LOWER(G2963), ""^(\?)+\s*(missing)?\s*(\?)*$""), """", PROPER(SUBSTITUTE(SUBSTITUTE(G2963, ""?"", """"), ""*"", """")))"),"Pink Regency Teacup And Saucer")</f>
        <v>Pink Regency Teacup And Saucer</v>
      </c>
      <c r="I2963" s="3">
        <v>6.0</v>
      </c>
      <c r="J2963" s="7">
        <v>40599.552083333336</v>
      </c>
      <c r="K2963" s="8" t="str">
        <f t="shared" si="4"/>
        <v>2011-02</v>
      </c>
      <c r="L2963" s="5">
        <v>2.95</v>
      </c>
      <c r="M2963" s="3">
        <v>18223.0</v>
      </c>
      <c r="N2963" s="1" t="str">
        <f t="shared" si="5"/>
        <v>Registered</v>
      </c>
      <c r="O2963" s="1" t="s">
        <v>19</v>
      </c>
      <c r="P2963" s="9" t="str">
        <f t="shared" si="6"/>
        <v>UK</v>
      </c>
      <c r="Q2963" s="8">
        <f t="shared" si="7"/>
        <v>17.7</v>
      </c>
    </row>
    <row r="2964">
      <c r="A2964" s="1">
        <v>545014.0</v>
      </c>
      <c r="B2964" s="1" t="str">
        <f t="shared" si="1"/>
        <v>545014</v>
      </c>
      <c r="C2964" s="1" t="str">
        <f t="shared" si="2"/>
        <v>Sale</v>
      </c>
      <c r="D2964" s="1">
        <v>22423.0</v>
      </c>
      <c r="E2964" s="1" t="str">
        <f>IFERROR(__xludf.DUMMYFUNCTION("IF(LEN(D2964)&gt;4, IFERROR(REGEXEXTRACT(TO_TEXT(D2964),""\d+""),""""),"""")"),"22423")</f>
        <v>22423</v>
      </c>
      <c r="F2964" s="6" t="str">
        <f t="shared" si="3"/>
        <v>Product</v>
      </c>
      <c r="G2964" s="1" t="s">
        <v>619</v>
      </c>
      <c r="H2964" s="6" t="str">
        <f>IFERROR(__xludf.DUMMYFUNCTION("IF(REGEXMATCH(LOWER(G2964), ""^(\?)+\s*(missing)?\s*(\?)*$""), """", PROPER(SUBSTITUTE(SUBSTITUTE(G2964, ""?"", """"), ""*"", """")))"),"Regency Cakestand 3 Tier")</f>
        <v>Regency Cakestand 3 Tier</v>
      </c>
      <c r="I2964" s="3">
        <v>3.0</v>
      </c>
      <c r="J2964" s="7">
        <v>40599.552083333336</v>
      </c>
      <c r="K2964" s="8" t="str">
        <f t="shared" si="4"/>
        <v>2011-02</v>
      </c>
      <c r="L2964" s="5">
        <v>12.75</v>
      </c>
      <c r="M2964" s="3">
        <v>18223.0</v>
      </c>
      <c r="N2964" s="1" t="str">
        <f t="shared" si="5"/>
        <v>Registered</v>
      </c>
      <c r="O2964" s="1" t="s">
        <v>19</v>
      </c>
      <c r="P2964" s="9" t="str">
        <f t="shared" si="6"/>
        <v>UK</v>
      </c>
      <c r="Q2964" s="8">
        <f t="shared" si="7"/>
        <v>38.25</v>
      </c>
    </row>
    <row r="2965">
      <c r="A2965" s="1">
        <v>545014.0</v>
      </c>
      <c r="B2965" s="1" t="str">
        <f t="shared" si="1"/>
        <v>545014</v>
      </c>
      <c r="C2965" s="1" t="str">
        <f t="shared" si="2"/>
        <v>Sale</v>
      </c>
      <c r="D2965" s="1">
        <v>22960.0</v>
      </c>
      <c r="E2965" s="1" t="str">
        <f>IFERROR(__xludf.DUMMYFUNCTION("IF(LEN(D2965)&gt;4, IFERROR(REGEXEXTRACT(TO_TEXT(D2965),""\d+""),""""),"""")"),"22960")</f>
        <v>22960</v>
      </c>
      <c r="F2965" s="6" t="str">
        <f t="shared" si="3"/>
        <v>Product</v>
      </c>
      <c r="G2965" s="1" t="s">
        <v>43</v>
      </c>
      <c r="H2965" s="6" t="str">
        <f>IFERROR(__xludf.DUMMYFUNCTION("IF(REGEXMATCH(LOWER(G2965), ""^(\?)+\s*(missing)?\s*(\?)*$""), """", PROPER(SUBSTITUTE(SUBSTITUTE(G2965, ""?"", """"), ""*"", """")))"),"Jam Making Set With Jars")</f>
        <v>Jam Making Set With Jars</v>
      </c>
      <c r="I2965" s="3">
        <v>6.0</v>
      </c>
      <c r="J2965" s="7">
        <v>40599.552083333336</v>
      </c>
      <c r="K2965" s="8" t="str">
        <f t="shared" si="4"/>
        <v>2011-02</v>
      </c>
      <c r="L2965" s="5">
        <v>4.25</v>
      </c>
      <c r="M2965" s="3">
        <v>18223.0</v>
      </c>
      <c r="N2965" s="1" t="str">
        <f t="shared" si="5"/>
        <v>Registered</v>
      </c>
      <c r="O2965" s="1" t="s">
        <v>19</v>
      </c>
      <c r="P2965" s="9" t="str">
        <f t="shared" si="6"/>
        <v>UK</v>
      </c>
      <c r="Q2965" s="8">
        <f t="shared" si="7"/>
        <v>25.5</v>
      </c>
    </row>
    <row r="2966">
      <c r="A2966" s="1">
        <v>545014.0</v>
      </c>
      <c r="B2966" s="1" t="str">
        <f t="shared" si="1"/>
        <v>545014</v>
      </c>
      <c r="C2966" s="1" t="str">
        <f t="shared" si="2"/>
        <v>Sale</v>
      </c>
      <c r="D2966" s="1">
        <v>22969.0</v>
      </c>
      <c r="E2966" s="1" t="str">
        <f>IFERROR(__xludf.DUMMYFUNCTION("IF(LEN(D2966)&gt;4, IFERROR(REGEXEXTRACT(TO_TEXT(D2966),""\d+""),""""),"""")"),"22969")</f>
        <v>22969</v>
      </c>
      <c r="F2966" s="6" t="str">
        <f t="shared" si="3"/>
        <v>Product</v>
      </c>
      <c r="G2966" s="1" t="s">
        <v>192</v>
      </c>
      <c r="H2966" s="6" t="str">
        <f>IFERROR(__xludf.DUMMYFUNCTION("IF(REGEXMATCH(LOWER(G2966), ""^(\?)+\s*(missing)?\s*(\?)*$""), """", PROPER(SUBSTITUTE(SUBSTITUTE(G2966, ""?"", """"), ""*"", """")))"),"Homemade Jam Scented Candles")</f>
        <v>Homemade Jam Scented Candles</v>
      </c>
      <c r="I2966" s="3">
        <v>24.0</v>
      </c>
      <c r="J2966" s="7">
        <v>40599.552083333336</v>
      </c>
      <c r="K2966" s="8" t="str">
        <f t="shared" si="4"/>
        <v>2011-02</v>
      </c>
      <c r="L2966" s="5">
        <v>1.45</v>
      </c>
      <c r="M2966" s="3">
        <v>18223.0</v>
      </c>
      <c r="N2966" s="1" t="str">
        <f t="shared" si="5"/>
        <v>Registered</v>
      </c>
      <c r="O2966" s="1" t="s">
        <v>19</v>
      </c>
      <c r="P2966" s="9" t="str">
        <f t="shared" si="6"/>
        <v>UK</v>
      </c>
      <c r="Q2966" s="8">
        <f t="shared" si="7"/>
        <v>34.8</v>
      </c>
    </row>
    <row r="2967">
      <c r="A2967" s="1">
        <v>545014.0</v>
      </c>
      <c r="B2967" s="1" t="str">
        <f t="shared" si="1"/>
        <v>545014</v>
      </c>
      <c r="C2967" s="1" t="str">
        <f t="shared" si="2"/>
        <v>Sale</v>
      </c>
      <c r="D2967" s="1" t="s">
        <v>85</v>
      </c>
      <c r="E2967" s="1" t="str">
        <f>IFERROR(__xludf.DUMMYFUNCTION("IF(LEN(D2967)&gt;4, IFERROR(REGEXEXTRACT(TO_TEXT(D2967),""\d+""),""""),"""")"),"85099")</f>
        <v>85099</v>
      </c>
      <c r="F2967" s="6" t="str">
        <f t="shared" si="3"/>
        <v>Product</v>
      </c>
      <c r="G2967" s="1" t="s">
        <v>86</v>
      </c>
      <c r="H2967" s="6" t="str">
        <f>IFERROR(__xludf.DUMMYFUNCTION("IF(REGEXMATCH(LOWER(G2967), ""^(\?)+\s*(missing)?\s*(\?)*$""), """", PROPER(SUBSTITUTE(SUBSTITUTE(G2967, ""?"", """"), ""*"", """")))"),"Jumbo Bag Baroque Black White")</f>
        <v>Jumbo Bag Baroque Black White</v>
      </c>
      <c r="I2967" s="3">
        <v>10.0</v>
      </c>
      <c r="J2967" s="7">
        <v>40599.552083333336</v>
      </c>
      <c r="K2967" s="8" t="str">
        <f t="shared" si="4"/>
        <v>2011-02</v>
      </c>
      <c r="L2967" s="5">
        <v>1.95</v>
      </c>
      <c r="M2967" s="3">
        <v>18223.0</v>
      </c>
      <c r="N2967" s="1" t="str">
        <f t="shared" si="5"/>
        <v>Registered</v>
      </c>
      <c r="O2967" s="1" t="s">
        <v>19</v>
      </c>
      <c r="P2967" s="9" t="str">
        <f t="shared" si="6"/>
        <v>UK</v>
      </c>
      <c r="Q2967" s="8">
        <f t="shared" si="7"/>
        <v>19.5</v>
      </c>
    </row>
    <row r="2968">
      <c r="A2968" s="1">
        <v>545014.0</v>
      </c>
      <c r="B2968" s="1" t="str">
        <f t="shared" si="1"/>
        <v>545014</v>
      </c>
      <c r="C2968" s="1" t="str">
        <f t="shared" si="2"/>
        <v>Sale</v>
      </c>
      <c r="D2968" s="1" t="s">
        <v>428</v>
      </c>
      <c r="E2968" s="1" t="str">
        <f>IFERROR(__xludf.DUMMYFUNCTION("IF(LEN(D2968)&gt;4, IFERROR(REGEXEXTRACT(TO_TEXT(D2968),""\d+""),""""),"""")"),"85099")</f>
        <v>85099</v>
      </c>
      <c r="F2968" s="6" t="str">
        <f t="shared" si="3"/>
        <v>Product</v>
      </c>
      <c r="G2968" s="1" t="s">
        <v>429</v>
      </c>
      <c r="H2968" s="6" t="str">
        <f>IFERROR(__xludf.DUMMYFUNCTION("IF(REGEXMATCH(LOWER(G2968), ""^(\?)+\s*(missing)?\s*(\?)*$""), """", PROPER(SUBSTITUTE(SUBSTITUTE(G2968, ""?"", """"), ""*"", """")))"),"Jumbo Bag Strawberry")</f>
        <v>Jumbo Bag Strawberry</v>
      </c>
      <c r="I2968" s="3">
        <v>10.0</v>
      </c>
      <c r="J2968" s="7">
        <v>40599.552083333336</v>
      </c>
      <c r="K2968" s="8" t="str">
        <f t="shared" si="4"/>
        <v>2011-02</v>
      </c>
      <c r="L2968" s="5">
        <v>1.95</v>
      </c>
      <c r="M2968" s="3">
        <v>18223.0</v>
      </c>
      <c r="N2968" s="1" t="str">
        <f t="shared" si="5"/>
        <v>Registered</v>
      </c>
      <c r="O2968" s="1" t="s">
        <v>19</v>
      </c>
      <c r="P2968" s="9" t="str">
        <f t="shared" si="6"/>
        <v>UK</v>
      </c>
      <c r="Q2968" s="8">
        <f t="shared" si="7"/>
        <v>19.5</v>
      </c>
    </row>
    <row r="2969">
      <c r="A2969" s="1">
        <v>545014.0</v>
      </c>
      <c r="B2969" s="1" t="str">
        <f t="shared" si="1"/>
        <v>545014</v>
      </c>
      <c r="C2969" s="1" t="str">
        <f t="shared" si="2"/>
        <v>Sale</v>
      </c>
      <c r="D2969" s="1">
        <v>48194.0</v>
      </c>
      <c r="E2969" s="1" t="str">
        <f>IFERROR(__xludf.DUMMYFUNCTION("IF(LEN(D2969)&gt;4, IFERROR(REGEXEXTRACT(TO_TEXT(D2969),""\d+""),""""),"""")"),"48194")</f>
        <v>48194</v>
      </c>
      <c r="F2969" s="6" t="str">
        <f t="shared" si="3"/>
        <v>Product</v>
      </c>
      <c r="G2969" s="1" t="s">
        <v>375</v>
      </c>
      <c r="H2969" s="6" t="str">
        <f>IFERROR(__xludf.DUMMYFUNCTION("IF(REGEXMATCH(LOWER(G2969), ""^(\?)+\s*(missing)?\s*(\?)*$""), """", PROPER(SUBSTITUTE(SUBSTITUTE(G2969, ""?"", """"), ""*"", """")))"),"Doormat Hearts")</f>
        <v>Doormat Hearts</v>
      </c>
      <c r="I2969" s="3">
        <v>2.0</v>
      </c>
      <c r="J2969" s="7">
        <v>40599.552083333336</v>
      </c>
      <c r="K2969" s="8" t="str">
        <f t="shared" si="4"/>
        <v>2011-02</v>
      </c>
      <c r="L2969" s="5">
        <v>7.95</v>
      </c>
      <c r="M2969" s="3">
        <v>18223.0</v>
      </c>
      <c r="N2969" s="1" t="str">
        <f t="shared" si="5"/>
        <v>Registered</v>
      </c>
      <c r="O2969" s="1" t="s">
        <v>19</v>
      </c>
      <c r="P2969" s="9" t="str">
        <f t="shared" si="6"/>
        <v>UK</v>
      </c>
      <c r="Q2969" s="8">
        <f t="shared" si="7"/>
        <v>15.9</v>
      </c>
    </row>
    <row r="2970">
      <c r="A2970" s="1">
        <v>545014.0</v>
      </c>
      <c r="B2970" s="1" t="str">
        <f t="shared" si="1"/>
        <v>545014</v>
      </c>
      <c r="C2970" s="1" t="str">
        <f t="shared" si="2"/>
        <v>Sale</v>
      </c>
      <c r="D2970" s="1">
        <v>85152.0</v>
      </c>
      <c r="E2970" s="1" t="str">
        <f>IFERROR(__xludf.DUMMYFUNCTION("IF(LEN(D2970)&gt;4, IFERROR(REGEXEXTRACT(TO_TEXT(D2970),""\d+""),""""),"""")"),"85152")</f>
        <v>85152</v>
      </c>
      <c r="F2970" s="6" t="str">
        <f t="shared" si="3"/>
        <v>Product</v>
      </c>
      <c r="G2970" s="1" t="s">
        <v>251</v>
      </c>
      <c r="H2970" s="6" t="str">
        <f>IFERROR(__xludf.DUMMYFUNCTION("IF(REGEXMATCH(LOWER(G2970), ""^(\?)+\s*(missing)?\s*(\?)*$""), """", PROPER(SUBSTITUTE(SUBSTITUTE(G2970, ""?"", """"), ""*"", """")))"),"Hand Over The Chocolate Sign")</f>
        <v>Hand Over The Chocolate Sign</v>
      </c>
      <c r="I2970" s="3">
        <v>12.0</v>
      </c>
      <c r="J2970" s="7">
        <v>40599.552083333336</v>
      </c>
      <c r="K2970" s="8" t="str">
        <f t="shared" si="4"/>
        <v>2011-02</v>
      </c>
      <c r="L2970" s="5">
        <v>2.1</v>
      </c>
      <c r="M2970" s="3">
        <v>18223.0</v>
      </c>
      <c r="N2970" s="1" t="str">
        <f t="shared" si="5"/>
        <v>Registered</v>
      </c>
      <c r="O2970" s="1" t="s">
        <v>19</v>
      </c>
      <c r="P2970" s="9" t="str">
        <f t="shared" si="6"/>
        <v>UK</v>
      </c>
      <c r="Q2970" s="8">
        <f t="shared" si="7"/>
        <v>25.2</v>
      </c>
    </row>
    <row r="2971">
      <c r="A2971" s="1">
        <v>545014.0</v>
      </c>
      <c r="B2971" s="1" t="str">
        <f t="shared" si="1"/>
        <v>545014</v>
      </c>
      <c r="C2971" s="1" t="str">
        <f t="shared" si="2"/>
        <v>Sale</v>
      </c>
      <c r="D2971" s="1">
        <v>20724.0</v>
      </c>
      <c r="E2971" s="1" t="str">
        <f>IFERROR(__xludf.DUMMYFUNCTION("IF(LEN(D2971)&gt;4, IFERROR(REGEXEXTRACT(TO_TEXT(D2971),""\d+""),""""),"""")"),"20724")</f>
        <v>20724</v>
      </c>
      <c r="F2971" s="6" t="str">
        <f t="shared" si="3"/>
        <v>Product</v>
      </c>
      <c r="G2971" s="1" t="s">
        <v>701</v>
      </c>
      <c r="H2971" s="6" t="str">
        <f>IFERROR(__xludf.DUMMYFUNCTION("IF(REGEXMATCH(LOWER(G2971), ""^(\?)+\s*(missing)?\s*(\?)*$""), """", PROPER(SUBSTITUTE(SUBSTITUTE(G2971, ""?"", """"), ""*"", """")))"),"Red Retrospot Charlotte Bag")</f>
        <v>Red Retrospot Charlotte Bag</v>
      </c>
      <c r="I2971" s="3">
        <v>10.0</v>
      </c>
      <c r="J2971" s="7">
        <v>40599.552083333336</v>
      </c>
      <c r="K2971" s="8" t="str">
        <f t="shared" si="4"/>
        <v>2011-02</v>
      </c>
      <c r="L2971" s="5">
        <v>0.85</v>
      </c>
      <c r="M2971" s="3">
        <v>18223.0</v>
      </c>
      <c r="N2971" s="1" t="str">
        <f t="shared" si="5"/>
        <v>Registered</v>
      </c>
      <c r="O2971" s="1" t="s">
        <v>19</v>
      </c>
      <c r="P2971" s="9" t="str">
        <f t="shared" si="6"/>
        <v>UK</v>
      </c>
      <c r="Q2971" s="8">
        <f t="shared" si="7"/>
        <v>8.5</v>
      </c>
    </row>
    <row r="2972">
      <c r="A2972" s="1">
        <v>545014.0</v>
      </c>
      <c r="B2972" s="1" t="str">
        <f t="shared" si="1"/>
        <v>545014</v>
      </c>
      <c r="C2972" s="1" t="str">
        <f t="shared" si="2"/>
        <v>Sale</v>
      </c>
      <c r="D2972" s="1">
        <v>20914.0</v>
      </c>
      <c r="E2972" s="1" t="str">
        <f>IFERROR(__xludf.DUMMYFUNCTION("IF(LEN(D2972)&gt;4, IFERROR(REGEXEXTRACT(TO_TEXT(D2972),""\d+""),""""),"""")"),"20914")</f>
        <v>20914</v>
      </c>
      <c r="F2972" s="6" t="str">
        <f t="shared" si="3"/>
        <v>Product</v>
      </c>
      <c r="G2972" s="1" t="s">
        <v>359</v>
      </c>
      <c r="H2972" s="6" t="str">
        <f>IFERROR(__xludf.DUMMYFUNCTION("IF(REGEXMATCH(LOWER(G2972), ""^(\?)+\s*(missing)?\s*(\?)*$""), """", PROPER(SUBSTITUTE(SUBSTITUTE(G2972, ""?"", """"), ""*"", """")))"),"Set/5 Red Retrospot Lid Glass Bowls")</f>
        <v>Set/5 Red Retrospot Lid Glass Bowls</v>
      </c>
      <c r="I2972" s="3">
        <v>6.0</v>
      </c>
      <c r="J2972" s="7">
        <v>40599.552083333336</v>
      </c>
      <c r="K2972" s="8" t="str">
        <f t="shared" si="4"/>
        <v>2011-02</v>
      </c>
      <c r="L2972" s="5">
        <v>2.95</v>
      </c>
      <c r="M2972" s="3">
        <v>18223.0</v>
      </c>
      <c r="N2972" s="1" t="str">
        <f t="shared" si="5"/>
        <v>Registered</v>
      </c>
      <c r="O2972" s="1" t="s">
        <v>19</v>
      </c>
      <c r="P2972" s="9" t="str">
        <f t="shared" si="6"/>
        <v>UK</v>
      </c>
      <c r="Q2972" s="8">
        <f t="shared" si="7"/>
        <v>17.7</v>
      </c>
    </row>
    <row r="2973">
      <c r="A2973" s="1">
        <v>545014.0</v>
      </c>
      <c r="B2973" s="1" t="str">
        <f t="shared" si="1"/>
        <v>545014</v>
      </c>
      <c r="C2973" s="1" t="str">
        <f t="shared" si="2"/>
        <v>Sale</v>
      </c>
      <c r="D2973" s="1">
        <v>21232.0</v>
      </c>
      <c r="E2973" s="1" t="str">
        <f>IFERROR(__xludf.DUMMYFUNCTION("IF(LEN(D2973)&gt;4, IFERROR(REGEXEXTRACT(TO_TEXT(D2973),""\d+""),""""),"""")"),"21232")</f>
        <v>21232</v>
      </c>
      <c r="F2973" s="6" t="str">
        <f t="shared" si="3"/>
        <v>Product</v>
      </c>
      <c r="G2973" s="1" t="s">
        <v>264</v>
      </c>
      <c r="H2973" s="6" t="str">
        <f>IFERROR(__xludf.DUMMYFUNCTION("IF(REGEXMATCH(LOWER(G2973), ""^(\?)+\s*(missing)?\s*(\?)*$""), """", PROPER(SUBSTITUTE(SUBSTITUTE(G2973, ""?"", """"), ""*"", """")))"),"Strawberry Ceramic Trinket Box")</f>
        <v>Strawberry Ceramic Trinket Box</v>
      </c>
      <c r="I2973" s="3">
        <v>12.0</v>
      </c>
      <c r="J2973" s="7">
        <v>40599.552083333336</v>
      </c>
      <c r="K2973" s="8" t="str">
        <f t="shared" si="4"/>
        <v>2011-02</v>
      </c>
      <c r="L2973" s="5">
        <v>1.25</v>
      </c>
      <c r="M2973" s="3">
        <v>18223.0</v>
      </c>
      <c r="N2973" s="1" t="str">
        <f t="shared" si="5"/>
        <v>Registered</v>
      </c>
      <c r="O2973" s="1" t="s">
        <v>19</v>
      </c>
      <c r="P2973" s="9" t="str">
        <f t="shared" si="6"/>
        <v>UK</v>
      </c>
      <c r="Q2973" s="8">
        <f t="shared" si="7"/>
        <v>15</v>
      </c>
    </row>
    <row r="2974">
      <c r="A2974" s="1">
        <v>545014.0</v>
      </c>
      <c r="B2974" s="1" t="str">
        <f t="shared" si="1"/>
        <v>545014</v>
      </c>
      <c r="C2974" s="1" t="str">
        <f t="shared" si="2"/>
        <v>Sale</v>
      </c>
      <c r="D2974" s="1">
        <v>21354.0</v>
      </c>
      <c r="E2974" s="1" t="str">
        <f>IFERROR(__xludf.DUMMYFUNCTION("IF(LEN(D2974)&gt;4, IFERROR(REGEXEXTRACT(TO_TEXT(D2974),""\d+""),""""),"""")"),"21354")</f>
        <v>21354</v>
      </c>
      <c r="F2974" s="6" t="str">
        <f t="shared" si="3"/>
        <v>Product</v>
      </c>
      <c r="G2974" s="1" t="s">
        <v>904</v>
      </c>
      <c r="H2974" s="6" t="str">
        <f>IFERROR(__xludf.DUMMYFUNCTION("IF(REGEXMATCH(LOWER(G2974), ""^(\?)+\s*(missing)?\s*(\?)*$""), """", PROPER(SUBSTITUTE(SUBSTITUTE(G2974, ""?"", """"), ""*"", """")))"),"Toast Its - Best Mum")</f>
        <v>Toast Its - Best Mum</v>
      </c>
      <c r="I2974" s="3">
        <v>12.0</v>
      </c>
      <c r="J2974" s="7">
        <v>40599.552083333336</v>
      </c>
      <c r="K2974" s="8" t="str">
        <f t="shared" si="4"/>
        <v>2011-02</v>
      </c>
      <c r="L2974" s="5">
        <v>1.25</v>
      </c>
      <c r="M2974" s="3">
        <v>18223.0</v>
      </c>
      <c r="N2974" s="1" t="str">
        <f t="shared" si="5"/>
        <v>Registered</v>
      </c>
      <c r="O2974" s="1" t="s">
        <v>19</v>
      </c>
      <c r="P2974" s="9" t="str">
        <f t="shared" si="6"/>
        <v>UK</v>
      </c>
      <c r="Q2974" s="8">
        <f t="shared" si="7"/>
        <v>15</v>
      </c>
    </row>
    <row r="2975">
      <c r="A2975" s="1">
        <v>545014.0</v>
      </c>
      <c r="B2975" s="1" t="str">
        <f t="shared" si="1"/>
        <v>545014</v>
      </c>
      <c r="C2975" s="1" t="str">
        <f t="shared" si="2"/>
        <v>Sale</v>
      </c>
      <c r="D2975" s="1">
        <v>22179.0</v>
      </c>
      <c r="E2975" s="1" t="str">
        <f>IFERROR(__xludf.DUMMYFUNCTION("IF(LEN(D2975)&gt;4, IFERROR(REGEXEXTRACT(TO_TEXT(D2975),""\d+""),""""),"""")"),"22179")</f>
        <v>22179</v>
      </c>
      <c r="F2975" s="6" t="str">
        <f t="shared" si="3"/>
        <v>Product</v>
      </c>
      <c r="G2975" s="1" t="s">
        <v>459</v>
      </c>
      <c r="H2975" s="6" t="str">
        <f>IFERROR(__xludf.DUMMYFUNCTION("IF(REGEXMATCH(LOWER(G2975), ""^(\?)+\s*(missing)?\s*(\?)*$""), """", PROPER(SUBSTITUTE(SUBSTITUTE(G2975, ""?"", """"), ""*"", """")))"),"Set 10 Lights Night Owl")</f>
        <v>Set 10 Lights Night Owl</v>
      </c>
      <c r="I2975" s="3">
        <v>2.0</v>
      </c>
      <c r="J2975" s="7">
        <v>40599.552083333336</v>
      </c>
      <c r="K2975" s="8" t="str">
        <f t="shared" si="4"/>
        <v>2011-02</v>
      </c>
      <c r="L2975" s="5">
        <v>6.75</v>
      </c>
      <c r="M2975" s="3">
        <v>18223.0</v>
      </c>
      <c r="N2975" s="1" t="str">
        <f t="shared" si="5"/>
        <v>Registered</v>
      </c>
      <c r="O2975" s="1" t="s">
        <v>19</v>
      </c>
      <c r="P2975" s="9" t="str">
        <f t="shared" si="6"/>
        <v>UK</v>
      </c>
      <c r="Q2975" s="8">
        <f t="shared" si="7"/>
        <v>13.5</v>
      </c>
    </row>
    <row r="2976">
      <c r="A2976" s="1">
        <v>545014.0</v>
      </c>
      <c r="B2976" s="1" t="str">
        <f t="shared" si="1"/>
        <v>545014</v>
      </c>
      <c r="C2976" s="1" t="str">
        <f t="shared" si="2"/>
        <v>Sale</v>
      </c>
      <c r="D2976" s="1">
        <v>22197.0</v>
      </c>
      <c r="E2976" s="1" t="str">
        <f>IFERROR(__xludf.DUMMYFUNCTION("IF(LEN(D2976)&gt;4, IFERROR(REGEXEXTRACT(TO_TEXT(D2976),""\d+""),""""),"""")"),"22197")</f>
        <v>22197</v>
      </c>
      <c r="F2976" s="6" t="str">
        <f t="shared" si="3"/>
        <v>Product</v>
      </c>
      <c r="G2976" s="1" t="s">
        <v>217</v>
      </c>
      <c r="H2976" s="6" t="str">
        <f>IFERROR(__xludf.DUMMYFUNCTION("IF(REGEXMATCH(LOWER(G2976), ""^(\?)+\s*(missing)?\s*(\?)*$""), """", PROPER(SUBSTITUTE(SUBSTITUTE(G2976, ""?"", """"), ""*"", """")))"),"Small Popcorn Holder")</f>
        <v>Small Popcorn Holder</v>
      </c>
      <c r="I2976" s="3">
        <v>12.0</v>
      </c>
      <c r="J2976" s="7">
        <v>40599.552083333336</v>
      </c>
      <c r="K2976" s="8" t="str">
        <f t="shared" si="4"/>
        <v>2011-02</v>
      </c>
      <c r="L2976" s="5">
        <v>0.85</v>
      </c>
      <c r="M2976" s="3">
        <v>18223.0</v>
      </c>
      <c r="N2976" s="1" t="str">
        <f t="shared" si="5"/>
        <v>Registered</v>
      </c>
      <c r="O2976" s="1" t="s">
        <v>19</v>
      </c>
      <c r="P2976" s="9" t="str">
        <f t="shared" si="6"/>
        <v>UK</v>
      </c>
      <c r="Q2976" s="8">
        <f t="shared" si="7"/>
        <v>10.2</v>
      </c>
    </row>
    <row r="2977">
      <c r="A2977" s="1">
        <v>545014.0</v>
      </c>
      <c r="B2977" s="1" t="str">
        <f t="shared" si="1"/>
        <v>545014</v>
      </c>
      <c r="C2977" s="1" t="str">
        <f t="shared" si="2"/>
        <v>Sale</v>
      </c>
      <c r="D2977" s="1">
        <v>22365.0</v>
      </c>
      <c r="E2977" s="1" t="str">
        <f>IFERROR(__xludf.DUMMYFUNCTION("IF(LEN(D2977)&gt;4, IFERROR(REGEXEXTRACT(TO_TEXT(D2977),""\d+""),""""),"""")"),"22365")</f>
        <v>22365</v>
      </c>
      <c r="F2977" s="6" t="str">
        <f t="shared" si="3"/>
        <v>Product</v>
      </c>
      <c r="G2977" s="1" t="s">
        <v>1038</v>
      </c>
      <c r="H2977" s="6" t="str">
        <f>IFERROR(__xludf.DUMMYFUNCTION("IF(REGEXMATCH(LOWER(G2977), ""^(\?)+\s*(missing)?\s*(\?)*$""), """", PROPER(SUBSTITUTE(SUBSTITUTE(G2977, ""?"", """"), ""*"", """")))"),"Doormat Respectable House")</f>
        <v>Doormat Respectable House</v>
      </c>
      <c r="I2977" s="3">
        <v>2.0</v>
      </c>
      <c r="J2977" s="7">
        <v>40599.552083333336</v>
      </c>
      <c r="K2977" s="8" t="str">
        <f t="shared" si="4"/>
        <v>2011-02</v>
      </c>
      <c r="L2977" s="5">
        <v>7.95</v>
      </c>
      <c r="M2977" s="3">
        <v>18223.0</v>
      </c>
      <c r="N2977" s="1" t="str">
        <f t="shared" si="5"/>
        <v>Registered</v>
      </c>
      <c r="O2977" s="1" t="s">
        <v>19</v>
      </c>
      <c r="P2977" s="9" t="str">
        <f t="shared" si="6"/>
        <v>UK</v>
      </c>
      <c r="Q2977" s="8">
        <f t="shared" si="7"/>
        <v>15.9</v>
      </c>
    </row>
    <row r="2978">
      <c r="A2978" s="1">
        <v>545014.0</v>
      </c>
      <c r="B2978" s="1" t="str">
        <f t="shared" si="1"/>
        <v>545014</v>
      </c>
      <c r="C2978" s="1" t="str">
        <f t="shared" si="2"/>
        <v>Sale</v>
      </c>
      <c r="D2978" s="1">
        <v>22414.0</v>
      </c>
      <c r="E2978" s="1" t="str">
        <f>IFERROR(__xludf.DUMMYFUNCTION("IF(LEN(D2978)&gt;4, IFERROR(REGEXEXTRACT(TO_TEXT(D2978),""\d+""),""""),"""")"),"22414")</f>
        <v>22414</v>
      </c>
      <c r="F2978" s="6" t="str">
        <f t="shared" si="3"/>
        <v>Product</v>
      </c>
      <c r="G2978" s="1" t="s">
        <v>1406</v>
      </c>
      <c r="H2978" s="6" t="str">
        <f>IFERROR(__xludf.DUMMYFUNCTION("IF(REGEXMATCH(LOWER(G2978), ""^(\?)+\s*(missing)?\s*(\?)*$""), """", PROPER(SUBSTITUTE(SUBSTITUTE(G2978, ""?"", """"), ""*"", """")))"),"Doormat Neighbourhood Witch")</f>
        <v>Doormat Neighbourhood Witch</v>
      </c>
      <c r="I2978" s="3">
        <v>2.0</v>
      </c>
      <c r="J2978" s="7">
        <v>40599.552083333336</v>
      </c>
      <c r="K2978" s="8" t="str">
        <f t="shared" si="4"/>
        <v>2011-02</v>
      </c>
      <c r="L2978" s="5">
        <v>7.95</v>
      </c>
      <c r="M2978" s="3">
        <v>18223.0</v>
      </c>
      <c r="N2978" s="1" t="str">
        <f t="shared" si="5"/>
        <v>Registered</v>
      </c>
      <c r="O2978" s="1" t="s">
        <v>19</v>
      </c>
      <c r="P2978" s="9" t="str">
        <f t="shared" si="6"/>
        <v>UK</v>
      </c>
      <c r="Q2978" s="8">
        <f t="shared" si="7"/>
        <v>15.9</v>
      </c>
    </row>
    <row r="2979">
      <c r="A2979" s="1">
        <v>545014.0</v>
      </c>
      <c r="B2979" s="1" t="str">
        <f t="shared" si="1"/>
        <v>545014</v>
      </c>
      <c r="C2979" s="1" t="str">
        <f t="shared" si="2"/>
        <v>Sale</v>
      </c>
      <c r="D2979" s="1">
        <v>22725.0</v>
      </c>
      <c r="E2979" s="1" t="str">
        <f>IFERROR(__xludf.DUMMYFUNCTION("IF(LEN(D2979)&gt;4, IFERROR(REGEXEXTRACT(TO_TEXT(D2979),""\d+""),""""),"""")"),"22725")</f>
        <v>22725</v>
      </c>
      <c r="F2979" s="6" t="str">
        <f t="shared" si="3"/>
        <v>Product</v>
      </c>
      <c r="G2979" s="1" t="s">
        <v>1407</v>
      </c>
      <c r="H2979" s="6" t="str">
        <f>IFERROR(__xludf.DUMMYFUNCTION("IF(REGEXMATCH(LOWER(G2979), ""^(\?)+\s*(missing)?\s*(\?)*$""), """", PROPER(SUBSTITUTE(SUBSTITUTE(G2979, ""?"", """"), ""*"", """")))"),"Alarm Clock Bakelike Chocolate")</f>
        <v>Alarm Clock Bakelike Chocolate</v>
      </c>
      <c r="I2979" s="3">
        <v>4.0</v>
      </c>
      <c r="J2979" s="7">
        <v>40599.552083333336</v>
      </c>
      <c r="K2979" s="8" t="str">
        <f t="shared" si="4"/>
        <v>2011-02</v>
      </c>
      <c r="L2979" s="5">
        <v>3.75</v>
      </c>
      <c r="M2979" s="3">
        <v>18223.0</v>
      </c>
      <c r="N2979" s="1" t="str">
        <f t="shared" si="5"/>
        <v>Registered</v>
      </c>
      <c r="O2979" s="1" t="s">
        <v>19</v>
      </c>
      <c r="P2979" s="9" t="str">
        <f t="shared" si="6"/>
        <v>UK</v>
      </c>
      <c r="Q2979" s="8">
        <f t="shared" si="7"/>
        <v>15</v>
      </c>
    </row>
    <row r="2980">
      <c r="A2980" s="1">
        <v>545014.0</v>
      </c>
      <c r="B2980" s="1" t="str">
        <f t="shared" si="1"/>
        <v>545014</v>
      </c>
      <c r="C2980" s="1" t="str">
        <f t="shared" si="2"/>
        <v>Sale</v>
      </c>
      <c r="D2980" s="1">
        <v>22726.0</v>
      </c>
      <c r="E2980" s="1" t="str">
        <f>IFERROR(__xludf.DUMMYFUNCTION("IF(LEN(D2980)&gt;4, IFERROR(REGEXEXTRACT(TO_TEXT(D2980),""\d+""),""""),"""")"),"22726")</f>
        <v>22726</v>
      </c>
      <c r="F2980" s="6" t="str">
        <f t="shared" si="3"/>
        <v>Product</v>
      </c>
      <c r="G2980" s="1" t="s">
        <v>51</v>
      </c>
      <c r="H2980" s="6" t="str">
        <f>IFERROR(__xludf.DUMMYFUNCTION("IF(REGEXMATCH(LOWER(G2980), ""^(\?)+\s*(missing)?\s*(\?)*$""), """", PROPER(SUBSTITUTE(SUBSTITUTE(G2980, ""?"", """"), ""*"", """")))"),"Alarm Clock Bakelike Green")</f>
        <v>Alarm Clock Bakelike Green</v>
      </c>
      <c r="I2980" s="3">
        <v>4.0</v>
      </c>
      <c r="J2980" s="7">
        <v>40599.552083333336</v>
      </c>
      <c r="K2980" s="8" t="str">
        <f t="shared" si="4"/>
        <v>2011-02</v>
      </c>
      <c r="L2980" s="5">
        <v>3.75</v>
      </c>
      <c r="M2980" s="3">
        <v>18223.0</v>
      </c>
      <c r="N2980" s="1" t="str">
        <f t="shared" si="5"/>
        <v>Registered</v>
      </c>
      <c r="O2980" s="1" t="s">
        <v>19</v>
      </c>
      <c r="P2980" s="9" t="str">
        <f t="shared" si="6"/>
        <v>UK</v>
      </c>
      <c r="Q2980" s="8">
        <f t="shared" si="7"/>
        <v>15</v>
      </c>
    </row>
    <row r="2981">
      <c r="A2981" s="1">
        <v>545014.0</v>
      </c>
      <c r="B2981" s="1" t="str">
        <f t="shared" si="1"/>
        <v>545014</v>
      </c>
      <c r="C2981" s="1" t="str">
        <f t="shared" si="2"/>
        <v>Sale</v>
      </c>
      <c r="D2981" s="1">
        <v>22727.0</v>
      </c>
      <c r="E2981" s="1" t="str">
        <f>IFERROR(__xludf.DUMMYFUNCTION("IF(LEN(D2981)&gt;4, IFERROR(REGEXEXTRACT(TO_TEXT(D2981),""\d+""),""""),"""")"),"22727")</f>
        <v>22727</v>
      </c>
      <c r="F2981" s="6" t="str">
        <f t="shared" si="3"/>
        <v>Product</v>
      </c>
      <c r="G2981" s="1" t="s">
        <v>50</v>
      </c>
      <c r="H2981" s="6" t="str">
        <f>IFERROR(__xludf.DUMMYFUNCTION("IF(REGEXMATCH(LOWER(G2981), ""^(\?)+\s*(missing)?\s*(\?)*$""), """", PROPER(SUBSTITUTE(SUBSTITUTE(G2981, ""?"", """"), ""*"", """")))"),"Alarm Clock Bakelike Red")</f>
        <v>Alarm Clock Bakelike Red</v>
      </c>
      <c r="I2981" s="3">
        <v>4.0</v>
      </c>
      <c r="J2981" s="7">
        <v>40599.552083333336</v>
      </c>
      <c r="K2981" s="8" t="str">
        <f t="shared" si="4"/>
        <v>2011-02</v>
      </c>
      <c r="L2981" s="5">
        <v>3.75</v>
      </c>
      <c r="M2981" s="3">
        <v>18223.0</v>
      </c>
      <c r="N2981" s="1" t="str">
        <f t="shared" si="5"/>
        <v>Registered</v>
      </c>
      <c r="O2981" s="1" t="s">
        <v>19</v>
      </c>
      <c r="P2981" s="9" t="str">
        <f t="shared" si="6"/>
        <v>UK</v>
      </c>
      <c r="Q2981" s="8">
        <f t="shared" si="7"/>
        <v>15</v>
      </c>
    </row>
    <row r="2982">
      <c r="A2982" s="1">
        <v>545014.0</v>
      </c>
      <c r="B2982" s="1" t="str">
        <f t="shared" si="1"/>
        <v>545014</v>
      </c>
      <c r="C2982" s="1" t="str">
        <f t="shared" si="2"/>
        <v>Sale</v>
      </c>
      <c r="D2982" s="1">
        <v>22892.0</v>
      </c>
      <c r="E2982" s="1" t="str">
        <f>IFERROR(__xludf.DUMMYFUNCTION("IF(LEN(D2982)&gt;4, IFERROR(REGEXEXTRACT(TO_TEXT(D2982),""\d+""),""""),"""")"),"22892")</f>
        <v>22892</v>
      </c>
      <c r="F2982" s="6" t="str">
        <f t="shared" si="3"/>
        <v>Product</v>
      </c>
      <c r="G2982" s="1" t="s">
        <v>1005</v>
      </c>
      <c r="H2982" s="6" t="str">
        <f>IFERROR(__xludf.DUMMYFUNCTION("IF(REGEXMATCH(LOWER(G2982), ""^(\?)+\s*(missing)?\s*(\?)*$""), """", PROPER(SUBSTITUTE(SUBSTITUTE(G2982, ""?"", """"), ""*"", """")))"),"Set Of Salt And Pepper Toadstools")</f>
        <v>Set Of Salt And Pepper Toadstools</v>
      </c>
      <c r="I2982" s="3">
        <v>12.0</v>
      </c>
      <c r="J2982" s="7">
        <v>40599.552083333336</v>
      </c>
      <c r="K2982" s="8" t="str">
        <f t="shared" si="4"/>
        <v>2011-02</v>
      </c>
      <c r="L2982" s="5">
        <v>1.25</v>
      </c>
      <c r="M2982" s="3">
        <v>18223.0</v>
      </c>
      <c r="N2982" s="1" t="str">
        <f t="shared" si="5"/>
        <v>Registered</v>
      </c>
      <c r="O2982" s="1" t="s">
        <v>19</v>
      </c>
      <c r="P2982" s="9" t="str">
        <f t="shared" si="6"/>
        <v>UK</v>
      </c>
      <c r="Q2982" s="8">
        <f t="shared" si="7"/>
        <v>15</v>
      </c>
    </row>
    <row r="2983">
      <c r="A2983" s="1">
        <v>545015.0</v>
      </c>
      <c r="B2983" s="1" t="str">
        <f t="shared" si="1"/>
        <v>545015</v>
      </c>
      <c r="C2983" s="1" t="str">
        <f t="shared" si="2"/>
        <v>Sale</v>
      </c>
      <c r="D2983" s="1">
        <v>22926.0</v>
      </c>
      <c r="E2983" s="1" t="str">
        <f>IFERROR(__xludf.DUMMYFUNCTION("IF(LEN(D2983)&gt;4, IFERROR(REGEXEXTRACT(TO_TEXT(D2983),""\d+""),""""),"""")"),"22926")</f>
        <v>22926</v>
      </c>
      <c r="F2983" s="6" t="str">
        <f t="shared" si="3"/>
        <v>Product</v>
      </c>
      <c r="G2983" s="1" t="s">
        <v>155</v>
      </c>
      <c r="H2983" s="6" t="str">
        <f>IFERROR(__xludf.DUMMYFUNCTION("IF(REGEXMATCH(LOWER(G2983), ""^(\?)+\s*(missing)?\s*(\?)*$""), """", PROPER(SUBSTITUTE(SUBSTITUTE(G2983, ""?"", """"), ""*"", """")))"),"Ivory Giant Garden Thermometer")</f>
        <v>Ivory Giant Garden Thermometer</v>
      </c>
      <c r="I2983" s="3">
        <v>4.0</v>
      </c>
      <c r="J2983" s="7">
        <v>40599.569444444445</v>
      </c>
      <c r="K2983" s="8" t="str">
        <f t="shared" si="4"/>
        <v>2011-02</v>
      </c>
      <c r="L2983" s="5">
        <v>5.95</v>
      </c>
      <c r="M2983" s="3">
        <v>13742.0</v>
      </c>
      <c r="N2983" s="1" t="str">
        <f t="shared" si="5"/>
        <v>Registered</v>
      </c>
      <c r="O2983" s="1" t="s">
        <v>19</v>
      </c>
      <c r="P2983" s="9" t="str">
        <f t="shared" si="6"/>
        <v>UK</v>
      </c>
      <c r="Q2983" s="8">
        <f t="shared" si="7"/>
        <v>23.8</v>
      </c>
    </row>
    <row r="2984">
      <c r="A2984" s="1">
        <v>545015.0</v>
      </c>
      <c r="B2984" s="1" t="str">
        <f t="shared" si="1"/>
        <v>545015</v>
      </c>
      <c r="C2984" s="1" t="str">
        <f t="shared" si="2"/>
        <v>Sale</v>
      </c>
      <c r="D2984" s="1">
        <v>21755.0</v>
      </c>
      <c r="E2984" s="1" t="str">
        <f>IFERROR(__xludf.DUMMYFUNCTION("IF(LEN(D2984)&gt;4, IFERROR(REGEXEXTRACT(TO_TEXT(D2984),""\d+""),""""),"""")"),"21755")</f>
        <v>21755</v>
      </c>
      <c r="F2984" s="6" t="str">
        <f t="shared" si="3"/>
        <v>Product</v>
      </c>
      <c r="G2984" s="1" t="s">
        <v>40</v>
      </c>
      <c r="H2984" s="6" t="str">
        <f>IFERROR(__xludf.DUMMYFUNCTION("IF(REGEXMATCH(LOWER(G2984), ""^(\?)+\s*(missing)?\s*(\?)*$""), """", PROPER(SUBSTITUTE(SUBSTITUTE(G2984, ""?"", """"), ""*"", """")))"),"Love Building Block Word")</f>
        <v>Love Building Block Word</v>
      </c>
      <c r="I2984" s="3">
        <v>3.0</v>
      </c>
      <c r="J2984" s="7">
        <v>40599.569444444445</v>
      </c>
      <c r="K2984" s="8" t="str">
        <f t="shared" si="4"/>
        <v>2011-02</v>
      </c>
      <c r="L2984" s="5">
        <v>5.95</v>
      </c>
      <c r="M2984" s="3">
        <v>13742.0</v>
      </c>
      <c r="N2984" s="1" t="str">
        <f t="shared" si="5"/>
        <v>Registered</v>
      </c>
      <c r="O2984" s="1" t="s">
        <v>19</v>
      </c>
      <c r="P2984" s="9" t="str">
        <f t="shared" si="6"/>
        <v>UK</v>
      </c>
      <c r="Q2984" s="8">
        <f t="shared" si="7"/>
        <v>17.85</v>
      </c>
    </row>
    <row r="2985">
      <c r="A2985" s="1">
        <v>545015.0</v>
      </c>
      <c r="B2985" s="1" t="str">
        <f t="shared" si="1"/>
        <v>545015</v>
      </c>
      <c r="C2985" s="1" t="str">
        <f t="shared" si="2"/>
        <v>Sale</v>
      </c>
      <c r="D2985" s="1">
        <v>21754.0</v>
      </c>
      <c r="E2985" s="1" t="str">
        <f>IFERROR(__xludf.DUMMYFUNCTION("IF(LEN(D2985)&gt;4, IFERROR(REGEXEXTRACT(TO_TEXT(D2985),""\d+""),""""),"""")"),"21754")</f>
        <v>21754</v>
      </c>
      <c r="F2985" s="6" t="str">
        <f t="shared" si="3"/>
        <v>Product</v>
      </c>
      <c r="G2985" s="1" t="s">
        <v>39</v>
      </c>
      <c r="H2985" s="6" t="str">
        <f>IFERROR(__xludf.DUMMYFUNCTION("IF(REGEXMATCH(LOWER(G2985), ""^(\?)+\s*(missing)?\s*(\?)*$""), """", PROPER(SUBSTITUTE(SUBSTITUTE(G2985, ""?"", """"), ""*"", """")))"),"Home Building Block Word")</f>
        <v>Home Building Block Word</v>
      </c>
      <c r="I2985" s="3">
        <v>3.0</v>
      </c>
      <c r="J2985" s="7">
        <v>40599.569444444445</v>
      </c>
      <c r="K2985" s="8" t="str">
        <f t="shared" si="4"/>
        <v>2011-02</v>
      </c>
      <c r="L2985" s="5">
        <v>5.95</v>
      </c>
      <c r="M2985" s="3">
        <v>13742.0</v>
      </c>
      <c r="N2985" s="1" t="str">
        <f t="shared" si="5"/>
        <v>Registered</v>
      </c>
      <c r="O2985" s="1" t="s">
        <v>19</v>
      </c>
      <c r="P2985" s="9" t="str">
        <f t="shared" si="6"/>
        <v>UK</v>
      </c>
      <c r="Q2985" s="8">
        <f t="shared" si="7"/>
        <v>17.85</v>
      </c>
    </row>
    <row r="2986">
      <c r="A2986" s="1">
        <v>545015.0</v>
      </c>
      <c r="B2986" s="1" t="str">
        <f t="shared" si="1"/>
        <v>545015</v>
      </c>
      <c r="C2986" s="1" t="str">
        <f t="shared" si="2"/>
        <v>Sale</v>
      </c>
      <c r="D2986" s="1">
        <v>22804.0</v>
      </c>
      <c r="E2986" s="1" t="str">
        <f>IFERROR(__xludf.DUMMYFUNCTION("IF(LEN(D2986)&gt;4, IFERROR(REGEXEXTRACT(TO_TEXT(D2986),""\d+""),""""),"""")"),"22804")</f>
        <v>22804</v>
      </c>
      <c r="F2986" s="6" t="str">
        <f t="shared" si="3"/>
        <v>Product</v>
      </c>
      <c r="G2986" s="1" t="s">
        <v>318</v>
      </c>
      <c r="H2986" s="6" t="str">
        <f>IFERROR(__xludf.DUMMYFUNCTION("IF(REGEXMATCH(LOWER(G2986), ""^(\?)+\s*(missing)?\s*(\?)*$""), """", PROPER(SUBSTITUTE(SUBSTITUTE(G2986, ""?"", """"), ""*"", """")))"),"Candleholder Pink Hanging Heart")</f>
        <v>Candleholder Pink Hanging Heart</v>
      </c>
      <c r="I2986" s="3">
        <v>6.0</v>
      </c>
      <c r="J2986" s="7">
        <v>40599.569444444445</v>
      </c>
      <c r="K2986" s="8" t="str">
        <f t="shared" si="4"/>
        <v>2011-02</v>
      </c>
      <c r="L2986" s="5">
        <v>2.95</v>
      </c>
      <c r="M2986" s="3">
        <v>13742.0</v>
      </c>
      <c r="N2986" s="1" t="str">
        <f t="shared" si="5"/>
        <v>Registered</v>
      </c>
      <c r="O2986" s="1" t="s">
        <v>19</v>
      </c>
      <c r="P2986" s="9" t="str">
        <f t="shared" si="6"/>
        <v>UK</v>
      </c>
      <c r="Q2986" s="8">
        <f t="shared" si="7"/>
        <v>17.7</v>
      </c>
    </row>
    <row r="2987">
      <c r="A2987" s="1">
        <v>545015.0</v>
      </c>
      <c r="B2987" s="1" t="str">
        <f t="shared" si="1"/>
        <v>545015</v>
      </c>
      <c r="C2987" s="1" t="str">
        <f t="shared" si="2"/>
        <v>Sale</v>
      </c>
      <c r="D2987" s="1">
        <v>22722.0</v>
      </c>
      <c r="E2987" s="1" t="str">
        <f>IFERROR(__xludf.DUMMYFUNCTION("IF(LEN(D2987)&gt;4, IFERROR(REGEXEXTRACT(TO_TEXT(D2987),""\d+""),""""),"""")"),"22722")</f>
        <v>22722</v>
      </c>
      <c r="F2987" s="6" t="str">
        <f t="shared" si="3"/>
        <v>Product</v>
      </c>
      <c r="G2987" s="1" t="s">
        <v>686</v>
      </c>
      <c r="H2987" s="6" t="str">
        <f>IFERROR(__xludf.DUMMYFUNCTION("IF(REGEXMATCH(LOWER(G2987), ""^(\?)+\s*(missing)?\s*(\?)*$""), """", PROPER(SUBSTITUTE(SUBSTITUTE(G2987, ""?"", """"), ""*"", """")))"),"Set Of 6 Spice Tins Pantry Design")</f>
        <v>Set Of 6 Spice Tins Pantry Design</v>
      </c>
      <c r="I2987" s="3">
        <v>4.0</v>
      </c>
      <c r="J2987" s="7">
        <v>40599.569444444445</v>
      </c>
      <c r="K2987" s="8" t="str">
        <f t="shared" si="4"/>
        <v>2011-02</v>
      </c>
      <c r="L2987" s="5">
        <v>3.95</v>
      </c>
      <c r="M2987" s="3">
        <v>13742.0</v>
      </c>
      <c r="N2987" s="1" t="str">
        <f t="shared" si="5"/>
        <v>Registered</v>
      </c>
      <c r="O2987" s="1" t="s">
        <v>19</v>
      </c>
      <c r="P2987" s="9" t="str">
        <f t="shared" si="6"/>
        <v>UK</v>
      </c>
      <c r="Q2987" s="8">
        <f t="shared" si="7"/>
        <v>15.8</v>
      </c>
    </row>
    <row r="2988">
      <c r="A2988" s="1">
        <v>545015.0</v>
      </c>
      <c r="B2988" s="1" t="str">
        <f t="shared" si="1"/>
        <v>545015</v>
      </c>
      <c r="C2988" s="1" t="str">
        <f t="shared" si="2"/>
        <v>Sale</v>
      </c>
      <c r="D2988" s="1">
        <v>82482.0</v>
      </c>
      <c r="E2988" s="1" t="str">
        <f>IFERROR(__xludf.DUMMYFUNCTION("IF(LEN(D2988)&gt;4, IFERROR(REGEXEXTRACT(TO_TEXT(D2988),""\d+""),""""),"""")"),"82482")</f>
        <v>82482</v>
      </c>
      <c r="F2988" s="6" t="str">
        <f t="shared" si="3"/>
        <v>Product</v>
      </c>
      <c r="G2988" s="1" t="s">
        <v>78</v>
      </c>
      <c r="H2988" s="6" t="str">
        <f>IFERROR(__xludf.DUMMYFUNCTION("IF(REGEXMATCH(LOWER(G2988), ""^(\?)+\s*(missing)?\s*(\?)*$""), """", PROPER(SUBSTITUTE(SUBSTITUTE(G2988, ""?"", """"), ""*"", """")))"),"Wooden Picture Frame White Finish")</f>
        <v>Wooden Picture Frame White Finish</v>
      </c>
      <c r="I2988" s="3">
        <v>6.0</v>
      </c>
      <c r="J2988" s="7">
        <v>40599.569444444445</v>
      </c>
      <c r="K2988" s="8" t="str">
        <f t="shared" si="4"/>
        <v>2011-02</v>
      </c>
      <c r="L2988" s="5">
        <v>2.55</v>
      </c>
      <c r="M2988" s="3">
        <v>13742.0</v>
      </c>
      <c r="N2988" s="1" t="str">
        <f t="shared" si="5"/>
        <v>Registered</v>
      </c>
      <c r="O2988" s="1" t="s">
        <v>19</v>
      </c>
      <c r="P2988" s="9" t="str">
        <f t="shared" si="6"/>
        <v>UK</v>
      </c>
      <c r="Q2988" s="8">
        <f t="shared" si="7"/>
        <v>15.3</v>
      </c>
    </row>
    <row r="2989">
      <c r="A2989" s="1">
        <v>545015.0</v>
      </c>
      <c r="B2989" s="1" t="str">
        <f t="shared" si="1"/>
        <v>545015</v>
      </c>
      <c r="C2989" s="1" t="str">
        <f t="shared" si="2"/>
        <v>Sale</v>
      </c>
      <c r="D2989" s="1" t="s">
        <v>79</v>
      </c>
      <c r="E2989" s="1" t="str">
        <f>IFERROR(__xludf.DUMMYFUNCTION("IF(LEN(D2989)&gt;4, IFERROR(REGEXEXTRACT(TO_TEXT(D2989),""\d+""),""""),"""")"),"82494")</f>
        <v>82494</v>
      </c>
      <c r="F2989" s="6" t="str">
        <f t="shared" si="3"/>
        <v>Product</v>
      </c>
      <c r="G2989" s="1" t="s">
        <v>80</v>
      </c>
      <c r="H2989" s="6" t="str">
        <f>IFERROR(__xludf.DUMMYFUNCTION("IF(REGEXMATCH(LOWER(G2989), ""^(\?)+\s*(missing)?\s*(\?)*$""), """", PROPER(SUBSTITUTE(SUBSTITUTE(G2989, ""?"", """"), ""*"", """")))"),"Wooden Frame Antique White")</f>
        <v>Wooden Frame Antique White</v>
      </c>
      <c r="I2989" s="3">
        <v>6.0</v>
      </c>
      <c r="J2989" s="7">
        <v>40599.569444444445</v>
      </c>
      <c r="K2989" s="8" t="str">
        <f t="shared" si="4"/>
        <v>2011-02</v>
      </c>
      <c r="L2989" s="5">
        <v>2.95</v>
      </c>
      <c r="M2989" s="3">
        <v>13742.0</v>
      </c>
      <c r="N2989" s="1" t="str">
        <f t="shared" si="5"/>
        <v>Registered</v>
      </c>
      <c r="O2989" s="1" t="s">
        <v>19</v>
      </c>
      <c r="P2989" s="9" t="str">
        <f t="shared" si="6"/>
        <v>UK</v>
      </c>
      <c r="Q2989" s="8">
        <f t="shared" si="7"/>
        <v>17.7</v>
      </c>
    </row>
    <row r="2990">
      <c r="A2990" s="1">
        <v>545015.0</v>
      </c>
      <c r="B2990" s="1" t="str">
        <f t="shared" si="1"/>
        <v>545015</v>
      </c>
      <c r="C2990" s="1" t="str">
        <f t="shared" si="2"/>
        <v>Sale</v>
      </c>
      <c r="D2990" s="1">
        <v>21781.0</v>
      </c>
      <c r="E2990" s="1" t="str">
        <f>IFERROR(__xludf.DUMMYFUNCTION("IF(LEN(D2990)&gt;4, IFERROR(REGEXEXTRACT(TO_TEXT(D2990),""\d+""),""""),"""")"),"21781")</f>
        <v>21781</v>
      </c>
      <c r="F2990" s="6" t="str">
        <f t="shared" si="3"/>
        <v>Product</v>
      </c>
      <c r="G2990" s="1" t="s">
        <v>1408</v>
      </c>
      <c r="H2990" s="6" t="str">
        <f>IFERROR(__xludf.DUMMYFUNCTION("IF(REGEXMATCH(LOWER(G2990), ""^(\?)+\s*(missing)?\s*(\?)*$""), """", PROPER(SUBSTITUTE(SUBSTITUTE(G2990, ""?"", """"), ""*"", """")))"),"Ma Campagne Cutlery Box")</f>
        <v>Ma Campagne Cutlery Box</v>
      </c>
      <c r="I2990" s="3">
        <v>1.0</v>
      </c>
      <c r="J2990" s="7">
        <v>40599.569444444445</v>
      </c>
      <c r="K2990" s="8" t="str">
        <f t="shared" si="4"/>
        <v>2011-02</v>
      </c>
      <c r="L2990" s="5">
        <v>14.95</v>
      </c>
      <c r="M2990" s="3">
        <v>13742.0</v>
      </c>
      <c r="N2990" s="1" t="str">
        <f t="shared" si="5"/>
        <v>Registered</v>
      </c>
      <c r="O2990" s="1" t="s">
        <v>19</v>
      </c>
      <c r="P2990" s="9" t="str">
        <f t="shared" si="6"/>
        <v>UK</v>
      </c>
      <c r="Q2990" s="8">
        <f t="shared" si="7"/>
        <v>14.95</v>
      </c>
    </row>
    <row r="2991">
      <c r="A2991" s="1">
        <v>545015.0</v>
      </c>
      <c r="B2991" s="1" t="str">
        <f t="shared" si="1"/>
        <v>545015</v>
      </c>
      <c r="C2991" s="1" t="str">
        <f t="shared" si="2"/>
        <v>Sale</v>
      </c>
      <c r="D2991" s="1" t="s">
        <v>17</v>
      </c>
      <c r="E2991" s="1" t="str">
        <f>IFERROR(__xludf.DUMMYFUNCTION("IF(LEN(D2991)&gt;4, IFERROR(REGEXEXTRACT(TO_TEXT(D2991),""\d+""),""""),"""")"),"85123")</f>
        <v>85123</v>
      </c>
      <c r="F2991" s="6" t="str">
        <f t="shared" si="3"/>
        <v>Product</v>
      </c>
      <c r="G2991" s="1" t="s">
        <v>18</v>
      </c>
      <c r="H2991" s="6" t="str">
        <f>IFERROR(__xludf.DUMMYFUNCTION("IF(REGEXMATCH(LOWER(G2991), ""^(\?)+\s*(missing)?\s*(\?)*$""), """", PROPER(SUBSTITUTE(SUBSTITUTE(G2991, ""?"", """"), ""*"", """")))"),"White Hanging Heart T-Light Holder")</f>
        <v>White Hanging Heart T-Light Holder</v>
      </c>
      <c r="I2991" s="3">
        <v>6.0</v>
      </c>
      <c r="J2991" s="7">
        <v>40599.569444444445</v>
      </c>
      <c r="K2991" s="8" t="str">
        <f t="shared" si="4"/>
        <v>2011-02</v>
      </c>
      <c r="L2991" s="5">
        <v>2.95</v>
      </c>
      <c r="M2991" s="3">
        <v>13742.0</v>
      </c>
      <c r="N2991" s="1" t="str">
        <f t="shared" si="5"/>
        <v>Registered</v>
      </c>
      <c r="O2991" s="1" t="s">
        <v>19</v>
      </c>
      <c r="P2991" s="9" t="str">
        <f t="shared" si="6"/>
        <v>UK</v>
      </c>
      <c r="Q2991" s="8">
        <f t="shared" si="7"/>
        <v>17.7</v>
      </c>
    </row>
    <row r="2992">
      <c r="A2992" s="1">
        <v>545015.0</v>
      </c>
      <c r="B2992" s="1" t="str">
        <f t="shared" si="1"/>
        <v>545015</v>
      </c>
      <c r="C2992" s="1" t="str">
        <f t="shared" si="2"/>
        <v>Sale</v>
      </c>
      <c r="D2992" s="1">
        <v>22969.0</v>
      </c>
      <c r="E2992" s="1" t="str">
        <f>IFERROR(__xludf.DUMMYFUNCTION("IF(LEN(D2992)&gt;4, IFERROR(REGEXEXTRACT(TO_TEXT(D2992),""\d+""),""""),"""")"),"22969")</f>
        <v>22969</v>
      </c>
      <c r="F2992" s="6" t="str">
        <f t="shared" si="3"/>
        <v>Product</v>
      </c>
      <c r="G2992" s="1" t="s">
        <v>192</v>
      </c>
      <c r="H2992" s="6" t="str">
        <f>IFERROR(__xludf.DUMMYFUNCTION("IF(REGEXMATCH(LOWER(G2992), ""^(\?)+\s*(missing)?\s*(\?)*$""), """", PROPER(SUBSTITUTE(SUBSTITUTE(G2992, ""?"", """"), ""*"", """")))"),"Homemade Jam Scented Candles")</f>
        <v>Homemade Jam Scented Candles</v>
      </c>
      <c r="I2992" s="3">
        <v>12.0</v>
      </c>
      <c r="J2992" s="7">
        <v>40599.569444444445</v>
      </c>
      <c r="K2992" s="8" t="str">
        <f t="shared" si="4"/>
        <v>2011-02</v>
      </c>
      <c r="L2992" s="5">
        <v>1.45</v>
      </c>
      <c r="M2992" s="3">
        <v>13742.0</v>
      </c>
      <c r="N2992" s="1" t="str">
        <f t="shared" si="5"/>
        <v>Registered</v>
      </c>
      <c r="O2992" s="1" t="s">
        <v>19</v>
      </c>
      <c r="P2992" s="9" t="str">
        <f t="shared" si="6"/>
        <v>UK</v>
      </c>
      <c r="Q2992" s="8">
        <f t="shared" si="7"/>
        <v>17.4</v>
      </c>
    </row>
    <row r="2993">
      <c r="A2993" s="1">
        <v>545016.0</v>
      </c>
      <c r="B2993" s="1" t="str">
        <f t="shared" si="1"/>
        <v>545016</v>
      </c>
      <c r="C2993" s="1" t="str">
        <f t="shared" si="2"/>
        <v>Sale</v>
      </c>
      <c r="D2993" s="1">
        <v>22792.0</v>
      </c>
      <c r="E2993" s="1" t="str">
        <f>IFERROR(__xludf.DUMMYFUNCTION("IF(LEN(D2993)&gt;4, IFERROR(REGEXEXTRACT(TO_TEXT(D2993),""\d+""),""""),"""")"),"22792")</f>
        <v>22792</v>
      </c>
      <c r="F2993" s="6" t="str">
        <f t="shared" si="3"/>
        <v>Product</v>
      </c>
      <c r="G2993" s="1" t="s">
        <v>1201</v>
      </c>
      <c r="H2993" s="6" t="str">
        <f>IFERROR(__xludf.DUMMYFUNCTION("IF(REGEXMATCH(LOWER(G2993), ""^(\?)+\s*(missing)?\s*(\?)*$""), """", PROPER(SUBSTITUTE(SUBSTITUTE(G2993, ""?"", """"), ""*"", """")))"),"Fluted Antique Candle Holder")</f>
        <v>Fluted Antique Candle Holder</v>
      </c>
      <c r="I2993" s="3">
        <v>12.0</v>
      </c>
      <c r="J2993" s="7">
        <v>40599.57708333333</v>
      </c>
      <c r="K2993" s="8" t="str">
        <f t="shared" si="4"/>
        <v>2011-02</v>
      </c>
      <c r="L2993" s="5">
        <v>0.85</v>
      </c>
      <c r="M2993" s="3">
        <v>16473.0</v>
      </c>
      <c r="N2993" s="1" t="str">
        <f t="shared" si="5"/>
        <v>Registered</v>
      </c>
      <c r="O2993" s="1" t="s">
        <v>19</v>
      </c>
      <c r="P2993" s="9" t="str">
        <f t="shared" si="6"/>
        <v>UK</v>
      </c>
      <c r="Q2993" s="8">
        <f t="shared" si="7"/>
        <v>10.2</v>
      </c>
    </row>
    <row r="2994">
      <c r="A2994" s="1">
        <v>545016.0</v>
      </c>
      <c r="B2994" s="1" t="str">
        <f t="shared" si="1"/>
        <v>545016</v>
      </c>
      <c r="C2994" s="1" t="str">
        <f t="shared" si="2"/>
        <v>Sale</v>
      </c>
      <c r="D2994" s="1">
        <v>22791.0</v>
      </c>
      <c r="E2994" s="1" t="str">
        <f>IFERROR(__xludf.DUMMYFUNCTION("IF(LEN(D2994)&gt;4, IFERROR(REGEXEXTRACT(TO_TEXT(D2994),""\d+""),""""),"""")"),"22791")</f>
        <v>22791</v>
      </c>
      <c r="F2994" s="6" t="str">
        <f t="shared" si="3"/>
        <v>Product</v>
      </c>
      <c r="G2994" s="1" t="s">
        <v>1110</v>
      </c>
      <c r="H2994" s="6" t="str">
        <f>IFERROR(__xludf.DUMMYFUNCTION("IF(REGEXMATCH(LOWER(G2994), ""^(\?)+\s*(missing)?\s*(\?)*$""), """", PROPER(SUBSTITUTE(SUBSTITUTE(G2994, ""?"", """"), ""*"", """")))"),"T-Light Glass Fluted Antique")</f>
        <v>T-Light Glass Fluted Antique</v>
      </c>
      <c r="I2994" s="3">
        <v>12.0</v>
      </c>
      <c r="J2994" s="7">
        <v>40599.57708333333</v>
      </c>
      <c r="K2994" s="8" t="str">
        <f t="shared" si="4"/>
        <v>2011-02</v>
      </c>
      <c r="L2994" s="5">
        <v>1.25</v>
      </c>
      <c r="M2994" s="3">
        <v>16473.0</v>
      </c>
      <c r="N2994" s="1" t="str">
        <f t="shared" si="5"/>
        <v>Registered</v>
      </c>
      <c r="O2994" s="1" t="s">
        <v>19</v>
      </c>
      <c r="P2994" s="9" t="str">
        <f t="shared" si="6"/>
        <v>UK</v>
      </c>
      <c r="Q2994" s="8">
        <f t="shared" si="7"/>
        <v>15</v>
      </c>
    </row>
    <row r="2995">
      <c r="A2995" s="1">
        <v>545016.0</v>
      </c>
      <c r="B2995" s="1" t="str">
        <f t="shared" si="1"/>
        <v>545016</v>
      </c>
      <c r="C2995" s="1" t="str">
        <f t="shared" si="2"/>
        <v>Sale</v>
      </c>
      <c r="D2995" s="1">
        <v>22457.0</v>
      </c>
      <c r="E2995" s="1" t="str">
        <f>IFERROR(__xludf.DUMMYFUNCTION("IF(LEN(D2995)&gt;4, IFERROR(REGEXEXTRACT(TO_TEXT(D2995),""\d+""),""""),"""")"),"22457")</f>
        <v>22457</v>
      </c>
      <c r="F2995" s="6" t="str">
        <f t="shared" si="3"/>
        <v>Product</v>
      </c>
      <c r="G2995" s="1" t="s">
        <v>166</v>
      </c>
      <c r="H2995" s="6" t="str">
        <f>IFERROR(__xludf.DUMMYFUNCTION("IF(REGEXMATCH(LOWER(G2995), ""^(\?)+\s*(missing)?\s*(\?)*$""), """", PROPER(SUBSTITUTE(SUBSTITUTE(G2995, ""?"", """"), ""*"", """")))"),"Natural Slate Heart Chalkboard")</f>
        <v>Natural Slate Heart Chalkboard</v>
      </c>
      <c r="I2995" s="3">
        <v>6.0</v>
      </c>
      <c r="J2995" s="7">
        <v>40599.57708333333</v>
      </c>
      <c r="K2995" s="8" t="str">
        <f t="shared" si="4"/>
        <v>2011-02</v>
      </c>
      <c r="L2995" s="5">
        <v>2.95</v>
      </c>
      <c r="M2995" s="3">
        <v>16473.0</v>
      </c>
      <c r="N2995" s="1" t="str">
        <f t="shared" si="5"/>
        <v>Registered</v>
      </c>
      <c r="O2995" s="1" t="s">
        <v>19</v>
      </c>
      <c r="P2995" s="9" t="str">
        <f t="shared" si="6"/>
        <v>UK</v>
      </c>
      <c r="Q2995" s="8">
        <f t="shared" si="7"/>
        <v>17.7</v>
      </c>
    </row>
    <row r="2996">
      <c r="A2996" s="1">
        <v>545016.0</v>
      </c>
      <c r="B2996" s="1" t="str">
        <f t="shared" si="1"/>
        <v>545016</v>
      </c>
      <c r="C2996" s="1" t="str">
        <f t="shared" si="2"/>
        <v>Sale</v>
      </c>
      <c r="D2996" s="1">
        <v>22855.0</v>
      </c>
      <c r="E2996" s="1" t="str">
        <f>IFERROR(__xludf.DUMMYFUNCTION("IF(LEN(D2996)&gt;4, IFERROR(REGEXEXTRACT(TO_TEXT(D2996),""\d+""),""""),"""")"),"22855")</f>
        <v>22855</v>
      </c>
      <c r="F2996" s="6" t="str">
        <f t="shared" si="3"/>
        <v>Product</v>
      </c>
      <c r="G2996" s="1" t="s">
        <v>690</v>
      </c>
      <c r="H2996" s="6" t="str">
        <f>IFERROR(__xludf.DUMMYFUNCTION("IF(REGEXMATCH(LOWER(G2996), ""^(\?)+\s*(missing)?\s*(\?)*$""), """", PROPER(SUBSTITUTE(SUBSTITUTE(G2996, ""?"", """"), ""*"", """")))"),"Fine Wicker Heart")</f>
        <v>Fine Wicker Heart</v>
      </c>
      <c r="I2996" s="3">
        <v>12.0</v>
      </c>
      <c r="J2996" s="7">
        <v>40599.57708333333</v>
      </c>
      <c r="K2996" s="8" t="str">
        <f t="shared" si="4"/>
        <v>2011-02</v>
      </c>
      <c r="L2996" s="5">
        <v>1.25</v>
      </c>
      <c r="M2996" s="3">
        <v>16473.0</v>
      </c>
      <c r="N2996" s="1" t="str">
        <f t="shared" si="5"/>
        <v>Registered</v>
      </c>
      <c r="O2996" s="1" t="s">
        <v>19</v>
      </c>
      <c r="P2996" s="9" t="str">
        <f t="shared" si="6"/>
        <v>UK</v>
      </c>
      <c r="Q2996" s="8">
        <f t="shared" si="7"/>
        <v>15</v>
      </c>
    </row>
    <row r="2997">
      <c r="A2997" s="1">
        <v>545016.0</v>
      </c>
      <c r="B2997" s="1" t="str">
        <f t="shared" si="1"/>
        <v>545016</v>
      </c>
      <c r="C2997" s="1" t="str">
        <f t="shared" si="2"/>
        <v>Sale</v>
      </c>
      <c r="D2997" s="1">
        <v>22986.0</v>
      </c>
      <c r="E2997" s="1" t="str">
        <f>IFERROR(__xludf.DUMMYFUNCTION("IF(LEN(D2997)&gt;4, IFERROR(REGEXEXTRACT(TO_TEXT(D2997),""\d+""),""""),"""")"),"22986")</f>
        <v>22986</v>
      </c>
      <c r="F2997" s="6" t="str">
        <f t="shared" si="3"/>
        <v>Product</v>
      </c>
      <c r="G2997" s="1" t="s">
        <v>1402</v>
      </c>
      <c r="H2997" s="6" t="str">
        <f>IFERROR(__xludf.DUMMYFUNCTION("IF(REGEXMATCH(LOWER(G2997), ""^(\?)+\s*(missing)?\s*(\?)*$""), """", PROPER(SUBSTITUTE(SUBSTITUTE(G2997, ""?"", """"), ""*"", """")))"),"Gingham Rose Wrap")</f>
        <v>Gingham Rose Wrap</v>
      </c>
      <c r="I2997" s="3">
        <v>25.0</v>
      </c>
      <c r="J2997" s="7">
        <v>40599.57708333333</v>
      </c>
      <c r="K2997" s="8" t="str">
        <f t="shared" si="4"/>
        <v>2011-02</v>
      </c>
      <c r="L2997" s="5">
        <v>0.42</v>
      </c>
      <c r="M2997" s="3">
        <v>16473.0</v>
      </c>
      <c r="N2997" s="1" t="str">
        <f t="shared" si="5"/>
        <v>Registered</v>
      </c>
      <c r="O2997" s="1" t="s">
        <v>19</v>
      </c>
      <c r="P2997" s="9" t="str">
        <f t="shared" si="6"/>
        <v>UK</v>
      </c>
      <c r="Q2997" s="8">
        <f t="shared" si="7"/>
        <v>10.5</v>
      </c>
    </row>
    <row r="2998">
      <c r="A2998" s="1">
        <v>545017.0</v>
      </c>
      <c r="B2998" s="1" t="str">
        <f t="shared" si="1"/>
        <v>545017</v>
      </c>
      <c r="C2998" s="1" t="str">
        <f t="shared" si="2"/>
        <v>Sale</v>
      </c>
      <c r="D2998" s="1">
        <v>22630.0</v>
      </c>
      <c r="E2998" s="1" t="str">
        <f>IFERROR(__xludf.DUMMYFUNCTION("IF(LEN(D2998)&gt;4, IFERROR(REGEXEXTRACT(TO_TEXT(D2998),""\d+""),""""),"""")"),"22630")</f>
        <v>22630</v>
      </c>
      <c r="F2998" s="6" t="str">
        <f t="shared" si="3"/>
        <v>Product</v>
      </c>
      <c r="G2998" s="1" t="s">
        <v>433</v>
      </c>
      <c r="H2998" s="6" t="str">
        <f>IFERROR(__xludf.DUMMYFUNCTION("IF(REGEXMATCH(LOWER(G2998), ""^(\?)+\s*(missing)?\s*(\?)*$""), """", PROPER(SUBSTITUTE(SUBSTITUTE(G2998, ""?"", """"), ""*"", """")))"),"Dolly Girl Lunch Box")</f>
        <v>Dolly Girl Lunch Box</v>
      </c>
      <c r="I2998" s="3">
        <v>12.0</v>
      </c>
      <c r="J2998" s="7">
        <v>40599.57708333333</v>
      </c>
      <c r="K2998" s="8" t="str">
        <f t="shared" si="4"/>
        <v>2011-02</v>
      </c>
      <c r="L2998" s="5">
        <v>1.95</v>
      </c>
      <c r="M2998" s="3">
        <v>12361.0</v>
      </c>
      <c r="N2998" s="1" t="str">
        <f t="shared" si="5"/>
        <v>Registered</v>
      </c>
      <c r="O2998" s="1" t="s">
        <v>1037</v>
      </c>
      <c r="P2998" s="9" t="str">
        <f t="shared" si="6"/>
        <v>International</v>
      </c>
      <c r="Q2998" s="8">
        <f t="shared" si="7"/>
        <v>23.4</v>
      </c>
    </row>
    <row r="2999">
      <c r="A2999" s="1">
        <v>545017.0</v>
      </c>
      <c r="B2999" s="1" t="str">
        <f t="shared" si="1"/>
        <v>545017</v>
      </c>
      <c r="C2999" s="1" t="str">
        <f t="shared" si="2"/>
        <v>Sale</v>
      </c>
      <c r="D2999" s="1">
        <v>22326.0</v>
      </c>
      <c r="E2999" s="1" t="str">
        <f>IFERROR(__xludf.DUMMYFUNCTION("IF(LEN(D2999)&gt;4, IFERROR(REGEXEXTRACT(TO_TEXT(D2999),""\d+""),""""),"""")"),"22326")</f>
        <v>22326</v>
      </c>
      <c r="F2999" s="6" t="str">
        <f t="shared" si="3"/>
        <v>Product</v>
      </c>
      <c r="G2999" s="1" t="s">
        <v>57</v>
      </c>
      <c r="H2999" s="6" t="str">
        <f>IFERROR(__xludf.DUMMYFUNCTION("IF(REGEXMATCH(LOWER(G2999), ""^(\?)+\s*(missing)?\s*(\?)*$""), """", PROPER(SUBSTITUTE(SUBSTITUTE(G2999, ""?"", """"), ""*"", """")))"),"Round Snack Boxes Set Of4 Woodland")</f>
        <v>Round Snack Boxes Set Of4 Woodland</v>
      </c>
      <c r="I2999" s="3">
        <v>6.0</v>
      </c>
      <c r="J2999" s="7">
        <v>40599.57708333333</v>
      </c>
      <c r="K2999" s="8" t="str">
        <f t="shared" si="4"/>
        <v>2011-02</v>
      </c>
      <c r="L2999" s="5">
        <v>2.95</v>
      </c>
      <c r="M2999" s="3">
        <v>12361.0</v>
      </c>
      <c r="N2999" s="1" t="str">
        <f t="shared" si="5"/>
        <v>Registered</v>
      </c>
      <c r="O2999" s="1" t="s">
        <v>1037</v>
      </c>
      <c r="P2999" s="9" t="str">
        <f t="shared" si="6"/>
        <v>International</v>
      </c>
      <c r="Q2999" s="8">
        <f t="shared" si="7"/>
        <v>17.7</v>
      </c>
    </row>
    <row r="3000">
      <c r="A3000" s="1">
        <v>545017.0</v>
      </c>
      <c r="B3000" s="1" t="str">
        <f t="shared" si="1"/>
        <v>545017</v>
      </c>
      <c r="C3000" s="1" t="str">
        <f t="shared" si="2"/>
        <v>Sale</v>
      </c>
      <c r="D3000" s="1">
        <v>20726.0</v>
      </c>
      <c r="E3000" s="1" t="str">
        <f>IFERROR(__xludf.DUMMYFUNCTION("IF(LEN(D3000)&gt;4, IFERROR(REGEXEXTRACT(TO_TEXT(D3000),""\d+""),""""),"""")"),"20726")</f>
        <v>20726</v>
      </c>
      <c r="F3000" s="6" t="str">
        <f t="shared" si="3"/>
        <v>Product</v>
      </c>
      <c r="G3000" s="1" t="s">
        <v>321</v>
      </c>
      <c r="H3000" s="6" t="str">
        <f>IFERROR(__xludf.DUMMYFUNCTION("IF(REGEXMATCH(LOWER(G3000), ""^(\?)+\s*(missing)?\s*(\?)*$""), """", PROPER(SUBSTITUTE(SUBSTITUTE(G3000, ""?"", """"), ""*"", """")))"),"Lunch Bag Woodland")</f>
        <v>Lunch Bag Woodland</v>
      </c>
      <c r="I3000" s="3">
        <v>10.0</v>
      </c>
      <c r="J3000" s="7">
        <v>40599.57708333333</v>
      </c>
      <c r="K3000" s="8" t="str">
        <f t="shared" si="4"/>
        <v>2011-02</v>
      </c>
      <c r="L3000" s="5">
        <v>1.65</v>
      </c>
      <c r="M3000" s="3">
        <v>12361.0</v>
      </c>
      <c r="N3000" s="1" t="str">
        <f t="shared" si="5"/>
        <v>Registered</v>
      </c>
      <c r="O3000" s="1" t="s">
        <v>1037</v>
      </c>
      <c r="P3000" s="9" t="str">
        <f t="shared" si="6"/>
        <v>International</v>
      </c>
      <c r="Q3000" s="8">
        <f t="shared" si="7"/>
        <v>16.5</v>
      </c>
    </row>
    <row r="3001">
      <c r="A3001" s="1">
        <v>545017.0</v>
      </c>
      <c r="B3001" s="1" t="str">
        <f t="shared" si="1"/>
        <v>545017</v>
      </c>
      <c r="C3001" s="1" t="str">
        <f t="shared" si="2"/>
        <v>Sale</v>
      </c>
      <c r="D3001" s="1">
        <v>20725.0</v>
      </c>
      <c r="E3001" s="1" t="str">
        <f>IFERROR(__xludf.DUMMYFUNCTION("IF(LEN(D3001)&gt;4, IFERROR(REGEXEXTRACT(TO_TEXT(D3001),""\d+""),""""),"""")"),"20725")</f>
        <v>20725</v>
      </c>
      <c r="F3001" s="6" t="str">
        <f t="shared" si="3"/>
        <v>Product</v>
      </c>
      <c r="G3001" s="1" t="s">
        <v>94</v>
      </c>
      <c r="H3001" s="6" t="str">
        <f>IFERROR(__xludf.DUMMYFUNCTION("IF(REGEXMATCH(LOWER(G3001), ""^(\?)+\s*(missing)?\s*(\?)*$""), """", PROPER(SUBSTITUTE(SUBSTITUTE(G3001, ""?"", """"), ""*"", """")))"),"Lunch Bag Red Retrospot")</f>
        <v>Lunch Bag Red Retrospot</v>
      </c>
      <c r="I3001" s="3">
        <v>10.0</v>
      </c>
      <c r="J3001" s="7">
        <v>40599.57708333333</v>
      </c>
      <c r="K3001" s="8" t="str">
        <f t="shared" si="4"/>
        <v>2011-02</v>
      </c>
      <c r="L3001" s="5">
        <v>1.65</v>
      </c>
      <c r="M3001" s="3">
        <v>12361.0</v>
      </c>
      <c r="N3001" s="1" t="str">
        <f t="shared" si="5"/>
        <v>Registered</v>
      </c>
      <c r="O3001" s="1" t="s">
        <v>1037</v>
      </c>
      <c r="P3001" s="9" t="str">
        <f t="shared" si="6"/>
        <v>International</v>
      </c>
      <c r="Q3001" s="8">
        <f t="shared" si="7"/>
        <v>16.5</v>
      </c>
    </row>
    <row r="3002">
      <c r="A3002" s="1">
        <v>581449.0</v>
      </c>
      <c r="B3002" s="1" t="str">
        <f t="shared" si="1"/>
        <v>581449</v>
      </c>
      <c r="C3002" s="1" t="str">
        <f t="shared" si="2"/>
        <v>Sale</v>
      </c>
      <c r="D3002" s="1">
        <v>23562.0</v>
      </c>
      <c r="E3002" s="1" t="str">
        <f>IFERROR(__xludf.DUMMYFUNCTION("IF(LEN(D3002)&gt;4, IFERROR(REGEXEXTRACT(TO_TEXT(D3002),""\d+""),""""),"""")"),"23562")</f>
        <v>23562</v>
      </c>
      <c r="F3002" s="6" t="str">
        <f t="shared" si="3"/>
        <v>Product</v>
      </c>
      <c r="G3002" s="1" t="s">
        <v>1409</v>
      </c>
      <c r="H3002" s="6" t="str">
        <f>IFERROR(__xludf.DUMMYFUNCTION("IF(REGEXMATCH(LOWER(G3002), ""^(\?)+\s*(missing)?\s*(\?)*$""), """", PROPER(SUBSTITUTE(SUBSTITUTE(G3002, ""?"", """"), ""*"", """")))"),"Set Of 6 Ribbons Perfectly Pretty")</f>
        <v>Set Of 6 Ribbons Perfectly Pretty</v>
      </c>
      <c r="I3002" s="3">
        <v>2.0</v>
      </c>
      <c r="J3002" s="7">
        <v>40885.73402777778</v>
      </c>
      <c r="K3002" s="8" t="str">
        <f t="shared" si="4"/>
        <v>2011-12</v>
      </c>
      <c r="L3002" s="5">
        <v>2.89</v>
      </c>
      <c r="M3002" s="3">
        <v>12748.0</v>
      </c>
      <c r="N3002" s="1" t="str">
        <f t="shared" si="5"/>
        <v>Registered</v>
      </c>
      <c r="O3002" s="1" t="s">
        <v>19</v>
      </c>
      <c r="P3002" s="9" t="str">
        <f t="shared" si="6"/>
        <v>UK</v>
      </c>
      <c r="Q3002" s="8">
        <f t="shared" si="7"/>
        <v>5.78</v>
      </c>
    </row>
    <row r="3003">
      <c r="A3003" s="1">
        <v>581449.0</v>
      </c>
      <c r="B3003" s="1" t="str">
        <f t="shared" si="1"/>
        <v>581449</v>
      </c>
      <c r="C3003" s="1" t="str">
        <f t="shared" si="2"/>
        <v>Sale</v>
      </c>
      <c r="D3003" s="1">
        <v>22109.0</v>
      </c>
      <c r="E3003" s="1" t="str">
        <f>IFERROR(__xludf.DUMMYFUNCTION("IF(LEN(D3003)&gt;4, IFERROR(REGEXEXTRACT(TO_TEXT(D3003),""\d+""),""""),"""")"),"22109")</f>
        <v>22109</v>
      </c>
      <c r="F3003" s="6" t="str">
        <f t="shared" si="3"/>
        <v>Product</v>
      </c>
      <c r="G3003" s="1" t="s">
        <v>408</v>
      </c>
      <c r="H3003" s="6" t="str">
        <f>IFERROR(__xludf.DUMMYFUNCTION("IF(REGEXMATCH(LOWER(G3003), ""^(\?)+\s*(missing)?\s*(\?)*$""), """", PROPER(SUBSTITUTE(SUBSTITUTE(G3003, ""?"", """"), ""*"", """")))"),"Full English Breakfast Plate")</f>
        <v>Full English Breakfast Plate</v>
      </c>
      <c r="I3003" s="3">
        <v>1.0</v>
      </c>
      <c r="J3003" s="7">
        <v>40885.73402777778</v>
      </c>
      <c r="K3003" s="8" t="str">
        <f t="shared" si="4"/>
        <v>2011-12</v>
      </c>
      <c r="L3003" s="5">
        <v>3.75</v>
      </c>
      <c r="M3003" s="3">
        <v>12748.0</v>
      </c>
      <c r="N3003" s="1" t="str">
        <f t="shared" si="5"/>
        <v>Registered</v>
      </c>
      <c r="O3003" s="1" t="s">
        <v>19</v>
      </c>
      <c r="P3003" s="9" t="str">
        <f t="shared" si="6"/>
        <v>UK</v>
      </c>
      <c r="Q3003" s="8">
        <f t="shared" si="7"/>
        <v>3.75</v>
      </c>
    </row>
    <row r="3004">
      <c r="A3004" s="1">
        <v>581450.0</v>
      </c>
      <c r="B3004" s="1" t="str">
        <f t="shared" si="1"/>
        <v>581450</v>
      </c>
      <c r="C3004" s="1" t="str">
        <f t="shared" si="2"/>
        <v>Sale</v>
      </c>
      <c r="D3004" s="1">
        <v>22348.0</v>
      </c>
      <c r="E3004" s="1" t="str">
        <f>IFERROR(__xludf.DUMMYFUNCTION("IF(LEN(D3004)&gt;4, IFERROR(REGEXEXTRACT(TO_TEXT(D3004),""\d+""),""""),"""")"),"22348")</f>
        <v>22348</v>
      </c>
      <c r="F3004" s="6" t="str">
        <f t="shared" si="3"/>
        <v>Product</v>
      </c>
      <c r="G3004" s="1" t="s">
        <v>1256</v>
      </c>
      <c r="H3004" s="6" t="str">
        <f>IFERROR(__xludf.DUMMYFUNCTION("IF(REGEXMATCH(LOWER(G3004), ""^(\?)+\s*(missing)?\s*(\?)*$""), """", PROPER(SUBSTITUTE(SUBSTITUTE(G3004, ""?"", """"), ""*"", """")))"),"Tea Bag Plate Red Retrospot")</f>
        <v>Tea Bag Plate Red Retrospot</v>
      </c>
      <c r="I3004" s="3">
        <v>2.0</v>
      </c>
      <c r="J3004" s="7">
        <v>40885.745833333334</v>
      </c>
      <c r="K3004" s="8" t="str">
        <f t="shared" si="4"/>
        <v>2011-12</v>
      </c>
      <c r="L3004" s="5">
        <v>0.85</v>
      </c>
      <c r="M3004" s="3">
        <v>16794.0</v>
      </c>
      <c r="N3004" s="1" t="str">
        <f t="shared" si="5"/>
        <v>Registered</v>
      </c>
      <c r="O3004" s="1" t="s">
        <v>19</v>
      </c>
      <c r="P3004" s="9" t="str">
        <f t="shared" si="6"/>
        <v>UK</v>
      </c>
      <c r="Q3004" s="8">
        <f t="shared" si="7"/>
        <v>1.7</v>
      </c>
    </row>
    <row r="3005">
      <c r="A3005" s="1">
        <v>581450.0</v>
      </c>
      <c r="B3005" s="1" t="str">
        <f t="shared" si="1"/>
        <v>581450</v>
      </c>
      <c r="C3005" s="1" t="str">
        <f t="shared" si="2"/>
        <v>Sale</v>
      </c>
      <c r="D3005" s="1">
        <v>22599.0</v>
      </c>
      <c r="E3005" s="1" t="str">
        <f>IFERROR(__xludf.DUMMYFUNCTION("IF(LEN(D3005)&gt;4, IFERROR(REGEXEXTRACT(TO_TEXT(D3005),""\d+""),""""),"""")"),"22599")</f>
        <v>22599</v>
      </c>
      <c r="F3005" s="6" t="str">
        <f t="shared" si="3"/>
        <v>Product</v>
      </c>
      <c r="G3005" s="1" t="s">
        <v>1410</v>
      </c>
      <c r="H3005" s="6" t="str">
        <f>IFERROR(__xludf.DUMMYFUNCTION("IF(REGEXMATCH(LOWER(G3005), ""^(\?)+\s*(missing)?\s*(\?)*$""), """", PROPER(SUBSTITUTE(SUBSTITUTE(G3005, ""?"", """"), ""*"", """")))"),"Christmas Musical Zinc Star")</f>
        <v>Christmas Musical Zinc Star</v>
      </c>
      <c r="I3005" s="3">
        <v>2.0</v>
      </c>
      <c r="J3005" s="7">
        <v>40885.745833333334</v>
      </c>
      <c r="K3005" s="8" t="str">
        <f t="shared" si="4"/>
        <v>2011-12</v>
      </c>
      <c r="L3005" s="5">
        <v>0.29</v>
      </c>
      <c r="M3005" s="3">
        <v>16794.0</v>
      </c>
      <c r="N3005" s="1" t="str">
        <f t="shared" si="5"/>
        <v>Registered</v>
      </c>
      <c r="O3005" s="1" t="s">
        <v>19</v>
      </c>
      <c r="P3005" s="9" t="str">
        <f t="shared" si="6"/>
        <v>UK</v>
      </c>
      <c r="Q3005" s="8">
        <f t="shared" si="7"/>
        <v>0.58</v>
      </c>
    </row>
    <row r="3006">
      <c r="A3006" s="1">
        <v>581450.0</v>
      </c>
      <c r="B3006" s="1" t="str">
        <f t="shared" si="1"/>
        <v>581450</v>
      </c>
      <c r="C3006" s="1" t="str">
        <f t="shared" si="2"/>
        <v>Sale</v>
      </c>
      <c r="D3006" s="1">
        <v>22598.0</v>
      </c>
      <c r="E3006" s="1" t="str">
        <f>IFERROR(__xludf.DUMMYFUNCTION("IF(LEN(D3006)&gt;4, IFERROR(REGEXEXTRACT(TO_TEXT(D3006),""\d+""),""""),"""")"),"22598")</f>
        <v>22598</v>
      </c>
      <c r="F3006" s="6" t="str">
        <f t="shared" si="3"/>
        <v>Product</v>
      </c>
      <c r="G3006" s="1" t="s">
        <v>1411</v>
      </c>
      <c r="H3006" s="6" t="str">
        <f>IFERROR(__xludf.DUMMYFUNCTION("IF(REGEXMATCH(LOWER(G3006), ""^(\?)+\s*(missing)?\s*(\?)*$""), """", PROPER(SUBSTITUTE(SUBSTITUTE(G3006, ""?"", """"), ""*"", """")))"),"Christmas Musical Zinc Tree")</f>
        <v>Christmas Musical Zinc Tree</v>
      </c>
      <c r="I3006" s="3">
        <v>4.0</v>
      </c>
      <c r="J3006" s="7">
        <v>40885.745833333334</v>
      </c>
      <c r="K3006" s="8" t="str">
        <f t="shared" si="4"/>
        <v>2011-12</v>
      </c>
      <c r="L3006" s="5">
        <v>0.29</v>
      </c>
      <c r="M3006" s="3">
        <v>16794.0</v>
      </c>
      <c r="N3006" s="1" t="str">
        <f t="shared" si="5"/>
        <v>Registered</v>
      </c>
      <c r="O3006" s="1" t="s">
        <v>19</v>
      </c>
      <c r="P3006" s="9" t="str">
        <f t="shared" si="6"/>
        <v>UK</v>
      </c>
      <c r="Q3006" s="8">
        <f t="shared" si="7"/>
        <v>1.16</v>
      </c>
    </row>
    <row r="3007">
      <c r="A3007" s="1">
        <v>581450.0</v>
      </c>
      <c r="B3007" s="1" t="str">
        <f t="shared" si="1"/>
        <v>581450</v>
      </c>
      <c r="C3007" s="1" t="str">
        <f t="shared" si="2"/>
        <v>Sale</v>
      </c>
      <c r="D3007" s="1">
        <v>22597.0</v>
      </c>
      <c r="E3007" s="1" t="str">
        <f>IFERROR(__xludf.DUMMYFUNCTION("IF(LEN(D3007)&gt;4, IFERROR(REGEXEXTRACT(TO_TEXT(D3007),""\d+""),""""),"""")"),"22597")</f>
        <v>22597</v>
      </c>
      <c r="F3007" s="6" t="str">
        <f t="shared" si="3"/>
        <v>Product</v>
      </c>
      <c r="G3007" s="1" t="s">
        <v>1412</v>
      </c>
      <c r="H3007" s="6" t="str">
        <f>IFERROR(__xludf.DUMMYFUNCTION("IF(REGEXMATCH(LOWER(G3007), ""^(\?)+\s*(missing)?\s*(\?)*$""), """", PROPER(SUBSTITUTE(SUBSTITUTE(G3007, ""?"", """"), ""*"", """")))"),"Musical Zinc Heart Decoration")</f>
        <v>Musical Zinc Heart Decoration</v>
      </c>
      <c r="I3007" s="3">
        <v>2.0</v>
      </c>
      <c r="J3007" s="7">
        <v>40885.745833333334</v>
      </c>
      <c r="K3007" s="8" t="str">
        <f t="shared" si="4"/>
        <v>2011-12</v>
      </c>
      <c r="L3007" s="5">
        <v>0.29</v>
      </c>
      <c r="M3007" s="3">
        <v>16794.0</v>
      </c>
      <c r="N3007" s="1" t="str">
        <f t="shared" si="5"/>
        <v>Registered</v>
      </c>
      <c r="O3007" s="1" t="s">
        <v>19</v>
      </c>
      <c r="P3007" s="9" t="str">
        <f t="shared" si="6"/>
        <v>UK</v>
      </c>
      <c r="Q3007" s="8">
        <f t="shared" si="7"/>
        <v>0.58</v>
      </c>
    </row>
    <row r="3008">
      <c r="A3008" s="1">
        <v>581450.0</v>
      </c>
      <c r="B3008" s="1" t="str">
        <f t="shared" si="1"/>
        <v>581450</v>
      </c>
      <c r="C3008" s="1" t="str">
        <f t="shared" si="2"/>
        <v>Sale</v>
      </c>
      <c r="D3008" s="1">
        <v>35961.0</v>
      </c>
      <c r="E3008" s="1" t="str">
        <f>IFERROR(__xludf.DUMMYFUNCTION("IF(LEN(D3008)&gt;4, IFERROR(REGEXEXTRACT(TO_TEXT(D3008),""\d+""),""""),"""")"),"35961")</f>
        <v>35961</v>
      </c>
      <c r="F3008" s="6" t="str">
        <f t="shared" si="3"/>
        <v>Product</v>
      </c>
      <c r="G3008" s="1" t="s">
        <v>1413</v>
      </c>
      <c r="H3008" s="6" t="str">
        <f>IFERROR(__xludf.DUMMYFUNCTION("IF(REGEXMATCH(LOWER(G3008), ""^(\?)+\s*(missing)?\s*(\?)*$""), """", PROPER(SUBSTITUTE(SUBSTITUTE(G3008, ""?"", """"), ""*"", """")))"),"Folkart Zinc Heart Christmas Dec")</f>
        <v>Folkart Zinc Heart Christmas Dec</v>
      </c>
      <c r="I3008" s="3">
        <v>2.0</v>
      </c>
      <c r="J3008" s="7">
        <v>40885.745833333334</v>
      </c>
      <c r="K3008" s="8" t="str">
        <f t="shared" si="4"/>
        <v>2011-12</v>
      </c>
      <c r="L3008" s="5">
        <v>0.85</v>
      </c>
      <c r="M3008" s="3">
        <v>16794.0</v>
      </c>
      <c r="N3008" s="1" t="str">
        <f t="shared" si="5"/>
        <v>Registered</v>
      </c>
      <c r="O3008" s="1" t="s">
        <v>19</v>
      </c>
      <c r="P3008" s="9" t="str">
        <f t="shared" si="6"/>
        <v>UK</v>
      </c>
      <c r="Q3008" s="8">
        <f t="shared" si="7"/>
        <v>1.7</v>
      </c>
    </row>
    <row r="3009">
      <c r="A3009" s="1">
        <v>581450.0</v>
      </c>
      <c r="B3009" s="1" t="str">
        <f t="shared" si="1"/>
        <v>581450</v>
      </c>
      <c r="C3009" s="1" t="str">
        <f t="shared" si="2"/>
        <v>Sale</v>
      </c>
      <c r="D3009" s="1">
        <v>23182.0</v>
      </c>
      <c r="E3009" s="1" t="str">
        <f>IFERROR(__xludf.DUMMYFUNCTION("IF(LEN(D3009)&gt;4, IFERROR(REGEXEXTRACT(TO_TEXT(D3009),""\d+""),""""),"""")"),"23182")</f>
        <v>23182</v>
      </c>
      <c r="F3009" s="6" t="str">
        <f t="shared" si="3"/>
        <v>Product</v>
      </c>
      <c r="G3009" s="1" t="s">
        <v>1414</v>
      </c>
      <c r="H3009" s="6" t="str">
        <f>IFERROR(__xludf.DUMMYFUNCTION("IF(REGEXMATCH(LOWER(G3009), ""^(\?)+\s*(missing)?\s*(\?)*$""), """", PROPER(SUBSTITUTE(SUBSTITUTE(G3009, ""?"", """"), ""*"", """")))"),"Toilet Sign Occupied Or Vacant")</f>
        <v>Toilet Sign Occupied Or Vacant</v>
      </c>
      <c r="I3009" s="3">
        <v>2.0</v>
      </c>
      <c r="J3009" s="7">
        <v>40885.745833333334</v>
      </c>
      <c r="K3009" s="8" t="str">
        <f t="shared" si="4"/>
        <v>2011-12</v>
      </c>
      <c r="L3009" s="5">
        <v>0.83</v>
      </c>
      <c r="M3009" s="3">
        <v>16794.0</v>
      </c>
      <c r="N3009" s="1" t="str">
        <f t="shared" si="5"/>
        <v>Registered</v>
      </c>
      <c r="O3009" s="1" t="s">
        <v>19</v>
      </c>
      <c r="P3009" s="9" t="str">
        <f t="shared" si="6"/>
        <v>UK</v>
      </c>
      <c r="Q3009" s="8">
        <f t="shared" si="7"/>
        <v>1.66</v>
      </c>
    </row>
    <row r="3010">
      <c r="A3010" s="1">
        <v>581450.0</v>
      </c>
      <c r="B3010" s="1" t="str">
        <f t="shared" si="1"/>
        <v>581450</v>
      </c>
      <c r="C3010" s="1" t="str">
        <f t="shared" si="2"/>
        <v>Sale</v>
      </c>
      <c r="D3010" s="1">
        <v>21901.0</v>
      </c>
      <c r="E3010" s="1" t="str">
        <f>IFERROR(__xludf.DUMMYFUNCTION("IF(LEN(D3010)&gt;4, IFERROR(REGEXEXTRACT(TO_TEXT(D3010),""\d+""),""""),"""")"),"21901")</f>
        <v>21901</v>
      </c>
      <c r="F3010" s="6" t="str">
        <f t="shared" si="3"/>
        <v>Product</v>
      </c>
      <c r="G3010" s="1" t="s">
        <v>1415</v>
      </c>
      <c r="H3010" s="6" t="str">
        <f>IFERROR(__xludf.DUMMYFUNCTION("IF(REGEXMATCH(LOWER(G3010), ""^(\?)+\s*(missing)?\s*(\?)*$""), """", PROPER(SUBSTITUTE(SUBSTITUTE(G3010, ""?"", """"), ""*"", """")))"),"Key Fob , Back Door")</f>
        <v>Key Fob , Back Door</v>
      </c>
      <c r="I3010" s="3">
        <v>3.0</v>
      </c>
      <c r="J3010" s="7">
        <v>40885.745833333334</v>
      </c>
      <c r="K3010" s="8" t="str">
        <f t="shared" si="4"/>
        <v>2011-12</v>
      </c>
      <c r="L3010" s="5">
        <v>0.65</v>
      </c>
      <c r="M3010" s="3">
        <v>16794.0</v>
      </c>
      <c r="N3010" s="1" t="str">
        <f t="shared" si="5"/>
        <v>Registered</v>
      </c>
      <c r="O3010" s="1" t="s">
        <v>19</v>
      </c>
      <c r="P3010" s="9" t="str">
        <f t="shared" si="6"/>
        <v>UK</v>
      </c>
      <c r="Q3010" s="8">
        <f t="shared" si="7"/>
        <v>1.95</v>
      </c>
    </row>
    <row r="3011">
      <c r="A3011" s="1">
        <v>581450.0</v>
      </c>
      <c r="B3011" s="1" t="str">
        <f t="shared" si="1"/>
        <v>581450</v>
      </c>
      <c r="C3011" s="1" t="str">
        <f t="shared" si="2"/>
        <v>Sale</v>
      </c>
      <c r="D3011" s="1">
        <v>21809.0</v>
      </c>
      <c r="E3011" s="1" t="str">
        <f>IFERROR(__xludf.DUMMYFUNCTION("IF(LEN(D3011)&gt;4, IFERROR(REGEXEXTRACT(TO_TEXT(D3011),""\d+""),""""),"""")"),"21809")</f>
        <v>21809</v>
      </c>
      <c r="F3011" s="6" t="str">
        <f t="shared" si="3"/>
        <v>Product</v>
      </c>
      <c r="G3011" s="1" t="s">
        <v>1416</v>
      </c>
      <c r="H3011" s="6" t="str">
        <f>IFERROR(__xludf.DUMMYFUNCTION("IF(REGEXMATCH(LOWER(G3011), ""^(\?)+\s*(missing)?\s*(\?)*$""), """", PROPER(SUBSTITUTE(SUBSTITUTE(G3011, ""?"", """"), ""*"", """")))"),"Christmas Hanging Tree With Bell")</f>
        <v>Christmas Hanging Tree With Bell</v>
      </c>
      <c r="I3011" s="3">
        <v>2.0</v>
      </c>
      <c r="J3011" s="7">
        <v>40885.745833333334</v>
      </c>
      <c r="K3011" s="8" t="str">
        <f t="shared" si="4"/>
        <v>2011-12</v>
      </c>
      <c r="L3011" s="5">
        <v>0.39</v>
      </c>
      <c r="M3011" s="3">
        <v>16794.0</v>
      </c>
      <c r="N3011" s="1" t="str">
        <f t="shared" si="5"/>
        <v>Registered</v>
      </c>
      <c r="O3011" s="1" t="s">
        <v>19</v>
      </c>
      <c r="P3011" s="9" t="str">
        <f t="shared" si="6"/>
        <v>UK</v>
      </c>
      <c r="Q3011" s="8">
        <f t="shared" si="7"/>
        <v>0.78</v>
      </c>
    </row>
    <row r="3012">
      <c r="A3012" s="1">
        <v>581450.0</v>
      </c>
      <c r="B3012" s="1" t="str">
        <f t="shared" si="1"/>
        <v>581450</v>
      </c>
      <c r="C3012" s="1" t="str">
        <f t="shared" si="2"/>
        <v>Sale</v>
      </c>
      <c r="D3012" s="1">
        <v>23269.0</v>
      </c>
      <c r="E3012" s="1" t="str">
        <f>IFERROR(__xludf.DUMMYFUNCTION("IF(LEN(D3012)&gt;4, IFERROR(REGEXEXTRACT(TO_TEXT(D3012),""\d+""),""""),"""")"),"23269")</f>
        <v>23269</v>
      </c>
      <c r="F3012" s="6" t="str">
        <f t="shared" si="3"/>
        <v>Product</v>
      </c>
      <c r="G3012" s="1" t="s">
        <v>1417</v>
      </c>
      <c r="H3012" s="6" t="str">
        <f>IFERROR(__xludf.DUMMYFUNCTION("IF(REGEXMATCH(LOWER(G3012), ""^(\?)+\s*(missing)?\s*(\?)*$""), """", PROPER(SUBSTITUTE(SUBSTITUTE(G3012, ""?"", """"), ""*"", """")))"),"Set Of 2 Ceramic Christmas Trees")</f>
        <v>Set Of 2 Ceramic Christmas Trees</v>
      </c>
      <c r="I3012" s="3">
        <v>1.0</v>
      </c>
      <c r="J3012" s="7">
        <v>40885.745833333334</v>
      </c>
      <c r="K3012" s="8" t="str">
        <f t="shared" si="4"/>
        <v>2011-12</v>
      </c>
      <c r="L3012" s="5">
        <v>1.45</v>
      </c>
      <c r="M3012" s="3">
        <v>16794.0</v>
      </c>
      <c r="N3012" s="1" t="str">
        <f t="shared" si="5"/>
        <v>Registered</v>
      </c>
      <c r="O3012" s="1" t="s">
        <v>19</v>
      </c>
      <c r="P3012" s="9" t="str">
        <f t="shared" si="6"/>
        <v>UK</v>
      </c>
      <c r="Q3012" s="8">
        <f t="shared" si="7"/>
        <v>1.45</v>
      </c>
    </row>
    <row r="3013">
      <c r="A3013" s="1">
        <v>581450.0</v>
      </c>
      <c r="B3013" s="1" t="str">
        <f t="shared" si="1"/>
        <v>581450</v>
      </c>
      <c r="C3013" s="1" t="str">
        <f t="shared" si="2"/>
        <v>Sale</v>
      </c>
      <c r="D3013" s="1">
        <v>23227.0</v>
      </c>
      <c r="E3013" s="1" t="str">
        <f>IFERROR(__xludf.DUMMYFUNCTION("IF(LEN(D3013)&gt;4, IFERROR(REGEXEXTRACT(TO_TEXT(D3013),""\d+""),""""),"""")"),"23227")</f>
        <v>23227</v>
      </c>
      <c r="F3013" s="6" t="str">
        <f t="shared" si="3"/>
        <v>Product</v>
      </c>
      <c r="G3013" s="1" t="s">
        <v>1418</v>
      </c>
      <c r="H3013" s="6" t="str">
        <f>IFERROR(__xludf.DUMMYFUNCTION("IF(REGEXMATCH(LOWER(G3013), ""^(\?)+\s*(missing)?\s*(\?)*$""), """", PROPER(SUBSTITUTE(SUBSTITUTE(G3013, ""?"", """"), ""*"", """")))"),"Filigree Heart Butterfly White")</f>
        <v>Filigree Heart Butterfly White</v>
      </c>
      <c r="I3013" s="3">
        <v>4.0</v>
      </c>
      <c r="J3013" s="7">
        <v>40885.745833333334</v>
      </c>
      <c r="K3013" s="8" t="str">
        <f t="shared" si="4"/>
        <v>2011-12</v>
      </c>
      <c r="L3013" s="5">
        <v>1.25</v>
      </c>
      <c r="M3013" s="3">
        <v>16794.0</v>
      </c>
      <c r="N3013" s="1" t="str">
        <f t="shared" si="5"/>
        <v>Registered</v>
      </c>
      <c r="O3013" s="1" t="s">
        <v>19</v>
      </c>
      <c r="P3013" s="9" t="str">
        <f t="shared" si="6"/>
        <v>UK</v>
      </c>
      <c r="Q3013" s="8">
        <f t="shared" si="7"/>
        <v>5</v>
      </c>
    </row>
    <row r="3014">
      <c r="A3014" s="1">
        <v>581450.0</v>
      </c>
      <c r="B3014" s="1" t="str">
        <f t="shared" si="1"/>
        <v>581450</v>
      </c>
      <c r="C3014" s="1" t="str">
        <f t="shared" si="2"/>
        <v>Sale</v>
      </c>
      <c r="D3014" s="1">
        <v>22470.0</v>
      </c>
      <c r="E3014" s="1" t="str">
        <f>IFERROR(__xludf.DUMMYFUNCTION("IF(LEN(D3014)&gt;4, IFERROR(REGEXEXTRACT(TO_TEXT(D3014),""\d+""),""""),"""")"),"22470")</f>
        <v>22470</v>
      </c>
      <c r="F3014" s="6" t="str">
        <f t="shared" si="3"/>
        <v>Product</v>
      </c>
      <c r="G3014" s="1" t="s">
        <v>168</v>
      </c>
      <c r="H3014" s="6" t="str">
        <f>IFERROR(__xludf.DUMMYFUNCTION("IF(REGEXMATCH(LOWER(G3014), ""^(\?)+\s*(missing)?\s*(\?)*$""), """", PROPER(SUBSTITUTE(SUBSTITUTE(G3014, ""?"", """"), ""*"", """")))"),"Heart Of Wicker Large")</f>
        <v>Heart Of Wicker Large</v>
      </c>
      <c r="I3014" s="3">
        <v>1.0</v>
      </c>
      <c r="J3014" s="7">
        <v>40885.745833333334</v>
      </c>
      <c r="K3014" s="8" t="str">
        <f t="shared" si="4"/>
        <v>2011-12</v>
      </c>
      <c r="L3014" s="5">
        <v>2.95</v>
      </c>
      <c r="M3014" s="3">
        <v>16794.0</v>
      </c>
      <c r="N3014" s="1" t="str">
        <f t="shared" si="5"/>
        <v>Registered</v>
      </c>
      <c r="O3014" s="1" t="s">
        <v>19</v>
      </c>
      <c r="P3014" s="9" t="str">
        <f t="shared" si="6"/>
        <v>UK</v>
      </c>
      <c r="Q3014" s="8">
        <f t="shared" si="7"/>
        <v>2.95</v>
      </c>
    </row>
    <row r="3015">
      <c r="A3015" s="1">
        <v>581450.0</v>
      </c>
      <c r="B3015" s="1" t="str">
        <f t="shared" si="1"/>
        <v>581450</v>
      </c>
      <c r="C3015" s="1" t="str">
        <f t="shared" si="2"/>
        <v>Sale</v>
      </c>
      <c r="D3015" s="1">
        <v>22469.0</v>
      </c>
      <c r="E3015" s="1" t="str">
        <f>IFERROR(__xludf.DUMMYFUNCTION("IF(LEN(D3015)&gt;4, IFERROR(REGEXEXTRACT(TO_TEXT(D3015),""\d+""),""""),"""")"),"22469")</f>
        <v>22469</v>
      </c>
      <c r="F3015" s="6" t="str">
        <f t="shared" si="3"/>
        <v>Product</v>
      </c>
      <c r="G3015" s="1" t="s">
        <v>167</v>
      </c>
      <c r="H3015" s="6" t="str">
        <f>IFERROR(__xludf.DUMMYFUNCTION("IF(REGEXMATCH(LOWER(G3015), ""^(\?)+\s*(missing)?\s*(\?)*$""), """", PROPER(SUBSTITUTE(SUBSTITUTE(G3015, ""?"", """"), ""*"", """")))"),"Heart Of Wicker Small")</f>
        <v>Heart Of Wicker Small</v>
      </c>
      <c r="I3015" s="3">
        <v>3.0</v>
      </c>
      <c r="J3015" s="7">
        <v>40885.745833333334</v>
      </c>
      <c r="K3015" s="8" t="str">
        <f t="shared" si="4"/>
        <v>2011-12</v>
      </c>
      <c r="L3015" s="5">
        <v>1.65</v>
      </c>
      <c r="M3015" s="3">
        <v>16794.0</v>
      </c>
      <c r="N3015" s="1" t="str">
        <f t="shared" si="5"/>
        <v>Registered</v>
      </c>
      <c r="O3015" s="1" t="s">
        <v>19</v>
      </c>
      <c r="P3015" s="9" t="str">
        <f t="shared" si="6"/>
        <v>UK</v>
      </c>
      <c r="Q3015" s="8">
        <f t="shared" si="7"/>
        <v>4.95</v>
      </c>
    </row>
    <row r="3016">
      <c r="A3016" s="1">
        <v>581450.0</v>
      </c>
      <c r="B3016" s="1" t="str">
        <f t="shared" si="1"/>
        <v>581450</v>
      </c>
      <c r="C3016" s="1" t="str">
        <f t="shared" si="2"/>
        <v>Sale</v>
      </c>
      <c r="D3016" s="1">
        <v>22723.0</v>
      </c>
      <c r="E3016" s="1" t="str">
        <f>IFERROR(__xludf.DUMMYFUNCTION("IF(LEN(D3016)&gt;4, IFERROR(REGEXEXTRACT(TO_TEXT(D3016),""\d+""),""""),"""")"),"22723")</f>
        <v>22723</v>
      </c>
      <c r="F3016" s="6" t="str">
        <f t="shared" si="3"/>
        <v>Product</v>
      </c>
      <c r="G3016" s="1" t="s">
        <v>1200</v>
      </c>
      <c r="H3016" s="6" t="str">
        <f>IFERROR(__xludf.DUMMYFUNCTION("IF(REGEXMATCH(LOWER(G3016), ""^(\?)+\s*(missing)?\s*(\?)*$""), """", PROPER(SUBSTITUTE(SUBSTITUTE(G3016, ""?"", """"), ""*"", """")))"),"Set Of 6 Herb Tins Sketchbook")</f>
        <v>Set Of 6 Herb Tins Sketchbook</v>
      </c>
      <c r="I3016" s="3">
        <v>2.0</v>
      </c>
      <c r="J3016" s="7">
        <v>40885.745833333334</v>
      </c>
      <c r="K3016" s="8" t="str">
        <f t="shared" si="4"/>
        <v>2011-12</v>
      </c>
      <c r="L3016" s="5">
        <v>1.25</v>
      </c>
      <c r="M3016" s="3">
        <v>16794.0</v>
      </c>
      <c r="N3016" s="1" t="str">
        <f t="shared" si="5"/>
        <v>Registered</v>
      </c>
      <c r="O3016" s="1" t="s">
        <v>19</v>
      </c>
      <c r="P3016" s="9" t="str">
        <f t="shared" si="6"/>
        <v>UK</v>
      </c>
      <c r="Q3016" s="8">
        <f t="shared" si="7"/>
        <v>2.5</v>
      </c>
    </row>
    <row r="3017">
      <c r="A3017" s="1">
        <v>581450.0</v>
      </c>
      <c r="B3017" s="1" t="str">
        <f t="shared" si="1"/>
        <v>581450</v>
      </c>
      <c r="C3017" s="1" t="str">
        <f t="shared" si="2"/>
        <v>Sale</v>
      </c>
      <c r="D3017" s="1">
        <v>22118.0</v>
      </c>
      <c r="E3017" s="1" t="str">
        <f>IFERROR(__xludf.DUMMYFUNCTION("IF(LEN(D3017)&gt;4, IFERROR(REGEXEXTRACT(TO_TEXT(D3017),""\d+""),""""),"""")"),"22118")</f>
        <v>22118</v>
      </c>
      <c r="F3017" s="6" t="str">
        <f t="shared" si="3"/>
        <v>Product</v>
      </c>
      <c r="G3017" s="1" t="s">
        <v>1419</v>
      </c>
      <c r="H3017" s="6" t="str">
        <f>IFERROR(__xludf.DUMMYFUNCTION("IF(REGEXMATCH(LOWER(G3017), ""^(\?)+\s*(missing)?\s*(\?)*$""), """", PROPER(SUBSTITUTE(SUBSTITUTE(G3017, ""?"", """"), ""*"", """")))"),"Joy Wooden Block Letters")</f>
        <v>Joy Wooden Block Letters</v>
      </c>
      <c r="I3017" s="3">
        <v>1.0</v>
      </c>
      <c r="J3017" s="7">
        <v>40885.745833333334</v>
      </c>
      <c r="K3017" s="8" t="str">
        <f t="shared" si="4"/>
        <v>2011-12</v>
      </c>
      <c r="L3017" s="5">
        <v>1.25</v>
      </c>
      <c r="M3017" s="3">
        <v>16794.0</v>
      </c>
      <c r="N3017" s="1" t="str">
        <f t="shared" si="5"/>
        <v>Registered</v>
      </c>
      <c r="O3017" s="1" t="s">
        <v>19</v>
      </c>
      <c r="P3017" s="9" t="str">
        <f t="shared" si="6"/>
        <v>UK</v>
      </c>
      <c r="Q3017" s="8">
        <f t="shared" si="7"/>
        <v>1.25</v>
      </c>
    </row>
    <row r="3018">
      <c r="A3018" s="1">
        <v>581450.0</v>
      </c>
      <c r="B3018" s="1" t="str">
        <f t="shared" si="1"/>
        <v>581450</v>
      </c>
      <c r="C3018" s="1" t="str">
        <f t="shared" si="2"/>
        <v>Sale</v>
      </c>
      <c r="D3018" s="1">
        <v>20725.0</v>
      </c>
      <c r="E3018" s="1" t="str">
        <f>IFERROR(__xludf.DUMMYFUNCTION("IF(LEN(D3018)&gt;4, IFERROR(REGEXEXTRACT(TO_TEXT(D3018),""\d+""),""""),"""")"),"20725")</f>
        <v>20725</v>
      </c>
      <c r="F3018" s="6" t="str">
        <f t="shared" si="3"/>
        <v>Product</v>
      </c>
      <c r="G3018" s="1" t="s">
        <v>94</v>
      </c>
      <c r="H3018" s="6" t="str">
        <f>IFERROR(__xludf.DUMMYFUNCTION("IF(REGEXMATCH(LOWER(G3018), ""^(\?)+\s*(missing)?\s*(\?)*$""), """", PROPER(SUBSTITUTE(SUBSTITUTE(G3018, ""?"", """"), ""*"", """")))"),"Lunch Bag Red Retrospot")</f>
        <v>Lunch Bag Red Retrospot</v>
      </c>
      <c r="I3018" s="3">
        <v>1.0</v>
      </c>
      <c r="J3018" s="7">
        <v>40885.745833333334</v>
      </c>
      <c r="K3018" s="8" t="str">
        <f t="shared" si="4"/>
        <v>2011-12</v>
      </c>
      <c r="L3018" s="5">
        <v>1.65</v>
      </c>
      <c r="M3018" s="3">
        <v>16794.0</v>
      </c>
      <c r="N3018" s="1" t="str">
        <f t="shared" si="5"/>
        <v>Registered</v>
      </c>
      <c r="O3018" s="1" t="s">
        <v>19</v>
      </c>
      <c r="P3018" s="9" t="str">
        <f t="shared" si="6"/>
        <v>UK</v>
      </c>
      <c r="Q3018" s="8">
        <f t="shared" si="7"/>
        <v>1.65</v>
      </c>
    </row>
    <row r="3019">
      <c r="A3019" s="1">
        <v>581450.0</v>
      </c>
      <c r="B3019" s="1" t="str">
        <f t="shared" si="1"/>
        <v>581450</v>
      </c>
      <c r="C3019" s="1" t="str">
        <f t="shared" si="2"/>
        <v>Sale</v>
      </c>
      <c r="D3019" s="1">
        <v>23206.0</v>
      </c>
      <c r="E3019" s="1" t="str">
        <f>IFERROR(__xludf.DUMMYFUNCTION("IF(LEN(D3019)&gt;4, IFERROR(REGEXEXTRACT(TO_TEXT(D3019),""\d+""),""""),"""")"),"23206")</f>
        <v>23206</v>
      </c>
      <c r="F3019" s="6" t="str">
        <f t="shared" si="3"/>
        <v>Product</v>
      </c>
      <c r="G3019" s="1" t="s">
        <v>1420</v>
      </c>
      <c r="H3019" s="6" t="str">
        <f>IFERROR(__xludf.DUMMYFUNCTION("IF(REGEXMATCH(LOWER(G3019), ""^(\?)+\s*(missing)?\s*(\?)*$""), """", PROPER(SUBSTITUTE(SUBSTITUTE(G3019, ""?"", """"), ""*"", """")))"),"Lunch Bag Apple Design")</f>
        <v>Lunch Bag Apple Design</v>
      </c>
      <c r="I3019" s="3">
        <v>2.0</v>
      </c>
      <c r="J3019" s="7">
        <v>40885.745833333334</v>
      </c>
      <c r="K3019" s="8" t="str">
        <f t="shared" si="4"/>
        <v>2011-12</v>
      </c>
      <c r="L3019" s="5">
        <v>1.65</v>
      </c>
      <c r="M3019" s="3">
        <v>16794.0</v>
      </c>
      <c r="N3019" s="1" t="str">
        <f t="shared" si="5"/>
        <v>Registered</v>
      </c>
      <c r="O3019" s="1" t="s">
        <v>19</v>
      </c>
      <c r="P3019" s="9" t="str">
        <f t="shared" si="6"/>
        <v>UK</v>
      </c>
      <c r="Q3019" s="8">
        <f t="shared" si="7"/>
        <v>3.3</v>
      </c>
    </row>
    <row r="3020">
      <c r="A3020" s="1">
        <v>581450.0</v>
      </c>
      <c r="B3020" s="1" t="str">
        <f t="shared" si="1"/>
        <v>581450</v>
      </c>
      <c r="C3020" s="1" t="str">
        <f t="shared" si="2"/>
        <v>Sale</v>
      </c>
      <c r="D3020" s="1">
        <v>23209.0</v>
      </c>
      <c r="E3020" s="1" t="str">
        <f>IFERROR(__xludf.DUMMYFUNCTION("IF(LEN(D3020)&gt;4, IFERROR(REGEXEXTRACT(TO_TEXT(D3020),""\d+""),""""),"""")"),"23209")</f>
        <v>23209</v>
      </c>
      <c r="F3020" s="6" t="str">
        <f t="shared" si="3"/>
        <v>Product</v>
      </c>
      <c r="G3020" s="1" t="s">
        <v>1421</v>
      </c>
      <c r="H3020" s="6" t="str">
        <f>IFERROR(__xludf.DUMMYFUNCTION("IF(REGEXMATCH(LOWER(G3020), ""^(\?)+\s*(missing)?\s*(\?)*$""), """", PROPER(SUBSTITUTE(SUBSTITUTE(G3020, ""?"", """"), ""*"", """")))"),"Lunch Bag Vintage Doily")</f>
        <v>Lunch Bag Vintage Doily</v>
      </c>
      <c r="I3020" s="3">
        <v>4.0</v>
      </c>
      <c r="J3020" s="7">
        <v>40885.745833333334</v>
      </c>
      <c r="K3020" s="8" t="str">
        <f t="shared" si="4"/>
        <v>2011-12</v>
      </c>
      <c r="L3020" s="5">
        <v>1.65</v>
      </c>
      <c r="M3020" s="3">
        <v>16794.0</v>
      </c>
      <c r="N3020" s="1" t="str">
        <f t="shared" si="5"/>
        <v>Registered</v>
      </c>
      <c r="O3020" s="1" t="s">
        <v>19</v>
      </c>
      <c r="P3020" s="9" t="str">
        <f t="shared" si="6"/>
        <v>UK</v>
      </c>
      <c r="Q3020" s="8">
        <f t="shared" si="7"/>
        <v>6.6</v>
      </c>
    </row>
    <row r="3021">
      <c r="A3021" s="1">
        <v>581450.0</v>
      </c>
      <c r="B3021" s="1" t="str">
        <f t="shared" si="1"/>
        <v>581450</v>
      </c>
      <c r="C3021" s="1" t="str">
        <f t="shared" si="2"/>
        <v>Sale</v>
      </c>
      <c r="D3021" s="1">
        <v>23197.0</v>
      </c>
      <c r="E3021" s="1" t="str">
        <f>IFERROR(__xludf.DUMMYFUNCTION("IF(LEN(D3021)&gt;4, IFERROR(REGEXEXTRACT(TO_TEXT(D3021),""\d+""),""""),"""")"),"23197")</f>
        <v>23197</v>
      </c>
      <c r="F3021" s="6" t="str">
        <f t="shared" si="3"/>
        <v>Product</v>
      </c>
      <c r="G3021" s="1" t="s">
        <v>1422</v>
      </c>
      <c r="H3021" s="6" t="str">
        <f>IFERROR(__xludf.DUMMYFUNCTION("IF(REGEXMATCH(LOWER(G3021), ""^(\?)+\s*(missing)?\s*(\?)*$""), """", PROPER(SUBSTITUTE(SUBSTITUTE(G3021, ""?"", """"), ""*"", """")))"),"Sketchbook Magnetic Shopping List")</f>
        <v>Sketchbook Magnetic Shopping List</v>
      </c>
      <c r="I3021" s="3">
        <v>4.0</v>
      </c>
      <c r="J3021" s="7">
        <v>40885.745833333334</v>
      </c>
      <c r="K3021" s="8" t="str">
        <f t="shared" si="4"/>
        <v>2011-12</v>
      </c>
      <c r="L3021" s="5">
        <v>1.45</v>
      </c>
      <c r="M3021" s="3">
        <v>16794.0</v>
      </c>
      <c r="N3021" s="1" t="str">
        <f t="shared" si="5"/>
        <v>Registered</v>
      </c>
      <c r="O3021" s="1" t="s">
        <v>19</v>
      </c>
      <c r="P3021" s="9" t="str">
        <f t="shared" si="6"/>
        <v>UK</v>
      </c>
      <c r="Q3021" s="8">
        <f t="shared" si="7"/>
        <v>5.8</v>
      </c>
    </row>
    <row r="3022">
      <c r="A3022" s="1">
        <v>581450.0</v>
      </c>
      <c r="B3022" s="1" t="str">
        <f t="shared" si="1"/>
        <v>581450</v>
      </c>
      <c r="C3022" s="1" t="str">
        <f t="shared" si="2"/>
        <v>Sale</v>
      </c>
      <c r="D3022" s="1">
        <v>23198.0</v>
      </c>
      <c r="E3022" s="1" t="str">
        <f>IFERROR(__xludf.DUMMYFUNCTION("IF(LEN(D3022)&gt;4, IFERROR(REGEXEXTRACT(TO_TEXT(D3022),""\d+""),""""),"""")"),"23198")</f>
        <v>23198</v>
      </c>
      <c r="F3022" s="6" t="str">
        <f t="shared" si="3"/>
        <v>Product</v>
      </c>
      <c r="G3022" s="1" t="s">
        <v>1423</v>
      </c>
      <c r="H3022" s="6" t="str">
        <f>IFERROR(__xludf.DUMMYFUNCTION("IF(REGEXMATCH(LOWER(G3022), ""^(\?)+\s*(missing)?\s*(\?)*$""), """", PROPER(SUBSTITUTE(SUBSTITUTE(G3022, ""?"", """"), ""*"", """")))"),"Pantry Magnetic Shopping List")</f>
        <v>Pantry Magnetic Shopping List</v>
      </c>
      <c r="I3022" s="3">
        <v>2.0</v>
      </c>
      <c r="J3022" s="7">
        <v>40885.745833333334</v>
      </c>
      <c r="K3022" s="8" t="str">
        <f t="shared" si="4"/>
        <v>2011-12</v>
      </c>
      <c r="L3022" s="5">
        <v>1.45</v>
      </c>
      <c r="M3022" s="3">
        <v>16794.0</v>
      </c>
      <c r="N3022" s="1" t="str">
        <f t="shared" si="5"/>
        <v>Registered</v>
      </c>
      <c r="O3022" s="1" t="s">
        <v>19</v>
      </c>
      <c r="P3022" s="9" t="str">
        <f t="shared" si="6"/>
        <v>UK</v>
      </c>
      <c r="Q3022" s="8">
        <f t="shared" si="7"/>
        <v>2.9</v>
      </c>
    </row>
    <row r="3023">
      <c r="A3023" s="1">
        <v>581450.0</v>
      </c>
      <c r="B3023" s="1" t="str">
        <f t="shared" si="1"/>
        <v>581450</v>
      </c>
      <c r="C3023" s="1" t="str">
        <f t="shared" si="2"/>
        <v>Sale</v>
      </c>
      <c r="D3023" s="1">
        <v>22118.0</v>
      </c>
      <c r="E3023" s="1" t="str">
        <f>IFERROR(__xludf.DUMMYFUNCTION("IF(LEN(D3023)&gt;4, IFERROR(REGEXEXTRACT(TO_TEXT(D3023),""\d+""),""""),"""")"),"22118")</f>
        <v>22118</v>
      </c>
      <c r="F3023" s="6" t="str">
        <f t="shared" si="3"/>
        <v>Product</v>
      </c>
      <c r="G3023" s="1" t="s">
        <v>1419</v>
      </c>
      <c r="H3023" s="6" t="str">
        <f>IFERROR(__xludf.DUMMYFUNCTION("IF(REGEXMATCH(LOWER(G3023), ""^(\?)+\s*(missing)?\s*(\?)*$""), """", PROPER(SUBSTITUTE(SUBSTITUTE(G3023, ""?"", """"), ""*"", """")))"),"Joy Wooden Block Letters")</f>
        <v>Joy Wooden Block Letters</v>
      </c>
      <c r="I3023" s="3">
        <v>1.0</v>
      </c>
      <c r="J3023" s="7">
        <v>40885.745833333334</v>
      </c>
      <c r="K3023" s="8" t="str">
        <f t="shared" si="4"/>
        <v>2011-12</v>
      </c>
      <c r="L3023" s="5">
        <v>1.25</v>
      </c>
      <c r="M3023" s="3">
        <v>16794.0</v>
      </c>
      <c r="N3023" s="1" t="str">
        <f t="shared" si="5"/>
        <v>Registered</v>
      </c>
      <c r="O3023" s="1" t="s">
        <v>19</v>
      </c>
      <c r="P3023" s="9" t="str">
        <f t="shared" si="6"/>
        <v>UK</v>
      </c>
      <c r="Q3023" s="8">
        <f t="shared" si="7"/>
        <v>1.25</v>
      </c>
    </row>
    <row r="3024">
      <c r="A3024" s="1">
        <v>581450.0</v>
      </c>
      <c r="B3024" s="1" t="str">
        <f t="shared" si="1"/>
        <v>581450</v>
      </c>
      <c r="C3024" s="1" t="str">
        <f t="shared" si="2"/>
        <v>Sale</v>
      </c>
      <c r="D3024" s="1">
        <v>22667.0</v>
      </c>
      <c r="E3024" s="1" t="str">
        <f>IFERROR(__xludf.DUMMYFUNCTION("IF(LEN(D3024)&gt;4, IFERROR(REGEXEXTRACT(TO_TEXT(D3024),""\d+""),""""),"""")"),"22667")</f>
        <v>22667</v>
      </c>
      <c r="F3024" s="6" t="str">
        <f t="shared" si="3"/>
        <v>Product</v>
      </c>
      <c r="G3024" s="1" t="s">
        <v>1004</v>
      </c>
      <c r="H3024" s="6" t="str">
        <f>IFERROR(__xludf.DUMMYFUNCTION("IF(REGEXMATCH(LOWER(G3024), ""^(\?)+\s*(missing)?\s*(\?)*$""), """", PROPER(SUBSTITUTE(SUBSTITUTE(G3024, ""?"", """"), ""*"", """")))"),"Recipe Box Retrospot")</f>
        <v>Recipe Box Retrospot</v>
      </c>
      <c r="I3024" s="3">
        <v>1.0</v>
      </c>
      <c r="J3024" s="7">
        <v>40885.745833333334</v>
      </c>
      <c r="K3024" s="8" t="str">
        <f t="shared" si="4"/>
        <v>2011-12</v>
      </c>
      <c r="L3024" s="5">
        <v>2.95</v>
      </c>
      <c r="M3024" s="3">
        <v>16794.0</v>
      </c>
      <c r="N3024" s="1" t="str">
        <f t="shared" si="5"/>
        <v>Registered</v>
      </c>
      <c r="O3024" s="1" t="s">
        <v>19</v>
      </c>
      <c r="P3024" s="9" t="str">
        <f t="shared" si="6"/>
        <v>UK</v>
      </c>
      <c r="Q3024" s="8">
        <f t="shared" si="7"/>
        <v>2.95</v>
      </c>
    </row>
    <row r="3025">
      <c r="A3025" s="1">
        <v>581450.0</v>
      </c>
      <c r="B3025" s="1" t="str">
        <f t="shared" si="1"/>
        <v>581450</v>
      </c>
      <c r="C3025" s="1" t="str">
        <f t="shared" si="2"/>
        <v>Sale</v>
      </c>
      <c r="D3025" s="1">
        <v>22993.0</v>
      </c>
      <c r="E3025" s="1" t="str">
        <f>IFERROR(__xludf.DUMMYFUNCTION("IF(LEN(D3025)&gt;4, IFERROR(REGEXEXTRACT(TO_TEXT(D3025),""\d+""),""""),"""")"),"22993")</f>
        <v>22993</v>
      </c>
      <c r="F3025" s="6" t="str">
        <f t="shared" si="3"/>
        <v>Product</v>
      </c>
      <c r="G3025" s="1" t="s">
        <v>709</v>
      </c>
      <c r="H3025" s="6" t="str">
        <f>IFERROR(__xludf.DUMMYFUNCTION("IF(REGEXMATCH(LOWER(G3025), ""^(\?)+\s*(missing)?\s*(\?)*$""), """", PROPER(SUBSTITUTE(SUBSTITUTE(G3025, ""?"", """"), ""*"", """")))"),"Set Of 4 Pantry Jelly Moulds")</f>
        <v>Set Of 4 Pantry Jelly Moulds</v>
      </c>
      <c r="I3025" s="3">
        <v>2.0</v>
      </c>
      <c r="J3025" s="7">
        <v>40885.745833333334</v>
      </c>
      <c r="K3025" s="8" t="str">
        <f t="shared" si="4"/>
        <v>2011-12</v>
      </c>
      <c r="L3025" s="5">
        <v>1.25</v>
      </c>
      <c r="M3025" s="3">
        <v>16794.0</v>
      </c>
      <c r="N3025" s="1" t="str">
        <f t="shared" si="5"/>
        <v>Registered</v>
      </c>
      <c r="O3025" s="1" t="s">
        <v>19</v>
      </c>
      <c r="P3025" s="9" t="str">
        <f t="shared" si="6"/>
        <v>UK</v>
      </c>
      <c r="Q3025" s="8">
        <f t="shared" si="7"/>
        <v>2.5</v>
      </c>
    </row>
    <row r="3026">
      <c r="A3026" s="1">
        <v>581450.0</v>
      </c>
      <c r="B3026" s="1" t="str">
        <f t="shared" si="1"/>
        <v>581450</v>
      </c>
      <c r="C3026" s="1" t="str">
        <f t="shared" si="2"/>
        <v>Sale</v>
      </c>
      <c r="D3026" s="1">
        <v>22119.0</v>
      </c>
      <c r="E3026" s="1" t="str">
        <f>IFERROR(__xludf.DUMMYFUNCTION("IF(LEN(D3026)&gt;4, IFERROR(REGEXEXTRACT(TO_TEXT(D3026),""\d+""),""""),"""")"),"22119")</f>
        <v>22119</v>
      </c>
      <c r="F3026" s="6" t="str">
        <f t="shared" si="3"/>
        <v>Product</v>
      </c>
      <c r="G3026" s="1" t="s">
        <v>1424</v>
      </c>
      <c r="H3026" s="6" t="str">
        <f>IFERROR(__xludf.DUMMYFUNCTION("IF(REGEXMATCH(LOWER(G3026), ""^(\?)+\s*(missing)?\s*(\?)*$""), """", PROPER(SUBSTITUTE(SUBSTITUTE(G3026, ""?"", """"), ""*"", """")))"),"Peace Wooden Block Letters")</f>
        <v>Peace Wooden Block Letters</v>
      </c>
      <c r="I3026" s="3">
        <v>1.0</v>
      </c>
      <c r="J3026" s="7">
        <v>40885.745833333334</v>
      </c>
      <c r="K3026" s="8" t="str">
        <f t="shared" si="4"/>
        <v>2011-12</v>
      </c>
      <c r="L3026" s="5">
        <v>1.95</v>
      </c>
      <c r="M3026" s="3">
        <v>16794.0</v>
      </c>
      <c r="N3026" s="1" t="str">
        <f t="shared" si="5"/>
        <v>Registered</v>
      </c>
      <c r="O3026" s="1" t="s">
        <v>19</v>
      </c>
      <c r="P3026" s="9" t="str">
        <f t="shared" si="6"/>
        <v>UK</v>
      </c>
      <c r="Q3026" s="8">
        <f t="shared" si="7"/>
        <v>1.95</v>
      </c>
    </row>
    <row r="3027">
      <c r="A3027" s="1">
        <v>581450.0</v>
      </c>
      <c r="B3027" s="1" t="str">
        <f t="shared" si="1"/>
        <v>581450</v>
      </c>
      <c r="C3027" s="1" t="str">
        <f t="shared" si="2"/>
        <v>Sale</v>
      </c>
      <c r="D3027" s="1">
        <v>22666.0</v>
      </c>
      <c r="E3027" s="1" t="str">
        <f>IFERROR(__xludf.DUMMYFUNCTION("IF(LEN(D3027)&gt;4, IFERROR(REGEXEXTRACT(TO_TEXT(D3027),""\d+""),""""),"""")"),"22666")</f>
        <v>22666</v>
      </c>
      <c r="F3027" s="6" t="str">
        <f t="shared" si="3"/>
        <v>Product</v>
      </c>
      <c r="G3027" s="1" t="s">
        <v>781</v>
      </c>
      <c r="H3027" s="6" t="str">
        <f>IFERROR(__xludf.DUMMYFUNCTION("IF(REGEXMATCH(LOWER(G3027), ""^(\?)+\s*(missing)?\s*(\?)*$""), """", PROPER(SUBSTITUTE(SUBSTITUTE(G3027, ""?"", """"), ""*"", """")))"),"Recipe Box Pantry Yellow Design")</f>
        <v>Recipe Box Pantry Yellow Design</v>
      </c>
      <c r="I3027" s="3">
        <v>1.0</v>
      </c>
      <c r="J3027" s="7">
        <v>40885.745833333334</v>
      </c>
      <c r="K3027" s="8" t="str">
        <f t="shared" si="4"/>
        <v>2011-12</v>
      </c>
      <c r="L3027" s="5">
        <v>2.95</v>
      </c>
      <c r="M3027" s="3">
        <v>16794.0</v>
      </c>
      <c r="N3027" s="1" t="str">
        <f t="shared" si="5"/>
        <v>Registered</v>
      </c>
      <c r="O3027" s="1" t="s">
        <v>19</v>
      </c>
      <c r="P3027" s="9" t="str">
        <f t="shared" si="6"/>
        <v>UK</v>
      </c>
      <c r="Q3027" s="8">
        <f t="shared" si="7"/>
        <v>2.95</v>
      </c>
    </row>
    <row r="3028">
      <c r="A3028" s="1">
        <v>581450.0</v>
      </c>
      <c r="B3028" s="1" t="str">
        <f t="shared" si="1"/>
        <v>581450</v>
      </c>
      <c r="C3028" s="1" t="str">
        <f t="shared" si="2"/>
        <v>Sale</v>
      </c>
      <c r="D3028" s="1">
        <v>22723.0</v>
      </c>
      <c r="E3028" s="1" t="str">
        <f>IFERROR(__xludf.DUMMYFUNCTION("IF(LEN(D3028)&gt;4, IFERROR(REGEXEXTRACT(TO_TEXT(D3028),""\d+""),""""),"""")"),"22723")</f>
        <v>22723</v>
      </c>
      <c r="F3028" s="6" t="str">
        <f t="shared" si="3"/>
        <v>Product</v>
      </c>
      <c r="G3028" s="1" t="s">
        <v>1200</v>
      </c>
      <c r="H3028" s="6" t="str">
        <f>IFERROR(__xludf.DUMMYFUNCTION("IF(REGEXMATCH(LOWER(G3028), ""^(\?)+\s*(missing)?\s*(\?)*$""), """", PROPER(SUBSTITUTE(SUBSTITUTE(G3028, ""?"", """"), ""*"", """")))"),"Set Of 6 Herb Tins Sketchbook")</f>
        <v>Set Of 6 Herb Tins Sketchbook</v>
      </c>
      <c r="I3028" s="3">
        <v>1.0</v>
      </c>
      <c r="J3028" s="7">
        <v>40885.745833333334</v>
      </c>
      <c r="K3028" s="8" t="str">
        <f t="shared" si="4"/>
        <v>2011-12</v>
      </c>
      <c r="L3028" s="5">
        <v>1.25</v>
      </c>
      <c r="M3028" s="3">
        <v>16794.0</v>
      </c>
      <c r="N3028" s="1" t="str">
        <f t="shared" si="5"/>
        <v>Registered</v>
      </c>
      <c r="O3028" s="1" t="s">
        <v>19</v>
      </c>
      <c r="P3028" s="9" t="str">
        <f t="shared" si="6"/>
        <v>UK</v>
      </c>
      <c r="Q3028" s="8">
        <f t="shared" si="7"/>
        <v>1.25</v>
      </c>
    </row>
    <row r="3029">
      <c r="A3029" s="1">
        <v>581450.0</v>
      </c>
      <c r="B3029" s="1" t="str">
        <f t="shared" si="1"/>
        <v>581450</v>
      </c>
      <c r="C3029" s="1" t="str">
        <f t="shared" si="2"/>
        <v>Sale</v>
      </c>
      <c r="D3029" s="1">
        <v>22666.0</v>
      </c>
      <c r="E3029" s="1" t="str">
        <f>IFERROR(__xludf.DUMMYFUNCTION("IF(LEN(D3029)&gt;4, IFERROR(REGEXEXTRACT(TO_TEXT(D3029),""\d+""),""""),"""")"),"22666")</f>
        <v>22666</v>
      </c>
      <c r="F3029" s="6" t="str">
        <f t="shared" si="3"/>
        <v>Product</v>
      </c>
      <c r="G3029" s="1" t="s">
        <v>781</v>
      </c>
      <c r="H3029" s="6" t="str">
        <f>IFERROR(__xludf.DUMMYFUNCTION("IF(REGEXMATCH(LOWER(G3029), ""^(\?)+\s*(missing)?\s*(\?)*$""), """", PROPER(SUBSTITUTE(SUBSTITUTE(G3029, ""?"", """"), ""*"", """")))"),"Recipe Box Pantry Yellow Design")</f>
        <v>Recipe Box Pantry Yellow Design</v>
      </c>
      <c r="I3029" s="3">
        <v>2.0</v>
      </c>
      <c r="J3029" s="7">
        <v>40885.745833333334</v>
      </c>
      <c r="K3029" s="8" t="str">
        <f t="shared" si="4"/>
        <v>2011-12</v>
      </c>
      <c r="L3029" s="5">
        <v>2.95</v>
      </c>
      <c r="M3029" s="3">
        <v>16794.0</v>
      </c>
      <c r="N3029" s="1" t="str">
        <f t="shared" si="5"/>
        <v>Registered</v>
      </c>
      <c r="O3029" s="1" t="s">
        <v>19</v>
      </c>
      <c r="P3029" s="9" t="str">
        <f t="shared" si="6"/>
        <v>UK</v>
      </c>
      <c r="Q3029" s="8">
        <f t="shared" si="7"/>
        <v>5.9</v>
      </c>
    </row>
    <row r="3030">
      <c r="A3030" s="1">
        <v>581450.0</v>
      </c>
      <c r="B3030" s="1" t="str">
        <f t="shared" si="1"/>
        <v>581450</v>
      </c>
      <c r="C3030" s="1" t="str">
        <f t="shared" si="2"/>
        <v>Sale</v>
      </c>
      <c r="D3030" s="1">
        <v>22721.0</v>
      </c>
      <c r="E3030" s="1" t="str">
        <f>IFERROR(__xludf.DUMMYFUNCTION("IF(LEN(D3030)&gt;4, IFERROR(REGEXEXTRACT(TO_TEXT(D3030),""\d+""),""""),"""")"),"22721")</f>
        <v>22721</v>
      </c>
      <c r="F3030" s="6" t="str">
        <f t="shared" si="3"/>
        <v>Product</v>
      </c>
      <c r="G3030" s="1" t="s">
        <v>1296</v>
      </c>
      <c r="H3030" s="6" t="str">
        <f>IFERROR(__xludf.DUMMYFUNCTION("IF(REGEXMATCH(LOWER(G3030), ""^(\?)+\s*(missing)?\s*(\?)*$""), """", PROPER(SUBSTITUTE(SUBSTITUTE(G3030, ""?"", """"), ""*"", """")))"),"Set Of 3 Cake Tins Sketchbook")</f>
        <v>Set Of 3 Cake Tins Sketchbook</v>
      </c>
      <c r="I3030" s="3">
        <v>5.0</v>
      </c>
      <c r="J3030" s="7">
        <v>40885.745833333334</v>
      </c>
      <c r="K3030" s="8" t="str">
        <f t="shared" si="4"/>
        <v>2011-12</v>
      </c>
      <c r="L3030" s="5">
        <v>1.95</v>
      </c>
      <c r="M3030" s="3">
        <v>16794.0</v>
      </c>
      <c r="N3030" s="1" t="str">
        <f t="shared" si="5"/>
        <v>Registered</v>
      </c>
      <c r="O3030" s="1" t="s">
        <v>19</v>
      </c>
      <c r="P3030" s="9" t="str">
        <f t="shared" si="6"/>
        <v>UK</v>
      </c>
      <c r="Q3030" s="8">
        <f t="shared" si="7"/>
        <v>9.75</v>
      </c>
    </row>
    <row r="3031">
      <c r="A3031" s="1">
        <v>581450.0</v>
      </c>
      <c r="B3031" s="1" t="str">
        <f t="shared" si="1"/>
        <v>581450</v>
      </c>
      <c r="C3031" s="1" t="str">
        <f t="shared" si="2"/>
        <v>Sale</v>
      </c>
      <c r="D3031" s="1">
        <v>22475.0</v>
      </c>
      <c r="E3031" s="1" t="str">
        <f>IFERROR(__xludf.DUMMYFUNCTION("IF(LEN(D3031)&gt;4, IFERROR(REGEXEXTRACT(TO_TEXT(D3031),""\d+""),""""),"""")"),"22475")</f>
        <v>22475</v>
      </c>
      <c r="F3031" s="6" t="str">
        <f t="shared" si="3"/>
        <v>Product</v>
      </c>
      <c r="G3031" s="1" t="s">
        <v>1425</v>
      </c>
      <c r="H3031" s="6" t="str">
        <f>IFERROR(__xludf.DUMMYFUNCTION("IF(REGEXMATCH(LOWER(G3031), ""^(\?)+\s*(missing)?\s*(\?)*$""), """", PROPER(SUBSTITUTE(SUBSTITUTE(G3031, ""?"", """"), ""*"", """")))"),"Skull Design Tv Dinner Tray")</f>
        <v>Skull Design Tv Dinner Tray</v>
      </c>
      <c r="I3031" s="3">
        <v>2.0</v>
      </c>
      <c r="J3031" s="7">
        <v>40885.745833333334</v>
      </c>
      <c r="K3031" s="8" t="str">
        <f t="shared" si="4"/>
        <v>2011-12</v>
      </c>
      <c r="L3031" s="5">
        <v>1.95</v>
      </c>
      <c r="M3031" s="3">
        <v>16794.0</v>
      </c>
      <c r="N3031" s="1" t="str">
        <f t="shared" si="5"/>
        <v>Registered</v>
      </c>
      <c r="O3031" s="1" t="s">
        <v>19</v>
      </c>
      <c r="P3031" s="9" t="str">
        <f t="shared" si="6"/>
        <v>UK</v>
      </c>
      <c r="Q3031" s="8">
        <f t="shared" si="7"/>
        <v>3.9</v>
      </c>
    </row>
    <row r="3032">
      <c r="A3032" s="1">
        <v>581450.0</v>
      </c>
      <c r="B3032" s="1" t="str">
        <f t="shared" si="1"/>
        <v>581450</v>
      </c>
      <c r="C3032" s="1" t="str">
        <f t="shared" si="2"/>
        <v>Sale</v>
      </c>
      <c r="D3032" s="1">
        <v>21216.0</v>
      </c>
      <c r="E3032" s="1" t="str">
        <f>IFERROR(__xludf.DUMMYFUNCTION("IF(LEN(D3032)&gt;4, IFERROR(REGEXEXTRACT(TO_TEXT(D3032),""\d+""),""""),"""")"),"21216")</f>
        <v>21216</v>
      </c>
      <c r="F3032" s="6" t="str">
        <f t="shared" si="3"/>
        <v>Product</v>
      </c>
      <c r="G3032" s="1" t="s">
        <v>819</v>
      </c>
      <c r="H3032" s="6" t="str">
        <f>IFERROR(__xludf.DUMMYFUNCTION("IF(REGEXMATCH(LOWER(G3032), ""^(\?)+\s*(missing)?\s*(\?)*$""), """", PROPER(SUBSTITUTE(SUBSTITUTE(G3032, ""?"", """"), ""*"", """")))"),"Set 3 Retrospot Tea,Coffee,Sugar")</f>
        <v>Set 3 Retrospot Tea,Coffee,Sugar</v>
      </c>
      <c r="I3032" s="3">
        <v>1.0</v>
      </c>
      <c r="J3032" s="7">
        <v>40885.745833333334</v>
      </c>
      <c r="K3032" s="8" t="str">
        <f t="shared" si="4"/>
        <v>2011-12</v>
      </c>
      <c r="L3032" s="5">
        <v>4.95</v>
      </c>
      <c r="M3032" s="3">
        <v>16794.0</v>
      </c>
      <c r="N3032" s="1" t="str">
        <f t="shared" si="5"/>
        <v>Registered</v>
      </c>
      <c r="O3032" s="1" t="s">
        <v>19</v>
      </c>
      <c r="P3032" s="9" t="str">
        <f t="shared" si="6"/>
        <v>UK</v>
      </c>
      <c r="Q3032" s="8">
        <f t="shared" si="7"/>
        <v>4.95</v>
      </c>
    </row>
    <row r="3033">
      <c r="A3033" s="1">
        <v>581450.0</v>
      </c>
      <c r="B3033" s="1" t="str">
        <f t="shared" si="1"/>
        <v>581450</v>
      </c>
      <c r="C3033" s="1" t="str">
        <f t="shared" si="2"/>
        <v>Sale</v>
      </c>
      <c r="D3033" s="1">
        <v>22720.0</v>
      </c>
      <c r="E3033" s="1" t="str">
        <f>IFERROR(__xludf.DUMMYFUNCTION("IF(LEN(D3033)&gt;4, IFERROR(REGEXEXTRACT(TO_TEXT(D3033),""\d+""),""""),"""")"),"22720")</f>
        <v>22720</v>
      </c>
      <c r="F3033" s="6" t="str">
        <f t="shared" si="3"/>
        <v>Product</v>
      </c>
      <c r="G3033" s="1" t="s">
        <v>685</v>
      </c>
      <c r="H3033" s="6" t="str">
        <f>IFERROR(__xludf.DUMMYFUNCTION("IF(REGEXMATCH(LOWER(G3033), ""^(\?)+\s*(missing)?\s*(\?)*$""), """", PROPER(SUBSTITUTE(SUBSTITUTE(G3033, ""?"", """"), ""*"", """")))"),"Set Of 3 Cake Tins Pantry Design")</f>
        <v>Set Of 3 Cake Tins Pantry Design</v>
      </c>
      <c r="I3033" s="3">
        <v>3.0</v>
      </c>
      <c r="J3033" s="7">
        <v>40885.745833333334</v>
      </c>
      <c r="K3033" s="8" t="str">
        <f t="shared" si="4"/>
        <v>2011-12</v>
      </c>
      <c r="L3033" s="5">
        <v>4.95</v>
      </c>
      <c r="M3033" s="3">
        <v>16794.0</v>
      </c>
      <c r="N3033" s="1" t="str">
        <f t="shared" si="5"/>
        <v>Registered</v>
      </c>
      <c r="O3033" s="1" t="s">
        <v>19</v>
      </c>
      <c r="P3033" s="9" t="str">
        <f t="shared" si="6"/>
        <v>UK</v>
      </c>
      <c r="Q3033" s="8">
        <f t="shared" si="7"/>
        <v>14.85</v>
      </c>
    </row>
    <row r="3034">
      <c r="A3034" s="1">
        <v>581451.0</v>
      </c>
      <c r="B3034" s="1" t="str">
        <f t="shared" si="1"/>
        <v>581451</v>
      </c>
      <c r="C3034" s="1" t="str">
        <f t="shared" si="2"/>
        <v>Sale</v>
      </c>
      <c r="D3034" s="1">
        <v>21115.0</v>
      </c>
      <c r="E3034" s="1" t="str">
        <f>IFERROR(__xludf.DUMMYFUNCTION("IF(LEN(D3034)&gt;4, IFERROR(REGEXEXTRACT(TO_TEXT(D3034),""\d+""),""""),"""")"),"21115")</f>
        <v>21115</v>
      </c>
      <c r="F3034" s="6" t="str">
        <f t="shared" si="3"/>
        <v>Product</v>
      </c>
      <c r="G3034" s="1" t="s">
        <v>194</v>
      </c>
      <c r="H3034" s="6" t="str">
        <f>IFERROR(__xludf.DUMMYFUNCTION("IF(REGEXMATCH(LOWER(G3034), ""^(\?)+\s*(missing)?\s*(\?)*$""), """", PROPER(SUBSTITUTE(SUBSTITUTE(G3034, ""?"", """"), ""*"", """")))"),"Rose Caravan Doorstop")</f>
        <v>Rose Caravan Doorstop</v>
      </c>
      <c r="I3034" s="3">
        <v>8.0</v>
      </c>
      <c r="J3034" s="7">
        <v>40885.74791666667</v>
      </c>
      <c r="K3034" s="8" t="str">
        <f t="shared" si="4"/>
        <v>2011-12</v>
      </c>
      <c r="L3034" s="5">
        <v>1.95</v>
      </c>
      <c r="M3034" s="3">
        <v>17144.0</v>
      </c>
      <c r="N3034" s="1" t="str">
        <f t="shared" si="5"/>
        <v>Registered</v>
      </c>
      <c r="O3034" s="1" t="s">
        <v>19</v>
      </c>
      <c r="P3034" s="9" t="str">
        <f t="shared" si="6"/>
        <v>UK</v>
      </c>
      <c r="Q3034" s="8">
        <f t="shared" si="7"/>
        <v>15.6</v>
      </c>
    </row>
    <row r="3035">
      <c r="A3035" s="1">
        <v>581451.0</v>
      </c>
      <c r="B3035" s="1" t="str">
        <f t="shared" si="1"/>
        <v>581451</v>
      </c>
      <c r="C3035" s="1" t="str">
        <f t="shared" si="2"/>
        <v>Sale</v>
      </c>
      <c r="D3035" s="1">
        <v>21258.0</v>
      </c>
      <c r="E3035" s="1" t="str">
        <f>IFERROR(__xludf.DUMMYFUNCTION("IF(LEN(D3035)&gt;4, IFERROR(REGEXEXTRACT(TO_TEXT(D3035),""\d+""),""""),"""")"),"21258")</f>
        <v>21258</v>
      </c>
      <c r="F3035" s="6" t="str">
        <f t="shared" si="3"/>
        <v>Product</v>
      </c>
      <c r="G3035" s="1" t="s">
        <v>81</v>
      </c>
      <c r="H3035" s="6" t="str">
        <f>IFERROR(__xludf.DUMMYFUNCTION("IF(REGEXMATCH(LOWER(G3035), ""^(\?)+\s*(missing)?\s*(\?)*$""), """", PROPER(SUBSTITUTE(SUBSTITUTE(G3035, ""?"", """"), ""*"", """")))"),"Victorian Sewing Box Large")</f>
        <v>Victorian Sewing Box Large</v>
      </c>
      <c r="I3035" s="3">
        <v>1.0</v>
      </c>
      <c r="J3035" s="7">
        <v>40885.74791666667</v>
      </c>
      <c r="K3035" s="8" t="str">
        <f t="shared" si="4"/>
        <v>2011-12</v>
      </c>
      <c r="L3035" s="5">
        <v>12.75</v>
      </c>
      <c r="M3035" s="3">
        <v>17144.0</v>
      </c>
      <c r="N3035" s="1" t="str">
        <f t="shared" si="5"/>
        <v>Registered</v>
      </c>
      <c r="O3035" s="1" t="s">
        <v>19</v>
      </c>
      <c r="P3035" s="9" t="str">
        <f t="shared" si="6"/>
        <v>UK</v>
      </c>
      <c r="Q3035" s="8">
        <f t="shared" si="7"/>
        <v>12.75</v>
      </c>
    </row>
    <row r="3036">
      <c r="A3036" s="1">
        <v>581451.0</v>
      </c>
      <c r="B3036" s="1" t="str">
        <f t="shared" si="1"/>
        <v>581451</v>
      </c>
      <c r="C3036" s="1" t="str">
        <f t="shared" si="2"/>
        <v>Sale</v>
      </c>
      <c r="D3036" s="1">
        <v>21485.0</v>
      </c>
      <c r="E3036" s="1" t="str">
        <f>IFERROR(__xludf.DUMMYFUNCTION("IF(LEN(D3036)&gt;4, IFERROR(REGEXEXTRACT(TO_TEXT(D3036),""\d+""),""""),"""")"),"21485")</f>
        <v>21485</v>
      </c>
      <c r="F3036" s="6" t="str">
        <f t="shared" si="3"/>
        <v>Product</v>
      </c>
      <c r="G3036" s="1" t="s">
        <v>223</v>
      </c>
      <c r="H3036" s="6" t="str">
        <f>IFERROR(__xludf.DUMMYFUNCTION("IF(REGEXMATCH(LOWER(G3036), ""^(\?)+\s*(missing)?\s*(\?)*$""), """", PROPER(SUBSTITUTE(SUBSTITUTE(G3036, ""?"", """"), ""*"", """")))"),"Retrospot Heart Hot Water Bottle")</f>
        <v>Retrospot Heart Hot Water Bottle</v>
      </c>
      <c r="I3036" s="3">
        <v>3.0</v>
      </c>
      <c r="J3036" s="7">
        <v>40885.74791666667</v>
      </c>
      <c r="K3036" s="8" t="str">
        <f t="shared" si="4"/>
        <v>2011-12</v>
      </c>
      <c r="L3036" s="5">
        <v>4.95</v>
      </c>
      <c r="M3036" s="3">
        <v>17144.0</v>
      </c>
      <c r="N3036" s="1" t="str">
        <f t="shared" si="5"/>
        <v>Registered</v>
      </c>
      <c r="O3036" s="1" t="s">
        <v>19</v>
      </c>
      <c r="P3036" s="9" t="str">
        <f t="shared" si="6"/>
        <v>UK</v>
      </c>
      <c r="Q3036" s="8">
        <f t="shared" si="7"/>
        <v>14.85</v>
      </c>
    </row>
    <row r="3037">
      <c r="A3037" s="1">
        <v>581451.0</v>
      </c>
      <c r="B3037" s="1" t="str">
        <f t="shared" si="1"/>
        <v>581451</v>
      </c>
      <c r="C3037" s="1" t="str">
        <f t="shared" si="2"/>
        <v>Sale</v>
      </c>
      <c r="D3037" s="1">
        <v>21523.0</v>
      </c>
      <c r="E3037" s="1" t="str">
        <f>IFERROR(__xludf.DUMMYFUNCTION("IF(LEN(D3037)&gt;4, IFERROR(REGEXEXTRACT(TO_TEXT(D3037),""\d+""),""""),"""")"),"21523")</f>
        <v>21523</v>
      </c>
      <c r="F3037" s="6" t="str">
        <f t="shared" si="3"/>
        <v>Product</v>
      </c>
      <c r="G3037" s="1" t="s">
        <v>146</v>
      </c>
      <c r="H3037" s="6" t="str">
        <f>IFERROR(__xludf.DUMMYFUNCTION("IF(REGEXMATCH(LOWER(G3037), ""^(\?)+\s*(missing)?\s*(\?)*$""), """", PROPER(SUBSTITUTE(SUBSTITUTE(G3037, ""?"", """"), ""*"", """")))"),"Doormat Fancy Font Home Sweet Home")</f>
        <v>Doormat Fancy Font Home Sweet Home</v>
      </c>
      <c r="I3037" s="3">
        <v>2.0</v>
      </c>
      <c r="J3037" s="7">
        <v>40885.74791666667</v>
      </c>
      <c r="K3037" s="8" t="str">
        <f t="shared" si="4"/>
        <v>2011-12</v>
      </c>
      <c r="L3037" s="5">
        <v>8.25</v>
      </c>
      <c r="M3037" s="3">
        <v>17144.0</v>
      </c>
      <c r="N3037" s="1" t="str">
        <f t="shared" si="5"/>
        <v>Registered</v>
      </c>
      <c r="O3037" s="1" t="s">
        <v>19</v>
      </c>
      <c r="P3037" s="9" t="str">
        <f t="shared" si="6"/>
        <v>UK</v>
      </c>
      <c r="Q3037" s="8">
        <f t="shared" si="7"/>
        <v>16.5</v>
      </c>
    </row>
    <row r="3038">
      <c r="A3038" s="1">
        <v>581451.0</v>
      </c>
      <c r="B3038" s="1" t="str">
        <f t="shared" si="1"/>
        <v>581451</v>
      </c>
      <c r="C3038" s="1" t="str">
        <f t="shared" si="2"/>
        <v>Sale</v>
      </c>
      <c r="D3038" s="1">
        <v>22030.0</v>
      </c>
      <c r="E3038" s="1" t="str">
        <f>IFERROR(__xludf.DUMMYFUNCTION("IF(LEN(D3038)&gt;4, IFERROR(REGEXEXTRACT(TO_TEXT(D3038),""\d+""),""""),"""")"),"22030")</f>
        <v>22030</v>
      </c>
      <c r="F3038" s="6" t="str">
        <f t="shared" si="3"/>
        <v>Product</v>
      </c>
      <c r="G3038" s="1" t="s">
        <v>898</v>
      </c>
      <c r="H3038" s="6" t="str">
        <f>IFERROR(__xludf.DUMMYFUNCTION("IF(REGEXMATCH(LOWER(G3038), ""^(\?)+\s*(missing)?\s*(\?)*$""), """", PROPER(SUBSTITUTE(SUBSTITUTE(G3038, ""?"", """"), ""*"", """")))"),"Swallows Greeting Card")</f>
        <v>Swallows Greeting Card</v>
      </c>
      <c r="I3038" s="3">
        <v>12.0</v>
      </c>
      <c r="J3038" s="7">
        <v>40885.74791666667</v>
      </c>
      <c r="K3038" s="8" t="str">
        <f t="shared" si="4"/>
        <v>2011-12</v>
      </c>
      <c r="L3038" s="5">
        <v>0.42</v>
      </c>
      <c r="M3038" s="3">
        <v>17144.0</v>
      </c>
      <c r="N3038" s="1" t="str">
        <f t="shared" si="5"/>
        <v>Registered</v>
      </c>
      <c r="O3038" s="1" t="s">
        <v>19</v>
      </c>
      <c r="P3038" s="9" t="str">
        <f t="shared" si="6"/>
        <v>UK</v>
      </c>
      <c r="Q3038" s="8">
        <f t="shared" si="7"/>
        <v>5.04</v>
      </c>
    </row>
    <row r="3039">
      <c r="A3039" s="1">
        <v>581451.0</v>
      </c>
      <c r="B3039" s="1" t="str">
        <f t="shared" si="1"/>
        <v>581451</v>
      </c>
      <c r="C3039" s="1" t="str">
        <f t="shared" si="2"/>
        <v>Sale</v>
      </c>
      <c r="D3039" s="1">
        <v>22111.0</v>
      </c>
      <c r="E3039" s="1" t="str">
        <f>IFERROR(__xludf.DUMMYFUNCTION("IF(LEN(D3039)&gt;4, IFERROR(REGEXEXTRACT(TO_TEXT(D3039),""\d+""),""""),"""")"),"22111")</f>
        <v>22111</v>
      </c>
      <c r="F3039" s="6" t="str">
        <f t="shared" si="3"/>
        <v>Product</v>
      </c>
      <c r="G3039" s="1" t="s">
        <v>270</v>
      </c>
      <c r="H3039" s="6" t="str">
        <f>IFERROR(__xludf.DUMMYFUNCTION("IF(REGEXMATCH(LOWER(G3039), ""^(\?)+\s*(missing)?\s*(\?)*$""), """", PROPER(SUBSTITUTE(SUBSTITUTE(G3039, ""?"", """"), ""*"", """")))"),"Scottie Dog Hot Water Bottle")</f>
        <v>Scottie Dog Hot Water Bottle</v>
      </c>
      <c r="I3039" s="3">
        <v>3.0</v>
      </c>
      <c r="J3039" s="7">
        <v>40885.74791666667</v>
      </c>
      <c r="K3039" s="8" t="str">
        <f t="shared" si="4"/>
        <v>2011-12</v>
      </c>
      <c r="L3039" s="5">
        <v>4.95</v>
      </c>
      <c r="M3039" s="3">
        <v>17144.0</v>
      </c>
      <c r="N3039" s="1" t="str">
        <f t="shared" si="5"/>
        <v>Registered</v>
      </c>
      <c r="O3039" s="1" t="s">
        <v>19</v>
      </c>
      <c r="P3039" s="9" t="str">
        <f t="shared" si="6"/>
        <v>UK</v>
      </c>
      <c r="Q3039" s="8">
        <f t="shared" si="7"/>
        <v>14.85</v>
      </c>
    </row>
    <row r="3040">
      <c r="A3040" s="1">
        <v>581451.0</v>
      </c>
      <c r="B3040" s="1" t="str">
        <f t="shared" si="1"/>
        <v>581451</v>
      </c>
      <c r="C3040" s="1" t="str">
        <f t="shared" si="2"/>
        <v>Sale</v>
      </c>
      <c r="D3040" s="1">
        <v>22310.0</v>
      </c>
      <c r="E3040" s="1" t="str">
        <f>IFERROR(__xludf.DUMMYFUNCTION("IF(LEN(D3040)&gt;4, IFERROR(REGEXEXTRACT(TO_TEXT(D3040),""\d+""),""""),"""")"),"22310")</f>
        <v>22310</v>
      </c>
      <c r="F3040" s="6" t="str">
        <f t="shared" si="3"/>
        <v>Product</v>
      </c>
      <c r="G3040" s="1" t="s">
        <v>35</v>
      </c>
      <c r="H3040" s="6" t="str">
        <f>IFERROR(__xludf.DUMMYFUNCTION("IF(REGEXMATCH(LOWER(G3040), ""^(\?)+\s*(missing)?\s*(\?)*$""), """", PROPER(SUBSTITUTE(SUBSTITUTE(G3040, ""?"", """"), ""*"", """")))"),"Ivory Knitted Mug Cosy")</f>
        <v>Ivory Knitted Mug Cosy</v>
      </c>
      <c r="I3040" s="3">
        <v>6.0</v>
      </c>
      <c r="J3040" s="7">
        <v>40885.74791666667</v>
      </c>
      <c r="K3040" s="8" t="str">
        <f t="shared" si="4"/>
        <v>2011-12</v>
      </c>
      <c r="L3040" s="5">
        <v>1.65</v>
      </c>
      <c r="M3040" s="3">
        <v>17144.0</v>
      </c>
      <c r="N3040" s="1" t="str">
        <f t="shared" si="5"/>
        <v>Registered</v>
      </c>
      <c r="O3040" s="1" t="s">
        <v>19</v>
      </c>
      <c r="P3040" s="9" t="str">
        <f t="shared" si="6"/>
        <v>UK</v>
      </c>
      <c r="Q3040" s="8">
        <f t="shared" si="7"/>
        <v>9.9</v>
      </c>
    </row>
    <row r="3041">
      <c r="A3041" s="1">
        <v>581451.0</v>
      </c>
      <c r="B3041" s="1" t="str">
        <f t="shared" si="1"/>
        <v>581451</v>
      </c>
      <c r="C3041" s="1" t="str">
        <f t="shared" si="2"/>
        <v>Sale</v>
      </c>
      <c r="D3041" s="1">
        <v>22350.0</v>
      </c>
      <c r="E3041" s="1" t="str">
        <f>IFERROR(__xludf.DUMMYFUNCTION("IF(LEN(D3041)&gt;4, IFERROR(REGEXEXTRACT(TO_TEXT(D3041),""\d+""),""""),"""")"),"22350")</f>
        <v>22350</v>
      </c>
      <c r="F3041" s="6" t="str">
        <f t="shared" si="3"/>
        <v>Product</v>
      </c>
      <c r="G3041" s="1" t="s">
        <v>1426</v>
      </c>
      <c r="H3041" s="6" t="str">
        <f>IFERROR(__xludf.DUMMYFUNCTION("IF(REGEXMATCH(LOWER(G3041), ""^(\?)+\s*(missing)?\s*(\?)*$""), """", PROPER(SUBSTITUTE(SUBSTITUTE(G3041, ""?"", """"), ""*"", """")))"),"Illustrated Cat Bowl")</f>
        <v>Illustrated Cat Bowl</v>
      </c>
      <c r="I3041" s="3">
        <v>6.0</v>
      </c>
      <c r="J3041" s="7">
        <v>40885.74791666667</v>
      </c>
      <c r="K3041" s="8" t="str">
        <f t="shared" si="4"/>
        <v>2011-12</v>
      </c>
      <c r="L3041" s="5">
        <v>2.55</v>
      </c>
      <c r="M3041" s="3">
        <v>17144.0</v>
      </c>
      <c r="N3041" s="1" t="str">
        <f t="shared" si="5"/>
        <v>Registered</v>
      </c>
      <c r="O3041" s="1" t="s">
        <v>19</v>
      </c>
      <c r="P3041" s="9" t="str">
        <f t="shared" si="6"/>
        <v>UK</v>
      </c>
      <c r="Q3041" s="8">
        <f t="shared" si="7"/>
        <v>15.3</v>
      </c>
    </row>
    <row r="3042">
      <c r="A3042" s="1">
        <v>581451.0</v>
      </c>
      <c r="B3042" s="1" t="str">
        <f t="shared" si="1"/>
        <v>581451</v>
      </c>
      <c r="C3042" s="1" t="str">
        <f t="shared" si="2"/>
        <v>Sale</v>
      </c>
      <c r="D3042" s="1">
        <v>22366.0</v>
      </c>
      <c r="E3042" s="1" t="str">
        <f>IFERROR(__xludf.DUMMYFUNCTION("IF(LEN(D3042)&gt;4, IFERROR(REGEXEXTRACT(TO_TEXT(D3042),""\d+""),""""),"""")"),"22366")</f>
        <v>22366</v>
      </c>
      <c r="F3042" s="6" t="str">
        <f t="shared" si="3"/>
        <v>Product</v>
      </c>
      <c r="G3042" s="1" t="s">
        <v>1427</v>
      </c>
      <c r="H3042" s="6" t="str">
        <f>IFERROR(__xludf.DUMMYFUNCTION("IF(REGEXMATCH(LOWER(G3042), ""^(\?)+\s*(missing)?\s*(\?)*$""), """", PROPER(SUBSTITUTE(SUBSTITUTE(G3042, ""?"", """"), ""*"", """")))"),"Doormat Airmail")</f>
        <v>Doormat Airmail</v>
      </c>
      <c r="I3042" s="3">
        <v>2.0</v>
      </c>
      <c r="J3042" s="7">
        <v>40885.74791666667</v>
      </c>
      <c r="K3042" s="8" t="str">
        <f t="shared" si="4"/>
        <v>2011-12</v>
      </c>
      <c r="L3042" s="5">
        <v>8.25</v>
      </c>
      <c r="M3042" s="3">
        <v>17144.0</v>
      </c>
      <c r="N3042" s="1" t="str">
        <f t="shared" si="5"/>
        <v>Registered</v>
      </c>
      <c r="O3042" s="1" t="s">
        <v>19</v>
      </c>
      <c r="P3042" s="9" t="str">
        <f t="shared" si="6"/>
        <v>UK</v>
      </c>
      <c r="Q3042" s="8">
        <f t="shared" si="7"/>
        <v>16.5</v>
      </c>
    </row>
    <row r="3043">
      <c r="A3043" s="1">
        <v>581451.0</v>
      </c>
      <c r="B3043" s="1" t="str">
        <f t="shared" si="1"/>
        <v>581451</v>
      </c>
      <c r="C3043" s="1" t="str">
        <f t="shared" si="2"/>
        <v>Sale</v>
      </c>
      <c r="D3043" s="1">
        <v>22441.0</v>
      </c>
      <c r="E3043" s="1" t="str">
        <f>IFERROR(__xludf.DUMMYFUNCTION("IF(LEN(D3043)&gt;4, IFERROR(REGEXEXTRACT(TO_TEXT(D3043),""\d+""),""""),"""")"),"22441")</f>
        <v>22441</v>
      </c>
      <c r="F3043" s="6" t="str">
        <f t="shared" si="3"/>
        <v>Product</v>
      </c>
      <c r="G3043" s="1" t="s">
        <v>301</v>
      </c>
      <c r="H3043" s="6" t="str">
        <f>IFERROR(__xludf.DUMMYFUNCTION("IF(REGEXMATCH(LOWER(G3043), ""^(\?)+\s*(missing)?\s*(\?)*$""), """", PROPER(SUBSTITUTE(SUBSTITUTE(G3043, ""?"", """"), ""*"", """")))"),"Grow Your Own Basil In Enamel Mug")</f>
        <v>Grow Your Own Basil In Enamel Mug</v>
      </c>
      <c r="I3043" s="3">
        <v>8.0</v>
      </c>
      <c r="J3043" s="7">
        <v>40885.74791666667</v>
      </c>
      <c r="K3043" s="8" t="str">
        <f t="shared" si="4"/>
        <v>2011-12</v>
      </c>
      <c r="L3043" s="5">
        <v>2.1</v>
      </c>
      <c r="M3043" s="3">
        <v>17144.0</v>
      </c>
      <c r="N3043" s="1" t="str">
        <f t="shared" si="5"/>
        <v>Registered</v>
      </c>
      <c r="O3043" s="1" t="s">
        <v>19</v>
      </c>
      <c r="P3043" s="9" t="str">
        <f t="shared" si="6"/>
        <v>UK</v>
      </c>
      <c r="Q3043" s="8">
        <f t="shared" si="7"/>
        <v>16.8</v>
      </c>
    </row>
    <row r="3044">
      <c r="A3044" s="1">
        <v>581451.0</v>
      </c>
      <c r="B3044" s="1" t="str">
        <f t="shared" si="1"/>
        <v>581451</v>
      </c>
      <c r="C3044" s="1" t="str">
        <f t="shared" si="2"/>
        <v>Sale</v>
      </c>
      <c r="D3044" s="1">
        <v>22442.0</v>
      </c>
      <c r="E3044" s="1" t="str">
        <f>IFERROR(__xludf.DUMMYFUNCTION("IF(LEN(D3044)&gt;4, IFERROR(REGEXEXTRACT(TO_TEXT(D3044),""\d+""),""""),"""")"),"22442")</f>
        <v>22442</v>
      </c>
      <c r="F3044" s="6" t="str">
        <f t="shared" si="3"/>
        <v>Product</v>
      </c>
      <c r="G3044" s="1" t="s">
        <v>1428</v>
      </c>
      <c r="H3044" s="6" t="str">
        <f>IFERROR(__xludf.DUMMYFUNCTION("IF(REGEXMATCH(LOWER(G3044), ""^(\?)+\s*(missing)?\s*(\?)*$""), """", PROPER(SUBSTITUTE(SUBSTITUTE(G3044, ""?"", """"), ""*"", """")))"),"Grow Your Own Flowers Set Of 3")</f>
        <v>Grow Your Own Flowers Set Of 3</v>
      </c>
      <c r="I3044" s="3">
        <v>12.0</v>
      </c>
      <c r="J3044" s="7">
        <v>40885.74791666667</v>
      </c>
      <c r="K3044" s="8" t="str">
        <f t="shared" si="4"/>
        <v>2011-12</v>
      </c>
      <c r="L3044" s="5">
        <v>1.95</v>
      </c>
      <c r="M3044" s="3">
        <v>17144.0</v>
      </c>
      <c r="N3044" s="1" t="str">
        <f t="shared" si="5"/>
        <v>Registered</v>
      </c>
      <c r="O3044" s="1" t="s">
        <v>19</v>
      </c>
      <c r="P3044" s="9" t="str">
        <f t="shared" si="6"/>
        <v>UK</v>
      </c>
      <c r="Q3044" s="8">
        <f t="shared" si="7"/>
        <v>23.4</v>
      </c>
    </row>
    <row r="3045">
      <c r="A3045" s="1">
        <v>581451.0</v>
      </c>
      <c r="B3045" s="1" t="str">
        <f t="shared" si="1"/>
        <v>581451</v>
      </c>
      <c r="C3045" s="1" t="str">
        <f t="shared" si="2"/>
        <v>Sale</v>
      </c>
      <c r="D3045" s="1">
        <v>22624.0</v>
      </c>
      <c r="E3045" s="1" t="str">
        <f>IFERROR(__xludf.DUMMYFUNCTION("IF(LEN(D3045)&gt;4, IFERROR(REGEXEXTRACT(TO_TEXT(D3045),""\d+""),""""),"""")"),"22624")</f>
        <v>22624</v>
      </c>
      <c r="F3045" s="6" t="str">
        <f t="shared" si="3"/>
        <v>Product</v>
      </c>
      <c r="G3045" s="1" t="s">
        <v>771</v>
      </c>
      <c r="H3045" s="6" t="str">
        <f>IFERROR(__xludf.DUMMYFUNCTION("IF(REGEXMATCH(LOWER(G3045), ""^(\?)+\s*(missing)?\s*(\?)*$""), """", PROPER(SUBSTITUTE(SUBSTITUTE(G3045, ""?"", """"), ""*"", """")))"),"Ivory Kitchen Scales")</f>
        <v>Ivory Kitchen Scales</v>
      </c>
      <c r="I3045" s="3">
        <v>2.0</v>
      </c>
      <c r="J3045" s="7">
        <v>40885.74791666667</v>
      </c>
      <c r="K3045" s="8" t="str">
        <f t="shared" si="4"/>
        <v>2011-12</v>
      </c>
      <c r="L3045" s="5">
        <v>8.5</v>
      </c>
      <c r="M3045" s="3">
        <v>17144.0</v>
      </c>
      <c r="N3045" s="1" t="str">
        <f t="shared" si="5"/>
        <v>Registered</v>
      </c>
      <c r="O3045" s="1" t="s">
        <v>19</v>
      </c>
      <c r="P3045" s="9" t="str">
        <f t="shared" si="6"/>
        <v>UK</v>
      </c>
      <c r="Q3045" s="8">
        <f t="shared" si="7"/>
        <v>17</v>
      </c>
    </row>
    <row r="3046">
      <c r="A3046" s="1">
        <v>581451.0</v>
      </c>
      <c r="B3046" s="1" t="str">
        <f t="shared" si="1"/>
        <v>581451</v>
      </c>
      <c r="C3046" s="1" t="str">
        <f t="shared" si="2"/>
        <v>Sale</v>
      </c>
      <c r="D3046" s="1">
        <v>22627.0</v>
      </c>
      <c r="E3046" s="1" t="str">
        <f>IFERROR(__xludf.DUMMYFUNCTION("IF(LEN(D3046)&gt;4, IFERROR(REGEXEXTRACT(TO_TEXT(D3046),""\d+""),""""),"""")"),"22627")</f>
        <v>22627</v>
      </c>
      <c r="F3046" s="6" t="str">
        <f t="shared" si="3"/>
        <v>Product</v>
      </c>
      <c r="G3046" s="1" t="s">
        <v>1429</v>
      </c>
      <c r="H3046" s="6" t="str">
        <f>IFERROR(__xludf.DUMMYFUNCTION("IF(REGEXMATCH(LOWER(G3046), ""^(\?)+\s*(missing)?\s*(\?)*$""), """", PROPER(SUBSTITUTE(SUBSTITUTE(G3046, ""?"", """"), ""*"", """")))"),"Mint Kitchen Scales")</f>
        <v>Mint Kitchen Scales</v>
      </c>
      <c r="I3046" s="3">
        <v>2.0</v>
      </c>
      <c r="J3046" s="7">
        <v>40885.74791666667</v>
      </c>
      <c r="K3046" s="8" t="str">
        <f t="shared" si="4"/>
        <v>2011-12</v>
      </c>
      <c r="L3046" s="5">
        <v>8.5</v>
      </c>
      <c r="M3046" s="3">
        <v>17144.0</v>
      </c>
      <c r="N3046" s="1" t="str">
        <f t="shared" si="5"/>
        <v>Registered</v>
      </c>
      <c r="O3046" s="1" t="s">
        <v>19</v>
      </c>
      <c r="P3046" s="9" t="str">
        <f t="shared" si="6"/>
        <v>UK</v>
      </c>
      <c r="Q3046" s="8">
        <f t="shared" si="7"/>
        <v>17</v>
      </c>
    </row>
    <row r="3047">
      <c r="A3047" s="1">
        <v>581451.0</v>
      </c>
      <c r="B3047" s="1" t="str">
        <f t="shared" si="1"/>
        <v>581451</v>
      </c>
      <c r="C3047" s="1" t="str">
        <f t="shared" si="2"/>
        <v>Sale</v>
      </c>
      <c r="D3047" s="1">
        <v>22666.0</v>
      </c>
      <c r="E3047" s="1" t="str">
        <f>IFERROR(__xludf.DUMMYFUNCTION("IF(LEN(D3047)&gt;4, IFERROR(REGEXEXTRACT(TO_TEXT(D3047),""\d+""),""""),"""")"),"22666")</f>
        <v>22666</v>
      </c>
      <c r="F3047" s="6" t="str">
        <f t="shared" si="3"/>
        <v>Product</v>
      </c>
      <c r="G3047" s="1" t="s">
        <v>781</v>
      </c>
      <c r="H3047" s="6" t="str">
        <f>IFERROR(__xludf.DUMMYFUNCTION("IF(REGEXMATCH(LOWER(G3047), ""^(\?)+\s*(missing)?\s*(\?)*$""), """", PROPER(SUBSTITUTE(SUBSTITUTE(G3047, ""?"", """"), ""*"", """")))"),"Recipe Box Pantry Yellow Design")</f>
        <v>Recipe Box Pantry Yellow Design</v>
      </c>
      <c r="I3047" s="3">
        <v>6.0</v>
      </c>
      <c r="J3047" s="7">
        <v>40885.74791666667</v>
      </c>
      <c r="K3047" s="8" t="str">
        <f t="shared" si="4"/>
        <v>2011-12</v>
      </c>
      <c r="L3047" s="5">
        <v>2.95</v>
      </c>
      <c r="M3047" s="3">
        <v>17144.0</v>
      </c>
      <c r="N3047" s="1" t="str">
        <f t="shared" si="5"/>
        <v>Registered</v>
      </c>
      <c r="O3047" s="1" t="s">
        <v>19</v>
      </c>
      <c r="P3047" s="9" t="str">
        <f t="shared" si="6"/>
        <v>UK</v>
      </c>
      <c r="Q3047" s="8">
        <f t="shared" si="7"/>
        <v>17.7</v>
      </c>
    </row>
    <row r="3048">
      <c r="A3048" s="1">
        <v>581451.0</v>
      </c>
      <c r="B3048" s="1" t="str">
        <f t="shared" si="1"/>
        <v>581451</v>
      </c>
      <c r="C3048" s="1" t="str">
        <f t="shared" si="2"/>
        <v>Sale</v>
      </c>
      <c r="D3048" s="1">
        <v>22692.0</v>
      </c>
      <c r="E3048" s="1" t="str">
        <f>IFERROR(__xludf.DUMMYFUNCTION("IF(LEN(D3048)&gt;4, IFERROR(REGEXEXTRACT(TO_TEXT(D3048),""\d+""),""""),"""")"),"22692")</f>
        <v>22692</v>
      </c>
      <c r="F3048" s="6" t="str">
        <f t="shared" si="3"/>
        <v>Product</v>
      </c>
      <c r="G3048" s="1" t="s">
        <v>800</v>
      </c>
      <c r="H3048" s="6" t="str">
        <f>IFERROR(__xludf.DUMMYFUNCTION("IF(REGEXMATCH(LOWER(G3048), ""^(\?)+\s*(missing)?\s*(\?)*$""), """", PROPER(SUBSTITUTE(SUBSTITUTE(G3048, ""?"", """"), ""*"", """")))"),"Doormat Welcome To Our Home")</f>
        <v>Doormat Welcome To Our Home</v>
      </c>
      <c r="I3048" s="3">
        <v>2.0</v>
      </c>
      <c r="J3048" s="7">
        <v>40885.74791666667</v>
      </c>
      <c r="K3048" s="8" t="str">
        <f t="shared" si="4"/>
        <v>2011-12</v>
      </c>
      <c r="L3048" s="5">
        <v>8.25</v>
      </c>
      <c r="M3048" s="3">
        <v>17144.0</v>
      </c>
      <c r="N3048" s="1" t="str">
        <f t="shared" si="5"/>
        <v>Registered</v>
      </c>
      <c r="O3048" s="1" t="s">
        <v>19</v>
      </c>
      <c r="P3048" s="9" t="str">
        <f t="shared" si="6"/>
        <v>UK</v>
      </c>
      <c r="Q3048" s="8">
        <f t="shared" si="7"/>
        <v>16.5</v>
      </c>
    </row>
    <row r="3049">
      <c r="A3049" s="1">
        <v>581451.0</v>
      </c>
      <c r="B3049" s="1" t="str">
        <f t="shared" si="1"/>
        <v>581451</v>
      </c>
      <c r="C3049" s="1" t="str">
        <f t="shared" si="2"/>
        <v>Sale</v>
      </c>
      <c r="D3049" s="1">
        <v>22720.0</v>
      </c>
      <c r="E3049" s="1" t="str">
        <f>IFERROR(__xludf.DUMMYFUNCTION("IF(LEN(D3049)&gt;4, IFERROR(REGEXEXTRACT(TO_TEXT(D3049),""\d+""),""""),"""")"),"22720")</f>
        <v>22720</v>
      </c>
      <c r="F3049" s="6" t="str">
        <f t="shared" si="3"/>
        <v>Product</v>
      </c>
      <c r="G3049" s="1" t="s">
        <v>685</v>
      </c>
      <c r="H3049" s="6" t="str">
        <f>IFERROR(__xludf.DUMMYFUNCTION("IF(REGEXMATCH(LOWER(G3049), ""^(\?)+\s*(missing)?\s*(\?)*$""), """", PROPER(SUBSTITUTE(SUBSTITUTE(G3049, ""?"", """"), ""*"", """")))"),"Set Of 3 Cake Tins Pantry Design")</f>
        <v>Set Of 3 Cake Tins Pantry Design</v>
      </c>
      <c r="I3049" s="3">
        <v>3.0</v>
      </c>
      <c r="J3049" s="7">
        <v>40885.74791666667</v>
      </c>
      <c r="K3049" s="8" t="str">
        <f t="shared" si="4"/>
        <v>2011-12</v>
      </c>
      <c r="L3049" s="5">
        <v>4.95</v>
      </c>
      <c r="M3049" s="3">
        <v>17144.0</v>
      </c>
      <c r="N3049" s="1" t="str">
        <f t="shared" si="5"/>
        <v>Registered</v>
      </c>
      <c r="O3049" s="1" t="s">
        <v>19</v>
      </c>
      <c r="P3049" s="9" t="str">
        <f t="shared" si="6"/>
        <v>UK</v>
      </c>
      <c r="Q3049" s="8">
        <f t="shared" si="7"/>
        <v>14.85</v>
      </c>
    </row>
    <row r="3050">
      <c r="A3050" s="1">
        <v>581451.0</v>
      </c>
      <c r="B3050" s="1" t="str">
        <f t="shared" si="1"/>
        <v>581451</v>
      </c>
      <c r="C3050" s="1" t="str">
        <f t="shared" si="2"/>
        <v>Sale</v>
      </c>
      <c r="D3050" s="1">
        <v>22794.0</v>
      </c>
      <c r="E3050" s="1" t="str">
        <f>IFERROR(__xludf.DUMMYFUNCTION("IF(LEN(D3050)&gt;4, IFERROR(REGEXEXTRACT(TO_TEXT(D3050),""\d+""),""""),"""")"),"22794")</f>
        <v>22794</v>
      </c>
      <c r="F3050" s="6" t="str">
        <f t="shared" si="3"/>
        <v>Product</v>
      </c>
      <c r="G3050" s="1" t="s">
        <v>792</v>
      </c>
      <c r="H3050" s="6" t="str">
        <f>IFERROR(__xludf.DUMMYFUNCTION("IF(REGEXMATCH(LOWER(G3050), ""^(\?)+\s*(missing)?\s*(\?)*$""), """", PROPER(SUBSTITUTE(SUBSTITUTE(G3050, ""?"", """"), ""*"", """")))"),"Sweetheart Wire Magazine Rack")</f>
        <v>Sweetheart Wire Magazine Rack</v>
      </c>
      <c r="I3050" s="3">
        <v>2.0</v>
      </c>
      <c r="J3050" s="7">
        <v>40885.74791666667</v>
      </c>
      <c r="K3050" s="8" t="str">
        <f t="shared" si="4"/>
        <v>2011-12</v>
      </c>
      <c r="L3050" s="5">
        <v>7.95</v>
      </c>
      <c r="M3050" s="3">
        <v>17144.0</v>
      </c>
      <c r="N3050" s="1" t="str">
        <f t="shared" si="5"/>
        <v>Registered</v>
      </c>
      <c r="O3050" s="1" t="s">
        <v>19</v>
      </c>
      <c r="P3050" s="9" t="str">
        <f t="shared" si="6"/>
        <v>UK</v>
      </c>
      <c r="Q3050" s="8">
        <f t="shared" si="7"/>
        <v>15.9</v>
      </c>
    </row>
    <row r="3051">
      <c r="A3051" s="1">
        <v>581451.0</v>
      </c>
      <c r="B3051" s="1" t="str">
        <f t="shared" si="1"/>
        <v>581451</v>
      </c>
      <c r="C3051" s="1" t="str">
        <f t="shared" si="2"/>
        <v>Sale</v>
      </c>
      <c r="D3051" s="1">
        <v>22960.0</v>
      </c>
      <c r="E3051" s="1" t="str">
        <f>IFERROR(__xludf.DUMMYFUNCTION("IF(LEN(D3051)&gt;4, IFERROR(REGEXEXTRACT(TO_TEXT(D3051),""\d+""),""""),"""")"),"22960")</f>
        <v>22960</v>
      </c>
      <c r="F3051" s="6" t="str">
        <f t="shared" si="3"/>
        <v>Product</v>
      </c>
      <c r="G3051" s="1" t="s">
        <v>43</v>
      </c>
      <c r="H3051" s="6" t="str">
        <f>IFERROR(__xludf.DUMMYFUNCTION("IF(REGEXMATCH(LOWER(G3051), ""^(\?)+\s*(missing)?\s*(\?)*$""), """", PROPER(SUBSTITUTE(SUBSTITUTE(G3051, ""?"", """"), ""*"", """")))"),"Jam Making Set With Jars")</f>
        <v>Jam Making Set With Jars</v>
      </c>
      <c r="I3051" s="3">
        <v>6.0</v>
      </c>
      <c r="J3051" s="7">
        <v>40885.74791666667</v>
      </c>
      <c r="K3051" s="8" t="str">
        <f t="shared" si="4"/>
        <v>2011-12</v>
      </c>
      <c r="L3051" s="5">
        <v>4.25</v>
      </c>
      <c r="M3051" s="3">
        <v>17144.0</v>
      </c>
      <c r="N3051" s="1" t="str">
        <f t="shared" si="5"/>
        <v>Registered</v>
      </c>
      <c r="O3051" s="1" t="s">
        <v>19</v>
      </c>
      <c r="P3051" s="9" t="str">
        <f t="shared" si="6"/>
        <v>UK</v>
      </c>
      <c r="Q3051" s="8">
        <f t="shared" si="7"/>
        <v>25.5</v>
      </c>
    </row>
    <row r="3052">
      <c r="A3052" s="1">
        <v>581451.0</v>
      </c>
      <c r="B3052" s="1" t="str">
        <f t="shared" si="1"/>
        <v>581451</v>
      </c>
      <c r="C3052" s="1" t="str">
        <f t="shared" si="2"/>
        <v>Sale</v>
      </c>
      <c r="D3052" s="1">
        <v>23575.0</v>
      </c>
      <c r="E3052" s="1" t="str">
        <f>IFERROR(__xludf.DUMMYFUNCTION("IF(LEN(D3052)&gt;4, IFERROR(REGEXEXTRACT(TO_TEXT(D3052),""\d+""),""""),"""")"),"23575")</f>
        <v>23575</v>
      </c>
      <c r="F3052" s="6" t="str">
        <f t="shared" si="3"/>
        <v>Product</v>
      </c>
      <c r="G3052" s="1" t="s">
        <v>1430</v>
      </c>
      <c r="H3052" s="6" t="str">
        <f>IFERROR(__xludf.DUMMYFUNCTION("IF(REGEXMATCH(LOWER(G3052), ""^(\?)+\s*(missing)?\s*(\?)*$""), """", PROPER(SUBSTITUTE(SUBSTITUTE(G3052, ""?"", """"), ""*"", """")))"),"Snack Tray Paisley Park")</f>
        <v>Snack Tray Paisley Park</v>
      </c>
      <c r="I3052" s="3">
        <v>8.0</v>
      </c>
      <c r="J3052" s="7">
        <v>40885.74791666667</v>
      </c>
      <c r="K3052" s="8" t="str">
        <f t="shared" si="4"/>
        <v>2011-12</v>
      </c>
      <c r="L3052" s="5">
        <v>1.95</v>
      </c>
      <c r="M3052" s="3">
        <v>17144.0</v>
      </c>
      <c r="N3052" s="1" t="str">
        <f t="shared" si="5"/>
        <v>Registered</v>
      </c>
      <c r="O3052" s="1" t="s">
        <v>19</v>
      </c>
      <c r="P3052" s="9" t="str">
        <f t="shared" si="6"/>
        <v>UK</v>
      </c>
      <c r="Q3052" s="8">
        <f t="shared" si="7"/>
        <v>15.6</v>
      </c>
    </row>
    <row r="3053">
      <c r="A3053" s="1">
        <v>581451.0</v>
      </c>
      <c r="B3053" s="1" t="str">
        <f t="shared" si="1"/>
        <v>581451</v>
      </c>
      <c r="C3053" s="1" t="str">
        <f t="shared" si="2"/>
        <v>Sale</v>
      </c>
      <c r="D3053" s="1">
        <v>23576.0</v>
      </c>
      <c r="E3053" s="1" t="str">
        <f>IFERROR(__xludf.DUMMYFUNCTION("IF(LEN(D3053)&gt;4, IFERROR(REGEXEXTRACT(TO_TEXT(D3053),""\d+""),""""),"""")"),"23576")</f>
        <v>23576</v>
      </c>
      <c r="F3053" s="6" t="str">
        <f t="shared" si="3"/>
        <v>Product</v>
      </c>
      <c r="G3053" s="1" t="s">
        <v>1431</v>
      </c>
      <c r="H3053" s="6" t="str">
        <f>IFERROR(__xludf.DUMMYFUNCTION("IF(REGEXMATCH(LOWER(G3053), ""^(\?)+\s*(missing)?\s*(\?)*$""), """", PROPER(SUBSTITUTE(SUBSTITUTE(G3053, ""?"", """"), ""*"", """")))"),"Snack Tray Red Vintage Doily")</f>
        <v>Snack Tray Red Vintage Doily</v>
      </c>
      <c r="I3053" s="3">
        <v>8.0</v>
      </c>
      <c r="J3053" s="7">
        <v>40885.74791666667</v>
      </c>
      <c r="K3053" s="8" t="str">
        <f t="shared" si="4"/>
        <v>2011-12</v>
      </c>
      <c r="L3053" s="5">
        <v>1.95</v>
      </c>
      <c r="M3053" s="3">
        <v>17144.0</v>
      </c>
      <c r="N3053" s="1" t="str">
        <f t="shared" si="5"/>
        <v>Registered</v>
      </c>
      <c r="O3053" s="1" t="s">
        <v>19</v>
      </c>
      <c r="P3053" s="9" t="str">
        <f t="shared" si="6"/>
        <v>UK</v>
      </c>
      <c r="Q3053" s="8">
        <f t="shared" si="7"/>
        <v>15.6</v>
      </c>
    </row>
    <row r="3054">
      <c r="A3054" s="1">
        <v>581451.0</v>
      </c>
      <c r="B3054" s="1" t="str">
        <f t="shared" si="1"/>
        <v>581451</v>
      </c>
      <c r="C3054" s="1" t="str">
        <f t="shared" si="2"/>
        <v>Sale</v>
      </c>
      <c r="D3054" s="1">
        <v>23583.0</v>
      </c>
      <c r="E3054" s="1" t="str">
        <f>IFERROR(__xludf.DUMMYFUNCTION("IF(LEN(D3054)&gt;4, IFERROR(REGEXEXTRACT(TO_TEXT(D3054),""\d+""),""""),"""")"),"23583")</f>
        <v>23583</v>
      </c>
      <c r="F3054" s="6" t="str">
        <f t="shared" si="3"/>
        <v>Product</v>
      </c>
      <c r="G3054" s="1" t="s">
        <v>1432</v>
      </c>
      <c r="H3054" s="6" t="str">
        <f>IFERROR(__xludf.DUMMYFUNCTION("IF(REGEXMATCH(LOWER(G3054), ""^(\?)+\s*(missing)?\s*(\?)*$""), """", PROPER(SUBSTITUTE(SUBSTITUTE(G3054, ""?"", """"), ""*"", """")))"),"Lunch Bag Paisley Park")</f>
        <v>Lunch Bag Paisley Park</v>
      </c>
      <c r="I3054" s="3">
        <v>10.0</v>
      </c>
      <c r="J3054" s="7">
        <v>40885.74791666667</v>
      </c>
      <c r="K3054" s="8" t="str">
        <f t="shared" si="4"/>
        <v>2011-12</v>
      </c>
      <c r="L3054" s="5">
        <v>1.65</v>
      </c>
      <c r="M3054" s="3">
        <v>17144.0</v>
      </c>
      <c r="N3054" s="1" t="str">
        <f t="shared" si="5"/>
        <v>Registered</v>
      </c>
      <c r="O3054" s="1" t="s">
        <v>19</v>
      </c>
      <c r="P3054" s="9" t="str">
        <f t="shared" si="6"/>
        <v>UK</v>
      </c>
      <c r="Q3054" s="8">
        <f t="shared" si="7"/>
        <v>16.5</v>
      </c>
    </row>
    <row r="3055">
      <c r="A3055" s="1">
        <v>581451.0</v>
      </c>
      <c r="B3055" s="1" t="str">
        <f t="shared" si="1"/>
        <v>581451</v>
      </c>
      <c r="C3055" s="1" t="str">
        <f t="shared" si="2"/>
        <v>Sale</v>
      </c>
      <c r="D3055" s="1">
        <v>23697.0</v>
      </c>
      <c r="E3055" s="1" t="str">
        <f>IFERROR(__xludf.DUMMYFUNCTION("IF(LEN(D3055)&gt;4, IFERROR(REGEXEXTRACT(TO_TEXT(D3055),""\d+""),""""),"""")"),"23697")</f>
        <v>23697</v>
      </c>
      <c r="F3055" s="6" t="str">
        <f t="shared" si="3"/>
        <v>Product</v>
      </c>
      <c r="G3055" s="1" t="s">
        <v>1433</v>
      </c>
      <c r="H3055" s="6" t="str">
        <f>IFERROR(__xludf.DUMMYFUNCTION("IF(REGEXMATCH(LOWER(G3055), ""^(\?)+\s*(missing)?\s*(\?)*$""), """", PROPER(SUBSTITUTE(SUBSTITUTE(G3055, ""?"", """"), ""*"", """")))"),"A Pretty Thank You Card")</f>
        <v>A Pretty Thank You Card</v>
      </c>
      <c r="I3055" s="3">
        <v>12.0</v>
      </c>
      <c r="J3055" s="7">
        <v>40885.74791666667</v>
      </c>
      <c r="K3055" s="8" t="str">
        <f t="shared" si="4"/>
        <v>2011-12</v>
      </c>
      <c r="L3055" s="5">
        <v>0.42</v>
      </c>
      <c r="M3055" s="3">
        <v>17144.0</v>
      </c>
      <c r="N3055" s="1" t="str">
        <f t="shared" si="5"/>
        <v>Registered</v>
      </c>
      <c r="O3055" s="1" t="s">
        <v>19</v>
      </c>
      <c r="P3055" s="9" t="str">
        <f t="shared" si="6"/>
        <v>UK</v>
      </c>
      <c r="Q3055" s="8">
        <f t="shared" si="7"/>
        <v>5.04</v>
      </c>
    </row>
    <row r="3056">
      <c r="A3056" s="1">
        <v>581451.0</v>
      </c>
      <c r="B3056" s="1" t="str">
        <f t="shared" si="1"/>
        <v>581451</v>
      </c>
      <c r="C3056" s="1" t="str">
        <f t="shared" si="2"/>
        <v>Sale</v>
      </c>
      <c r="D3056" s="1">
        <v>48129.0</v>
      </c>
      <c r="E3056" s="1" t="str">
        <f>IFERROR(__xludf.DUMMYFUNCTION("IF(LEN(D3056)&gt;4, IFERROR(REGEXEXTRACT(TO_TEXT(D3056),""\d+""),""""),"""")"),"48129")</f>
        <v>48129</v>
      </c>
      <c r="F3056" s="6" t="str">
        <f t="shared" si="3"/>
        <v>Product</v>
      </c>
      <c r="G3056" s="1" t="s">
        <v>295</v>
      </c>
      <c r="H3056" s="6" t="str">
        <f>IFERROR(__xludf.DUMMYFUNCTION("IF(REGEXMATCH(LOWER(G3056), ""^(\?)+\s*(missing)?\s*(\?)*$""), """", PROPER(SUBSTITUTE(SUBSTITUTE(G3056, ""?"", """"), ""*"", """")))"),"Doormat Topiary")</f>
        <v>Doormat Topiary</v>
      </c>
      <c r="I3056" s="3">
        <v>2.0</v>
      </c>
      <c r="J3056" s="7">
        <v>40885.74791666667</v>
      </c>
      <c r="K3056" s="8" t="str">
        <f t="shared" si="4"/>
        <v>2011-12</v>
      </c>
      <c r="L3056" s="5">
        <v>8.25</v>
      </c>
      <c r="M3056" s="3">
        <v>17144.0</v>
      </c>
      <c r="N3056" s="1" t="str">
        <f t="shared" si="5"/>
        <v>Registered</v>
      </c>
      <c r="O3056" s="1" t="s">
        <v>19</v>
      </c>
      <c r="P3056" s="9" t="str">
        <f t="shared" si="6"/>
        <v>UK</v>
      </c>
      <c r="Q3056" s="8">
        <f t="shared" si="7"/>
        <v>16.5</v>
      </c>
    </row>
    <row r="3057">
      <c r="A3057" s="1">
        <v>581451.0</v>
      </c>
      <c r="B3057" s="1" t="str">
        <f t="shared" si="1"/>
        <v>581451</v>
      </c>
      <c r="C3057" s="1" t="str">
        <f t="shared" si="2"/>
        <v>Sale</v>
      </c>
      <c r="D3057" s="1">
        <v>48187.0</v>
      </c>
      <c r="E3057" s="1" t="str">
        <f>IFERROR(__xludf.DUMMYFUNCTION("IF(LEN(D3057)&gt;4, IFERROR(REGEXEXTRACT(TO_TEXT(D3057),""\d+""),""""),"""")"),"48187")</f>
        <v>48187</v>
      </c>
      <c r="F3057" s="6" t="str">
        <f t="shared" si="3"/>
        <v>Product</v>
      </c>
      <c r="G3057" s="1" t="s">
        <v>42</v>
      </c>
      <c r="H3057" s="6" t="str">
        <f>IFERROR(__xludf.DUMMYFUNCTION("IF(REGEXMATCH(LOWER(G3057), ""^(\?)+\s*(missing)?\s*(\?)*$""), """", PROPER(SUBSTITUTE(SUBSTITUTE(G3057, ""?"", """"), ""*"", """")))"),"Doormat New England")</f>
        <v>Doormat New England</v>
      </c>
      <c r="I3057" s="3">
        <v>2.0</v>
      </c>
      <c r="J3057" s="7">
        <v>40885.74791666667</v>
      </c>
      <c r="K3057" s="8" t="str">
        <f t="shared" si="4"/>
        <v>2011-12</v>
      </c>
      <c r="L3057" s="5">
        <v>8.25</v>
      </c>
      <c r="M3057" s="3">
        <v>17144.0</v>
      </c>
      <c r="N3057" s="1" t="str">
        <f t="shared" si="5"/>
        <v>Registered</v>
      </c>
      <c r="O3057" s="1" t="s">
        <v>19</v>
      </c>
      <c r="P3057" s="9" t="str">
        <f t="shared" si="6"/>
        <v>UK</v>
      </c>
      <c r="Q3057" s="8">
        <f t="shared" si="7"/>
        <v>16.5</v>
      </c>
    </row>
    <row r="3058">
      <c r="A3058" s="1">
        <v>581451.0</v>
      </c>
      <c r="B3058" s="1" t="str">
        <f t="shared" si="1"/>
        <v>581451</v>
      </c>
      <c r="C3058" s="1" t="str">
        <f t="shared" si="2"/>
        <v>Sale</v>
      </c>
      <c r="D3058" s="1" t="s">
        <v>25</v>
      </c>
      <c r="E3058" s="1" t="str">
        <f>IFERROR(__xludf.DUMMYFUNCTION("IF(LEN(D3058)&gt;4, IFERROR(REGEXEXTRACT(TO_TEXT(D3058),""\d+""),""""),"""")"),"84029")</f>
        <v>84029</v>
      </c>
      <c r="F3058" s="6" t="str">
        <f t="shared" si="3"/>
        <v>Product</v>
      </c>
      <c r="G3058" s="1" t="s">
        <v>26</v>
      </c>
      <c r="H3058" s="6" t="str">
        <f>IFERROR(__xludf.DUMMYFUNCTION("IF(REGEXMATCH(LOWER(G3058), ""^(\?)+\s*(missing)?\s*(\?)*$""), """", PROPER(SUBSTITUTE(SUBSTITUTE(G3058, ""?"", """"), ""*"", """")))"),"Red Woolly Hottie White Heart.")</f>
        <v>Red Woolly Hottie White Heart.</v>
      </c>
      <c r="I3058" s="3">
        <v>4.0</v>
      </c>
      <c r="J3058" s="7">
        <v>40885.74791666667</v>
      </c>
      <c r="K3058" s="8" t="str">
        <f t="shared" si="4"/>
        <v>2011-12</v>
      </c>
      <c r="L3058" s="5">
        <v>4.25</v>
      </c>
      <c r="M3058" s="3">
        <v>17144.0</v>
      </c>
      <c r="N3058" s="1" t="str">
        <f t="shared" si="5"/>
        <v>Registered</v>
      </c>
      <c r="O3058" s="1" t="s">
        <v>19</v>
      </c>
      <c r="P3058" s="9" t="str">
        <f t="shared" si="6"/>
        <v>UK</v>
      </c>
      <c r="Q3058" s="8">
        <f t="shared" si="7"/>
        <v>17</v>
      </c>
    </row>
    <row r="3059">
      <c r="A3059" s="1">
        <v>581452.0</v>
      </c>
      <c r="B3059" s="1" t="str">
        <f t="shared" si="1"/>
        <v>581452</v>
      </c>
      <c r="C3059" s="1" t="str">
        <f t="shared" si="2"/>
        <v>Sale</v>
      </c>
      <c r="D3059" s="1">
        <v>21175.0</v>
      </c>
      <c r="E3059" s="1" t="str">
        <f>IFERROR(__xludf.DUMMYFUNCTION("IF(LEN(D3059)&gt;4, IFERROR(REGEXEXTRACT(TO_TEXT(D3059),""\d+""),""""),"""")"),"21175")</f>
        <v>21175</v>
      </c>
      <c r="F3059" s="6" t="str">
        <f t="shared" si="3"/>
        <v>Product</v>
      </c>
      <c r="G3059" s="1" t="s">
        <v>1434</v>
      </c>
      <c r="H3059" s="6" t="str">
        <f>IFERROR(__xludf.DUMMYFUNCTION("IF(REGEXMATCH(LOWER(G3059), ""^(\?)+\s*(missing)?\s*(\?)*$""), """", PROPER(SUBSTITUTE(SUBSTITUTE(G3059, ""?"", """"), ""*"", """")))"),"Gin And Tonic Diet Metal Sign")</f>
        <v>Gin And Tonic Diet Metal Sign</v>
      </c>
      <c r="I3059" s="3">
        <v>24.0</v>
      </c>
      <c r="J3059" s="7">
        <v>40885.75208333333</v>
      </c>
      <c r="K3059" s="8" t="str">
        <f t="shared" si="4"/>
        <v>2011-12</v>
      </c>
      <c r="L3059" s="5">
        <v>2.55</v>
      </c>
      <c r="M3059" s="3">
        <v>17675.0</v>
      </c>
      <c r="N3059" s="1" t="str">
        <f t="shared" si="5"/>
        <v>Registered</v>
      </c>
      <c r="O3059" s="1" t="s">
        <v>19</v>
      </c>
      <c r="P3059" s="9" t="str">
        <f t="shared" si="6"/>
        <v>UK</v>
      </c>
      <c r="Q3059" s="8">
        <f t="shared" si="7"/>
        <v>61.2</v>
      </c>
    </row>
    <row r="3060">
      <c r="A3060" s="1">
        <v>581452.0</v>
      </c>
      <c r="B3060" s="1" t="str">
        <f t="shared" si="1"/>
        <v>581452</v>
      </c>
      <c r="C3060" s="1" t="str">
        <f t="shared" si="2"/>
        <v>Sale</v>
      </c>
      <c r="D3060" s="1">
        <v>21181.0</v>
      </c>
      <c r="E3060" s="1" t="str">
        <f>IFERROR(__xludf.DUMMYFUNCTION("IF(LEN(D3060)&gt;4, IFERROR(REGEXEXTRACT(TO_TEXT(D3060),""\d+""),""""),"""")"),"21181")</f>
        <v>21181</v>
      </c>
      <c r="F3060" s="6" t="str">
        <f t="shared" si="3"/>
        <v>Product</v>
      </c>
      <c r="G3060" s="1" t="s">
        <v>776</v>
      </c>
      <c r="H3060" s="6" t="str">
        <f>IFERROR(__xludf.DUMMYFUNCTION("IF(REGEXMATCH(LOWER(G3060), ""^(\?)+\s*(missing)?\s*(\?)*$""), """", PROPER(SUBSTITUTE(SUBSTITUTE(G3060, ""?"", """"), ""*"", """")))"),"Please One Person Metal Sign")</f>
        <v>Please One Person Metal Sign</v>
      </c>
      <c r="I3060" s="3">
        <v>36.0</v>
      </c>
      <c r="J3060" s="7">
        <v>40885.75208333333</v>
      </c>
      <c r="K3060" s="8" t="str">
        <f t="shared" si="4"/>
        <v>2011-12</v>
      </c>
      <c r="L3060" s="5">
        <v>2.1</v>
      </c>
      <c r="M3060" s="3">
        <v>17675.0</v>
      </c>
      <c r="N3060" s="1" t="str">
        <f t="shared" si="5"/>
        <v>Registered</v>
      </c>
      <c r="O3060" s="1" t="s">
        <v>19</v>
      </c>
      <c r="P3060" s="9" t="str">
        <f t="shared" si="6"/>
        <v>UK</v>
      </c>
      <c r="Q3060" s="8">
        <f t="shared" si="7"/>
        <v>75.6</v>
      </c>
    </row>
    <row r="3061">
      <c r="A3061" s="1">
        <v>581452.0</v>
      </c>
      <c r="B3061" s="1" t="str">
        <f t="shared" si="1"/>
        <v>581452</v>
      </c>
      <c r="C3061" s="1" t="str">
        <f t="shared" si="2"/>
        <v>Sale</v>
      </c>
      <c r="D3061" s="1">
        <v>22075.0</v>
      </c>
      <c r="E3061" s="1" t="str">
        <f>IFERROR(__xludf.DUMMYFUNCTION("IF(LEN(D3061)&gt;4, IFERROR(REGEXEXTRACT(TO_TEXT(D3061),""\d+""),""""),"""")"),"22075")</f>
        <v>22075</v>
      </c>
      <c r="F3061" s="6" t="str">
        <f t="shared" si="3"/>
        <v>Product</v>
      </c>
      <c r="G3061" s="1" t="s">
        <v>419</v>
      </c>
      <c r="H3061" s="6" t="str">
        <f>IFERROR(__xludf.DUMMYFUNCTION("IF(REGEXMATCH(LOWER(G3061), ""^(\?)+\s*(missing)?\s*(\?)*$""), """", PROPER(SUBSTITUTE(SUBSTITUTE(G3061, ""?"", """"), ""*"", """")))"),"6 Ribbons Elegant Christmas")</f>
        <v>6 Ribbons Elegant Christmas</v>
      </c>
      <c r="I3061" s="3">
        <v>24.0</v>
      </c>
      <c r="J3061" s="7">
        <v>40885.75208333333</v>
      </c>
      <c r="K3061" s="8" t="str">
        <f t="shared" si="4"/>
        <v>2011-12</v>
      </c>
      <c r="L3061" s="5">
        <v>0.39</v>
      </c>
      <c r="M3061" s="3">
        <v>17675.0</v>
      </c>
      <c r="N3061" s="1" t="str">
        <f t="shared" si="5"/>
        <v>Registered</v>
      </c>
      <c r="O3061" s="1" t="s">
        <v>19</v>
      </c>
      <c r="P3061" s="9" t="str">
        <f t="shared" si="6"/>
        <v>UK</v>
      </c>
      <c r="Q3061" s="8">
        <f t="shared" si="7"/>
        <v>9.36</v>
      </c>
    </row>
    <row r="3062">
      <c r="A3062" s="1">
        <v>581452.0</v>
      </c>
      <c r="B3062" s="1" t="str">
        <f t="shared" si="1"/>
        <v>581452</v>
      </c>
      <c r="C3062" s="1" t="str">
        <f t="shared" si="2"/>
        <v>Sale</v>
      </c>
      <c r="D3062" s="1">
        <v>22086.0</v>
      </c>
      <c r="E3062" s="1" t="str">
        <f>IFERROR(__xludf.DUMMYFUNCTION("IF(LEN(D3062)&gt;4, IFERROR(REGEXEXTRACT(TO_TEXT(D3062),""\d+""),""""),"""")"),"22086")</f>
        <v>22086</v>
      </c>
      <c r="F3062" s="6" t="str">
        <f t="shared" si="3"/>
        <v>Product</v>
      </c>
      <c r="G3062" s="1" t="s">
        <v>70</v>
      </c>
      <c r="H3062" s="6" t="str">
        <f>IFERROR(__xludf.DUMMYFUNCTION("IF(REGEXMATCH(LOWER(G3062), ""^(\?)+\s*(missing)?\s*(\?)*$""), """", PROPER(SUBSTITUTE(SUBSTITUTE(G3062, ""?"", """"), ""*"", """")))"),"Paper Chain Kit 50'S Christmas")</f>
        <v>Paper Chain Kit 50'S Christmas</v>
      </c>
      <c r="I3062" s="3">
        <v>40.0</v>
      </c>
      <c r="J3062" s="7">
        <v>40885.75208333333</v>
      </c>
      <c r="K3062" s="8" t="str">
        <f t="shared" si="4"/>
        <v>2011-12</v>
      </c>
      <c r="L3062" s="5">
        <v>2.55</v>
      </c>
      <c r="M3062" s="3">
        <v>17675.0</v>
      </c>
      <c r="N3062" s="1" t="str">
        <f t="shared" si="5"/>
        <v>Registered</v>
      </c>
      <c r="O3062" s="1" t="s">
        <v>19</v>
      </c>
      <c r="P3062" s="9" t="str">
        <f t="shared" si="6"/>
        <v>UK</v>
      </c>
      <c r="Q3062" s="8">
        <f t="shared" si="7"/>
        <v>102</v>
      </c>
    </row>
    <row r="3063">
      <c r="A3063" s="1">
        <v>581452.0</v>
      </c>
      <c r="B3063" s="1" t="str">
        <f t="shared" si="1"/>
        <v>581452</v>
      </c>
      <c r="C3063" s="1" t="str">
        <f t="shared" si="2"/>
        <v>Sale</v>
      </c>
      <c r="D3063" s="1">
        <v>22191.0</v>
      </c>
      <c r="E3063" s="1" t="str">
        <f>IFERROR(__xludf.DUMMYFUNCTION("IF(LEN(D3063)&gt;4, IFERROR(REGEXEXTRACT(TO_TEXT(D3063),""\d+""),""""),"""")"),"22191")</f>
        <v>22191</v>
      </c>
      <c r="F3063" s="6" t="str">
        <f t="shared" si="3"/>
        <v>Product</v>
      </c>
      <c r="G3063" s="1" t="s">
        <v>207</v>
      </c>
      <c r="H3063" s="6" t="str">
        <f>IFERROR(__xludf.DUMMYFUNCTION("IF(REGEXMATCH(LOWER(G3063), ""^(\?)+\s*(missing)?\s*(\?)*$""), """", PROPER(SUBSTITUTE(SUBSTITUTE(G3063, ""?"", """"), ""*"", """")))"),"Ivory Diner Wall Clock")</f>
        <v>Ivory Diner Wall Clock</v>
      </c>
      <c r="I3063" s="3">
        <v>2.0</v>
      </c>
      <c r="J3063" s="7">
        <v>40885.75208333333</v>
      </c>
      <c r="K3063" s="8" t="str">
        <f t="shared" si="4"/>
        <v>2011-12</v>
      </c>
      <c r="L3063" s="5">
        <v>8.5</v>
      </c>
      <c r="M3063" s="3">
        <v>17675.0</v>
      </c>
      <c r="N3063" s="1" t="str">
        <f t="shared" si="5"/>
        <v>Registered</v>
      </c>
      <c r="O3063" s="1" t="s">
        <v>19</v>
      </c>
      <c r="P3063" s="9" t="str">
        <f t="shared" si="6"/>
        <v>UK</v>
      </c>
      <c r="Q3063" s="8">
        <f t="shared" si="7"/>
        <v>17</v>
      </c>
    </row>
    <row r="3064">
      <c r="A3064" s="1">
        <v>581452.0</v>
      </c>
      <c r="B3064" s="1" t="str">
        <f t="shared" si="1"/>
        <v>581452</v>
      </c>
      <c r="C3064" s="1" t="str">
        <f t="shared" si="2"/>
        <v>Sale</v>
      </c>
      <c r="D3064" s="1">
        <v>22192.0</v>
      </c>
      <c r="E3064" s="1" t="str">
        <f>IFERROR(__xludf.DUMMYFUNCTION("IF(LEN(D3064)&gt;4, IFERROR(REGEXEXTRACT(TO_TEXT(D3064),""\d+""),""""),"""")"),"22192")</f>
        <v>22192</v>
      </c>
      <c r="F3064" s="6" t="str">
        <f t="shared" si="3"/>
        <v>Product</v>
      </c>
      <c r="G3064" s="1" t="s">
        <v>206</v>
      </c>
      <c r="H3064" s="6" t="str">
        <f>IFERROR(__xludf.DUMMYFUNCTION("IF(REGEXMATCH(LOWER(G3064), ""^(\?)+\s*(missing)?\s*(\?)*$""), """", PROPER(SUBSTITUTE(SUBSTITUTE(G3064, ""?"", """"), ""*"", """")))"),"Blue Diner Wall Clock")</f>
        <v>Blue Diner Wall Clock</v>
      </c>
      <c r="I3064" s="3">
        <v>2.0</v>
      </c>
      <c r="J3064" s="7">
        <v>40885.75208333333</v>
      </c>
      <c r="K3064" s="8" t="str">
        <f t="shared" si="4"/>
        <v>2011-12</v>
      </c>
      <c r="L3064" s="5">
        <v>8.5</v>
      </c>
      <c r="M3064" s="3">
        <v>17675.0</v>
      </c>
      <c r="N3064" s="1" t="str">
        <f t="shared" si="5"/>
        <v>Registered</v>
      </c>
      <c r="O3064" s="1" t="s">
        <v>19</v>
      </c>
      <c r="P3064" s="9" t="str">
        <f t="shared" si="6"/>
        <v>UK</v>
      </c>
      <c r="Q3064" s="8">
        <f t="shared" si="7"/>
        <v>17</v>
      </c>
    </row>
    <row r="3065">
      <c r="A3065" s="1">
        <v>581452.0</v>
      </c>
      <c r="B3065" s="1" t="str">
        <f t="shared" si="1"/>
        <v>581452</v>
      </c>
      <c r="C3065" s="1" t="str">
        <f t="shared" si="2"/>
        <v>Sale</v>
      </c>
      <c r="D3065" s="1">
        <v>22509.0</v>
      </c>
      <c r="E3065" s="1" t="str">
        <f>IFERROR(__xludf.DUMMYFUNCTION("IF(LEN(D3065)&gt;4, IFERROR(REGEXEXTRACT(TO_TEXT(D3065),""\d+""),""""),"""")"),"22509")</f>
        <v>22509</v>
      </c>
      <c r="F3065" s="6" t="str">
        <f t="shared" si="3"/>
        <v>Product</v>
      </c>
      <c r="G3065" s="1" t="s">
        <v>1435</v>
      </c>
      <c r="H3065" s="6" t="str">
        <f>IFERROR(__xludf.DUMMYFUNCTION("IF(REGEXMATCH(LOWER(G3065), ""^(\?)+\s*(missing)?\s*(\?)*$""), """", PROPER(SUBSTITUTE(SUBSTITUTE(G3065, ""?"", """"), ""*"", """")))"),"Sewing Box Retrospot Design")</f>
        <v>Sewing Box Retrospot Design</v>
      </c>
      <c r="I3065" s="3">
        <v>4.0</v>
      </c>
      <c r="J3065" s="7">
        <v>40885.75208333333</v>
      </c>
      <c r="K3065" s="8" t="str">
        <f t="shared" si="4"/>
        <v>2011-12</v>
      </c>
      <c r="L3065" s="5">
        <v>3.95</v>
      </c>
      <c r="M3065" s="3">
        <v>17675.0</v>
      </c>
      <c r="N3065" s="1" t="str">
        <f t="shared" si="5"/>
        <v>Registered</v>
      </c>
      <c r="O3065" s="1" t="s">
        <v>19</v>
      </c>
      <c r="P3065" s="9" t="str">
        <f t="shared" si="6"/>
        <v>UK</v>
      </c>
      <c r="Q3065" s="8">
        <f t="shared" si="7"/>
        <v>15.8</v>
      </c>
    </row>
    <row r="3066">
      <c r="A3066" s="1">
        <v>581452.0</v>
      </c>
      <c r="B3066" s="1" t="str">
        <f t="shared" si="1"/>
        <v>581452</v>
      </c>
      <c r="C3066" s="1" t="str">
        <f t="shared" si="2"/>
        <v>Sale</v>
      </c>
      <c r="D3066" s="1">
        <v>22633.0</v>
      </c>
      <c r="E3066" s="1" t="str">
        <f>IFERROR(__xludf.DUMMYFUNCTION("IF(LEN(D3066)&gt;4, IFERROR(REGEXEXTRACT(TO_TEXT(D3066),""\d+""),""""),"""")"),"22633")</f>
        <v>22633</v>
      </c>
      <c r="F3066" s="6" t="str">
        <f t="shared" si="3"/>
        <v>Product</v>
      </c>
      <c r="G3066" s="1" t="s">
        <v>29</v>
      </c>
      <c r="H3066" s="6" t="str">
        <f>IFERROR(__xludf.DUMMYFUNCTION("IF(REGEXMATCH(LOWER(G3066), ""^(\?)+\s*(missing)?\s*(\?)*$""), """", PROPER(SUBSTITUTE(SUBSTITUTE(G3066, ""?"", """"), ""*"", """")))"),"Hand Warmer Union Jack")</f>
        <v>Hand Warmer Union Jack</v>
      </c>
      <c r="I3066" s="3">
        <v>12.0</v>
      </c>
      <c r="J3066" s="7">
        <v>40885.75208333333</v>
      </c>
      <c r="K3066" s="8" t="str">
        <f t="shared" si="4"/>
        <v>2011-12</v>
      </c>
      <c r="L3066" s="5">
        <v>2.1</v>
      </c>
      <c r="M3066" s="3">
        <v>17675.0</v>
      </c>
      <c r="N3066" s="1" t="str">
        <f t="shared" si="5"/>
        <v>Registered</v>
      </c>
      <c r="O3066" s="1" t="s">
        <v>19</v>
      </c>
      <c r="P3066" s="9" t="str">
        <f t="shared" si="6"/>
        <v>UK</v>
      </c>
      <c r="Q3066" s="8">
        <f t="shared" si="7"/>
        <v>25.2</v>
      </c>
    </row>
    <row r="3067">
      <c r="A3067" s="1">
        <v>581452.0</v>
      </c>
      <c r="B3067" s="1" t="str">
        <f t="shared" si="1"/>
        <v>581452</v>
      </c>
      <c r="C3067" s="1" t="str">
        <f t="shared" si="2"/>
        <v>Sale</v>
      </c>
      <c r="D3067" s="1">
        <v>22756.0</v>
      </c>
      <c r="E3067" s="1" t="str">
        <f>IFERROR(__xludf.DUMMYFUNCTION("IF(LEN(D3067)&gt;4, IFERROR(REGEXEXTRACT(TO_TEXT(D3067),""\d+""),""""),"""")"),"22756")</f>
        <v>22756</v>
      </c>
      <c r="F3067" s="6" t="str">
        <f t="shared" si="3"/>
        <v>Product</v>
      </c>
      <c r="G3067" s="1" t="s">
        <v>1436</v>
      </c>
      <c r="H3067" s="6" t="str">
        <f>IFERROR(__xludf.DUMMYFUNCTION("IF(REGEXMATCH(LOWER(G3067), ""^(\?)+\s*(missing)?\s*(\?)*$""), """", PROPER(SUBSTITUTE(SUBSTITUTE(G3067, ""?"", """"), ""*"", """")))"),"Large Yellow Babushka Notebook")</f>
        <v>Large Yellow Babushka Notebook</v>
      </c>
      <c r="I3067" s="3">
        <v>12.0</v>
      </c>
      <c r="J3067" s="7">
        <v>40885.75208333333</v>
      </c>
      <c r="K3067" s="8" t="str">
        <f t="shared" si="4"/>
        <v>2011-12</v>
      </c>
      <c r="L3067" s="5">
        <v>0.39</v>
      </c>
      <c r="M3067" s="3">
        <v>17675.0</v>
      </c>
      <c r="N3067" s="1" t="str">
        <f t="shared" si="5"/>
        <v>Registered</v>
      </c>
      <c r="O3067" s="1" t="s">
        <v>19</v>
      </c>
      <c r="P3067" s="9" t="str">
        <f t="shared" si="6"/>
        <v>UK</v>
      </c>
      <c r="Q3067" s="8">
        <f t="shared" si="7"/>
        <v>4.68</v>
      </c>
    </row>
    <row r="3068">
      <c r="A3068" s="1">
        <v>581452.0</v>
      </c>
      <c r="B3068" s="1" t="str">
        <f t="shared" si="1"/>
        <v>581452</v>
      </c>
      <c r="C3068" s="1" t="str">
        <f t="shared" si="2"/>
        <v>Sale</v>
      </c>
      <c r="D3068" s="1">
        <v>22757.0</v>
      </c>
      <c r="E3068" s="1" t="str">
        <f>IFERROR(__xludf.DUMMYFUNCTION("IF(LEN(D3068)&gt;4, IFERROR(REGEXEXTRACT(TO_TEXT(D3068),""\d+""),""""),"""")"),"22757")</f>
        <v>22757</v>
      </c>
      <c r="F3068" s="6" t="str">
        <f t="shared" si="3"/>
        <v>Product</v>
      </c>
      <c r="G3068" s="1" t="s">
        <v>1286</v>
      </c>
      <c r="H3068" s="6" t="str">
        <f>IFERROR(__xludf.DUMMYFUNCTION("IF(REGEXMATCH(LOWER(G3068), ""^(\?)+\s*(missing)?\s*(\?)*$""), """", PROPER(SUBSTITUTE(SUBSTITUTE(G3068, ""?"", """"), ""*"", """")))"),"Large Red Babushka Notebook")</f>
        <v>Large Red Babushka Notebook</v>
      </c>
      <c r="I3068" s="3">
        <v>12.0</v>
      </c>
      <c r="J3068" s="7">
        <v>40885.75208333333</v>
      </c>
      <c r="K3068" s="8" t="str">
        <f t="shared" si="4"/>
        <v>2011-12</v>
      </c>
      <c r="L3068" s="5">
        <v>0.39</v>
      </c>
      <c r="M3068" s="3">
        <v>17675.0</v>
      </c>
      <c r="N3068" s="1" t="str">
        <f t="shared" si="5"/>
        <v>Registered</v>
      </c>
      <c r="O3068" s="1" t="s">
        <v>19</v>
      </c>
      <c r="P3068" s="9" t="str">
        <f t="shared" si="6"/>
        <v>UK</v>
      </c>
      <c r="Q3068" s="8">
        <f t="shared" si="7"/>
        <v>4.68</v>
      </c>
    </row>
    <row r="3069">
      <c r="A3069" s="1">
        <v>581452.0</v>
      </c>
      <c r="B3069" s="1" t="str">
        <f t="shared" si="1"/>
        <v>581452</v>
      </c>
      <c r="C3069" s="1" t="str">
        <f t="shared" si="2"/>
        <v>Sale</v>
      </c>
      <c r="D3069" s="1">
        <v>22866.0</v>
      </c>
      <c r="E3069" s="1" t="str">
        <f>IFERROR(__xludf.DUMMYFUNCTION("IF(LEN(D3069)&gt;4, IFERROR(REGEXEXTRACT(TO_TEXT(D3069),""\d+""),""""),"""")"),"22866")</f>
        <v>22866</v>
      </c>
      <c r="F3069" s="6" t="str">
        <f t="shared" si="3"/>
        <v>Product</v>
      </c>
      <c r="G3069" s="1" t="s">
        <v>246</v>
      </c>
      <c r="H3069" s="6" t="str">
        <f>IFERROR(__xludf.DUMMYFUNCTION("IF(REGEXMATCH(LOWER(G3069), ""^(\?)+\s*(missing)?\s*(\?)*$""), """", PROPER(SUBSTITUTE(SUBSTITUTE(G3069, ""?"", """"), ""*"", """")))"),"Hand Warmer Scotty Dog Design")</f>
        <v>Hand Warmer Scotty Dog Design</v>
      </c>
      <c r="I3069" s="3">
        <v>24.0</v>
      </c>
      <c r="J3069" s="7">
        <v>40885.75208333333</v>
      </c>
      <c r="K3069" s="8" t="str">
        <f t="shared" si="4"/>
        <v>2011-12</v>
      </c>
      <c r="L3069" s="5">
        <v>2.1</v>
      </c>
      <c r="M3069" s="3">
        <v>17675.0</v>
      </c>
      <c r="N3069" s="1" t="str">
        <f t="shared" si="5"/>
        <v>Registered</v>
      </c>
      <c r="O3069" s="1" t="s">
        <v>19</v>
      </c>
      <c r="P3069" s="9" t="str">
        <f t="shared" si="6"/>
        <v>UK</v>
      </c>
      <c r="Q3069" s="8">
        <f t="shared" si="7"/>
        <v>50.4</v>
      </c>
    </row>
    <row r="3070">
      <c r="A3070" s="1">
        <v>581452.0</v>
      </c>
      <c r="B3070" s="1" t="str">
        <f t="shared" si="1"/>
        <v>581452</v>
      </c>
      <c r="C3070" s="1" t="str">
        <f t="shared" si="2"/>
        <v>Sale</v>
      </c>
      <c r="D3070" s="1">
        <v>22867.0</v>
      </c>
      <c r="E3070" s="1" t="str">
        <f>IFERROR(__xludf.DUMMYFUNCTION("IF(LEN(D3070)&gt;4, IFERROR(REGEXEXTRACT(TO_TEXT(D3070),""\d+""),""""),"""")"),"22867")</f>
        <v>22867</v>
      </c>
      <c r="F3070" s="6" t="str">
        <f t="shared" si="3"/>
        <v>Product</v>
      </c>
      <c r="G3070" s="1" t="s">
        <v>257</v>
      </c>
      <c r="H3070" s="6" t="str">
        <f>IFERROR(__xludf.DUMMYFUNCTION("IF(REGEXMATCH(LOWER(G3070), ""^(\?)+\s*(missing)?\s*(\?)*$""), """", PROPER(SUBSTITUTE(SUBSTITUTE(G3070, ""?"", """"), ""*"", """")))"),"Hand Warmer Bird Design")</f>
        <v>Hand Warmer Bird Design</v>
      </c>
      <c r="I3070" s="3">
        <v>36.0</v>
      </c>
      <c r="J3070" s="7">
        <v>40885.75208333333</v>
      </c>
      <c r="K3070" s="8" t="str">
        <f t="shared" si="4"/>
        <v>2011-12</v>
      </c>
      <c r="L3070" s="5">
        <v>2.1</v>
      </c>
      <c r="M3070" s="3">
        <v>17675.0</v>
      </c>
      <c r="N3070" s="1" t="str">
        <f t="shared" si="5"/>
        <v>Registered</v>
      </c>
      <c r="O3070" s="1" t="s">
        <v>19</v>
      </c>
      <c r="P3070" s="9" t="str">
        <f t="shared" si="6"/>
        <v>UK</v>
      </c>
      <c r="Q3070" s="8">
        <f t="shared" si="7"/>
        <v>75.6</v>
      </c>
    </row>
    <row r="3071">
      <c r="A3071" s="1">
        <v>581452.0</v>
      </c>
      <c r="B3071" s="1" t="str">
        <f t="shared" si="1"/>
        <v>581452</v>
      </c>
      <c r="C3071" s="1" t="str">
        <f t="shared" si="2"/>
        <v>Sale</v>
      </c>
      <c r="D3071" s="1">
        <v>23356.0</v>
      </c>
      <c r="E3071" s="1" t="str">
        <f>IFERROR(__xludf.DUMMYFUNCTION("IF(LEN(D3071)&gt;4, IFERROR(REGEXEXTRACT(TO_TEXT(D3071),""\d+""),""""),"""")"),"23356")</f>
        <v>23356</v>
      </c>
      <c r="F3071" s="6" t="str">
        <f t="shared" si="3"/>
        <v>Product</v>
      </c>
      <c r="G3071" s="1" t="s">
        <v>1437</v>
      </c>
      <c r="H3071" s="6" t="str">
        <f>IFERROR(__xludf.DUMMYFUNCTION("IF(REGEXMATCH(LOWER(G3071), ""^(\?)+\s*(missing)?\s*(\?)*$""), """", PROPER(SUBSTITUTE(SUBSTITUTE(G3071, ""?"", """"), ""*"", """")))"),"Love Hot Water Bottle")</f>
        <v>Love Hot Water Bottle</v>
      </c>
      <c r="I3071" s="3">
        <v>12.0</v>
      </c>
      <c r="J3071" s="7">
        <v>40885.75208333333</v>
      </c>
      <c r="K3071" s="8" t="str">
        <f t="shared" si="4"/>
        <v>2011-12</v>
      </c>
      <c r="L3071" s="5">
        <v>5.95</v>
      </c>
      <c r="M3071" s="3">
        <v>17675.0</v>
      </c>
      <c r="N3071" s="1" t="str">
        <f t="shared" si="5"/>
        <v>Registered</v>
      </c>
      <c r="O3071" s="1" t="s">
        <v>19</v>
      </c>
      <c r="P3071" s="9" t="str">
        <f t="shared" si="6"/>
        <v>UK</v>
      </c>
      <c r="Q3071" s="8">
        <f t="shared" si="7"/>
        <v>71.4</v>
      </c>
    </row>
    <row r="3072">
      <c r="A3072" s="1">
        <v>581452.0</v>
      </c>
      <c r="B3072" s="1" t="str">
        <f t="shared" si="1"/>
        <v>581452</v>
      </c>
      <c r="C3072" s="1" t="str">
        <f t="shared" si="2"/>
        <v>Sale</v>
      </c>
      <c r="D3072" s="1">
        <v>23439.0</v>
      </c>
      <c r="E3072" s="1" t="str">
        <f>IFERROR(__xludf.DUMMYFUNCTION("IF(LEN(D3072)&gt;4, IFERROR(REGEXEXTRACT(TO_TEXT(D3072),""\d+""),""""),"""")"),"23439")</f>
        <v>23439</v>
      </c>
      <c r="F3072" s="6" t="str">
        <f t="shared" si="3"/>
        <v>Product</v>
      </c>
      <c r="G3072" s="1" t="s">
        <v>1438</v>
      </c>
      <c r="H3072" s="6" t="str">
        <f>IFERROR(__xludf.DUMMYFUNCTION("IF(REGEXMATCH(LOWER(G3072), ""^(\?)+\s*(missing)?\s*(\?)*$""), """", PROPER(SUBSTITUTE(SUBSTITUTE(G3072, ""?"", """"), ""*"", """")))"),"Hand Warmer Red Love Heart")</f>
        <v>Hand Warmer Red Love Heart</v>
      </c>
      <c r="I3072" s="3">
        <v>24.0</v>
      </c>
      <c r="J3072" s="7">
        <v>40885.75208333333</v>
      </c>
      <c r="K3072" s="8" t="str">
        <f t="shared" si="4"/>
        <v>2011-12</v>
      </c>
      <c r="L3072" s="5">
        <v>2.1</v>
      </c>
      <c r="M3072" s="3">
        <v>17675.0</v>
      </c>
      <c r="N3072" s="1" t="str">
        <f t="shared" si="5"/>
        <v>Registered</v>
      </c>
      <c r="O3072" s="1" t="s">
        <v>19</v>
      </c>
      <c r="P3072" s="9" t="str">
        <f t="shared" si="6"/>
        <v>UK</v>
      </c>
      <c r="Q3072" s="8">
        <f t="shared" si="7"/>
        <v>50.4</v>
      </c>
    </row>
    <row r="3073">
      <c r="A3073" s="1">
        <v>581452.0</v>
      </c>
      <c r="B3073" s="1" t="str">
        <f t="shared" si="1"/>
        <v>581452</v>
      </c>
      <c r="C3073" s="1" t="str">
        <f t="shared" si="2"/>
        <v>Sale</v>
      </c>
      <c r="D3073" s="1">
        <v>23497.0</v>
      </c>
      <c r="E3073" s="1" t="str">
        <f>IFERROR(__xludf.DUMMYFUNCTION("IF(LEN(D3073)&gt;4, IFERROR(REGEXEXTRACT(TO_TEXT(D3073),""\d+""),""""),"""")"),"23497")</f>
        <v>23497</v>
      </c>
      <c r="F3073" s="6" t="str">
        <f t="shared" si="3"/>
        <v>Product</v>
      </c>
      <c r="G3073" s="1" t="s">
        <v>1439</v>
      </c>
      <c r="H3073" s="6" t="str">
        <f>IFERROR(__xludf.DUMMYFUNCTION("IF(REGEXMATCH(LOWER(G3073), ""^(\?)+\s*(missing)?\s*(\?)*$""), """", PROPER(SUBSTITUTE(SUBSTITUTE(G3073, ""?"", """"), ""*"", """")))"),"Classic Chrome Bicycle Bell")</f>
        <v>Classic Chrome Bicycle Bell</v>
      </c>
      <c r="I3073" s="3">
        <v>12.0</v>
      </c>
      <c r="J3073" s="7">
        <v>40885.75208333333</v>
      </c>
      <c r="K3073" s="8" t="str">
        <f t="shared" si="4"/>
        <v>2011-12</v>
      </c>
      <c r="L3073" s="5">
        <v>1.45</v>
      </c>
      <c r="M3073" s="3">
        <v>17675.0</v>
      </c>
      <c r="N3073" s="1" t="str">
        <f t="shared" si="5"/>
        <v>Registered</v>
      </c>
      <c r="O3073" s="1" t="s">
        <v>19</v>
      </c>
      <c r="P3073" s="9" t="str">
        <f t="shared" si="6"/>
        <v>UK</v>
      </c>
      <c r="Q3073" s="8">
        <f t="shared" si="7"/>
        <v>17.4</v>
      </c>
    </row>
    <row r="3074">
      <c r="A3074" s="1">
        <v>581452.0</v>
      </c>
      <c r="B3074" s="1" t="str">
        <f t="shared" si="1"/>
        <v>581452</v>
      </c>
      <c r="C3074" s="1" t="str">
        <f t="shared" si="2"/>
        <v>Sale</v>
      </c>
      <c r="D3074" s="1">
        <v>23576.0</v>
      </c>
      <c r="E3074" s="1" t="str">
        <f>IFERROR(__xludf.DUMMYFUNCTION("IF(LEN(D3074)&gt;4, IFERROR(REGEXEXTRACT(TO_TEXT(D3074),""\d+""),""""),"""")"),"23576")</f>
        <v>23576</v>
      </c>
      <c r="F3074" s="6" t="str">
        <f t="shared" si="3"/>
        <v>Product</v>
      </c>
      <c r="G3074" s="1" t="s">
        <v>1431</v>
      </c>
      <c r="H3074" s="6" t="str">
        <f>IFERROR(__xludf.DUMMYFUNCTION("IF(REGEXMATCH(LOWER(G3074), ""^(\?)+\s*(missing)?\s*(\?)*$""), """", PROPER(SUBSTITUTE(SUBSTITUTE(G3074, ""?"", """"), ""*"", """")))"),"Snack Tray Red Vintage Doily")</f>
        <v>Snack Tray Red Vintage Doily</v>
      </c>
      <c r="I3074" s="3">
        <v>8.0</v>
      </c>
      <c r="J3074" s="7">
        <v>40885.75208333333</v>
      </c>
      <c r="K3074" s="8" t="str">
        <f t="shared" si="4"/>
        <v>2011-12</v>
      </c>
      <c r="L3074" s="5">
        <v>1.95</v>
      </c>
      <c r="M3074" s="3">
        <v>17675.0</v>
      </c>
      <c r="N3074" s="1" t="str">
        <f t="shared" si="5"/>
        <v>Registered</v>
      </c>
      <c r="O3074" s="1" t="s">
        <v>19</v>
      </c>
      <c r="P3074" s="9" t="str">
        <f t="shared" si="6"/>
        <v>UK</v>
      </c>
      <c r="Q3074" s="8">
        <f t="shared" si="7"/>
        <v>15.6</v>
      </c>
    </row>
    <row r="3075">
      <c r="A3075" s="1">
        <v>581452.0</v>
      </c>
      <c r="B3075" s="1" t="str">
        <f t="shared" si="1"/>
        <v>581452</v>
      </c>
      <c r="C3075" s="1" t="str">
        <f t="shared" si="2"/>
        <v>Sale</v>
      </c>
      <c r="D3075" s="1" t="s">
        <v>25</v>
      </c>
      <c r="E3075" s="1" t="str">
        <f>IFERROR(__xludf.DUMMYFUNCTION("IF(LEN(D3075)&gt;4, IFERROR(REGEXEXTRACT(TO_TEXT(D3075),""\d+""),""""),"""")"),"84029")</f>
        <v>84029</v>
      </c>
      <c r="F3075" s="6" t="str">
        <f t="shared" si="3"/>
        <v>Product</v>
      </c>
      <c r="G3075" s="1" t="s">
        <v>26</v>
      </c>
      <c r="H3075" s="6" t="str">
        <f>IFERROR(__xludf.DUMMYFUNCTION("IF(REGEXMATCH(LOWER(G3075), ""^(\?)+\s*(missing)?\s*(\?)*$""), """", PROPER(SUBSTITUTE(SUBSTITUTE(G3075, ""?"", """"), ""*"", """")))"),"Red Woolly Hottie White Heart.")</f>
        <v>Red Woolly Hottie White Heart.</v>
      </c>
      <c r="I3075" s="3">
        <v>8.0</v>
      </c>
      <c r="J3075" s="7">
        <v>40885.75208333333</v>
      </c>
      <c r="K3075" s="8" t="str">
        <f t="shared" si="4"/>
        <v>2011-12</v>
      </c>
      <c r="L3075" s="5">
        <v>4.25</v>
      </c>
      <c r="M3075" s="3">
        <v>17675.0</v>
      </c>
      <c r="N3075" s="1" t="str">
        <f t="shared" si="5"/>
        <v>Registered</v>
      </c>
      <c r="O3075" s="1" t="s">
        <v>19</v>
      </c>
      <c r="P3075" s="9" t="str">
        <f t="shared" si="6"/>
        <v>UK</v>
      </c>
      <c r="Q3075" s="8">
        <f t="shared" si="7"/>
        <v>34</v>
      </c>
    </row>
    <row r="3076">
      <c r="A3076" s="1">
        <v>581452.0</v>
      </c>
      <c r="B3076" s="1" t="str">
        <f t="shared" si="1"/>
        <v>581452</v>
      </c>
      <c r="C3076" s="1" t="str">
        <f t="shared" si="2"/>
        <v>Sale</v>
      </c>
      <c r="D3076" s="1" t="s">
        <v>17</v>
      </c>
      <c r="E3076" s="1" t="str">
        <f>IFERROR(__xludf.DUMMYFUNCTION("IF(LEN(D3076)&gt;4, IFERROR(REGEXEXTRACT(TO_TEXT(D3076),""\d+""),""""),"""")"),"85123")</f>
        <v>85123</v>
      </c>
      <c r="F3076" s="6" t="str">
        <f t="shared" si="3"/>
        <v>Product</v>
      </c>
      <c r="G3076" s="1" t="s">
        <v>18</v>
      </c>
      <c r="H3076" s="6" t="str">
        <f>IFERROR(__xludf.DUMMYFUNCTION("IF(REGEXMATCH(LOWER(G3076), ""^(\?)+\s*(missing)?\s*(\?)*$""), """", PROPER(SUBSTITUTE(SUBSTITUTE(G3076, ""?"", """"), ""*"", """")))"),"White Hanging Heart T-Light Holder")</f>
        <v>White Hanging Heart T-Light Holder</v>
      </c>
      <c r="I3076" s="3">
        <v>32.0</v>
      </c>
      <c r="J3076" s="7">
        <v>40885.75208333333</v>
      </c>
      <c r="K3076" s="8" t="str">
        <f t="shared" si="4"/>
        <v>2011-12</v>
      </c>
      <c r="L3076" s="5">
        <v>2.55</v>
      </c>
      <c r="M3076" s="3">
        <v>17675.0</v>
      </c>
      <c r="N3076" s="1" t="str">
        <f t="shared" si="5"/>
        <v>Registered</v>
      </c>
      <c r="O3076" s="1" t="s">
        <v>19</v>
      </c>
      <c r="P3076" s="9" t="str">
        <f t="shared" si="6"/>
        <v>UK</v>
      </c>
      <c r="Q3076" s="8">
        <f t="shared" si="7"/>
        <v>81.6</v>
      </c>
    </row>
    <row r="3077">
      <c r="A3077" s="1">
        <v>581453.0</v>
      </c>
      <c r="B3077" s="1" t="str">
        <f t="shared" si="1"/>
        <v>581453</v>
      </c>
      <c r="C3077" s="1" t="str">
        <f t="shared" si="2"/>
        <v>Sale</v>
      </c>
      <c r="D3077" s="1">
        <v>21980.0</v>
      </c>
      <c r="E3077" s="1" t="str">
        <f>IFERROR(__xludf.DUMMYFUNCTION("IF(LEN(D3077)&gt;4, IFERROR(REGEXEXTRACT(TO_TEXT(D3077),""\d+""),""""),"""")"),"21980")</f>
        <v>21980</v>
      </c>
      <c r="F3077" s="6" t="str">
        <f t="shared" si="3"/>
        <v>Product</v>
      </c>
      <c r="G3077" s="1" t="s">
        <v>231</v>
      </c>
      <c r="H3077" s="6" t="str">
        <f>IFERROR(__xludf.DUMMYFUNCTION("IF(REGEXMATCH(LOWER(G3077), ""^(\?)+\s*(missing)?\s*(\?)*$""), """", PROPER(SUBSTITUTE(SUBSTITUTE(G3077, ""?"", """"), ""*"", """")))"),"Pack Of 12 Red Retrospot Tissues")</f>
        <v>Pack Of 12 Red Retrospot Tissues</v>
      </c>
      <c r="I3077" s="3">
        <v>24.0</v>
      </c>
      <c r="J3077" s="7">
        <v>40885.760416666664</v>
      </c>
      <c r="K3077" s="8" t="str">
        <f t="shared" si="4"/>
        <v>2011-12</v>
      </c>
      <c r="L3077" s="5">
        <v>0.39</v>
      </c>
      <c r="M3077" s="3">
        <v>16401.0</v>
      </c>
      <c r="N3077" s="1" t="str">
        <f t="shared" si="5"/>
        <v>Registered</v>
      </c>
      <c r="O3077" s="1" t="s">
        <v>19</v>
      </c>
      <c r="P3077" s="9" t="str">
        <f t="shared" si="6"/>
        <v>UK</v>
      </c>
      <c r="Q3077" s="8">
        <f t="shared" si="7"/>
        <v>9.36</v>
      </c>
    </row>
    <row r="3078">
      <c r="A3078" s="1">
        <v>581453.0</v>
      </c>
      <c r="B3078" s="1" t="str">
        <f t="shared" si="1"/>
        <v>581453</v>
      </c>
      <c r="C3078" s="1" t="str">
        <f t="shared" si="2"/>
        <v>Sale</v>
      </c>
      <c r="D3078" s="1">
        <v>21982.0</v>
      </c>
      <c r="E3078" s="1" t="str">
        <f>IFERROR(__xludf.DUMMYFUNCTION("IF(LEN(D3078)&gt;4, IFERROR(REGEXEXTRACT(TO_TEXT(D3078),""\d+""),""""),"""")"),"21982")</f>
        <v>21982</v>
      </c>
      <c r="F3078" s="6" t="str">
        <f t="shared" si="3"/>
        <v>Product</v>
      </c>
      <c r="G3078" s="1" t="s">
        <v>859</v>
      </c>
      <c r="H3078" s="6" t="str">
        <f>IFERROR(__xludf.DUMMYFUNCTION("IF(REGEXMATCH(LOWER(G3078), ""^(\?)+\s*(missing)?\s*(\?)*$""), """", PROPER(SUBSTITUTE(SUBSTITUTE(G3078, ""?"", """"), ""*"", """")))"),"Pack Of 12 Suki Tissues")</f>
        <v>Pack Of 12 Suki Tissues</v>
      </c>
      <c r="I3078" s="3">
        <v>24.0</v>
      </c>
      <c r="J3078" s="7">
        <v>40885.760416666664</v>
      </c>
      <c r="K3078" s="8" t="str">
        <f t="shared" si="4"/>
        <v>2011-12</v>
      </c>
      <c r="L3078" s="5">
        <v>0.39</v>
      </c>
      <c r="M3078" s="3">
        <v>16401.0</v>
      </c>
      <c r="N3078" s="1" t="str">
        <f t="shared" si="5"/>
        <v>Registered</v>
      </c>
      <c r="O3078" s="1" t="s">
        <v>19</v>
      </c>
      <c r="P3078" s="9" t="str">
        <f t="shared" si="6"/>
        <v>UK</v>
      </c>
      <c r="Q3078" s="8">
        <f t="shared" si="7"/>
        <v>9.36</v>
      </c>
    </row>
    <row r="3079">
      <c r="A3079" s="1">
        <v>581453.0</v>
      </c>
      <c r="B3079" s="1" t="str">
        <f t="shared" si="1"/>
        <v>581453</v>
      </c>
      <c r="C3079" s="1" t="str">
        <f t="shared" si="2"/>
        <v>Sale</v>
      </c>
      <c r="D3079" s="1">
        <v>21984.0</v>
      </c>
      <c r="E3079" s="1" t="str">
        <f>IFERROR(__xludf.DUMMYFUNCTION("IF(LEN(D3079)&gt;4, IFERROR(REGEXEXTRACT(TO_TEXT(D3079),""\d+""),""""),"""")"),"21984")</f>
        <v>21984</v>
      </c>
      <c r="F3079" s="6" t="str">
        <f t="shared" si="3"/>
        <v>Product</v>
      </c>
      <c r="G3079" s="1" t="s">
        <v>229</v>
      </c>
      <c r="H3079" s="6" t="str">
        <f>IFERROR(__xludf.DUMMYFUNCTION("IF(REGEXMATCH(LOWER(G3079), ""^(\?)+\s*(missing)?\s*(\?)*$""), """", PROPER(SUBSTITUTE(SUBSTITUTE(G3079, ""?"", """"), ""*"", """")))"),"Pack Of 12 Pink Paisley Tissues")</f>
        <v>Pack Of 12 Pink Paisley Tissues</v>
      </c>
      <c r="I3079" s="3">
        <v>24.0</v>
      </c>
      <c r="J3079" s="7">
        <v>40885.760416666664</v>
      </c>
      <c r="K3079" s="8" t="str">
        <f t="shared" si="4"/>
        <v>2011-12</v>
      </c>
      <c r="L3079" s="5">
        <v>0.39</v>
      </c>
      <c r="M3079" s="3">
        <v>16401.0</v>
      </c>
      <c r="N3079" s="1" t="str">
        <f t="shared" si="5"/>
        <v>Registered</v>
      </c>
      <c r="O3079" s="1" t="s">
        <v>19</v>
      </c>
      <c r="P3079" s="9" t="str">
        <f t="shared" si="6"/>
        <v>UK</v>
      </c>
      <c r="Q3079" s="8">
        <f t="shared" si="7"/>
        <v>9.36</v>
      </c>
    </row>
    <row r="3080">
      <c r="A3080" s="1">
        <v>581453.0</v>
      </c>
      <c r="B3080" s="1" t="str">
        <f t="shared" si="1"/>
        <v>581453</v>
      </c>
      <c r="C3080" s="1" t="str">
        <f t="shared" si="2"/>
        <v>Sale</v>
      </c>
      <c r="D3080" s="1">
        <v>21985.0</v>
      </c>
      <c r="E3080" s="1" t="str">
        <f>IFERROR(__xludf.DUMMYFUNCTION("IF(LEN(D3080)&gt;4, IFERROR(REGEXEXTRACT(TO_TEXT(D3080),""\d+""),""""),"""")"),"21985")</f>
        <v>21985</v>
      </c>
      <c r="F3080" s="6" t="str">
        <f t="shared" si="3"/>
        <v>Product</v>
      </c>
      <c r="G3080" s="1" t="s">
        <v>579</v>
      </c>
      <c r="H3080" s="6" t="str">
        <f>IFERROR(__xludf.DUMMYFUNCTION("IF(REGEXMATCH(LOWER(G3080), ""^(\?)+\s*(missing)?\s*(\?)*$""), """", PROPER(SUBSTITUTE(SUBSTITUTE(G3080, ""?"", """"), ""*"", """")))"),"Pack Of 12 Hearts Design Tissues")</f>
        <v>Pack Of 12 Hearts Design Tissues</v>
      </c>
      <c r="I3080" s="3">
        <v>24.0</v>
      </c>
      <c r="J3080" s="7">
        <v>40885.760416666664</v>
      </c>
      <c r="K3080" s="8" t="str">
        <f t="shared" si="4"/>
        <v>2011-12</v>
      </c>
      <c r="L3080" s="5">
        <v>0.39</v>
      </c>
      <c r="M3080" s="3">
        <v>16401.0</v>
      </c>
      <c r="N3080" s="1" t="str">
        <f t="shared" si="5"/>
        <v>Registered</v>
      </c>
      <c r="O3080" s="1" t="s">
        <v>19</v>
      </c>
      <c r="P3080" s="9" t="str">
        <f t="shared" si="6"/>
        <v>UK</v>
      </c>
      <c r="Q3080" s="8">
        <f t="shared" si="7"/>
        <v>9.36</v>
      </c>
    </row>
    <row r="3081">
      <c r="A3081" s="1">
        <v>581453.0</v>
      </c>
      <c r="B3081" s="1" t="str">
        <f t="shared" si="1"/>
        <v>581453</v>
      </c>
      <c r="C3081" s="1" t="str">
        <f t="shared" si="2"/>
        <v>Sale</v>
      </c>
      <c r="D3081" s="1">
        <v>22197.0</v>
      </c>
      <c r="E3081" s="1" t="str">
        <f>IFERROR(__xludf.DUMMYFUNCTION("IF(LEN(D3081)&gt;4, IFERROR(REGEXEXTRACT(TO_TEXT(D3081),""\d+""),""""),"""")"),"22197")</f>
        <v>22197</v>
      </c>
      <c r="F3081" s="6" t="str">
        <f t="shared" si="3"/>
        <v>Product</v>
      </c>
      <c r="G3081" s="1" t="s">
        <v>1440</v>
      </c>
      <c r="H3081" s="6" t="str">
        <f>IFERROR(__xludf.DUMMYFUNCTION("IF(REGEXMATCH(LOWER(G3081), ""^(\?)+\s*(missing)?\s*(\?)*$""), """", PROPER(SUBSTITUTE(SUBSTITUTE(G3081, ""?"", """"), ""*"", """")))"),"Popcorn Holder")</f>
        <v>Popcorn Holder</v>
      </c>
      <c r="I3081" s="3">
        <v>100.0</v>
      </c>
      <c r="J3081" s="7">
        <v>40885.760416666664</v>
      </c>
      <c r="K3081" s="8" t="str">
        <f t="shared" si="4"/>
        <v>2011-12</v>
      </c>
      <c r="L3081" s="5">
        <v>0.72</v>
      </c>
      <c r="M3081" s="3">
        <v>16401.0</v>
      </c>
      <c r="N3081" s="1" t="str">
        <f t="shared" si="5"/>
        <v>Registered</v>
      </c>
      <c r="O3081" s="1" t="s">
        <v>19</v>
      </c>
      <c r="P3081" s="9" t="str">
        <f t="shared" si="6"/>
        <v>UK</v>
      </c>
      <c r="Q3081" s="8">
        <f t="shared" si="7"/>
        <v>72</v>
      </c>
    </row>
    <row r="3082">
      <c r="A3082" s="1">
        <v>581453.0</v>
      </c>
      <c r="B3082" s="1" t="str">
        <f t="shared" si="1"/>
        <v>581453</v>
      </c>
      <c r="C3082" s="1" t="str">
        <f t="shared" si="2"/>
        <v>Sale</v>
      </c>
      <c r="D3082" s="1">
        <v>22343.0</v>
      </c>
      <c r="E3082" s="1" t="str">
        <f>IFERROR(__xludf.DUMMYFUNCTION("IF(LEN(D3082)&gt;4, IFERROR(REGEXEXTRACT(TO_TEXT(D3082),""\d+""),""""),"""")"),"22343")</f>
        <v>22343</v>
      </c>
      <c r="F3082" s="6" t="str">
        <f t="shared" si="3"/>
        <v>Product</v>
      </c>
      <c r="G3082" s="1" t="s">
        <v>1289</v>
      </c>
      <c r="H3082" s="6" t="str">
        <f>IFERROR(__xludf.DUMMYFUNCTION("IF(REGEXMATCH(LOWER(G3082), ""^(\?)+\s*(missing)?\s*(\?)*$""), """", PROPER(SUBSTITUTE(SUBSTITUTE(G3082, ""?"", """"), ""*"", """")))"),"Party Pizza Dish Red Retrospot")</f>
        <v>Party Pizza Dish Red Retrospot</v>
      </c>
      <c r="I3082" s="3">
        <v>24.0</v>
      </c>
      <c r="J3082" s="7">
        <v>40885.760416666664</v>
      </c>
      <c r="K3082" s="8" t="str">
        <f t="shared" si="4"/>
        <v>2011-12</v>
      </c>
      <c r="L3082" s="5">
        <v>0.19</v>
      </c>
      <c r="M3082" s="3">
        <v>16401.0</v>
      </c>
      <c r="N3082" s="1" t="str">
        <f t="shared" si="5"/>
        <v>Registered</v>
      </c>
      <c r="O3082" s="1" t="s">
        <v>19</v>
      </c>
      <c r="P3082" s="9" t="str">
        <f t="shared" si="6"/>
        <v>UK</v>
      </c>
      <c r="Q3082" s="8">
        <f t="shared" si="7"/>
        <v>4.56</v>
      </c>
    </row>
    <row r="3083">
      <c r="A3083" s="1">
        <v>581453.0</v>
      </c>
      <c r="B3083" s="1" t="str">
        <f t="shared" si="1"/>
        <v>581453</v>
      </c>
      <c r="C3083" s="1" t="str">
        <f t="shared" si="2"/>
        <v>Sale</v>
      </c>
      <c r="D3083" s="1">
        <v>22344.0</v>
      </c>
      <c r="E3083" s="1" t="str">
        <f>IFERROR(__xludf.DUMMYFUNCTION("IF(LEN(D3083)&gt;4, IFERROR(REGEXEXTRACT(TO_TEXT(D3083),""\d+""),""""),"""")"),"22344")</f>
        <v>22344</v>
      </c>
      <c r="F3083" s="6" t="str">
        <f t="shared" si="3"/>
        <v>Product</v>
      </c>
      <c r="G3083" s="1" t="s">
        <v>1441</v>
      </c>
      <c r="H3083" s="6" t="str">
        <f>IFERROR(__xludf.DUMMYFUNCTION("IF(REGEXMATCH(LOWER(G3083), ""^(\?)+\s*(missing)?\s*(\?)*$""), """", PROPER(SUBSTITUTE(SUBSTITUTE(G3083, ""?"", """"), ""*"", """")))"),"Party Pizza Dish Pink Polkadot")</f>
        <v>Party Pizza Dish Pink Polkadot</v>
      </c>
      <c r="I3083" s="3">
        <v>24.0</v>
      </c>
      <c r="J3083" s="7">
        <v>40885.760416666664</v>
      </c>
      <c r="K3083" s="8" t="str">
        <f t="shared" si="4"/>
        <v>2011-12</v>
      </c>
      <c r="L3083" s="5">
        <v>0.19</v>
      </c>
      <c r="M3083" s="3">
        <v>16401.0</v>
      </c>
      <c r="N3083" s="1" t="str">
        <f t="shared" si="5"/>
        <v>Registered</v>
      </c>
      <c r="O3083" s="1" t="s">
        <v>19</v>
      </c>
      <c r="P3083" s="9" t="str">
        <f t="shared" si="6"/>
        <v>UK</v>
      </c>
      <c r="Q3083" s="8">
        <f t="shared" si="7"/>
        <v>4.56</v>
      </c>
    </row>
    <row r="3084">
      <c r="A3084" s="1">
        <v>581453.0</v>
      </c>
      <c r="B3084" s="1" t="str">
        <f t="shared" si="1"/>
        <v>581453</v>
      </c>
      <c r="C3084" s="1" t="str">
        <f t="shared" si="2"/>
        <v>Sale</v>
      </c>
      <c r="D3084" s="1">
        <v>22345.0</v>
      </c>
      <c r="E3084" s="1" t="str">
        <f>IFERROR(__xludf.DUMMYFUNCTION("IF(LEN(D3084)&gt;4, IFERROR(REGEXEXTRACT(TO_TEXT(D3084),""\d+""),""""),"""")"),"22345")</f>
        <v>22345</v>
      </c>
      <c r="F3084" s="6" t="str">
        <f t="shared" si="3"/>
        <v>Product</v>
      </c>
      <c r="G3084" s="1" t="s">
        <v>1442</v>
      </c>
      <c r="H3084" s="6" t="str">
        <f>IFERROR(__xludf.DUMMYFUNCTION("IF(REGEXMATCH(LOWER(G3084), ""^(\?)+\s*(missing)?\s*(\?)*$""), """", PROPER(SUBSTITUTE(SUBSTITUTE(G3084, ""?"", """"), ""*"", """")))"),"Party Pizza Dish Blue Polkadot")</f>
        <v>Party Pizza Dish Blue Polkadot</v>
      </c>
      <c r="I3084" s="3">
        <v>24.0</v>
      </c>
      <c r="J3084" s="7">
        <v>40885.760416666664</v>
      </c>
      <c r="K3084" s="8" t="str">
        <f t="shared" si="4"/>
        <v>2011-12</v>
      </c>
      <c r="L3084" s="5">
        <v>0.19</v>
      </c>
      <c r="M3084" s="3">
        <v>16401.0</v>
      </c>
      <c r="N3084" s="1" t="str">
        <f t="shared" si="5"/>
        <v>Registered</v>
      </c>
      <c r="O3084" s="1" t="s">
        <v>19</v>
      </c>
      <c r="P3084" s="9" t="str">
        <f t="shared" si="6"/>
        <v>UK</v>
      </c>
      <c r="Q3084" s="8">
        <f t="shared" si="7"/>
        <v>4.56</v>
      </c>
    </row>
    <row r="3085">
      <c r="A3085" s="1">
        <v>581453.0</v>
      </c>
      <c r="B3085" s="1" t="str">
        <f t="shared" si="1"/>
        <v>581453</v>
      </c>
      <c r="C3085" s="1" t="str">
        <f t="shared" si="2"/>
        <v>Sale</v>
      </c>
      <c r="D3085" s="1">
        <v>22346.0</v>
      </c>
      <c r="E3085" s="1" t="str">
        <f>IFERROR(__xludf.DUMMYFUNCTION("IF(LEN(D3085)&gt;4, IFERROR(REGEXEXTRACT(TO_TEXT(D3085),""\d+""),""""),"""")"),"22346")</f>
        <v>22346</v>
      </c>
      <c r="F3085" s="6" t="str">
        <f t="shared" si="3"/>
        <v>Product</v>
      </c>
      <c r="G3085" s="1" t="s">
        <v>1443</v>
      </c>
      <c r="H3085" s="6" t="str">
        <f>IFERROR(__xludf.DUMMYFUNCTION("IF(REGEXMATCH(LOWER(G3085), ""^(\?)+\s*(missing)?\s*(\?)*$""), """", PROPER(SUBSTITUTE(SUBSTITUTE(G3085, ""?"", """"), ""*"", """")))"),"Party Pizza Dish Green Polkadot")</f>
        <v>Party Pizza Dish Green Polkadot</v>
      </c>
      <c r="I3085" s="3">
        <v>24.0</v>
      </c>
      <c r="J3085" s="7">
        <v>40885.760416666664</v>
      </c>
      <c r="K3085" s="8" t="str">
        <f t="shared" si="4"/>
        <v>2011-12</v>
      </c>
      <c r="L3085" s="5">
        <v>0.19</v>
      </c>
      <c r="M3085" s="3">
        <v>16401.0</v>
      </c>
      <c r="N3085" s="1" t="str">
        <f t="shared" si="5"/>
        <v>Registered</v>
      </c>
      <c r="O3085" s="1" t="s">
        <v>19</v>
      </c>
      <c r="P3085" s="9" t="str">
        <f t="shared" si="6"/>
        <v>UK</v>
      </c>
      <c r="Q3085" s="8">
        <f t="shared" si="7"/>
        <v>4.56</v>
      </c>
    </row>
    <row r="3086">
      <c r="A3086" s="1">
        <v>581453.0</v>
      </c>
      <c r="B3086" s="1" t="str">
        <f t="shared" si="1"/>
        <v>581453</v>
      </c>
      <c r="C3086" s="1" t="str">
        <f t="shared" si="2"/>
        <v>Sale</v>
      </c>
      <c r="D3086" s="1">
        <v>22383.0</v>
      </c>
      <c r="E3086" s="1" t="str">
        <f>IFERROR(__xludf.DUMMYFUNCTION("IF(LEN(D3086)&gt;4, IFERROR(REGEXEXTRACT(TO_TEXT(D3086),""\d+""),""""),"""")"),"22383")</f>
        <v>22383</v>
      </c>
      <c r="F3086" s="6" t="str">
        <f t="shared" si="3"/>
        <v>Product</v>
      </c>
      <c r="G3086" s="1" t="s">
        <v>355</v>
      </c>
      <c r="H3086" s="6" t="str">
        <f>IFERROR(__xludf.DUMMYFUNCTION("IF(REGEXMATCH(LOWER(G3086), ""^(\?)+\s*(missing)?\s*(\?)*$""), """", PROPER(SUBSTITUTE(SUBSTITUTE(G3086, ""?"", """"), ""*"", """")))"),"Lunch Bag Suki Design")</f>
        <v>Lunch Bag Suki Design</v>
      </c>
      <c r="I3086" s="3">
        <v>10.0</v>
      </c>
      <c r="J3086" s="7">
        <v>40885.760416666664</v>
      </c>
      <c r="K3086" s="8" t="str">
        <f t="shared" si="4"/>
        <v>2011-12</v>
      </c>
      <c r="L3086" s="5">
        <v>1.65</v>
      </c>
      <c r="M3086" s="3">
        <v>16401.0</v>
      </c>
      <c r="N3086" s="1" t="str">
        <f t="shared" si="5"/>
        <v>Registered</v>
      </c>
      <c r="O3086" s="1" t="s">
        <v>19</v>
      </c>
      <c r="P3086" s="9" t="str">
        <f t="shared" si="6"/>
        <v>UK</v>
      </c>
      <c r="Q3086" s="8">
        <f t="shared" si="7"/>
        <v>16.5</v>
      </c>
    </row>
    <row r="3087">
      <c r="A3087" s="1">
        <v>581453.0</v>
      </c>
      <c r="B3087" s="1" t="str">
        <f t="shared" si="1"/>
        <v>581453</v>
      </c>
      <c r="C3087" s="1" t="str">
        <f t="shared" si="2"/>
        <v>Sale</v>
      </c>
      <c r="D3087" s="1">
        <v>22431.0</v>
      </c>
      <c r="E3087" s="1" t="str">
        <f>IFERROR(__xludf.DUMMYFUNCTION("IF(LEN(D3087)&gt;4, IFERROR(REGEXEXTRACT(TO_TEXT(D3087),""\d+""),""""),"""")"),"22431")</f>
        <v>22431</v>
      </c>
      <c r="F3087" s="6" t="str">
        <f t="shared" si="3"/>
        <v>Product</v>
      </c>
      <c r="G3087" s="1" t="s">
        <v>1150</v>
      </c>
      <c r="H3087" s="6" t="str">
        <f>IFERROR(__xludf.DUMMYFUNCTION("IF(REGEXMATCH(LOWER(G3087), ""^(\?)+\s*(missing)?\s*(\?)*$""), """", PROPER(SUBSTITUTE(SUBSTITUTE(G3087, ""?"", """"), ""*"", """")))"),"Watering Can Blue Elephant")</f>
        <v>Watering Can Blue Elephant</v>
      </c>
      <c r="I3087" s="3">
        <v>6.0</v>
      </c>
      <c r="J3087" s="7">
        <v>40885.760416666664</v>
      </c>
      <c r="K3087" s="8" t="str">
        <f t="shared" si="4"/>
        <v>2011-12</v>
      </c>
      <c r="L3087" s="5">
        <v>1.95</v>
      </c>
      <c r="M3087" s="3">
        <v>16401.0</v>
      </c>
      <c r="N3087" s="1" t="str">
        <f t="shared" si="5"/>
        <v>Registered</v>
      </c>
      <c r="O3087" s="1" t="s">
        <v>19</v>
      </c>
      <c r="P3087" s="9" t="str">
        <f t="shared" si="6"/>
        <v>UK</v>
      </c>
      <c r="Q3087" s="8">
        <f t="shared" si="7"/>
        <v>11.7</v>
      </c>
    </row>
    <row r="3088">
      <c r="A3088" s="1">
        <v>581453.0</v>
      </c>
      <c r="B3088" s="1" t="str">
        <f t="shared" si="1"/>
        <v>581453</v>
      </c>
      <c r="C3088" s="1" t="str">
        <f t="shared" si="2"/>
        <v>Sale</v>
      </c>
      <c r="D3088" s="1">
        <v>22432.0</v>
      </c>
      <c r="E3088" s="1" t="str">
        <f>IFERROR(__xludf.DUMMYFUNCTION("IF(LEN(D3088)&gt;4, IFERROR(REGEXEXTRACT(TO_TEXT(D3088),""\d+""),""""),"""")"),"22432")</f>
        <v>22432</v>
      </c>
      <c r="F3088" s="6" t="str">
        <f t="shared" si="3"/>
        <v>Product</v>
      </c>
      <c r="G3088" s="1" t="s">
        <v>1144</v>
      </c>
      <c r="H3088" s="6" t="str">
        <f>IFERROR(__xludf.DUMMYFUNCTION("IF(REGEXMATCH(LOWER(G3088), ""^(\?)+\s*(missing)?\s*(\?)*$""), """", PROPER(SUBSTITUTE(SUBSTITUTE(G3088, ""?"", """"), ""*"", """")))"),"Watering Can Pink Bunny")</f>
        <v>Watering Can Pink Bunny</v>
      </c>
      <c r="I3088" s="3">
        <v>6.0</v>
      </c>
      <c r="J3088" s="7">
        <v>40885.760416666664</v>
      </c>
      <c r="K3088" s="8" t="str">
        <f t="shared" si="4"/>
        <v>2011-12</v>
      </c>
      <c r="L3088" s="5">
        <v>1.95</v>
      </c>
      <c r="M3088" s="3">
        <v>16401.0</v>
      </c>
      <c r="N3088" s="1" t="str">
        <f t="shared" si="5"/>
        <v>Registered</v>
      </c>
      <c r="O3088" s="1" t="s">
        <v>19</v>
      </c>
      <c r="P3088" s="9" t="str">
        <f t="shared" si="6"/>
        <v>UK</v>
      </c>
      <c r="Q3088" s="8">
        <f t="shared" si="7"/>
        <v>11.7</v>
      </c>
    </row>
    <row r="3089">
      <c r="A3089" s="1">
        <v>581453.0</v>
      </c>
      <c r="B3089" s="1" t="str">
        <f t="shared" si="1"/>
        <v>581453</v>
      </c>
      <c r="C3089" s="1" t="str">
        <f t="shared" si="2"/>
        <v>Sale</v>
      </c>
      <c r="D3089" s="1">
        <v>22433.0</v>
      </c>
      <c r="E3089" s="1" t="str">
        <f>IFERROR(__xludf.DUMMYFUNCTION("IF(LEN(D3089)&gt;4, IFERROR(REGEXEXTRACT(TO_TEXT(D3089),""\d+""),""""),"""")"),"22433")</f>
        <v>22433</v>
      </c>
      <c r="F3089" s="6" t="str">
        <f t="shared" si="3"/>
        <v>Product</v>
      </c>
      <c r="G3089" s="1" t="s">
        <v>1147</v>
      </c>
      <c r="H3089" s="6" t="str">
        <f>IFERROR(__xludf.DUMMYFUNCTION("IF(REGEXMATCH(LOWER(G3089), ""^(\?)+\s*(missing)?\s*(\?)*$""), """", PROPER(SUBSTITUTE(SUBSTITUTE(G3089, ""?"", """"), ""*"", """")))"),"Watering Can Green Dinosaur")</f>
        <v>Watering Can Green Dinosaur</v>
      </c>
      <c r="I3089" s="3">
        <v>6.0</v>
      </c>
      <c r="J3089" s="7">
        <v>40885.760416666664</v>
      </c>
      <c r="K3089" s="8" t="str">
        <f t="shared" si="4"/>
        <v>2011-12</v>
      </c>
      <c r="L3089" s="5">
        <v>1.95</v>
      </c>
      <c r="M3089" s="3">
        <v>16401.0</v>
      </c>
      <c r="N3089" s="1" t="str">
        <f t="shared" si="5"/>
        <v>Registered</v>
      </c>
      <c r="O3089" s="1" t="s">
        <v>19</v>
      </c>
      <c r="P3089" s="9" t="str">
        <f t="shared" si="6"/>
        <v>UK</v>
      </c>
      <c r="Q3089" s="8">
        <f t="shared" si="7"/>
        <v>11.7</v>
      </c>
    </row>
    <row r="3090">
      <c r="A3090" s="1">
        <v>581453.0</v>
      </c>
      <c r="B3090" s="1" t="str">
        <f t="shared" si="1"/>
        <v>581453</v>
      </c>
      <c r="C3090" s="1" t="str">
        <f t="shared" si="2"/>
        <v>Sale</v>
      </c>
      <c r="D3090" s="1">
        <v>22555.0</v>
      </c>
      <c r="E3090" s="1" t="str">
        <f>IFERROR(__xludf.DUMMYFUNCTION("IF(LEN(D3090)&gt;4, IFERROR(REGEXEXTRACT(TO_TEXT(D3090),""\d+""),""""),"""")"),"22555")</f>
        <v>22555</v>
      </c>
      <c r="F3090" s="6" t="str">
        <f t="shared" si="3"/>
        <v>Product</v>
      </c>
      <c r="G3090" s="1" t="s">
        <v>914</v>
      </c>
      <c r="H3090" s="6" t="str">
        <f>IFERROR(__xludf.DUMMYFUNCTION("IF(REGEXMATCH(LOWER(G3090), ""^(\?)+\s*(missing)?\s*(\?)*$""), """", PROPER(SUBSTITUTE(SUBSTITUTE(G3090, ""?"", """"), ""*"", """")))"),"Plasters In Tin Strongman")</f>
        <v>Plasters In Tin Strongman</v>
      </c>
      <c r="I3090" s="3">
        <v>24.0</v>
      </c>
      <c r="J3090" s="7">
        <v>40885.760416666664</v>
      </c>
      <c r="K3090" s="8" t="str">
        <f t="shared" si="4"/>
        <v>2011-12</v>
      </c>
      <c r="L3090" s="5">
        <v>1.65</v>
      </c>
      <c r="M3090" s="3">
        <v>16401.0</v>
      </c>
      <c r="N3090" s="1" t="str">
        <f t="shared" si="5"/>
        <v>Registered</v>
      </c>
      <c r="O3090" s="1" t="s">
        <v>19</v>
      </c>
      <c r="P3090" s="9" t="str">
        <f t="shared" si="6"/>
        <v>UK</v>
      </c>
      <c r="Q3090" s="8">
        <f t="shared" si="7"/>
        <v>39.6</v>
      </c>
    </row>
    <row r="3091">
      <c r="A3091" s="1">
        <v>581453.0</v>
      </c>
      <c r="B3091" s="1" t="str">
        <f t="shared" si="1"/>
        <v>581453</v>
      </c>
      <c r="C3091" s="1" t="str">
        <f t="shared" si="2"/>
        <v>Sale</v>
      </c>
      <c r="D3091" s="1">
        <v>22556.0</v>
      </c>
      <c r="E3091" s="1" t="str">
        <f>IFERROR(__xludf.DUMMYFUNCTION("IF(LEN(D3091)&gt;4, IFERROR(REGEXEXTRACT(TO_TEXT(D3091),""\d+""),""""),"""")"),"22556")</f>
        <v>22556</v>
      </c>
      <c r="F3091" s="6" t="str">
        <f t="shared" si="3"/>
        <v>Product</v>
      </c>
      <c r="G3091" s="1" t="s">
        <v>228</v>
      </c>
      <c r="H3091" s="6" t="str">
        <f>IFERROR(__xludf.DUMMYFUNCTION("IF(REGEXMATCH(LOWER(G3091), ""^(\?)+\s*(missing)?\s*(\?)*$""), """", PROPER(SUBSTITUTE(SUBSTITUTE(G3091, ""?"", """"), ""*"", """")))"),"Plasters In Tin Circus Parade")</f>
        <v>Plasters In Tin Circus Parade</v>
      </c>
      <c r="I3091" s="3">
        <v>24.0</v>
      </c>
      <c r="J3091" s="7">
        <v>40885.760416666664</v>
      </c>
      <c r="K3091" s="8" t="str">
        <f t="shared" si="4"/>
        <v>2011-12</v>
      </c>
      <c r="L3091" s="5">
        <v>1.65</v>
      </c>
      <c r="M3091" s="3">
        <v>16401.0</v>
      </c>
      <c r="N3091" s="1" t="str">
        <f t="shared" si="5"/>
        <v>Registered</v>
      </c>
      <c r="O3091" s="1" t="s">
        <v>19</v>
      </c>
      <c r="P3091" s="9" t="str">
        <f t="shared" si="6"/>
        <v>UK</v>
      </c>
      <c r="Q3091" s="8">
        <f t="shared" si="7"/>
        <v>39.6</v>
      </c>
    </row>
    <row r="3092">
      <c r="A3092" s="1">
        <v>581453.0</v>
      </c>
      <c r="B3092" s="1" t="str">
        <f t="shared" si="1"/>
        <v>581453</v>
      </c>
      <c r="C3092" s="1" t="str">
        <f t="shared" si="2"/>
        <v>Sale</v>
      </c>
      <c r="D3092" s="1">
        <v>23293.0</v>
      </c>
      <c r="E3092" s="1" t="str">
        <f>IFERROR(__xludf.DUMMYFUNCTION("IF(LEN(D3092)&gt;4, IFERROR(REGEXEXTRACT(TO_TEXT(D3092),""\d+""),""""),"""")"),"23293")</f>
        <v>23293</v>
      </c>
      <c r="F3092" s="6" t="str">
        <f t="shared" si="3"/>
        <v>Product</v>
      </c>
      <c r="G3092" s="1" t="s">
        <v>1444</v>
      </c>
      <c r="H3092" s="6" t="str">
        <f>IFERROR(__xludf.DUMMYFUNCTION("IF(REGEXMATCH(LOWER(G3092), ""^(\?)+\s*(missing)?\s*(\?)*$""), """", PROPER(SUBSTITUTE(SUBSTITUTE(G3092, ""?"", """"), ""*"", """")))"),"Set Of 12 Fairy Cake Baking Cases")</f>
        <v>Set Of 12 Fairy Cake Baking Cases</v>
      </c>
      <c r="I3092" s="3">
        <v>16.0</v>
      </c>
      <c r="J3092" s="7">
        <v>40885.760416666664</v>
      </c>
      <c r="K3092" s="8" t="str">
        <f t="shared" si="4"/>
        <v>2011-12</v>
      </c>
      <c r="L3092" s="5">
        <v>0.83</v>
      </c>
      <c r="M3092" s="3">
        <v>16401.0</v>
      </c>
      <c r="N3092" s="1" t="str">
        <f t="shared" si="5"/>
        <v>Registered</v>
      </c>
      <c r="O3092" s="1" t="s">
        <v>19</v>
      </c>
      <c r="P3092" s="9" t="str">
        <f t="shared" si="6"/>
        <v>UK</v>
      </c>
      <c r="Q3092" s="8">
        <f t="shared" si="7"/>
        <v>13.28</v>
      </c>
    </row>
    <row r="3093">
      <c r="A3093" s="1">
        <v>581453.0</v>
      </c>
      <c r="B3093" s="1" t="str">
        <f t="shared" si="1"/>
        <v>581453</v>
      </c>
      <c r="C3093" s="1" t="str">
        <f t="shared" si="2"/>
        <v>Sale</v>
      </c>
      <c r="D3093" s="1">
        <v>23310.0</v>
      </c>
      <c r="E3093" s="1" t="str">
        <f>IFERROR(__xludf.DUMMYFUNCTION("IF(LEN(D3093)&gt;4, IFERROR(REGEXEXTRACT(TO_TEXT(D3093),""\d+""),""""),"""")"),"23310")</f>
        <v>23310</v>
      </c>
      <c r="F3093" s="6" t="str">
        <f t="shared" si="3"/>
        <v>Product</v>
      </c>
      <c r="G3093" s="1" t="s">
        <v>1445</v>
      </c>
      <c r="H3093" s="6" t="str">
        <f>IFERROR(__xludf.DUMMYFUNCTION("IF(REGEXMATCH(LOWER(G3093), ""^(\?)+\s*(missing)?\s*(\?)*$""), """", PROPER(SUBSTITUTE(SUBSTITUTE(G3093, ""?"", """"), ""*"", """")))"),"Bubblegum Ring Assorted")</f>
        <v>Bubblegum Ring Assorted</v>
      </c>
      <c r="I3093" s="3">
        <v>36.0</v>
      </c>
      <c r="J3093" s="7">
        <v>40885.760416666664</v>
      </c>
      <c r="K3093" s="8" t="str">
        <f t="shared" si="4"/>
        <v>2011-12</v>
      </c>
      <c r="L3093" s="5">
        <v>0.42</v>
      </c>
      <c r="M3093" s="3">
        <v>16401.0</v>
      </c>
      <c r="N3093" s="1" t="str">
        <f t="shared" si="5"/>
        <v>Registered</v>
      </c>
      <c r="O3093" s="1" t="s">
        <v>19</v>
      </c>
      <c r="P3093" s="9" t="str">
        <f t="shared" si="6"/>
        <v>UK</v>
      </c>
      <c r="Q3093" s="8">
        <f t="shared" si="7"/>
        <v>15.12</v>
      </c>
    </row>
    <row r="3094">
      <c r="A3094" s="1">
        <v>581453.0</v>
      </c>
      <c r="B3094" s="1" t="str">
        <f t="shared" si="1"/>
        <v>581453</v>
      </c>
      <c r="C3094" s="1" t="str">
        <f t="shared" si="2"/>
        <v>Sale</v>
      </c>
      <c r="D3094" s="1">
        <v>23551.0</v>
      </c>
      <c r="E3094" s="1" t="str">
        <f>IFERROR(__xludf.DUMMYFUNCTION("IF(LEN(D3094)&gt;4, IFERROR(REGEXEXTRACT(TO_TEXT(D3094),""\d+""),""""),"""")"),"23551")</f>
        <v>23551</v>
      </c>
      <c r="F3094" s="6" t="str">
        <f t="shared" si="3"/>
        <v>Product</v>
      </c>
      <c r="G3094" s="1" t="s">
        <v>1446</v>
      </c>
      <c r="H3094" s="6" t="str">
        <f>IFERROR(__xludf.DUMMYFUNCTION("IF(REGEXMATCH(LOWER(G3094), ""^(\?)+\s*(missing)?\s*(\?)*$""), """", PROPER(SUBSTITUTE(SUBSTITUTE(G3094, ""?"", """"), ""*"", """")))"),"Pack Of 12 Paisley Park Tissues")</f>
        <v>Pack Of 12 Paisley Park Tissues</v>
      </c>
      <c r="I3094" s="3">
        <v>24.0</v>
      </c>
      <c r="J3094" s="7">
        <v>40885.760416666664</v>
      </c>
      <c r="K3094" s="8" t="str">
        <f t="shared" si="4"/>
        <v>2011-12</v>
      </c>
      <c r="L3094" s="5">
        <v>0.39</v>
      </c>
      <c r="M3094" s="3">
        <v>16401.0</v>
      </c>
      <c r="N3094" s="1" t="str">
        <f t="shared" si="5"/>
        <v>Registered</v>
      </c>
      <c r="O3094" s="1" t="s">
        <v>19</v>
      </c>
      <c r="P3094" s="9" t="str">
        <f t="shared" si="6"/>
        <v>UK</v>
      </c>
      <c r="Q3094" s="8">
        <f t="shared" si="7"/>
        <v>9.36</v>
      </c>
    </row>
    <row r="3095">
      <c r="A3095" s="1">
        <v>581453.0</v>
      </c>
      <c r="B3095" s="1" t="str">
        <f t="shared" si="1"/>
        <v>581453</v>
      </c>
      <c r="C3095" s="1" t="str">
        <f t="shared" si="2"/>
        <v>Sale</v>
      </c>
      <c r="D3095" s="1">
        <v>23583.0</v>
      </c>
      <c r="E3095" s="1" t="str">
        <f>IFERROR(__xludf.DUMMYFUNCTION("IF(LEN(D3095)&gt;4, IFERROR(REGEXEXTRACT(TO_TEXT(D3095),""\d+""),""""),"""")"),"23583")</f>
        <v>23583</v>
      </c>
      <c r="F3095" s="6" t="str">
        <f t="shared" si="3"/>
        <v>Product</v>
      </c>
      <c r="G3095" s="1" t="s">
        <v>1432</v>
      </c>
      <c r="H3095" s="6" t="str">
        <f>IFERROR(__xludf.DUMMYFUNCTION("IF(REGEXMATCH(LOWER(G3095), ""^(\?)+\s*(missing)?\s*(\?)*$""), """", PROPER(SUBSTITUTE(SUBSTITUTE(G3095, ""?"", """"), ""*"", """")))"),"Lunch Bag Paisley Park")</f>
        <v>Lunch Bag Paisley Park</v>
      </c>
      <c r="I3095" s="3">
        <v>10.0</v>
      </c>
      <c r="J3095" s="7">
        <v>40885.760416666664</v>
      </c>
      <c r="K3095" s="8" t="str">
        <f t="shared" si="4"/>
        <v>2011-12</v>
      </c>
      <c r="L3095" s="5">
        <v>1.65</v>
      </c>
      <c r="M3095" s="3">
        <v>16401.0</v>
      </c>
      <c r="N3095" s="1" t="str">
        <f t="shared" si="5"/>
        <v>Registered</v>
      </c>
      <c r="O3095" s="1" t="s">
        <v>19</v>
      </c>
      <c r="P3095" s="9" t="str">
        <f t="shared" si="6"/>
        <v>UK</v>
      </c>
      <c r="Q3095" s="8">
        <f t="shared" si="7"/>
        <v>16.5</v>
      </c>
    </row>
    <row r="3096">
      <c r="A3096" s="1">
        <v>581454.0</v>
      </c>
      <c r="B3096" s="1" t="str">
        <f t="shared" si="1"/>
        <v>581454</v>
      </c>
      <c r="C3096" s="1" t="str">
        <f t="shared" si="2"/>
        <v>Sale</v>
      </c>
      <c r="D3096" s="1">
        <v>21890.0</v>
      </c>
      <c r="E3096" s="1" t="str">
        <f>IFERROR(__xludf.DUMMYFUNCTION("IF(LEN(D3096)&gt;4, IFERROR(REGEXEXTRACT(TO_TEXT(D3096),""\d+""),""""),"""")"),"21890")</f>
        <v>21890</v>
      </c>
      <c r="F3096" s="6" t="str">
        <f t="shared" si="3"/>
        <v>Product</v>
      </c>
      <c r="G3096" s="1" t="s">
        <v>511</v>
      </c>
      <c r="H3096" s="6" t="str">
        <f>IFERROR(__xludf.DUMMYFUNCTION("IF(REGEXMATCH(LOWER(G3096), ""^(\?)+\s*(missing)?\s*(\?)*$""), """", PROPER(SUBSTITUTE(SUBSTITUTE(G3096, ""?"", """"), ""*"", """")))"),"S/6 Wooden Skittles In Cotton Bag")</f>
        <v>S/6 Wooden Skittles In Cotton Bag</v>
      </c>
      <c r="I3096" s="3">
        <v>6.0</v>
      </c>
      <c r="J3096" s="7">
        <v>40885.76527777778</v>
      </c>
      <c r="K3096" s="8" t="str">
        <f t="shared" si="4"/>
        <v>2011-12</v>
      </c>
      <c r="L3096" s="5">
        <v>3.25</v>
      </c>
      <c r="M3096" s="3">
        <v>15156.0</v>
      </c>
      <c r="N3096" s="1" t="str">
        <f t="shared" si="5"/>
        <v>Registered</v>
      </c>
      <c r="O3096" s="1" t="s">
        <v>19</v>
      </c>
      <c r="P3096" s="9" t="str">
        <f t="shared" si="6"/>
        <v>UK</v>
      </c>
      <c r="Q3096" s="8">
        <f t="shared" si="7"/>
        <v>19.5</v>
      </c>
    </row>
    <row r="3097">
      <c r="A3097" s="1">
        <v>581454.0</v>
      </c>
      <c r="B3097" s="1" t="str">
        <f t="shared" si="1"/>
        <v>581454</v>
      </c>
      <c r="C3097" s="1" t="str">
        <f t="shared" si="2"/>
        <v>Sale</v>
      </c>
      <c r="D3097" s="1">
        <v>21791.0</v>
      </c>
      <c r="E3097" s="1" t="str">
        <f>IFERROR(__xludf.DUMMYFUNCTION("IF(LEN(D3097)&gt;4, IFERROR(REGEXEXTRACT(TO_TEXT(D3097),""\d+""),""""),"""")"),"21791")</f>
        <v>21791</v>
      </c>
      <c r="F3097" s="6" t="str">
        <f t="shared" si="3"/>
        <v>Product</v>
      </c>
      <c r="G3097" s="1" t="s">
        <v>55</v>
      </c>
      <c r="H3097" s="6" t="str">
        <f>IFERROR(__xludf.DUMMYFUNCTION("IF(REGEXMATCH(LOWER(G3097), ""^(\?)+\s*(missing)?\s*(\?)*$""), """", PROPER(SUBSTITUTE(SUBSTITUTE(G3097, ""?"", """"), ""*"", """")))"),"Vintage Heads And Tails Card Game")</f>
        <v>Vintage Heads And Tails Card Game</v>
      </c>
      <c r="I3097" s="3">
        <v>12.0</v>
      </c>
      <c r="J3097" s="7">
        <v>40885.76527777778</v>
      </c>
      <c r="K3097" s="8" t="str">
        <f t="shared" si="4"/>
        <v>2011-12</v>
      </c>
      <c r="L3097" s="5">
        <v>1.25</v>
      </c>
      <c r="M3097" s="3">
        <v>15156.0</v>
      </c>
      <c r="N3097" s="1" t="str">
        <f t="shared" si="5"/>
        <v>Registered</v>
      </c>
      <c r="O3097" s="1" t="s">
        <v>19</v>
      </c>
      <c r="P3097" s="9" t="str">
        <f t="shared" si="6"/>
        <v>UK</v>
      </c>
      <c r="Q3097" s="8">
        <f t="shared" si="7"/>
        <v>15</v>
      </c>
    </row>
    <row r="3098">
      <c r="A3098" s="1">
        <v>581454.0</v>
      </c>
      <c r="B3098" s="1" t="str">
        <f t="shared" si="1"/>
        <v>581454</v>
      </c>
      <c r="C3098" s="1" t="str">
        <f t="shared" si="2"/>
        <v>Sale</v>
      </c>
      <c r="D3098" s="1">
        <v>21891.0</v>
      </c>
      <c r="E3098" s="1" t="str">
        <f>IFERROR(__xludf.DUMMYFUNCTION("IF(LEN(D3098)&gt;4, IFERROR(REGEXEXTRACT(TO_TEXT(D3098),""\d+""),""""),"""")"),"21891")</f>
        <v>21891</v>
      </c>
      <c r="F3098" s="6" t="str">
        <f t="shared" si="3"/>
        <v>Product</v>
      </c>
      <c r="G3098" s="1" t="s">
        <v>237</v>
      </c>
      <c r="H3098" s="6" t="str">
        <f>IFERROR(__xludf.DUMMYFUNCTION("IF(REGEXMATCH(LOWER(G3098), ""^(\?)+\s*(missing)?\s*(\?)*$""), """", PROPER(SUBSTITUTE(SUBSTITUTE(G3098, ""?"", """"), ""*"", """")))"),"Traditional Wooden Skipping Rope")</f>
        <v>Traditional Wooden Skipping Rope</v>
      </c>
      <c r="I3098" s="3">
        <v>12.0</v>
      </c>
      <c r="J3098" s="7">
        <v>40885.76527777778</v>
      </c>
      <c r="K3098" s="8" t="str">
        <f t="shared" si="4"/>
        <v>2011-12</v>
      </c>
      <c r="L3098" s="5">
        <v>1.45</v>
      </c>
      <c r="M3098" s="3">
        <v>15156.0</v>
      </c>
      <c r="N3098" s="1" t="str">
        <f t="shared" si="5"/>
        <v>Registered</v>
      </c>
      <c r="O3098" s="1" t="s">
        <v>19</v>
      </c>
      <c r="P3098" s="9" t="str">
        <f t="shared" si="6"/>
        <v>UK</v>
      </c>
      <c r="Q3098" s="8">
        <f t="shared" si="7"/>
        <v>17.4</v>
      </c>
    </row>
    <row r="3099">
      <c r="A3099" s="1">
        <v>581454.0</v>
      </c>
      <c r="B3099" s="1" t="str">
        <f t="shared" si="1"/>
        <v>581454</v>
      </c>
      <c r="C3099" s="1" t="str">
        <f t="shared" si="2"/>
        <v>Sale</v>
      </c>
      <c r="D3099" s="1">
        <v>22605.0</v>
      </c>
      <c r="E3099" s="1" t="str">
        <f>IFERROR(__xludf.DUMMYFUNCTION("IF(LEN(D3099)&gt;4, IFERROR(REGEXEXTRACT(TO_TEXT(D3099),""\d+""),""""),"""")"),"22605")</f>
        <v>22605</v>
      </c>
      <c r="F3099" s="6" t="str">
        <f t="shared" si="3"/>
        <v>Product</v>
      </c>
      <c r="G3099" s="1" t="s">
        <v>765</v>
      </c>
      <c r="H3099" s="6" t="str">
        <f>IFERROR(__xludf.DUMMYFUNCTION("IF(REGEXMATCH(LOWER(G3099), ""^(\?)+\s*(missing)?\s*(\?)*$""), """", PROPER(SUBSTITUTE(SUBSTITUTE(G3099, ""?"", """"), ""*"", """")))"),"Wooden Croquet Garden Set")</f>
        <v>Wooden Croquet Garden Set</v>
      </c>
      <c r="I3099" s="3">
        <v>3.0</v>
      </c>
      <c r="J3099" s="7">
        <v>40885.76527777778</v>
      </c>
      <c r="K3099" s="8" t="str">
        <f t="shared" si="4"/>
        <v>2011-12</v>
      </c>
      <c r="L3099" s="5">
        <v>14.95</v>
      </c>
      <c r="M3099" s="3">
        <v>15156.0</v>
      </c>
      <c r="N3099" s="1" t="str">
        <f t="shared" si="5"/>
        <v>Registered</v>
      </c>
      <c r="O3099" s="1" t="s">
        <v>19</v>
      </c>
      <c r="P3099" s="9" t="str">
        <f t="shared" si="6"/>
        <v>UK</v>
      </c>
      <c r="Q3099" s="8">
        <f t="shared" si="7"/>
        <v>44.85</v>
      </c>
    </row>
    <row r="3100">
      <c r="A3100" s="1">
        <v>581454.0</v>
      </c>
      <c r="B3100" s="1" t="str">
        <f t="shared" si="1"/>
        <v>581454</v>
      </c>
      <c r="C3100" s="1" t="str">
        <f t="shared" si="2"/>
        <v>Sale</v>
      </c>
      <c r="D3100" s="1">
        <v>22607.0</v>
      </c>
      <c r="E3100" s="1" t="str">
        <f>IFERROR(__xludf.DUMMYFUNCTION("IF(LEN(D3100)&gt;4, IFERROR(REGEXEXTRACT(TO_TEXT(D3100),""\d+""),""""),"""")"),"22607")</f>
        <v>22607</v>
      </c>
      <c r="F3100" s="6" t="str">
        <f t="shared" si="3"/>
        <v>Product</v>
      </c>
      <c r="G3100" s="1" t="s">
        <v>796</v>
      </c>
      <c r="H3100" s="6" t="str">
        <f>IFERROR(__xludf.DUMMYFUNCTION("IF(REGEXMATCH(LOWER(G3100), ""^(\?)+\s*(missing)?\s*(\?)*$""), """", PROPER(SUBSTITUTE(SUBSTITUTE(G3100, ""?"", """"), ""*"", """")))"),"Wooden Rounders Garden Set")</f>
        <v>Wooden Rounders Garden Set</v>
      </c>
      <c r="I3100" s="3">
        <v>4.0</v>
      </c>
      <c r="J3100" s="7">
        <v>40885.76527777778</v>
      </c>
      <c r="K3100" s="8" t="str">
        <f t="shared" si="4"/>
        <v>2011-12</v>
      </c>
      <c r="L3100" s="5">
        <v>9.95</v>
      </c>
      <c r="M3100" s="3">
        <v>15156.0</v>
      </c>
      <c r="N3100" s="1" t="str">
        <f t="shared" si="5"/>
        <v>Registered</v>
      </c>
      <c r="O3100" s="1" t="s">
        <v>19</v>
      </c>
      <c r="P3100" s="9" t="str">
        <f t="shared" si="6"/>
        <v>UK</v>
      </c>
      <c r="Q3100" s="8">
        <f t="shared" si="7"/>
        <v>39.8</v>
      </c>
    </row>
    <row r="3101">
      <c r="A3101" s="1">
        <v>581454.0</v>
      </c>
      <c r="B3101" s="1" t="str">
        <f t="shared" si="1"/>
        <v>581454</v>
      </c>
      <c r="C3101" s="1" t="str">
        <f t="shared" si="2"/>
        <v>Sale</v>
      </c>
      <c r="D3101" s="1">
        <v>22442.0</v>
      </c>
      <c r="E3101" s="1" t="str">
        <f>IFERROR(__xludf.DUMMYFUNCTION("IF(LEN(D3101)&gt;4, IFERROR(REGEXEXTRACT(TO_TEXT(D3101),""\d+""),""""),"""")"),"22442")</f>
        <v>22442</v>
      </c>
      <c r="F3101" s="6" t="str">
        <f t="shared" si="3"/>
        <v>Product</v>
      </c>
      <c r="G3101" s="1" t="s">
        <v>1428</v>
      </c>
      <c r="H3101" s="6" t="str">
        <f>IFERROR(__xludf.DUMMYFUNCTION("IF(REGEXMATCH(LOWER(G3101), ""^(\?)+\s*(missing)?\s*(\?)*$""), """", PROPER(SUBSTITUTE(SUBSTITUTE(G3101, ""?"", """"), ""*"", """")))"),"Grow Your Own Flowers Set Of 3")</f>
        <v>Grow Your Own Flowers Set Of 3</v>
      </c>
      <c r="I3101" s="3">
        <v>12.0</v>
      </c>
      <c r="J3101" s="7">
        <v>40885.76527777778</v>
      </c>
      <c r="K3101" s="8" t="str">
        <f t="shared" si="4"/>
        <v>2011-12</v>
      </c>
      <c r="L3101" s="5">
        <v>1.95</v>
      </c>
      <c r="M3101" s="3">
        <v>15156.0</v>
      </c>
      <c r="N3101" s="1" t="str">
        <f t="shared" si="5"/>
        <v>Registered</v>
      </c>
      <c r="O3101" s="1" t="s">
        <v>19</v>
      </c>
      <c r="P3101" s="9" t="str">
        <f t="shared" si="6"/>
        <v>UK</v>
      </c>
      <c r="Q3101" s="8">
        <f t="shared" si="7"/>
        <v>23.4</v>
      </c>
    </row>
    <row r="3102">
      <c r="A3102" s="1">
        <v>581454.0</v>
      </c>
      <c r="B3102" s="1" t="str">
        <f t="shared" si="1"/>
        <v>581454</v>
      </c>
      <c r="C3102" s="1" t="str">
        <f t="shared" si="2"/>
        <v>Sale</v>
      </c>
      <c r="D3102" s="1">
        <v>22446.0</v>
      </c>
      <c r="E3102" s="1" t="str">
        <f>IFERROR(__xludf.DUMMYFUNCTION("IF(LEN(D3102)&gt;4, IFERROR(REGEXEXTRACT(TO_TEXT(D3102),""\d+""),""""),"""")"),"22446")</f>
        <v>22446</v>
      </c>
      <c r="F3102" s="6" t="str">
        <f t="shared" si="3"/>
        <v>Product</v>
      </c>
      <c r="G3102" s="1" t="s">
        <v>1447</v>
      </c>
      <c r="H3102" s="6" t="str">
        <f>IFERROR(__xludf.DUMMYFUNCTION("IF(REGEXMATCH(LOWER(G3102), ""^(\?)+\s*(missing)?\s*(\?)*$""), """", PROPER(SUBSTITUTE(SUBSTITUTE(G3102, ""?"", """"), ""*"", """")))"),"Pin Cushion Babushka Pink")</f>
        <v>Pin Cushion Babushka Pink</v>
      </c>
      <c r="I3102" s="3">
        <v>12.0</v>
      </c>
      <c r="J3102" s="7">
        <v>40885.76527777778</v>
      </c>
      <c r="K3102" s="8" t="str">
        <f t="shared" si="4"/>
        <v>2011-12</v>
      </c>
      <c r="L3102" s="5">
        <v>1.25</v>
      </c>
      <c r="M3102" s="3">
        <v>15156.0</v>
      </c>
      <c r="N3102" s="1" t="str">
        <f t="shared" si="5"/>
        <v>Registered</v>
      </c>
      <c r="O3102" s="1" t="s">
        <v>19</v>
      </c>
      <c r="P3102" s="9" t="str">
        <f t="shared" si="6"/>
        <v>UK</v>
      </c>
      <c r="Q3102" s="8">
        <f t="shared" si="7"/>
        <v>15</v>
      </c>
    </row>
    <row r="3103">
      <c r="A3103" s="1">
        <v>581454.0</v>
      </c>
      <c r="B3103" s="1" t="str">
        <f t="shared" si="1"/>
        <v>581454</v>
      </c>
      <c r="C3103" s="1" t="str">
        <f t="shared" si="2"/>
        <v>Sale</v>
      </c>
      <c r="D3103" s="1">
        <v>22752.0</v>
      </c>
      <c r="E3103" s="1" t="str">
        <f>IFERROR(__xludf.DUMMYFUNCTION("IF(LEN(D3103)&gt;4, IFERROR(REGEXEXTRACT(TO_TEXT(D3103),""\d+""),""""),"""")"),"22752")</f>
        <v>22752</v>
      </c>
      <c r="F3103" s="6" t="str">
        <f t="shared" si="3"/>
        <v>Product</v>
      </c>
      <c r="G3103" s="1" t="s">
        <v>27</v>
      </c>
      <c r="H3103" s="6" t="str">
        <f>IFERROR(__xludf.DUMMYFUNCTION("IF(REGEXMATCH(LOWER(G3103), ""^(\?)+\s*(missing)?\s*(\?)*$""), """", PROPER(SUBSTITUTE(SUBSTITUTE(G3103, ""?"", """"), ""*"", """")))"),"Set 7 Babushka Nesting Boxes")</f>
        <v>Set 7 Babushka Nesting Boxes</v>
      </c>
      <c r="I3103" s="3">
        <v>12.0</v>
      </c>
      <c r="J3103" s="7">
        <v>40885.76527777778</v>
      </c>
      <c r="K3103" s="8" t="str">
        <f t="shared" si="4"/>
        <v>2011-12</v>
      </c>
      <c r="L3103" s="5">
        <v>3.95</v>
      </c>
      <c r="M3103" s="3">
        <v>15156.0</v>
      </c>
      <c r="N3103" s="1" t="str">
        <f t="shared" si="5"/>
        <v>Registered</v>
      </c>
      <c r="O3103" s="1" t="s">
        <v>19</v>
      </c>
      <c r="P3103" s="9" t="str">
        <f t="shared" si="6"/>
        <v>UK</v>
      </c>
      <c r="Q3103" s="8">
        <f t="shared" si="7"/>
        <v>47.4</v>
      </c>
    </row>
    <row r="3104">
      <c r="A3104" s="1">
        <v>581454.0</v>
      </c>
      <c r="B3104" s="1" t="str">
        <f t="shared" si="1"/>
        <v>581454</v>
      </c>
      <c r="C3104" s="1" t="str">
        <f t="shared" si="2"/>
        <v>Sale</v>
      </c>
      <c r="D3104" s="1">
        <v>23552.0</v>
      </c>
      <c r="E3104" s="1" t="str">
        <f>IFERROR(__xludf.DUMMYFUNCTION("IF(LEN(D3104)&gt;4, IFERROR(REGEXEXTRACT(TO_TEXT(D3104),""\d+""),""""),"""")"),"23552")</f>
        <v>23552</v>
      </c>
      <c r="F3104" s="6" t="str">
        <f t="shared" si="3"/>
        <v>Product</v>
      </c>
      <c r="G3104" s="1" t="s">
        <v>1448</v>
      </c>
      <c r="H3104" s="6" t="str">
        <f>IFERROR(__xludf.DUMMYFUNCTION("IF(REGEXMATCH(LOWER(G3104), ""^(\?)+\s*(missing)?\s*(\?)*$""), """", PROPER(SUBSTITUTE(SUBSTITUTE(G3104, ""?"", """"), ""*"", """")))"),"Bicycle Puncture Repair Kit")</f>
        <v>Bicycle Puncture Repair Kit</v>
      </c>
      <c r="I3104" s="3">
        <v>6.0</v>
      </c>
      <c r="J3104" s="7">
        <v>40885.76527777778</v>
      </c>
      <c r="K3104" s="8" t="str">
        <f t="shared" si="4"/>
        <v>2011-12</v>
      </c>
      <c r="L3104" s="5">
        <v>2.08</v>
      </c>
      <c r="M3104" s="3">
        <v>15156.0</v>
      </c>
      <c r="N3104" s="1" t="str">
        <f t="shared" si="5"/>
        <v>Registered</v>
      </c>
      <c r="O3104" s="1" t="s">
        <v>19</v>
      </c>
      <c r="P3104" s="9" t="str">
        <f t="shared" si="6"/>
        <v>UK</v>
      </c>
      <c r="Q3104" s="8">
        <f t="shared" si="7"/>
        <v>12.48</v>
      </c>
    </row>
    <row r="3105">
      <c r="A3105" s="1">
        <v>581454.0</v>
      </c>
      <c r="B3105" s="1" t="str">
        <f t="shared" si="1"/>
        <v>581454</v>
      </c>
      <c r="C3105" s="1" t="str">
        <f t="shared" si="2"/>
        <v>Sale</v>
      </c>
      <c r="D3105" s="1">
        <v>23497.0</v>
      </c>
      <c r="E3105" s="1" t="str">
        <f>IFERROR(__xludf.DUMMYFUNCTION("IF(LEN(D3105)&gt;4, IFERROR(REGEXEXTRACT(TO_TEXT(D3105),""\d+""),""""),"""")"),"23497")</f>
        <v>23497</v>
      </c>
      <c r="F3105" s="6" t="str">
        <f t="shared" si="3"/>
        <v>Product</v>
      </c>
      <c r="G3105" s="1" t="s">
        <v>1439</v>
      </c>
      <c r="H3105" s="6" t="str">
        <f>IFERROR(__xludf.DUMMYFUNCTION("IF(REGEXMATCH(LOWER(G3105), ""^(\?)+\s*(missing)?\s*(\?)*$""), """", PROPER(SUBSTITUTE(SUBSTITUTE(G3105, ""?"", """"), ""*"", """")))"),"Classic Chrome Bicycle Bell")</f>
        <v>Classic Chrome Bicycle Bell</v>
      </c>
      <c r="I3105" s="3">
        <v>12.0</v>
      </c>
      <c r="J3105" s="7">
        <v>40885.76527777778</v>
      </c>
      <c r="K3105" s="8" t="str">
        <f t="shared" si="4"/>
        <v>2011-12</v>
      </c>
      <c r="L3105" s="5">
        <v>1.45</v>
      </c>
      <c r="M3105" s="3">
        <v>15156.0</v>
      </c>
      <c r="N3105" s="1" t="str">
        <f t="shared" si="5"/>
        <v>Registered</v>
      </c>
      <c r="O3105" s="1" t="s">
        <v>19</v>
      </c>
      <c r="P3105" s="9" t="str">
        <f t="shared" si="6"/>
        <v>UK</v>
      </c>
      <c r="Q3105" s="8">
        <f t="shared" si="7"/>
        <v>17.4</v>
      </c>
    </row>
    <row r="3106">
      <c r="A3106" s="1">
        <v>581455.0</v>
      </c>
      <c r="B3106" s="1" t="str">
        <f t="shared" si="1"/>
        <v>581455</v>
      </c>
      <c r="C3106" s="1" t="str">
        <f t="shared" si="2"/>
        <v>Sale</v>
      </c>
      <c r="D3106" s="1">
        <v>22188.0</v>
      </c>
      <c r="E3106" s="1" t="str">
        <f>IFERROR(__xludf.DUMMYFUNCTION("IF(LEN(D3106)&gt;4, IFERROR(REGEXEXTRACT(TO_TEXT(D3106),""\d+""),""""),"""")"),"22188")</f>
        <v>22188</v>
      </c>
      <c r="F3106" s="6" t="str">
        <f t="shared" si="3"/>
        <v>Product</v>
      </c>
      <c r="G3106" s="1" t="s">
        <v>253</v>
      </c>
      <c r="H3106" s="6" t="str">
        <f>IFERROR(__xludf.DUMMYFUNCTION("IF(REGEXMATCH(LOWER(G3106), ""^(\?)+\s*(missing)?\s*(\?)*$""), """", PROPER(SUBSTITUTE(SUBSTITUTE(G3106, ""?"", """"), ""*"", """")))"),"Black Heart Card Holder")</f>
        <v>Black Heart Card Holder</v>
      </c>
      <c r="I3106" s="3">
        <v>10.0</v>
      </c>
      <c r="J3106" s="7">
        <v>40885.76736111111</v>
      </c>
      <c r="K3106" s="8" t="str">
        <f t="shared" si="4"/>
        <v>2011-12</v>
      </c>
      <c r="L3106" s="5">
        <v>2.31</v>
      </c>
      <c r="M3106" s="3">
        <v>18102.0</v>
      </c>
      <c r="N3106" s="1" t="str">
        <f t="shared" si="5"/>
        <v>Registered</v>
      </c>
      <c r="O3106" s="1" t="s">
        <v>19</v>
      </c>
      <c r="P3106" s="9" t="str">
        <f t="shared" si="6"/>
        <v>UK</v>
      </c>
      <c r="Q3106" s="8">
        <f t="shared" si="7"/>
        <v>23.1</v>
      </c>
    </row>
    <row r="3107">
      <c r="A3107" s="1">
        <v>581455.0</v>
      </c>
      <c r="B3107" s="1" t="str">
        <f t="shared" si="1"/>
        <v>581455</v>
      </c>
      <c r="C3107" s="1" t="str">
        <f t="shared" si="2"/>
        <v>Sale</v>
      </c>
      <c r="D3107" s="1">
        <v>22189.0</v>
      </c>
      <c r="E3107" s="1" t="str">
        <f>IFERROR(__xludf.DUMMYFUNCTION("IF(LEN(D3107)&gt;4, IFERROR(REGEXEXTRACT(TO_TEXT(D3107),""\d+""),""""),"""")"),"22189")</f>
        <v>22189</v>
      </c>
      <c r="F3107" s="6" t="str">
        <f t="shared" si="3"/>
        <v>Product</v>
      </c>
      <c r="G3107" s="1" t="s">
        <v>171</v>
      </c>
      <c r="H3107" s="6" t="str">
        <f>IFERROR(__xludf.DUMMYFUNCTION("IF(REGEXMATCH(LOWER(G3107), ""^(\?)+\s*(missing)?\s*(\?)*$""), """", PROPER(SUBSTITUTE(SUBSTITUTE(G3107, ""?"", """"), ""*"", """")))"),"Cream Heart Card Holder")</f>
        <v>Cream Heart Card Holder</v>
      </c>
      <c r="I3107" s="3">
        <v>10.0</v>
      </c>
      <c r="J3107" s="7">
        <v>40885.76736111111</v>
      </c>
      <c r="K3107" s="8" t="str">
        <f t="shared" si="4"/>
        <v>2011-12</v>
      </c>
      <c r="L3107" s="5">
        <v>2.31</v>
      </c>
      <c r="M3107" s="3">
        <v>18102.0</v>
      </c>
      <c r="N3107" s="1" t="str">
        <f t="shared" si="5"/>
        <v>Registered</v>
      </c>
      <c r="O3107" s="1" t="s">
        <v>19</v>
      </c>
      <c r="P3107" s="9" t="str">
        <f t="shared" si="6"/>
        <v>UK</v>
      </c>
      <c r="Q3107" s="8">
        <f t="shared" si="7"/>
        <v>23.1</v>
      </c>
    </row>
    <row r="3108">
      <c r="A3108" s="1">
        <v>581455.0</v>
      </c>
      <c r="B3108" s="1" t="str">
        <f t="shared" si="1"/>
        <v>581455</v>
      </c>
      <c r="C3108" s="1" t="str">
        <f t="shared" si="2"/>
        <v>Sale</v>
      </c>
      <c r="D3108" s="1">
        <v>82484.0</v>
      </c>
      <c r="E3108" s="1" t="str">
        <f>IFERROR(__xludf.DUMMYFUNCTION("IF(LEN(D3108)&gt;4, IFERROR(REGEXEXTRACT(TO_TEXT(D3108),""\d+""),""""),"""")"),"82484")</f>
        <v>82484</v>
      </c>
      <c r="F3108" s="6" t="str">
        <f t="shared" si="3"/>
        <v>Product</v>
      </c>
      <c r="G3108" s="1" t="s">
        <v>162</v>
      </c>
      <c r="H3108" s="6" t="str">
        <f>IFERROR(__xludf.DUMMYFUNCTION("IF(REGEXMATCH(LOWER(G3108), ""^(\?)+\s*(missing)?\s*(\?)*$""), """", PROPER(SUBSTITUTE(SUBSTITUTE(G3108, ""?"", """"), ""*"", """")))"),"Wood Black Board Ant White Finish")</f>
        <v>Wood Black Board Ant White Finish</v>
      </c>
      <c r="I3108" s="3">
        <v>12.0</v>
      </c>
      <c r="J3108" s="7">
        <v>40885.76736111111</v>
      </c>
      <c r="K3108" s="8" t="str">
        <f t="shared" si="4"/>
        <v>2011-12</v>
      </c>
      <c r="L3108" s="5">
        <v>4.8</v>
      </c>
      <c r="M3108" s="3">
        <v>18102.0</v>
      </c>
      <c r="N3108" s="1" t="str">
        <f t="shared" si="5"/>
        <v>Registered</v>
      </c>
      <c r="O3108" s="1" t="s">
        <v>19</v>
      </c>
      <c r="P3108" s="9" t="str">
        <f t="shared" si="6"/>
        <v>UK</v>
      </c>
      <c r="Q3108" s="8">
        <f t="shared" si="7"/>
        <v>57.6</v>
      </c>
    </row>
    <row r="3109">
      <c r="A3109" s="1">
        <v>581455.0</v>
      </c>
      <c r="B3109" s="1" t="str">
        <f t="shared" si="1"/>
        <v>581455</v>
      </c>
      <c r="C3109" s="1" t="str">
        <f t="shared" si="2"/>
        <v>Sale</v>
      </c>
      <c r="D3109" s="1">
        <v>23133.0</v>
      </c>
      <c r="E3109" s="1" t="str">
        <f>IFERROR(__xludf.DUMMYFUNCTION("IF(LEN(D3109)&gt;4, IFERROR(REGEXEXTRACT(TO_TEXT(D3109),""\d+""),""""),"""")"),"23133")</f>
        <v>23133</v>
      </c>
      <c r="F3109" s="6" t="str">
        <f t="shared" si="3"/>
        <v>Product</v>
      </c>
      <c r="G3109" s="1" t="s">
        <v>1449</v>
      </c>
      <c r="H3109" s="6" t="str">
        <f>IFERROR(__xludf.DUMMYFUNCTION("IF(REGEXMATCH(LOWER(G3109), ""^(\?)+\s*(missing)?\s*(\?)*$""), """", PROPER(SUBSTITUTE(SUBSTITUTE(G3109, ""?"", """"), ""*"", """")))"),"Large Ivory Heart Wall Organiser")</f>
        <v>Large Ivory Heart Wall Organiser</v>
      </c>
      <c r="I3109" s="3">
        <v>10.0</v>
      </c>
      <c r="J3109" s="7">
        <v>40885.76736111111</v>
      </c>
      <c r="K3109" s="8" t="str">
        <f t="shared" si="4"/>
        <v>2011-12</v>
      </c>
      <c r="L3109" s="5">
        <v>7.05</v>
      </c>
      <c r="M3109" s="3">
        <v>18102.0</v>
      </c>
      <c r="N3109" s="1" t="str">
        <f t="shared" si="5"/>
        <v>Registered</v>
      </c>
      <c r="O3109" s="1" t="s">
        <v>19</v>
      </c>
      <c r="P3109" s="9" t="str">
        <f t="shared" si="6"/>
        <v>UK</v>
      </c>
      <c r="Q3109" s="8">
        <f t="shared" si="7"/>
        <v>70.5</v>
      </c>
    </row>
    <row r="3110">
      <c r="A3110" s="1">
        <v>581455.0</v>
      </c>
      <c r="B3110" s="1" t="str">
        <f t="shared" si="1"/>
        <v>581455</v>
      </c>
      <c r="C3110" s="1" t="str">
        <f t="shared" si="2"/>
        <v>Sale</v>
      </c>
      <c r="D3110" s="1">
        <v>23553.0</v>
      </c>
      <c r="E3110" s="1" t="str">
        <f>IFERROR(__xludf.DUMMYFUNCTION("IF(LEN(D3110)&gt;4, IFERROR(REGEXEXTRACT(TO_TEXT(D3110),""\d+""),""""),"""")"),"23553")</f>
        <v>23553</v>
      </c>
      <c r="F3110" s="6" t="str">
        <f t="shared" si="3"/>
        <v>Product</v>
      </c>
      <c r="G3110" s="1" t="s">
        <v>1450</v>
      </c>
      <c r="H3110" s="6" t="str">
        <f>IFERROR(__xludf.DUMMYFUNCTION("IF(REGEXMATCH(LOWER(G3110), ""^(\?)+\s*(missing)?\s*(\?)*$""), """", PROPER(SUBSTITUTE(SUBSTITUTE(G3110, ""?"", """"), ""*"", """")))"),"Landmark Frame Camden Town")</f>
        <v>Landmark Frame Camden Town</v>
      </c>
      <c r="I3110" s="3">
        <v>10.0</v>
      </c>
      <c r="J3110" s="7">
        <v>40885.76736111111</v>
      </c>
      <c r="K3110" s="8" t="str">
        <f t="shared" si="4"/>
        <v>2011-12</v>
      </c>
      <c r="L3110" s="5">
        <v>10.95</v>
      </c>
      <c r="M3110" s="3">
        <v>18102.0</v>
      </c>
      <c r="N3110" s="1" t="str">
        <f t="shared" si="5"/>
        <v>Registered</v>
      </c>
      <c r="O3110" s="1" t="s">
        <v>19</v>
      </c>
      <c r="P3110" s="9" t="str">
        <f t="shared" si="6"/>
        <v>UK</v>
      </c>
      <c r="Q3110" s="8">
        <f t="shared" si="7"/>
        <v>109.5</v>
      </c>
    </row>
    <row r="3111">
      <c r="A3111" s="1">
        <v>581455.0</v>
      </c>
      <c r="B3111" s="1" t="str">
        <f t="shared" si="1"/>
        <v>581455</v>
      </c>
      <c r="C3111" s="1" t="str">
        <f t="shared" si="2"/>
        <v>Sale</v>
      </c>
      <c r="D3111" s="1">
        <v>23542.0</v>
      </c>
      <c r="E3111" s="1" t="str">
        <f>IFERROR(__xludf.DUMMYFUNCTION("IF(LEN(D3111)&gt;4, IFERROR(REGEXEXTRACT(TO_TEXT(D3111),""\d+""),""""),"""")"),"23542")</f>
        <v>23542</v>
      </c>
      <c r="F3111" s="6" t="str">
        <f t="shared" si="3"/>
        <v>Product</v>
      </c>
      <c r="G3111" s="1" t="s">
        <v>1451</v>
      </c>
      <c r="H3111" s="6" t="str">
        <f>IFERROR(__xludf.DUMMYFUNCTION("IF(REGEXMATCH(LOWER(G3111), ""^(\?)+\s*(missing)?\s*(\?)*$""), """", PROPER(SUBSTITUTE(SUBSTITUTE(G3111, ""?"", """"), ""*"", """")))"),"Wall Art 70'S Alphabet")</f>
        <v>Wall Art 70'S Alphabet</v>
      </c>
      <c r="I3111" s="3">
        <v>12.0</v>
      </c>
      <c r="J3111" s="7">
        <v>40885.76736111111</v>
      </c>
      <c r="K3111" s="8" t="str">
        <f t="shared" si="4"/>
        <v>2011-12</v>
      </c>
      <c r="L3111" s="5">
        <v>6.67</v>
      </c>
      <c r="M3111" s="3">
        <v>18102.0</v>
      </c>
      <c r="N3111" s="1" t="str">
        <f t="shared" si="5"/>
        <v>Registered</v>
      </c>
      <c r="O3111" s="1" t="s">
        <v>19</v>
      </c>
      <c r="P3111" s="9" t="str">
        <f t="shared" si="6"/>
        <v>UK</v>
      </c>
      <c r="Q3111" s="8">
        <f t="shared" si="7"/>
        <v>80.04</v>
      </c>
    </row>
    <row r="3112">
      <c r="A3112" s="1">
        <v>581455.0</v>
      </c>
      <c r="B3112" s="1" t="str">
        <f t="shared" si="1"/>
        <v>581455</v>
      </c>
      <c r="C3112" s="1" t="str">
        <f t="shared" si="2"/>
        <v>Sale</v>
      </c>
      <c r="D3112" s="1">
        <v>23531.0</v>
      </c>
      <c r="E3112" s="1" t="str">
        <f>IFERROR(__xludf.DUMMYFUNCTION("IF(LEN(D3112)&gt;4, IFERROR(REGEXEXTRACT(TO_TEXT(D3112),""\d+""),""""),"""")"),"23531")</f>
        <v>23531</v>
      </c>
      <c r="F3112" s="6" t="str">
        <f t="shared" si="3"/>
        <v>Product</v>
      </c>
      <c r="G3112" s="1" t="s">
        <v>1452</v>
      </c>
      <c r="H3112" s="6" t="str">
        <f>IFERROR(__xludf.DUMMYFUNCTION("IF(REGEXMATCH(LOWER(G3112), ""^(\?)+\s*(missing)?\s*(\?)*$""), """", PROPER(SUBSTITUTE(SUBSTITUTE(G3112, ""?"", """"), ""*"", """")))"),"Wall Art Big Love")</f>
        <v>Wall Art Big Love</v>
      </c>
      <c r="I3112" s="3">
        <v>12.0</v>
      </c>
      <c r="J3112" s="7">
        <v>40885.76736111111</v>
      </c>
      <c r="K3112" s="8" t="str">
        <f t="shared" si="4"/>
        <v>2011-12</v>
      </c>
      <c r="L3112" s="5">
        <v>4.76</v>
      </c>
      <c r="M3112" s="3">
        <v>18102.0</v>
      </c>
      <c r="N3112" s="1" t="str">
        <f t="shared" si="5"/>
        <v>Registered</v>
      </c>
      <c r="O3112" s="1" t="s">
        <v>19</v>
      </c>
      <c r="P3112" s="9" t="str">
        <f t="shared" si="6"/>
        <v>UK</v>
      </c>
      <c r="Q3112" s="8">
        <f t="shared" si="7"/>
        <v>57.12</v>
      </c>
    </row>
    <row r="3113">
      <c r="A3113" s="1">
        <v>581455.0</v>
      </c>
      <c r="B3113" s="1" t="str">
        <f t="shared" si="1"/>
        <v>581455</v>
      </c>
      <c r="C3113" s="1" t="str">
        <f t="shared" si="2"/>
        <v>Sale</v>
      </c>
      <c r="D3113" s="1">
        <v>23530.0</v>
      </c>
      <c r="E3113" s="1" t="str">
        <f>IFERROR(__xludf.DUMMYFUNCTION("IF(LEN(D3113)&gt;4, IFERROR(REGEXEXTRACT(TO_TEXT(D3113),""\d+""),""""),"""")"),"23530")</f>
        <v>23530</v>
      </c>
      <c r="F3113" s="6" t="str">
        <f t="shared" si="3"/>
        <v>Product</v>
      </c>
      <c r="G3113" s="1" t="s">
        <v>1453</v>
      </c>
      <c r="H3113" s="6" t="str">
        <f>IFERROR(__xludf.DUMMYFUNCTION("IF(REGEXMATCH(LOWER(G3113), ""^(\?)+\s*(missing)?\s*(\?)*$""), """", PROPER(SUBSTITUTE(SUBSTITUTE(G3113, ""?"", """"), ""*"", """")))"),"Wall Art Only One Person")</f>
        <v>Wall Art Only One Person</v>
      </c>
      <c r="I3113" s="3">
        <v>18.0</v>
      </c>
      <c r="J3113" s="7">
        <v>40885.76736111111</v>
      </c>
      <c r="K3113" s="8" t="str">
        <f t="shared" si="4"/>
        <v>2011-12</v>
      </c>
      <c r="L3113" s="5">
        <v>3.57</v>
      </c>
      <c r="M3113" s="3">
        <v>18102.0</v>
      </c>
      <c r="N3113" s="1" t="str">
        <f t="shared" si="5"/>
        <v>Registered</v>
      </c>
      <c r="O3113" s="1" t="s">
        <v>19</v>
      </c>
      <c r="P3113" s="9" t="str">
        <f t="shared" si="6"/>
        <v>UK</v>
      </c>
      <c r="Q3113" s="8">
        <f t="shared" si="7"/>
        <v>64.26</v>
      </c>
    </row>
    <row r="3114">
      <c r="A3114" s="1">
        <v>581455.0</v>
      </c>
      <c r="B3114" s="1" t="str">
        <f t="shared" si="1"/>
        <v>581455</v>
      </c>
      <c r="C3114" s="1" t="str">
        <f t="shared" si="2"/>
        <v>Sale</v>
      </c>
      <c r="D3114" s="1">
        <v>23401.0</v>
      </c>
      <c r="E3114" s="1" t="str">
        <f>IFERROR(__xludf.DUMMYFUNCTION("IF(LEN(D3114)&gt;4, IFERROR(REGEXEXTRACT(TO_TEXT(D3114),""\d+""),""""),"""")"),"23401")</f>
        <v>23401</v>
      </c>
      <c r="F3114" s="6" t="str">
        <f t="shared" si="3"/>
        <v>Product</v>
      </c>
      <c r="G3114" s="1" t="s">
        <v>1454</v>
      </c>
      <c r="H3114" s="6" t="str">
        <f>IFERROR(__xludf.DUMMYFUNCTION("IF(REGEXMATCH(LOWER(G3114), ""^(\?)+\s*(missing)?\s*(\?)*$""), """", PROPER(SUBSTITUTE(SUBSTITUTE(G3114, ""?"", """"), ""*"", """")))"),"Rustic Mirror With Lace Heart")</f>
        <v>Rustic Mirror With Lace Heart</v>
      </c>
      <c r="I3114" s="3">
        <v>18.0</v>
      </c>
      <c r="J3114" s="7">
        <v>40885.76736111111</v>
      </c>
      <c r="K3114" s="8" t="str">
        <f t="shared" si="4"/>
        <v>2011-12</v>
      </c>
      <c r="L3114" s="5">
        <v>4.15</v>
      </c>
      <c r="M3114" s="3">
        <v>18102.0</v>
      </c>
      <c r="N3114" s="1" t="str">
        <f t="shared" si="5"/>
        <v>Registered</v>
      </c>
      <c r="O3114" s="1" t="s">
        <v>19</v>
      </c>
      <c r="P3114" s="9" t="str">
        <f t="shared" si="6"/>
        <v>UK</v>
      </c>
      <c r="Q3114" s="8">
        <f t="shared" si="7"/>
        <v>74.7</v>
      </c>
    </row>
    <row r="3115">
      <c r="A3115" s="1">
        <v>581455.0</v>
      </c>
      <c r="B3115" s="1" t="str">
        <f t="shared" si="1"/>
        <v>581455</v>
      </c>
      <c r="C3115" s="1" t="str">
        <f t="shared" si="2"/>
        <v>Sale</v>
      </c>
      <c r="D3115" s="1">
        <v>23404.0</v>
      </c>
      <c r="E3115" s="1" t="str">
        <f>IFERROR(__xludf.DUMMYFUNCTION("IF(LEN(D3115)&gt;4, IFERROR(REGEXEXTRACT(TO_TEXT(D3115),""\d+""),""""),"""")"),"23404")</f>
        <v>23404</v>
      </c>
      <c r="F3115" s="6" t="str">
        <f t="shared" si="3"/>
        <v>Product</v>
      </c>
      <c r="G3115" s="1" t="s">
        <v>1455</v>
      </c>
      <c r="H3115" s="6" t="str">
        <f>IFERROR(__xludf.DUMMYFUNCTION("IF(REGEXMATCH(LOWER(G3115), ""^(\?)+\s*(missing)?\s*(\?)*$""), """", PROPER(SUBSTITUTE(SUBSTITUTE(G3115, ""?"", """"), ""*"", """")))"),"Home Sweet Home Blackboard")</f>
        <v>Home Sweet Home Blackboard</v>
      </c>
      <c r="I3115" s="3">
        <v>10.0</v>
      </c>
      <c r="J3115" s="7">
        <v>40885.76736111111</v>
      </c>
      <c r="K3115" s="8" t="str">
        <f t="shared" si="4"/>
        <v>2011-12</v>
      </c>
      <c r="L3115" s="5">
        <v>3.26</v>
      </c>
      <c r="M3115" s="3">
        <v>18102.0</v>
      </c>
      <c r="N3115" s="1" t="str">
        <f t="shared" si="5"/>
        <v>Registered</v>
      </c>
      <c r="O3115" s="1" t="s">
        <v>19</v>
      </c>
      <c r="P3115" s="9" t="str">
        <f t="shared" si="6"/>
        <v>UK</v>
      </c>
      <c r="Q3115" s="8">
        <f t="shared" si="7"/>
        <v>32.6</v>
      </c>
    </row>
    <row r="3116">
      <c r="A3116" s="1">
        <v>581455.0</v>
      </c>
      <c r="B3116" s="1" t="str">
        <f t="shared" si="1"/>
        <v>581455</v>
      </c>
      <c r="C3116" s="1" t="str">
        <f t="shared" si="2"/>
        <v>Sale</v>
      </c>
      <c r="D3116" s="1">
        <v>23135.0</v>
      </c>
      <c r="E3116" s="1" t="str">
        <f>IFERROR(__xludf.DUMMYFUNCTION("IF(LEN(D3116)&gt;4, IFERROR(REGEXEXTRACT(TO_TEXT(D3116),""\d+""),""""),"""")"),"23135")</f>
        <v>23135</v>
      </c>
      <c r="F3116" s="6" t="str">
        <f t="shared" si="3"/>
        <v>Product</v>
      </c>
      <c r="G3116" s="1" t="s">
        <v>1456</v>
      </c>
      <c r="H3116" s="6" t="str">
        <f>IFERROR(__xludf.DUMMYFUNCTION("IF(REGEXMATCH(LOWER(G3116), ""^(\?)+\s*(missing)?\s*(\?)*$""), """", PROPER(SUBSTITUTE(SUBSTITUTE(G3116, ""?"", """"), ""*"", """")))"),"Small Zinc Heart Wall Organiser")</f>
        <v>Small Zinc Heart Wall Organiser</v>
      </c>
      <c r="I3116" s="3">
        <v>18.0</v>
      </c>
      <c r="J3116" s="7">
        <v>40885.76736111111</v>
      </c>
      <c r="K3116" s="8" t="str">
        <f t="shared" si="4"/>
        <v>2011-12</v>
      </c>
      <c r="L3116" s="5">
        <v>3.32</v>
      </c>
      <c r="M3116" s="3">
        <v>18102.0</v>
      </c>
      <c r="N3116" s="1" t="str">
        <f t="shared" si="5"/>
        <v>Registered</v>
      </c>
      <c r="O3116" s="1" t="s">
        <v>19</v>
      </c>
      <c r="P3116" s="9" t="str">
        <f t="shared" si="6"/>
        <v>UK</v>
      </c>
      <c r="Q3116" s="8">
        <f t="shared" si="7"/>
        <v>59.76</v>
      </c>
    </row>
    <row r="3117">
      <c r="A3117" s="1">
        <v>581456.0</v>
      </c>
      <c r="B3117" s="1" t="str">
        <f t="shared" si="1"/>
        <v>581456</v>
      </c>
      <c r="C3117" s="1" t="str">
        <f t="shared" si="2"/>
        <v>Sale</v>
      </c>
      <c r="D3117" s="1">
        <v>23331.0</v>
      </c>
      <c r="E3117" s="1" t="str">
        <f>IFERROR(__xludf.DUMMYFUNCTION("IF(LEN(D3117)&gt;4, IFERROR(REGEXEXTRACT(TO_TEXT(D3117),""\d+""),""""),"""")"),"23331")</f>
        <v>23331</v>
      </c>
      <c r="F3117" s="6" t="str">
        <f t="shared" si="3"/>
        <v>Product</v>
      </c>
      <c r="G3117" s="1" t="s">
        <v>1457</v>
      </c>
      <c r="H3117" s="6" t="str">
        <f>IFERROR(__xludf.DUMMYFUNCTION("IF(REGEXMATCH(LOWER(G3117), ""^(\?)+\s*(missing)?\s*(\?)*$""), """", PROPER(SUBSTITUTE(SUBSTITUTE(G3117, ""?"", """"), ""*"", """")))"),"Decorative Wicker Heart Small")</f>
        <v>Decorative Wicker Heart Small</v>
      </c>
      <c r="I3117" s="3">
        <v>6.0</v>
      </c>
      <c r="J3117" s="7">
        <v>40885.77916666667</v>
      </c>
      <c r="K3117" s="8" t="str">
        <f t="shared" si="4"/>
        <v>2011-12</v>
      </c>
      <c r="L3117" s="5">
        <v>0.63</v>
      </c>
      <c r="M3117" s="3">
        <v>17530.0</v>
      </c>
      <c r="N3117" s="1" t="str">
        <f t="shared" si="5"/>
        <v>Registered</v>
      </c>
      <c r="O3117" s="1" t="s">
        <v>19</v>
      </c>
      <c r="P3117" s="9" t="str">
        <f t="shared" si="6"/>
        <v>UK</v>
      </c>
      <c r="Q3117" s="8">
        <f t="shared" si="7"/>
        <v>3.78</v>
      </c>
    </row>
    <row r="3118">
      <c r="A3118" s="1">
        <v>581456.0</v>
      </c>
      <c r="B3118" s="1" t="str">
        <f t="shared" si="1"/>
        <v>581456</v>
      </c>
      <c r="C3118" s="1" t="str">
        <f t="shared" si="2"/>
        <v>Sale</v>
      </c>
      <c r="D3118" s="1">
        <v>23330.0</v>
      </c>
      <c r="E3118" s="1" t="str">
        <f>IFERROR(__xludf.DUMMYFUNCTION("IF(LEN(D3118)&gt;4, IFERROR(REGEXEXTRACT(TO_TEXT(D3118),""\d+""),""""),"""")"),"23330")</f>
        <v>23330</v>
      </c>
      <c r="F3118" s="6" t="str">
        <f t="shared" si="3"/>
        <v>Product</v>
      </c>
      <c r="G3118" s="1" t="s">
        <v>1458</v>
      </c>
      <c r="H3118" s="6" t="str">
        <f>IFERROR(__xludf.DUMMYFUNCTION("IF(REGEXMATCH(LOWER(G3118), ""^(\?)+\s*(missing)?\s*(\?)*$""), """", PROPER(SUBSTITUTE(SUBSTITUTE(G3118, ""?"", """"), ""*"", """")))"),"Decorative Wicker Heart Medium")</f>
        <v>Decorative Wicker Heart Medium</v>
      </c>
      <c r="I3118" s="3">
        <v>1.0</v>
      </c>
      <c r="J3118" s="7">
        <v>40885.77916666667</v>
      </c>
      <c r="K3118" s="8" t="str">
        <f t="shared" si="4"/>
        <v>2011-12</v>
      </c>
      <c r="L3118" s="5">
        <v>1.25</v>
      </c>
      <c r="M3118" s="3">
        <v>17530.0</v>
      </c>
      <c r="N3118" s="1" t="str">
        <f t="shared" si="5"/>
        <v>Registered</v>
      </c>
      <c r="O3118" s="1" t="s">
        <v>19</v>
      </c>
      <c r="P3118" s="9" t="str">
        <f t="shared" si="6"/>
        <v>UK</v>
      </c>
      <c r="Q3118" s="8">
        <f t="shared" si="7"/>
        <v>1.25</v>
      </c>
    </row>
    <row r="3119">
      <c r="A3119" s="1">
        <v>581456.0</v>
      </c>
      <c r="B3119" s="1" t="str">
        <f t="shared" si="1"/>
        <v>581456</v>
      </c>
      <c r="C3119" s="1" t="str">
        <f t="shared" si="2"/>
        <v>Sale</v>
      </c>
      <c r="D3119" s="1">
        <v>23329.0</v>
      </c>
      <c r="E3119" s="1" t="str">
        <f>IFERROR(__xludf.DUMMYFUNCTION("IF(LEN(D3119)&gt;4, IFERROR(REGEXEXTRACT(TO_TEXT(D3119),""\d+""),""""),"""")"),"23329")</f>
        <v>23329</v>
      </c>
      <c r="F3119" s="6" t="str">
        <f t="shared" si="3"/>
        <v>Product</v>
      </c>
      <c r="G3119" s="1" t="s">
        <v>1459</v>
      </c>
      <c r="H3119" s="6" t="str">
        <f>IFERROR(__xludf.DUMMYFUNCTION("IF(REGEXMATCH(LOWER(G3119), ""^(\?)+\s*(missing)?\s*(\?)*$""), """", PROPER(SUBSTITUTE(SUBSTITUTE(G3119, ""?"", """"), ""*"", """")))"),"Decorative Wicker Heart Large")</f>
        <v>Decorative Wicker Heart Large</v>
      </c>
      <c r="I3119" s="3">
        <v>3.0</v>
      </c>
      <c r="J3119" s="7">
        <v>40885.77916666667</v>
      </c>
      <c r="K3119" s="8" t="str">
        <f t="shared" si="4"/>
        <v>2011-12</v>
      </c>
      <c r="L3119" s="5">
        <v>1.65</v>
      </c>
      <c r="M3119" s="3">
        <v>17530.0</v>
      </c>
      <c r="N3119" s="1" t="str">
        <f t="shared" si="5"/>
        <v>Registered</v>
      </c>
      <c r="O3119" s="1" t="s">
        <v>19</v>
      </c>
      <c r="P3119" s="9" t="str">
        <f t="shared" si="6"/>
        <v>UK</v>
      </c>
      <c r="Q3119" s="8">
        <f t="shared" si="7"/>
        <v>4.95</v>
      </c>
    </row>
    <row r="3120">
      <c r="A3120" s="1">
        <v>581456.0</v>
      </c>
      <c r="B3120" s="1" t="str">
        <f t="shared" si="1"/>
        <v>581456</v>
      </c>
      <c r="C3120" s="1" t="str">
        <f t="shared" si="2"/>
        <v>Sale</v>
      </c>
      <c r="D3120" s="1">
        <v>23396.0</v>
      </c>
      <c r="E3120" s="1" t="str">
        <f>IFERROR(__xludf.DUMMYFUNCTION("IF(LEN(D3120)&gt;4, IFERROR(REGEXEXTRACT(TO_TEXT(D3120),""\d+""),""""),"""")"),"23396")</f>
        <v>23396</v>
      </c>
      <c r="F3120" s="6" t="str">
        <f t="shared" si="3"/>
        <v>Product</v>
      </c>
      <c r="G3120" s="1" t="s">
        <v>1460</v>
      </c>
      <c r="H3120" s="6" t="str">
        <f>IFERROR(__xludf.DUMMYFUNCTION("IF(REGEXMATCH(LOWER(G3120), ""^(\?)+\s*(missing)?\s*(\?)*$""), """", PROPER(SUBSTITUTE(SUBSTITUTE(G3120, ""?"", """"), ""*"", """")))"),"Le Jardin Botanique Cushion Cover")</f>
        <v>Le Jardin Botanique Cushion Cover</v>
      </c>
      <c r="I3120" s="3">
        <v>2.0</v>
      </c>
      <c r="J3120" s="7">
        <v>40885.77916666667</v>
      </c>
      <c r="K3120" s="8" t="str">
        <f t="shared" si="4"/>
        <v>2011-12</v>
      </c>
      <c r="L3120" s="5">
        <v>3.75</v>
      </c>
      <c r="M3120" s="3">
        <v>17530.0</v>
      </c>
      <c r="N3120" s="1" t="str">
        <f t="shared" si="5"/>
        <v>Registered</v>
      </c>
      <c r="O3120" s="1" t="s">
        <v>19</v>
      </c>
      <c r="P3120" s="9" t="str">
        <f t="shared" si="6"/>
        <v>UK</v>
      </c>
      <c r="Q3120" s="8">
        <f t="shared" si="7"/>
        <v>7.5</v>
      </c>
    </row>
    <row r="3121">
      <c r="A3121" s="1">
        <v>581456.0</v>
      </c>
      <c r="B3121" s="1" t="str">
        <f t="shared" si="1"/>
        <v>581456</v>
      </c>
      <c r="C3121" s="1" t="str">
        <f t="shared" si="2"/>
        <v>Sale</v>
      </c>
      <c r="D3121" s="1">
        <v>35964.0</v>
      </c>
      <c r="E3121" s="1" t="str">
        <f>IFERROR(__xludf.DUMMYFUNCTION("IF(LEN(D3121)&gt;4, IFERROR(REGEXEXTRACT(TO_TEXT(D3121),""\d+""),""""),"""")"),"35964")</f>
        <v>35964</v>
      </c>
      <c r="F3121" s="6" t="str">
        <f t="shared" si="3"/>
        <v>Product</v>
      </c>
      <c r="G3121" s="1" t="s">
        <v>1461</v>
      </c>
      <c r="H3121" s="6" t="str">
        <f>IFERROR(__xludf.DUMMYFUNCTION("IF(REGEXMATCH(LOWER(G3121), ""^(\?)+\s*(missing)?\s*(\?)*$""), """", PROPER(SUBSTITUTE(SUBSTITUTE(G3121, ""?"", """"), ""*"", """")))"),"Folkart Clip On Stars")</f>
        <v>Folkart Clip On Stars</v>
      </c>
      <c r="I3121" s="3">
        <v>2.0</v>
      </c>
      <c r="J3121" s="7">
        <v>40885.77916666667</v>
      </c>
      <c r="K3121" s="8" t="str">
        <f t="shared" si="4"/>
        <v>2011-12</v>
      </c>
      <c r="L3121" s="5">
        <v>0.39</v>
      </c>
      <c r="M3121" s="3">
        <v>17530.0</v>
      </c>
      <c r="N3121" s="1" t="str">
        <f t="shared" si="5"/>
        <v>Registered</v>
      </c>
      <c r="O3121" s="1" t="s">
        <v>19</v>
      </c>
      <c r="P3121" s="9" t="str">
        <f t="shared" si="6"/>
        <v>UK</v>
      </c>
      <c r="Q3121" s="8">
        <f t="shared" si="7"/>
        <v>0.78</v>
      </c>
    </row>
    <row r="3122">
      <c r="A3122" s="1">
        <v>581456.0</v>
      </c>
      <c r="B3122" s="1" t="str">
        <f t="shared" si="1"/>
        <v>581456</v>
      </c>
      <c r="C3122" s="1" t="str">
        <f t="shared" si="2"/>
        <v>Sale</v>
      </c>
      <c r="D3122" s="1">
        <v>23394.0</v>
      </c>
      <c r="E3122" s="1" t="str">
        <f>IFERROR(__xludf.DUMMYFUNCTION("IF(LEN(D3122)&gt;4, IFERROR(REGEXEXTRACT(TO_TEXT(D3122),""\d+""),""""),"""")"),"23394")</f>
        <v>23394</v>
      </c>
      <c r="F3122" s="6" t="str">
        <f t="shared" si="3"/>
        <v>Product</v>
      </c>
      <c r="G3122" s="1" t="s">
        <v>1462</v>
      </c>
      <c r="H3122" s="6" t="str">
        <f>IFERROR(__xludf.DUMMYFUNCTION("IF(REGEXMATCH(LOWER(G3122), ""^(\?)+\s*(missing)?\s*(\?)*$""), """", PROPER(SUBSTITUTE(SUBSTITUTE(G3122, ""?"", """"), ""*"", """")))"),"Poste France Cushion Cover")</f>
        <v>Poste France Cushion Cover</v>
      </c>
      <c r="I3122" s="3">
        <v>2.0</v>
      </c>
      <c r="J3122" s="7">
        <v>40885.77916666667</v>
      </c>
      <c r="K3122" s="8" t="str">
        <f t="shared" si="4"/>
        <v>2011-12</v>
      </c>
      <c r="L3122" s="5">
        <v>3.75</v>
      </c>
      <c r="M3122" s="3">
        <v>17530.0</v>
      </c>
      <c r="N3122" s="1" t="str">
        <f t="shared" si="5"/>
        <v>Registered</v>
      </c>
      <c r="O3122" s="1" t="s">
        <v>19</v>
      </c>
      <c r="P3122" s="9" t="str">
        <f t="shared" si="6"/>
        <v>UK</v>
      </c>
      <c r="Q3122" s="8">
        <f t="shared" si="7"/>
        <v>7.5</v>
      </c>
    </row>
    <row r="3123">
      <c r="A3123" s="1">
        <v>581456.0</v>
      </c>
      <c r="B3123" s="1" t="str">
        <f t="shared" si="1"/>
        <v>581456</v>
      </c>
      <c r="C3123" s="1" t="str">
        <f t="shared" si="2"/>
        <v>Sale</v>
      </c>
      <c r="D3123" s="1">
        <v>23395.0</v>
      </c>
      <c r="E3123" s="1" t="str">
        <f>IFERROR(__xludf.DUMMYFUNCTION("IF(LEN(D3123)&gt;4, IFERROR(REGEXEXTRACT(TO_TEXT(D3123),""\d+""),""""),"""")"),"23395")</f>
        <v>23395</v>
      </c>
      <c r="F3123" s="6" t="str">
        <f t="shared" si="3"/>
        <v>Product</v>
      </c>
      <c r="G3123" s="1" t="s">
        <v>1463</v>
      </c>
      <c r="H3123" s="6" t="str">
        <f>IFERROR(__xludf.DUMMYFUNCTION("IF(REGEXMATCH(LOWER(G3123), ""^(\?)+\s*(missing)?\s*(\?)*$""), """", PROPER(SUBSTITUTE(SUBSTITUTE(G3123, ""?"", """"), ""*"", """")))"),"Belle Jardiniere Cushion Cover")</f>
        <v>Belle Jardiniere Cushion Cover</v>
      </c>
      <c r="I3123" s="3">
        <v>2.0</v>
      </c>
      <c r="J3123" s="7">
        <v>40885.77916666667</v>
      </c>
      <c r="K3123" s="8" t="str">
        <f t="shared" si="4"/>
        <v>2011-12</v>
      </c>
      <c r="L3123" s="5">
        <v>3.75</v>
      </c>
      <c r="M3123" s="3">
        <v>17530.0</v>
      </c>
      <c r="N3123" s="1" t="str">
        <f t="shared" si="5"/>
        <v>Registered</v>
      </c>
      <c r="O3123" s="1" t="s">
        <v>19</v>
      </c>
      <c r="P3123" s="9" t="str">
        <f t="shared" si="6"/>
        <v>UK</v>
      </c>
      <c r="Q3123" s="8">
        <f t="shared" si="7"/>
        <v>7.5</v>
      </c>
    </row>
    <row r="3124">
      <c r="A3124" s="1">
        <v>581456.0</v>
      </c>
      <c r="B3124" s="1" t="str">
        <f t="shared" si="1"/>
        <v>581456</v>
      </c>
      <c r="C3124" s="1" t="str">
        <f t="shared" si="2"/>
        <v>Sale</v>
      </c>
      <c r="D3124" s="1">
        <v>21123.0</v>
      </c>
      <c r="E3124" s="1" t="str">
        <f>IFERROR(__xludf.DUMMYFUNCTION("IF(LEN(D3124)&gt;4, IFERROR(REGEXEXTRACT(TO_TEXT(D3124),""\d+""),""""),"""")"),"21123")</f>
        <v>21123</v>
      </c>
      <c r="F3124" s="6" t="str">
        <f t="shared" si="3"/>
        <v>Product</v>
      </c>
      <c r="G3124" s="1" t="s">
        <v>681</v>
      </c>
      <c r="H3124" s="6" t="str">
        <f>IFERROR(__xludf.DUMMYFUNCTION("IF(REGEXMATCH(LOWER(G3124), ""^(\?)+\s*(missing)?\s*(\?)*$""), """", PROPER(SUBSTITUTE(SUBSTITUTE(G3124, ""?"", """"), ""*"", """")))"),"Set/10 Ivory Polkadot Party Candles")</f>
        <v>Set/10 Ivory Polkadot Party Candles</v>
      </c>
      <c r="I3124" s="3">
        <v>3.0</v>
      </c>
      <c r="J3124" s="7">
        <v>40885.77916666667</v>
      </c>
      <c r="K3124" s="8" t="str">
        <f t="shared" si="4"/>
        <v>2011-12</v>
      </c>
      <c r="L3124" s="5">
        <v>1.25</v>
      </c>
      <c r="M3124" s="3">
        <v>17530.0</v>
      </c>
      <c r="N3124" s="1" t="str">
        <f t="shared" si="5"/>
        <v>Registered</v>
      </c>
      <c r="O3124" s="1" t="s">
        <v>19</v>
      </c>
      <c r="P3124" s="9" t="str">
        <f t="shared" si="6"/>
        <v>UK</v>
      </c>
      <c r="Q3124" s="8">
        <f t="shared" si="7"/>
        <v>3.75</v>
      </c>
    </row>
    <row r="3125">
      <c r="A3125" s="1">
        <v>581456.0</v>
      </c>
      <c r="B3125" s="1" t="str">
        <f t="shared" si="1"/>
        <v>581456</v>
      </c>
      <c r="C3125" s="1" t="str">
        <f t="shared" si="2"/>
        <v>Sale</v>
      </c>
      <c r="D3125" s="1">
        <v>23597.0</v>
      </c>
      <c r="E3125" s="1" t="str">
        <f>IFERROR(__xludf.DUMMYFUNCTION("IF(LEN(D3125)&gt;4, IFERROR(REGEXEXTRACT(TO_TEXT(D3125),""\d+""),""""),"""")"),"23597")</f>
        <v>23597</v>
      </c>
      <c r="F3125" s="6" t="str">
        <f t="shared" si="3"/>
        <v>Product</v>
      </c>
      <c r="G3125" s="1" t="s">
        <v>1464</v>
      </c>
      <c r="H3125" s="6" t="str">
        <f>IFERROR(__xludf.DUMMYFUNCTION("IF(REGEXMATCH(LOWER(G3125), ""^(\?)+\s*(missing)?\s*(\?)*$""), """", PROPER(SUBSTITUTE(SUBSTITUTE(G3125, ""?"", """"), ""*"", """")))"),"Paper Bunting Paisley Park")</f>
        <v>Paper Bunting Paisley Park</v>
      </c>
      <c r="I3125" s="3">
        <v>1.0</v>
      </c>
      <c r="J3125" s="7">
        <v>40885.77916666667</v>
      </c>
      <c r="K3125" s="8" t="str">
        <f t="shared" si="4"/>
        <v>2011-12</v>
      </c>
      <c r="L3125" s="5">
        <v>2.95</v>
      </c>
      <c r="M3125" s="3">
        <v>17530.0</v>
      </c>
      <c r="N3125" s="1" t="str">
        <f t="shared" si="5"/>
        <v>Registered</v>
      </c>
      <c r="O3125" s="1" t="s">
        <v>19</v>
      </c>
      <c r="P3125" s="9" t="str">
        <f t="shared" si="6"/>
        <v>UK</v>
      </c>
      <c r="Q3125" s="8">
        <f t="shared" si="7"/>
        <v>2.95</v>
      </c>
    </row>
    <row r="3126">
      <c r="A3126" s="1">
        <v>581456.0</v>
      </c>
      <c r="B3126" s="1" t="str">
        <f t="shared" si="1"/>
        <v>581456</v>
      </c>
      <c r="C3126" s="1" t="str">
        <f t="shared" si="2"/>
        <v>Sale</v>
      </c>
      <c r="D3126" s="1">
        <v>84380.0</v>
      </c>
      <c r="E3126" s="1" t="str">
        <f>IFERROR(__xludf.DUMMYFUNCTION("IF(LEN(D3126)&gt;4, IFERROR(REGEXEXTRACT(TO_TEXT(D3126),""\d+""),""""),"""")"),"84380")</f>
        <v>84380</v>
      </c>
      <c r="F3126" s="6" t="str">
        <f t="shared" si="3"/>
        <v>Product</v>
      </c>
      <c r="G3126" s="1" t="s">
        <v>349</v>
      </c>
      <c r="H3126" s="6" t="str">
        <f>IFERROR(__xludf.DUMMYFUNCTION("IF(REGEXMATCH(LOWER(G3126), ""^(\?)+\s*(missing)?\s*(\?)*$""), """", PROPER(SUBSTITUTE(SUBSTITUTE(G3126, ""?"", """"), ""*"", """")))"),"Set Of 3 Butterfly Cookie Cutters")</f>
        <v>Set Of 3 Butterfly Cookie Cutters</v>
      </c>
      <c r="I3126" s="3">
        <v>2.0</v>
      </c>
      <c r="J3126" s="7">
        <v>40885.77916666667</v>
      </c>
      <c r="K3126" s="8" t="str">
        <f t="shared" si="4"/>
        <v>2011-12</v>
      </c>
      <c r="L3126" s="5">
        <v>1.45</v>
      </c>
      <c r="M3126" s="3">
        <v>17530.0</v>
      </c>
      <c r="N3126" s="1" t="str">
        <f t="shared" si="5"/>
        <v>Registered</v>
      </c>
      <c r="O3126" s="1" t="s">
        <v>19</v>
      </c>
      <c r="P3126" s="9" t="str">
        <f t="shared" si="6"/>
        <v>UK</v>
      </c>
      <c r="Q3126" s="8">
        <f t="shared" si="7"/>
        <v>2.9</v>
      </c>
    </row>
    <row r="3127">
      <c r="A3127" s="1">
        <v>581456.0</v>
      </c>
      <c r="B3127" s="1" t="str">
        <f t="shared" si="1"/>
        <v>581456</v>
      </c>
      <c r="C3127" s="1" t="str">
        <f t="shared" si="2"/>
        <v>Sale</v>
      </c>
      <c r="D3127" s="1">
        <v>22086.0</v>
      </c>
      <c r="E3127" s="1" t="str">
        <f>IFERROR(__xludf.DUMMYFUNCTION("IF(LEN(D3127)&gt;4, IFERROR(REGEXEXTRACT(TO_TEXT(D3127),""\d+""),""""),"""")"),"22086")</f>
        <v>22086</v>
      </c>
      <c r="F3127" s="6" t="str">
        <f t="shared" si="3"/>
        <v>Product</v>
      </c>
      <c r="G3127" s="1" t="s">
        <v>70</v>
      </c>
      <c r="H3127" s="6" t="str">
        <f>IFERROR(__xludf.DUMMYFUNCTION("IF(REGEXMATCH(LOWER(G3127), ""^(\?)+\s*(missing)?\s*(\?)*$""), """", PROPER(SUBSTITUTE(SUBSTITUTE(G3127, ""?"", """"), ""*"", """")))"),"Paper Chain Kit 50'S Christmas")</f>
        <v>Paper Chain Kit 50'S Christmas</v>
      </c>
      <c r="I3127" s="3">
        <v>3.0</v>
      </c>
      <c r="J3127" s="7">
        <v>40885.77916666667</v>
      </c>
      <c r="K3127" s="8" t="str">
        <f t="shared" si="4"/>
        <v>2011-12</v>
      </c>
      <c r="L3127" s="5">
        <v>2.95</v>
      </c>
      <c r="M3127" s="3">
        <v>17530.0</v>
      </c>
      <c r="N3127" s="1" t="str">
        <f t="shared" si="5"/>
        <v>Registered</v>
      </c>
      <c r="O3127" s="1" t="s">
        <v>19</v>
      </c>
      <c r="P3127" s="9" t="str">
        <f t="shared" si="6"/>
        <v>UK</v>
      </c>
      <c r="Q3127" s="8">
        <f t="shared" si="7"/>
        <v>8.85</v>
      </c>
    </row>
    <row r="3128">
      <c r="A3128" s="1">
        <v>581456.0</v>
      </c>
      <c r="B3128" s="1" t="str">
        <f t="shared" si="1"/>
        <v>581456</v>
      </c>
      <c r="C3128" s="1" t="str">
        <f t="shared" si="2"/>
        <v>Sale</v>
      </c>
      <c r="D3128" s="1">
        <v>22966.0</v>
      </c>
      <c r="E3128" s="1" t="str">
        <f>IFERROR(__xludf.DUMMYFUNCTION("IF(LEN(D3128)&gt;4, IFERROR(REGEXEXTRACT(TO_TEXT(D3128),""\d+""),""""),"""")"),"22966")</f>
        <v>22966</v>
      </c>
      <c r="F3128" s="6" t="str">
        <f t="shared" si="3"/>
        <v>Product</v>
      </c>
      <c r="G3128" s="1" t="s">
        <v>779</v>
      </c>
      <c r="H3128" s="6" t="str">
        <f>IFERROR(__xludf.DUMMYFUNCTION("IF(REGEXMATCH(LOWER(G3128), ""^(\?)+\s*(missing)?\s*(\?)*$""), """", PROPER(SUBSTITUTE(SUBSTITUTE(G3128, ""?"", """"), ""*"", """")))"),"Gingerbread Man Cookie Cutter")</f>
        <v>Gingerbread Man Cookie Cutter</v>
      </c>
      <c r="I3128" s="3">
        <v>5.0</v>
      </c>
      <c r="J3128" s="7">
        <v>40885.77916666667</v>
      </c>
      <c r="K3128" s="8" t="str">
        <f t="shared" si="4"/>
        <v>2011-12</v>
      </c>
      <c r="L3128" s="5">
        <v>1.25</v>
      </c>
      <c r="M3128" s="3">
        <v>17530.0</v>
      </c>
      <c r="N3128" s="1" t="str">
        <f t="shared" si="5"/>
        <v>Registered</v>
      </c>
      <c r="O3128" s="1" t="s">
        <v>19</v>
      </c>
      <c r="P3128" s="9" t="str">
        <f t="shared" si="6"/>
        <v>UK</v>
      </c>
      <c r="Q3128" s="8">
        <f t="shared" si="7"/>
        <v>6.25</v>
      </c>
    </row>
    <row r="3129">
      <c r="A3129" s="1">
        <v>581456.0</v>
      </c>
      <c r="B3129" s="1" t="str">
        <f t="shared" si="1"/>
        <v>581456</v>
      </c>
      <c r="C3129" s="1" t="str">
        <f t="shared" si="2"/>
        <v>Sale</v>
      </c>
      <c r="D3129" s="1">
        <v>35964.0</v>
      </c>
      <c r="E3129" s="1" t="str">
        <f>IFERROR(__xludf.DUMMYFUNCTION("IF(LEN(D3129)&gt;4, IFERROR(REGEXEXTRACT(TO_TEXT(D3129),""\d+""),""""),"""")"),"35964")</f>
        <v>35964</v>
      </c>
      <c r="F3129" s="6" t="str">
        <f t="shared" si="3"/>
        <v>Product</v>
      </c>
      <c r="G3129" s="1" t="s">
        <v>1461</v>
      </c>
      <c r="H3129" s="6" t="str">
        <f>IFERROR(__xludf.DUMMYFUNCTION("IF(REGEXMATCH(LOWER(G3129), ""^(\?)+\s*(missing)?\s*(\?)*$""), """", PROPER(SUBSTITUTE(SUBSTITUTE(G3129, ""?"", """"), ""*"", """")))"),"Folkart Clip On Stars")</f>
        <v>Folkart Clip On Stars</v>
      </c>
      <c r="I3129" s="3">
        <v>2.0</v>
      </c>
      <c r="J3129" s="7">
        <v>40885.77916666667</v>
      </c>
      <c r="K3129" s="8" t="str">
        <f t="shared" si="4"/>
        <v>2011-12</v>
      </c>
      <c r="L3129" s="5">
        <v>0.39</v>
      </c>
      <c r="M3129" s="3">
        <v>17530.0</v>
      </c>
      <c r="N3129" s="1" t="str">
        <f t="shared" si="5"/>
        <v>Registered</v>
      </c>
      <c r="O3129" s="1" t="s">
        <v>19</v>
      </c>
      <c r="P3129" s="9" t="str">
        <f t="shared" si="6"/>
        <v>UK</v>
      </c>
      <c r="Q3129" s="8">
        <f t="shared" si="7"/>
        <v>0.78</v>
      </c>
    </row>
    <row r="3130">
      <c r="A3130" s="1">
        <v>581456.0</v>
      </c>
      <c r="B3130" s="1" t="str">
        <f t="shared" si="1"/>
        <v>581456</v>
      </c>
      <c r="C3130" s="1" t="str">
        <f t="shared" si="2"/>
        <v>Sale</v>
      </c>
      <c r="D3130" s="1">
        <v>22996.0</v>
      </c>
      <c r="E3130" s="1" t="str">
        <f>IFERROR(__xludf.DUMMYFUNCTION("IF(LEN(D3130)&gt;4, IFERROR(REGEXEXTRACT(TO_TEXT(D3130),""\d+""),""""),"""")"),"22996")</f>
        <v>22996</v>
      </c>
      <c r="F3130" s="6" t="str">
        <f t="shared" si="3"/>
        <v>Product</v>
      </c>
      <c r="G3130" s="1" t="s">
        <v>711</v>
      </c>
      <c r="H3130" s="6" t="str">
        <f>IFERROR(__xludf.DUMMYFUNCTION("IF(REGEXMATCH(LOWER(G3130), ""^(\?)+\s*(missing)?\s*(\?)*$""), """", PROPER(SUBSTITUTE(SUBSTITUTE(G3130, ""?"", """"), ""*"", """")))"),"Travel Card Wallet Vintage Ticket")</f>
        <v>Travel Card Wallet Vintage Ticket</v>
      </c>
      <c r="I3130" s="3">
        <v>11.0</v>
      </c>
      <c r="J3130" s="7">
        <v>40885.77916666667</v>
      </c>
      <c r="K3130" s="8" t="str">
        <f t="shared" si="4"/>
        <v>2011-12</v>
      </c>
      <c r="L3130" s="5">
        <v>0.42</v>
      </c>
      <c r="M3130" s="3">
        <v>17530.0</v>
      </c>
      <c r="N3130" s="1" t="str">
        <f t="shared" si="5"/>
        <v>Registered</v>
      </c>
      <c r="O3130" s="1" t="s">
        <v>19</v>
      </c>
      <c r="P3130" s="9" t="str">
        <f t="shared" si="6"/>
        <v>UK</v>
      </c>
      <c r="Q3130" s="8">
        <f t="shared" si="7"/>
        <v>4.62</v>
      </c>
    </row>
    <row r="3131">
      <c r="A3131" s="1">
        <v>581456.0</v>
      </c>
      <c r="B3131" s="1" t="str">
        <f t="shared" si="1"/>
        <v>581456</v>
      </c>
      <c r="C3131" s="1" t="str">
        <f t="shared" si="2"/>
        <v>Sale</v>
      </c>
      <c r="D3131" s="1">
        <v>23005.0</v>
      </c>
      <c r="E3131" s="1" t="str">
        <f>IFERROR(__xludf.DUMMYFUNCTION("IF(LEN(D3131)&gt;4, IFERROR(REGEXEXTRACT(TO_TEXT(D3131),""\d+""),""""),"""")"),"23005")</f>
        <v>23005</v>
      </c>
      <c r="F3131" s="6" t="str">
        <f t="shared" si="3"/>
        <v>Product</v>
      </c>
      <c r="G3131" s="1" t="s">
        <v>1465</v>
      </c>
      <c r="H3131" s="6" t="str">
        <f>IFERROR(__xludf.DUMMYFUNCTION("IF(REGEXMATCH(LOWER(G3131), ""^(\?)+\s*(missing)?\s*(\?)*$""), """", PROPER(SUBSTITUTE(SUBSTITUTE(G3131, ""?"", """"), ""*"", """")))"),"Travel Card Wallet I Love London")</f>
        <v>Travel Card Wallet I Love London</v>
      </c>
      <c r="I3131" s="3">
        <v>10.0</v>
      </c>
      <c r="J3131" s="7">
        <v>40885.77916666667</v>
      </c>
      <c r="K3131" s="8" t="str">
        <f t="shared" si="4"/>
        <v>2011-12</v>
      </c>
      <c r="L3131" s="5">
        <v>0.42</v>
      </c>
      <c r="M3131" s="3">
        <v>17530.0</v>
      </c>
      <c r="N3131" s="1" t="str">
        <f t="shared" si="5"/>
        <v>Registered</v>
      </c>
      <c r="O3131" s="1" t="s">
        <v>19</v>
      </c>
      <c r="P3131" s="9" t="str">
        <f t="shared" si="6"/>
        <v>UK</v>
      </c>
      <c r="Q3131" s="8">
        <f t="shared" si="7"/>
        <v>4.2</v>
      </c>
    </row>
    <row r="3132">
      <c r="A3132" s="1">
        <v>581456.0</v>
      </c>
      <c r="B3132" s="1" t="str">
        <f t="shared" si="1"/>
        <v>581456</v>
      </c>
      <c r="C3132" s="1" t="str">
        <f t="shared" si="2"/>
        <v>Sale</v>
      </c>
      <c r="D3132" s="1">
        <v>22909.0</v>
      </c>
      <c r="E3132" s="1" t="str">
        <f>IFERROR(__xludf.DUMMYFUNCTION("IF(LEN(D3132)&gt;4, IFERROR(REGEXEXTRACT(TO_TEXT(D3132),""\d+""),""""),"""")"),"22909")</f>
        <v>22909</v>
      </c>
      <c r="F3132" s="6" t="str">
        <f t="shared" si="3"/>
        <v>Product</v>
      </c>
      <c r="G3132" s="1" t="s">
        <v>468</v>
      </c>
      <c r="H3132" s="6" t="str">
        <f>IFERROR(__xludf.DUMMYFUNCTION("IF(REGEXMATCH(LOWER(G3132), ""^(\?)+\s*(missing)?\s*(\?)*$""), """", PROPER(SUBSTITUTE(SUBSTITUTE(G3132, ""?"", """"), ""*"", """")))"),"Set Of 20 Vintage Christmas Napkins")</f>
        <v>Set Of 20 Vintage Christmas Napkins</v>
      </c>
      <c r="I3132" s="3">
        <v>6.0</v>
      </c>
      <c r="J3132" s="7">
        <v>40885.77916666667</v>
      </c>
      <c r="K3132" s="8" t="str">
        <f t="shared" si="4"/>
        <v>2011-12</v>
      </c>
      <c r="L3132" s="5">
        <v>0.85</v>
      </c>
      <c r="M3132" s="3">
        <v>17530.0</v>
      </c>
      <c r="N3132" s="1" t="str">
        <f t="shared" si="5"/>
        <v>Registered</v>
      </c>
      <c r="O3132" s="1" t="s">
        <v>19</v>
      </c>
      <c r="P3132" s="9" t="str">
        <f t="shared" si="6"/>
        <v>UK</v>
      </c>
      <c r="Q3132" s="8">
        <f t="shared" si="7"/>
        <v>5.1</v>
      </c>
    </row>
    <row r="3133">
      <c r="A3133" s="1">
        <v>581456.0</v>
      </c>
      <c r="B3133" s="1" t="str">
        <f t="shared" si="1"/>
        <v>581456</v>
      </c>
      <c r="C3133" s="1" t="str">
        <f t="shared" si="2"/>
        <v>Sale</v>
      </c>
      <c r="D3133" s="1">
        <v>22998.0</v>
      </c>
      <c r="E3133" s="1" t="str">
        <f>IFERROR(__xludf.DUMMYFUNCTION("IF(LEN(D3133)&gt;4, IFERROR(REGEXEXTRACT(TO_TEXT(D3133),""\d+""),""""),"""")"),"22998")</f>
        <v>22998</v>
      </c>
      <c r="F3133" s="6" t="str">
        <f t="shared" si="3"/>
        <v>Product</v>
      </c>
      <c r="G3133" s="1" t="s">
        <v>712</v>
      </c>
      <c r="H3133" s="6" t="str">
        <f>IFERROR(__xludf.DUMMYFUNCTION("IF(REGEXMATCH(LOWER(G3133), ""^(\?)+\s*(missing)?\s*(\?)*$""), """", PROPER(SUBSTITUTE(SUBSTITUTE(G3133, ""?"", """"), ""*"", """")))"),"Travel Card Wallet Keep Calm")</f>
        <v>Travel Card Wallet Keep Calm</v>
      </c>
      <c r="I3133" s="3">
        <v>12.0</v>
      </c>
      <c r="J3133" s="7">
        <v>40885.77916666667</v>
      </c>
      <c r="K3133" s="8" t="str">
        <f t="shared" si="4"/>
        <v>2011-12</v>
      </c>
      <c r="L3133" s="5">
        <v>0.42</v>
      </c>
      <c r="M3133" s="3">
        <v>17530.0</v>
      </c>
      <c r="N3133" s="1" t="str">
        <f t="shared" si="5"/>
        <v>Registered</v>
      </c>
      <c r="O3133" s="1" t="s">
        <v>19</v>
      </c>
      <c r="P3133" s="9" t="str">
        <f t="shared" si="6"/>
        <v>UK</v>
      </c>
      <c r="Q3133" s="8">
        <f t="shared" si="7"/>
        <v>5.04</v>
      </c>
    </row>
    <row r="3134">
      <c r="A3134" s="1">
        <v>581456.0</v>
      </c>
      <c r="B3134" s="1" t="str">
        <f t="shared" si="1"/>
        <v>581456</v>
      </c>
      <c r="C3134" s="1" t="str">
        <f t="shared" si="2"/>
        <v>Sale</v>
      </c>
      <c r="D3134" s="1">
        <v>23002.0</v>
      </c>
      <c r="E3134" s="1" t="str">
        <f>IFERROR(__xludf.DUMMYFUNCTION("IF(LEN(D3134)&gt;4, IFERROR(REGEXEXTRACT(TO_TEXT(D3134),""\d+""),""""),"""")"),"23002")</f>
        <v>23002</v>
      </c>
      <c r="F3134" s="6" t="str">
        <f t="shared" si="3"/>
        <v>Product</v>
      </c>
      <c r="G3134" s="1" t="s">
        <v>715</v>
      </c>
      <c r="H3134" s="6" t="str">
        <f>IFERROR(__xludf.DUMMYFUNCTION("IF(REGEXMATCH(LOWER(G3134), ""^(\?)+\s*(missing)?\s*(\?)*$""), """", PROPER(SUBSTITUTE(SUBSTITUTE(G3134, ""?"", """"), ""*"", """")))"),"Travel Card Wallet Skulls")</f>
        <v>Travel Card Wallet Skulls</v>
      </c>
      <c r="I3134" s="3">
        <v>8.0</v>
      </c>
      <c r="J3134" s="7">
        <v>40885.77916666667</v>
      </c>
      <c r="K3134" s="8" t="str">
        <f t="shared" si="4"/>
        <v>2011-12</v>
      </c>
      <c r="L3134" s="5">
        <v>0.42</v>
      </c>
      <c r="M3134" s="3">
        <v>17530.0</v>
      </c>
      <c r="N3134" s="1" t="str">
        <f t="shared" si="5"/>
        <v>Registered</v>
      </c>
      <c r="O3134" s="1" t="s">
        <v>19</v>
      </c>
      <c r="P3134" s="9" t="str">
        <f t="shared" si="6"/>
        <v>UK</v>
      </c>
      <c r="Q3134" s="8">
        <f t="shared" si="7"/>
        <v>3.36</v>
      </c>
    </row>
    <row r="3135">
      <c r="A3135" s="1">
        <v>581456.0</v>
      </c>
      <c r="B3135" s="1" t="str">
        <f t="shared" si="1"/>
        <v>581456</v>
      </c>
      <c r="C3135" s="1" t="str">
        <f t="shared" si="2"/>
        <v>Sale</v>
      </c>
      <c r="D3135" s="1">
        <v>22994.0</v>
      </c>
      <c r="E3135" s="1" t="str">
        <f>IFERROR(__xludf.DUMMYFUNCTION("IF(LEN(D3135)&gt;4, IFERROR(REGEXEXTRACT(TO_TEXT(D3135),""\d+""),""""),"""")"),"22994")</f>
        <v>22994</v>
      </c>
      <c r="F3135" s="6" t="str">
        <f t="shared" si="3"/>
        <v>Product</v>
      </c>
      <c r="G3135" s="1" t="s">
        <v>997</v>
      </c>
      <c r="H3135" s="6" t="str">
        <f>IFERROR(__xludf.DUMMYFUNCTION("IF(REGEXMATCH(LOWER(G3135), ""^(\?)+\s*(missing)?\s*(\?)*$""), """", PROPER(SUBSTITUTE(SUBSTITUTE(G3135, ""?"", """"), ""*"", """")))"),"Travel Card Wallet Retrospot")</f>
        <v>Travel Card Wallet Retrospot</v>
      </c>
      <c r="I3135" s="3">
        <v>6.0</v>
      </c>
      <c r="J3135" s="7">
        <v>40885.77916666667</v>
      </c>
      <c r="K3135" s="8" t="str">
        <f t="shared" si="4"/>
        <v>2011-12</v>
      </c>
      <c r="L3135" s="5">
        <v>0.42</v>
      </c>
      <c r="M3135" s="3">
        <v>17530.0</v>
      </c>
      <c r="N3135" s="1" t="str">
        <f t="shared" si="5"/>
        <v>Registered</v>
      </c>
      <c r="O3135" s="1" t="s">
        <v>19</v>
      </c>
      <c r="P3135" s="9" t="str">
        <f t="shared" si="6"/>
        <v>UK</v>
      </c>
      <c r="Q3135" s="8">
        <f t="shared" si="7"/>
        <v>2.52</v>
      </c>
    </row>
    <row r="3136">
      <c r="A3136" s="1">
        <v>581456.0</v>
      </c>
      <c r="B3136" s="1" t="str">
        <f t="shared" si="1"/>
        <v>581456</v>
      </c>
      <c r="C3136" s="1" t="str">
        <f t="shared" si="2"/>
        <v>Sale</v>
      </c>
      <c r="D3136" s="1">
        <v>22995.0</v>
      </c>
      <c r="E3136" s="1" t="str">
        <f>IFERROR(__xludf.DUMMYFUNCTION("IF(LEN(D3136)&gt;4, IFERROR(REGEXEXTRACT(TO_TEXT(D3136),""\d+""),""""),"""")"),"22995")</f>
        <v>22995</v>
      </c>
      <c r="F3136" s="6" t="str">
        <f t="shared" si="3"/>
        <v>Product</v>
      </c>
      <c r="G3136" s="1" t="s">
        <v>710</v>
      </c>
      <c r="H3136" s="6" t="str">
        <f>IFERROR(__xludf.DUMMYFUNCTION("IF(REGEXMATCH(LOWER(G3136), ""^(\?)+\s*(missing)?\s*(\?)*$""), """", PROPER(SUBSTITUTE(SUBSTITUTE(G3136, ""?"", """"), ""*"", """")))"),"Travel Card Wallet Suki")</f>
        <v>Travel Card Wallet Suki</v>
      </c>
      <c r="I3136" s="3">
        <v>8.0</v>
      </c>
      <c r="J3136" s="7">
        <v>40885.77916666667</v>
      </c>
      <c r="K3136" s="8" t="str">
        <f t="shared" si="4"/>
        <v>2011-12</v>
      </c>
      <c r="L3136" s="5">
        <v>0.42</v>
      </c>
      <c r="M3136" s="3">
        <v>17530.0</v>
      </c>
      <c r="N3136" s="1" t="str">
        <f t="shared" si="5"/>
        <v>Registered</v>
      </c>
      <c r="O3136" s="1" t="s">
        <v>19</v>
      </c>
      <c r="P3136" s="9" t="str">
        <f t="shared" si="6"/>
        <v>UK</v>
      </c>
      <c r="Q3136" s="8">
        <f t="shared" si="7"/>
        <v>3.36</v>
      </c>
    </row>
    <row r="3137">
      <c r="A3137" s="1">
        <v>581456.0</v>
      </c>
      <c r="B3137" s="1" t="str">
        <f t="shared" si="1"/>
        <v>581456</v>
      </c>
      <c r="C3137" s="1" t="str">
        <f t="shared" si="2"/>
        <v>Sale</v>
      </c>
      <c r="D3137" s="1">
        <v>22999.0</v>
      </c>
      <c r="E3137" s="1" t="str">
        <f>IFERROR(__xludf.DUMMYFUNCTION("IF(LEN(D3137)&gt;4, IFERROR(REGEXEXTRACT(TO_TEXT(D3137),""\d+""),""""),"""")"),"22999")</f>
        <v>22999</v>
      </c>
      <c r="F3137" s="6" t="str">
        <f t="shared" si="3"/>
        <v>Product</v>
      </c>
      <c r="G3137" s="1" t="s">
        <v>1466</v>
      </c>
      <c r="H3137" s="6" t="str">
        <f>IFERROR(__xludf.DUMMYFUNCTION("IF(REGEXMATCH(LOWER(G3137), ""^(\?)+\s*(missing)?\s*(\?)*$""), """", PROPER(SUBSTITUTE(SUBSTITUTE(G3137, ""?"", """"), ""*"", """")))"),"Travel Card Wallet Vintage Leaf")</f>
        <v>Travel Card Wallet Vintage Leaf</v>
      </c>
      <c r="I3137" s="3">
        <v>12.0</v>
      </c>
      <c r="J3137" s="7">
        <v>40885.77916666667</v>
      </c>
      <c r="K3137" s="8" t="str">
        <f t="shared" si="4"/>
        <v>2011-12</v>
      </c>
      <c r="L3137" s="5">
        <v>0.42</v>
      </c>
      <c r="M3137" s="3">
        <v>17530.0</v>
      </c>
      <c r="N3137" s="1" t="str">
        <f t="shared" si="5"/>
        <v>Registered</v>
      </c>
      <c r="O3137" s="1" t="s">
        <v>19</v>
      </c>
      <c r="P3137" s="9" t="str">
        <f t="shared" si="6"/>
        <v>UK</v>
      </c>
      <c r="Q3137" s="8">
        <f t="shared" si="7"/>
        <v>5.04</v>
      </c>
    </row>
    <row r="3138">
      <c r="A3138" s="1">
        <v>581456.0</v>
      </c>
      <c r="B3138" s="1" t="str">
        <f t="shared" si="1"/>
        <v>581456</v>
      </c>
      <c r="C3138" s="1" t="str">
        <f t="shared" si="2"/>
        <v>Sale</v>
      </c>
      <c r="D3138" s="1">
        <v>22111.0</v>
      </c>
      <c r="E3138" s="1" t="str">
        <f>IFERROR(__xludf.DUMMYFUNCTION("IF(LEN(D3138)&gt;4, IFERROR(REGEXEXTRACT(TO_TEXT(D3138),""\d+""),""""),"""")"),"22111")</f>
        <v>22111</v>
      </c>
      <c r="F3138" s="6" t="str">
        <f t="shared" si="3"/>
        <v>Product</v>
      </c>
      <c r="G3138" s="1" t="s">
        <v>270</v>
      </c>
      <c r="H3138" s="6" t="str">
        <f>IFERROR(__xludf.DUMMYFUNCTION("IF(REGEXMATCH(LOWER(G3138), ""^(\?)+\s*(missing)?\s*(\?)*$""), """", PROPER(SUBSTITUTE(SUBSTITUTE(G3138, ""?"", """"), ""*"", """")))"),"Scottie Dog Hot Water Bottle")</f>
        <v>Scottie Dog Hot Water Bottle</v>
      </c>
      <c r="I3138" s="3">
        <v>4.0</v>
      </c>
      <c r="J3138" s="7">
        <v>40885.77916666667</v>
      </c>
      <c r="K3138" s="8" t="str">
        <f t="shared" si="4"/>
        <v>2011-12</v>
      </c>
      <c r="L3138" s="5">
        <v>4.95</v>
      </c>
      <c r="M3138" s="3">
        <v>17530.0</v>
      </c>
      <c r="N3138" s="1" t="str">
        <f t="shared" si="5"/>
        <v>Registered</v>
      </c>
      <c r="O3138" s="1" t="s">
        <v>19</v>
      </c>
      <c r="P3138" s="9" t="str">
        <f t="shared" si="6"/>
        <v>UK</v>
      </c>
      <c r="Q3138" s="8">
        <f t="shared" si="7"/>
        <v>19.8</v>
      </c>
    </row>
    <row r="3139">
      <c r="A3139" s="1">
        <v>581456.0</v>
      </c>
      <c r="B3139" s="1" t="str">
        <f t="shared" si="1"/>
        <v>581456</v>
      </c>
      <c r="C3139" s="1" t="str">
        <f t="shared" si="2"/>
        <v>Sale</v>
      </c>
      <c r="D3139" s="1">
        <v>23329.0</v>
      </c>
      <c r="E3139" s="1" t="str">
        <f>IFERROR(__xludf.DUMMYFUNCTION("IF(LEN(D3139)&gt;4, IFERROR(REGEXEXTRACT(TO_TEXT(D3139),""\d+""),""""),"""")"),"23329")</f>
        <v>23329</v>
      </c>
      <c r="F3139" s="6" t="str">
        <f t="shared" si="3"/>
        <v>Product</v>
      </c>
      <c r="G3139" s="1" t="s">
        <v>1459</v>
      </c>
      <c r="H3139" s="6" t="str">
        <f>IFERROR(__xludf.DUMMYFUNCTION("IF(REGEXMATCH(LOWER(G3139), ""^(\?)+\s*(missing)?\s*(\?)*$""), """", PROPER(SUBSTITUTE(SUBSTITUTE(G3139, ""?"", """"), ""*"", """")))"),"Decorative Wicker Heart Large")</f>
        <v>Decorative Wicker Heart Large</v>
      </c>
      <c r="I3139" s="3">
        <v>2.0</v>
      </c>
      <c r="J3139" s="7">
        <v>40885.77916666667</v>
      </c>
      <c r="K3139" s="8" t="str">
        <f t="shared" si="4"/>
        <v>2011-12</v>
      </c>
      <c r="L3139" s="5">
        <v>1.65</v>
      </c>
      <c r="M3139" s="3">
        <v>17530.0</v>
      </c>
      <c r="N3139" s="1" t="str">
        <f t="shared" si="5"/>
        <v>Registered</v>
      </c>
      <c r="O3139" s="1" t="s">
        <v>19</v>
      </c>
      <c r="P3139" s="9" t="str">
        <f t="shared" si="6"/>
        <v>UK</v>
      </c>
      <c r="Q3139" s="8">
        <f t="shared" si="7"/>
        <v>3.3</v>
      </c>
    </row>
    <row r="3140">
      <c r="A3140" s="1">
        <v>581456.0</v>
      </c>
      <c r="B3140" s="1" t="str">
        <f t="shared" si="1"/>
        <v>581456</v>
      </c>
      <c r="C3140" s="1" t="str">
        <f t="shared" si="2"/>
        <v>Sale</v>
      </c>
      <c r="D3140" s="1">
        <v>23331.0</v>
      </c>
      <c r="E3140" s="1" t="str">
        <f>IFERROR(__xludf.DUMMYFUNCTION("IF(LEN(D3140)&gt;4, IFERROR(REGEXEXTRACT(TO_TEXT(D3140),""\d+""),""""),"""")"),"23331")</f>
        <v>23331</v>
      </c>
      <c r="F3140" s="6" t="str">
        <f t="shared" si="3"/>
        <v>Product</v>
      </c>
      <c r="G3140" s="1" t="s">
        <v>1457</v>
      </c>
      <c r="H3140" s="6" t="str">
        <f>IFERROR(__xludf.DUMMYFUNCTION("IF(REGEXMATCH(LOWER(G3140), ""^(\?)+\s*(missing)?\s*(\?)*$""), """", PROPER(SUBSTITUTE(SUBSTITUTE(G3140, ""?"", """"), ""*"", """")))"),"Decorative Wicker Heart Small")</f>
        <v>Decorative Wicker Heart Small</v>
      </c>
      <c r="I3140" s="3">
        <v>1.0</v>
      </c>
      <c r="J3140" s="7">
        <v>40885.77916666667</v>
      </c>
      <c r="K3140" s="8" t="str">
        <f t="shared" si="4"/>
        <v>2011-12</v>
      </c>
      <c r="L3140" s="5">
        <v>0.63</v>
      </c>
      <c r="M3140" s="3">
        <v>17530.0</v>
      </c>
      <c r="N3140" s="1" t="str">
        <f t="shared" si="5"/>
        <v>Registered</v>
      </c>
      <c r="O3140" s="1" t="s">
        <v>19</v>
      </c>
      <c r="P3140" s="9" t="str">
        <f t="shared" si="6"/>
        <v>UK</v>
      </c>
      <c r="Q3140" s="8">
        <f t="shared" si="7"/>
        <v>0.63</v>
      </c>
    </row>
    <row r="3141">
      <c r="A3141" s="1">
        <v>581456.0</v>
      </c>
      <c r="B3141" s="1" t="str">
        <f t="shared" si="1"/>
        <v>581456</v>
      </c>
      <c r="C3141" s="1" t="str">
        <f t="shared" si="2"/>
        <v>Sale</v>
      </c>
      <c r="D3141" s="1">
        <v>23330.0</v>
      </c>
      <c r="E3141" s="1" t="str">
        <f>IFERROR(__xludf.DUMMYFUNCTION("IF(LEN(D3141)&gt;4, IFERROR(REGEXEXTRACT(TO_TEXT(D3141),""\d+""),""""),"""")"),"23330")</f>
        <v>23330</v>
      </c>
      <c r="F3141" s="6" t="str">
        <f t="shared" si="3"/>
        <v>Product</v>
      </c>
      <c r="G3141" s="1" t="s">
        <v>1458</v>
      </c>
      <c r="H3141" s="6" t="str">
        <f>IFERROR(__xludf.DUMMYFUNCTION("IF(REGEXMATCH(LOWER(G3141), ""^(\?)+\s*(missing)?\s*(\?)*$""), """", PROPER(SUBSTITUTE(SUBSTITUTE(G3141, ""?"", """"), ""*"", """")))"),"Decorative Wicker Heart Medium")</f>
        <v>Decorative Wicker Heart Medium</v>
      </c>
      <c r="I3141" s="3">
        <v>4.0</v>
      </c>
      <c r="J3141" s="7">
        <v>40885.77916666667</v>
      </c>
      <c r="K3141" s="8" t="str">
        <f t="shared" si="4"/>
        <v>2011-12</v>
      </c>
      <c r="L3141" s="5">
        <v>1.25</v>
      </c>
      <c r="M3141" s="3">
        <v>17530.0</v>
      </c>
      <c r="N3141" s="1" t="str">
        <f t="shared" si="5"/>
        <v>Registered</v>
      </c>
      <c r="O3141" s="1" t="s">
        <v>19</v>
      </c>
      <c r="P3141" s="9" t="str">
        <f t="shared" si="6"/>
        <v>UK</v>
      </c>
      <c r="Q3141" s="8">
        <f t="shared" si="7"/>
        <v>5</v>
      </c>
    </row>
    <row r="3142">
      <c r="A3142" s="1">
        <v>581456.0</v>
      </c>
      <c r="B3142" s="1" t="str">
        <f t="shared" si="1"/>
        <v>581456</v>
      </c>
      <c r="C3142" s="1" t="str">
        <f t="shared" si="2"/>
        <v>Sale</v>
      </c>
      <c r="D3142" s="1">
        <v>84380.0</v>
      </c>
      <c r="E3142" s="1" t="str">
        <f>IFERROR(__xludf.DUMMYFUNCTION("IF(LEN(D3142)&gt;4, IFERROR(REGEXEXTRACT(TO_TEXT(D3142),""\d+""),""""),"""")"),"84380")</f>
        <v>84380</v>
      </c>
      <c r="F3142" s="6" t="str">
        <f t="shared" si="3"/>
        <v>Product</v>
      </c>
      <c r="G3142" s="1" t="s">
        <v>349</v>
      </c>
      <c r="H3142" s="6" t="str">
        <f>IFERROR(__xludf.DUMMYFUNCTION("IF(REGEXMATCH(LOWER(G3142), ""^(\?)+\s*(missing)?\s*(\?)*$""), """", PROPER(SUBSTITUTE(SUBSTITUTE(G3142, ""?"", """"), ""*"", """")))"),"Set Of 3 Butterfly Cookie Cutters")</f>
        <v>Set Of 3 Butterfly Cookie Cutters</v>
      </c>
      <c r="I3142" s="3">
        <v>1.0</v>
      </c>
      <c r="J3142" s="7">
        <v>40885.77916666667</v>
      </c>
      <c r="K3142" s="8" t="str">
        <f t="shared" si="4"/>
        <v>2011-12</v>
      </c>
      <c r="L3142" s="5">
        <v>1.45</v>
      </c>
      <c r="M3142" s="3">
        <v>17530.0</v>
      </c>
      <c r="N3142" s="1" t="str">
        <f t="shared" si="5"/>
        <v>Registered</v>
      </c>
      <c r="O3142" s="1" t="s">
        <v>19</v>
      </c>
      <c r="P3142" s="9" t="str">
        <f t="shared" si="6"/>
        <v>UK</v>
      </c>
      <c r="Q3142" s="8">
        <f t="shared" si="7"/>
        <v>1.45</v>
      </c>
    </row>
    <row r="3143">
      <c r="A3143" s="1">
        <v>581456.0</v>
      </c>
      <c r="B3143" s="1" t="str">
        <f t="shared" si="1"/>
        <v>581456</v>
      </c>
      <c r="C3143" s="1" t="str">
        <f t="shared" si="2"/>
        <v>Sale</v>
      </c>
      <c r="D3143" s="1">
        <v>22910.0</v>
      </c>
      <c r="E3143" s="1" t="str">
        <f>IFERROR(__xludf.DUMMYFUNCTION("IF(LEN(D3143)&gt;4, IFERROR(REGEXEXTRACT(TO_TEXT(D3143),""\d+""),""""),"""")"),"22910")</f>
        <v>22910</v>
      </c>
      <c r="F3143" s="6" t="str">
        <f t="shared" si="3"/>
        <v>Product</v>
      </c>
      <c r="G3143" s="1" t="s">
        <v>215</v>
      </c>
      <c r="H3143" s="6" t="str">
        <f>IFERROR(__xludf.DUMMYFUNCTION("IF(REGEXMATCH(LOWER(G3143), ""^(\?)+\s*(missing)?\s*(\?)*$""), """", PROPER(SUBSTITUTE(SUBSTITUTE(G3143, ""?"", """"), ""*"", """")))"),"Paper Chain Kit Vintage Christmas")</f>
        <v>Paper Chain Kit Vintage Christmas</v>
      </c>
      <c r="I3143" s="3">
        <v>3.0</v>
      </c>
      <c r="J3143" s="7">
        <v>40885.77916666667</v>
      </c>
      <c r="K3143" s="8" t="str">
        <f t="shared" si="4"/>
        <v>2011-12</v>
      </c>
      <c r="L3143" s="5">
        <v>2.95</v>
      </c>
      <c r="M3143" s="3">
        <v>17530.0</v>
      </c>
      <c r="N3143" s="1" t="str">
        <f t="shared" si="5"/>
        <v>Registered</v>
      </c>
      <c r="O3143" s="1" t="s">
        <v>19</v>
      </c>
      <c r="P3143" s="9" t="str">
        <f t="shared" si="6"/>
        <v>UK</v>
      </c>
      <c r="Q3143" s="8">
        <f t="shared" si="7"/>
        <v>8.85</v>
      </c>
    </row>
    <row r="3144">
      <c r="A3144" s="1">
        <v>581456.0</v>
      </c>
      <c r="B3144" s="1" t="str">
        <f t="shared" si="1"/>
        <v>581456</v>
      </c>
      <c r="C3144" s="1" t="str">
        <f t="shared" si="2"/>
        <v>Sale</v>
      </c>
      <c r="D3144" s="1">
        <v>21790.0</v>
      </c>
      <c r="E3144" s="1" t="str">
        <f>IFERROR(__xludf.DUMMYFUNCTION("IF(LEN(D3144)&gt;4, IFERROR(REGEXEXTRACT(TO_TEXT(D3144),""\d+""),""""),"""")"),"21790")</f>
        <v>21790</v>
      </c>
      <c r="F3144" s="6" t="str">
        <f t="shared" si="3"/>
        <v>Product</v>
      </c>
      <c r="G3144" s="1" t="s">
        <v>477</v>
      </c>
      <c r="H3144" s="6" t="str">
        <f>IFERROR(__xludf.DUMMYFUNCTION("IF(REGEXMATCH(LOWER(G3144), ""^(\?)+\s*(missing)?\s*(\?)*$""), """", PROPER(SUBSTITUTE(SUBSTITUTE(G3144, ""?"", """"), ""*"", """")))"),"Vintage Snap Cards")</f>
        <v>Vintage Snap Cards</v>
      </c>
      <c r="I3144" s="3">
        <v>10.0</v>
      </c>
      <c r="J3144" s="7">
        <v>40885.77916666667</v>
      </c>
      <c r="K3144" s="8" t="str">
        <f t="shared" si="4"/>
        <v>2011-12</v>
      </c>
      <c r="L3144" s="5">
        <v>0.85</v>
      </c>
      <c r="M3144" s="3">
        <v>17530.0</v>
      </c>
      <c r="N3144" s="1" t="str">
        <f t="shared" si="5"/>
        <v>Registered</v>
      </c>
      <c r="O3144" s="1" t="s">
        <v>19</v>
      </c>
      <c r="P3144" s="9" t="str">
        <f t="shared" si="6"/>
        <v>UK</v>
      </c>
      <c r="Q3144" s="8">
        <f t="shared" si="7"/>
        <v>8.5</v>
      </c>
    </row>
    <row r="3145">
      <c r="A3145" s="1">
        <v>581456.0</v>
      </c>
      <c r="B3145" s="1" t="str">
        <f t="shared" si="1"/>
        <v>581456</v>
      </c>
      <c r="C3145" s="1" t="str">
        <f t="shared" si="2"/>
        <v>Sale</v>
      </c>
      <c r="D3145" s="1">
        <v>22964.0</v>
      </c>
      <c r="E3145" s="1" t="str">
        <f>IFERROR(__xludf.DUMMYFUNCTION("IF(LEN(D3145)&gt;4, IFERROR(REGEXEXTRACT(TO_TEXT(D3145),""\d+""),""""),"""")"),"22964")</f>
        <v>22964</v>
      </c>
      <c r="F3145" s="6" t="str">
        <f t="shared" si="3"/>
        <v>Product</v>
      </c>
      <c r="G3145" s="1" t="s">
        <v>351</v>
      </c>
      <c r="H3145" s="6" t="str">
        <f>IFERROR(__xludf.DUMMYFUNCTION("IF(REGEXMATCH(LOWER(G3145), ""^(\?)+\s*(missing)?\s*(\?)*$""), """", PROPER(SUBSTITUTE(SUBSTITUTE(G3145, ""?"", """"), ""*"", """")))"),"3 Piece Spaceboy Cookie Cutter Set")</f>
        <v>3 Piece Spaceboy Cookie Cutter Set</v>
      </c>
      <c r="I3145" s="3">
        <v>2.0</v>
      </c>
      <c r="J3145" s="7">
        <v>40885.77916666667</v>
      </c>
      <c r="K3145" s="8" t="str">
        <f t="shared" si="4"/>
        <v>2011-12</v>
      </c>
      <c r="L3145" s="5">
        <v>2.1</v>
      </c>
      <c r="M3145" s="3">
        <v>17530.0</v>
      </c>
      <c r="N3145" s="1" t="str">
        <f t="shared" si="5"/>
        <v>Registered</v>
      </c>
      <c r="O3145" s="1" t="s">
        <v>19</v>
      </c>
      <c r="P3145" s="9" t="str">
        <f t="shared" si="6"/>
        <v>UK</v>
      </c>
      <c r="Q3145" s="8">
        <f t="shared" si="7"/>
        <v>4.2</v>
      </c>
    </row>
    <row r="3146">
      <c r="A3146" s="1">
        <v>581456.0</v>
      </c>
      <c r="B3146" s="1" t="str">
        <f t="shared" si="1"/>
        <v>581456</v>
      </c>
      <c r="C3146" s="1" t="str">
        <f t="shared" si="2"/>
        <v>Sale</v>
      </c>
      <c r="D3146" s="1">
        <v>23570.0</v>
      </c>
      <c r="E3146" s="1" t="str">
        <f>IFERROR(__xludf.DUMMYFUNCTION("IF(LEN(D3146)&gt;4, IFERROR(REGEXEXTRACT(TO_TEXT(D3146),""\d+""),""""),"""")"),"23570")</f>
        <v>23570</v>
      </c>
      <c r="F3146" s="6" t="str">
        <f t="shared" si="3"/>
        <v>Product</v>
      </c>
      <c r="G3146" s="1" t="s">
        <v>1467</v>
      </c>
      <c r="H3146" s="6" t="str">
        <f>IFERROR(__xludf.DUMMYFUNCTION("IF(REGEXMATCH(LOWER(G3146), ""^(\?)+\s*(missing)?\s*(\?)*$""), """", PROPER(SUBSTITUTE(SUBSTITUTE(G3146, ""?"", """"), ""*"", """")))"),"Traditional Pick Up Sticks Game")</f>
        <v>Traditional Pick Up Sticks Game</v>
      </c>
      <c r="I3146" s="3">
        <v>3.0</v>
      </c>
      <c r="J3146" s="7">
        <v>40885.77916666667</v>
      </c>
      <c r="K3146" s="8" t="str">
        <f t="shared" si="4"/>
        <v>2011-12</v>
      </c>
      <c r="L3146" s="5">
        <v>1.25</v>
      </c>
      <c r="M3146" s="3">
        <v>17530.0</v>
      </c>
      <c r="N3146" s="1" t="str">
        <f t="shared" si="5"/>
        <v>Registered</v>
      </c>
      <c r="O3146" s="1" t="s">
        <v>19</v>
      </c>
      <c r="P3146" s="9" t="str">
        <f t="shared" si="6"/>
        <v>UK</v>
      </c>
      <c r="Q3146" s="8">
        <f t="shared" si="7"/>
        <v>3.75</v>
      </c>
    </row>
    <row r="3147">
      <c r="A3147" s="1">
        <v>581456.0</v>
      </c>
      <c r="B3147" s="1" t="str">
        <f t="shared" si="1"/>
        <v>581456</v>
      </c>
      <c r="C3147" s="1" t="str">
        <f t="shared" si="2"/>
        <v>Sale</v>
      </c>
      <c r="D3147" s="1">
        <v>23571.0</v>
      </c>
      <c r="E3147" s="1" t="str">
        <f>IFERROR(__xludf.DUMMYFUNCTION("IF(LEN(D3147)&gt;4, IFERROR(REGEXEXTRACT(TO_TEXT(D3147),""\d+""),""""),"""")"),"23571")</f>
        <v>23571</v>
      </c>
      <c r="F3147" s="6" t="str">
        <f t="shared" si="3"/>
        <v>Product</v>
      </c>
      <c r="G3147" s="1" t="s">
        <v>1468</v>
      </c>
      <c r="H3147" s="6" t="str">
        <f>IFERROR(__xludf.DUMMYFUNCTION("IF(REGEXMATCH(LOWER(G3147), ""^(\?)+\s*(missing)?\s*(\?)*$""), """", PROPER(SUBSTITUTE(SUBSTITUTE(G3147, ""?"", """"), ""*"", """")))"),"Traditional Naughts &amp; Crosses")</f>
        <v>Traditional Naughts &amp; Crosses</v>
      </c>
      <c r="I3147" s="3">
        <v>4.0</v>
      </c>
      <c r="J3147" s="7">
        <v>40885.77916666667</v>
      </c>
      <c r="K3147" s="8" t="str">
        <f t="shared" si="4"/>
        <v>2011-12</v>
      </c>
      <c r="L3147" s="5">
        <v>1.65</v>
      </c>
      <c r="M3147" s="3">
        <v>17530.0</v>
      </c>
      <c r="N3147" s="1" t="str">
        <f t="shared" si="5"/>
        <v>Registered</v>
      </c>
      <c r="O3147" s="1" t="s">
        <v>19</v>
      </c>
      <c r="P3147" s="9" t="str">
        <f t="shared" si="6"/>
        <v>UK</v>
      </c>
      <c r="Q3147" s="8">
        <f t="shared" si="7"/>
        <v>6.6</v>
      </c>
    </row>
    <row r="3148">
      <c r="A3148" s="1">
        <v>581456.0</v>
      </c>
      <c r="B3148" s="1" t="str">
        <f t="shared" si="1"/>
        <v>581456</v>
      </c>
      <c r="C3148" s="1" t="str">
        <f t="shared" si="2"/>
        <v>Sale</v>
      </c>
      <c r="D3148" s="1">
        <v>21889.0</v>
      </c>
      <c r="E3148" s="1" t="str">
        <f>IFERROR(__xludf.DUMMYFUNCTION("IF(LEN(D3148)&gt;4, IFERROR(REGEXEXTRACT(TO_TEXT(D3148),""\d+""),""""),"""")"),"21889")</f>
        <v>21889</v>
      </c>
      <c r="F3148" s="6" t="str">
        <f t="shared" si="3"/>
        <v>Product</v>
      </c>
      <c r="G3148" s="1" t="s">
        <v>238</v>
      </c>
      <c r="H3148" s="6" t="str">
        <f>IFERROR(__xludf.DUMMYFUNCTION("IF(REGEXMATCH(LOWER(G3148), ""^(\?)+\s*(missing)?\s*(\?)*$""), """", PROPER(SUBSTITUTE(SUBSTITUTE(G3148, ""?"", """"), ""*"", """")))"),"Wooden Box Of Dominoes")</f>
        <v>Wooden Box Of Dominoes</v>
      </c>
      <c r="I3148" s="3">
        <v>3.0</v>
      </c>
      <c r="J3148" s="7">
        <v>40885.77916666667</v>
      </c>
      <c r="K3148" s="8" t="str">
        <f t="shared" si="4"/>
        <v>2011-12</v>
      </c>
      <c r="L3148" s="5">
        <v>1.25</v>
      </c>
      <c r="M3148" s="3">
        <v>17530.0</v>
      </c>
      <c r="N3148" s="1" t="str">
        <f t="shared" si="5"/>
        <v>Registered</v>
      </c>
      <c r="O3148" s="1" t="s">
        <v>19</v>
      </c>
      <c r="P3148" s="9" t="str">
        <f t="shared" si="6"/>
        <v>UK</v>
      </c>
      <c r="Q3148" s="8">
        <f t="shared" si="7"/>
        <v>3.75</v>
      </c>
    </row>
    <row r="3149">
      <c r="A3149" s="1">
        <v>581456.0</v>
      </c>
      <c r="B3149" s="1" t="str">
        <f t="shared" si="1"/>
        <v>581456</v>
      </c>
      <c r="C3149" s="1" t="str">
        <f t="shared" si="2"/>
        <v>Sale</v>
      </c>
      <c r="D3149" s="1">
        <v>23569.0</v>
      </c>
      <c r="E3149" s="1" t="str">
        <f>IFERROR(__xludf.DUMMYFUNCTION("IF(LEN(D3149)&gt;4, IFERROR(REGEXEXTRACT(TO_TEXT(D3149),""\d+""),""""),"""")"),"23569")</f>
        <v>23569</v>
      </c>
      <c r="F3149" s="6" t="str">
        <f t="shared" si="3"/>
        <v>Product</v>
      </c>
      <c r="G3149" s="1" t="s">
        <v>1469</v>
      </c>
      <c r="H3149" s="6" t="str">
        <f>IFERROR(__xludf.DUMMYFUNCTION("IF(REGEXMATCH(LOWER(G3149), ""^(\?)+\s*(missing)?\s*(\?)*$""), """", PROPER(SUBSTITUTE(SUBSTITUTE(G3149, ""?"", """"), ""*"", """")))"),"Tradtional Alphabet Stamp Set")</f>
        <v>Tradtional Alphabet Stamp Set</v>
      </c>
      <c r="I3149" s="3">
        <v>3.0</v>
      </c>
      <c r="J3149" s="7">
        <v>40885.77916666667</v>
      </c>
      <c r="K3149" s="8" t="str">
        <f t="shared" si="4"/>
        <v>2011-12</v>
      </c>
      <c r="L3149" s="5">
        <v>4.95</v>
      </c>
      <c r="M3149" s="3">
        <v>17530.0</v>
      </c>
      <c r="N3149" s="1" t="str">
        <f t="shared" si="5"/>
        <v>Registered</v>
      </c>
      <c r="O3149" s="1" t="s">
        <v>19</v>
      </c>
      <c r="P3149" s="9" t="str">
        <f t="shared" si="6"/>
        <v>UK</v>
      </c>
      <c r="Q3149" s="8">
        <f t="shared" si="7"/>
        <v>14.85</v>
      </c>
    </row>
    <row r="3150">
      <c r="A3150" s="1">
        <v>581456.0</v>
      </c>
      <c r="B3150" s="1" t="str">
        <f t="shared" si="1"/>
        <v>581456</v>
      </c>
      <c r="C3150" s="1" t="str">
        <f t="shared" si="2"/>
        <v>Sale</v>
      </c>
      <c r="D3150" s="1">
        <v>21123.0</v>
      </c>
      <c r="E3150" s="1" t="str">
        <f>IFERROR(__xludf.DUMMYFUNCTION("IF(LEN(D3150)&gt;4, IFERROR(REGEXEXTRACT(TO_TEXT(D3150),""\d+""),""""),"""")"),"21123")</f>
        <v>21123</v>
      </c>
      <c r="F3150" s="6" t="str">
        <f t="shared" si="3"/>
        <v>Product</v>
      </c>
      <c r="G3150" s="1" t="s">
        <v>681</v>
      </c>
      <c r="H3150" s="6" t="str">
        <f>IFERROR(__xludf.DUMMYFUNCTION("IF(REGEXMATCH(LOWER(G3150), ""^(\?)+\s*(missing)?\s*(\?)*$""), """", PROPER(SUBSTITUTE(SUBSTITUTE(G3150, ""?"", """"), ""*"", """")))"),"Set/10 Ivory Polkadot Party Candles")</f>
        <v>Set/10 Ivory Polkadot Party Candles</v>
      </c>
      <c r="I3150" s="3">
        <v>1.0</v>
      </c>
      <c r="J3150" s="7">
        <v>40885.77916666667</v>
      </c>
      <c r="K3150" s="8" t="str">
        <f t="shared" si="4"/>
        <v>2011-12</v>
      </c>
      <c r="L3150" s="5">
        <v>1.25</v>
      </c>
      <c r="M3150" s="3">
        <v>17530.0</v>
      </c>
      <c r="N3150" s="1" t="str">
        <f t="shared" si="5"/>
        <v>Registered</v>
      </c>
      <c r="O3150" s="1" t="s">
        <v>19</v>
      </c>
      <c r="P3150" s="9" t="str">
        <f t="shared" si="6"/>
        <v>UK</v>
      </c>
      <c r="Q3150" s="8">
        <f t="shared" si="7"/>
        <v>1.25</v>
      </c>
    </row>
    <row r="3151">
      <c r="A3151" s="1">
        <v>581456.0</v>
      </c>
      <c r="B3151" s="1" t="str">
        <f t="shared" si="1"/>
        <v>581456</v>
      </c>
      <c r="C3151" s="1" t="str">
        <f t="shared" si="2"/>
        <v>Sale</v>
      </c>
      <c r="D3151" s="1">
        <v>21124.0</v>
      </c>
      <c r="E3151" s="1" t="str">
        <f>IFERROR(__xludf.DUMMYFUNCTION("IF(LEN(D3151)&gt;4, IFERROR(REGEXEXTRACT(TO_TEXT(D3151),""\d+""),""""),"""")"),"21124")</f>
        <v>21124</v>
      </c>
      <c r="F3151" s="6" t="str">
        <f t="shared" si="3"/>
        <v>Product</v>
      </c>
      <c r="G3151" s="1" t="s">
        <v>584</v>
      </c>
      <c r="H3151" s="6" t="str">
        <f>IFERROR(__xludf.DUMMYFUNCTION("IF(REGEXMATCH(LOWER(G3151), ""^(\?)+\s*(missing)?\s*(\?)*$""), """", PROPER(SUBSTITUTE(SUBSTITUTE(G3151, ""?"", """"), ""*"", """")))"),"Set/10 Blue Polkadot Party Candles")</f>
        <v>Set/10 Blue Polkadot Party Candles</v>
      </c>
      <c r="I3151" s="3">
        <v>8.0</v>
      </c>
      <c r="J3151" s="7">
        <v>40885.77916666667</v>
      </c>
      <c r="K3151" s="8" t="str">
        <f t="shared" si="4"/>
        <v>2011-12</v>
      </c>
      <c r="L3151" s="5">
        <v>1.25</v>
      </c>
      <c r="M3151" s="3">
        <v>17530.0</v>
      </c>
      <c r="N3151" s="1" t="str">
        <f t="shared" si="5"/>
        <v>Registered</v>
      </c>
      <c r="O3151" s="1" t="s">
        <v>19</v>
      </c>
      <c r="P3151" s="9" t="str">
        <f t="shared" si="6"/>
        <v>UK</v>
      </c>
      <c r="Q3151" s="8">
        <f t="shared" si="7"/>
        <v>10</v>
      </c>
    </row>
    <row r="3152">
      <c r="A3152" s="1">
        <v>581456.0</v>
      </c>
      <c r="B3152" s="1" t="str">
        <f t="shared" si="1"/>
        <v>581456</v>
      </c>
      <c r="C3152" s="1" t="str">
        <f t="shared" si="2"/>
        <v>Sale</v>
      </c>
      <c r="D3152" s="1">
        <v>21122.0</v>
      </c>
      <c r="E3152" s="1" t="str">
        <f>IFERROR(__xludf.DUMMYFUNCTION("IF(LEN(D3152)&gt;4, IFERROR(REGEXEXTRACT(TO_TEXT(D3152),""\d+""),""""),"""")"),"21122")</f>
        <v>21122</v>
      </c>
      <c r="F3152" s="6" t="str">
        <f t="shared" si="3"/>
        <v>Product</v>
      </c>
      <c r="G3152" s="1" t="s">
        <v>302</v>
      </c>
      <c r="H3152" s="6" t="str">
        <f>IFERROR(__xludf.DUMMYFUNCTION("IF(REGEXMATCH(LOWER(G3152), ""^(\?)+\s*(missing)?\s*(\?)*$""), """", PROPER(SUBSTITUTE(SUBSTITUTE(G3152, ""?"", """"), ""*"", """")))"),"Set/10 Pink Polkadot Party Candles")</f>
        <v>Set/10 Pink Polkadot Party Candles</v>
      </c>
      <c r="I3152" s="3">
        <v>8.0</v>
      </c>
      <c r="J3152" s="7">
        <v>40885.77916666667</v>
      </c>
      <c r="K3152" s="8" t="str">
        <f t="shared" si="4"/>
        <v>2011-12</v>
      </c>
      <c r="L3152" s="5">
        <v>1.25</v>
      </c>
      <c r="M3152" s="3">
        <v>17530.0</v>
      </c>
      <c r="N3152" s="1" t="str">
        <f t="shared" si="5"/>
        <v>Registered</v>
      </c>
      <c r="O3152" s="1" t="s">
        <v>19</v>
      </c>
      <c r="P3152" s="9" t="str">
        <f t="shared" si="6"/>
        <v>UK</v>
      </c>
      <c r="Q3152" s="8">
        <f t="shared" si="7"/>
        <v>10</v>
      </c>
    </row>
    <row r="3153">
      <c r="A3153" s="1">
        <v>581456.0</v>
      </c>
      <c r="B3153" s="1" t="str">
        <f t="shared" si="1"/>
        <v>581456</v>
      </c>
      <c r="C3153" s="1" t="str">
        <f t="shared" si="2"/>
        <v>Sale</v>
      </c>
      <c r="D3153" s="1">
        <v>21121.0</v>
      </c>
      <c r="E3153" s="1" t="str">
        <f>IFERROR(__xludf.DUMMYFUNCTION("IF(LEN(D3153)&gt;4, IFERROR(REGEXEXTRACT(TO_TEXT(D3153),""\d+""),""""),"""")"),"21121")</f>
        <v>21121</v>
      </c>
      <c r="F3153" s="6" t="str">
        <f t="shared" si="3"/>
        <v>Product</v>
      </c>
      <c r="G3153" s="1" t="s">
        <v>558</v>
      </c>
      <c r="H3153" s="6" t="str">
        <f>IFERROR(__xludf.DUMMYFUNCTION("IF(REGEXMATCH(LOWER(G3153), ""^(\?)+\s*(missing)?\s*(\?)*$""), """", PROPER(SUBSTITUTE(SUBSTITUTE(G3153, ""?"", """"), ""*"", """")))"),"Set/10 Red Polkadot Party Candles")</f>
        <v>Set/10 Red Polkadot Party Candles</v>
      </c>
      <c r="I3153" s="3">
        <v>4.0</v>
      </c>
      <c r="J3153" s="7">
        <v>40885.77916666667</v>
      </c>
      <c r="K3153" s="8" t="str">
        <f t="shared" si="4"/>
        <v>2011-12</v>
      </c>
      <c r="L3153" s="5">
        <v>1.25</v>
      </c>
      <c r="M3153" s="3">
        <v>17530.0</v>
      </c>
      <c r="N3153" s="1" t="str">
        <f t="shared" si="5"/>
        <v>Registered</v>
      </c>
      <c r="O3153" s="1" t="s">
        <v>19</v>
      </c>
      <c r="P3153" s="9" t="str">
        <f t="shared" si="6"/>
        <v>UK</v>
      </c>
      <c r="Q3153" s="8">
        <f t="shared" si="7"/>
        <v>5</v>
      </c>
    </row>
    <row r="3154">
      <c r="A3154" s="1">
        <v>581456.0</v>
      </c>
      <c r="B3154" s="1" t="str">
        <f t="shared" si="1"/>
        <v>581456</v>
      </c>
      <c r="C3154" s="1" t="str">
        <f t="shared" si="2"/>
        <v>Sale</v>
      </c>
      <c r="D3154" s="1">
        <v>22606.0</v>
      </c>
      <c r="E3154" s="1" t="str">
        <f>IFERROR(__xludf.DUMMYFUNCTION("IF(LEN(D3154)&gt;4, IFERROR(REGEXEXTRACT(TO_TEXT(D3154),""\d+""),""""),"""")"),"22606")</f>
        <v>22606</v>
      </c>
      <c r="F3154" s="6" t="str">
        <f t="shared" si="3"/>
        <v>Product</v>
      </c>
      <c r="G3154" s="1" t="s">
        <v>797</v>
      </c>
      <c r="H3154" s="6" t="str">
        <f>IFERROR(__xludf.DUMMYFUNCTION("IF(REGEXMATCH(LOWER(G3154), ""^(\?)+\s*(missing)?\s*(\?)*$""), """", PROPER(SUBSTITUTE(SUBSTITUTE(G3154, ""?"", """"), ""*"", """")))"),"Wooden Skittles Garden Set")</f>
        <v>Wooden Skittles Garden Set</v>
      </c>
      <c r="I3154" s="3">
        <v>1.0</v>
      </c>
      <c r="J3154" s="7">
        <v>40885.77916666667</v>
      </c>
      <c r="K3154" s="8" t="str">
        <f t="shared" si="4"/>
        <v>2011-12</v>
      </c>
      <c r="L3154" s="5">
        <v>15.95</v>
      </c>
      <c r="M3154" s="3">
        <v>17530.0</v>
      </c>
      <c r="N3154" s="1" t="str">
        <f t="shared" si="5"/>
        <v>Registered</v>
      </c>
      <c r="O3154" s="1" t="s">
        <v>19</v>
      </c>
      <c r="P3154" s="9" t="str">
        <f t="shared" si="6"/>
        <v>UK</v>
      </c>
      <c r="Q3154" s="8">
        <f t="shared" si="7"/>
        <v>15.95</v>
      </c>
    </row>
    <row r="3155">
      <c r="A3155" s="1">
        <v>581456.0</v>
      </c>
      <c r="B3155" s="1" t="str">
        <f t="shared" si="1"/>
        <v>581456</v>
      </c>
      <c r="C3155" s="1" t="str">
        <f t="shared" si="2"/>
        <v>Sale</v>
      </c>
      <c r="D3155" s="1">
        <v>21034.0</v>
      </c>
      <c r="E3155" s="1" t="str">
        <f>IFERROR(__xludf.DUMMYFUNCTION("IF(LEN(D3155)&gt;4, IFERROR(REGEXEXTRACT(TO_TEXT(D3155),""\d+""),""""),"""")"),"21034")</f>
        <v>21034</v>
      </c>
      <c r="F3155" s="6" t="str">
        <f t="shared" si="3"/>
        <v>Product</v>
      </c>
      <c r="G3155" s="1" t="s">
        <v>452</v>
      </c>
      <c r="H3155" s="6" t="str">
        <f>IFERROR(__xludf.DUMMYFUNCTION("IF(REGEXMATCH(LOWER(G3155), ""^(\?)+\s*(missing)?\s*(\?)*$""), """", PROPER(SUBSTITUTE(SUBSTITUTE(G3155, ""?"", """"), ""*"", """")))"),"Rex Cash+Carry Jumbo Shopper")</f>
        <v>Rex Cash+Carry Jumbo Shopper</v>
      </c>
      <c r="I3155" s="3">
        <v>1.0</v>
      </c>
      <c r="J3155" s="7">
        <v>40885.77916666667</v>
      </c>
      <c r="K3155" s="8" t="str">
        <f t="shared" si="4"/>
        <v>2011-12</v>
      </c>
      <c r="L3155" s="5">
        <v>0.95</v>
      </c>
      <c r="M3155" s="3">
        <v>17530.0</v>
      </c>
      <c r="N3155" s="1" t="str">
        <f t="shared" si="5"/>
        <v>Registered</v>
      </c>
      <c r="O3155" s="1" t="s">
        <v>19</v>
      </c>
      <c r="P3155" s="9" t="str">
        <f t="shared" si="6"/>
        <v>UK</v>
      </c>
      <c r="Q3155" s="8">
        <f t="shared" si="7"/>
        <v>0.95</v>
      </c>
    </row>
    <row r="3156">
      <c r="A3156" s="1">
        <v>581457.0</v>
      </c>
      <c r="B3156" s="1" t="str">
        <f t="shared" si="1"/>
        <v>581457</v>
      </c>
      <c r="C3156" s="1" t="str">
        <f t="shared" si="2"/>
        <v>Sale</v>
      </c>
      <c r="D3156" s="1">
        <v>22188.0</v>
      </c>
      <c r="E3156" s="1" t="str">
        <f>IFERROR(__xludf.DUMMYFUNCTION("IF(LEN(D3156)&gt;4, IFERROR(REGEXEXTRACT(TO_TEXT(D3156),""\d+""),""""),"""")"),"22188")</f>
        <v>22188</v>
      </c>
      <c r="F3156" s="6" t="str">
        <f t="shared" si="3"/>
        <v>Product</v>
      </c>
      <c r="G3156" s="1" t="s">
        <v>253</v>
      </c>
      <c r="H3156" s="6" t="str">
        <f>IFERROR(__xludf.DUMMYFUNCTION("IF(REGEXMATCH(LOWER(G3156), ""^(\?)+\s*(missing)?\s*(\?)*$""), """", PROPER(SUBSTITUTE(SUBSTITUTE(G3156, ""?"", """"), ""*"", """")))"),"Black Heart Card Holder")</f>
        <v>Black Heart Card Holder</v>
      </c>
      <c r="I3156" s="3">
        <v>324.0</v>
      </c>
      <c r="J3156" s="7">
        <v>40885.779861111114</v>
      </c>
      <c r="K3156" s="8" t="str">
        <f t="shared" si="4"/>
        <v>2011-12</v>
      </c>
      <c r="L3156" s="5">
        <v>2.31</v>
      </c>
      <c r="M3156" s="3">
        <v>18102.0</v>
      </c>
      <c r="N3156" s="1" t="str">
        <f t="shared" si="5"/>
        <v>Registered</v>
      </c>
      <c r="O3156" s="1" t="s">
        <v>19</v>
      </c>
      <c r="P3156" s="9" t="str">
        <f t="shared" si="6"/>
        <v>UK</v>
      </c>
      <c r="Q3156" s="8">
        <f t="shared" si="7"/>
        <v>748.44</v>
      </c>
    </row>
    <row r="3157">
      <c r="A3157" s="1">
        <v>549027.0</v>
      </c>
      <c r="B3157" s="1" t="str">
        <f t="shared" si="1"/>
        <v>549027</v>
      </c>
      <c r="C3157" s="1" t="str">
        <f t="shared" si="2"/>
        <v>Sale</v>
      </c>
      <c r="D3157" s="1">
        <v>22726.0</v>
      </c>
      <c r="E3157" s="1" t="str">
        <f>IFERROR(__xludf.DUMMYFUNCTION("IF(LEN(D3157)&gt;4, IFERROR(REGEXEXTRACT(TO_TEXT(D3157),""\d+""),""""),"""")"),"22726")</f>
        <v>22726</v>
      </c>
      <c r="F3157" s="6" t="str">
        <f t="shared" si="3"/>
        <v>Product</v>
      </c>
      <c r="G3157" s="1" t="s">
        <v>51</v>
      </c>
      <c r="H3157" s="6" t="str">
        <f>IFERROR(__xludf.DUMMYFUNCTION("IF(REGEXMATCH(LOWER(G3157), ""^(\?)+\s*(missing)?\s*(\?)*$""), """", PROPER(SUBSTITUTE(SUBSTITUTE(G3157, ""?"", """"), ""*"", """")))"),"Alarm Clock Bakelike Green")</f>
        <v>Alarm Clock Bakelike Green</v>
      </c>
      <c r="I3157" s="3">
        <v>300.0</v>
      </c>
      <c r="J3157" s="7">
        <v>40638.70972222222</v>
      </c>
      <c r="K3157" s="8" t="str">
        <f t="shared" si="4"/>
        <v>2011-04</v>
      </c>
      <c r="L3157" s="5">
        <v>3.39</v>
      </c>
      <c r="M3157" s="3">
        <v>17857.0</v>
      </c>
      <c r="N3157" s="1" t="str">
        <f t="shared" si="5"/>
        <v>Registered</v>
      </c>
      <c r="O3157" s="1" t="s">
        <v>19</v>
      </c>
      <c r="P3157" s="9" t="str">
        <f t="shared" si="6"/>
        <v>UK</v>
      </c>
      <c r="Q3157" s="8">
        <f t="shared" si="7"/>
        <v>1017</v>
      </c>
    </row>
    <row r="3158">
      <c r="A3158" s="1">
        <v>538877.0</v>
      </c>
      <c r="B3158" s="1" t="str">
        <f t="shared" si="1"/>
        <v>538877</v>
      </c>
      <c r="C3158" s="1" t="str">
        <f t="shared" si="2"/>
        <v>Sale</v>
      </c>
      <c r="D3158" s="1" t="s">
        <v>25</v>
      </c>
      <c r="E3158" s="1" t="str">
        <f>IFERROR(__xludf.DUMMYFUNCTION("IF(LEN(D3158)&gt;4, IFERROR(REGEXEXTRACT(TO_TEXT(D3158),""\d+""),""""),"""")"),"84029")</f>
        <v>84029</v>
      </c>
      <c r="F3158" s="6" t="str">
        <f t="shared" si="3"/>
        <v>Product</v>
      </c>
      <c r="G3158" s="1" t="s">
        <v>26</v>
      </c>
      <c r="H3158" s="6" t="str">
        <f>IFERROR(__xludf.DUMMYFUNCTION("IF(REGEXMATCH(LOWER(G3158), ""^(\?)+\s*(missing)?\s*(\?)*$""), """", PROPER(SUBSTITUTE(SUBSTITUTE(G3158, ""?"", """"), ""*"", """")))"),"Red Woolly Hottie White Heart.")</f>
        <v>Red Woolly Hottie White Heart.</v>
      </c>
      <c r="I3158" s="3">
        <v>120.0</v>
      </c>
      <c r="J3158" s="7">
        <v>40526.64513888889</v>
      </c>
      <c r="K3158" s="8" t="str">
        <f t="shared" si="4"/>
        <v>2010-12</v>
      </c>
      <c r="L3158" s="5">
        <v>8.47</v>
      </c>
      <c r="M3158" s="10"/>
      <c r="N3158" s="1" t="str">
        <f t="shared" si="5"/>
        <v>Guest</v>
      </c>
      <c r="O3158" s="1" t="s">
        <v>19</v>
      </c>
      <c r="P3158" s="9" t="str">
        <f t="shared" si="6"/>
        <v>UK</v>
      </c>
      <c r="Q3158" s="8">
        <f t="shared" si="7"/>
        <v>1016.4</v>
      </c>
    </row>
    <row r="3159">
      <c r="A3159" s="1">
        <v>581457.0</v>
      </c>
      <c r="B3159" s="1" t="str">
        <f t="shared" si="1"/>
        <v>581457</v>
      </c>
      <c r="C3159" s="1" t="str">
        <f t="shared" si="2"/>
        <v>Sale</v>
      </c>
      <c r="D3159" s="1">
        <v>82484.0</v>
      </c>
      <c r="E3159" s="1" t="str">
        <f>IFERROR(__xludf.DUMMYFUNCTION("IF(LEN(D3159)&gt;4, IFERROR(REGEXEXTRACT(TO_TEXT(D3159),""\d+""),""""),"""")"),"82484")</f>
        <v>82484</v>
      </c>
      <c r="F3159" s="6" t="str">
        <f t="shared" si="3"/>
        <v>Product</v>
      </c>
      <c r="G3159" s="1" t="s">
        <v>162</v>
      </c>
      <c r="H3159" s="6" t="str">
        <f>IFERROR(__xludf.DUMMYFUNCTION("IF(REGEXMATCH(LOWER(G3159), ""^(\?)+\s*(missing)?\s*(\?)*$""), """", PROPER(SUBSTITUTE(SUBSTITUTE(G3159, ""?"", """"), ""*"", """")))"),"Wood Black Board Ant White Finish")</f>
        <v>Wood Black Board Ant White Finish</v>
      </c>
      <c r="I3159" s="3">
        <v>204.0</v>
      </c>
      <c r="J3159" s="7">
        <v>40885.779861111114</v>
      </c>
      <c r="K3159" s="8" t="str">
        <f t="shared" si="4"/>
        <v>2011-12</v>
      </c>
      <c r="L3159" s="5">
        <v>4.8</v>
      </c>
      <c r="M3159" s="3">
        <v>18102.0</v>
      </c>
      <c r="N3159" s="1" t="str">
        <f t="shared" si="5"/>
        <v>Registered</v>
      </c>
      <c r="O3159" s="1" t="s">
        <v>19</v>
      </c>
      <c r="P3159" s="9" t="str">
        <f t="shared" si="6"/>
        <v>UK</v>
      </c>
      <c r="Q3159" s="8">
        <f t="shared" si="7"/>
        <v>979.2</v>
      </c>
    </row>
    <row r="3160">
      <c r="A3160" s="1">
        <v>581457.0</v>
      </c>
      <c r="B3160" s="1" t="str">
        <f t="shared" si="1"/>
        <v>581457</v>
      </c>
      <c r="C3160" s="1" t="str">
        <f t="shared" si="2"/>
        <v>Sale</v>
      </c>
      <c r="D3160" s="1">
        <v>23542.0</v>
      </c>
      <c r="E3160" s="1" t="str">
        <f>IFERROR(__xludf.DUMMYFUNCTION("IF(LEN(D3160)&gt;4, IFERROR(REGEXEXTRACT(TO_TEXT(D3160),""\d+""),""""),"""")"),"23542")</f>
        <v>23542</v>
      </c>
      <c r="F3160" s="6" t="str">
        <f t="shared" si="3"/>
        <v>Product</v>
      </c>
      <c r="G3160" s="1" t="s">
        <v>1451</v>
      </c>
      <c r="H3160" s="6" t="str">
        <f>IFERROR(__xludf.DUMMYFUNCTION("IF(REGEXMATCH(LOWER(G3160), ""^(\?)+\s*(missing)?\s*(\?)*$""), """", PROPER(SUBSTITUTE(SUBSTITUTE(G3160, ""?"", """"), ""*"", """")))"),"Wall Art 70'S Alphabet")</f>
        <v>Wall Art 70'S Alphabet</v>
      </c>
      <c r="I3160" s="3">
        <v>120.0</v>
      </c>
      <c r="J3160" s="7">
        <v>40885.779861111114</v>
      </c>
      <c r="K3160" s="8" t="str">
        <f t="shared" si="4"/>
        <v>2011-12</v>
      </c>
      <c r="L3160" s="5">
        <v>6.67</v>
      </c>
      <c r="M3160" s="3">
        <v>18102.0</v>
      </c>
      <c r="N3160" s="1" t="str">
        <f t="shared" si="5"/>
        <v>Registered</v>
      </c>
      <c r="O3160" s="1" t="s">
        <v>19</v>
      </c>
      <c r="P3160" s="9" t="str">
        <f t="shared" si="6"/>
        <v>UK</v>
      </c>
      <c r="Q3160" s="8">
        <f t="shared" si="7"/>
        <v>800.4</v>
      </c>
    </row>
    <row r="3161">
      <c r="A3161" s="1">
        <v>581457.0</v>
      </c>
      <c r="B3161" s="1" t="str">
        <f t="shared" si="1"/>
        <v>581457</v>
      </c>
      <c r="C3161" s="1" t="str">
        <f t="shared" si="2"/>
        <v>Sale</v>
      </c>
      <c r="D3161" s="1">
        <v>23531.0</v>
      </c>
      <c r="E3161" s="1" t="str">
        <f>IFERROR(__xludf.DUMMYFUNCTION("IF(LEN(D3161)&gt;4, IFERROR(REGEXEXTRACT(TO_TEXT(D3161),""\d+""),""""),"""")"),"23531")</f>
        <v>23531</v>
      </c>
      <c r="F3161" s="6" t="str">
        <f t="shared" si="3"/>
        <v>Product</v>
      </c>
      <c r="G3161" s="1" t="s">
        <v>1452</v>
      </c>
      <c r="H3161" s="6" t="str">
        <f>IFERROR(__xludf.DUMMYFUNCTION("IF(REGEXMATCH(LOWER(G3161), ""^(\?)+\s*(missing)?\s*(\?)*$""), """", PROPER(SUBSTITUTE(SUBSTITUTE(G3161, ""?"", """"), ""*"", """")))"),"Wall Art Big Love")</f>
        <v>Wall Art Big Love</v>
      </c>
      <c r="I3161" s="3">
        <v>120.0</v>
      </c>
      <c r="J3161" s="7">
        <v>40885.779861111114</v>
      </c>
      <c r="K3161" s="8" t="str">
        <f t="shared" si="4"/>
        <v>2011-12</v>
      </c>
      <c r="L3161" s="5">
        <v>4.76</v>
      </c>
      <c r="M3161" s="3">
        <v>18102.0</v>
      </c>
      <c r="N3161" s="1" t="str">
        <f t="shared" si="5"/>
        <v>Registered</v>
      </c>
      <c r="O3161" s="1" t="s">
        <v>19</v>
      </c>
      <c r="P3161" s="9" t="str">
        <f t="shared" si="6"/>
        <v>UK</v>
      </c>
      <c r="Q3161" s="8">
        <f t="shared" si="7"/>
        <v>571.2</v>
      </c>
    </row>
    <row r="3162">
      <c r="A3162" s="1">
        <v>581457.0</v>
      </c>
      <c r="B3162" s="1" t="str">
        <f t="shared" si="1"/>
        <v>581457</v>
      </c>
      <c r="C3162" s="1" t="str">
        <f t="shared" si="2"/>
        <v>Sale</v>
      </c>
      <c r="D3162" s="1">
        <v>23535.0</v>
      </c>
      <c r="E3162" s="1" t="str">
        <f>IFERROR(__xludf.DUMMYFUNCTION("IF(LEN(D3162)&gt;4, IFERROR(REGEXEXTRACT(TO_TEXT(D3162),""\d+""),""""),"""")"),"23535")</f>
        <v>23535</v>
      </c>
      <c r="F3162" s="6" t="str">
        <f t="shared" si="3"/>
        <v>Product</v>
      </c>
      <c r="G3162" s="1" t="s">
        <v>1470</v>
      </c>
      <c r="H3162" s="6" t="str">
        <f>IFERROR(__xludf.DUMMYFUNCTION("IF(REGEXMATCH(LOWER(G3162), ""^(\?)+\s*(missing)?\s*(\?)*$""), """", PROPER(SUBSTITUTE(SUBSTITUTE(G3162, ""?"", """"), ""*"", """")))"),"Wall Art Bicycle Safety")</f>
        <v>Wall Art Bicycle Safety</v>
      </c>
      <c r="I3162" s="3">
        <v>126.0</v>
      </c>
      <c r="J3162" s="7">
        <v>40885.779861111114</v>
      </c>
      <c r="K3162" s="8" t="str">
        <f t="shared" si="4"/>
        <v>2011-12</v>
      </c>
      <c r="L3162" s="5">
        <v>3.9</v>
      </c>
      <c r="M3162" s="3">
        <v>18102.0</v>
      </c>
      <c r="N3162" s="1" t="str">
        <f t="shared" si="5"/>
        <v>Registered</v>
      </c>
      <c r="O3162" s="1" t="s">
        <v>19</v>
      </c>
      <c r="P3162" s="9" t="str">
        <f t="shared" si="6"/>
        <v>UK</v>
      </c>
      <c r="Q3162" s="8">
        <f t="shared" si="7"/>
        <v>491.4</v>
      </c>
    </row>
    <row r="3163">
      <c r="A3163" s="1">
        <v>581457.0</v>
      </c>
      <c r="B3163" s="1" t="str">
        <f t="shared" si="1"/>
        <v>581457</v>
      </c>
      <c r="C3163" s="1" t="str">
        <f t="shared" si="2"/>
        <v>Sale</v>
      </c>
      <c r="D3163" s="1">
        <v>23530.0</v>
      </c>
      <c r="E3163" s="1" t="str">
        <f>IFERROR(__xludf.DUMMYFUNCTION("IF(LEN(D3163)&gt;4, IFERROR(REGEXEXTRACT(TO_TEXT(D3163),""\d+""),""""),"""")"),"23530")</f>
        <v>23530</v>
      </c>
      <c r="F3163" s="6" t="str">
        <f t="shared" si="3"/>
        <v>Product</v>
      </c>
      <c r="G3163" s="1" t="s">
        <v>1453</v>
      </c>
      <c r="H3163" s="6" t="str">
        <f>IFERROR(__xludf.DUMMYFUNCTION("IF(REGEXMATCH(LOWER(G3163), ""^(\?)+\s*(missing)?\s*(\?)*$""), """", PROPER(SUBSTITUTE(SUBSTITUTE(G3163, ""?"", """"), ""*"", """")))"),"Wall Art Only One Person")</f>
        <v>Wall Art Only One Person</v>
      </c>
      <c r="I3163" s="3">
        <v>126.0</v>
      </c>
      <c r="J3163" s="7">
        <v>40885.779861111114</v>
      </c>
      <c r="K3163" s="8" t="str">
        <f t="shared" si="4"/>
        <v>2011-12</v>
      </c>
      <c r="L3163" s="5">
        <v>3.57</v>
      </c>
      <c r="M3163" s="3">
        <v>18102.0</v>
      </c>
      <c r="N3163" s="1" t="str">
        <f t="shared" si="5"/>
        <v>Registered</v>
      </c>
      <c r="O3163" s="1" t="s">
        <v>19</v>
      </c>
      <c r="P3163" s="9" t="str">
        <f t="shared" si="6"/>
        <v>UK</v>
      </c>
      <c r="Q3163" s="8">
        <f t="shared" si="7"/>
        <v>449.82</v>
      </c>
    </row>
    <row r="3164">
      <c r="A3164" s="1">
        <v>581457.0</v>
      </c>
      <c r="B3164" s="1" t="str">
        <f t="shared" si="1"/>
        <v>581457</v>
      </c>
      <c r="C3164" s="1" t="str">
        <f t="shared" si="2"/>
        <v>Sale</v>
      </c>
      <c r="D3164" s="1">
        <v>23526.0</v>
      </c>
      <c r="E3164" s="1" t="str">
        <f>IFERROR(__xludf.DUMMYFUNCTION("IF(LEN(D3164)&gt;4, IFERROR(REGEXEXTRACT(TO_TEXT(D3164),""\d+""),""""),"""")"),"23526")</f>
        <v>23526</v>
      </c>
      <c r="F3164" s="6" t="str">
        <f t="shared" si="3"/>
        <v>Product</v>
      </c>
      <c r="G3164" s="1" t="s">
        <v>1471</v>
      </c>
      <c r="H3164" s="6" t="str">
        <f>IFERROR(__xludf.DUMMYFUNCTION("IF(REGEXMATCH(LOWER(G3164), ""^(\?)+\s*(missing)?\s*(\?)*$""), """", PROPER(SUBSTITUTE(SUBSTITUTE(G3164, ""?"", """"), ""*"", """")))"),"Wall Art Dog Licence")</f>
        <v>Wall Art Dog Licence</v>
      </c>
      <c r="I3164" s="3">
        <v>126.0</v>
      </c>
      <c r="J3164" s="7">
        <v>40885.779861111114</v>
      </c>
      <c r="K3164" s="8" t="str">
        <f t="shared" si="4"/>
        <v>2011-12</v>
      </c>
      <c r="L3164" s="5">
        <v>3.9</v>
      </c>
      <c r="M3164" s="3">
        <v>18102.0</v>
      </c>
      <c r="N3164" s="1" t="str">
        <f t="shared" si="5"/>
        <v>Registered</v>
      </c>
      <c r="O3164" s="1" t="s">
        <v>19</v>
      </c>
      <c r="P3164" s="9" t="str">
        <f t="shared" si="6"/>
        <v>UK</v>
      </c>
      <c r="Q3164" s="8">
        <f t="shared" si="7"/>
        <v>491.4</v>
      </c>
    </row>
    <row r="3165">
      <c r="A3165" s="1">
        <v>581457.0</v>
      </c>
      <c r="B3165" s="1" t="str">
        <f t="shared" si="1"/>
        <v>581457</v>
      </c>
      <c r="C3165" s="1" t="str">
        <f t="shared" si="2"/>
        <v>Sale</v>
      </c>
      <c r="D3165" s="1">
        <v>23401.0</v>
      </c>
      <c r="E3165" s="1" t="str">
        <f>IFERROR(__xludf.DUMMYFUNCTION("IF(LEN(D3165)&gt;4, IFERROR(REGEXEXTRACT(TO_TEXT(D3165),""\d+""),""""),"""")"),"23401")</f>
        <v>23401</v>
      </c>
      <c r="F3165" s="6" t="str">
        <f t="shared" si="3"/>
        <v>Product</v>
      </c>
      <c r="G3165" s="1" t="s">
        <v>1454</v>
      </c>
      <c r="H3165" s="6" t="str">
        <f>IFERROR(__xludf.DUMMYFUNCTION("IF(REGEXMATCH(LOWER(G3165), ""^(\?)+\s*(missing)?\s*(\?)*$""), """", PROPER(SUBSTITUTE(SUBSTITUTE(G3165, ""?"", """"), ""*"", """")))"),"Rustic Mirror With Lace Heart")</f>
        <v>Rustic Mirror With Lace Heart</v>
      </c>
      <c r="I3165" s="3">
        <v>126.0</v>
      </c>
      <c r="J3165" s="7">
        <v>40885.779861111114</v>
      </c>
      <c r="K3165" s="8" t="str">
        <f t="shared" si="4"/>
        <v>2011-12</v>
      </c>
      <c r="L3165" s="5">
        <v>4.15</v>
      </c>
      <c r="M3165" s="3">
        <v>18102.0</v>
      </c>
      <c r="N3165" s="1" t="str">
        <f t="shared" si="5"/>
        <v>Registered</v>
      </c>
      <c r="O3165" s="1" t="s">
        <v>19</v>
      </c>
      <c r="P3165" s="9" t="str">
        <f t="shared" si="6"/>
        <v>UK</v>
      </c>
      <c r="Q3165" s="8">
        <f t="shared" si="7"/>
        <v>522.9</v>
      </c>
    </row>
    <row r="3166">
      <c r="A3166" s="1" t="s">
        <v>1472</v>
      </c>
      <c r="B3166" s="1" t="str">
        <f t="shared" si="1"/>
        <v>581460</v>
      </c>
      <c r="C3166" s="1" t="str">
        <f t="shared" si="2"/>
        <v>Return</v>
      </c>
      <c r="D3166" s="1">
        <v>22197.0</v>
      </c>
      <c r="E3166" s="1" t="str">
        <f>IFERROR(__xludf.DUMMYFUNCTION("IF(LEN(D3166)&gt;4, IFERROR(REGEXEXTRACT(TO_TEXT(D3166),""\d+""),""""),"""")"),"22197")</f>
        <v>22197</v>
      </c>
      <c r="F3166" s="6" t="str">
        <f t="shared" si="3"/>
        <v>Product</v>
      </c>
      <c r="G3166" s="1" t="s">
        <v>1440</v>
      </c>
      <c r="H3166" s="6" t="str">
        <f>IFERROR(__xludf.DUMMYFUNCTION("IF(REGEXMATCH(LOWER(G3166), ""^(\?)+\s*(missing)?\s*(\?)*$""), """", PROPER(SUBSTITUTE(SUBSTITUTE(G3166, ""?"", """"), ""*"", """")))"),"Popcorn Holder")</f>
        <v>Popcorn Holder</v>
      </c>
      <c r="I3166" s="3">
        <v>-5.0</v>
      </c>
      <c r="J3166" s="7">
        <v>40885.78333333333</v>
      </c>
      <c r="K3166" s="8" t="str">
        <f t="shared" si="4"/>
        <v>2011-12</v>
      </c>
      <c r="L3166" s="5">
        <v>0.72</v>
      </c>
      <c r="M3166" s="3">
        <v>13078.0</v>
      </c>
      <c r="N3166" s="1" t="str">
        <f t="shared" si="5"/>
        <v>Registered</v>
      </c>
      <c r="O3166" s="1" t="s">
        <v>19</v>
      </c>
      <c r="P3166" s="9" t="str">
        <f t="shared" si="6"/>
        <v>UK</v>
      </c>
      <c r="Q3166" s="8">
        <f t="shared" si="7"/>
        <v>-3.6</v>
      </c>
    </row>
    <row r="3167">
      <c r="A3167" s="1" t="s">
        <v>1472</v>
      </c>
      <c r="B3167" s="1" t="str">
        <f t="shared" si="1"/>
        <v>581460</v>
      </c>
      <c r="C3167" s="1" t="str">
        <f t="shared" si="2"/>
        <v>Return</v>
      </c>
      <c r="D3167" s="1">
        <v>22107.0</v>
      </c>
      <c r="E3167" s="1" t="str">
        <f>IFERROR(__xludf.DUMMYFUNCTION("IF(LEN(D3167)&gt;4, IFERROR(REGEXEXTRACT(TO_TEXT(D3167),""\d+""),""""),"""")"),"22107")</f>
        <v>22107</v>
      </c>
      <c r="F3167" s="6" t="str">
        <f t="shared" si="3"/>
        <v>Product</v>
      </c>
      <c r="G3167" s="1" t="s">
        <v>654</v>
      </c>
      <c r="H3167" s="6" t="str">
        <f>IFERROR(__xludf.DUMMYFUNCTION("IF(REGEXMATCH(LOWER(G3167), ""^(\?)+\s*(missing)?\s*(\?)*$""), """", PROPER(SUBSTITUTE(SUBSTITUTE(G3167, ""?"", """"), ""*"", """")))"),"Pizza Plate In Box")</f>
        <v>Pizza Plate In Box</v>
      </c>
      <c r="I3167" s="3">
        <v>-1.0</v>
      </c>
      <c r="J3167" s="7">
        <v>40885.78333333333</v>
      </c>
      <c r="K3167" s="8" t="str">
        <f t="shared" si="4"/>
        <v>2011-12</v>
      </c>
      <c r="L3167" s="5">
        <v>1.25</v>
      </c>
      <c r="M3167" s="3">
        <v>13078.0</v>
      </c>
      <c r="N3167" s="1" t="str">
        <f t="shared" si="5"/>
        <v>Registered</v>
      </c>
      <c r="O3167" s="1" t="s">
        <v>19</v>
      </c>
      <c r="P3167" s="9" t="str">
        <f t="shared" si="6"/>
        <v>UK</v>
      </c>
      <c r="Q3167" s="8">
        <f t="shared" si="7"/>
        <v>-1.25</v>
      </c>
    </row>
    <row r="3168">
      <c r="A3168" s="1">
        <v>581461.0</v>
      </c>
      <c r="B3168" s="1" t="str">
        <f t="shared" si="1"/>
        <v>581461</v>
      </c>
      <c r="C3168" s="1" t="str">
        <f t="shared" si="2"/>
        <v>Sale</v>
      </c>
      <c r="D3168" s="1">
        <v>23084.0</v>
      </c>
      <c r="E3168" s="1" t="str">
        <f>IFERROR(__xludf.DUMMYFUNCTION("IF(LEN(D3168)&gt;4, IFERROR(REGEXEXTRACT(TO_TEXT(D3168),""\d+""),""""),"""")"),"23084")</f>
        <v>23084</v>
      </c>
      <c r="F3168" s="6" t="str">
        <f t="shared" si="3"/>
        <v>Product</v>
      </c>
      <c r="G3168" s="1" t="s">
        <v>1473</v>
      </c>
      <c r="H3168" s="6" t="str">
        <f>IFERROR(__xludf.DUMMYFUNCTION("IF(REGEXMATCH(LOWER(G3168), ""^(\?)+\s*(missing)?\s*(\?)*$""), """", PROPER(SUBSTITUTE(SUBSTITUTE(G3168, ""?"", """"), ""*"", """")))"),"Rabbit Night Light")</f>
        <v>Rabbit Night Light</v>
      </c>
      <c r="I3168" s="3">
        <v>48.0</v>
      </c>
      <c r="J3168" s="7">
        <v>40885.785416666666</v>
      </c>
      <c r="K3168" s="8" t="str">
        <f t="shared" si="4"/>
        <v>2011-12</v>
      </c>
      <c r="L3168" s="5">
        <v>1.79</v>
      </c>
      <c r="M3168" s="3">
        <v>13318.0</v>
      </c>
      <c r="N3168" s="1" t="str">
        <f t="shared" si="5"/>
        <v>Registered</v>
      </c>
      <c r="O3168" s="1" t="s">
        <v>19</v>
      </c>
      <c r="P3168" s="9" t="str">
        <f t="shared" si="6"/>
        <v>UK</v>
      </c>
      <c r="Q3168" s="8">
        <f t="shared" si="7"/>
        <v>85.92</v>
      </c>
    </row>
    <row r="3169">
      <c r="A3169" s="1">
        <v>581461.0</v>
      </c>
      <c r="B3169" s="1" t="str">
        <f t="shared" si="1"/>
        <v>581461</v>
      </c>
      <c r="C3169" s="1" t="str">
        <f t="shared" si="2"/>
        <v>Sale</v>
      </c>
      <c r="D3169" s="1">
        <v>23280.0</v>
      </c>
      <c r="E3169" s="1" t="str">
        <f>IFERROR(__xludf.DUMMYFUNCTION("IF(LEN(D3169)&gt;4, IFERROR(REGEXEXTRACT(TO_TEXT(D3169),""\d+""),""""),"""")"),"23280")</f>
        <v>23280</v>
      </c>
      <c r="F3169" s="6" t="str">
        <f t="shared" si="3"/>
        <v>Product</v>
      </c>
      <c r="G3169" s="1" t="s">
        <v>1474</v>
      </c>
      <c r="H3169" s="6" t="str">
        <f>IFERROR(__xludf.DUMMYFUNCTION("IF(REGEXMATCH(LOWER(G3169), ""^(\?)+\s*(missing)?\s*(\?)*$""), """", PROPER(SUBSTITUTE(SUBSTITUTE(G3169, ""?"", """"), ""*"", """")))"),"Folding Butterfly Mirror Hot Pink")</f>
        <v>Folding Butterfly Mirror Hot Pink</v>
      </c>
      <c r="I3169" s="3">
        <v>12.0</v>
      </c>
      <c r="J3169" s="7">
        <v>40885.785416666666</v>
      </c>
      <c r="K3169" s="8" t="str">
        <f t="shared" si="4"/>
        <v>2011-12</v>
      </c>
      <c r="L3169" s="5">
        <v>0.83</v>
      </c>
      <c r="M3169" s="3">
        <v>13318.0</v>
      </c>
      <c r="N3169" s="1" t="str">
        <f t="shared" si="5"/>
        <v>Registered</v>
      </c>
      <c r="O3169" s="1" t="s">
        <v>19</v>
      </c>
      <c r="P3169" s="9" t="str">
        <f t="shared" si="6"/>
        <v>UK</v>
      </c>
      <c r="Q3169" s="8">
        <f t="shared" si="7"/>
        <v>9.96</v>
      </c>
    </row>
    <row r="3170">
      <c r="A3170" s="1">
        <v>581461.0</v>
      </c>
      <c r="B3170" s="1" t="str">
        <f t="shared" si="1"/>
        <v>581461</v>
      </c>
      <c r="C3170" s="1" t="str">
        <f t="shared" si="2"/>
        <v>Sale</v>
      </c>
      <c r="D3170" s="1">
        <v>23281.0</v>
      </c>
      <c r="E3170" s="1" t="str">
        <f>IFERROR(__xludf.DUMMYFUNCTION("IF(LEN(D3170)&gt;4, IFERROR(REGEXEXTRACT(TO_TEXT(D3170),""\d+""),""""),"""")"),"23281")</f>
        <v>23281</v>
      </c>
      <c r="F3170" s="6" t="str">
        <f t="shared" si="3"/>
        <v>Product</v>
      </c>
      <c r="G3170" s="1" t="s">
        <v>1475</v>
      </c>
      <c r="H3170" s="6" t="str">
        <f>IFERROR(__xludf.DUMMYFUNCTION("IF(REGEXMATCH(LOWER(G3170), ""^(\?)+\s*(missing)?\s*(\?)*$""), """", PROPER(SUBSTITUTE(SUBSTITUTE(G3170, ""?"", """"), ""*"", """")))"),"Folding Butterfly Mirror Red")</f>
        <v>Folding Butterfly Mirror Red</v>
      </c>
      <c r="I3170" s="3">
        <v>12.0</v>
      </c>
      <c r="J3170" s="7">
        <v>40885.785416666666</v>
      </c>
      <c r="K3170" s="8" t="str">
        <f t="shared" si="4"/>
        <v>2011-12</v>
      </c>
      <c r="L3170" s="5">
        <v>0.83</v>
      </c>
      <c r="M3170" s="3">
        <v>13318.0</v>
      </c>
      <c r="N3170" s="1" t="str">
        <f t="shared" si="5"/>
        <v>Registered</v>
      </c>
      <c r="O3170" s="1" t="s">
        <v>19</v>
      </c>
      <c r="P3170" s="9" t="str">
        <f t="shared" si="6"/>
        <v>UK</v>
      </c>
      <c r="Q3170" s="8">
        <f t="shared" si="7"/>
        <v>9.96</v>
      </c>
    </row>
    <row r="3171">
      <c r="A3171" s="1">
        <v>581461.0</v>
      </c>
      <c r="B3171" s="1" t="str">
        <f t="shared" si="1"/>
        <v>581461</v>
      </c>
      <c r="C3171" s="1" t="str">
        <f t="shared" si="2"/>
        <v>Sale</v>
      </c>
      <c r="D3171" s="1">
        <v>23480.0</v>
      </c>
      <c r="E3171" s="1" t="str">
        <f>IFERROR(__xludf.DUMMYFUNCTION("IF(LEN(D3171)&gt;4, IFERROR(REGEXEXTRACT(TO_TEXT(D3171),""\d+""),""""),"""")"),"23480")</f>
        <v>23480</v>
      </c>
      <c r="F3171" s="6" t="str">
        <f t="shared" si="3"/>
        <v>Product</v>
      </c>
      <c r="G3171" s="1" t="s">
        <v>1476</v>
      </c>
      <c r="H3171" s="6" t="str">
        <f>IFERROR(__xludf.DUMMYFUNCTION("IF(REGEXMATCH(LOWER(G3171), ""^(\?)+\s*(missing)?\s*(\?)*$""), """", PROPER(SUBSTITUTE(SUBSTITUTE(G3171, ""?"", """"), ""*"", """")))"),"Mini Lights Woodland Mushrooms")</f>
        <v>Mini Lights Woodland Mushrooms</v>
      </c>
      <c r="I3171" s="3">
        <v>12.0</v>
      </c>
      <c r="J3171" s="7">
        <v>40885.785416666666</v>
      </c>
      <c r="K3171" s="8" t="str">
        <f t="shared" si="4"/>
        <v>2011-12</v>
      </c>
      <c r="L3171" s="5">
        <v>3.75</v>
      </c>
      <c r="M3171" s="3">
        <v>13318.0</v>
      </c>
      <c r="N3171" s="1" t="str">
        <f t="shared" si="5"/>
        <v>Registered</v>
      </c>
      <c r="O3171" s="1" t="s">
        <v>19</v>
      </c>
      <c r="P3171" s="9" t="str">
        <f t="shared" si="6"/>
        <v>UK</v>
      </c>
      <c r="Q3171" s="8">
        <f t="shared" si="7"/>
        <v>45</v>
      </c>
    </row>
    <row r="3172">
      <c r="A3172" s="1" t="s">
        <v>1477</v>
      </c>
      <c r="B3172" s="1" t="str">
        <f t="shared" si="1"/>
        <v>581462</v>
      </c>
      <c r="C3172" s="1" t="str">
        <f t="shared" si="2"/>
        <v>Return</v>
      </c>
      <c r="D3172" s="1">
        <v>16219.0</v>
      </c>
      <c r="E3172" s="1" t="str">
        <f>IFERROR(__xludf.DUMMYFUNCTION("IF(LEN(D3172)&gt;4, IFERROR(REGEXEXTRACT(TO_TEXT(D3172),""\d+""),""""),"""")"),"16219")</f>
        <v>16219</v>
      </c>
      <c r="F3172" s="6" t="str">
        <f t="shared" si="3"/>
        <v>Product</v>
      </c>
      <c r="G3172" s="1" t="s">
        <v>1478</v>
      </c>
      <c r="H3172" s="6" t="str">
        <f>IFERROR(__xludf.DUMMYFUNCTION("IF(REGEXMATCH(LOWER(G3172), ""^(\?)+\s*(missing)?\s*(\?)*$""), """", PROPER(SUBSTITUTE(SUBSTITUTE(G3172, ""?"", """"), ""*"", """")))"),"House Shape Pencil Sharpener")</f>
        <v>House Shape Pencil Sharpener</v>
      </c>
      <c r="I3172" s="3">
        <v>-48.0</v>
      </c>
      <c r="J3172" s="7">
        <v>40885.785416666666</v>
      </c>
      <c r="K3172" s="8" t="str">
        <f t="shared" si="4"/>
        <v>2011-12</v>
      </c>
      <c r="L3172" s="5">
        <v>0.06</v>
      </c>
      <c r="M3172" s="3">
        <v>12985.0</v>
      </c>
      <c r="N3172" s="1" t="str">
        <f t="shared" si="5"/>
        <v>Registered</v>
      </c>
      <c r="O3172" s="1" t="s">
        <v>19</v>
      </c>
      <c r="P3172" s="9" t="str">
        <f t="shared" si="6"/>
        <v>UK</v>
      </c>
      <c r="Q3172" s="8">
        <f t="shared" si="7"/>
        <v>-2.88</v>
      </c>
    </row>
    <row r="3173">
      <c r="A3173" s="1" t="s">
        <v>1477</v>
      </c>
      <c r="B3173" s="1" t="str">
        <f t="shared" si="1"/>
        <v>581462</v>
      </c>
      <c r="C3173" s="1" t="str">
        <f t="shared" si="2"/>
        <v>Return</v>
      </c>
      <c r="D3173" s="1">
        <v>21642.0</v>
      </c>
      <c r="E3173" s="1" t="str">
        <f>IFERROR(__xludf.DUMMYFUNCTION("IF(LEN(D3173)&gt;4, IFERROR(REGEXEXTRACT(TO_TEXT(D3173),""\d+""),""""),"""")"),"21642")</f>
        <v>21642</v>
      </c>
      <c r="F3173" s="6" t="str">
        <f t="shared" si="3"/>
        <v>Product</v>
      </c>
      <c r="G3173" s="1" t="s">
        <v>1479</v>
      </c>
      <c r="H3173" s="6" t="str">
        <f>IFERROR(__xludf.DUMMYFUNCTION("IF(REGEXMATCH(LOWER(G3173), ""^(\?)+\s*(missing)?\s*(\?)*$""), """", PROPER(SUBSTITUTE(SUBSTITUTE(G3173, ""?"", """"), ""*"", """")))"),"Assorted Tutti Frutti Pen")</f>
        <v>Assorted Tutti Frutti Pen</v>
      </c>
      <c r="I3173" s="3">
        <v>-72.0</v>
      </c>
      <c r="J3173" s="7">
        <v>40885.785416666666</v>
      </c>
      <c r="K3173" s="8" t="str">
        <f t="shared" si="4"/>
        <v>2011-12</v>
      </c>
      <c r="L3173" s="5">
        <v>0.29</v>
      </c>
      <c r="M3173" s="3">
        <v>12985.0</v>
      </c>
      <c r="N3173" s="1" t="str">
        <f t="shared" si="5"/>
        <v>Registered</v>
      </c>
      <c r="O3173" s="1" t="s">
        <v>19</v>
      </c>
      <c r="P3173" s="9" t="str">
        <f t="shared" si="6"/>
        <v>UK</v>
      </c>
      <c r="Q3173" s="8">
        <f t="shared" si="7"/>
        <v>-20.88</v>
      </c>
    </row>
    <row r="3174">
      <c r="A3174" s="1" t="s">
        <v>1480</v>
      </c>
      <c r="B3174" s="1" t="str">
        <f t="shared" si="1"/>
        <v>581463</v>
      </c>
      <c r="C3174" s="1" t="str">
        <f t="shared" si="2"/>
        <v>Return</v>
      </c>
      <c r="D3174" s="1">
        <v>85048.0</v>
      </c>
      <c r="E3174" s="1" t="str">
        <f>IFERROR(__xludf.DUMMYFUNCTION("IF(LEN(D3174)&gt;4, IFERROR(REGEXEXTRACT(TO_TEXT(D3174),""\d+""),""""),"""")"),"85048")</f>
        <v>85048</v>
      </c>
      <c r="F3174" s="6" t="str">
        <f t="shared" si="3"/>
        <v>Product</v>
      </c>
      <c r="G3174" s="1" t="s">
        <v>1481</v>
      </c>
      <c r="H3174" s="6" t="str">
        <f>IFERROR(__xludf.DUMMYFUNCTION("IF(REGEXMATCH(LOWER(G3174), ""^(\?)+\s*(missing)?\s*(\?)*$""), """", PROPER(SUBSTITUTE(SUBSTITUTE(G3174, ""?"", """"), ""*"", """")))"),"15Cm Christmas Glass Ball 20 Lights")</f>
        <v>15Cm Christmas Glass Ball 20 Lights</v>
      </c>
      <c r="I3174" s="3">
        <v>-2.0</v>
      </c>
      <c r="J3174" s="7">
        <v>40885.78888888889</v>
      </c>
      <c r="K3174" s="8" t="str">
        <f t="shared" si="4"/>
        <v>2011-12</v>
      </c>
      <c r="L3174" s="5">
        <v>7.95</v>
      </c>
      <c r="M3174" s="3">
        <v>17526.0</v>
      </c>
      <c r="N3174" s="1" t="str">
        <f t="shared" si="5"/>
        <v>Registered</v>
      </c>
      <c r="O3174" s="1" t="s">
        <v>19</v>
      </c>
      <c r="P3174" s="9" t="str">
        <f t="shared" si="6"/>
        <v>UK</v>
      </c>
      <c r="Q3174" s="8">
        <f t="shared" si="7"/>
        <v>-15.9</v>
      </c>
    </row>
    <row r="3175">
      <c r="A3175" s="1" t="s">
        <v>1482</v>
      </c>
      <c r="B3175" s="1" t="str">
        <f t="shared" si="1"/>
        <v>581464</v>
      </c>
      <c r="C3175" s="1" t="str">
        <f t="shared" si="2"/>
        <v>Return</v>
      </c>
      <c r="D3175" s="1">
        <v>23458.0</v>
      </c>
      <c r="E3175" s="1" t="str">
        <f>IFERROR(__xludf.DUMMYFUNCTION("IF(LEN(D3175)&gt;4, IFERROR(REGEXEXTRACT(TO_TEXT(D3175),""\d+""),""""),"""")"),"23458")</f>
        <v>23458</v>
      </c>
      <c r="F3175" s="6" t="str">
        <f t="shared" si="3"/>
        <v>Product</v>
      </c>
      <c r="G3175" s="1" t="s">
        <v>1483</v>
      </c>
      <c r="H3175" s="6" t="str">
        <f>IFERROR(__xludf.DUMMYFUNCTION("IF(REGEXMATCH(LOWER(G3175), ""^(\?)+\s*(missing)?\s*(\?)*$""), """", PROPER(SUBSTITUTE(SUBSTITUTE(G3175, ""?"", """"), ""*"", """")))"),"Dolly Cabinet 3 Drawers")</f>
        <v>Dolly Cabinet 3 Drawers</v>
      </c>
      <c r="I3175" s="3">
        <v>-1.0</v>
      </c>
      <c r="J3175" s="7">
        <v>40885.78958333333</v>
      </c>
      <c r="K3175" s="8" t="str">
        <f t="shared" si="4"/>
        <v>2011-12</v>
      </c>
      <c r="L3175" s="5">
        <v>14.95</v>
      </c>
      <c r="M3175" s="3">
        <v>15951.0</v>
      </c>
      <c r="N3175" s="1" t="str">
        <f t="shared" si="5"/>
        <v>Registered</v>
      </c>
      <c r="O3175" s="1" t="s">
        <v>19</v>
      </c>
      <c r="P3175" s="9" t="str">
        <f t="shared" si="6"/>
        <v>UK</v>
      </c>
      <c r="Q3175" s="8">
        <f t="shared" si="7"/>
        <v>-14.95</v>
      </c>
    </row>
    <row r="3176">
      <c r="A3176" s="1" t="s">
        <v>1482</v>
      </c>
      <c r="B3176" s="1" t="str">
        <f t="shared" si="1"/>
        <v>581464</v>
      </c>
      <c r="C3176" s="1" t="str">
        <f t="shared" si="2"/>
        <v>Return</v>
      </c>
      <c r="D3176" s="1">
        <v>71477.0</v>
      </c>
      <c r="E3176" s="1" t="str">
        <f>IFERROR(__xludf.DUMMYFUNCTION("IF(LEN(D3176)&gt;4, IFERROR(REGEXEXTRACT(TO_TEXT(D3176),""\d+""),""""),"""")"),"71477")</f>
        <v>71477</v>
      </c>
      <c r="F3176" s="6" t="str">
        <f t="shared" si="3"/>
        <v>Product</v>
      </c>
      <c r="G3176" s="1" t="s">
        <v>1484</v>
      </c>
      <c r="H3176" s="6" t="str">
        <f>IFERROR(__xludf.DUMMYFUNCTION("IF(REGEXMATCH(LOWER(G3176), ""^(\?)+\s*(missing)?\s*(\?)*$""), """", PROPER(SUBSTITUTE(SUBSTITUTE(G3176, ""?"", """"), ""*"", """")))"),"Coloured Glass Star T-Light Holder")</f>
        <v>Coloured Glass Star T-Light Holder</v>
      </c>
      <c r="I3176" s="3">
        <v>-6.0</v>
      </c>
      <c r="J3176" s="7">
        <v>40885.78958333333</v>
      </c>
      <c r="K3176" s="8" t="str">
        <f t="shared" si="4"/>
        <v>2011-12</v>
      </c>
      <c r="L3176" s="5">
        <v>3.95</v>
      </c>
      <c r="M3176" s="3">
        <v>15951.0</v>
      </c>
      <c r="N3176" s="1" t="str">
        <f t="shared" si="5"/>
        <v>Registered</v>
      </c>
      <c r="O3176" s="1" t="s">
        <v>19</v>
      </c>
      <c r="P3176" s="9" t="str">
        <f t="shared" si="6"/>
        <v>UK</v>
      </c>
      <c r="Q3176" s="8">
        <f t="shared" si="7"/>
        <v>-23.7</v>
      </c>
    </row>
    <row r="3177">
      <c r="A3177" s="1" t="s">
        <v>1485</v>
      </c>
      <c r="B3177" s="1" t="str">
        <f t="shared" si="1"/>
        <v>581465</v>
      </c>
      <c r="C3177" s="1" t="str">
        <f t="shared" si="2"/>
        <v>Return</v>
      </c>
      <c r="D3177" s="1">
        <v>23660.0</v>
      </c>
      <c r="E3177" s="1" t="str">
        <f>IFERROR(__xludf.DUMMYFUNCTION("IF(LEN(D3177)&gt;4, IFERROR(REGEXEXTRACT(TO_TEXT(D3177),""\d+""),""""),"""")"),"23660")</f>
        <v>23660</v>
      </c>
      <c r="F3177" s="6" t="str">
        <f t="shared" si="3"/>
        <v>Product</v>
      </c>
      <c r="G3177" s="1" t="s">
        <v>1486</v>
      </c>
      <c r="H3177" s="6" t="str">
        <f>IFERROR(__xludf.DUMMYFUNCTION("IF(REGEXMATCH(LOWER(G3177), ""^(\?)+\s*(missing)?\s*(\?)*$""), """", PROPER(SUBSTITUTE(SUBSTITUTE(G3177, ""?"", """"), ""*"", """")))"),"Henrietta Hen Mug")</f>
        <v>Henrietta Hen Mug</v>
      </c>
      <c r="I3177" s="3">
        <v>-2.0</v>
      </c>
      <c r="J3177" s="7">
        <v>40885.790972222225</v>
      </c>
      <c r="K3177" s="8" t="str">
        <f t="shared" si="4"/>
        <v>2011-12</v>
      </c>
      <c r="L3177" s="5">
        <v>1.65</v>
      </c>
      <c r="M3177" s="3">
        <v>15755.0</v>
      </c>
      <c r="N3177" s="1" t="str">
        <f t="shared" si="5"/>
        <v>Registered</v>
      </c>
      <c r="O3177" s="1" t="s">
        <v>19</v>
      </c>
      <c r="P3177" s="9" t="str">
        <f t="shared" si="6"/>
        <v>UK</v>
      </c>
      <c r="Q3177" s="8">
        <f t="shared" si="7"/>
        <v>-3.3</v>
      </c>
    </row>
    <row r="3178">
      <c r="A3178" s="1" t="s">
        <v>1485</v>
      </c>
      <c r="B3178" s="1" t="str">
        <f t="shared" si="1"/>
        <v>581465</v>
      </c>
      <c r="C3178" s="1" t="str">
        <f t="shared" si="2"/>
        <v>Return</v>
      </c>
      <c r="D3178" s="1">
        <v>22171.0</v>
      </c>
      <c r="E3178" s="1" t="str">
        <f>IFERROR(__xludf.DUMMYFUNCTION("IF(LEN(D3178)&gt;4, IFERROR(REGEXEXTRACT(TO_TEXT(D3178),""\d+""),""""),"""")"),"22171")</f>
        <v>22171</v>
      </c>
      <c r="F3178" s="6" t="str">
        <f t="shared" si="3"/>
        <v>Product</v>
      </c>
      <c r="G3178" s="1" t="s">
        <v>993</v>
      </c>
      <c r="H3178" s="6" t="str">
        <f>IFERROR(__xludf.DUMMYFUNCTION("IF(REGEXMATCH(LOWER(G3178), ""^(\?)+\s*(missing)?\s*(\?)*$""), """", PROPER(SUBSTITUTE(SUBSTITUTE(G3178, ""?"", """"), ""*"", """")))"),"3 Hook Photo Shelf Antique White")</f>
        <v>3 Hook Photo Shelf Antique White</v>
      </c>
      <c r="I3178" s="3">
        <v>-1.0</v>
      </c>
      <c r="J3178" s="7">
        <v>40885.790972222225</v>
      </c>
      <c r="K3178" s="8" t="str">
        <f t="shared" si="4"/>
        <v>2011-12</v>
      </c>
      <c r="L3178" s="5">
        <v>8.5</v>
      </c>
      <c r="M3178" s="3">
        <v>15755.0</v>
      </c>
      <c r="N3178" s="1" t="str">
        <f t="shared" si="5"/>
        <v>Registered</v>
      </c>
      <c r="O3178" s="1" t="s">
        <v>19</v>
      </c>
      <c r="P3178" s="9" t="str">
        <f t="shared" si="6"/>
        <v>UK</v>
      </c>
      <c r="Q3178" s="8">
        <f t="shared" si="7"/>
        <v>-8.5</v>
      </c>
    </row>
    <row r="3179">
      <c r="A3179" s="1" t="s">
        <v>1485</v>
      </c>
      <c r="B3179" s="1" t="str">
        <f t="shared" si="1"/>
        <v>581465</v>
      </c>
      <c r="C3179" s="1" t="str">
        <f t="shared" si="2"/>
        <v>Return</v>
      </c>
      <c r="D3179" s="1">
        <v>21876.0</v>
      </c>
      <c r="E3179" s="1" t="str">
        <f>IFERROR(__xludf.DUMMYFUNCTION("IF(LEN(D3179)&gt;4, IFERROR(REGEXEXTRACT(TO_TEXT(D3179),""\d+""),""""),"""")"),"21876")</f>
        <v>21876</v>
      </c>
      <c r="F3179" s="6" t="str">
        <f t="shared" si="3"/>
        <v>Product</v>
      </c>
      <c r="G3179" s="1" t="s">
        <v>1089</v>
      </c>
      <c r="H3179" s="6" t="str">
        <f>IFERROR(__xludf.DUMMYFUNCTION("IF(REGEXMATCH(LOWER(G3179), ""^(\?)+\s*(missing)?\s*(\?)*$""), """", PROPER(SUBSTITUTE(SUBSTITUTE(G3179, ""?"", """"), ""*"", """")))"),"Pottering Mug")</f>
        <v>Pottering Mug</v>
      </c>
      <c r="I3179" s="3">
        <v>-4.0</v>
      </c>
      <c r="J3179" s="7">
        <v>40885.790972222225</v>
      </c>
      <c r="K3179" s="8" t="str">
        <f t="shared" si="4"/>
        <v>2011-12</v>
      </c>
      <c r="L3179" s="5">
        <v>1.65</v>
      </c>
      <c r="M3179" s="3">
        <v>15755.0</v>
      </c>
      <c r="N3179" s="1" t="str">
        <f t="shared" si="5"/>
        <v>Registered</v>
      </c>
      <c r="O3179" s="1" t="s">
        <v>19</v>
      </c>
      <c r="P3179" s="9" t="str">
        <f t="shared" si="6"/>
        <v>UK</v>
      </c>
      <c r="Q3179" s="8">
        <f t="shared" si="7"/>
        <v>-6.6</v>
      </c>
    </row>
    <row r="3180">
      <c r="A3180" s="1" t="s">
        <v>1485</v>
      </c>
      <c r="B3180" s="1" t="str">
        <f t="shared" si="1"/>
        <v>581465</v>
      </c>
      <c r="C3180" s="1" t="str">
        <f t="shared" si="2"/>
        <v>Return</v>
      </c>
      <c r="D3180" s="1">
        <v>20914.0</v>
      </c>
      <c r="E3180" s="1" t="str">
        <f>IFERROR(__xludf.DUMMYFUNCTION("IF(LEN(D3180)&gt;4, IFERROR(REGEXEXTRACT(TO_TEXT(D3180),""\d+""),""""),"""")"),"20914")</f>
        <v>20914</v>
      </c>
      <c r="F3180" s="6" t="str">
        <f t="shared" si="3"/>
        <v>Product</v>
      </c>
      <c r="G3180" s="1" t="s">
        <v>359</v>
      </c>
      <c r="H3180" s="6" t="str">
        <f>IFERROR(__xludf.DUMMYFUNCTION("IF(REGEXMATCH(LOWER(G3180), ""^(\?)+\s*(missing)?\s*(\?)*$""), """", PROPER(SUBSTITUTE(SUBSTITUTE(G3180, ""?"", """"), ""*"", """")))"),"Set/5 Red Retrospot Lid Glass Bowls")</f>
        <v>Set/5 Red Retrospot Lid Glass Bowls</v>
      </c>
      <c r="I3180" s="3">
        <v>-3.0</v>
      </c>
      <c r="J3180" s="7">
        <v>40885.790972222225</v>
      </c>
      <c r="K3180" s="8" t="str">
        <f t="shared" si="4"/>
        <v>2011-12</v>
      </c>
      <c r="L3180" s="5">
        <v>2.95</v>
      </c>
      <c r="M3180" s="3">
        <v>15755.0</v>
      </c>
      <c r="N3180" s="1" t="str">
        <f t="shared" si="5"/>
        <v>Registered</v>
      </c>
      <c r="O3180" s="1" t="s">
        <v>19</v>
      </c>
      <c r="P3180" s="9" t="str">
        <f t="shared" si="6"/>
        <v>UK</v>
      </c>
      <c r="Q3180" s="8">
        <f t="shared" si="7"/>
        <v>-8.85</v>
      </c>
    </row>
    <row r="3181">
      <c r="A3181" s="1" t="s">
        <v>1487</v>
      </c>
      <c r="B3181" s="1" t="str">
        <f t="shared" si="1"/>
        <v>581466</v>
      </c>
      <c r="C3181" s="1" t="str">
        <f t="shared" si="2"/>
        <v>Return</v>
      </c>
      <c r="D3181" s="1">
        <v>22838.0</v>
      </c>
      <c r="E3181" s="1" t="str">
        <f>IFERROR(__xludf.DUMMYFUNCTION("IF(LEN(D3181)&gt;4, IFERROR(REGEXEXTRACT(TO_TEXT(D3181),""\d+""),""""),"""")"),"22838")</f>
        <v>22838</v>
      </c>
      <c r="F3181" s="6" t="str">
        <f t="shared" si="3"/>
        <v>Product</v>
      </c>
      <c r="G3181" s="1" t="s">
        <v>157</v>
      </c>
      <c r="H3181" s="6" t="str">
        <f>IFERROR(__xludf.DUMMYFUNCTION("IF(REGEXMATCH(LOWER(G3181), ""^(\?)+\s*(missing)?\s*(\?)*$""), """", PROPER(SUBSTITUTE(SUBSTITUTE(G3181, ""?"", """"), ""*"", """")))"),"3 Tier Cake Tin Red And Cream")</f>
        <v>3 Tier Cake Tin Red And Cream</v>
      </c>
      <c r="I3181" s="3">
        <v>-1.0</v>
      </c>
      <c r="J3181" s="7">
        <v>40885.805555555555</v>
      </c>
      <c r="K3181" s="8" t="str">
        <f t="shared" si="4"/>
        <v>2011-12</v>
      </c>
      <c r="L3181" s="5">
        <v>14.95</v>
      </c>
      <c r="M3181" s="3">
        <v>13883.0</v>
      </c>
      <c r="N3181" s="1" t="str">
        <f t="shared" si="5"/>
        <v>Registered</v>
      </c>
      <c r="O3181" s="1" t="s">
        <v>19</v>
      </c>
      <c r="P3181" s="9" t="str">
        <f t="shared" si="6"/>
        <v>UK</v>
      </c>
      <c r="Q3181" s="8">
        <f t="shared" si="7"/>
        <v>-14.95</v>
      </c>
    </row>
    <row r="3182">
      <c r="A3182" s="1" t="s">
        <v>1487</v>
      </c>
      <c r="B3182" s="1" t="str">
        <f t="shared" si="1"/>
        <v>581466</v>
      </c>
      <c r="C3182" s="1" t="str">
        <f t="shared" si="2"/>
        <v>Return</v>
      </c>
      <c r="D3182" s="1">
        <v>22720.0</v>
      </c>
      <c r="E3182" s="1" t="str">
        <f>IFERROR(__xludf.DUMMYFUNCTION("IF(LEN(D3182)&gt;4, IFERROR(REGEXEXTRACT(TO_TEXT(D3182),""\d+""),""""),"""")"),"22720")</f>
        <v>22720</v>
      </c>
      <c r="F3182" s="6" t="str">
        <f t="shared" si="3"/>
        <v>Product</v>
      </c>
      <c r="G3182" s="1" t="s">
        <v>685</v>
      </c>
      <c r="H3182" s="6" t="str">
        <f>IFERROR(__xludf.DUMMYFUNCTION("IF(REGEXMATCH(LOWER(G3182), ""^(\?)+\s*(missing)?\s*(\?)*$""), """", PROPER(SUBSTITUTE(SUBSTITUTE(G3182, ""?"", """"), ""*"", """")))"),"Set Of 3 Cake Tins Pantry Design")</f>
        <v>Set Of 3 Cake Tins Pantry Design</v>
      </c>
      <c r="I3182" s="3">
        <v>-2.0</v>
      </c>
      <c r="J3182" s="7">
        <v>40885.805555555555</v>
      </c>
      <c r="K3182" s="8" t="str">
        <f t="shared" si="4"/>
        <v>2011-12</v>
      </c>
      <c r="L3182" s="5">
        <v>4.95</v>
      </c>
      <c r="M3182" s="3">
        <v>13883.0</v>
      </c>
      <c r="N3182" s="1" t="str">
        <f t="shared" si="5"/>
        <v>Registered</v>
      </c>
      <c r="O3182" s="1" t="s">
        <v>19</v>
      </c>
      <c r="P3182" s="9" t="str">
        <f t="shared" si="6"/>
        <v>UK</v>
      </c>
      <c r="Q3182" s="8">
        <f t="shared" si="7"/>
        <v>-9.9</v>
      </c>
    </row>
    <row r="3183">
      <c r="A3183" s="1" t="s">
        <v>1487</v>
      </c>
      <c r="B3183" s="1" t="str">
        <f t="shared" si="1"/>
        <v>581466</v>
      </c>
      <c r="C3183" s="1" t="str">
        <f t="shared" si="2"/>
        <v>Return</v>
      </c>
      <c r="D3183" s="1">
        <v>21216.0</v>
      </c>
      <c r="E3183" s="1" t="str">
        <f>IFERROR(__xludf.DUMMYFUNCTION("IF(LEN(D3183)&gt;4, IFERROR(REGEXEXTRACT(TO_TEXT(D3183),""\d+""),""""),"""")"),"21216")</f>
        <v>21216</v>
      </c>
      <c r="F3183" s="6" t="str">
        <f t="shared" si="3"/>
        <v>Product</v>
      </c>
      <c r="G3183" s="1" t="s">
        <v>819</v>
      </c>
      <c r="H3183" s="6" t="str">
        <f>IFERROR(__xludf.DUMMYFUNCTION("IF(REGEXMATCH(LOWER(G3183), ""^(\?)+\s*(missing)?\s*(\?)*$""), """", PROPER(SUBSTITUTE(SUBSTITUTE(G3183, ""?"", """"), ""*"", """")))"),"Set 3 Retrospot Tea,Coffee,Sugar")</f>
        <v>Set 3 Retrospot Tea,Coffee,Sugar</v>
      </c>
      <c r="I3183" s="3">
        <v>-1.0</v>
      </c>
      <c r="J3183" s="7">
        <v>40885.805555555555</v>
      </c>
      <c r="K3183" s="8" t="str">
        <f t="shared" si="4"/>
        <v>2011-12</v>
      </c>
      <c r="L3183" s="5">
        <v>4.95</v>
      </c>
      <c r="M3183" s="3">
        <v>13883.0</v>
      </c>
      <c r="N3183" s="1" t="str">
        <f t="shared" si="5"/>
        <v>Registered</v>
      </c>
      <c r="O3183" s="1" t="s">
        <v>19</v>
      </c>
      <c r="P3183" s="9" t="str">
        <f t="shared" si="6"/>
        <v>UK</v>
      </c>
      <c r="Q3183" s="8">
        <f t="shared" si="7"/>
        <v>-4.95</v>
      </c>
    </row>
    <row r="3184">
      <c r="A3184" s="1" t="s">
        <v>1487</v>
      </c>
      <c r="B3184" s="1" t="str">
        <f t="shared" si="1"/>
        <v>581466</v>
      </c>
      <c r="C3184" s="1" t="str">
        <f t="shared" si="2"/>
        <v>Return</v>
      </c>
      <c r="D3184" s="1">
        <v>21535.0</v>
      </c>
      <c r="E3184" s="1" t="str">
        <f>IFERROR(__xludf.DUMMYFUNCTION("IF(LEN(D3184)&gt;4, IFERROR(REGEXEXTRACT(TO_TEXT(D3184),""\d+""),""""),"""")"),"21535")</f>
        <v>21535</v>
      </c>
      <c r="F3184" s="6" t="str">
        <f t="shared" si="3"/>
        <v>Product</v>
      </c>
      <c r="G3184" s="1" t="s">
        <v>817</v>
      </c>
      <c r="H3184" s="6" t="str">
        <f>IFERROR(__xludf.DUMMYFUNCTION("IF(REGEXMATCH(LOWER(G3184), ""^(\?)+\s*(missing)?\s*(\?)*$""), """", PROPER(SUBSTITUTE(SUBSTITUTE(G3184, ""?"", """"), ""*"", """")))"),"Red Retrospot Small Milk Jug")</f>
        <v>Red Retrospot Small Milk Jug</v>
      </c>
      <c r="I3184" s="3">
        <v>-2.0</v>
      </c>
      <c r="J3184" s="7">
        <v>40885.805555555555</v>
      </c>
      <c r="K3184" s="8" t="str">
        <f t="shared" si="4"/>
        <v>2011-12</v>
      </c>
      <c r="L3184" s="5">
        <v>2.55</v>
      </c>
      <c r="M3184" s="3">
        <v>13883.0</v>
      </c>
      <c r="N3184" s="1" t="str">
        <f t="shared" si="5"/>
        <v>Registered</v>
      </c>
      <c r="O3184" s="1" t="s">
        <v>19</v>
      </c>
      <c r="P3184" s="9" t="str">
        <f t="shared" si="6"/>
        <v>UK</v>
      </c>
      <c r="Q3184" s="8">
        <f t="shared" si="7"/>
        <v>-5.1</v>
      </c>
    </row>
    <row r="3185">
      <c r="A3185" s="1" t="s">
        <v>1487</v>
      </c>
      <c r="B3185" s="1" t="str">
        <f t="shared" si="1"/>
        <v>581466</v>
      </c>
      <c r="C3185" s="1" t="str">
        <f t="shared" si="2"/>
        <v>Return</v>
      </c>
      <c r="D3185" s="1">
        <v>21232.0</v>
      </c>
      <c r="E3185" s="1" t="str">
        <f>IFERROR(__xludf.DUMMYFUNCTION("IF(LEN(D3185)&gt;4, IFERROR(REGEXEXTRACT(TO_TEXT(D3185),""\d+""),""""),"""")"),"21232")</f>
        <v>21232</v>
      </c>
      <c r="F3185" s="6" t="str">
        <f t="shared" si="3"/>
        <v>Product</v>
      </c>
      <c r="G3185" s="1" t="s">
        <v>1488</v>
      </c>
      <c r="H3185" s="6" t="str">
        <f>IFERROR(__xludf.DUMMYFUNCTION("IF(REGEXMATCH(LOWER(G3185), ""^(\?)+\s*(missing)?\s*(\?)*$""), """", PROPER(SUBSTITUTE(SUBSTITUTE(G3185, ""?"", """"), ""*"", """")))"),"Strawberry Ceramic Trinket Pot")</f>
        <v>Strawberry Ceramic Trinket Pot</v>
      </c>
      <c r="I3185" s="3">
        <v>-1.0</v>
      </c>
      <c r="J3185" s="7">
        <v>40885.805555555555</v>
      </c>
      <c r="K3185" s="8" t="str">
        <f t="shared" si="4"/>
        <v>2011-12</v>
      </c>
      <c r="L3185" s="5">
        <v>1.25</v>
      </c>
      <c r="M3185" s="3">
        <v>13883.0</v>
      </c>
      <c r="N3185" s="1" t="str">
        <f t="shared" si="5"/>
        <v>Registered</v>
      </c>
      <c r="O3185" s="1" t="s">
        <v>19</v>
      </c>
      <c r="P3185" s="9" t="str">
        <f t="shared" si="6"/>
        <v>UK</v>
      </c>
      <c r="Q3185" s="8">
        <f t="shared" si="7"/>
        <v>-1.25</v>
      </c>
    </row>
    <row r="3186">
      <c r="A3186" s="1">
        <v>581467.0</v>
      </c>
      <c r="B3186" s="1" t="str">
        <f t="shared" si="1"/>
        <v>581467</v>
      </c>
      <c r="C3186" s="1" t="str">
        <f t="shared" si="2"/>
        <v>Sale</v>
      </c>
      <c r="D3186" s="1" t="s">
        <v>224</v>
      </c>
      <c r="E3186" s="1" t="str">
        <f>IFERROR(__xludf.DUMMYFUNCTION("IF(LEN(D3186)&gt;4, IFERROR(REGEXEXTRACT(TO_TEXT(D3186),""\d+""),""""),"""")"),"84030")</f>
        <v>84030</v>
      </c>
      <c r="F3186" s="6" t="str">
        <f t="shared" si="3"/>
        <v>Product</v>
      </c>
      <c r="G3186" s="1" t="s">
        <v>225</v>
      </c>
      <c r="H3186" s="6" t="str">
        <f>IFERROR(__xludf.DUMMYFUNCTION("IF(REGEXMATCH(LOWER(G3186), ""^(\?)+\s*(missing)?\s*(\?)*$""), """", PROPER(SUBSTITUTE(SUBSTITUTE(G3186, ""?"", """"), ""*"", """")))"),"English Rose Hot Water Bottle")</f>
        <v>English Rose Hot Water Bottle</v>
      </c>
      <c r="I3186" s="3">
        <v>2.0</v>
      </c>
      <c r="J3186" s="7">
        <v>40885.808333333334</v>
      </c>
      <c r="K3186" s="8" t="str">
        <f t="shared" si="4"/>
        <v>2011-12</v>
      </c>
      <c r="L3186" s="5">
        <v>4.25</v>
      </c>
      <c r="M3186" s="3">
        <v>13077.0</v>
      </c>
      <c r="N3186" s="1" t="str">
        <f t="shared" si="5"/>
        <v>Registered</v>
      </c>
      <c r="O3186" s="1" t="s">
        <v>19</v>
      </c>
      <c r="P3186" s="9" t="str">
        <f t="shared" si="6"/>
        <v>UK</v>
      </c>
      <c r="Q3186" s="8">
        <f t="shared" si="7"/>
        <v>8.5</v>
      </c>
    </row>
    <row r="3187">
      <c r="A3187" s="1">
        <v>581467.0</v>
      </c>
      <c r="B3187" s="1" t="str">
        <f t="shared" si="1"/>
        <v>581467</v>
      </c>
      <c r="C3187" s="1" t="str">
        <f t="shared" si="2"/>
        <v>Sale</v>
      </c>
      <c r="D3187" s="1">
        <v>23357.0</v>
      </c>
      <c r="E3187" s="1" t="str">
        <f>IFERROR(__xludf.DUMMYFUNCTION("IF(LEN(D3187)&gt;4, IFERROR(REGEXEXTRACT(TO_TEXT(D3187),""\d+""),""""),"""")"),"23357")</f>
        <v>23357</v>
      </c>
      <c r="F3187" s="6" t="str">
        <f t="shared" si="3"/>
        <v>Product</v>
      </c>
      <c r="G3187" s="1" t="s">
        <v>1489</v>
      </c>
      <c r="H3187" s="6" t="str">
        <f>IFERROR(__xludf.DUMMYFUNCTION("IF(REGEXMATCH(LOWER(G3187), ""^(\?)+\s*(missing)?\s*(\?)*$""), """", PROPER(SUBSTITUTE(SUBSTITUTE(G3187, ""?"", """"), ""*"", """")))"),"Hot Water Bottle Sex Bomb")</f>
        <v>Hot Water Bottle Sex Bomb</v>
      </c>
      <c r="I3187" s="3">
        <v>4.0</v>
      </c>
      <c r="J3187" s="7">
        <v>40885.808333333334</v>
      </c>
      <c r="K3187" s="8" t="str">
        <f t="shared" si="4"/>
        <v>2011-12</v>
      </c>
      <c r="L3187" s="5">
        <v>1.65</v>
      </c>
      <c r="M3187" s="3">
        <v>13077.0</v>
      </c>
      <c r="N3187" s="1" t="str">
        <f t="shared" si="5"/>
        <v>Registered</v>
      </c>
      <c r="O3187" s="1" t="s">
        <v>19</v>
      </c>
      <c r="P3187" s="9" t="str">
        <f t="shared" si="6"/>
        <v>UK</v>
      </c>
      <c r="Q3187" s="8">
        <f t="shared" si="7"/>
        <v>6.6</v>
      </c>
    </row>
    <row r="3188">
      <c r="A3188" s="1">
        <v>581467.0</v>
      </c>
      <c r="B3188" s="1" t="str">
        <f t="shared" si="1"/>
        <v>581467</v>
      </c>
      <c r="C3188" s="1" t="str">
        <f t="shared" si="2"/>
        <v>Sale</v>
      </c>
      <c r="D3188" s="1">
        <v>23358.0</v>
      </c>
      <c r="E3188" s="1" t="str">
        <f>IFERROR(__xludf.DUMMYFUNCTION("IF(LEN(D3188)&gt;4, IFERROR(REGEXEXTRACT(TO_TEXT(D3188),""\d+""),""""),"""")"),"23358")</f>
        <v>23358</v>
      </c>
      <c r="F3188" s="6" t="str">
        <f t="shared" si="3"/>
        <v>Product</v>
      </c>
      <c r="G3188" s="1" t="s">
        <v>1490</v>
      </c>
      <c r="H3188" s="6" t="str">
        <f>IFERROR(__xludf.DUMMYFUNCTION("IF(REGEXMATCH(LOWER(G3188), ""^(\?)+\s*(missing)?\s*(\?)*$""), """", PROPER(SUBSTITUTE(SUBSTITUTE(G3188, ""?"", """"), ""*"", """")))"),"Hot Stuff Hot Water Bottle")</f>
        <v>Hot Stuff Hot Water Bottle</v>
      </c>
      <c r="I3188" s="3">
        <v>5.0</v>
      </c>
      <c r="J3188" s="7">
        <v>40885.808333333334</v>
      </c>
      <c r="K3188" s="8" t="str">
        <f t="shared" si="4"/>
        <v>2011-12</v>
      </c>
      <c r="L3188" s="5">
        <v>1.25</v>
      </c>
      <c r="M3188" s="3">
        <v>13077.0</v>
      </c>
      <c r="N3188" s="1" t="str">
        <f t="shared" si="5"/>
        <v>Registered</v>
      </c>
      <c r="O3188" s="1" t="s">
        <v>19</v>
      </c>
      <c r="P3188" s="9" t="str">
        <f t="shared" si="6"/>
        <v>UK</v>
      </c>
      <c r="Q3188" s="8">
        <f t="shared" si="7"/>
        <v>6.25</v>
      </c>
    </row>
    <row r="3189">
      <c r="A3189" s="1">
        <v>581467.0</v>
      </c>
      <c r="B3189" s="1" t="str">
        <f t="shared" si="1"/>
        <v>581467</v>
      </c>
      <c r="C3189" s="1" t="str">
        <f t="shared" si="2"/>
        <v>Sale</v>
      </c>
      <c r="D3189" s="1" t="s">
        <v>1491</v>
      </c>
      <c r="E3189" s="1" t="str">
        <f>IFERROR(__xludf.DUMMYFUNCTION("IF(LEN(D3189)&gt;4, IFERROR(REGEXEXTRACT(TO_TEXT(D3189),""\d+""),""""),"""")"),"90214")</f>
        <v>90214</v>
      </c>
      <c r="F3189" s="6" t="str">
        <f t="shared" si="3"/>
        <v>Product</v>
      </c>
      <c r="G3189" s="1" t="s">
        <v>1492</v>
      </c>
      <c r="H3189" s="6" t="str">
        <f>IFERROR(__xludf.DUMMYFUNCTION("IF(REGEXMATCH(LOWER(G3189), ""^(\?)+\s*(missing)?\s*(\?)*$""), """", PROPER(SUBSTITUTE(SUBSTITUTE(G3189, ""?"", """"), ""*"", """")))"),"Letter ""C"" Bling Key Ring")</f>
        <v>Letter "C" Bling Key Ring</v>
      </c>
      <c r="I3189" s="3">
        <v>1.0</v>
      </c>
      <c r="J3189" s="7">
        <v>40885.808333333334</v>
      </c>
      <c r="K3189" s="8" t="str">
        <f t="shared" si="4"/>
        <v>2011-12</v>
      </c>
      <c r="L3189" s="5">
        <v>0.29</v>
      </c>
      <c r="M3189" s="3">
        <v>13077.0</v>
      </c>
      <c r="N3189" s="1" t="str">
        <f t="shared" si="5"/>
        <v>Registered</v>
      </c>
      <c r="O3189" s="1" t="s">
        <v>19</v>
      </c>
      <c r="P3189" s="9" t="str">
        <f t="shared" si="6"/>
        <v>UK</v>
      </c>
      <c r="Q3189" s="8">
        <f t="shared" si="7"/>
        <v>0.29</v>
      </c>
    </row>
    <row r="3190">
      <c r="A3190" s="1">
        <v>581467.0</v>
      </c>
      <c r="B3190" s="1" t="str">
        <f t="shared" si="1"/>
        <v>581467</v>
      </c>
      <c r="C3190" s="1" t="str">
        <f t="shared" si="2"/>
        <v>Sale</v>
      </c>
      <c r="D3190" s="1">
        <v>21703.0</v>
      </c>
      <c r="E3190" s="1" t="str">
        <f>IFERROR(__xludf.DUMMYFUNCTION("IF(LEN(D3190)&gt;4, IFERROR(REGEXEXTRACT(TO_TEXT(D3190),""\d+""),""""),"""")"),"21703")</f>
        <v>21703</v>
      </c>
      <c r="F3190" s="6" t="str">
        <f t="shared" si="3"/>
        <v>Product</v>
      </c>
      <c r="G3190" s="1" t="s">
        <v>962</v>
      </c>
      <c r="H3190" s="6" t="str">
        <f>IFERROR(__xludf.DUMMYFUNCTION("IF(REGEXMATCH(LOWER(G3190), ""^(\?)+\s*(missing)?\s*(\?)*$""), """", PROPER(SUBSTITUTE(SUBSTITUTE(G3190, ""?"", """"), ""*"", """")))"),"Bag 125G Swirly Marbles")</f>
        <v>Bag 125G Swirly Marbles</v>
      </c>
      <c r="I3190" s="3">
        <v>3.0</v>
      </c>
      <c r="J3190" s="7">
        <v>40885.808333333334</v>
      </c>
      <c r="K3190" s="8" t="str">
        <f t="shared" si="4"/>
        <v>2011-12</v>
      </c>
      <c r="L3190" s="5">
        <v>0.42</v>
      </c>
      <c r="M3190" s="3">
        <v>13077.0</v>
      </c>
      <c r="N3190" s="1" t="str">
        <f t="shared" si="5"/>
        <v>Registered</v>
      </c>
      <c r="O3190" s="1" t="s">
        <v>19</v>
      </c>
      <c r="P3190" s="9" t="str">
        <f t="shared" si="6"/>
        <v>UK</v>
      </c>
      <c r="Q3190" s="8">
        <f t="shared" si="7"/>
        <v>1.26</v>
      </c>
    </row>
    <row r="3191">
      <c r="A3191" s="1">
        <v>581467.0</v>
      </c>
      <c r="B3191" s="1" t="str">
        <f t="shared" si="1"/>
        <v>581467</v>
      </c>
      <c r="C3191" s="1" t="str">
        <f t="shared" si="2"/>
        <v>Sale</v>
      </c>
      <c r="D3191" s="1">
        <v>22645.0</v>
      </c>
      <c r="E3191" s="1" t="str">
        <f>IFERROR(__xludf.DUMMYFUNCTION("IF(LEN(D3191)&gt;4, IFERROR(REGEXEXTRACT(TO_TEXT(D3191),""\d+""),""""),"""")"),"22645")</f>
        <v>22645</v>
      </c>
      <c r="F3191" s="6" t="str">
        <f t="shared" si="3"/>
        <v>Product</v>
      </c>
      <c r="G3191" s="1" t="s">
        <v>522</v>
      </c>
      <c r="H3191" s="6" t="str">
        <f>IFERROR(__xludf.DUMMYFUNCTION("IF(REGEXMATCH(LOWER(G3191), ""^(\?)+\s*(missing)?\s*(\?)*$""), """", PROPER(SUBSTITUTE(SUBSTITUTE(G3191, ""?"", """"), ""*"", """")))"),"Ceramic Heart Fairy Cake Money Bank")</f>
        <v>Ceramic Heart Fairy Cake Money Bank</v>
      </c>
      <c r="I3191" s="3">
        <v>2.0</v>
      </c>
      <c r="J3191" s="7">
        <v>40885.808333333334</v>
      </c>
      <c r="K3191" s="8" t="str">
        <f t="shared" si="4"/>
        <v>2011-12</v>
      </c>
      <c r="L3191" s="5">
        <v>0.39</v>
      </c>
      <c r="M3191" s="3">
        <v>13077.0</v>
      </c>
      <c r="N3191" s="1" t="str">
        <f t="shared" si="5"/>
        <v>Registered</v>
      </c>
      <c r="O3191" s="1" t="s">
        <v>19</v>
      </c>
      <c r="P3191" s="9" t="str">
        <f t="shared" si="6"/>
        <v>UK</v>
      </c>
      <c r="Q3191" s="8">
        <f t="shared" si="7"/>
        <v>0.78</v>
      </c>
    </row>
    <row r="3192">
      <c r="A3192" s="1">
        <v>581467.0</v>
      </c>
      <c r="B3192" s="1" t="str">
        <f t="shared" si="1"/>
        <v>581467</v>
      </c>
      <c r="C3192" s="1" t="str">
        <f t="shared" si="2"/>
        <v>Sale</v>
      </c>
      <c r="D3192" s="1">
        <v>22644.0</v>
      </c>
      <c r="E3192" s="1" t="str">
        <f>IFERROR(__xludf.DUMMYFUNCTION("IF(LEN(D3192)&gt;4, IFERROR(REGEXEXTRACT(TO_TEXT(D3192),""\d+""),""""),"""")"),"22644")</f>
        <v>22644</v>
      </c>
      <c r="F3192" s="6" t="str">
        <f t="shared" si="3"/>
        <v>Product</v>
      </c>
      <c r="G3192" s="1" t="s">
        <v>134</v>
      </c>
      <c r="H3192" s="6" t="str">
        <f>IFERROR(__xludf.DUMMYFUNCTION("IF(REGEXMATCH(LOWER(G3192), ""^(\?)+\s*(missing)?\s*(\?)*$""), """", PROPER(SUBSTITUTE(SUBSTITUTE(G3192, ""?"", """"), ""*"", """")))"),"Ceramic Cherry Cake Money Bank")</f>
        <v>Ceramic Cherry Cake Money Bank</v>
      </c>
      <c r="I3192" s="3">
        <v>2.0</v>
      </c>
      <c r="J3192" s="7">
        <v>40885.808333333334</v>
      </c>
      <c r="K3192" s="8" t="str">
        <f t="shared" si="4"/>
        <v>2011-12</v>
      </c>
      <c r="L3192" s="5">
        <v>0.39</v>
      </c>
      <c r="M3192" s="3">
        <v>13077.0</v>
      </c>
      <c r="N3192" s="1" t="str">
        <f t="shared" si="5"/>
        <v>Registered</v>
      </c>
      <c r="O3192" s="1" t="s">
        <v>19</v>
      </c>
      <c r="P3192" s="9" t="str">
        <f t="shared" si="6"/>
        <v>UK</v>
      </c>
      <c r="Q3192" s="8">
        <f t="shared" si="7"/>
        <v>0.78</v>
      </c>
    </row>
    <row r="3193">
      <c r="A3193" s="1">
        <v>581467.0</v>
      </c>
      <c r="B3193" s="1" t="str">
        <f t="shared" si="1"/>
        <v>581467</v>
      </c>
      <c r="C3193" s="1" t="str">
        <f t="shared" si="2"/>
        <v>Sale</v>
      </c>
      <c r="D3193" s="1">
        <v>22621.0</v>
      </c>
      <c r="E3193" s="1" t="str">
        <f>IFERROR(__xludf.DUMMYFUNCTION("IF(LEN(D3193)&gt;4, IFERROR(REGEXEXTRACT(TO_TEXT(D3193),""\d+""),""""),"""")"),"22621")</f>
        <v>22621</v>
      </c>
      <c r="F3193" s="6" t="str">
        <f t="shared" si="3"/>
        <v>Product</v>
      </c>
      <c r="G3193" s="1" t="s">
        <v>1032</v>
      </c>
      <c r="H3193" s="6" t="str">
        <f>IFERROR(__xludf.DUMMYFUNCTION("IF(REGEXMATCH(LOWER(G3193), ""^(\?)+\s*(missing)?\s*(\?)*$""), """", PROPER(SUBSTITUTE(SUBSTITUTE(G3193, ""?"", """"), ""*"", """")))"),"Traditional Knitting Nancy")</f>
        <v>Traditional Knitting Nancy</v>
      </c>
      <c r="I3193" s="3">
        <v>4.0</v>
      </c>
      <c r="J3193" s="7">
        <v>40885.808333333334</v>
      </c>
      <c r="K3193" s="8" t="str">
        <f t="shared" si="4"/>
        <v>2011-12</v>
      </c>
      <c r="L3193" s="5">
        <v>1.65</v>
      </c>
      <c r="M3193" s="3">
        <v>13077.0</v>
      </c>
      <c r="N3193" s="1" t="str">
        <f t="shared" si="5"/>
        <v>Registered</v>
      </c>
      <c r="O3193" s="1" t="s">
        <v>19</v>
      </c>
      <c r="P3193" s="9" t="str">
        <f t="shared" si="6"/>
        <v>UK</v>
      </c>
      <c r="Q3193" s="8">
        <f t="shared" si="7"/>
        <v>6.6</v>
      </c>
    </row>
    <row r="3194">
      <c r="A3194" s="1">
        <v>581467.0</v>
      </c>
      <c r="B3194" s="1" t="str">
        <f t="shared" si="1"/>
        <v>581467</v>
      </c>
      <c r="C3194" s="1" t="str">
        <f t="shared" si="2"/>
        <v>Sale</v>
      </c>
      <c r="D3194" s="1">
        <v>23439.0</v>
      </c>
      <c r="E3194" s="1" t="str">
        <f>IFERROR(__xludf.DUMMYFUNCTION("IF(LEN(D3194)&gt;4, IFERROR(REGEXEXTRACT(TO_TEXT(D3194),""\d+""),""""),"""")"),"23439")</f>
        <v>23439</v>
      </c>
      <c r="F3194" s="6" t="str">
        <f t="shared" si="3"/>
        <v>Product</v>
      </c>
      <c r="G3194" s="1" t="s">
        <v>1438</v>
      </c>
      <c r="H3194" s="6" t="str">
        <f>IFERROR(__xludf.DUMMYFUNCTION("IF(REGEXMATCH(LOWER(G3194), ""^(\?)+\s*(missing)?\s*(\?)*$""), """", PROPER(SUBSTITUTE(SUBSTITUTE(G3194, ""?"", """"), ""*"", """")))"),"Hand Warmer Red Love Heart")</f>
        <v>Hand Warmer Red Love Heart</v>
      </c>
      <c r="I3194" s="3">
        <v>3.0</v>
      </c>
      <c r="J3194" s="7">
        <v>40885.808333333334</v>
      </c>
      <c r="K3194" s="8" t="str">
        <f t="shared" si="4"/>
        <v>2011-12</v>
      </c>
      <c r="L3194" s="5">
        <v>2.1</v>
      </c>
      <c r="M3194" s="3">
        <v>13077.0</v>
      </c>
      <c r="N3194" s="1" t="str">
        <f t="shared" si="5"/>
        <v>Registered</v>
      </c>
      <c r="O3194" s="1" t="s">
        <v>19</v>
      </c>
      <c r="P3194" s="9" t="str">
        <f t="shared" si="6"/>
        <v>UK</v>
      </c>
      <c r="Q3194" s="8">
        <f t="shared" si="7"/>
        <v>6.3</v>
      </c>
    </row>
    <row r="3195">
      <c r="A3195" s="1">
        <v>581467.0</v>
      </c>
      <c r="B3195" s="1" t="str">
        <f t="shared" si="1"/>
        <v>581467</v>
      </c>
      <c r="C3195" s="1" t="str">
        <f t="shared" si="2"/>
        <v>Sale</v>
      </c>
      <c r="D3195" s="1">
        <v>22834.0</v>
      </c>
      <c r="E3195" s="1" t="str">
        <f>IFERROR(__xludf.DUMMYFUNCTION("IF(LEN(D3195)&gt;4, IFERROR(REGEXEXTRACT(TO_TEXT(D3195),""\d+""),""""),"""")"),"22834")</f>
        <v>22834</v>
      </c>
      <c r="F3195" s="6" t="str">
        <f t="shared" si="3"/>
        <v>Product</v>
      </c>
      <c r="G3195" s="1" t="s">
        <v>492</v>
      </c>
      <c r="H3195" s="6" t="str">
        <f>IFERROR(__xludf.DUMMYFUNCTION("IF(REGEXMATCH(LOWER(G3195), ""^(\?)+\s*(missing)?\s*(\?)*$""), """", PROPER(SUBSTITUTE(SUBSTITUTE(G3195, ""?"", """"), ""*"", """")))"),"Hand Warmer Babushka Design")</f>
        <v>Hand Warmer Babushka Design</v>
      </c>
      <c r="I3195" s="3">
        <v>1.0</v>
      </c>
      <c r="J3195" s="7">
        <v>40885.808333333334</v>
      </c>
      <c r="K3195" s="8" t="str">
        <f t="shared" si="4"/>
        <v>2011-12</v>
      </c>
      <c r="L3195" s="5">
        <v>2.1</v>
      </c>
      <c r="M3195" s="3">
        <v>13077.0</v>
      </c>
      <c r="N3195" s="1" t="str">
        <f t="shared" si="5"/>
        <v>Registered</v>
      </c>
      <c r="O3195" s="1" t="s">
        <v>19</v>
      </c>
      <c r="P3195" s="9" t="str">
        <f t="shared" si="6"/>
        <v>UK</v>
      </c>
      <c r="Q3195" s="8">
        <f t="shared" si="7"/>
        <v>2.1</v>
      </c>
    </row>
    <row r="3196">
      <c r="A3196" s="1">
        <v>581467.0</v>
      </c>
      <c r="B3196" s="1" t="str">
        <f t="shared" si="1"/>
        <v>581467</v>
      </c>
      <c r="C3196" s="1" t="str">
        <f t="shared" si="2"/>
        <v>Sale</v>
      </c>
      <c r="D3196" s="1">
        <v>84600.0</v>
      </c>
      <c r="E3196" s="1" t="str">
        <f>IFERROR(__xludf.DUMMYFUNCTION("IF(LEN(D3196)&gt;4, IFERROR(REGEXEXTRACT(TO_TEXT(D3196),""\d+""),""""),"""")"),"84600")</f>
        <v>84600</v>
      </c>
      <c r="F3196" s="6" t="str">
        <f t="shared" si="3"/>
        <v>Product</v>
      </c>
      <c r="G3196" s="1" t="s">
        <v>1493</v>
      </c>
      <c r="H3196" s="6" t="str">
        <f>IFERROR(__xludf.DUMMYFUNCTION("IF(REGEXMATCH(LOWER(G3196), ""^(\?)+\s*(missing)?\s*(\?)*$""), """", PROPER(SUBSTITUTE(SUBSTITUTE(G3196, ""?"", """"), ""*"", """")))"),"New Baroque Jewellery Box")</f>
        <v>New Baroque Jewellery Box</v>
      </c>
      <c r="I3196" s="3">
        <v>1.0</v>
      </c>
      <c r="J3196" s="7">
        <v>40885.808333333334</v>
      </c>
      <c r="K3196" s="8" t="str">
        <f t="shared" si="4"/>
        <v>2011-12</v>
      </c>
      <c r="L3196" s="5">
        <v>7.95</v>
      </c>
      <c r="M3196" s="3">
        <v>13077.0</v>
      </c>
      <c r="N3196" s="1" t="str">
        <f t="shared" si="5"/>
        <v>Registered</v>
      </c>
      <c r="O3196" s="1" t="s">
        <v>19</v>
      </c>
      <c r="P3196" s="9" t="str">
        <f t="shared" si="6"/>
        <v>UK</v>
      </c>
      <c r="Q3196" s="8">
        <f t="shared" si="7"/>
        <v>7.95</v>
      </c>
    </row>
    <row r="3197">
      <c r="A3197" s="1">
        <v>581467.0</v>
      </c>
      <c r="B3197" s="1" t="str">
        <f t="shared" si="1"/>
        <v>581467</v>
      </c>
      <c r="C3197" s="1" t="str">
        <f t="shared" si="2"/>
        <v>Sale</v>
      </c>
      <c r="D3197" s="1">
        <v>21791.0</v>
      </c>
      <c r="E3197" s="1" t="str">
        <f>IFERROR(__xludf.DUMMYFUNCTION("IF(LEN(D3197)&gt;4, IFERROR(REGEXEXTRACT(TO_TEXT(D3197),""\d+""),""""),"""")"),"21791")</f>
        <v>21791</v>
      </c>
      <c r="F3197" s="6" t="str">
        <f t="shared" si="3"/>
        <v>Product</v>
      </c>
      <c r="G3197" s="1" t="s">
        <v>55</v>
      </c>
      <c r="H3197" s="6" t="str">
        <f>IFERROR(__xludf.DUMMYFUNCTION("IF(REGEXMATCH(LOWER(G3197), ""^(\?)+\s*(missing)?\s*(\?)*$""), """", PROPER(SUBSTITUTE(SUBSTITUTE(G3197, ""?"", """"), ""*"", """")))"),"Vintage Heads And Tails Card Game")</f>
        <v>Vintage Heads And Tails Card Game</v>
      </c>
      <c r="I3197" s="3">
        <v>3.0</v>
      </c>
      <c r="J3197" s="7">
        <v>40885.808333333334</v>
      </c>
      <c r="K3197" s="8" t="str">
        <f t="shared" si="4"/>
        <v>2011-12</v>
      </c>
      <c r="L3197" s="5">
        <v>1.25</v>
      </c>
      <c r="M3197" s="3">
        <v>13077.0</v>
      </c>
      <c r="N3197" s="1" t="str">
        <f t="shared" si="5"/>
        <v>Registered</v>
      </c>
      <c r="O3197" s="1" t="s">
        <v>19</v>
      </c>
      <c r="P3197" s="9" t="str">
        <f t="shared" si="6"/>
        <v>UK</v>
      </c>
      <c r="Q3197" s="8">
        <f t="shared" si="7"/>
        <v>3.75</v>
      </c>
    </row>
    <row r="3198">
      <c r="A3198" s="1">
        <v>581467.0</v>
      </c>
      <c r="B3198" s="1" t="str">
        <f t="shared" si="1"/>
        <v>581467</v>
      </c>
      <c r="C3198" s="1" t="str">
        <f t="shared" si="2"/>
        <v>Sale</v>
      </c>
      <c r="D3198" s="1">
        <v>22633.0</v>
      </c>
      <c r="E3198" s="1" t="str">
        <f>IFERROR(__xludf.DUMMYFUNCTION("IF(LEN(D3198)&gt;4, IFERROR(REGEXEXTRACT(TO_TEXT(D3198),""\d+""),""""),"""")"),"22633")</f>
        <v>22633</v>
      </c>
      <c r="F3198" s="6" t="str">
        <f t="shared" si="3"/>
        <v>Product</v>
      </c>
      <c r="G3198" s="1" t="s">
        <v>29</v>
      </c>
      <c r="H3198" s="6" t="str">
        <f>IFERROR(__xludf.DUMMYFUNCTION("IF(REGEXMATCH(LOWER(G3198), ""^(\?)+\s*(missing)?\s*(\?)*$""), """", PROPER(SUBSTITUTE(SUBSTITUTE(G3198, ""?"", """"), ""*"", """")))"),"Hand Warmer Union Jack")</f>
        <v>Hand Warmer Union Jack</v>
      </c>
      <c r="I3198" s="3">
        <v>2.0</v>
      </c>
      <c r="J3198" s="7">
        <v>40885.808333333334</v>
      </c>
      <c r="K3198" s="8" t="str">
        <f t="shared" si="4"/>
        <v>2011-12</v>
      </c>
      <c r="L3198" s="5">
        <v>2.1</v>
      </c>
      <c r="M3198" s="3">
        <v>13077.0</v>
      </c>
      <c r="N3198" s="1" t="str">
        <f t="shared" si="5"/>
        <v>Registered</v>
      </c>
      <c r="O3198" s="1" t="s">
        <v>19</v>
      </c>
      <c r="P3198" s="9" t="str">
        <f t="shared" si="6"/>
        <v>UK</v>
      </c>
      <c r="Q3198" s="8">
        <f t="shared" si="7"/>
        <v>4.2</v>
      </c>
    </row>
    <row r="3199">
      <c r="A3199" s="1">
        <v>581467.0</v>
      </c>
      <c r="B3199" s="1" t="str">
        <f t="shared" si="1"/>
        <v>581467</v>
      </c>
      <c r="C3199" s="1" t="str">
        <f t="shared" si="2"/>
        <v>Sale</v>
      </c>
      <c r="D3199" s="1">
        <v>22865.0</v>
      </c>
      <c r="E3199" s="1" t="str">
        <f>IFERROR(__xludf.DUMMYFUNCTION("IF(LEN(D3199)&gt;4, IFERROR(REGEXEXTRACT(TO_TEXT(D3199),""\d+""),""""),"""")"),"22865")</f>
        <v>22865</v>
      </c>
      <c r="F3199" s="6" t="str">
        <f t="shared" si="3"/>
        <v>Product</v>
      </c>
      <c r="G3199" s="1" t="s">
        <v>247</v>
      </c>
      <c r="H3199" s="6" t="str">
        <f>IFERROR(__xludf.DUMMYFUNCTION("IF(REGEXMATCH(LOWER(G3199), ""^(\?)+\s*(missing)?\s*(\?)*$""), """", PROPER(SUBSTITUTE(SUBSTITUTE(G3199, ""?"", """"), ""*"", """")))"),"Hand Warmer Owl Design")</f>
        <v>Hand Warmer Owl Design</v>
      </c>
      <c r="I3199" s="3">
        <v>2.0</v>
      </c>
      <c r="J3199" s="7">
        <v>40885.808333333334</v>
      </c>
      <c r="K3199" s="8" t="str">
        <f t="shared" si="4"/>
        <v>2011-12</v>
      </c>
      <c r="L3199" s="5">
        <v>2.1</v>
      </c>
      <c r="M3199" s="3">
        <v>13077.0</v>
      </c>
      <c r="N3199" s="1" t="str">
        <f t="shared" si="5"/>
        <v>Registered</v>
      </c>
      <c r="O3199" s="1" t="s">
        <v>19</v>
      </c>
      <c r="P3199" s="9" t="str">
        <f t="shared" si="6"/>
        <v>UK</v>
      </c>
      <c r="Q3199" s="8">
        <f t="shared" si="7"/>
        <v>4.2</v>
      </c>
    </row>
    <row r="3200">
      <c r="A3200" s="1">
        <v>581467.0</v>
      </c>
      <c r="B3200" s="1" t="str">
        <f t="shared" si="1"/>
        <v>581467</v>
      </c>
      <c r="C3200" s="1" t="str">
        <f t="shared" si="2"/>
        <v>Sale</v>
      </c>
      <c r="D3200" s="1">
        <v>22866.0</v>
      </c>
      <c r="E3200" s="1" t="str">
        <f>IFERROR(__xludf.DUMMYFUNCTION("IF(LEN(D3200)&gt;4, IFERROR(REGEXEXTRACT(TO_TEXT(D3200),""\d+""),""""),"""")"),"22866")</f>
        <v>22866</v>
      </c>
      <c r="F3200" s="6" t="str">
        <f t="shared" si="3"/>
        <v>Product</v>
      </c>
      <c r="G3200" s="1" t="s">
        <v>246</v>
      </c>
      <c r="H3200" s="6" t="str">
        <f>IFERROR(__xludf.DUMMYFUNCTION("IF(REGEXMATCH(LOWER(G3200), ""^(\?)+\s*(missing)?\s*(\?)*$""), """", PROPER(SUBSTITUTE(SUBSTITUTE(G3200, ""?"", """"), ""*"", """")))"),"Hand Warmer Scotty Dog Design")</f>
        <v>Hand Warmer Scotty Dog Design</v>
      </c>
      <c r="I3200" s="3">
        <v>2.0</v>
      </c>
      <c r="J3200" s="7">
        <v>40885.808333333334</v>
      </c>
      <c r="K3200" s="8" t="str">
        <f t="shared" si="4"/>
        <v>2011-12</v>
      </c>
      <c r="L3200" s="5">
        <v>2.1</v>
      </c>
      <c r="M3200" s="3">
        <v>13077.0</v>
      </c>
      <c r="N3200" s="1" t="str">
        <f t="shared" si="5"/>
        <v>Registered</v>
      </c>
      <c r="O3200" s="1" t="s">
        <v>19</v>
      </c>
      <c r="P3200" s="9" t="str">
        <f t="shared" si="6"/>
        <v>UK</v>
      </c>
      <c r="Q3200" s="8">
        <f t="shared" si="7"/>
        <v>4.2</v>
      </c>
    </row>
    <row r="3201">
      <c r="A3201" s="1">
        <v>581467.0</v>
      </c>
      <c r="B3201" s="1" t="str">
        <f t="shared" si="1"/>
        <v>581467</v>
      </c>
      <c r="C3201" s="1" t="str">
        <f t="shared" si="2"/>
        <v>Sale</v>
      </c>
      <c r="D3201" s="1">
        <v>22867.0</v>
      </c>
      <c r="E3201" s="1" t="str">
        <f>IFERROR(__xludf.DUMMYFUNCTION("IF(LEN(D3201)&gt;4, IFERROR(REGEXEXTRACT(TO_TEXT(D3201),""\d+""),""""),"""")"),"22867")</f>
        <v>22867</v>
      </c>
      <c r="F3201" s="6" t="str">
        <f t="shared" si="3"/>
        <v>Product</v>
      </c>
      <c r="G3201" s="1" t="s">
        <v>257</v>
      </c>
      <c r="H3201" s="6" t="str">
        <f>IFERROR(__xludf.DUMMYFUNCTION("IF(REGEXMATCH(LOWER(G3201), ""^(\?)+\s*(missing)?\s*(\?)*$""), """", PROPER(SUBSTITUTE(SUBSTITUTE(G3201, ""?"", """"), ""*"", """")))"),"Hand Warmer Bird Design")</f>
        <v>Hand Warmer Bird Design</v>
      </c>
      <c r="I3201" s="3">
        <v>1.0</v>
      </c>
      <c r="J3201" s="7">
        <v>40885.808333333334</v>
      </c>
      <c r="K3201" s="8" t="str">
        <f t="shared" si="4"/>
        <v>2011-12</v>
      </c>
      <c r="L3201" s="5">
        <v>2.1</v>
      </c>
      <c r="M3201" s="3">
        <v>13077.0</v>
      </c>
      <c r="N3201" s="1" t="str">
        <f t="shared" si="5"/>
        <v>Registered</v>
      </c>
      <c r="O3201" s="1" t="s">
        <v>19</v>
      </c>
      <c r="P3201" s="9" t="str">
        <f t="shared" si="6"/>
        <v>UK</v>
      </c>
      <c r="Q3201" s="8">
        <f t="shared" si="7"/>
        <v>2.1</v>
      </c>
    </row>
    <row r="3202">
      <c r="A3202" s="1">
        <v>581467.0</v>
      </c>
      <c r="B3202" s="1" t="str">
        <f t="shared" si="1"/>
        <v>581467</v>
      </c>
      <c r="C3202" s="1" t="str">
        <f t="shared" si="2"/>
        <v>Sale</v>
      </c>
      <c r="D3202" s="1">
        <v>21790.0</v>
      </c>
      <c r="E3202" s="1" t="str">
        <f>IFERROR(__xludf.DUMMYFUNCTION("IF(LEN(D3202)&gt;4, IFERROR(REGEXEXTRACT(TO_TEXT(D3202),""\d+""),""""),"""")"),"21790")</f>
        <v>21790</v>
      </c>
      <c r="F3202" s="6" t="str">
        <f t="shared" si="3"/>
        <v>Product</v>
      </c>
      <c r="G3202" s="1" t="s">
        <v>477</v>
      </c>
      <c r="H3202" s="6" t="str">
        <f>IFERROR(__xludf.DUMMYFUNCTION("IF(REGEXMATCH(LOWER(G3202), ""^(\?)+\s*(missing)?\s*(\?)*$""), """", PROPER(SUBSTITUTE(SUBSTITUTE(G3202, ""?"", """"), ""*"", """")))"),"Vintage Snap Cards")</f>
        <v>Vintage Snap Cards</v>
      </c>
      <c r="I3202" s="3">
        <v>2.0</v>
      </c>
      <c r="J3202" s="7">
        <v>40885.808333333334</v>
      </c>
      <c r="K3202" s="8" t="str">
        <f t="shared" si="4"/>
        <v>2011-12</v>
      </c>
      <c r="L3202" s="5">
        <v>0.85</v>
      </c>
      <c r="M3202" s="3">
        <v>13077.0</v>
      </c>
      <c r="N3202" s="1" t="str">
        <f t="shared" si="5"/>
        <v>Registered</v>
      </c>
      <c r="O3202" s="1" t="s">
        <v>19</v>
      </c>
      <c r="P3202" s="9" t="str">
        <f t="shared" si="6"/>
        <v>UK</v>
      </c>
      <c r="Q3202" s="8">
        <f t="shared" si="7"/>
        <v>1.7</v>
      </c>
    </row>
    <row r="3203">
      <c r="A3203" s="1">
        <v>581467.0</v>
      </c>
      <c r="B3203" s="1" t="str">
        <f t="shared" si="1"/>
        <v>581467</v>
      </c>
      <c r="C3203" s="1" t="str">
        <f t="shared" si="2"/>
        <v>Sale</v>
      </c>
      <c r="D3203" s="1">
        <v>20668.0</v>
      </c>
      <c r="E3203" s="1" t="str">
        <f>IFERROR(__xludf.DUMMYFUNCTION("IF(LEN(D3203)&gt;4, IFERROR(REGEXEXTRACT(TO_TEXT(D3203),""\d+""),""""),"""")"),"20668")</f>
        <v>20668</v>
      </c>
      <c r="F3203" s="6" t="str">
        <f t="shared" si="3"/>
        <v>Product</v>
      </c>
      <c r="G3203" s="1" t="s">
        <v>216</v>
      </c>
      <c r="H3203" s="6" t="str">
        <f>IFERROR(__xludf.DUMMYFUNCTION("IF(REGEXMATCH(LOWER(G3203), ""^(\?)+\s*(missing)?\s*(\?)*$""), """", PROPER(SUBSTITUTE(SUBSTITUTE(G3203, ""?"", """"), ""*"", """")))"),"Disco Ball Christmas Decoration")</f>
        <v>Disco Ball Christmas Decoration</v>
      </c>
      <c r="I3203" s="3">
        <v>48.0</v>
      </c>
      <c r="J3203" s="7">
        <v>40885.808333333334</v>
      </c>
      <c r="K3203" s="8" t="str">
        <f t="shared" si="4"/>
        <v>2011-12</v>
      </c>
      <c r="L3203" s="5">
        <v>0.12</v>
      </c>
      <c r="M3203" s="3">
        <v>13077.0</v>
      </c>
      <c r="N3203" s="1" t="str">
        <f t="shared" si="5"/>
        <v>Registered</v>
      </c>
      <c r="O3203" s="1" t="s">
        <v>19</v>
      </c>
      <c r="P3203" s="9" t="str">
        <f t="shared" si="6"/>
        <v>UK</v>
      </c>
      <c r="Q3203" s="8">
        <f t="shared" si="7"/>
        <v>5.76</v>
      </c>
    </row>
    <row r="3204">
      <c r="A3204" s="1">
        <v>581467.0</v>
      </c>
      <c r="B3204" s="1" t="str">
        <f t="shared" si="1"/>
        <v>581467</v>
      </c>
      <c r="C3204" s="1" t="str">
        <f t="shared" si="2"/>
        <v>Sale</v>
      </c>
      <c r="D3204" s="1">
        <v>22811.0</v>
      </c>
      <c r="E3204" s="1" t="str">
        <f>IFERROR(__xludf.DUMMYFUNCTION("IF(LEN(D3204)&gt;4, IFERROR(REGEXEXTRACT(TO_TEXT(D3204),""\d+""),""""),"""")"),"22811")</f>
        <v>22811</v>
      </c>
      <c r="F3204" s="6" t="str">
        <f t="shared" si="3"/>
        <v>Product</v>
      </c>
      <c r="G3204" s="1" t="s">
        <v>1494</v>
      </c>
      <c r="H3204" s="6" t="str">
        <f>IFERROR(__xludf.DUMMYFUNCTION("IF(REGEXMATCH(LOWER(G3204), ""^(\?)+\s*(missing)?\s*(\?)*$""), """", PROPER(SUBSTITUTE(SUBSTITUTE(G3204, ""?"", """"), ""*"", """")))"),"Set Of 6 T-Lights Cacti")</f>
        <v>Set Of 6 T-Lights Cacti</v>
      </c>
      <c r="I3204" s="3">
        <v>3.0</v>
      </c>
      <c r="J3204" s="7">
        <v>40885.808333333334</v>
      </c>
      <c r="K3204" s="8" t="str">
        <f t="shared" si="4"/>
        <v>2011-12</v>
      </c>
      <c r="L3204" s="5">
        <v>1.25</v>
      </c>
      <c r="M3204" s="3">
        <v>13077.0</v>
      </c>
      <c r="N3204" s="1" t="str">
        <f t="shared" si="5"/>
        <v>Registered</v>
      </c>
      <c r="O3204" s="1" t="s">
        <v>19</v>
      </c>
      <c r="P3204" s="9" t="str">
        <f t="shared" si="6"/>
        <v>UK</v>
      </c>
      <c r="Q3204" s="8">
        <f t="shared" si="7"/>
        <v>3.75</v>
      </c>
    </row>
    <row r="3205">
      <c r="A3205" s="1">
        <v>581467.0</v>
      </c>
      <c r="B3205" s="1" t="str">
        <f t="shared" si="1"/>
        <v>581467</v>
      </c>
      <c r="C3205" s="1" t="str">
        <f t="shared" si="2"/>
        <v>Sale</v>
      </c>
      <c r="D3205" s="1">
        <v>85174.0</v>
      </c>
      <c r="E3205" s="1" t="str">
        <f>IFERROR(__xludf.DUMMYFUNCTION("IF(LEN(D3205)&gt;4, IFERROR(REGEXEXTRACT(TO_TEXT(D3205),""\d+""),""""),"""")"),"85174")</f>
        <v>85174</v>
      </c>
      <c r="F3205" s="6" t="str">
        <f t="shared" si="3"/>
        <v>Product</v>
      </c>
      <c r="G3205" s="1" t="s">
        <v>1495</v>
      </c>
      <c r="H3205" s="6" t="str">
        <f>IFERROR(__xludf.DUMMYFUNCTION("IF(REGEXMATCH(LOWER(G3205), ""^(\?)+\s*(missing)?\s*(\?)*$""), """", PROPER(SUBSTITUTE(SUBSTITUTE(G3205, ""?"", """"), ""*"", """")))"),"S/4 Cacti Candles")</f>
        <v>S/4 Cacti Candles</v>
      </c>
      <c r="I3205" s="3">
        <v>1.0</v>
      </c>
      <c r="J3205" s="7">
        <v>40885.808333333334</v>
      </c>
      <c r="K3205" s="8" t="str">
        <f t="shared" si="4"/>
        <v>2011-12</v>
      </c>
      <c r="L3205" s="5">
        <v>4.95</v>
      </c>
      <c r="M3205" s="3">
        <v>13077.0</v>
      </c>
      <c r="N3205" s="1" t="str">
        <f t="shared" si="5"/>
        <v>Registered</v>
      </c>
      <c r="O3205" s="1" t="s">
        <v>19</v>
      </c>
      <c r="P3205" s="9" t="str">
        <f t="shared" si="6"/>
        <v>UK</v>
      </c>
      <c r="Q3205" s="8">
        <f t="shared" si="7"/>
        <v>4.95</v>
      </c>
    </row>
    <row r="3206">
      <c r="A3206" s="1">
        <v>581467.0</v>
      </c>
      <c r="B3206" s="1" t="str">
        <f t="shared" si="1"/>
        <v>581467</v>
      </c>
      <c r="C3206" s="1" t="str">
        <f t="shared" si="2"/>
        <v>Sale</v>
      </c>
      <c r="D3206" s="1">
        <v>21417.0</v>
      </c>
      <c r="E3206" s="1" t="str">
        <f>IFERROR(__xludf.DUMMYFUNCTION("IF(LEN(D3206)&gt;4, IFERROR(REGEXEXTRACT(TO_TEXT(D3206),""\d+""),""""),"""")"),"21417")</f>
        <v>21417</v>
      </c>
      <c r="F3206" s="6" t="str">
        <f t="shared" si="3"/>
        <v>Product</v>
      </c>
      <c r="G3206" s="1" t="s">
        <v>1352</v>
      </c>
      <c r="H3206" s="6" t="str">
        <f>IFERROR(__xludf.DUMMYFUNCTION("IF(REGEXMATCH(LOWER(G3206), ""^(\?)+\s*(missing)?\s*(\?)*$""), """", PROPER(SUBSTITUTE(SUBSTITUTE(G3206, ""?"", """"), ""*"", """")))"),"Cockle Shell Dish")</f>
        <v>Cockle Shell Dish</v>
      </c>
      <c r="I3206" s="3">
        <v>2.0</v>
      </c>
      <c r="J3206" s="7">
        <v>40885.808333333334</v>
      </c>
      <c r="K3206" s="8" t="str">
        <f t="shared" si="4"/>
        <v>2011-12</v>
      </c>
      <c r="L3206" s="5">
        <v>0.79</v>
      </c>
      <c r="M3206" s="3">
        <v>13077.0</v>
      </c>
      <c r="N3206" s="1" t="str">
        <f t="shared" si="5"/>
        <v>Registered</v>
      </c>
      <c r="O3206" s="1" t="s">
        <v>19</v>
      </c>
      <c r="P3206" s="9" t="str">
        <f t="shared" si="6"/>
        <v>UK</v>
      </c>
      <c r="Q3206" s="8">
        <f t="shared" si="7"/>
        <v>1.58</v>
      </c>
    </row>
    <row r="3207">
      <c r="A3207" s="1">
        <v>581467.0</v>
      </c>
      <c r="B3207" s="1" t="str">
        <f t="shared" si="1"/>
        <v>581467</v>
      </c>
      <c r="C3207" s="1" t="str">
        <f t="shared" si="2"/>
        <v>Sale</v>
      </c>
      <c r="D3207" s="1">
        <v>22442.0</v>
      </c>
      <c r="E3207" s="1" t="str">
        <f>IFERROR(__xludf.DUMMYFUNCTION("IF(LEN(D3207)&gt;4, IFERROR(REGEXEXTRACT(TO_TEXT(D3207),""\d+""),""""),"""")"),"22442")</f>
        <v>22442</v>
      </c>
      <c r="F3207" s="6" t="str">
        <f t="shared" si="3"/>
        <v>Product</v>
      </c>
      <c r="G3207" s="1" t="s">
        <v>1428</v>
      </c>
      <c r="H3207" s="6" t="str">
        <f>IFERROR(__xludf.DUMMYFUNCTION("IF(REGEXMATCH(LOWER(G3207), ""^(\?)+\s*(missing)?\s*(\?)*$""), """", PROPER(SUBSTITUTE(SUBSTITUTE(G3207, ""?"", """"), ""*"", """")))"),"Grow Your Own Flowers Set Of 3")</f>
        <v>Grow Your Own Flowers Set Of 3</v>
      </c>
      <c r="I3207" s="3">
        <v>1.0</v>
      </c>
      <c r="J3207" s="7">
        <v>40885.808333333334</v>
      </c>
      <c r="K3207" s="8" t="str">
        <f t="shared" si="4"/>
        <v>2011-12</v>
      </c>
      <c r="L3207" s="5">
        <v>1.95</v>
      </c>
      <c r="M3207" s="3">
        <v>13077.0</v>
      </c>
      <c r="N3207" s="1" t="str">
        <f t="shared" si="5"/>
        <v>Registered</v>
      </c>
      <c r="O3207" s="1" t="s">
        <v>19</v>
      </c>
      <c r="P3207" s="9" t="str">
        <f t="shared" si="6"/>
        <v>UK</v>
      </c>
      <c r="Q3207" s="8">
        <f t="shared" si="7"/>
        <v>1.95</v>
      </c>
    </row>
    <row r="3208">
      <c r="A3208" s="1">
        <v>581467.0</v>
      </c>
      <c r="B3208" s="1" t="str">
        <f t="shared" si="1"/>
        <v>581467</v>
      </c>
      <c r="C3208" s="1" t="str">
        <f t="shared" si="2"/>
        <v>Sale</v>
      </c>
      <c r="D3208" s="1">
        <v>22389.0</v>
      </c>
      <c r="E3208" s="1" t="str">
        <f>IFERROR(__xludf.DUMMYFUNCTION("IF(LEN(D3208)&gt;4, IFERROR(REGEXEXTRACT(TO_TEXT(D3208),""\d+""),""""),"""")"),"22389")</f>
        <v>22389</v>
      </c>
      <c r="F3208" s="6" t="str">
        <f t="shared" si="3"/>
        <v>Product</v>
      </c>
      <c r="G3208" s="1" t="s">
        <v>1496</v>
      </c>
      <c r="H3208" s="6" t="str">
        <f>IFERROR(__xludf.DUMMYFUNCTION("IF(REGEXMATCH(LOWER(G3208), ""^(\?)+\s*(missing)?\s*(\?)*$""), """", PROPER(SUBSTITUTE(SUBSTITUTE(G3208, ""?"", """"), ""*"", """")))"),"Paperweight Save The Planet")</f>
        <v>Paperweight Save The Planet</v>
      </c>
      <c r="I3208" s="3">
        <v>3.0</v>
      </c>
      <c r="J3208" s="7">
        <v>40885.808333333334</v>
      </c>
      <c r="K3208" s="8" t="str">
        <f t="shared" si="4"/>
        <v>2011-12</v>
      </c>
      <c r="L3208" s="5">
        <v>0.39</v>
      </c>
      <c r="M3208" s="3">
        <v>13077.0</v>
      </c>
      <c r="N3208" s="1" t="str">
        <f t="shared" si="5"/>
        <v>Registered</v>
      </c>
      <c r="O3208" s="1" t="s">
        <v>19</v>
      </c>
      <c r="P3208" s="9" t="str">
        <f t="shared" si="6"/>
        <v>UK</v>
      </c>
      <c r="Q3208" s="8">
        <f t="shared" si="7"/>
        <v>1.17</v>
      </c>
    </row>
    <row r="3209">
      <c r="A3209" s="1">
        <v>581467.0</v>
      </c>
      <c r="B3209" s="1" t="str">
        <f t="shared" si="1"/>
        <v>581467</v>
      </c>
      <c r="C3209" s="1" t="str">
        <f t="shared" si="2"/>
        <v>Sale</v>
      </c>
      <c r="D3209" s="1">
        <v>84976.0</v>
      </c>
      <c r="E3209" s="1" t="str">
        <f>IFERROR(__xludf.DUMMYFUNCTION("IF(LEN(D3209)&gt;4, IFERROR(REGEXEXTRACT(TO_TEXT(D3209),""\d+""),""""),"""")"),"84976")</f>
        <v>84976</v>
      </c>
      <c r="F3209" s="6" t="str">
        <f t="shared" si="3"/>
        <v>Product</v>
      </c>
      <c r="G3209" s="1" t="s">
        <v>1497</v>
      </c>
      <c r="H3209" s="6" t="str">
        <f>IFERROR(__xludf.DUMMYFUNCTION("IF(REGEXMATCH(LOWER(G3209), ""^(\?)+\s*(missing)?\s*(\?)*$""), """", PROPER(SUBSTITUTE(SUBSTITUTE(G3209, ""?"", """"), ""*"", """")))"),"Rectangular Shaped Mirror")</f>
        <v>Rectangular Shaped Mirror</v>
      </c>
      <c r="I3209" s="3">
        <v>3.0</v>
      </c>
      <c r="J3209" s="7">
        <v>40885.808333333334</v>
      </c>
      <c r="K3209" s="8" t="str">
        <f t="shared" si="4"/>
        <v>2011-12</v>
      </c>
      <c r="L3209" s="5">
        <v>0.79</v>
      </c>
      <c r="M3209" s="3">
        <v>13077.0</v>
      </c>
      <c r="N3209" s="1" t="str">
        <f t="shared" si="5"/>
        <v>Registered</v>
      </c>
      <c r="O3209" s="1" t="s">
        <v>19</v>
      </c>
      <c r="P3209" s="9" t="str">
        <f t="shared" si="6"/>
        <v>UK</v>
      </c>
      <c r="Q3209" s="8">
        <f t="shared" si="7"/>
        <v>2.37</v>
      </c>
    </row>
    <row r="3210">
      <c r="A3210" s="1">
        <v>581467.0</v>
      </c>
      <c r="B3210" s="1" t="str">
        <f t="shared" si="1"/>
        <v>581467</v>
      </c>
      <c r="C3210" s="1" t="str">
        <f t="shared" si="2"/>
        <v>Sale</v>
      </c>
      <c r="D3210" s="1" t="s">
        <v>1498</v>
      </c>
      <c r="E3210" s="1" t="str">
        <f>IFERROR(__xludf.DUMMYFUNCTION("IF(LEN(D3210)&gt;4, IFERROR(REGEXEXTRACT(TO_TEXT(D3210),""\d+""),""""),"""")"),"72801")</f>
        <v>72801</v>
      </c>
      <c r="F3210" s="6" t="str">
        <f t="shared" si="3"/>
        <v>Product</v>
      </c>
      <c r="G3210" s="1" t="s">
        <v>1499</v>
      </c>
      <c r="H3210" s="6" t="str">
        <f>IFERROR(__xludf.DUMMYFUNCTION("IF(REGEXMATCH(LOWER(G3210), ""^(\?)+\s*(missing)?\s*(\?)*$""), """", PROPER(SUBSTITUTE(SUBSTITUTE(G3210, ""?"", """"), ""*"", """")))"),"4 Sky Blue Dinner Candles")</f>
        <v>4 Sky Blue Dinner Candles</v>
      </c>
      <c r="I3210" s="3">
        <v>3.0</v>
      </c>
      <c r="J3210" s="7">
        <v>40885.808333333334</v>
      </c>
      <c r="K3210" s="8" t="str">
        <f t="shared" si="4"/>
        <v>2011-12</v>
      </c>
      <c r="L3210" s="5">
        <v>1.25</v>
      </c>
      <c r="M3210" s="3">
        <v>13077.0</v>
      </c>
      <c r="N3210" s="1" t="str">
        <f t="shared" si="5"/>
        <v>Registered</v>
      </c>
      <c r="O3210" s="1" t="s">
        <v>19</v>
      </c>
      <c r="P3210" s="9" t="str">
        <f t="shared" si="6"/>
        <v>UK</v>
      </c>
      <c r="Q3210" s="8">
        <f t="shared" si="7"/>
        <v>3.75</v>
      </c>
    </row>
    <row r="3211">
      <c r="A3211" s="1">
        <v>581467.0</v>
      </c>
      <c r="B3211" s="1" t="str">
        <f t="shared" si="1"/>
        <v>581467</v>
      </c>
      <c r="C3211" s="1" t="str">
        <f t="shared" si="2"/>
        <v>Sale</v>
      </c>
      <c r="D3211" s="1">
        <v>85111.0</v>
      </c>
      <c r="E3211" s="1" t="str">
        <f>IFERROR(__xludf.DUMMYFUNCTION("IF(LEN(D3211)&gt;4, IFERROR(REGEXEXTRACT(TO_TEXT(D3211),""\d+""),""""),"""")"),"85111")</f>
        <v>85111</v>
      </c>
      <c r="F3211" s="6" t="str">
        <f t="shared" si="3"/>
        <v>Product</v>
      </c>
      <c r="G3211" s="1" t="s">
        <v>1500</v>
      </c>
      <c r="H3211" s="6" t="str">
        <f>IFERROR(__xludf.DUMMYFUNCTION("IF(REGEXMATCH(LOWER(G3211), ""^(\?)+\s*(missing)?\s*(\?)*$""), """", PROPER(SUBSTITUTE(SUBSTITUTE(G3211, ""?"", """"), ""*"", """")))"),"Silver Glitter Flower Votive Holder")</f>
        <v>Silver Glitter Flower Votive Holder</v>
      </c>
      <c r="I3211" s="3">
        <v>2.0</v>
      </c>
      <c r="J3211" s="7">
        <v>40885.808333333334</v>
      </c>
      <c r="K3211" s="8" t="str">
        <f t="shared" si="4"/>
        <v>2011-12</v>
      </c>
      <c r="L3211" s="5">
        <v>0.29</v>
      </c>
      <c r="M3211" s="3">
        <v>13077.0</v>
      </c>
      <c r="N3211" s="1" t="str">
        <f t="shared" si="5"/>
        <v>Registered</v>
      </c>
      <c r="O3211" s="1" t="s">
        <v>19</v>
      </c>
      <c r="P3211" s="9" t="str">
        <f t="shared" si="6"/>
        <v>UK</v>
      </c>
      <c r="Q3211" s="8">
        <f t="shared" si="7"/>
        <v>0.58</v>
      </c>
    </row>
    <row r="3212">
      <c r="A3212" s="1">
        <v>581467.0</v>
      </c>
      <c r="B3212" s="1" t="str">
        <f t="shared" si="1"/>
        <v>581467</v>
      </c>
      <c r="C3212" s="1" t="str">
        <f t="shared" si="2"/>
        <v>Sale</v>
      </c>
      <c r="D3212" s="1" t="s">
        <v>1501</v>
      </c>
      <c r="E3212" s="1" t="str">
        <f>IFERROR(__xludf.DUMMYFUNCTION("IF(LEN(D3212)&gt;4, IFERROR(REGEXEXTRACT(TO_TEXT(D3212),""\d+""),""""),"""")"),"17012")</f>
        <v>17012</v>
      </c>
      <c r="F3212" s="6" t="str">
        <f t="shared" si="3"/>
        <v>Product</v>
      </c>
      <c r="G3212" s="1" t="s">
        <v>1502</v>
      </c>
      <c r="H3212" s="6" t="str">
        <f>IFERROR(__xludf.DUMMYFUNCTION("IF(REGEXMATCH(LOWER(G3212), ""^(\?)+\s*(missing)?\s*(\?)*$""), """", PROPER(SUBSTITUTE(SUBSTITUTE(G3212, ""?"", """"), ""*"", """")))"),"Origami Sandlewood Incense/Cand Set")</f>
        <v>Origami Sandlewood Incense/Cand Set</v>
      </c>
      <c r="I3212" s="3">
        <v>2.0</v>
      </c>
      <c r="J3212" s="7">
        <v>40885.808333333334</v>
      </c>
      <c r="K3212" s="8" t="str">
        <f t="shared" si="4"/>
        <v>2011-12</v>
      </c>
      <c r="L3212" s="5">
        <v>0.85</v>
      </c>
      <c r="M3212" s="3">
        <v>13077.0</v>
      </c>
      <c r="N3212" s="1" t="str">
        <f t="shared" si="5"/>
        <v>Registered</v>
      </c>
      <c r="O3212" s="1" t="s">
        <v>19</v>
      </c>
      <c r="P3212" s="9" t="str">
        <f t="shared" si="6"/>
        <v>UK</v>
      </c>
      <c r="Q3212" s="8">
        <f t="shared" si="7"/>
        <v>1.7</v>
      </c>
    </row>
    <row r="3213">
      <c r="A3213" s="1">
        <v>581467.0</v>
      </c>
      <c r="B3213" s="1" t="str">
        <f t="shared" si="1"/>
        <v>581467</v>
      </c>
      <c r="C3213" s="1" t="str">
        <f t="shared" si="2"/>
        <v>Sale</v>
      </c>
      <c r="D3213" s="1" t="s">
        <v>1503</v>
      </c>
      <c r="E3213" s="1" t="str">
        <f>IFERROR(__xludf.DUMMYFUNCTION("IF(LEN(D3213)&gt;4, IFERROR(REGEXEXTRACT(TO_TEXT(D3213),""\d+""),""""),"""")"),"72801")</f>
        <v>72801</v>
      </c>
      <c r="F3213" s="6" t="str">
        <f t="shared" si="3"/>
        <v>Product</v>
      </c>
      <c r="G3213" s="1" t="s">
        <v>1504</v>
      </c>
      <c r="H3213" s="6" t="str">
        <f>IFERROR(__xludf.DUMMYFUNCTION("IF(REGEXMATCH(LOWER(G3213), ""^(\?)+\s*(missing)?\s*(\?)*$""), """", PROPER(SUBSTITUTE(SUBSTITUTE(G3213, ""?"", """"), ""*"", """")))"),"4 Rose Pink Dinner Candles")</f>
        <v>4 Rose Pink Dinner Candles</v>
      </c>
      <c r="I3213" s="3">
        <v>3.0</v>
      </c>
      <c r="J3213" s="7">
        <v>40885.808333333334</v>
      </c>
      <c r="K3213" s="8" t="str">
        <f t="shared" si="4"/>
        <v>2011-12</v>
      </c>
      <c r="L3213" s="5">
        <v>1.25</v>
      </c>
      <c r="M3213" s="3">
        <v>13077.0</v>
      </c>
      <c r="N3213" s="1" t="str">
        <f t="shared" si="5"/>
        <v>Registered</v>
      </c>
      <c r="O3213" s="1" t="s">
        <v>19</v>
      </c>
      <c r="P3213" s="9" t="str">
        <f t="shared" si="6"/>
        <v>UK</v>
      </c>
      <c r="Q3213" s="8">
        <f t="shared" si="7"/>
        <v>3.75</v>
      </c>
    </row>
    <row r="3214">
      <c r="A3214" s="1">
        <v>581467.0</v>
      </c>
      <c r="B3214" s="1" t="str">
        <f t="shared" si="1"/>
        <v>581467</v>
      </c>
      <c r="C3214" s="1" t="str">
        <f t="shared" si="2"/>
        <v>Sale</v>
      </c>
      <c r="D3214" s="1">
        <v>72598.0</v>
      </c>
      <c r="E3214" s="1" t="str">
        <f>IFERROR(__xludf.DUMMYFUNCTION("IF(LEN(D3214)&gt;4, IFERROR(REGEXEXTRACT(TO_TEXT(D3214),""\d+""),""""),"""")"),"72598")</f>
        <v>72598</v>
      </c>
      <c r="F3214" s="6" t="str">
        <f t="shared" si="3"/>
        <v>Product</v>
      </c>
      <c r="G3214" s="1" t="s">
        <v>1505</v>
      </c>
      <c r="H3214" s="6" t="str">
        <f>IFERROR(__xludf.DUMMYFUNCTION("IF(REGEXMATCH(LOWER(G3214), ""^(\?)+\s*(missing)?\s*(\?)*$""), """", PROPER(SUBSTITUTE(SUBSTITUTE(G3214, ""?"", """"), ""*"", """")))"),"Set/12 Taper Candles")</f>
        <v>Set/12 Taper Candles</v>
      </c>
      <c r="I3214" s="3">
        <v>2.0</v>
      </c>
      <c r="J3214" s="7">
        <v>40885.808333333334</v>
      </c>
      <c r="K3214" s="8" t="str">
        <f t="shared" si="4"/>
        <v>2011-12</v>
      </c>
      <c r="L3214" s="5">
        <v>0.85</v>
      </c>
      <c r="M3214" s="3">
        <v>13077.0</v>
      </c>
      <c r="N3214" s="1" t="str">
        <f t="shared" si="5"/>
        <v>Registered</v>
      </c>
      <c r="O3214" s="1" t="s">
        <v>19</v>
      </c>
      <c r="P3214" s="9" t="str">
        <f t="shared" si="6"/>
        <v>UK</v>
      </c>
      <c r="Q3214" s="8">
        <f t="shared" si="7"/>
        <v>1.7</v>
      </c>
    </row>
    <row r="3215">
      <c r="A3215" s="1">
        <v>581467.0</v>
      </c>
      <c r="B3215" s="1" t="str">
        <f t="shared" si="1"/>
        <v>581467</v>
      </c>
      <c r="C3215" s="1" t="str">
        <f t="shared" si="2"/>
        <v>Sale</v>
      </c>
      <c r="D3215" s="1" t="s">
        <v>1506</v>
      </c>
      <c r="E3215" s="1" t="str">
        <f>IFERROR(__xludf.DUMMYFUNCTION("IF(LEN(D3215)&gt;4, IFERROR(REGEXEXTRACT(TO_TEXT(D3215),""\d+""),""""),"""")"),"17084")</f>
        <v>17084</v>
      </c>
      <c r="F3215" s="6" t="str">
        <f t="shared" si="3"/>
        <v>Product</v>
      </c>
      <c r="G3215" s="1" t="s">
        <v>1507</v>
      </c>
      <c r="H3215" s="6" t="str">
        <f>IFERROR(__xludf.DUMMYFUNCTION("IF(REGEXMATCH(LOWER(G3215), ""^(\?)+\s*(missing)?\s*(\?)*$""), """", PROPER(SUBSTITUTE(SUBSTITUTE(G3215, ""?"", """"), ""*"", """")))"),"Fairy Dreams Incense")</f>
        <v>Fairy Dreams Incense</v>
      </c>
      <c r="I3215" s="3">
        <v>25.0</v>
      </c>
      <c r="J3215" s="7">
        <v>40885.808333333334</v>
      </c>
      <c r="K3215" s="8" t="str">
        <f t="shared" si="4"/>
        <v>2011-12</v>
      </c>
      <c r="L3215" s="5">
        <v>0.21</v>
      </c>
      <c r="M3215" s="3">
        <v>13077.0</v>
      </c>
      <c r="N3215" s="1" t="str">
        <f t="shared" si="5"/>
        <v>Registered</v>
      </c>
      <c r="O3215" s="1" t="s">
        <v>19</v>
      </c>
      <c r="P3215" s="9" t="str">
        <f t="shared" si="6"/>
        <v>UK</v>
      </c>
      <c r="Q3215" s="8">
        <f t="shared" si="7"/>
        <v>5.25</v>
      </c>
    </row>
    <row r="3216">
      <c r="A3216" s="1">
        <v>581467.0</v>
      </c>
      <c r="B3216" s="1" t="str">
        <f t="shared" si="1"/>
        <v>581467</v>
      </c>
      <c r="C3216" s="1" t="str">
        <f t="shared" si="2"/>
        <v>Sale</v>
      </c>
      <c r="D3216" s="1">
        <v>21167.0</v>
      </c>
      <c r="E3216" s="1" t="str">
        <f>IFERROR(__xludf.DUMMYFUNCTION("IF(LEN(D3216)&gt;4, IFERROR(REGEXEXTRACT(TO_TEXT(D3216),""\d+""),""""),"""")"),"21167")</f>
        <v>21167</v>
      </c>
      <c r="F3216" s="6" t="str">
        <f t="shared" si="3"/>
        <v>Product</v>
      </c>
      <c r="G3216" s="1" t="s">
        <v>1508</v>
      </c>
      <c r="H3216" s="6" t="str">
        <f>IFERROR(__xludf.DUMMYFUNCTION("IF(REGEXMATCH(LOWER(G3216), ""^(\?)+\s*(missing)?\s*(\?)*$""), """", PROPER(SUBSTITUTE(SUBSTITUTE(G3216, ""?"", """"), ""*"", """")))"),"White Sage Incense")</f>
        <v>White Sage Incense</v>
      </c>
      <c r="I3216" s="3">
        <v>75.0</v>
      </c>
      <c r="J3216" s="7">
        <v>40885.808333333334</v>
      </c>
      <c r="K3216" s="8" t="str">
        <f t="shared" si="4"/>
        <v>2011-12</v>
      </c>
      <c r="L3216" s="5">
        <v>0.21</v>
      </c>
      <c r="M3216" s="3">
        <v>13077.0</v>
      </c>
      <c r="N3216" s="1" t="str">
        <f t="shared" si="5"/>
        <v>Registered</v>
      </c>
      <c r="O3216" s="1" t="s">
        <v>19</v>
      </c>
      <c r="P3216" s="9" t="str">
        <f t="shared" si="6"/>
        <v>UK</v>
      </c>
      <c r="Q3216" s="8">
        <f t="shared" si="7"/>
        <v>15.75</v>
      </c>
    </row>
    <row r="3217">
      <c r="A3217" s="1">
        <v>581467.0</v>
      </c>
      <c r="B3217" s="1" t="str">
        <f t="shared" si="1"/>
        <v>581467</v>
      </c>
      <c r="C3217" s="1" t="str">
        <f t="shared" si="2"/>
        <v>Sale</v>
      </c>
      <c r="D3217" s="1">
        <v>20869.0</v>
      </c>
      <c r="E3217" s="1" t="str">
        <f>IFERROR(__xludf.DUMMYFUNCTION("IF(LEN(D3217)&gt;4, IFERROR(REGEXEXTRACT(TO_TEXT(D3217),""\d+""),""""),"""")"),"20869")</f>
        <v>20869</v>
      </c>
      <c r="F3217" s="6" t="str">
        <f t="shared" si="3"/>
        <v>Product</v>
      </c>
      <c r="G3217" s="1" t="s">
        <v>1509</v>
      </c>
      <c r="H3217" s="6" t="str">
        <f>IFERROR(__xludf.DUMMYFUNCTION("IF(REGEXMATCH(LOWER(G3217), ""^(\?)+\s*(missing)?\s*(\?)*$""), """", PROPER(SUBSTITUTE(SUBSTITUTE(G3217, ""?"", """"), ""*"", """")))"),"Gold Fabric Mirror")</f>
        <v>Gold Fabric Mirror</v>
      </c>
      <c r="I3217" s="3">
        <v>4.0</v>
      </c>
      <c r="J3217" s="7">
        <v>40885.808333333334</v>
      </c>
      <c r="K3217" s="8" t="str">
        <f t="shared" si="4"/>
        <v>2011-12</v>
      </c>
      <c r="L3217" s="5">
        <v>0.39</v>
      </c>
      <c r="M3217" s="3">
        <v>13077.0</v>
      </c>
      <c r="N3217" s="1" t="str">
        <f t="shared" si="5"/>
        <v>Registered</v>
      </c>
      <c r="O3217" s="1" t="s">
        <v>19</v>
      </c>
      <c r="P3217" s="9" t="str">
        <f t="shared" si="6"/>
        <v>UK</v>
      </c>
      <c r="Q3217" s="8">
        <f t="shared" si="7"/>
        <v>1.56</v>
      </c>
    </row>
    <row r="3218">
      <c r="A3218" s="1">
        <v>581467.0</v>
      </c>
      <c r="B3218" s="1" t="str">
        <f t="shared" si="1"/>
        <v>581467</v>
      </c>
      <c r="C3218" s="1" t="str">
        <f t="shared" si="2"/>
        <v>Sale</v>
      </c>
      <c r="D3218" s="1">
        <v>20868.0</v>
      </c>
      <c r="E3218" s="1" t="str">
        <f>IFERROR(__xludf.DUMMYFUNCTION("IF(LEN(D3218)&gt;4, IFERROR(REGEXEXTRACT(TO_TEXT(D3218),""\d+""),""""),"""")"),"20868")</f>
        <v>20868</v>
      </c>
      <c r="F3218" s="6" t="str">
        <f t="shared" si="3"/>
        <v>Product</v>
      </c>
      <c r="G3218" s="1" t="s">
        <v>1510</v>
      </c>
      <c r="H3218" s="6" t="str">
        <f>IFERROR(__xludf.DUMMYFUNCTION("IF(REGEXMATCH(LOWER(G3218), ""^(\?)+\s*(missing)?\s*(\?)*$""), """", PROPER(SUBSTITUTE(SUBSTITUTE(G3218, ""?"", """"), ""*"", """")))"),"Silver Fabric Mirror")</f>
        <v>Silver Fabric Mirror</v>
      </c>
      <c r="I3218" s="3">
        <v>4.0</v>
      </c>
      <c r="J3218" s="7">
        <v>40885.808333333334</v>
      </c>
      <c r="K3218" s="8" t="str">
        <f t="shared" si="4"/>
        <v>2011-12</v>
      </c>
      <c r="L3218" s="5">
        <v>0.39</v>
      </c>
      <c r="M3218" s="3">
        <v>13077.0</v>
      </c>
      <c r="N3218" s="1" t="str">
        <f t="shared" si="5"/>
        <v>Registered</v>
      </c>
      <c r="O3218" s="1" t="s">
        <v>19</v>
      </c>
      <c r="P3218" s="9" t="str">
        <f t="shared" si="6"/>
        <v>UK</v>
      </c>
      <c r="Q3218" s="8">
        <f t="shared" si="7"/>
        <v>1.56</v>
      </c>
    </row>
    <row r="3219">
      <c r="A3219" s="1">
        <v>581467.0</v>
      </c>
      <c r="B3219" s="1" t="str">
        <f t="shared" si="1"/>
        <v>581467</v>
      </c>
      <c r="C3219" s="1" t="str">
        <f t="shared" si="2"/>
        <v>Sale</v>
      </c>
      <c r="D3219" s="1">
        <v>22758.0</v>
      </c>
      <c r="E3219" s="1" t="str">
        <f>IFERROR(__xludf.DUMMYFUNCTION("IF(LEN(D3219)&gt;4, IFERROR(REGEXEXTRACT(TO_TEXT(D3219),""\d+""),""""),"""")"),"22758")</f>
        <v>22758</v>
      </c>
      <c r="F3219" s="6" t="str">
        <f t="shared" si="3"/>
        <v>Product</v>
      </c>
      <c r="G3219" s="1" t="s">
        <v>1511</v>
      </c>
      <c r="H3219" s="6" t="str">
        <f>IFERROR(__xludf.DUMMYFUNCTION("IF(REGEXMATCH(LOWER(G3219), ""^(\?)+\s*(missing)?\s*(\?)*$""), """", PROPER(SUBSTITUTE(SUBSTITUTE(G3219, ""?"", """"), ""*"", """")))"),"Large Purple Babushka Notebook")</f>
        <v>Large Purple Babushka Notebook</v>
      </c>
      <c r="I3219" s="3">
        <v>2.0</v>
      </c>
      <c r="J3219" s="7">
        <v>40885.808333333334</v>
      </c>
      <c r="K3219" s="8" t="str">
        <f t="shared" si="4"/>
        <v>2011-12</v>
      </c>
      <c r="L3219" s="5">
        <v>0.39</v>
      </c>
      <c r="M3219" s="3">
        <v>13077.0</v>
      </c>
      <c r="N3219" s="1" t="str">
        <f t="shared" si="5"/>
        <v>Registered</v>
      </c>
      <c r="O3219" s="1" t="s">
        <v>19</v>
      </c>
      <c r="P3219" s="9" t="str">
        <f t="shared" si="6"/>
        <v>UK</v>
      </c>
      <c r="Q3219" s="8">
        <f t="shared" si="7"/>
        <v>0.78</v>
      </c>
    </row>
    <row r="3220">
      <c r="A3220" s="1">
        <v>581467.0</v>
      </c>
      <c r="B3220" s="1" t="str">
        <f t="shared" si="1"/>
        <v>581467</v>
      </c>
      <c r="C3220" s="1" t="str">
        <f t="shared" si="2"/>
        <v>Sale</v>
      </c>
      <c r="D3220" s="1">
        <v>22757.0</v>
      </c>
      <c r="E3220" s="1" t="str">
        <f>IFERROR(__xludf.DUMMYFUNCTION("IF(LEN(D3220)&gt;4, IFERROR(REGEXEXTRACT(TO_TEXT(D3220),""\d+""),""""),"""")"),"22757")</f>
        <v>22757</v>
      </c>
      <c r="F3220" s="6" t="str">
        <f t="shared" si="3"/>
        <v>Product</v>
      </c>
      <c r="G3220" s="1" t="s">
        <v>1286</v>
      </c>
      <c r="H3220" s="6" t="str">
        <f>IFERROR(__xludf.DUMMYFUNCTION("IF(REGEXMATCH(LOWER(G3220), ""^(\?)+\s*(missing)?\s*(\?)*$""), """", PROPER(SUBSTITUTE(SUBSTITUTE(G3220, ""?"", """"), ""*"", """")))"),"Large Red Babushka Notebook")</f>
        <v>Large Red Babushka Notebook</v>
      </c>
      <c r="I3220" s="3">
        <v>1.0</v>
      </c>
      <c r="J3220" s="7">
        <v>40885.808333333334</v>
      </c>
      <c r="K3220" s="8" t="str">
        <f t="shared" si="4"/>
        <v>2011-12</v>
      </c>
      <c r="L3220" s="5">
        <v>0.39</v>
      </c>
      <c r="M3220" s="3">
        <v>13077.0</v>
      </c>
      <c r="N3220" s="1" t="str">
        <f t="shared" si="5"/>
        <v>Registered</v>
      </c>
      <c r="O3220" s="1" t="s">
        <v>19</v>
      </c>
      <c r="P3220" s="9" t="str">
        <f t="shared" si="6"/>
        <v>UK</v>
      </c>
      <c r="Q3220" s="8">
        <f t="shared" si="7"/>
        <v>0.39</v>
      </c>
    </row>
    <row r="3221">
      <c r="A3221" s="1">
        <v>581467.0</v>
      </c>
      <c r="B3221" s="1" t="str">
        <f t="shared" si="1"/>
        <v>581467</v>
      </c>
      <c r="C3221" s="1" t="str">
        <f t="shared" si="2"/>
        <v>Sale</v>
      </c>
      <c r="D3221" s="1">
        <v>22753.0</v>
      </c>
      <c r="E3221" s="1" t="str">
        <f>IFERROR(__xludf.DUMMYFUNCTION("IF(LEN(D3221)&gt;4, IFERROR(REGEXEXTRACT(TO_TEXT(D3221),""\d+""),""""),"""")"),"22753")</f>
        <v>22753</v>
      </c>
      <c r="F3221" s="6" t="str">
        <f t="shared" si="3"/>
        <v>Product</v>
      </c>
      <c r="G3221" s="1" t="s">
        <v>1512</v>
      </c>
      <c r="H3221" s="6" t="str">
        <f>IFERROR(__xludf.DUMMYFUNCTION("IF(REGEXMATCH(LOWER(G3221), ""^(\?)+\s*(missing)?\s*(\?)*$""), """", PROPER(SUBSTITUTE(SUBSTITUTE(G3221, ""?"", """"), ""*"", """")))"),"Small Yellow Babushka Notebook")</f>
        <v>Small Yellow Babushka Notebook</v>
      </c>
      <c r="I3221" s="3">
        <v>2.0</v>
      </c>
      <c r="J3221" s="7">
        <v>40885.808333333334</v>
      </c>
      <c r="K3221" s="8" t="str">
        <f t="shared" si="4"/>
        <v>2011-12</v>
      </c>
      <c r="L3221" s="5">
        <v>0.21</v>
      </c>
      <c r="M3221" s="3">
        <v>13077.0</v>
      </c>
      <c r="N3221" s="1" t="str">
        <f t="shared" si="5"/>
        <v>Registered</v>
      </c>
      <c r="O3221" s="1" t="s">
        <v>19</v>
      </c>
      <c r="P3221" s="9" t="str">
        <f t="shared" si="6"/>
        <v>UK</v>
      </c>
      <c r="Q3221" s="8">
        <f t="shared" si="7"/>
        <v>0.42</v>
      </c>
    </row>
    <row r="3222">
      <c r="A3222" s="1">
        <v>581467.0</v>
      </c>
      <c r="B3222" s="1" t="str">
        <f t="shared" si="1"/>
        <v>581467</v>
      </c>
      <c r="C3222" s="1" t="str">
        <f t="shared" si="2"/>
        <v>Sale</v>
      </c>
      <c r="D3222" s="1">
        <v>22754.0</v>
      </c>
      <c r="E3222" s="1" t="str">
        <f>IFERROR(__xludf.DUMMYFUNCTION("IF(LEN(D3222)&gt;4, IFERROR(REGEXEXTRACT(TO_TEXT(D3222),""\d+""),""""),"""")"),"22754")</f>
        <v>22754</v>
      </c>
      <c r="F3222" s="6" t="str">
        <f t="shared" si="3"/>
        <v>Product</v>
      </c>
      <c r="G3222" s="1" t="s">
        <v>663</v>
      </c>
      <c r="H3222" s="6" t="str">
        <f>IFERROR(__xludf.DUMMYFUNCTION("IF(REGEXMATCH(LOWER(G3222), ""^(\?)+\s*(missing)?\s*(\?)*$""), """", PROPER(SUBSTITUTE(SUBSTITUTE(G3222, ""?"", """"), ""*"", """")))"),"Small Red Babushka Notebook")</f>
        <v>Small Red Babushka Notebook</v>
      </c>
      <c r="I3222" s="3">
        <v>1.0</v>
      </c>
      <c r="J3222" s="7">
        <v>40885.808333333334</v>
      </c>
      <c r="K3222" s="8" t="str">
        <f t="shared" si="4"/>
        <v>2011-12</v>
      </c>
      <c r="L3222" s="5">
        <v>0.21</v>
      </c>
      <c r="M3222" s="3">
        <v>13077.0</v>
      </c>
      <c r="N3222" s="1" t="str">
        <f t="shared" si="5"/>
        <v>Registered</v>
      </c>
      <c r="O3222" s="1" t="s">
        <v>19</v>
      </c>
      <c r="P3222" s="9" t="str">
        <f t="shared" si="6"/>
        <v>UK</v>
      </c>
      <c r="Q3222" s="8">
        <f t="shared" si="7"/>
        <v>0.21</v>
      </c>
    </row>
    <row r="3223">
      <c r="A3223" s="1">
        <v>581467.0</v>
      </c>
      <c r="B3223" s="1" t="str">
        <f t="shared" si="1"/>
        <v>581467</v>
      </c>
      <c r="C3223" s="1" t="str">
        <f t="shared" si="2"/>
        <v>Sale</v>
      </c>
      <c r="D3223" s="1" t="s">
        <v>1513</v>
      </c>
      <c r="E3223" s="1" t="str">
        <f>IFERROR(__xludf.DUMMYFUNCTION("IF(LEN(D3223)&gt;4, IFERROR(REGEXEXTRACT(TO_TEXT(D3223),""\d+""),""""),"""")"),"84429")</f>
        <v>84429</v>
      </c>
      <c r="F3223" s="6" t="str">
        <f t="shared" si="3"/>
        <v>Product</v>
      </c>
      <c r="G3223" s="1" t="s">
        <v>1514</v>
      </c>
      <c r="H3223" s="6" t="str">
        <f>IFERROR(__xludf.DUMMYFUNCTION("IF(REGEXMATCH(LOWER(G3223), ""^(\?)+\s*(missing)?\s*(\?)*$""), """", PROPER(SUBSTITUTE(SUBSTITUTE(G3223, ""?"", """"), ""*"", """")))"),"Medium Pink Buddha Head")</f>
        <v>Medium Pink Buddha Head</v>
      </c>
      <c r="I3223" s="3">
        <v>2.0</v>
      </c>
      <c r="J3223" s="7">
        <v>40885.808333333334</v>
      </c>
      <c r="K3223" s="8" t="str">
        <f t="shared" si="4"/>
        <v>2011-12</v>
      </c>
      <c r="L3223" s="5">
        <v>2.95</v>
      </c>
      <c r="M3223" s="3">
        <v>13077.0</v>
      </c>
      <c r="N3223" s="1" t="str">
        <f t="shared" si="5"/>
        <v>Registered</v>
      </c>
      <c r="O3223" s="1" t="s">
        <v>19</v>
      </c>
      <c r="P3223" s="9" t="str">
        <f t="shared" si="6"/>
        <v>UK</v>
      </c>
      <c r="Q3223" s="8">
        <f t="shared" si="7"/>
        <v>5.9</v>
      </c>
    </row>
    <row r="3224">
      <c r="A3224" s="1">
        <v>581467.0</v>
      </c>
      <c r="B3224" s="1" t="str">
        <f t="shared" si="1"/>
        <v>581467</v>
      </c>
      <c r="C3224" s="1" t="str">
        <f t="shared" si="2"/>
        <v>Sale</v>
      </c>
      <c r="D3224" s="1" t="s">
        <v>1515</v>
      </c>
      <c r="E3224" s="1" t="str">
        <f>IFERROR(__xludf.DUMMYFUNCTION("IF(LEN(D3224)&gt;4, IFERROR(REGEXEXTRACT(TO_TEXT(D3224),""\d+""),""""),"""")"),"84993")</f>
        <v>84993</v>
      </c>
      <c r="F3224" s="6" t="str">
        <f t="shared" si="3"/>
        <v>Product</v>
      </c>
      <c r="G3224" s="1" t="s">
        <v>1516</v>
      </c>
      <c r="H3224" s="6" t="str">
        <f>IFERROR(__xludf.DUMMYFUNCTION("IF(REGEXMATCH(LOWER(G3224), ""^(\?)+\s*(missing)?\s*(\?)*$""), """", PROPER(SUBSTITUTE(SUBSTITUTE(G3224, ""?"", """"), ""*"", """")))"),"75 Green Petit Four Cases")</f>
        <v>75 Green Petit Four Cases</v>
      </c>
      <c r="I3224" s="3">
        <v>1.0</v>
      </c>
      <c r="J3224" s="7">
        <v>40885.808333333334</v>
      </c>
      <c r="K3224" s="8" t="str">
        <f t="shared" si="4"/>
        <v>2011-12</v>
      </c>
      <c r="L3224" s="5">
        <v>0.42</v>
      </c>
      <c r="M3224" s="3">
        <v>13077.0</v>
      </c>
      <c r="N3224" s="1" t="str">
        <f t="shared" si="5"/>
        <v>Registered</v>
      </c>
      <c r="O3224" s="1" t="s">
        <v>19</v>
      </c>
      <c r="P3224" s="9" t="str">
        <f t="shared" si="6"/>
        <v>UK</v>
      </c>
      <c r="Q3224" s="8">
        <f t="shared" si="7"/>
        <v>0.42</v>
      </c>
    </row>
    <row r="3225">
      <c r="A3225" s="1">
        <v>581467.0</v>
      </c>
      <c r="B3225" s="1" t="str">
        <f t="shared" si="1"/>
        <v>581467</v>
      </c>
      <c r="C3225" s="1" t="str">
        <f t="shared" si="2"/>
        <v>Sale</v>
      </c>
      <c r="D3225" s="1">
        <v>22723.0</v>
      </c>
      <c r="E3225" s="1" t="str">
        <f>IFERROR(__xludf.DUMMYFUNCTION("IF(LEN(D3225)&gt;4, IFERROR(REGEXEXTRACT(TO_TEXT(D3225),""\d+""),""""),"""")"),"22723")</f>
        <v>22723</v>
      </c>
      <c r="F3225" s="6" t="str">
        <f t="shared" si="3"/>
        <v>Product</v>
      </c>
      <c r="G3225" s="1" t="s">
        <v>1200</v>
      </c>
      <c r="H3225" s="6" t="str">
        <f>IFERROR(__xludf.DUMMYFUNCTION("IF(REGEXMATCH(LOWER(G3225), ""^(\?)+\s*(missing)?\s*(\?)*$""), """", PROPER(SUBSTITUTE(SUBSTITUTE(G3225, ""?"", """"), ""*"", """")))"),"Set Of 6 Herb Tins Sketchbook")</f>
        <v>Set Of 6 Herb Tins Sketchbook</v>
      </c>
      <c r="I3225" s="3">
        <v>2.0</v>
      </c>
      <c r="J3225" s="7">
        <v>40885.808333333334</v>
      </c>
      <c r="K3225" s="8" t="str">
        <f t="shared" si="4"/>
        <v>2011-12</v>
      </c>
      <c r="L3225" s="5">
        <v>1.25</v>
      </c>
      <c r="M3225" s="3">
        <v>13077.0</v>
      </c>
      <c r="N3225" s="1" t="str">
        <f t="shared" si="5"/>
        <v>Registered</v>
      </c>
      <c r="O3225" s="1" t="s">
        <v>19</v>
      </c>
      <c r="P3225" s="9" t="str">
        <f t="shared" si="6"/>
        <v>UK</v>
      </c>
      <c r="Q3225" s="8">
        <f t="shared" si="7"/>
        <v>2.5</v>
      </c>
    </row>
    <row r="3226">
      <c r="A3226" s="1">
        <v>581467.0</v>
      </c>
      <c r="B3226" s="1" t="str">
        <f t="shared" si="1"/>
        <v>581467</v>
      </c>
      <c r="C3226" s="1" t="str">
        <f t="shared" si="2"/>
        <v>Sale</v>
      </c>
      <c r="D3226" s="1">
        <v>20996.0</v>
      </c>
      <c r="E3226" s="1" t="str">
        <f>IFERROR(__xludf.DUMMYFUNCTION("IF(LEN(D3226)&gt;4, IFERROR(REGEXEXTRACT(TO_TEXT(D3226),""\d+""),""""),"""")"),"20996")</f>
        <v>20996</v>
      </c>
      <c r="F3226" s="6" t="str">
        <f t="shared" si="3"/>
        <v>Product</v>
      </c>
      <c r="G3226" s="1" t="s">
        <v>1517</v>
      </c>
      <c r="H3226" s="6" t="str">
        <f>IFERROR(__xludf.DUMMYFUNCTION("IF(REGEXMATCH(LOWER(G3226), ""^(\?)+\s*(missing)?\s*(\?)*$""), """", PROPER(SUBSTITUTE(SUBSTITUTE(G3226, ""?"", """"), ""*"", """")))"),"Jazz Hearts Address Book")</f>
        <v>Jazz Hearts Address Book</v>
      </c>
      <c r="I3226" s="3">
        <v>2.0</v>
      </c>
      <c r="J3226" s="7">
        <v>40885.808333333334</v>
      </c>
      <c r="K3226" s="8" t="str">
        <f t="shared" si="4"/>
        <v>2011-12</v>
      </c>
      <c r="L3226" s="5">
        <v>0.19</v>
      </c>
      <c r="M3226" s="3">
        <v>13077.0</v>
      </c>
      <c r="N3226" s="1" t="str">
        <f t="shared" si="5"/>
        <v>Registered</v>
      </c>
      <c r="O3226" s="1" t="s">
        <v>19</v>
      </c>
      <c r="P3226" s="9" t="str">
        <f t="shared" si="6"/>
        <v>UK</v>
      </c>
      <c r="Q3226" s="8">
        <f t="shared" si="7"/>
        <v>0.38</v>
      </c>
    </row>
    <row r="3227">
      <c r="A3227" s="1">
        <v>581467.0</v>
      </c>
      <c r="B3227" s="1" t="str">
        <f t="shared" si="1"/>
        <v>581467</v>
      </c>
      <c r="C3227" s="1" t="str">
        <f t="shared" si="2"/>
        <v>Sale</v>
      </c>
      <c r="D3227" s="1">
        <v>23180.0</v>
      </c>
      <c r="E3227" s="1" t="str">
        <f>IFERROR(__xludf.DUMMYFUNCTION("IF(LEN(D3227)&gt;4, IFERROR(REGEXEXTRACT(TO_TEXT(D3227),""\d+""),""""),"""")"),"23180")</f>
        <v>23180</v>
      </c>
      <c r="F3227" s="6" t="str">
        <f t="shared" si="3"/>
        <v>Product</v>
      </c>
      <c r="G3227" s="1" t="s">
        <v>1518</v>
      </c>
      <c r="H3227" s="6" t="str">
        <f>IFERROR(__xludf.DUMMYFUNCTION("IF(REGEXMATCH(LOWER(G3227), ""^(\?)+\s*(missing)?\s*(\?)*$""), """", PROPER(SUBSTITUTE(SUBSTITUTE(G3227, ""?"", """"), ""*"", """")))"),"Mum'S Kitchen Clock")</f>
        <v>Mum'S Kitchen Clock</v>
      </c>
      <c r="I3227" s="3">
        <v>1.0</v>
      </c>
      <c r="J3227" s="7">
        <v>40885.808333333334</v>
      </c>
      <c r="K3227" s="8" t="str">
        <f t="shared" si="4"/>
        <v>2011-12</v>
      </c>
      <c r="L3227" s="5">
        <v>1.65</v>
      </c>
      <c r="M3227" s="3">
        <v>13077.0</v>
      </c>
      <c r="N3227" s="1" t="str">
        <f t="shared" si="5"/>
        <v>Registered</v>
      </c>
      <c r="O3227" s="1" t="s">
        <v>19</v>
      </c>
      <c r="P3227" s="9" t="str">
        <f t="shared" si="6"/>
        <v>UK</v>
      </c>
      <c r="Q3227" s="8">
        <f t="shared" si="7"/>
        <v>1.65</v>
      </c>
    </row>
    <row r="3228">
      <c r="A3228" s="1">
        <v>581467.0</v>
      </c>
      <c r="B3228" s="1" t="str">
        <f t="shared" si="1"/>
        <v>581467</v>
      </c>
      <c r="C3228" s="1" t="str">
        <f t="shared" si="2"/>
        <v>Sale</v>
      </c>
      <c r="D3228" s="1">
        <v>22217.0</v>
      </c>
      <c r="E3228" s="1" t="str">
        <f>IFERROR(__xludf.DUMMYFUNCTION("IF(LEN(D3228)&gt;4, IFERROR(REGEXEXTRACT(TO_TEXT(D3228),""\d+""),""""),"""")"),"22217")</f>
        <v>22217</v>
      </c>
      <c r="F3228" s="6" t="str">
        <f t="shared" si="3"/>
        <v>Product</v>
      </c>
      <c r="G3228" s="1" t="s">
        <v>1519</v>
      </c>
      <c r="H3228" s="6" t="str">
        <f>IFERROR(__xludf.DUMMYFUNCTION("IF(REGEXMATCH(LOWER(G3228), ""^(\?)+\s*(missing)?\s*(\?)*$""), """", PROPER(SUBSTITUTE(SUBSTITUTE(G3228, ""?"", """"), ""*"", """")))"),"T-Light Holder Hanging Lace")</f>
        <v>T-Light Holder Hanging Lace</v>
      </c>
      <c r="I3228" s="3">
        <v>5.0</v>
      </c>
      <c r="J3228" s="7">
        <v>40885.808333333334</v>
      </c>
      <c r="K3228" s="8" t="str">
        <f t="shared" si="4"/>
        <v>2011-12</v>
      </c>
      <c r="L3228" s="5">
        <v>0.39</v>
      </c>
      <c r="M3228" s="3">
        <v>13077.0</v>
      </c>
      <c r="N3228" s="1" t="str">
        <f t="shared" si="5"/>
        <v>Registered</v>
      </c>
      <c r="O3228" s="1" t="s">
        <v>19</v>
      </c>
      <c r="P3228" s="9" t="str">
        <f t="shared" si="6"/>
        <v>UK</v>
      </c>
      <c r="Q3228" s="8">
        <f t="shared" si="7"/>
        <v>1.95</v>
      </c>
    </row>
    <row r="3229">
      <c r="A3229" s="1">
        <v>581467.0</v>
      </c>
      <c r="B3229" s="1" t="str">
        <f t="shared" si="1"/>
        <v>581467</v>
      </c>
      <c r="C3229" s="1" t="str">
        <f t="shared" si="2"/>
        <v>Sale</v>
      </c>
      <c r="D3229" s="1">
        <v>21109.0</v>
      </c>
      <c r="E3229" s="1" t="str">
        <f>IFERROR(__xludf.DUMMYFUNCTION("IF(LEN(D3229)&gt;4, IFERROR(REGEXEXTRACT(TO_TEXT(D3229),""\d+""),""""),"""")"),"21109")</f>
        <v>21109</v>
      </c>
      <c r="F3229" s="6" t="str">
        <f t="shared" si="3"/>
        <v>Product</v>
      </c>
      <c r="G3229" s="1" t="s">
        <v>1102</v>
      </c>
      <c r="H3229" s="6" t="str">
        <f>IFERROR(__xludf.DUMMYFUNCTION("IF(REGEXMATCH(LOWER(G3229), ""^(\?)+\s*(missing)?\s*(\?)*$""), """", PROPER(SUBSTITUTE(SUBSTITUTE(G3229, ""?"", """"), ""*"", """")))"),"Large Cake Towel Chocolate Spots")</f>
        <v>Large Cake Towel Chocolate Spots</v>
      </c>
      <c r="I3229" s="3">
        <v>1.0</v>
      </c>
      <c r="J3229" s="7">
        <v>40885.808333333334</v>
      </c>
      <c r="K3229" s="8" t="str">
        <f t="shared" si="4"/>
        <v>2011-12</v>
      </c>
      <c r="L3229" s="5">
        <v>1.95</v>
      </c>
      <c r="M3229" s="3">
        <v>13077.0</v>
      </c>
      <c r="N3229" s="1" t="str">
        <f t="shared" si="5"/>
        <v>Registered</v>
      </c>
      <c r="O3229" s="1" t="s">
        <v>19</v>
      </c>
      <c r="P3229" s="9" t="str">
        <f t="shared" si="6"/>
        <v>UK</v>
      </c>
      <c r="Q3229" s="8">
        <f t="shared" si="7"/>
        <v>1.95</v>
      </c>
    </row>
    <row r="3230">
      <c r="A3230" s="1">
        <v>581467.0</v>
      </c>
      <c r="B3230" s="1" t="str">
        <f t="shared" si="1"/>
        <v>581467</v>
      </c>
      <c r="C3230" s="1" t="str">
        <f t="shared" si="2"/>
        <v>Sale</v>
      </c>
      <c r="D3230" s="1">
        <v>22067.0</v>
      </c>
      <c r="E3230" s="1" t="str">
        <f>IFERROR(__xludf.DUMMYFUNCTION("IF(LEN(D3230)&gt;4, IFERROR(REGEXEXTRACT(TO_TEXT(D3230),""\d+""),""""),"""")"),"22067")</f>
        <v>22067</v>
      </c>
      <c r="F3230" s="6" t="str">
        <f t="shared" si="3"/>
        <v>Product</v>
      </c>
      <c r="G3230" s="1" t="s">
        <v>1520</v>
      </c>
      <c r="H3230" s="6" t="str">
        <f>IFERROR(__xludf.DUMMYFUNCTION("IF(REGEXMATCH(LOWER(G3230), ""^(\?)+\s*(missing)?\s*(\?)*$""), """", PROPER(SUBSTITUTE(SUBSTITUTE(G3230, ""?"", """"), ""*"", """")))"),"Choc Truffle Gold Trinket Pot")</f>
        <v>Choc Truffle Gold Trinket Pot</v>
      </c>
      <c r="I3230" s="3">
        <v>2.0</v>
      </c>
      <c r="J3230" s="7">
        <v>40885.808333333334</v>
      </c>
      <c r="K3230" s="8" t="str">
        <f t="shared" si="4"/>
        <v>2011-12</v>
      </c>
      <c r="L3230" s="5">
        <v>0.39</v>
      </c>
      <c r="M3230" s="3">
        <v>13077.0</v>
      </c>
      <c r="N3230" s="1" t="str">
        <f t="shared" si="5"/>
        <v>Registered</v>
      </c>
      <c r="O3230" s="1" t="s">
        <v>19</v>
      </c>
      <c r="P3230" s="9" t="str">
        <f t="shared" si="6"/>
        <v>UK</v>
      </c>
      <c r="Q3230" s="8">
        <f t="shared" si="7"/>
        <v>0.78</v>
      </c>
    </row>
    <row r="3231">
      <c r="A3231" s="1">
        <v>581467.0</v>
      </c>
      <c r="B3231" s="1" t="str">
        <f t="shared" si="1"/>
        <v>581467</v>
      </c>
      <c r="C3231" s="1" t="str">
        <f t="shared" si="2"/>
        <v>Sale</v>
      </c>
      <c r="D3231" s="1">
        <v>22059.0</v>
      </c>
      <c r="E3231" s="1" t="str">
        <f>IFERROR(__xludf.DUMMYFUNCTION("IF(LEN(D3231)&gt;4, IFERROR(REGEXEXTRACT(TO_TEXT(D3231),""\d+""),""""),"""")"),"22059")</f>
        <v>22059</v>
      </c>
      <c r="F3231" s="6" t="str">
        <f t="shared" si="3"/>
        <v>Product</v>
      </c>
      <c r="G3231" s="1" t="s">
        <v>529</v>
      </c>
      <c r="H3231" s="6" t="str">
        <f>IFERROR(__xludf.DUMMYFUNCTION("IF(REGEXMATCH(LOWER(G3231), ""^(\?)+\s*(missing)?\s*(\?)*$""), """", PROPER(SUBSTITUTE(SUBSTITUTE(G3231, ""?"", """"), ""*"", """")))"),"Ceramic Strawberry Design Mug")</f>
        <v>Ceramic Strawberry Design Mug</v>
      </c>
      <c r="I3231" s="3">
        <v>4.0</v>
      </c>
      <c r="J3231" s="7">
        <v>40885.808333333334</v>
      </c>
      <c r="K3231" s="8" t="str">
        <f t="shared" si="4"/>
        <v>2011-12</v>
      </c>
      <c r="L3231" s="5">
        <v>0.39</v>
      </c>
      <c r="M3231" s="3">
        <v>13077.0</v>
      </c>
      <c r="N3231" s="1" t="str">
        <f t="shared" si="5"/>
        <v>Registered</v>
      </c>
      <c r="O3231" s="1" t="s">
        <v>19</v>
      </c>
      <c r="P3231" s="9" t="str">
        <f t="shared" si="6"/>
        <v>UK</v>
      </c>
      <c r="Q3231" s="8">
        <f t="shared" si="7"/>
        <v>1.56</v>
      </c>
    </row>
    <row r="3232">
      <c r="A3232" s="1">
        <v>581467.0</v>
      </c>
      <c r="B3232" s="1" t="str">
        <f t="shared" si="1"/>
        <v>581467</v>
      </c>
      <c r="C3232" s="1" t="str">
        <f t="shared" si="2"/>
        <v>Sale</v>
      </c>
      <c r="D3232" s="1">
        <v>21365.0</v>
      </c>
      <c r="E3232" s="1" t="str">
        <f>IFERROR(__xludf.DUMMYFUNCTION("IF(LEN(D3232)&gt;4, IFERROR(REGEXEXTRACT(TO_TEXT(D3232),""\d+""),""""),"""")"),"21365")</f>
        <v>21365</v>
      </c>
      <c r="F3232" s="6" t="str">
        <f t="shared" si="3"/>
        <v>Product</v>
      </c>
      <c r="G3232" s="1" t="s">
        <v>1521</v>
      </c>
      <c r="H3232" s="6" t="str">
        <f>IFERROR(__xludf.DUMMYFUNCTION("IF(REGEXMATCH(LOWER(G3232), ""^(\?)+\s*(missing)?\s*(\?)*$""), """", PROPER(SUBSTITUTE(SUBSTITUTE(G3232, ""?"", """"), ""*"", """")))"),"Mirrored Wall Art Stars")</f>
        <v>Mirrored Wall Art Stars</v>
      </c>
      <c r="I3232" s="3">
        <v>4.0</v>
      </c>
      <c r="J3232" s="7">
        <v>40885.808333333334</v>
      </c>
      <c r="K3232" s="8" t="str">
        <f t="shared" si="4"/>
        <v>2011-12</v>
      </c>
      <c r="L3232" s="5">
        <v>0.75</v>
      </c>
      <c r="M3232" s="3">
        <v>13077.0</v>
      </c>
      <c r="N3232" s="1" t="str">
        <f t="shared" si="5"/>
        <v>Registered</v>
      </c>
      <c r="O3232" s="1" t="s">
        <v>19</v>
      </c>
      <c r="P3232" s="9" t="str">
        <f t="shared" si="6"/>
        <v>UK</v>
      </c>
      <c r="Q3232" s="8">
        <f t="shared" si="7"/>
        <v>3</v>
      </c>
    </row>
    <row r="3233">
      <c r="A3233" s="1">
        <v>581467.0</v>
      </c>
      <c r="B3233" s="1" t="str">
        <f t="shared" si="1"/>
        <v>581467</v>
      </c>
      <c r="C3233" s="1" t="str">
        <f t="shared" si="2"/>
        <v>Sale</v>
      </c>
      <c r="D3233" s="1">
        <v>21371.0</v>
      </c>
      <c r="E3233" s="1" t="str">
        <f>IFERROR(__xludf.DUMMYFUNCTION("IF(LEN(D3233)&gt;4, IFERROR(REGEXEXTRACT(TO_TEXT(D3233),""\d+""),""""),"""")"),"21371")</f>
        <v>21371</v>
      </c>
      <c r="F3233" s="6" t="str">
        <f t="shared" si="3"/>
        <v>Product</v>
      </c>
      <c r="G3233" s="1" t="s">
        <v>1522</v>
      </c>
      <c r="H3233" s="6" t="str">
        <f>IFERROR(__xludf.DUMMYFUNCTION("IF(REGEXMATCH(LOWER(G3233), ""^(\?)+\s*(missing)?\s*(\?)*$""), """", PROPER(SUBSTITUTE(SUBSTITUTE(G3233, ""?"", """"), ""*"", """")))"),"Mirrored Wall Art Poppies")</f>
        <v>Mirrored Wall Art Poppies</v>
      </c>
      <c r="I3233" s="3">
        <v>2.0</v>
      </c>
      <c r="J3233" s="7">
        <v>40885.808333333334</v>
      </c>
      <c r="K3233" s="8" t="str">
        <f t="shared" si="4"/>
        <v>2011-12</v>
      </c>
      <c r="L3233" s="5">
        <v>0.75</v>
      </c>
      <c r="M3233" s="3">
        <v>13077.0</v>
      </c>
      <c r="N3233" s="1" t="str">
        <f t="shared" si="5"/>
        <v>Registered</v>
      </c>
      <c r="O3233" s="1" t="s">
        <v>19</v>
      </c>
      <c r="P3233" s="9" t="str">
        <f t="shared" si="6"/>
        <v>UK</v>
      </c>
      <c r="Q3233" s="8">
        <f t="shared" si="7"/>
        <v>1.5</v>
      </c>
    </row>
    <row r="3234">
      <c r="A3234" s="1">
        <v>581467.0</v>
      </c>
      <c r="B3234" s="1" t="str">
        <f t="shared" si="1"/>
        <v>581467</v>
      </c>
      <c r="C3234" s="1" t="str">
        <f t="shared" si="2"/>
        <v>Sale</v>
      </c>
      <c r="D3234" s="1">
        <v>23320.0</v>
      </c>
      <c r="E3234" s="1" t="str">
        <f>IFERROR(__xludf.DUMMYFUNCTION("IF(LEN(D3234)&gt;4, IFERROR(REGEXEXTRACT(TO_TEXT(D3234),""\d+""),""""),"""")"),"23320")</f>
        <v>23320</v>
      </c>
      <c r="F3234" s="6" t="str">
        <f t="shared" si="3"/>
        <v>Product</v>
      </c>
      <c r="G3234" s="1" t="s">
        <v>1523</v>
      </c>
      <c r="H3234" s="6" t="str">
        <f>IFERROR(__xludf.DUMMYFUNCTION("IF(REGEXMATCH(LOWER(G3234), ""^(\?)+\s*(missing)?\s*(\?)*$""), """", PROPER(SUBSTITUTE(SUBSTITUTE(G3234, ""?"", """"), ""*"", """")))"),"Giant 50'S Christmas Cracker")</f>
        <v>Giant 50'S Christmas Cracker</v>
      </c>
      <c r="I3234" s="3">
        <v>3.0</v>
      </c>
      <c r="J3234" s="7">
        <v>40885.808333333334</v>
      </c>
      <c r="K3234" s="8" t="str">
        <f t="shared" si="4"/>
        <v>2011-12</v>
      </c>
      <c r="L3234" s="5">
        <v>1.25</v>
      </c>
      <c r="M3234" s="3">
        <v>13077.0</v>
      </c>
      <c r="N3234" s="1" t="str">
        <f t="shared" si="5"/>
        <v>Registered</v>
      </c>
      <c r="O3234" s="1" t="s">
        <v>19</v>
      </c>
      <c r="P3234" s="9" t="str">
        <f t="shared" si="6"/>
        <v>UK</v>
      </c>
      <c r="Q3234" s="8">
        <f t="shared" si="7"/>
        <v>3.75</v>
      </c>
    </row>
    <row r="3235">
      <c r="A3235" s="1" t="s">
        <v>1524</v>
      </c>
      <c r="B3235" s="1" t="str">
        <f t="shared" si="1"/>
        <v>581468</v>
      </c>
      <c r="C3235" s="1" t="str">
        <f t="shared" si="2"/>
        <v>Return</v>
      </c>
      <c r="D3235" s="1">
        <v>21314.0</v>
      </c>
      <c r="E3235" s="1" t="str">
        <f>IFERROR(__xludf.DUMMYFUNCTION("IF(LEN(D3235)&gt;4, IFERROR(REGEXEXTRACT(TO_TEXT(D3235),""\d+""),""""),"""")"),"21314")</f>
        <v>21314</v>
      </c>
      <c r="F3235" s="6" t="str">
        <f t="shared" si="3"/>
        <v>Product</v>
      </c>
      <c r="G3235" s="1" t="s">
        <v>254</v>
      </c>
      <c r="H3235" s="6" t="str">
        <f>IFERROR(__xludf.DUMMYFUNCTION("IF(REGEXMATCH(LOWER(G3235), ""^(\?)+\s*(missing)?\s*(\?)*$""), """", PROPER(SUBSTITUTE(SUBSTITUTE(G3235, ""?"", """"), ""*"", """")))"),"Small Glass Heart Trinket Pot")</f>
        <v>Small Glass Heart Trinket Pot</v>
      </c>
      <c r="I3235" s="3">
        <v>-10.0</v>
      </c>
      <c r="J3235" s="7">
        <v>40885.80972222222</v>
      </c>
      <c r="K3235" s="8" t="str">
        <f t="shared" si="4"/>
        <v>2011-12</v>
      </c>
      <c r="L3235" s="5">
        <v>2.1</v>
      </c>
      <c r="M3235" s="3">
        <v>13599.0</v>
      </c>
      <c r="N3235" s="1" t="str">
        <f t="shared" si="5"/>
        <v>Registered</v>
      </c>
      <c r="O3235" s="1" t="s">
        <v>19</v>
      </c>
      <c r="P3235" s="9" t="str">
        <f t="shared" si="6"/>
        <v>UK</v>
      </c>
      <c r="Q3235" s="8">
        <f t="shared" si="7"/>
        <v>-21</v>
      </c>
    </row>
    <row r="3236">
      <c r="A3236" s="1" t="s">
        <v>1524</v>
      </c>
      <c r="B3236" s="1" t="str">
        <f t="shared" si="1"/>
        <v>581468</v>
      </c>
      <c r="C3236" s="1" t="str">
        <f t="shared" si="2"/>
        <v>Return</v>
      </c>
      <c r="D3236" s="1">
        <v>22098.0</v>
      </c>
      <c r="E3236" s="1" t="str">
        <f>IFERROR(__xludf.DUMMYFUNCTION("IF(LEN(D3236)&gt;4, IFERROR(REGEXEXTRACT(TO_TEXT(D3236),""\d+""),""""),"""")"),"22098")</f>
        <v>22098</v>
      </c>
      <c r="F3236" s="6" t="str">
        <f t="shared" si="3"/>
        <v>Product</v>
      </c>
      <c r="G3236" s="1" t="s">
        <v>272</v>
      </c>
      <c r="H3236" s="6" t="str">
        <f>IFERROR(__xludf.DUMMYFUNCTION("IF(REGEXMATCH(LOWER(G3236), ""^(\?)+\s*(missing)?\s*(\?)*$""), """", PROPER(SUBSTITUTE(SUBSTITUTE(G3236, ""?"", """"), ""*"", """")))"),"Boudoir Square Tissue Box")</f>
        <v>Boudoir Square Tissue Box</v>
      </c>
      <c r="I3236" s="3">
        <v>-12.0</v>
      </c>
      <c r="J3236" s="7">
        <v>40885.80972222222</v>
      </c>
      <c r="K3236" s="8" t="str">
        <f t="shared" si="4"/>
        <v>2011-12</v>
      </c>
      <c r="L3236" s="5">
        <v>0.39</v>
      </c>
      <c r="M3236" s="3">
        <v>13599.0</v>
      </c>
      <c r="N3236" s="1" t="str">
        <f t="shared" si="5"/>
        <v>Registered</v>
      </c>
      <c r="O3236" s="1" t="s">
        <v>19</v>
      </c>
      <c r="P3236" s="9" t="str">
        <f t="shared" si="6"/>
        <v>UK</v>
      </c>
      <c r="Q3236" s="8">
        <f t="shared" si="7"/>
        <v>-4.68</v>
      </c>
    </row>
    <row r="3237">
      <c r="A3237" s="1">
        <v>581469.0</v>
      </c>
      <c r="B3237" s="1" t="str">
        <f t="shared" si="1"/>
        <v>581469</v>
      </c>
      <c r="C3237" s="1" t="str">
        <f t="shared" si="2"/>
        <v>Sale</v>
      </c>
      <c r="D3237" s="1">
        <v>21629.0</v>
      </c>
      <c r="E3237" s="1" t="str">
        <f>IFERROR(__xludf.DUMMYFUNCTION("IF(LEN(D3237)&gt;4, IFERROR(REGEXEXTRACT(TO_TEXT(D3237),""\d+""),""""),"""")"),"21629")</f>
        <v>21629</v>
      </c>
      <c r="F3237" s="6" t="str">
        <f t="shared" si="3"/>
        <v>Product</v>
      </c>
      <c r="G3237" s="1" t="s">
        <v>1525</v>
      </c>
      <c r="H3237" s="6" t="str">
        <f>IFERROR(__xludf.DUMMYFUNCTION("IF(REGEXMATCH(LOWER(G3237), ""^(\?)+\s*(missing)?\s*(\?)*$""), """", PROPER(SUBSTITUTE(SUBSTITUTE(G3237, ""?"", """"), ""*"", """")))"),"Square Floor Cushion Vintage Red")</f>
        <v>Square Floor Cushion Vintage Red</v>
      </c>
      <c r="I3237" s="3">
        <v>1.0</v>
      </c>
      <c r="J3237" s="7">
        <v>40885.811111111114</v>
      </c>
      <c r="K3237" s="8" t="str">
        <f t="shared" si="4"/>
        <v>2011-12</v>
      </c>
      <c r="L3237" s="5">
        <v>7.95</v>
      </c>
      <c r="M3237" s="3">
        <v>14606.0</v>
      </c>
      <c r="N3237" s="1" t="str">
        <f t="shared" si="5"/>
        <v>Registered</v>
      </c>
      <c r="O3237" s="1" t="s">
        <v>19</v>
      </c>
      <c r="P3237" s="9" t="str">
        <f t="shared" si="6"/>
        <v>UK</v>
      </c>
      <c r="Q3237" s="8">
        <f t="shared" si="7"/>
        <v>7.95</v>
      </c>
    </row>
    <row r="3238">
      <c r="A3238" s="1">
        <v>581469.0</v>
      </c>
      <c r="B3238" s="1" t="str">
        <f t="shared" si="1"/>
        <v>581469</v>
      </c>
      <c r="C3238" s="1" t="str">
        <f t="shared" si="2"/>
        <v>Sale</v>
      </c>
      <c r="D3238" s="1">
        <v>21158.0</v>
      </c>
      <c r="E3238" s="1" t="str">
        <f>IFERROR(__xludf.DUMMYFUNCTION("IF(LEN(D3238)&gt;4, IFERROR(REGEXEXTRACT(TO_TEXT(D3238),""\d+""),""""),"""")"),"21158")</f>
        <v>21158</v>
      </c>
      <c r="F3238" s="6" t="str">
        <f t="shared" si="3"/>
        <v>Product</v>
      </c>
      <c r="G3238" s="1" t="s">
        <v>1526</v>
      </c>
      <c r="H3238" s="6" t="str">
        <f>IFERROR(__xludf.DUMMYFUNCTION("IF(REGEXMATCH(LOWER(G3238), ""^(\?)+\s*(missing)?\s*(\?)*$""), """", PROPER(SUBSTITUTE(SUBSTITUTE(G3238, ""?"", """"), ""*"", """")))"),"Moody Girl Door Hanger")</f>
        <v>Moody Girl Door Hanger</v>
      </c>
      <c r="I3238" s="3">
        <v>1.0</v>
      </c>
      <c r="J3238" s="7">
        <v>40885.811111111114</v>
      </c>
      <c r="K3238" s="8" t="str">
        <f t="shared" si="4"/>
        <v>2011-12</v>
      </c>
      <c r="L3238" s="5">
        <v>0.39</v>
      </c>
      <c r="M3238" s="3">
        <v>14606.0</v>
      </c>
      <c r="N3238" s="1" t="str">
        <f t="shared" si="5"/>
        <v>Registered</v>
      </c>
      <c r="O3238" s="1" t="s">
        <v>19</v>
      </c>
      <c r="P3238" s="9" t="str">
        <f t="shared" si="6"/>
        <v>UK</v>
      </c>
      <c r="Q3238" s="8">
        <f t="shared" si="7"/>
        <v>0.39</v>
      </c>
    </row>
    <row r="3239">
      <c r="A3239" s="1">
        <v>581469.0</v>
      </c>
      <c r="B3239" s="1" t="str">
        <f t="shared" si="1"/>
        <v>581469</v>
      </c>
      <c r="C3239" s="1" t="str">
        <f t="shared" si="2"/>
        <v>Sale</v>
      </c>
      <c r="D3239" s="1">
        <v>22571.0</v>
      </c>
      <c r="E3239" s="1" t="str">
        <f>IFERROR(__xludf.DUMMYFUNCTION("IF(LEN(D3239)&gt;4, IFERROR(REGEXEXTRACT(TO_TEXT(D3239),""\d+""),""""),"""")"),"22571")</f>
        <v>22571</v>
      </c>
      <c r="F3239" s="6" t="str">
        <f t="shared" si="3"/>
        <v>Product</v>
      </c>
      <c r="G3239" s="1" t="s">
        <v>618</v>
      </c>
      <c r="H3239" s="6" t="str">
        <f>IFERROR(__xludf.DUMMYFUNCTION("IF(REGEXMATCH(LOWER(G3239), ""^(\?)+\s*(missing)?\s*(\?)*$""), """", PROPER(SUBSTITUTE(SUBSTITUTE(G3239, ""?"", """"), ""*"", """")))"),"Rocking Horse Red Christmas")</f>
        <v>Rocking Horse Red Christmas</v>
      </c>
      <c r="I3239" s="3">
        <v>2.0</v>
      </c>
      <c r="J3239" s="7">
        <v>40885.811111111114</v>
      </c>
      <c r="K3239" s="8" t="str">
        <f t="shared" si="4"/>
        <v>2011-12</v>
      </c>
      <c r="L3239" s="5">
        <v>0.85</v>
      </c>
      <c r="M3239" s="3">
        <v>14606.0</v>
      </c>
      <c r="N3239" s="1" t="str">
        <f t="shared" si="5"/>
        <v>Registered</v>
      </c>
      <c r="O3239" s="1" t="s">
        <v>19</v>
      </c>
      <c r="P3239" s="9" t="str">
        <f t="shared" si="6"/>
        <v>UK</v>
      </c>
      <c r="Q3239" s="8">
        <f t="shared" si="7"/>
        <v>1.7</v>
      </c>
    </row>
    <row r="3240">
      <c r="A3240" s="1">
        <v>581469.0</v>
      </c>
      <c r="B3240" s="1" t="str">
        <f t="shared" si="1"/>
        <v>581469</v>
      </c>
      <c r="C3240" s="1" t="str">
        <f t="shared" si="2"/>
        <v>Sale</v>
      </c>
      <c r="D3240" s="1">
        <v>22571.0</v>
      </c>
      <c r="E3240" s="1" t="str">
        <f>IFERROR(__xludf.DUMMYFUNCTION("IF(LEN(D3240)&gt;4, IFERROR(REGEXEXTRACT(TO_TEXT(D3240),""\d+""),""""),"""")"),"22571")</f>
        <v>22571</v>
      </c>
      <c r="F3240" s="6" t="str">
        <f t="shared" si="3"/>
        <v>Product</v>
      </c>
      <c r="G3240" s="1" t="s">
        <v>618</v>
      </c>
      <c r="H3240" s="6" t="str">
        <f>IFERROR(__xludf.DUMMYFUNCTION("IF(REGEXMATCH(LOWER(G3240), ""^(\?)+\s*(missing)?\s*(\?)*$""), """", PROPER(SUBSTITUTE(SUBSTITUTE(G3240, ""?"", """"), ""*"", """")))"),"Rocking Horse Red Christmas")</f>
        <v>Rocking Horse Red Christmas</v>
      </c>
      <c r="I3240" s="3">
        <v>1.0</v>
      </c>
      <c r="J3240" s="7">
        <v>40885.811111111114</v>
      </c>
      <c r="K3240" s="8" t="str">
        <f t="shared" si="4"/>
        <v>2011-12</v>
      </c>
      <c r="L3240" s="5">
        <v>0.85</v>
      </c>
      <c r="M3240" s="3">
        <v>14606.0</v>
      </c>
      <c r="N3240" s="1" t="str">
        <f t="shared" si="5"/>
        <v>Registered</v>
      </c>
      <c r="O3240" s="1" t="s">
        <v>19</v>
      </c>
      <c r="P3240" s="9" t="str">
        <f t="shared" si="6"/>
        <v>UK</v>
      </c>
      <c r="Q3240" s="8">
        <f t="shared" si="7"/>
        <v>0.85</v>
      </c>
    </row>
    <row r="3241">
      <c r="A3241" s="1">
        <v>581469.0</v>
      </c>
      <c r="B3241" s="1" t="str">
        <f t="shared" si="1"/>
        <v>581469</v>
      </c>
      <c r="C3241" s="1" t="str">
        <f t="shared" si="2"/>
        <v>Sale</v>
      </c>
      <c r="D3241" s="1">
        <v>21846.0</v>
      </c>
      <c r="E3241" s="1" t="str">
        <f>IFERROR(__xludf.DUMMYFUNCTION("IF(LEN(D3241)&gt;4, IFERROR(REGEXEXTRACT(TO_TEXT(D3241),""\d+""),""""),"""")"),"21846")</f>
        <v>21846</v>
      </c>
      <c r="F3241" s="6" t="str">
        <f t="shared" si="3"/>
        <v>Product</v>
      </c>
      <c r="G3241" s="1" t="s">
        <v>1527</v>
      </c>
      <c r="H3241" s="6" t="str">
        <f>IFERROR(__xludf.DUMMYFUNCTION("IF(REGEXMATCH(LOWER(G3241), ""^(\?)+\s*(missing)?\s*(\?)*$""), """", PROPER(SUBSTITUTE(SUBSTITUTE(G3241, ""?"", """"), ""*"", """")))"),"Pink Diamante Pen In Gift Box")</f>
        <v>Pink Diamante Pen In Gift Box</v>
      </c>
      <c r="I3241" s="3">
        <v>1.0</v>
      </c>
      <c r="J3241" s="7">
        <v>40885.811111111114</v>
      </c>
      <c r="K3241" s="8" t="str">
        <f t="shared" si="4"/>
        <v>2011-12</v>
      </c>
      <c r="L3241" s="5">
        <v>4.95</v>
      </c>
      <c r="M3241" s="3">
        <v>14606.0</v>
      </c>
      <c r="N3241" s="1" t="str">
        <f t="shared" si="5"/>
        <v>Registered</v>
      </c>
      <c r="O3241" s="1" t="s">
        <v>19</v>
      </c>
      <c r="P3241" s="9" t="str">
        <f t="shared" si="6"/>
        <v>UK</v>
      </c>
      <c r="Q3241" s="8">
        <f t="shared" si="7"/>
        <v>4.95</v>
      </c>
    </row>
    <row r="3242">
      <c r="A3242" s="1">
        <v>581469.0</v>
      </c>
      <c r="B3242" s="1" t="str">
        <f t="shared" si="1"/>
        <v>581469</v>
      </c>
      <c r="C3242" s="1" t="str">
        <f t="shared" si="2"/>
        <v>Sale</v>
      </c>
      <c r="D3242" s="1">
        <v>21985.0</v>
      </c>
      <c r="E3242" s="1" t="str">
        <f>IFERROR(__xludf.DUMMYFUNCTION("IF(LEN(D3242)&gt;4, IFERROR(REGEXEXTRACT(TO_TEXT(D3242),""\d+""),""""),"""")"),"21985")</f>
        <v>21985</v>
      </c>
      <c r="F3242" s="6" t="str">
        <f t="shared" si="3"/>
        <v>Product</v>
      </c>
      <c r="G3242" s="1" t="s">
        <v>579</v>
      </c>
      <c r="H3242" s="6" t="str">
        <f>IFERROR(__xludf.DUMMYFUNCTION("IF(REGEXMATCH(LOWER(G3242), ""^(\?)+\s*(missing)?\s*(\?)*$""), """", PROPER(SUBSTITUTE(SUBSTITUTE(G3242, ""?"", """"), ""*"", """")))"),"Pack Of 12 Hearts Design Tissues")</f>
        <v>Pack Of 12 Hearts Design Tissues</v>
      </c>
      <c r="I3242" s="3">
        <v>3.0</v>
      </c>
      <c r="J3242" s="7">
        <v>40885.811111111114</v>
      </c>
      <c r="K3242" s="8" t="str">
        <f t="shared" si="4"/>
        <v>2011-12</v>
      </c>
      <c r="L3242" s="5">
        <v>0.39</v>
      </c>
      <c r="M3242" s="3">
        <v>14606.0</v>
      </c>
      <c r="N3242" s="1" t="str">
        <f t="shared" si="5"/>
        <v>Registered</v>
      </c>
      <c r="O3242" s="1" t="s">
        <v>19</v>
      </c>
      <c r="P3242" s="9" t="str">
        <f t="shared" si="6"/>
        <v>UK</v>
      </c>
      <c r="Q3242" s="8">
        <f t="shared" si="7"/>
        <v>1.17</v>
      </c>
    </row>
    <row r="3243">
      <c r="A3243" s="1">
        <v>581469.0</v>
      </c>
      <c r="B3243" s="1" t="str">
        <f t="shared" si="1"/>
        <v>581469</v>
      </c>
      <c r="C3243" s="1" t="str">
        <f t="shared" si="2"/>
        <v>Sale</v>
      </c>
      <c r="D3243" s="1">
        <v>21446.0</v>
      </c>
      <c r="E3243" s="1" t="str">
        <f>IFERROR(__xludf.DUMMYFUNCTION("IF(LEN(D3243)&gt;4, IFERROR(REGEXEXTRACT(TO_TEXT(D3243),""\d+""),""""),"""")"),"21446")</f>
        <v>21446</v>
      </c>
      <c r="F3243" s="6" t="str">
        <f t="shared" si="3"/>
        <v>Product</v>
      </c>
      <c r="G3243" s="1" t="s">
        <v>1528</v>
      </c>
      <c r="H3243" s="6" t="str">
        <f>IFERROR(__xludf.DUMMYFUNCTION("IF(REGEXMATCH(LOWER(G3243), ""^(\?)+\s*(missing)?\s*(\?)*$""), """", PROPER(SUBSTITUTE(SUBSTITUTE(G3243, ""?"", """"), ""*"", """")))"),"12 Red Rose Peg Place Settings")</f>
        <v>12 Red Rose Peg Place Settings</v>
      </c>
      <c r="I3243" s="3">
        <v>1.0</v>
      </c>
      <c r="J3243" s="7">
        <v>40885.811111111114</v>
      </c>
      <c r="K3243" s="8" t="str">
        <f t="shared" si="4"/>
        <v>2011-12</v>
      </c>
      <c r="L3243" s="5">
        <v>1.25</v>
      </c>
      <c r="M3243" s="3">
        <v>14606.0</v>
      </c>
      <c r="N3243" s="1" t="str">
        <f t="shared" si="5"/>
        <v>Registered</v>
      </c>
      <c r="O3243" s="1" t="s">
        <v>19</v>
      </c>
      <c r="P3243" s="9" t="str">
        <f t="shared" si="6"/>
        <v>UK</v>
      </c>
      <c r="Q3243" s="8">
        <f t="shared" si="7"/>
        <v>1.25</v>
      </c>
    </row>
    <row r="3244">
      <c r="A3244" s="1">
        <v>581469.0</v>
      </c>
      <c r="B3244" s="1" t="str">
        <f t="shared" si="1"/>
        <v>581469</v>
      </c>
      <c r="C3244" s="1" t="str">
        <f t="shared" si="2"/>
        <v>Sale</v>
      </c>
      <c r="D3244" s="1" t="s">
        <v>1529</v>
      </c>
      <c r="E3244" s="1" t="str">
        <f>IFERROR(__xludf.DUMMYFUNCTION("IF(LEN(D3244)&gt;4, IFERROR(REGEXEXTRACT(TO_TEXT(D3244),""\d+""),""""),"""")"),"85169")</f>
        <v>85169</v>
      </c>
      <c r="F3244" s="6" t="str">
        <f t="shared" si="3"/>
        <v>Product</v>
      </c>
      <c r="G3244" s="1" t="s">
        <v>1530</v>
      </c>
      <c r="H3244" s="6" t="str">
        <f>IFERROR(__xludf.DUMMYFUNCTION("IF(REGEXMATCH(LOWER(G3244), ""^(\?)+\s*(missing)?\s*(\?)*$""), """", PROPER(SUBSTITUTE(SUBSTITUTE(G3244, ""?"", """"), ""*"", """")))"),"Eau De Nil Love Bird Candle")</f>
        <v>Eau De Nil Love Bird Candle</v>
      </c>
      <c r="I3244" s="3">
        <v>2.0</v>
      </c>
      <c r="J3244" s="7">
        <v>40885.811111111114</v>
      </c>
      <c r="K3244" s="8" t="str">
        <f t="shared" si="4"/>
        <v>2011-12</v>
      </c>
      <c r="L3244" s="5">
        <v>1.25</v>
      </c>
      <c r="M3244" s="3">
        <v>14606.0</v>
      </c>
      <c r="N3244" s="1" t="str">
        <f t="shared" si="5"/>
        <v>Registered</v>
      </c>
      <c r="O3244" s="1" t="s">
        <v>19</v>
      </c>
      <c r="P3244" s="9" t="str">
        <f t="shared" si="6"/>
        <v>UK</v>
      </c>
      <c r="Q3244" s="8">
        <f t="shared" si="7"/>
        <v>2.5</v>
      </c>
    </row>
    <row r="3245">
      <c r="A3245" s="1">
        <v>581469.0</v>
      </c>
      <c r="B3245" s="1" t="str">
        <f t="shared" si="1"/>
        <v>581469</v>
      </c>
      <c r="C3245" s="1" t="str">
        <f t="shared" si="2"/>
        <v>Sale</v>
      </c>
      <c r="D3245" s="1">
        <v>22121.0</v>
      </c>
      <c r="E3245" s="1" t="str">
        <f>IFERROR(__xludf.DUMMYFUNCTION("IF(LEN(D3245)&gt;4, IFERROR(REGEXEXTRACT(TO_TEXT(D3245),""\d+""),""""),"""")"),"22121")</f>
        <v>22121</v>
      </c>
      <c r="F3245" s="6" t="str">
        <f t="shared" si="3"/>
        <v>Product</v>
      </c>
      <c r="G3245" s="1" t="s">
        <v>1531</v>
      </c>
      <c r="H3245" s="6" t="str">
        <f>IFERROR(__xludf.DUMMYFUNCTION("IF(REGEXMATCH(LOWER(G3245), ""^(\?)+\s*(missing)?\s*(\?)*$""), """", PROPER(SUBSTITUTE(SUBSTITUTE(G3245, ""?"", """"), ""*"", """")))"),"Noel Wooden Block Letters")</f>
        <v>Noel Wooden Block Letters</v>
      </c>
      <c r="I3245" s="3">
        <v>2.0</v>
      </c>
      <c r="J3245" s="7">
        <v>40885.811111111114</v>
      </c>
      <c r="K3245" s="8" t="str">
        <f t="shared" si="4"/>
        <v>2011-12</v>
      </c>
      <c r="L3245" s="5">
        <v>5.95</v>
      </c>
      <c r="M3245" s="3">
        <v>14606.0</v>
      </c>
      <c r="N3245" s="1" t="str">
        <f t="shared" si="5"/>
        <v>Registered</v>
      </c>
      <c r="O3245" s="1" t="s">
        <v>19</v>
      </c>
      <c r="P3245" s="9" t="str">
        <f t="shared" si="6"/>
        <v>UK</v>
      </c>
      <c r="Q3245" s="8">
        <f t="shared" si="7"/>
        <v>11.9</v>
      </c>
    </row>
    <row r="3246">
      <c r="A3246" s="1">
        <v>581469.0</v>
      </c>
      <c r="B3246" s="1" t="str">
        <f t="shared" si="1"/>
        <v>581469</v>
      </c>
      <c r="C3246" s="1" t="str">
        <f t="shared" si="2"/>
        <v>Sale</v>
      </c>
      <c r="D3246" s="1" t="s">
        <v>1532</v>
      </c>
      <c r="E3246" s="1" t="str">
        <f>IFERROR(__xludf.DUMMYFUNCTION("IF(LEN(D3246)&gt;4, IFERROR(REGEXEXTRACT(TO_TEXT(D3246),""\d+""),""""),"""")"),"85071")</f>
        <v>85071</v>
      </c>
      <c r="F3246" s="6" t="str">
        <f t="shared" si="3"/>
        <v>Product</v>
      </c>
      <c r="G3246" s="1" t="s">
        <v>1533</v>
      </c>
      <c r="H3246" s="6" t="str">
        <f>IFERROR(__xludf.DUMMYFUNCTION("IF(REGEXMATCH(LOWER(G3246), ""^(\?)+\s*(missing)?\s*(\?)*$""), """", PROPER(SUBSTITUTE(SUBSTITUTE(G3246, ""?"", """"), ""*"", """")))"),"Charlie+Lola""Extremely Busy"" Sign")</f>
        <v>Charlie+Lola"Extremely Busy" Sign</v>
      </c>
      <c r="I3246" s="3">
        <v>1.0</v>
      </c>
      <c r="J3246" s="7">
        <v>40885.811111111114</v>
      </c>
      <c r="K3246" s="8" t="str">
        <f t="shared" si="4"/>
        <v>2011-12</v>
      </c>
      <c r="L3246" s="5">
        <v>0.39</v>
      </c>
      <c r="M3246" s="3">
        <v>14606.0</v>
      </c>
      <c r="N3246" s="1" t="str">
        <f t="shared" si="5"/>
        <v>Registered</v>
      </c>
      <c r="O3246" s="1" t="s">
        <v>19</v>
      </c>
      <c r="P3246" s="9" t="str">
        <f t="shared" si="6"/>
        <v>UK</v>
      </c>
      <c r="Q3246" s="8">
        <f t="shared" si="7"/>
        <v>0.39</v>
      </c>
    </row>
    <row r="3247">
      <c r="A3247" s="1">
        <v>581469.0</v>
      </c>
      <c r="B3247" s="1" t="str">
        <f t="shared" si="1"/>
        <v>581469</v>
      </c>
      <c r="C3247" s="1" t="str">
        <f t="shared" si="2"/>
        <v>Sale</v>
      </c>
      <c r="D3247" s="1">
        <v>22068.0</v>
      </c>
      <c r="E3247" s="1" t="str">
        <f>IFERROR(__xludf.DUMMYFUNCTION("IF(LEN(D3247)&gt;4, IFERROR(REGEXEXTRACT(TO_TEXT(D3247),""\d+""),""""),"""")"),"22068")</f>
        <v>22068</v>
      </c>
      <c r="F3247" s="6" t="str">
        <f t="shared" si="3"/>
        <v>Product</v>
      </c>
      <c r="G3247" s="1" t="s">
        <v>310</v>
      </c>
      <c r="H3247" s="6" t="str">
        <f>IFERROR(__xludf.DUMMYFUNCTION("IF(REGEXMATCH(LOWER(G3247), ""^(\?)+\s*(missing)?\s*(\?)*$""), """", PROPER(SUBSTITUTE(SUBSTITUTE(G3247, ""?"", """"), ""*"", """")))"),"Black Pirate Treasure Chest")</f>
        <v>Black Pirate Treasure Chest</v>
      </c>
      <c r="I3247" s="3">
        <v>2.0</v>
      </c>
      <c r="J3247" s="7">
        <v>40885.811111111114</v>
      </c>
      <c r="K3247" s="8" t="str">
        <f t="shared" si="4"/>
        <v>2011-12</v>
      </c>
      <c r="L3247" s="5">
        <v>0.39</v>
      </c>
      <c r="M3247" s="3">
        <v>14606.0</v>
      </c>
      <c r="N3247" s="1" t="str">
        <f t="shared" si="5"/>
        <v>Registered</v>
      </c>
      <c r="O3247" s="1" t="s">
        <v>19</v>
      </c>
      <c r="P3247" s="9" t="str">
        <f t="shared" si="6"/>
        <v>UK</v>
      </c>
      <c r="Q3247" s="8">
        <f t="shared" si="7"/>
        <v>0.78</v>
      </c>
    </row>
    <row r="3248">
      <c r="A3248" s="1">
        <v>581469.0</v>
      </c>
      <c r="B3248" s="1" t="str">
        <f t="shared" si="1"/>
        <v>581469</v>
      </c>
      <c r="C3248" s="1" t="str">
        <f t="shared" si="2"/>
        <v>Sale</v>
      </c>
      <c r="D3248" s="1">
        <v>20772.0</v>
      </c>
      <c r="E3248" s="1" t="str">
        <f>IFERROR(__xludf.DUMMYFUNCTION("IF(LEN(D3248)&gt;4, IFERROR(REGEXEXTRACT(TO_TEXT(D3248),""\d+""),""""),"""")"),"20772")</f>
        <v>20772</v>
      </c>
      <c r="F3248" s="6" t="str">
        <f t="shared" si="3"/>
        <v>Product</v>
      </c>
      <c r="G3248" s="1" t="s">
        <v>1534</v>
      </c>
      <c r="H3248" s="6" t="str">
        <f>IFERROR(__xludf.DUMMYFUNCTION("IF(REGEXMATCH(LOWER(G3248), ""^(\?)+\s*(missing)?\s*(\?)*$""), """", PROPER(SUBSTITUTE(SUBSTITUTE(G3248, ""?"", """"), ""*"", """")))"),"Garden Path Journal")</f>
        <v>Garden Path Journal</v>
      </c>
      <c r="I3248" s="3">
        <v>1.0</v>
      </c>
      <c r="J3248" s="7">
        <v>40885.811111111114</v>
      </c>
      <c r="K3248" s="8" t="str">
        <f t="shared" si="4"/>
        <v>2011-12</v>
      </c>
      <c r="L3248" s="5">
        <v>2.55</v>
      </c>
      <c r="M3248" s="3">
        <v>14606.0</v>
      </c>
      <c r="N3248" s="1" t="str">
        <f t="shared" si="5"/>
        <v>Registered</v>
      </c>
      <c r="O3248" s="1" t="s">
        <v>19</v>
      </c>
      <c r="P3248" s="9" t="str">
        <f t="shared" si="6"/>
        <v>UK</v>
      </c>
      <c r="Q3248" s="8">
        <f t="shared" si="7"/>
        <v>2.55</v>
      </c>
    </row>
    <row r="3249">
      <c r="A3249" s="1">
        <v>581469.0</v>
      </c>
      <c r="B3249" s="1" t="str">
        <f t="shared" si="1"/>
        <v>581469</v>
      </c>
      <c r="C3249" s="1" t="str">
        <f t="shared" si="2"/>
        <v>Sale</v>
      </c>
      <c r="D3249" s="1">
        <v>47580.0</v>
      </c>
      <c r="E3249" s="1" t="str">
        <f>IFERROR(__xludf.DUMMYFUNCTION("IF(LEN(D3249)&gt;4, IFERROR(REGEXEXTRACT(TO_TEXT(D3249),""\d+""),""""),"""")"),"47580")</f>
        <v>47580</v>
      </c>
      <c r="F3249" s="6" t="str">
        <f t="shared" si="3"/>
        <v>Product</v>
      </c>
      <c r="G3249" s="1" t="s">
        <v>131</v>
      </c>
      <c r="H3249" s="6" t="str">
        <f>IFERROR(__xludf.DUMMYFUNCTION("IF(REGEXMATCH(LOWER(G3249), ""^(\?)+\s*(missing)?\s*(\?)*$""), """", PROPER(SUBSTITUTE(SUBSTITUTE(G3249, ""?"", """"), ""*"", """")))"),"Tea Time Des Tea Cosy")</f>
        <v>Tea Time Des Tea Cosy</v>
      </c>
      <c r="I3249" s="3">
        <v>1.0</v>
      </c>
      <c r="J3249" s="7">
        <v>40885.811111111114</v>
      </c>
      <c r="K3249" s="8" t="str">
        <f t="shared" si="4"/>
        <v>2011-12</v>
      </c>
      <c r="L3249" s="5">
        <v>2.55</v>
      </c>
      <c r="M3249" s="3">
        <v>14606.0</v>
      </c>
      <c r="N3249" s="1" t="str">
        <f t="shared" si="5"/>
        <v>Registered</v>
      </c>
      <c r="O3249" s="1" t="s">
        <v>19</v>
      </c>
      <c r="P3249" s="9" t="str">
        <f t="shared" si="6"/>
        <v>UK</v>
      </c>
      <c r="Q3249" s="8">
        <f t="shared" si="7"/>
        <v>2.55</v>
      </c>
    </row>
    <row r="3250">
      <c r="A3250" s="1">
        <v>581469.0</v>
      </c>
      <c r="B3250" s="1" t="str">
        <f t="shared" si="1"/>
        <v>581469</v>
      </c>
      <c r="C3250" s="1" t="str">
        <f t="shared" si="2"/>
        <v>Sale</v>
      </c>
      <c r="D3250" s="1">
        <v>22364.0</v>
      </c>
      <c r="E3250" s="1" t="str">
        <f>IFERROR(__xludf.DUMMYFUNCTION("IF(LEN(D3250)&gt;4, IFERROR(REGEXEXTRACT(TO_TEXT(D3250),""\d+""),""""),"""")"),"22364")</f>
        <v>22364</v>
      </c>
      <c r="F3250" s="6" t="str">
        <f t="shared" si="3"/>
        <v>Product</v>
      </c>
      <c r="G3250" s="1" t="s">
        <v>1535</v>
      </c>
      <c r="H3250" s="6" t="str">
        <f>IFERROR(__xludf.DUMMYFUNCTION("IF(REGEXMATCH(LOWER(G3250), ""^(\?)+\s*(missing)?\s*(\?)*$""), """", PROPER(SUBSTITUTE(SUBSTITUTE(G3250, ""?"", """"), ""*"", """")))"),"Glass Jar Digestive Biscuits")</f>
        <v>Glass Jar Digestive Biscuits</v>
      </c>
      <c r="I3250" s="3">
        <v>1.0</v>
      </c>
      <c r="J3250" s="7">
        <v>40885.811111111114</v>
      </c>
      <c r="K3250" s="8" t="str">
        <f t="shared" si="4"/>
        <v>2011-12</v>
      </c>
      <c r="L3250" s="5">
        <v>2.95</v>
      </c>
      <c r="M3250" s="3">
        <v>14606.0</v>
      </c>
      <c r="N3250" s="1" t="str">
        <f t="shared" si="5"/>
        <v>Registered</v>
      </c>
      <c r="O3250" s="1" t="s">
        <v>19</v>
      </c>
      <c r="P3250" s="9" t="str">
        <f t="shared" si="6"/>
        <v>UK</v>
      </c>
      <c r="Q3250" s="8">
        <f t="shared" si="7"/>
        <v>2.95</v>
      </c>
    </row>
    <row r="3251">
      <c r="A3251" s="1">
        <v>581469.0</v>
      </c>
      <c r="B3251" s="1" t="str">
        <f t="shared" si="1"/>
        <v>581469</v>
      </c>
      <c r="C3251" s="1" t="str">
        <f t="shared" si="2"/>
        <v>Sale</v>
      </c>
      <c r="D3251" s="1">
        <v>22209.0</v>
      </c>
      <c r="E3251" s="1" t="str">
        <f>IFERROR(__xludf.DUMMYFUNCTION("IF(LEN(D3251)&gt;4, IFERROR(REGEXEXTRACT(TO_TEXT(D3251),""\d+""),""""),"""")"),"22209")</f>
        <v>22209</v>
      </c>
      <c r="F3251" s="6" t="str">
        <f t="shared" si="3"/>
        <v>Product</v>
      </c>
      <c r="G3251" s="1" t="s">
        <v>1536</v>
      </c>
      <c r="H3251" s="6" t="str">
        <f>IFERROR(__xludf.DUMMYFUNCTION("IF(REGEXMATCH(LOWER(G3251), ""^(\?)+\s*(missing)?\s*(\?)*$""), """", PROPER(SUBSTITUTE(SUBSTITUTE(G3251, ""?"", """"), ""*"", """")))"),"Wood Stamp Set Happy Birthday")</f>
        <v>Wood Stamp Set Happy Birthday</v>
      </c>
      <c r="I3251" s="3">
        <v>1.0</v>
      </c>
      <c r="J3251" s="7">
        <v>40885.811111111114</v>
      </c>
      <c r="K3251" s="8" t="str">
        <f t="shared" si="4"/>
        <v>2011-12</v>
      </c>
      <c r="L3251" s="5">
        <v>0.83</v>
      </c>
      <c r="M3251" s="3">
        <v>14606.0</v>
      </c>
      <c r="N3251" s="1" t="str">
        <f t="shared" si="5"/>
        <v>Registered</v>
      </c>
      <c r="O3251" s="1" t="s">
        <v>19</v>
      </c>
      <c r="P3251" s="9" t="str">
        <f t="shared" si="6"/>
        <v>UK</v>
      </c>
      <c r="Q3251" s="8">
        <f t="shared" si="7"/>
        <v>0.83</v>
      </c>
    </row>
    <row r="3252">
      <c r="A3252" s="1">
        <v>581469.0</v>
      </c>
      <c r="B3252" s="1" t="str">
        <f t="shared" si="1"/>
        <v>581469</v>
      </c>
      <c r="C3252" s="1" t="str">
        <f t="shared" si="2"/>
        <v>Sale</v>
      </c>
      <c r="D3252" s="1">
        <v>21704.0</v>
      </c>
      <c r="E3252" s="1" t="str">
        <f>IFERROR(__xludf.DUMMYFUNCTION("IF(LEN(D3252)&gt;4, IFERROR(REGEXEXTRACT(TO_TEXT(D3252),""\d+""),""""),"""")"),"21704")</f>
        <v>21704</v>
      </c>
      <c r="F3252" s="6" t="str">
        <f t="shared" si="3"/>
        <v>Product</v>
      </c>
      <c r="G3252" s="1" t="s">
        <v>1537</v>
      </c>
      <c r="H3252" s="6" t="str">
        <f>IFERROR(__xludf.DUMMYFUNCTION("IF(REGEXMATCH(LOWER(G3252), ""^(\?)+\s*(missing)?\s*(\?)*$""), """", PROPER(SUBSTITUTE(SUBSTITUTE(G3252, ""?"", """"), ""*"", """")))"),"Bag 250G Swirly Marbles")</f>
        <v>Bag 250G Swirly Marbles</v>
      </c>
      <c r="I3252" s="3">
        <v>1.0</v>
      </c>
      <c r="J3252" s="7">
        <v>40885.811111111114</v>
      </c>
      <c r="K3252" s="8" t="str">
        <f t="shared" si="4"/>
        <v>2011-12</v>
      </c>
      <c r="L3252" s="5">
        <v>0.85</v>
      </c>
      <c r="M3252" s="3">
        <v>14606.0</v>
      </c>
      <c r="N3252" s="1" t="str">
        <f t="shared" si="5"/>
        <v>Registered</v>
      </c>
      <c r="O3252" s="1" t="s">
        <v>19</v>
      </c>
      <c r="P3252" s="9" t="str">
        <f t="shared" si="6"/>
        <v>UK</v>
      </c>
      <c r="Q3252" s="8">
        <f t="shared" si="7"/>
        <v>0.85</v>
      </c>
    </row>
    <row r="3253">
      <c r="A3253" s="1">
        <v>581469.0</v>
      </c>
      <c r="B3253" s="1" t="str">
        <f t="shared" si="1"/>
        <v>581469</v>
      </c>
      <c r="C3253" s="1" t="str">
        <f t="shared" si="2"/>
        <v>Sale</v>
      </c>
      <c r="D3253" s="1">
        <v>21446.0</v>
      </c>
      <c r="E3253" s="1" t="str">
        <f>IFERROR(__xludf.DUMMYFUNCTION("IF(LEN(D3253)&gt;4, IFERROR(REGEXEXTRACT(TO_TEXT(D3253),""\d+""),""""),"""")"),"21446")</f>
        <v>21446</v>
      </c>
      <c r="F3253" s="6" t="str">
        <f t="shared" si="3"/>
        <v>Product</v>
      </c>
      <c r="G3253" s="1" t="s">
        <v>1528</v>
      </c>
      <c r="H3253" s="6" t="str">
        <f>IFERROR(__xludf.DUMMYFUNCTION("IF(REGEXMATCH(LOWER(G3253), ""^(\?)+\s*(missing)?\s*(\?)*$""), """", PROPER(SUBSTITUTE(SUBSTITUTE(G3253, ""?"", """"), ""*"", """")))"),"12 Red Rose Peg Place Settings")</f>
        <v>12 Red Rose Peg Place Settings</v>
      </c>
      <c r="I3253" s="3">
        <v>4.0</v>
      </c>
      <c r="J3253" s="7">
        <v>40885.811111111114</v>
      </c>
      <c r="K3253" s="8" t="str">
        <f t="shared" si="4"/>
        <v>2011-12</v>
      </c>
      <c r="L3253" s="5">
        <v>1.25</v>
      </c>
      <c r="M3253" s="3">
        <v>14606.0</v>
      </c>
      <c r="N3253" s="1" t="str">
        <f t="shared" si="5"/>
        <v>Registered</v>
      </c>
      <c r="O3253" s="1" t="s">
        <v>19</v>
      </c>
      <c r="P3253" s="9" t="str">
        <f t="shared" si="6"/>
        <v>UK</v>
      </c>
      <c r="Q3253" s="8">
        <f t="shared" si="7"/>
        <v>5</v>
      </c>
    </row>
    <row r="3254">
      <c r="A3254" s="1">
        <v>581469.0</v>
      </c>
      <c r="B3254" s="1" t="str">
        <f t="shared" si="1"/>
        <v>581469</v>
      </c>
      <c r="C3254" s="1" t="str">
        <f t="shared" si="2"/>
        <v>Sale</v>
      </c>
      <c r="D3254" s="1">
        <v>21918.0</v>
      </c>
      <c r="E3254" s="1" t="str">
        <f>IFERROR(__xludf.DUMMYFUNCTION("IF(LEN(D3254)&gt;4, IFERROR(REGEXEXTRACT(TO_TEXT(D3254),""\d+""),""""),"""")"),"21918")</f>
        <v>21918</v>
      </c>
      <c r="F3254" s="6" t="str">
        <f t="shared" si="3"/>
        <v>Product</v>
      </c>
      <c r="G3254" s="1" t="s">
        <v>1538</v>
      </c>
      <c r="H3254" s="6" t="str">
        <f>IFERROR(__xludf.DUMMYFUNCTION("IF(REGEXMATCH(LOWER(G3254), ""^(\?)+\s*(missing)?\s*(\?)*$""), """", PROPER(SUBSTITUTE(SUBSTITUTE(G3254, ""?"", """"), ""*"", """")))"),"Set 12 Kids Colour Chalk Sticks")</f>
        <v>Set 12 Kids Colour Chalk Sticks</v>
      </c>
      <c r="I3254" s="3">
        <v>4.0</v>
      </c>
      <c r="J3254" s="7">
        <v>40885.811111111114</v>
      </c>
      <c r="K3254" s="8" t="str">
        <f t="shared" si="4"/>
        <v>2011-12</v>
      </c>
      <c r="L3254" s="5">
        <v>0.42</v>
      </c>
      <c r="M3254" s="3">
        <v>14606.0</v>
      </c>
      <c r="N3254" s="1" t="str">
        <f t="shared" si="5"/>
        <v>Registered</v>
      </c>
      <c r="O3254" s="1" t="s">
        <v>19</v>
      </c>
      <c r="P3254" s="9" t="str">
        <f t="shared" si="6"/>
        <v>UK</v>
      </c>
      <c r="Q3254" s="8">
        <f t="shared" si="7"/>
        <v>1.68</v>
      </c>
    </row>
    <row r="3255">
      <c r="A3255" s="1">
        <v>581469.0</v>
      </c>
      <c r="B3255" s="1" t="str">
        <f t="shared" si="1"/>
        <v>581469</v>
      </c>
      <c r="C3255" s="1" t="str">
        <f t="shared" si="2"/>
        <v>Sale</v>
      </c>
      <c r="D3255" s="1" t="s">
        <v>1539</v>
      </c>
      <c r="E3255" s="1" t="str">
        <f>IFERROR(__xludf.DUMMYFUNCTION("IF(LEN(D3255)&gt;4, IFERROR(REGEXEXTRACT(TO_TEXT(D3255),""\d+""),""""),"""")"),"51014")</f>
        <v>51014</v>
      </c>
      <c r="F3255" s="6" t="str">
        <f t="shared" si="3"/>
        <v>Product</v>
      </c>
      <c r="G3255" s="1" t="s">
        <v>1540</v>
      </c>
      <c r="H3255" s="6" t="str">
        <f>IFERROR(__xludf.DUMMYFUNCTION("IF(REGEXMATCH(LOWER(G3255), ""^(\?)+\s*(missing)?\s*(\?)*$""), """", PROPER(SUBSTITUTE(SUBSTITUTE(G3255, ""?"", """"), ""*"", """")))"),"Feather Pen,Coal Black")</f>
        <v>Feather Pen,Coal Black</v>
      </c>
      <c r="I3255" s="3">
        <v>12.0</v>
      </c>
      <c r="J3255" s="7">
        <v>40885.811111111114</v>
      </c>
      <c r="K3255" s="8" t="str">
        <f t="shared" si="4"/>
        <v>2011-12</v>
      </c>
      <c r="L3255" s="5">
        <v>0.39</v>
      </c>
      <c r="M3255" s="3">
        <v>14606.0</v>
      </c>
      <c r="N3255" s="1" t="str">
        <f t="shared" si="5"/>
        <v>Registered</v>
      </c>
      <c r="O3255" s="1" t="s">
        <v>19</v>
      </c>
      <c r="P3255" s="9" t="str">
        <f t="shared" si="6"/>
        <v>UK</v>
      </c>
      <c r="Q3255" s="8">
        <f t="shared" si="7"/>
        <v>4.68</v>
      </c>
    </row>
    <row r="3256">
      <c r="A3256" s="1">
        <v>581469.0</v>
      </c>
      <c r="B3256" s="1" t="str">
        <f t="shared" si="1"/>
        <v>581469</v>
      </c>
      <c r="C3256" s="1" t="str">
        <f t="shared" si="2"/>
        <v>Sale</v>
      </c>
      <c r="D3256" s="1">
        <v>23085.0</v>
      </c>
      <c r="E3256" s="1" t="str">
        <f>IFERROR(__xludf.DUMMYFUNCTION("IF(LEN(D3256)&gt;4, IFERROR(REGEXEXTRACT(TO_TEXT(D3256),""\d+""),""""),"""")"),"23085")</f>
        <v>23085</v>
      </c>
      <c r="F3256" s="6" t="str">
        <f t="shared" si="3"/>
        <v>Product</v>
      </c>
      <c r="G3256" s="1" t="s">
        <v>1541</v>
      </c>
      <c r="H3256" s="6" t="str">
        <f>IFERROR(__xludf.DUMMYFUNCTION("IF(REGEXMATCH(LOWER(G3256), ""^(\?)+\s*(missing)?\s*(\?)*$""), """", PROPER(SUBSTITUTE(SUBSTITUTE(G3256, ""?"", """"), ""*"", """")))"),"Antique Silver Bauble Lamp")</f>
        <v>Antique Silver Bauble Lamp</v>
      </c>
      <c r="I3256" s="3">
        <v>1.0</v>
      </c>
      <c r="J3256" s="7">
        <v>40885.811111111114</v>
      </c>
      <c r="K3256" s="8" t="str">
        <f t="shared" si="4"/>
        <v>2011-12</v>
      </c>
      <c r="L3256" s="5">
        <v>10.4</v>
      </c>
      <c r="M3256" s="3">
        <v>14606.0</v>
      </c>
      <c r="N3256" s="1" t="str">
        <f t="shared" si="5"/>
        <v>Registered</v>
      </c>
      <c r="O3256" s="1" t="s">
        <v>19</v>
      </c>
      <c r="P3256" s="9" t="str">
        <f t="shared" si="6"/>
        <v>UK</v>
      </c>
      <c r="Q3256" s="8">
        <f t="shared" si="7"/>
        <v>10.4</v>
      </c>
    </row>
    <row r="3257">
      <c r="A3257" s="1">
        <v>581469.0</v>
      </c>
      <c r="B3257" s="1" t="str">
        <f t="shared" si="1"/>
        <v>581469</v>
      </c>
      <c r="C3257" s="1" t="str">
        <f t="shared" si="2"/>
        <v>Sale</v>
      </c>
      <c r="D3257" s="1">
        <v>21843.0</v>
      </c>
      <c r="E3257" s="1" t="str">
        <f>IFERROR(__xludf.DUMMYFUNCTION("IF(LEN(D3257)&gt;4, IFERROR(REGEXEXTRACT(TO_TEXT(D3257),""\d+""),""""),"""")"),"21843")</f>
        <v>21843</v>
      </c>
      <c r="F3257" s="6" t="str">
        <f t="shared" si="3"/>
        <v>Product</v>
      </c>
      <c r="G3257" s="1" t="s">
        <v>816</v>
      </c>
      <c r="H3257" s="6" t="str">
        <f>IFERROR(__xludf.DUMMYFUNCTION("IF(REGEXMATCH(LOWER(G3257), ""^(\?)+\s*(missing)?\s*(\?)*$""), """", PROPER(SUBSTITUTE(SUBSTITUTE(G3257, ""?"", """"), ""*"", """")))"),"Red Retrospot Cake Stand")</f>
        <v>Red Retrospot Cake Stand</v>
      </c>
      <c r="I3257" s="3">
        <v>1.0</v>
      </c>
      <c r="J3257" s="7">
        <v>40885.811111111114</v>
      </c>
      <c r="K3257" s="8" t="str">
        <f t="shared" si="4"/>
        <v>2011-12</v>
      </c>
      <c r="L3257" s="5">
        <v>10.95</v>
      </c>
      <c r="M3257" s="3">
        <v>14606.0</v>
      </c>
      <c r="N3257" s="1" t="str">
        <f t="shared" si="5"/>
        <v>Registered</v>
      </c>
      <c r="O3257" s="1" t="s">
        <v>19</v>
      </c>
      <c r="P3257" s="9" t="str">
        <f t="shared" si="6"/>
        <v>UK</v>
      </c>
      <c r="Q3257" s="8">
        <f t="shared" si="7"/>
        <v>10.95</v>
      </c>
    </row>
    <row r="3258">
      <c r="A3258" s="1">
        <v>581469.0</v>
      </c>
      <c r="B3258" s="1" t="str">
        <f t="shared" si="1"/>
        <v>581469</v>
      </c>
      <c r="C3258" s="1" t="str">
        <f t="shared" si="2"/>
        <v>Sale</v>
      </c>
      <c r="D3258" s="1">
        <v>21417.0</v>
      </c>
      <c r="E3258" s="1" t="str">
        <f>IFERROR(__xludf.DUMMYFUNCTION("IF(LEN(D3258)&gt;4, IFERROR(REGEXEXTRACT(TO_TEXT(D3258),""\d+""),""""),"""")"),"21417")</f>
        <v>21417</v>
      </c>
      <c r="F3258" s="6" t="str">
        <f t="shared" si="3"/>
        <v>Product</v>
      </c>
      <c r="G3258" s="1" t="s">
        <v>1352</v>
      </c>
      <c r="H3258" s="6" t="str">
        <f>IFERROR(__xludf.DUMMYFUNCTION("IF(REGEXMATCH(LOWER(G3258), ""^(\?)+\s*(missing)?\s*(\?)*$""), """", PROPER(SUBSTITUTE(SUBSTITUTE(G3258, ""?"", """"), ""*"", """")))"),"Cockle Shell Dish")</f>
        <v>Cockle Shell Dish</v>
      </c>
      <c r="I3258" s="3">
        <v>1.0</v>
      </c>
      <c r="J3258" s="7">
        <v>40885.811111111114</v>
      </c>
      <c r="K3258" s="8" t="str">
        <f t="shared" si="4"/>
        <v>2011-12</v>
      </c>
      <c r="L3258" s="5">
        <v>0.79</v>
      </c>
      <c r="M3258" s="3">
        <v>14606.0</v>
      </c>
      <c r="N3258" s="1" t="str">
        <f t="shared" si="5"/>
        <v>Registered</v>
      </c>
      <c r="O3258" s="1" t="s">
        <v>19</v>
      </c>
      <c r="P3258" s="9" t="str">
        <f t="shared" si="6"/>
        <v>UK</v>
      </c>
      <c r="Q3258" s="8">
        <f t="shared" si="7"/>
        <v>0.79</v>
      </c>
    </row>
    <row r="3259">
      <c r="A3259" s="1">
        <v>581469.0</v>
      </c>
      <c r="B3259" s="1" t="str">
        <f t="shared" si="1"/>
        <v>581469</v>
      </c>
      <c r="C3259" s="1" t="str">
        <f t="shared" si="2"/>
        <v>Sale</v>
      </c>
      <c r="D3259" s="1">
        <v>23301.0</v>
      </c>
      <c r="E3259" s="1" t="str">
        <f>IFERROR(__xludf.DUMMYFUNCTION("IF(LEN(D3259)&gt;4, IFERROR(REGEXEXTRACT(TO_TEXT(D3259),""\d+""),""""),"""")"),"23301")</f>
        <v>23301</v>
      </c>
      <c r="F3259" s="6" t="str">
        <f t="shared" si="3"/>
        <v>Product</v>
      </c>
      <c r="G3259" s="1" t="s">
        <v>1542</v>
      </c>
      <c r="H3259" s="6" t="str">
        <f>IFERROR(__xludf.DUMMYFUNCTION("IF(REGEXMATCH(LOWER(G3259), ""^(\?)+\s*(missing)?\s*(\?)*$""), """", PROPER(SUBSTITUTE(SUBSTITUTE(G3259, ""?"", """"), ""*"", """")))"),"Gardeners Kneeling Pad Keep Calm")</f>
        <v>Gardeners Kneeling Pad Keep Calm</v>
      </c>
      <c r="I3259" s="3">
        <v>3.0</v>
      </c>
      <c r="J3259" s="7">
        <v>40885.811111111114</v>
      </c>
      <c r="K3259" s="8" t="str">
        <f t="shared" si="4"/>
        <v>2011-12</v>
      </c>
      <c r="L3259" s="5">
        <v>1.65</v>
      </c>
      <c r="M3259" s="3">
        <v>14606.0</v>
      </c>
      <c r="N3259" s="1" t="str">
        <f t="shared" si="5"/>
        <v>Registered</v>
      </c>
      <c r="O3259" s="1" t="s">
        <v>19</v>
      </c>
      <c r="P3259" s="9" t="str">
        <f t="shared" si="6"/>
        <v>UK</v>
      </c>
      <c r="Q3259" s="8">
        <f t="shared" si="7"/>
        <v>4.95</v>
      </c>
    </row>
    <row r="3260">
      <c r="A3260" s="1">
        <v>581469.0</v>
      </c>
      <c r="B3260" s="1" t="str">
        <f t="shared" si="1"/>
        <v>581469</v>
      </c>
      <c r="C3260" s="1" t="str">
        <f t="shared" si="2"/>
        <v>Sale</v>
      </c>
      <c r="D3260" s="1">
        <v>22543.0</v>
      </c>
      <c r="E3260" s="1" t="str">
        <f>IFERROR(__xludf.DUMMYFUNCTION("IF(LEN(D3260)&gt;4, IFERROR(REGEXEXTRACT(TO_TEXT(D3260),""\d+""),""""),"""")"),"22543")</f>
        <v>22543</v>
      </c>
      <c r="F3260" s="6" t="str">
        <f t="shared" si="3"/>
        <v>Product</v>
      </c>
      <c r="G3260" s="1" t="s">
        <v>1543</v>
      </c>
      <c r="H3260" s="6" t="str">
        <f>IFERROR(__xludf.DUMMYFUNCTION("IF(REGEXMATCH(LOWER(G3260), ""^(\?)+\s*(missing)?\s*(\?)*$""), """", PROPER(SUBSTITUTE(SUBSTITUTE(G3260, ""?"", """"), ""*"", """")))"),"Mini Jigsaw Bake A Cake")</f>
        <v>Mini Jigsaw Bake A Cake</v>
      </c>
      <c r="I3260" s="3">
        <v>1.0</v>
      </c>
      <c r="J3260" s="7">
        <v>40885.811111111114</v>
      </c>
      <c r="K3260" s="8" t="str">
        <f t="shared" si="4"/>
        <v>2011-12</v>
      </c>
      <c r="L3260" s="5">
        <v>0.19</v>
      </c>
      <c r="M3260" s="3">
        <v>14606.0</v>
      </c>
      <c r="N3260" s="1" t="str">
        <f t="shared" si="5"/>
        <v>Registered</v>
      </c>
      <c r="O3260" s="1" t="s">
        <v>19</v>
      </c>
      <c r="P3260" s="9" t="str">
        <f t="shared" si="6"/>
        <v>UK</v>
      </c>
      <c r="Q3260" s="8">
        <f t="shared" si="7"/>
        <v>0.19</v>
      </c>
    </row>
    <row r="3261">
      <c r="A3261" s="1">
        <v>581469.0</v>
      </c>
      <c r="B3261" s="1" t="str">
        <f t="shared" si="1"/>
        <v>581469</v>
      </c>
      <c r="C3261" s="1" t="str">
        <f t="shared" si="2"/>
        <v>Sale</v>
      </c>
      <c r="D3261" s="1">
        <v>22348.0</v>
      </c>
      <c r="E3261" s="1" t="str">
        <f>IFERROR(__xludf.DUMMYFUNCTION("IF(LEN(D3261)&gt;4, IFERROR(REGEXEXTRACT(TO_TEXT(D3261),""\d+""),""""),"""")"),"22348")</f>
        <v>22348</v>
      </c>
      <c r="F3261" s="6" t="str">
        <f t="shared" si="3"/>
        <v>Product</v>
      </c>
      <c r="G3261" s="1" t="s">
        <v>1256</v>
      </c>
      <c r="H3261" s="6" t="str">
        <f>IFERROR(__xludf.DUMMYFUNCTION("IF(REGEXMATCH(LOWER(G3261), ""^(\?)+\s*(missing)?\s*(\?)*$""), """", PROPER(SUBSTITUTE(SUBSTITUTE(G3261, ""?"", """"), ""*"", """")))"),"Tea Bag Plate Red Retrospot")</f>
        <v>Tea Bag Plate Red Retrospot</v>
      </c>
      <c r="I3261" s="3">
        <v>1.0</v>
      </c>
      <c r="J3261" s="7">
        <v>40885.811111111114</v>
      </c>
      <c r="K3261" s="8" t="str">
        <f t="shared" si="4"/>
        <v>2011-12</v>
      </c>
      <c r="L3261" s="5">
        <v>0.85</v>
      </c>
      <c r="M3261" s="3">
        <v>14606.0</v>
      </c>
      <c r="N3261" s="1" t="str">
        <f t="shared" si="5"/>
        <v>Registered</v>
      </c>
      <c r="O3261" s="1" t="s">
        <v>19</v>
      </c>
      <c r="P3261" s="9" t="str">
        <f t="shared" si="6"/>
        <v>UK</v>
      </c>
      <c r="Q3261" s="8">
        <f t="shared" si="7"/>
        <v>0.85</v>
      </c>
    </row>
    <row r="3262">
      <c r="A3262" s="1">
        <v>581469.0</v>
      </c>
      <c r="B3262" s="1" t="str">
        <f t="shared" si="1"/>
        <v>581469</v>
      </c>
      <c r="C3262" s="1" t="str">
        <f t="shared" si="2"/>
        <v>Sale</v>
      </c>
      <c r="D3262" s="1">
        <v>22411.0</v>
      </c>
      <c r="E3262" s="1" t="str">
        <f>IFERROR(__xludf.DUMMYFUNCTION("IF(LEN(D3262)&gt;4, IFERROR(REGEXEXTRACT(TO_TEXT(D3262),""\d+""),""""),"""")"),"22411")</f>
        <v>22411</v>
      </c>
      <c r="F3262" s="6" t="str">
        <f t="shared" si="3"/>
        <v>Product</v>
      </c>
      <c r="G3262" s="1" t="s">
        <v>112</v>
      </c>
      <c r="H3262" s="6" t="str">
        <f>IFERROR(__xludf.DUMMYFUNCTION("IF(REGEXMATCH(LOWER(G3262), ""^(\?)+\s*(missing)?\s*(\?)*$""), """", PROPER(SUBSTITUTE(SUBSTITUTE(G3262, ""?"", """"), ""*"", """")))"),"Jumbo Shopper Vintage Red Paisley")</f>
        <v>Jumbo Shopper Vintage Red Paisley</v>
      </c>
      <c r="I3262" s="3">
        <v>2.0</v>
      </c>
      <c r="J3262" s="7">
        <v>40885.811111111114</v>
      </c>
      <c r="K3262" s="8" t="str">
        <f t="shared" si="4"/>
        <v>2011-12</v>
      </c>
      <c r="L3262" s="5">
        <v>2.08</v>
      </c>
      <c r="M3262" s="3">
        <v>14606.0</v>
      </c>
      <c r="N3262" s="1" t="str">
        <f t="shared" si="5"/>
        <v>Registered</v>
      </c>
      <c r="O3262" s="1" t="s">
        <v>19</v>
      </c>
      <c r="P3262" s="9" t="str">
        <f t="shared" si="6"/>
        <v>UK</v>
      </c>
      <c r="Q3262" s="8">
        <f t="shared" si="7"/>
        <v>4.16</v>
      </c>
    </row>
    <row r="3263">
      <c r="A3263" s="1">
        <v>581469.0</v>
      </c>
      <c r="B3263" s="1" t="str">
        <f t="shared" si="1"/>
        <v>581469</v>
      </c>
      <c r="C3263" s="1" t="str">
        <f t="shared" si="2"/>
        <v>Sale</v>
      </c>
      <c r="D3263" s="1">
        <v>20931.0</v>
      </c>
      <c r="E3263" s="1" t="str">
        <f>IFERROR(__xludf.DUMMYFUNCTION("IF(LEN(D3263)&gt;4, IFERROR(REGEXEXTRACT(TO_TEXT(D3263),""\d+""),""""),"""")"),"20931")</f>
        <v>20931</v>
      </c>
      <c r="F3263" s="6" t="str">
        <f t="shared" si="3"/>
        <v>Product</v>
      </c>
      <c r="G3263" s="1" t="s">
        <v>880</v>
      </c>
      <c r="H3263" s="6" t="str">
        <f>IFERROR(__xludf.DUMMYFUNCTION("IF(REGEXMATCH(LOWER(G3263), ""^(\?)+\s*(missing)?\s*(\?)*$""), """", PROPER(SUBSTITUTE(SUBSTITUTE(G3263, ""?"", """"), ""*"", """")))"),"Blue Pot Plant Candle")</f>
        <v>Blue Pot Plant Candle</v>
      </c>
      <c r="I3263" s="3">
        <v>1.0</v>
      </c>
      <c r="J3263" s="7">
        <v>40885.811111111114</v>
      </c>
      <c r="K3263" s="8" t="str">
        <f t="shared" si="4"/>
        <v>2011-12</v>
      </c>
      <c r="L3263" s="5">
        <v>1.25</v>
      </c>
      <c r="M3263" s="3">
        <v>14606.0</v>
      </c>
      <c r="N3263" s="1" t="str">
        <f t="shared" si="5"/>
        <v>Registered</v>
      </c>
      <c r="O3263" s="1" t="s">
        <v>19</v>
      </c>
      <c r="P3263" s="9" t="str">
        <f t="shared" si="6"/>
        <v>UK</v>
      </c>
      <c r="Q3263" s="8">
        <f t="shared" si="7"/>
        <v>1.25</v>
      </c>
    </row>
    <row r="3264">
      <c r="A3264" s="1">
        <v>581469.0</v>
      </c>
      <c r="B3264" s="1" t="str">
        <f t="shared" si="1"/>
        <v>581469</v>
      </c>
      <c r="C3264" s="1" t="str">
        <f t="shared" si="2"/>
        <v>Sale</v>
      </c>
      <c r="D3264" s="1" t="s">
        <v>25</v>
      </c>
      <c r="E3264" s="1" t="str">
        <f>IFERROR(__xludf.DUMMYFUNCTION("IF(LEN(D3264)&gt;4, IFERROR(REGEXEXTRACT(TO_TEXT(D3264),""\d+""),""""),"""")"),"84029")</f>
        <v>84029</v>
      </c>
      <c r="F3264" s="6" t="str">
        <f t="shared" si="3"/>
        <v>Product</v>
      </c>
      <c r="G3264" s="1" t="s">
        <v>26</v>
      </c>
      <c r="H3264" s="6" t="str">
        <f>IFERROR(__xludf.DUMMYFUNCTION("IF(REGEXMATCH(LOWER(G3264), ""^(\?)+\s*(missing)?\s*(\?)*$""), """", PROPER(SUBSTITUTE(SUBSTITUTE(G3264, ""?"", """"), ""*"", """")))"),"Red Woolly Hottie White Heart.")</f>
        <v>Red Woolly Hottie White Heart.</v>
      </c>
      <c r="I3264" s="3">
        <v>1.0</v>
      </c>
      <c r="J3264" s="7">
        <v>40885.811111111114</v>
      </c>
      <c r="K3264" s="8" t="str">
        <f t="shared" si="4"/>
        <v>2011-12</v>
      </c>
      <c r="L3264" s="5">
        <v>4.25</v>
      </c>
      <c r="M3264" s="3">
        <v>14606.0</v>
      </c>
      <c r="N3264" s="1" t="str">
        <f t="shared" si="5"/>
        <v>Registered</v>
      </c>
      <c r="O3264" s="1" t="s">
        <v>19</v>
      </c>
      <c r="P3264" s="9" t="str">
        <f t="shared" si="6"/>
        <v>UK</v>
      </c>
      <c r="Q3264" s="8">
        <f t="shared" si="7"/>
        <v>4.25</v>
      </c>
    </row>
    <row r="3265">
      <c r="A3265" s="1">
        <v>581469.0</v>
      </c>
      <c r="B3265" s="1" t="str">
        <f t="shared" si="1"/>
        <v>581469</v>
      </c>
      <c r="C3265" s="1" t="str">
        <f t="shared" si="2"/>
        <v>Sale</v>
      </c>
      <c r="D3265" s="1">
        <v>21485.0</v>
      </c>
      <c r="E3265" s="1" t="str">
        <f>IFERROR(__xludf.DUMMYFUNCTION("IF(LEN(D3265)&gt;4, IFERROR(REGEXEXTRACT(TO_TEXT(D3265),""\d+""),""""),"""")"),"21485")</f>
        <v>21485</v>
      </c>
      <c r="F3265" s="6" t="str">
        <f t="shared" si="3"/>
        <v>Product</v>
      </c>
      <c r="G3265" s="1" t="s">
        <v>223</v>
      </c>
      <c r="H3265" s="6" t="str">
        <f>IFERROR(__xludf.DUMMYFUNCTION("IF(REGEXMATCH(LOWER(G3265), ""^(\?)+\s*(missing)?\s*(\?)*$""), """", PROPER(SUBSTITUTE(SUBSTITUTE(G3265, ""?"", """"), ""*"", """")))"),"Retrospot Heart Hot Water Bottle")</f>
        <v>Retrospot Heart Hot Water Bottle</v>
      </c>
      <c r="I3265" s="3">
        <v>1.0</v>
      </c>
      <c r="J3265" s="7">
        <v>40885.811111111114</v>
      </c>
      <c r="K3265" s="8" t="str">
        <f t="shared" si="4"/>
        <v>2011-12</v>
      </c>
      <c r="L3265" s="5">
        <v>4.95</v>
      </c>
      <c r="M3265" s="3">
        <v>14606.0</v>
      </c>
      <c r="N3265" s="1" t="str">
        <f t="shared" si="5"/>
        <v>Registered</v>
      </c>
      <c r="O3265" s="1" t="s">
        <v>19</v>
      </c>
      <c r="P3265" s="9" t="str">
        <f t="shared" si="6"/>
        <v>UK</v>
      </c>
      <c r="Q3265" s="8">
        <f t="shared" si="7"/>
        <v>4.95</v>
      </c>
    </row>
    <row r="3266">
      <c r="A3266" s="1">
        <v>581469.0</v>
      </c>
      <c r="B3266" s="1" t="str">
        <f t="shared" si="1"/>
        <v>581469</v>
      </c>
      <c r="C3266" s="1" t="str">
        <f t="shared" si="2"/>
        <v>Sale</v>
      </c>
      <c r="D3266" s="1">
        <v>22165.0</v>
      </c>
      <c r="E3266" s="1" t="str">
        <f>IFERROR(__xludf.DUMMYFUNCTION("IF(LEN(D3266)&gt;4, IFERROR(REGEXEXTRACT(TO_TEXT(D3266),""\d+""),""""),"""")"),"22165")</f>
        <v>22165</v>
      </c>
      <c r="F3266" s="6" t="str">
        <f t="shared" si="3"/>
        <v>Product</v>
      </c>
      <c r="G3266" s="1" t="s">
        <v>1544</v>
      </c>
      <c r="H3266" s="6" t="str">
        <f>IFERROR(__xludf.DUMMYFUNCTION("IF(REGEXMATCH(LOWER(G3266), ""^(\?)+\s*(missing)?\s*(\?)*$""), """", PROPER(SUBSTITUTE(SUBSTITUTE(G3266, ""?"", """"), ""*"", """")))"),"Diamante Heart Shaped Wall Mirror,")</f>
        <v>Diamante Heart Shaped Wall Mirror,</v>
      </c>
      <c r="I3266" s="3">
        <v>1.0</v>
      </c>
      <c r="J3266" s="7">
        <v>40885.811111111114</v>
      </c>
      <c r="K3266" s="8" t="str">
        <f t="shared" si="4"/>
        <v>2011-12</v>
      </c>
      <c r="L3266" s="5">
        <v>3.95</v>
      </c>
      <c r="M3266" s="3">
        <v>14606.0</v>
      </c>
      <c r="N3266" s="1" t="str">
        <f t="shared" si="5"/>
        <v>Registered</v>
      </c>
      <c r="O3266" s="1" t="s">
        <v>19</v>
      </c>
      <c r="P3266" s="9" t="str">
        <f t="shared" si="6"/>
        <v>UK</v>
      </c>
      <c r="Q3266" s="8">
        <f t="shared" si="7"/>
        <v>3.95</v>
      </c>
    </row>
    <row r="3267">
      <c r="A3267" s="1">
        <v>581469.0</v>
      </c>
      <c r="B3267" s="1" t="str">
        <f t="shared" si="1"/>
        <v>581469</v>
      </c>
      <c r="C3267" s="1" t="str">
        <f t="shared" si="2"/>
        <v>Sale</v>
      </c>
      <c r="D3267" s="1">
        <v>21986.0</v>
      </c>
      <c r="E3267" s="1" t="str">
        <f>IFERROR(__xludf.DUMMYFUNCTION("IF(LEN(D3267)&gt;4, IFERROR(REGEXEXTRACT(TO_TEXT(D3267),""\d+""),""""),"""")"),"21986")</f>
        <v>21986</v>
      </c>
      <c r="F3267" s="6" t="str">
        <f t="shared" si="3"/>
        <v>Product</v>
      </c>
      <c r="G3267" s="1" t="s">
        <v>483</v>
      </c>
      <c r="H3267" s="6" t="str">
        <f>IFERROR(__xludf.DUMMYFUNCTION("IF(REGEXMATCH(LOWER(G3267), ""^(\?)+\s*(missing)?\s*(\?)*$""), """", PROPER(SUBSTITUTE(SUBSTITUTE(G3267, ""?"", """"), ""*"", """")))"),"Pack Of 12 Pink Polkadot Tissues")</f>
        <v>Pack Of 12 Pink Polkadot Tissues</v>
      </c>
      <c r="I3267" s="3">
        <v>1.0</v>
      </c>
      <c r="J3267" s="7">
        <v>40885.811111111114</v>
      </c>
      <c r="K3267" s="8" t="str">
        <f t="shared" si="4"/>
        <v>2011-12</v>
      </c>
      <c r="L3267" s="5">
        <v>0.39</v>
      </c>
      <c r="M3267" s="3">
        <v>14606.0</v>
      </c>
      <c r="N3267" s="1" t="str">
        <f t="shared" si="5"/>
        <v>Registered</v>
      </c>
      <c r="O3267" s="1" t="s">
        <v>19</v>
      </c>
      <c r="P3267" s="9" t="str">
        <f t="shared" si="6"/>
        <v>UK</v>
      </c>
      <c r="Q3267" s="8">
        <f t="shared" si="7"/>
        <v>0.39</v>
      </c>
    </row>
    <row r="3268">
      <c r="A3268" s="1">
        <v>581469.0</v>
      </c>
      <c r="B3268" s="1" t="str">
        <f t="shared" si="1"/>
        <v>581469</v>
      </c>
      <c r="C3268" s="1" t="str">
        <f t="shared" si="2"/>
        <v>Sale</v>
      </c>
      <c r="D3268" s="1">
        <v>22087.0</v>
      </c>
      <c r="E3268" s="1" t="str">
        <f>IFERROR(__xludf.DUMMYFUNCTION("IF(LEN(D3268)&gt;4, IFERROR(REGEXEXTRACT(TO_TEXT(D3268),""\d+""),""""),"""")"),"22087")</f>
        <v>22087</v>
      </c>
      <c r="F3268" s="6" t="str">
        <f t="shared" si="3"/>
        <v>Product</v>
      </c>
      <c r="G3268" s="1" t="s">
        <v>626</v>
      </c>
      <c r="H3268" s="6" t="str">
        <f>IFERROR(__xludf.DUMMYFUNCTION("IF(REGEXMATCH(LOWER(G3268), ""^(\?)+\s*(missing)?\s*(\?)*$""), """", PROPER(SUBSTITUTE(SUBSTITUTE(G3268, ""?"", """"), ""*"", """")))"),"Paper Bunting White Lace")</f>
        <v>Paper Bunting White Lace</v>
      </c>
      <c r="I3268" s="3">
        <v>6.0</v>
      </c>
      <c r="J3268" s="7">
        <v>40885.811111111114</v>
      </c>
      <c r="K3268" s="8" t="str">
        <f t="shared" si="4"/>
        <v>2011-12</v>
      </c>
      <c r="L3268" s="5">
        <v>2.95</v>
      </c>
      <c r="M3268" s="3">
        <v>14606.0</v>
      </c>
      <c r="N3268" s="1" t="str">
        <f t="shared" si="5"/>
        <v>Registered</v>
      </c>
      <c r="O3268" s="1" t="s">
        <v>19</v>
      </c>
      <c r="P3268" s="9" t="str">
        <f t="shared" si="6"/>
        <v>UK</v>
      </c>
      <c r="Q3268" s="8">
        <f t="shared" si="7"/>
        <v>17.7</v>
      </c>
    </row>
    <row r="3269">
      <c r="A3269" s="1">
        <v>581469.0</v>
      </c>
      <c r="B3269" s="1" t="str">
        <f t="shared" si="1"/>
        <v>581469</v>
      </c>
      <c r="C3269" s="1" t="str">
        <f t="shared" si="2"/>
        <v>Sale</v>
      </c>
      <c r="D3269" s="1">
        <v>22320.0</v>
      </c>
      <c r="E3269" s="1" t="str">
        <f>IFERROR(__xludf.DUMMYFUNCTION("IF(LEN(D3269)&gt;4, IFERROR(REGEXEXTRACT(TO_TEXT(D3269),""\d+""),""""),"""")"),"22320")</f>
        <v>22320</v>
      </c>
      <c r="F3269" s="6" t="str">
        <f t="shared" si="3"/>
        <v>Product</v>
      </c>
      <c r="G3269" s="1" t="s">
        <v>1545</v>
      </c>
      <c r="H3269" s="6" t="str">
        <f>IFERROR(__xludf.DUMMYFUNCTION("IF(REGEXMATCH(LOWER(G3269), ""^(\?)+\s*(missing)?\s*(\?)*$""), """", PROPER(SUBSTITUTE(SUBSTITUTE(G3269, ""?"", """"), ""*"", """")))"),"Birds Mobile Vintage Design")</f>
        <v>Birds Mobile Vintage Design</v>
      </c>
      <c r="I3269" s="3">
        <v>1.0</v>
      </c>
      <c r="J3269" s="7">
        <v>40885.811111111114</v>
      </c>
      <c r="K3269" s="8" t="str">
        <f t="shared" si="4"/>
        <v>2011-12</v>
      </c>
      <c r="L3269" s="5">
        <v>5.95</v>
      </c>
      <c r="M3269" s="3">
        <v>14606.0</v>
      </c>
      <c r="N3269" s="1" t="str">
        <f t="shared" si="5"/>
        <v>Registered</v>
      </c>
      <c r="O3269" s="1" t="s">
        <v>19</v>
      </c>
      <c r="P3269" s="9" t="str">
        <f t="shared" si="6"/>
        <v>UK</v>
      </c>
      <c r="Q3269" s="8">
        <f t="shared" si="7"/>
        <v>5.95</v>
      </c>
    </row>
    <row r="3270">
      <c r="A3270" s="1" t="s">
        <v>1546</v>
      </c>
      <c r="B3270" s="1" t="str">
        <f t="shared" si="1"/>
        <v>581470</v>
      </c>
      <c r="C3270" s="1" t="str">
        <f t="shared" si="2"/>
        <v>Return</v>
      </c>
      <c r="D3270" s="1">
        <v>23084.0</v>
      </c>
      <c r="E3270" s="1" t="str">
        <f>IFERROR(__xludf.DUMMYFUNCTION("IF(LEN(D3270)&gt;4, IFERROR(REGEXEXTRACT(TO_TEXT(D3270),""\d+""),""""),"""")"),"23084")</f>
        <v>23084</v>
      </c>
      <c r="F3270" s="6" t="str">
        <f t="shared" si="3"/>
        <v>Product</v>
      </c>
      <c r="G3270" s="1" t="s">
        <v>1473</v>
      </c>
      <c r="H3270" s="6" t="str">
        <f>IFERROR(__xludf.DUMMYFUNCTION("IF(REGEXMATCH(LOWER(G3270), ""^(\?)+\s*(missing)?\s*(\?)*$""), """", PROPER(SUBSTITUTE(SUBSTITUTE(G3270, ""?"", """"), ""*"", """")))"),"Rabbit Night Light")</f>
        <v>Rabbit Night Light</v>
      </c>
      <c r="I3270" s="3">
        <v>-4.0</v>
      </c>
      <c r="J3270" s="7">
        <v>40885.811111111114</v>
      </c>
      <c r="K3270" s="8" t="str">
        <f t="shared" si="4"/>
        <v>2011-12</v>
      </c>
      <c r="L3270" s="5">
        <v>2.08</v>
      </c>
      <c r="M3270" s="3">
        <v>17924.0</v>
      </c>
      <c r="N3270" s="1" t="str">
        <f t="shared" si="5"/>
        <v>Registered</v>
      </c>
      <c r="O3270" s="1" t="s">
        <v>19</v>
      </c>
      <c r="P3270" s="9" t="str">
        <f t="shared" si="6"/>
        <v>UK</v>
      </c>
      <c r="Q3270" s="8">
        <f t="shared" si="7"/>
        <v>-8.32</v>
      </c>
    </row>
    <row r="3271">
      <c r="A3271" s="1">
        <v>581471.0</v>
      </c>
      <c r="B3271" s="1" t="str">
        <f t="shared" si="1"/>
        <v>581471</v>
      </c>
      <c r="C3271" s="1" t="str">
        <f t="shared" si="2"/>
        <v>Sale</v>
      </c>
      <c r="D3271" s="1">
        <v>48187.0</v>
      </c>
      <c r="E3271" s="1" t="str">
        <f>IFERROR(__xludf.DUMMYFUNCTION("IF(LEN(D3271)&gt;4, IFERROR(REGEXEXTRACT(TO_TEXT(D3271),""\d+""),""""),"""")"),"48187")</f>
        <v>48187</v>
      </c>
      <c r="F3271" s="6" t="str">
        <f t="shared" si="3"/>
        <v>Product</v>
      </c>
      <c r="G3271" s="1" t="s">
        <v>42</v>
      </c>
      <c r="H3271" s="6" t="str">
        <f>IFERROR(__xludf.DUMMYFUNCTION("IF(REGEXMATCH(LOWER(G3271), ""^(\?)+\s*(missing)?\s*(\?)*$""), """", PROPER(SUBSTITUTE(SUBSTITUTE(G3271, ""?"", """"), ""*"", """")))"),"Doormat New England")</f>
        <v>Doormat New England</v>
      </c>
      <c r="I3271" s="3">
        <v>1.0</v>
      </c>
      <c r="J3271" s="7">
        <v>40885.81180555555</v>
      </c>
      <c r="K3271" s="8" t="str">
        <f t="shared" si="4"/>
        <v>2011-12</v>
      </c>
      <c r="L3271" s="5">
        <v>8.25</v>
      </c>
      <c r="M3271" s="3">
        <v>14702.0</v>
      </c>
      <c r="N3271" s="1" t="str">
        <f t="shared" si="5"/>
        <v>Registered</v>
      </c>
      <c r="O3271" s="1" t="s">
        <v>19</v>
      </c>
      <c r="P3271" s="9" t="str">
        <f t="shared" si="6"/>
        <v>UK</v>
      </c>
      <c r="Q3271" s="8">
        <f t="shared" si="7"/>
        <v>8.25</v>
      </c>
    </row>
    <row r="3272">
      <c r="A3272" s="1">
        <v>581471.0</v>
      </c>
      <c r="B3272" s="1" t="str">
        <f t="shared" si="1"/>
        <v>581471</v>
      </c>
      <c r="C3272" s="1" t="str">
        <f t="shared" si="2"/>
        <v>Sale</v>
      </c>
      <c r="D3272" s="1">
        <v>48194.0</v>
      </c>
      <c r="E3272" s="1" t="str">
        <f>IFERROR(__xludf.DUMMYFUNCTION("IF(LEN(D3272)&gt;4, IFERROR(REGEXEXTRACT(TO_TEXT(D3272),""\d+""),""""),"""")"),"48194")</f>
        <v>48194</v>
      </c>
      <c r="F3272" s="6" t="str">
        <f t="shared" si="3"/>
        <v>Product</v>
      </c>
      <c r="G3272" s="1" t="s">
        <v>375</v>
      </c>
      <c r="H3272" s="6" t="str">
        <f>IFERROR(__xludf.DUMMYFUNCTION("IF(REGEXMATCH(LOWER(G3272), ""^(\?)+\s*(missing)?\s*(\?)*$""), """", PROPER(SUBSTITUTE(SUBSTITUTE(G3272, ""?"", """"), ""*"", """")))"),"Doormat Hearts")</f>
        <v>Doormat Hearts</v>
      </c>
      <c r="I3272" s="3">
        <v>1.0</v>
      </c>
      <c r="J3272" s="7">
        <v>40885.81180555555</v>
      </c>
      <c r="K3272" s="8" t="str">
        <f t="shared" si="4"/>
        <v>2011-12</v>
      </c>
      <c r="L3272" s="5">
        <v>8.25</v>
      </c>
      <c r="M3272" s="3">
        <v>14702.0</v>
      </c>
      <c r="N3272" s="1" t="str">
        <f t="shared" si="5"/>
        <v>Registered</v>
      </c>
      <c r="O3272" s="1" t="s">
        <v>19</v>
      </c>
      <c r="P3272" s="9" t="str">
        <f t="shared" si="6"/>
        <v>UK</v>
      </c>
      <c r="Q3272" s="8">
        <f t="shared" si="7"/>
        <v>8.25</v>
      </c>
    </row>
    <row r="3273">
      <c r="A3273" s="1">
        <v>581471.0</v>
      </c>
      <c r="B3273" s="1" t="str">
        <f t="shared" si="1"/>
        <v>581471</v>
      </c>
      <c r="C3273" s="1" t="str">
        <f t="shared" si="2"/>
        <v>Sale</v>
      </c>
      <c r="D3273" s="1">
        <v>48138.0</v>
      </c>
      <c r="E3273" s="1" t="str">
        <f>IFERROR(__xludf.DUMMYFUNCTION("IF(LEN(D3273)&gt;4, IFERROR(REGEXEXTRACT(TO_TEXT(D3273),""\d+""),""""),"""")"),"48138")</f>
        <v>48138</v>
      </c>
      <c r="F3273" s="6" t="str">
        <f t="shared" si="3"/>
        <v>Product</v>
      </c>
      <c r="G3273" s="1" t="s">
        <v>1372</v>
      </c>
      <c r="H3273" s="6" t="str">
        <f>IFERROR(__xludf.DUMMYFUNCTION("IF(REGEXMATCH(LOWER(G3273), ""^(\?)+\s*(missing)?\s*(\?)*$""), """", PROPER(SUBSTITUTE(SUBSTITUTE(G3273, ""?"", """"), ""*"", """")))"),"Doormat Union Flag")</f>
        <v>Doormat Union Flag</v>
      </c>
      <c r="I3273" s="3">
        <v>1.0</v>
      </c>
      <c r="J3273" s="7">
        <v>40885.81180555555</v>
      </c>
      <c r="K3273" s="8" t="str">
        <f t="shared" si="4"/>
        <v>2011-12</v>
      </c>
      <c r="L3273" s="5">
        <v>8.25</v>
      </c>
      <c r="M3273" s="3">
        <v>14702.0</v>
      </c>
      <c r="N3273" s="1" t="str">
        <f t="shared" si="5"/>
        <v>Registered</v>
      </c>
      <c r="O3273" s="1" t="s">
        <v>19</v>
      </c>
      <c r="P3273" s="9" t="str">
        <f t="shared" si="6"/>
        <v>UK</v>
      </c>
      <c r="Q3273" s="8">
        <f t="shared" si="7"/>
        <v>8.25</v>
      </c>
    </row>
    <row r="3274">
      <c r="A3274" s="1">
        <v>581471.0</v>
      </c>
      <c r="B3274" s="1" t="str">
        <f t="shared" si="1"/>
        <v>581471</v>
      </c>
      <c r="C3274" s="1" t="str">
        <f t="shared" si="2"/>
        <v>Sale</v>
      </c>
      <c r="D3274" s="1">
        <v>20685.0</v>
      </c>
      <c r="E3274" s="1" t="str">
        <f>IFERROR(__xludf.DUMMYFUNCTION("IF(LEN(D3274)&gt;4, IFERROR(REGEXEXTRACT(TO_TEXT(D3274),""\d+""),""""),"""")"),"20685")</f>
        <v>20685</v>
      </c>
      <c r="F3274" s="6" t="str">
        <f t="shared" si="3"/>
        <v>Product</v>
      </c>
      <c r="G3274" s="1" t="s">
        <v>374</v>
      </c>
      <c r="H3274" s="6" t="str">
        <f>IFERROR(__xludf.DUMMYFUNCTION("IF(REGEXMATCH(LOWER(G3274), ""^(\?)+\s*(missing)?\s*(\?)*$""), """", PROPER(SUBSTITUTE(SUBSTITUTE(G3274, ""?"", """"), ""*"", """")))"),"Doormat Red Retrospot")</f>
        <v>Doormat Red Retrospot</v>
      </c>
      <c r="I3274" s="3">
        <v>1.0</v>
      </c>
      <c r="J3274" s="7">
        <v>40885.81180555555</v>
      </c>
      <c r="K3274" s="8" t="str">
        <f t="shared" si="4"/>
        <v>2011-12</v>
      </c>
      <c r="L3274" s="5">
        <v>8.25</v>
      </c>
      <c r="M3274" s="3">
        <v>14702.0</v>
      </c>
      <c r="N3274" s="1" t="str">
        <f t="shared" si="5"/>
        <v>Registered</v>
      </c>
      <c r="O3274" s="1" t="s">
        <v>19</v>
      </c>
      <c r="P3274" s="9" t="str">
        <f t="shared" si="6"/>
        <v>UK</v>
      </c>
      <c r="Q3274" s="8">
        <f t="shared" si="7"/>
        <v>8.25</v>
      </c>
    </row>
    <row r="3275">
      <c r="A3275" s="1">
        <v>581471.0</v>
      </c>
      <c r="B3275" s="1" t="str">
        <f t="shared" si="1"/>
        <v>581471</v>
      </c>
      <c r="C3275" s="1" t="str">
        <f t="shared" si="2"/>
        <v>Sale</v>
      </c>
      <c r="D3275" s="1">
        <v>48185.0</v>
      </c>
      <c r="E3275" s="1" t="str">
        <f>IFERROR(__xludf.DUMMYFUNCTION("IF(LEN(D3275)&gt;4, IFERROR(REGEXEXTRACT(TO_TEXT(D3275),""\d+""),""""),"""")"),"48185")</f>
        <v>48185</v>
      </c>
      <c r="F3275" s="6" t="str">
        <f t="shared" si="3"/>
        <v>Product</v>
      </c>
      <c r="G3275" s="1" t="s">
        <v>263</v>
      </c>
      <c r="H3275" s="6" t="str">
        <f>IFERROR(__xludf.DUMMYFUNCTION("IF(REGEXMATCH(LOWER(G3275), ""^(\?)+\s*(missing)?\s*(\?)*$""), """", PROPER(SUBSTITUTE(SUBSTITUTE(G3275, ""?"", """"), ""*"", """")))"),"Doormat Fairy Cake")</f>
        <v>Doormat Fairy Cake</v>
      </c>
      <c r="I3275" s="3">
        <v>1.0</v>
      </c>
      <c r="J3275" s="7">
        <v>40885.81180555555</v>
      </c>
      <c r="K3275" s="8" t="str">
        <f t="shared" si="4"/>
        <v>2011-12</v>
      </c>
      <c r="L3275" s="5">
        <v>8.25</v>
      </c>
      <c r="M3275" s="3">
        <v>14702.0</v>
      </c>
      <c r="N3275" s="1" t="str">
        <f t="shared" si="5"/>
        <v>Registered</v>
      </c>
      <c r="O3275" s="1" t="s">
        <v>19</v>
      </c>
      <c r="P3275" s="9" t="str">
        <f t="shared" si="6"/>
        <v>UK</v>
      </c>
      <c r="Q3275" s="8">
        <f t="shared" si="7"/>
        <v>8.25</v>
      </c>
    </row>
    <row r="3276">
      <c r="A3276" s="1">
        <v>581471.0</v>
      </c>
      <c r="B3276" s="1" t="str">
        <f t="shared" si="1"/>
        <v>581471</v>
      </c>
      <c r="C3276" s="1" t="str">
        <f t="shared" si="2"/>
        <v>Sale</v>
      </c>
      <c r="D3276" s="1">
        <v>48184.0</v>
      </c>
      <c r="E3276" s="1" t="str">
        <f>IFERROR(__xludf.DUMMYFUNCTION("IF(LEN(D3276)&gt;4, IFERROR(REGEXEXTRACT(TO_TEXT(D3276),""\d+""),""""),"""")"),"48184")</f>
        <v>48184</v>
      </c>
      <c r="F3276" s="6" t="str">
        <f t="shared" si="3"/>
        <v>Product</v>
      </c>
      <c r="G3276" s="1" t="s">
        <v>1179</v>
      </c>
      <c r="H3276" s="6" t="str">
        <f>IFERROR(__xludf.DUMMYFUNCTION("IF(REGEXMATCH(LOWER(G3276), ""^(\?)+\s*(missing)?\s*(\?)*$""), """", PROPER(SUBSTITUTE(SUBSTITUTE(G3276, ""?"", """"), ""*"", """")))"),"Doormat English Rose")</f>
        <v>Doormat English Rose</v>
      </c>
      <c r="I3276" s="3">
        <v>1.0</v>
      </c>
      <c r="J3276" s="7">
        <v>40885.81180555555</v>
      </c>
      <c r="K3276" s="8" t="str">
        <f t="shared" si="4"/>
        <v>2011-12</v>
      </c>
      <c r="L3276" s="5">
        <v>8.25</v>
      </c>
      <c r="M3276" s="3">
        <v>14702.0</v>
      </c>
      <c r="N3276" s="1" t="str">
        <f t="shared" si="5"/>
        <v>Registered</v>
      </c>
      <c r="O3276" s="1" t="s">
        <v>19</v>
      </c>
      <c r="P3276" s="9" t="str">
        <f t="shared" si="6"/>
        <v>UK</v>
      </c>
      <c r="Q3276" s="8">
        <f t="shared" si="7"/>
        <v>8.25</v>
      </c>
    </row>
    <row r="3277">
      <c r="A3277" s="1">
        <v>581471.0</v>
      </c>
      <c r="B3277" s="1" t="str">
        <f t="shared" si="1"/>
        <v>581471</v>
      </c>
      <c r="C3277" s="1" t="str">
        <f t="shared" si="2"/>
        <v>Sale</v>
      </c>
      <c r="D3277" s="1">
        <v>23283.0</v>
      </c>
      <c r="E3277" s="1" t="str">
        <f>IFERROR(__xludf.DUMMYFUNCTION("IF(LEN(D3277)&gt;4, IFERROR(REGEXEXTRACT(TO_TEXT(D3277),""\d+""),""""),"""")"),"23283")</f>
        <v>23283</v>
      </c>
      <c r="F3277" s="6" t="str">
        <f t="shared" si="3"/>
        <v>Product</v>
      </c>
      <c r="G3277" s="1" t="s">
        <v>1547</v>
      </c>
      <c r="H3277" s="6" t="str">
        <f>IFERROR(__xludf.DUMMYFUNCTION("IF(REGEXMATCH(LOWER(G3277), ""^(\?)+\s*(missing)?\s*(\?)*$""), """", PROPER(SUBSTITUTE(SUBSTITUTE(G3277, ""?"", """"), ""*"", """")))"),"Doormat Vintage Leaf")</f>
        <v>Doormat Vintage Leaf</v>
      </c>
      <c r="I3277" s="3">
        <v>1.0</v>
      </c>
      <c r="J3277" s="7">
        <v>40885.81180555555</v>
      </c>
      <c r="K3277" s="8" t="str">
        <f t="shared" si="4"/>
        <v>2011-12</v>
      </c>
      <c r="L3277" s="5">
        <v>8.25</v>
      </c>
      <c r="M3277" s="3">
        <v>14702.0</v>
      </c>
      <c r="N3277" s="1" t="str">
        <f t="shared" si="5"/>
        <v>Registered</v>
      </c>
      <c r="O3277" s="1" t="s">
        <v>19</v>
      </c>
      <c r="P3277" s="9" t="str">
        <f t="shared" si="6"/>
        <v>UK</v>
      </c>
      <c r="Q3277" s="8">
        <f t="shared" si="7"/>
        <v>8.25</v>
      </c>
    </row>
    <row r="3278">
      <c r="A3278" s="1">
        <v>581471.0</v>
      </c>
      <c r="B3278" s="1" t="str">
        <f t="shared" si="1"/>
        <v>581471</v>
      </c>
      <c r="C3278" s="1" t="str">
        <f t="shared" si="2"/>
        <v>Sale</v>
      </c>
      <c r="D3278" s="1">
        <v>21524.0</v>
      </c>
      <c r="E3278" s="1" t="str">
        <f>IFERROR(__xludf.DUMMYFUNCTION("IF(LEN(D3278)&gt;4, IFERROR(REGEXEXTRACT(TO_TEXT(D3278),""\d+""),""""),"""")"),"21524")</f>
        <v>21524</v>
      </c>
      <c r="F3278" s="6" t="str">
        <f t="shared" si="3"/>
        <v>Product</v>
      </c>
      <c r="G3278" s="1" t="s">
        <v>1548</v>
      </c>
      <c r="H3278" s="6" t="str">
        <f>IFERROR(__xludf.DUMMYFUNCTION("IF(REGEXMATCH(LOWER(G3278), ""^(\?)+\s*(missing)?\s*(\?)*$""), """", PROPER(SUBSTITUTE(SUBSTITUTE(G3278, ""?"", """"), ""*"", """")))"),"Doormat Spotty Home Sweet Home")</f>
        <v>Doormat Spotty Home Sweet Home</v>
      </c>
      <c r="I3278" s="3">
        <v>1.0</v>
      </c>
      <c r="J3278" s="7">
        <v>40885.81180555555</v>
      </c>
      <c r="K3278" s="8" t="str">
        <f t="shared" si="4"/>
        <v>2011-12</v>
      </c>
      <c r="L3278" s="5">
        <v>8.25</v>
      </c>
      <c r="M3278" s="3">
        <v>14702.0</v>
      </c>
      <c r="N3278" s="1" t="str">
        <f t="shared" si="5"/>
        <v>Registered</v>
      </c>
      <c r="O3278" s="1" t="s">
        <v>19</v>
      </c>
      <c r="P3278" s="9" t="str">
        <f t="shared" si="6"/>
        <v>UK</v>
      </c>
      <c r="Q3278" s="8">
        <f t="shared" si="7"/>
        <v>8.25</v>
      </c>
    </row>
    <row r="3279">
      <c r="A3279" s="1">
        <v>581471.0</v>
      </c>
      <c r="B3279" s="1" t="str">
        <f t="shared" si="1"/>
        <v>581471</v>
      </c>
      <c r="C3279" s="1" t="str">
        <f t="shared" si="2"/>
        <v>Sale</v>
      </c>
      <c r="D3279" s="1">
        <v>22690.0</v>
      </c>
      <c r="E3279" s="1" t="str">
        <f>IFERROR(__xludf.DUMMYFUNCTION("IF(LEN(D3279)&gt;4, IFERROR(REGEXEXTRACT(TO_TEXT(D3279),""\d+""),""""),"""")"),"22690")</f>
        <v>22690</v>
      </c>
      <c r="F3279" s="6" t="str">
        <f t="shared" si="3"/>
        <v>Product</v>
      </c>
      <c r="G3279" s="1" t="s">
        <v>799</v>
      </c>
      <c r="H3279" s="6" t="str">
        <f>IFERROR(__xludf.DUMMYFUNCTION("IF(REGEXMATCH(LOWER(G3279), ""^(\?)+\s*(missing)?\s*(\?)*$""), """", PROPER(SUBSTITUTE(SUBSTITUTE(G3279, ""?"", """"), ""*"", """")))"),"Doormat Home Sweet Home Blue")</f>
        <v>Doormat Home Sweet Home Blue</v>
      </c>
      <c r="I3279" s="3">
        <v>1.0</v>
      </c>
      <c r="J3279" s="7">
        <v>40885.81180555555</v>
      </c>
      <c r="K3279" s="8" t="str">
        <f t="shared" si="4"/>
        <v>2011-12</v>
      </c>
      <c r="L3279" s="5">
        <v>8.25</v>
      </c>
      <c r="M3279" s="3">
        <v>14702.0</v>
      </c>
      <c r="N3279" s="1" t="str">
        <f t="shared" si="5"/>
        <v>Registered</v>
      </c>
      <c r="O3279" s="1" t="s">
        <v>19</v>
      </c>
      <c r="P3279" s="9" t="str">
        <f t="shared" si="6"/>
        <v>UK</v>
      </c>
      <c r="Q3279" s="8">
        <f t="shared" si="7"/>
        <v>8.25</v>
      </c>
    </row>
    <row r="3280">
      <c r="A3280" s="1">
        <v>581471.0</v>
      </c>
      <c r="B3280" s="1" t="str">
        <f t="shared" si="1"/>
        <v>581471</v>
      </c>
      <c r="C3280" s="1" t="str">
        <f t="shared" si="2"/>
        <v>Sale</v>
      </c>
      <c r="D3280" s="1">
        <v>22624.0</v>
      </c>
      <c r="E3280" s="1" t="str">
        <f>IFERROR(__xludf.DUMMYFUNCTION("IF(LEN(D3280)&gt;4, IFERROR(REGEXEXTRACT(TO_TEXT(D3280),""\d+""),""""),"""")"),"22624")</f>
        <v>22624</v>
      </c>
      <c r="F3280" s="6" t="str">
        <f t="shared" si="3"/>
        <v>Product</v>
      </c>
      <c r="G3280" s="1" t="s">
        <v>771</v>
      </c>
      <c r="H3280" s="6" t="str">
        <f>IFERROR(__xludf.DUMMYFUNCTION("IF(REGEXMATCH(LOWER(G3280), ""^(\?)+\s*(missing)?\s*(\?)*$""), """", PROPER(SUBSTITUTE(SUBSTITUTE(G3280, ""?"", """"), ""*"", """")))"),"Ivory Kitchen Scales")</f>
        <v>Ivory Kitchen Scales</v>
      </c>
      <c r="I3280" s="3">
        <v>1.0</v>
      </c>
      <c r="J3280" s="7">
        <v>40885.81180555555</v>
      </c>
      <c r="K3280" s="8" t="str">
        <f t="shared" si="4"/>
        <v>2011-12</v>
      </c>
      <c r="L3280" s="5">
        <v>8.5</v>
      </c>
      <c r="M3280" s="3">
        <v>14702.0</v>
      </c>
      <c r="N3280" s="1" t="str">
        <f t="shared" si="5"/>
        <v>Registered</v>
      </c>
      <c r="O3280" s="1" t="s">
        <v>19</v>
      </c>
      <c r="P3280" s="9" t="str">
        <f t="shared" si="6"/>
        <v>UK</v>
      </c>
      <c r="Q3280" s="8">
        <f t="shared" si="7"/>
        <v>8.5</v>
      </c>
    </row>
    <row r="3281">
      <c r="A3281" s="1">
        <v>581471.0</v>
      </c>
      <c r="B3281" s="1" t="str">
        <f t="shared" si="1"/>
        <v>581471</v>
      </c>
      <c r="C3281" s="1" t="str">
        <f t="shared" si="2"/>
        <v>Sale</v>
      </c>
      <c r="D3281" s="1">
        <v>21411.0</v>
      </c>
      <c r="E3281" s="1" t="str">
        <f>IFERROR(__xludf.DUMMYFUNCTION("IF(LEN(D3281)&gt;4, IFERROR(REGEXEXTRACT(TO_TEXT(D3281),""\d+""),""""),"""")"),"21411")</f>
        <v>21411</v>
      </c>
      <c r="F3281" s="6" t="str">
        <f t="shared" si="3"/>
        <v>Product</v>
      </c>
      <c r="G3281" s="1" t="s">
        <v>188</v>
      </c>
      <c r="H3281" s="6" t="str">
        <f>IFERROR(__xludf.DUMMYFUNCTION("IF(REGEXMATCH(LOWER(G3281), ""^(\?)+\s*(missing)?\s*(\?)*$""), """", PROPER(SUBSTITUTE(SUBSTITUTE(G3281, ""?"", """"), ""*"", """")))"),"Gingham Heart Doorstop Red")</f>
        <v>Gingham Heart Doorstop Red</v>
      </c>
      <c r="I3281" s="3">
        <v>2.0</v>
      </c>
      <c r="J3281" s="7">
        <v>40885.81180555555</v>
      </c>
      <c r="K3281" s="8" t="str">
        <f t="shared" si="4"/>
        <v>2011-12</v>
      </c>
      <c r="L3281" s="5">
        <v>1.95</v>
      </c>
      <c r="M3281" s="3">
        <v>14702.0</v>
      </c>
      <c r="N3281" s="1" t="str">
        <f t="shared" si="5"/>
        <v>Registered</v>
      </c>
      <c r="O3281" s="1" t="s">
        <v>19</v>
      </c>
      <c r="P3281" s="9" t="str">
        <f t="shared" si="6"/>
        <v>UK</v>
      </c>
      <c r="Q3281" s="8">
        <f t="shared" si="7"/>
        <v>3.9</v>
      </c>
    </row>
    <row r="3282">
      <c r="A3282" s="1">
        <v>581471.0</v>
      </c>
      <c r="B3282" s="1" t="str">
        <f t="shared" si="1"/>
        <v>581471</v>
      </c>
      <c r="C3282" s="1" t="str">
        <f t="shared" si="2"/>
        <v>Sale</v>
      </c>
      <c r="D3282" s="1">
        <v>22816.0</v>
      </c>
      <c r="E3282" s="1" t="str">
        <f>IFERROR(__xludf.DUMMYFUNCTION("IF(LEN(D3282)&gt;4, IFERROR(REGEXEXTRACT(TO_TEXT(D3282),""\d+""),""""),"""")"),"22816")</f>
        <v>22816</v>
      </c>
      <c r="F3282" s="6" t="str">
        <f t="shared" si="3"/>
        <v>Product</v>
      </c>
      <c r="G3282" s="1" t="s">
        <v>1549</v>
      </c>
      <c r="H3282" s="6" t="str">
        <f>IFERROR(__xludf.DUMMYFUNCTION("IF(REGEXMATCH(LOWER(G3282), ""^(\?)+\s*(missing)?\s*(\?)*$""), """", PROPER(SUBSTITUTE(SUBSTITUTE(G3282, ""?"", """"), ""*"", """")))"),"Card Motorbike Santa")</f>
        <v>Card Motorbike Santa</v>
      </c>
      <c r="I3282" s="3">
        <v>12.0</v>
      </c>
      <c r="J3282" s="7">
        <v>40885.81180555555</v>
      </c>
      <c r="K3282" s="8" t="str">
        <f t="shared" si="4"/>
        <v>2011-12</v>
      </c>
      <c r="L3282" s="5">
        <v>0.42</v>
      </c>
      <c r="M3282" s="3">
        <v>14702.0</v>
      </c>
      <c r="N3282" s="1" t="str">
        <f t="shared" si="5"/>
        <v>Registered</v>
      </c>
      <c r="O3282" s="1" t="s">
        <v>19</v>
      </c>
      <c r="P3282" s="9" t="str">
        <f t="shared" si="6"/>
        <v>UK</v>
      </c>
      <c r="Q3282" s="8">
        <f t="shared" si="7"/>
        <v>5.04</v>
      </c>
    </row>
    <row r="3283">
      <c r="A3283" s="1">
        <v>581471.0</v>
      </c>
      <c r="B3283" s="1" t="str">
        <f t="shared" si="1"/>
        <v>581471</v>
      </c>
      <c r="C3283" s="1" t="str">
        <f t="shared" si="2"/>
        <v>Sale</v>
      </c>
      <c r="D3283" s="1">
        <v>22818.0</v>
      </c>
      <c r="E3283" s="1" t="str">
        <f>IFERROR(__xludf.DUMMYFUNCTION("IF(LEN(D3283)&gt;4, IFERROR(REGEXEXTRACT(TO_TEXT(D3283),""\d+""),""""),"""")"),"22818")</f>
        <v>22818</v>
      </c>
      <c r="F3283" s="6" t="str">
        <f t="shared" si="3"/>
        <v>Product</v>
      </c>
      <c r="G3283" s="1" t="s">
        <v>1550</v>
      </c>
      <c r="H3283" s="6" t="str">
        <f>IFERROR(__xludf.DUMMYFUNCTION("IF(REGEXMATCH(LOWER(G3283), ""^(\?)+\s*(missing)?\s*(\?)*$""), """", PROPER(SUBSTITUTE(SUBSTITUTE(G3283, ""?"", """"), ""*"", """")))"),"Card Christmas Village")</f>
        <v>Card Christmas Village</v>
      </c>
      <c r="I3283" s="3">
        <v>12.0</v>
      </c>
      <c r="J3283" s="7">
        <v>40885.81180555555</v>
      </c>
      <c r="K3283" s="8" t="str">
        <f t="shared" si="4"/>
        <v>2011-12</v>
      </c>
      <c r="L3283" s="5">
        <v>0.42</v>
      </c>
      <c r="M3283" s="3">
        <v>14702.0</v>
      </c>
      <c r="N3283" s="1" t="str">
        <f t="shared" si="5"/>
        <v>Registered</v>
      </c>
      <c r="O3283" s="1" t="s">
        <v>19</v>
      </c>
      <c r="P3283" s="9" t="str">
        <f t="shared" si="6"/>
        <v>UK</v>
      </c>
      <c r="Q3283" s="8">
        <f t="shared" si="7"/>
        <v>5.04</v>
      </c>
    </row>
    <row r="3284">
      <c r="A3284" s="1">
        <v>581471.0</v>
      </c>
      <c r="B3284" s="1" t="str">
        <f t="shared" si="1"/>
        <v>581471</v>
      </c>
      <c r="C3284" s="1" t="str">
        <f t="shared" si="2"/>
        <v>Sale</v>
      </c>
      <c r="D3284" s="1">
        <v>23131.0</v>
      </c>
      <c r="E3284" s="1" t="str">
        <f>IFERROR(__xludf.DUMMYFUNCTION("IF(LEN(D3284)&gt;4, IFERROR(REGEXEXTRACT(TO_TEXT(D3284),""\d+""),""""),"""")"),"23131")</f>
        <v>23131</v>
      </c>
      <c r="F3284" s="6" t="str">
        <f t="shared" si="3"/>
        <v>Product</v>
      </c>
      <c r="G3284" s="1" t="s">
        <v>1551</v>
      </c>
      <c r="H3284" s="6" t="str">
        <f>IFERROR(__xludf.DUMMYFUNCTION("IF(REGEXMATCH(LOWER(G3284), ""^(\?)+\s*(missing)?\s*(\?)*$""), """", PROPER(SUBSTITUTE(SUBSTITUTE(G3284, ""?"", """"), ""*"", """")))"),"Mistletoe Heart Wreath Cream")</f>
        <v>Mistletoe Heart Wreath Cream</v>
      </c>
      <c r="I3284" s="3">
        <v>3.0</v>
      </c>
      <c r="J3284" s="7">
        <v>40885.81180555555</v>
      </c>
      <c r="K3284" s="8" t="str">
        <f t="shared" si="4"/>
        <v>2011-12</v>
      </c>
      <c r="L3284" s="5">
        <v>4.15</v>
      </c>
      <c r="M3284" s="3">
        <v>14702.0</v>
      </c>
      <c r="N3284" s="1" t="str">
        <f t="shared" si="5"/>
        <v>Registered</v>
      </c>
      <c r="O3284" s="1" t="s">
        <v>19</v>
      </c>
      <c r="P3284" s="9" t="str">
        <f t="shared" si="6"/>
        <v>UK</v>
      </c>
      <c r="Q3284" s="8">
        <f t="shared" si="7"/>
        <v>12.45</v>
      </c>
    </row>
    <row r="3285">
      <c r="A3285" s="1">
        <v>581471.0</v>
      </c>
      <c r="B3285" s="1" t="str">
        <f t="shared" si="1"/>
        <v>581471</v>
      </c>
      <c r="C3285" s="1" t="str">
        <f t="shared" si="2"/>
        <v>Sale</v>
      </c>
      <c r="D3285" s="1">
        <v>23313.0</v>
      </c>
      <c r="E3285" s="1" t="str">
        <f>IFERROR(__xludf.DUMMYFUNCTION("IF(LEN(D3285)&gt;4, IFERROR(REGEXEXTRACT(TO_TEXT(D3285),""\d+""),""""),"""")"),"23313")</f>
        <v>23313</v>
      </c>
      <c r="F3285" s="6" t="str">
        <f t="shared" si="3"/>
        <v>Product</v>
      </c>
      <c r="G3285" s="1" t="s">
        <v>1552</v>
      </c>
      <c r="H3285" s="6" t="str">
        <f>IFERROR(__xludf.DUMMYFUNCTION("IF(REGEXMATCH(LOWER(G3285), ""^(\?)+\s*(missing)?\s*(\?)*$""), """", PROPER(SUBSTITUTE(SUBSTITUTE(G3285, ""?"", """"), ""*"", """")))"),"Vintage Christmas Bunting")</f>
        <v>Vintage Christmas Bunting</v>
      </c>
      <c r="I3285" s="3">
        <v>4.0</v>
      </c>
      <c r="J3285" s="7">
        <v>40885.81180555555</v>
      </c>
      <c r="K3285" s="8" t="str">
        <f t="shared" si="4"/>
        <v>2011-12</v>
      </c>
      <c r="L3285" s="5">
        <v>4.95</v>
      </c>
      <c r="M3285" s="3">
        <v>14702.0</v>
      </c>
      <c r="N3285" s="1" t="str">
        <f t="shared" si="5"/>
        <v>Registered</v>
      </c>
      <c r="O3285" s="1" t="s">
        <v>19</v>
      </c>
      <c r="P3285" s="9" t="str">
        <f t="shared" si="6"/>
        <v>UK</v>
      </c>
      <c r="Q3285" s="8">
        <f t="shared" si="7"/>
        <v>19.8</v>
      </c>
    </row>
    <row r="3286">
      <c r="A3286" s="1">
        <v>581471.0</v>
      </c>
      <c r="B3286" s="1" t="str">
        <f t="shared" si="1"/>
        <v>581471</v>
      </c>
      <c r="C3286" s="1" t="str">
        <f t="shared" si="2"/>
        <v>Sale</v>
      </c>
      <c r="D3286" s="1">
        <v>23275.0</v>
      </c>
      <c r="E3286" s="1" t="str">
        <f>IFERROR(__xludf.DUMMYFUNCTION("IF(LEN(D3286)&gt;4, IFERROR(REGEXEXTRACT(TO_TEXT(D3286),""\d+""),""""),"""")"),"23275")</f>
        <v>23275</v>
      </c>
      <c r="F3286" s="6" t="str">
        <f t="shared" si="3"/>
        <v>Product</v>
      </c>
      <c r="G3286" s="1" t="s">
        <v>1553</v>
      </c>
      <c r="H3286" s="6" t="str">
        <f>IFERROR(__xludf.DUMMYFUNCTION("IF(REGEXMATCH(LOWER(G3286), ""^(\?)+\s*(missing)?\s*(\?)*$""), """", PROPER(SUBSTITUTE(SUBSTITUTE(G3286, ""?"", """"), ""*"", """")))"),"Set Of 3 Hanging Owls Ollie Beak")</f>
        <v>Set Of 3 Hanging Owls Ollie Beak</v>
      </c>
      <c r="I3286" s="3">
        <v>2.0</v>
      </c>
      <c r="J3286" s="7">
        <v>40885.81180555555</v>
      </c>
      <c r="K3286" s="8" t="str">
        <f t="shared" si="4"/>
        <v>2011-12</v>
      </c>
      <c r="L3286" s="5">
        <v>1.25</v>
      </c>
      <c r="M3286" s="3">
        <v>14702.0</v>
      </c>
      <c r="N3286" s="1" t="str">
        <f t="shared" si="5"/>
        <v>Registered</v>
      </c>
      <c r="O3286" s="1" t="s">
        <v>19</v>
      </c>
      <c r="P3286" s="9" t="str">
        <f t="shared" si="6"/>
        <v>UK</v>
      </c>
      <c r="Q3286" s="8">
        <f t="shared" si="7"/>
        <v>2.5</v>
      </c>
    </row>
    <row r="3287">
      <c r="A3287" s="1">
        <v>581471.0</v>
      </c>
      <c r="B3287" s="1" t="str">
        <f t="shared" si="1"/>
        <v>581471</v>
      </c>
      <c r="C3287" s="1" t="str">
        <f t="shared" si="2"/>
        <v>Sale</v>
      </c>
      <c r="D3287" s="1">
        <v>22142.0</v>
      </c>
      <c r="E3287" s="1" t="str">
        <f>IFERROR(__xludf.DUMMYFUNCTION("IF(LEN(D3287)&gt;4, IFERROR(REGEXEXTRACT(TO_TEXT(D3287),""\d+""),""""),"""")"),"22142")</f>
        <v>22142</v>
      </c>
      <c r="F3287" s="6" t="str">
        <f t="shared" si="3"/>
        <v>Product</v>
      </c>
      <c r="G3287" s="1" t="s">
        <v>532</v>
      </c>
      <c r="H3287" s="6" t="str">
        <f>IFERROR(__xludf.DUMMYFUNCTION("IF(REGEXMATCH(LOWER(G3287), ""^(\?)+\s*(missing)?\s*(\?)*$""), """", PROPER(SUBSTITUTE(SUBSTITUTE(G3287, ""?"", """"), ""*"", """")))"),"Christmas Craft White Fairy")</f>
        <v>Christmas Craft White Fairy</v>
      </c>
      <c r="I3287" s="3">
        <v>1.0</v>
      </c>
      <c r="J3287" s="7">
        <v>40885.81180555555</v>
      </c>
      <c r="K3287" s="8" t="str">
        <f t="shared" si="4"/>
        <v>2011-12</v>
      </c>
      <c r="L3287" s="5">
        <v>1.45</v>
      </c>
      <c r="M3287" s="3">
        <v>14702.0</v>
      </c>
      <c r="N3287" s="1" t="str">
        <f t="shared" si="5"/>
        <v>Registered</v>
      </c>
      <c r="O3287" s="1" t="s">
        <v>19</v>
      </c>
      <c r="P3287" s="9" t="str">
        <f t="shared" si="6"/>
        <v>UK</v>
      </c>
      <c r="Q3287" s="8">
        <f t="shared" si="7"/>
        <v>1.45</v>
      </c>
    </row>
    <row r="3288">
      <c r="A3288" s="1">
        <v>581471.0</v>
      </c>
      <c r="B3288" s="1" t="str">
        <f t="shared" si="1"/>
        <v>581471</v>
      </c>
      <c r="C3288" s="1" t="str">
        <f t="shared" si="2"/>
        <v>Sale</v>
      </c>
      <c r="D3288" s="1">
        <v>22220.0</v>
      </c>
      <c r="E3288" s="1" t="str">
        <f>IFERROR(__xludf.DUMMYFUNCTION("IF(LEN(D3288)&gt;4, IFERROR(REGEXEXTRACT(TO_TEXT(D3288),""\d+""),""""),"""")"),"22220")</f>
        <v>22220</v>
      </c>
      <c r="F3288" s="6" t="str">
        <f t="shared" si="3"/>
        <v>Product</v>
      </c>
      <c r="G3288" s="1" t="s">
        <v>1554</v>
      </c>
      <c r="H3288" s="6" t="str">
        <f>IFERROR(__xludf.DUMMYFUNCTION("IF(REGEXMATCH(LOWER(G3288), ""^(\?)+\s*(missing)?\s*(\?)*$""), """", PROPER(SUBSTITUTE(SUBSTITUTE(G3288, ""?"", """"), ""*"", """")))"),"Cake Stand Lovebird 2 Tier White")</f>
        <v>Cake Stand Lovebird 2 Tier White</v>
      </c>
      <c r="I3288" s="3">
        <v>4.0</v>
      </c>
      <c r="J3288" s="7">
        <v>40885.81180555555</v>
      </c>
      <c r="K3288" s="8" t="str">
        <f t="shared" si="4"/>
        <v>2011-12</v>
      </c>
      <c r="L3288" s="5">
        <v>2.95</v>
      </c>
      <c r="M3288" s="3">
        <v>14702.0</v>
      </c>
      <c r="N3288" s="1" t="str">
        <f t="shared" si="5"/>
        <v>Registered</v>
      </c>
      <c r="O3288" s="1" t="s">
        <v>19</v>
      </c>
      <c r="P3288" s="9" t="str">
        <f t="shared" si="6"/>
        <v>UK</v>
      </c>
      <c r="Q3288" s="8">
        <f t="shared" si="7"/>
        <v>11.8</v>
      </c>
    </row>
    <row r="3289">
      <c r="A3289" s="1">
        <v>581471.0</v>
      </c>
      <c r="B3289" s="1" t="str">
        <f t="shared" si="1"/>
        <v>581471</v>
      </c>
      <c r="C3289" s="1" t="str">
        <f t="shared" si="2"/>
        <v>Sale</v>
      </c>
      <c r="D3289" s="1">
        <v>22795.0</v>
      </c>
      <c r="E3289" s="1" t="str">
        <f>IFERROR(__xludf.DUMMYFUNCTION("IF(LEN(D3289)&gt;4, IFERROR(REGEXEXTRACT(TO_TEXT(D3289),""\d+""),""""),"""")"),"22795")</f>
        <v>22795</v>
      </c>
      <c r="F3289" s="6" t="str">
        <f t="shared" si="3"/>
        <v>Product</v>
      </c>
      <c r="G3289" s="1" t="s">
        <v>1555</v>
      </c>
      <c r="H3289" s="6" t="str">
        <f>IFERROR(__xludf.DUMMYFUNCTION("IF(REGEXMATCH(LOWER(G3289), ""^(\?)+\s*(missing)?\s*(\?)*$""), """", PROPER(SUBSTITUTE(SUBSTITUTE(G3289, ""?"", """"), ""*"", """")))"),"Sweetheart Recipe Book Stand")</f>
        <v>Sweetheart Recipe Book Stand</v>
      </c>
      <c r="I3289" s="3">
        <v>1.0</v>
      </c>
      <c r="J3289" s="7">
        <v>40885.81180555555</v>
      </c>
      <c r="K3289" s="8" t="str">
        <f t="shared" si="4"/>
        <v>2011-12</v>
      </c>
      <c r="L3289" s="5">
        <v>6.75</v>
      </c>
      <c r="M3289" s="3">
        <v>14702.0</v>
      </c>
      <c r="N3289" s="1" t="str">
        <f t="shared" si="5"/>
        <v>Registered</v>
      </c>
      <c r="O3289" s="1" t="s">
        <v>19</v>
      </c>
      <c r="P3289" s="9" t="str">
        <f t="shared" si="6"/>
        <v>UK</v>
      </c>
      <c r="Q3289" s="8">
        <f t="shared" si="7"/>
        <v>6.75</v>
      </c>
    </row>
    <row r="3290">
      <c r="A3290" s="1">
        <v>581471.0</v>
      </c>
      <c r="B3290" s="1" t="str">
        <f t="shared" si="1"/>
        <v>581471</v>
      </c>
      <c r="C3290" s="1" t="str">
        <f t="shared" si="2"/>
        <v>Sale</v>
      </c>
      <c r="D3290" s="1">
        <v>22910.0</v>
      </c>
      <c r="E3290" s="1" t="str">
        <f>IFERROR(__xludf.DUMMYFUNCTION("IF(LEN(D3290)&gt;4, IFERROR(REGEXEXTRACT(TO_TEXT(D3290),""\d+""),""""),"""")"),"22910")</f>
        <v>22910</v>
      </c>
      <c r="F3290" s="6" t="str">
        <f t="shared" si="3"/>
        <v>Product</v>
      </c>
      <c r="G3290" s="1" t="s">
        <v>215</v>
      </c>
      <c r="H3290" s="6" t="str">
        <f>IFERROR(__xludf.DUMMYFUNCTION("IF(REGEXMATCH(LOWER(G3290), ""^(\?)+\s*(missing)?\s*(\?)*$""), """", PROPER(SUBSTITUTE(SUBSTITUTE(G3290, ""?"", """"), ""*"", """")))"),"Paper Chain Kit Vintage Christmas")</f>
        <v>Paper Chain Kit Vintage Christmas</v>
      </c>
      <c r="I3290" s="3">
        <v>3.0</v>
      </c>
      <c r="J3290" s="7">
        <v>40885.81180555555</v>
      </c>
      <c r="K3290" s="8" t="str">
        <f t="shared" si="4"/>
        <v>2011-12</v>
      </c>
      <c r="L3290" s="5">
        <v>2.95</v>
      </c>
      <c r="M3290" s="3">
        <v>14702.0</v>
      </c>
      <c r="N3290" s="1" t="str">
        <f t="shared" si="5"/>
        <v>Registered</v>
      </c>
      <c r="O3290" s="1" t="s">
        <v>19</v>
      </c>
      <c r="P3290" s="9" t="str">
        <f t="shared" si="6"/>
        <v>UK</v>
      </c>
      <c r="Q3290" s="8">
        <f t="shared" si="7"/>
        <v>8.85</v>
      </c>
    </row>
    <row r="3291">
      <c r="A3291" s="1">
        <v>581471.0</v>
      </c>
      <c r="B3291" s="1" t="str">
        <f t="shared" si="1"/>
        <v>581471</v>
      </c>
      <c r="C3291" s="1" t="str">
        <f t="shared" si="2"/>
        <v>Sale</v>
      </c>
      <c r="D3291" s="1">
        <v>22086.0</v>
      </c>
      <c r="E3291" s="1" t="str">
        <f>IFERROR(__xludf.DUMMYFUNCTION("IF(LEN(D3291)&gt;4, IFERROR(REGEXEXTRACT(TO_TEXT(D3291),""\d+""),""""),"""")"),"22086")</f>
        <v>22086</v>
      </c>
      <c r="F3291" s="6" t="str">
        <f t="shared" si="3"/>
        <v>Product</v>
      </c>
      <c r="G3291" s="1" t="s">
        <v>70</v>
      </c>
      <c r="H3291" s="6" t="str">
        <f>IFERROR(__xludf.DUMMYFUNCTION("IF(REGEXMATCH(LOWER(G3291), ""^(\?)+\s*(missing)?\s*(\?)*$""), """", PROPER(SUBSTITUTE(SUBSTITUTE(G3291, ""?"", """"), ""*"", """")))"),"Paper Chain Kit 50'S Christmas")</f>
        <v>Paper Chain Kit 50'S Christmas</v>
      </c>
      <c r="I3291" s="3">
        <v>4.0</v>
      </c>
      <c r="J3291" s="7">
        <v>40885.81180555555</v>
      </c>
      <c r="K3291" s="8" t="str">
        <f t="shared" si="4"/>
        <v>2011-12</v>
      </c>
      <c r="L3291" s="5">
        <v>2.95</v>
      </c>
      <c r="M3291" s="3">
        <v>14702.0</v>
      </c>
      <c r="N3291" s="1" t="str">
        <f t="shared" si="5"/>
        <v>Registered</v>
      </c>
      <c r="O3291" s="1" t="s">
        <v>19</v>
      </c>
      <c r="P3291" s="9" t="str">
        <f t="shared" si="6"/>
        <v>UK</v>
      </c>
      <c r="Q3291" s="8">
        <f t="shared" si="7"/>
        <v>11.8</v>
      </c>
    </row>
    <row r="3292">
      <c r="A3292" s="1">
        <v>581471.0</v>
      </c>
      <c r="B3292" s="1" t="str">
        <f t="shared" si="1"/>
        <v>581471</v>
      </c>
      <c r="C3292" s="1" t="str">
        <f t="shared" si="2"/>
        <v>Sale</v>
      </c>
      <c r="D3292" s="1">
        <v>21411.0</v>
      </c>
      <c r="E3292" s="1" t="str">
        <f>IFERROR(__xludf.DUMMYFUNCTION("IF(LEN(D3292)&gt;4, IFERROR(REGEXEXTRACT(TO_TEXT(D3292),""\d+""),""""),"""")"),"21411")</f>
        <v>21411</v>
      </c>
      <c r="F3292" s="6" t="str">
        <f t="shared" si="3"/>
        <v>Product</v>
      </c>
      <c r="G3292" s="1" t="s">
        <v>188</v>
      </c>
      <c r="H3292" s="6" t="str">
        <f>IFERROR(__xludf.DUMMYFUNCTION("IF(REGEXMATCH(LOWER(G3292), ""^(\?)+\s*(missing)?\s*(\?)*$""), """", PROPER(SUBSTITUTE(SUBSTITUTE(G3292, ""?"", """"), ""*"", """")))"),"Gingham Heart Doorstop Red")</f>
        <v>Gingham Heart Doorstop Red</v>
      </c>
      <c r="I3292" s="3">
        <v>2.0</v>
      </c>
      <c r="J3292" s="7">
        <v>40885.81180555555</v>
      </c>
      <c r="K3292" s="8" t="str">
        <f t="shared" si="4"/>
        <v>2011-12</v>
      </c>
      <c r="L3292" s="5">
        <v>1.95</v>
      </c>
      <c r="M3292" s="3">
        <v>14702.0</v>
      </c>
      <c r="N3292" s="1" t="str">
        <f t="shared" si="5"/>
        <v>Registered</v>
      </c>
      <c r="O3292" s="1" t="s">
        <v>19</v>
      </c>
      <c r="P3292" s="9" t="str">
        <f t="shared" si="6"/>
        <v>UK</v>
      </c>
      <c r="Q3292" s="8">
        <f t="shared" si="7"/>
        <v>3.9</v>
      </c>
    </row>
    <row r="3293">
      <c r="A3293" s="1">
        <v>581471.0</v>
      </c>
      <c r="B3293" s="1" t="str">
        <f t="shared" si="1"/>
        <v>581471</v>
      </c>
      <c r="C3293" s="1" t="str">
        <f t="shared" si="2"/>
        <v>Sale</v>
      </c>
      <c r="D3293" s="1">
        <v>23151.0</v>
      </c>
      <c r="E3293" s="1" t="str">
        <f>IFERROR(__xludf.DUMMYFUNCTION("IF(LEN(D3293)&gt;4, IFERROR(REGEXEXTRACT(TO_TEXT(D3293),""\d+""),""""),"""")"),"23151")</f>
        <v>23151</v>
      </c>
      <c r="F3293" s="6" t="str">
        <f t="shared" si="3"/>
        <v>Product</v>
      </c>
      <c r="G3293" s="1" t="s">
        <v>1556</v>
      </c>
      <c r="H3293" s="6" t="str">
        <f>IFERROR(__xludf.DUMMYFUNCTION("IF(REGEXMATCH(LOWER(G3293), ""^(\?)+\s*(missing)?\s*(\?)*$""), """", PROPER(SUBSTITUTE(SUBSTITUTE(G3293, ""?"", """"), ""*"", """")))"),"Zinc Sweetheart Soap Dish")</f>
        <v>Zinc Sweetheart Soap Dish</v>
      </c>
      <c r="I3293" s="3">
        <v>4.0</v>
      </c>
      <c r="J3293" s="7">
        <v>40885.81180555555</v>
      </c>
      <c r="K3293" s="8" t="str">
        <f t="shared" si="4"/>
        <v>2011-12</v>
      </c>
      <c r="L3293" s="5">
        <v>0.79</v>
      </c>
      <c r="M3293" s="3">
        <v>14702.0</v>
      </c>
      <c r="N3293" s="1" t="str">
        <f t="shared" si="5"/>
        <v>Registered</v>
      </c>
      <c r="O3293" s="1" t="s">
        <v>19</v>
      </c>
      <c r="P3293" s="9" t="str">
        <f t="shared" si="6"/>
        <v>UK</v>
      </c>
      <c r="Q3293" s="8">
        <f t="shared" si="7"/>
        <v>3.16</v>
      </c>
    </row>
    <row r="3294">
      <c r="A3294" s="1">
        <v>581471.0</v>
      </c>
      <c r="B3294" s="1" t="str">
        <f t="shared" si="1"/>
        <v>581471</v>
      </c>
      <c r="C3294" s="1" t="str">
        <f t="shared" si="2"/>
        <v>Sale</v>
      </c>
      <c r="D3294" s="1">
        <v>84946.0</v>
      </c>
      <c r="E3294" s="1" t="str">
        <f>IFERROR(__xludf.DUMMYFUNCTION("IF(LEN(D3294)&gt;4, IFERROR(REGEXEXTRACT(TO_TEXT(D3294),""\d+""),""""),"""")"),"84946")</f>
        <v>84946</v>
      </c>
      <c r="F3294" s="6" t="str">
        <f t="shared" si="3"/>
        <v>Product</v>
      </c>
      <c r="G3294" s="1" t="s">
        <v>1557</v>
      </c>
      <c r="H3294" s="6" t="str">
        <f>IFERROR(__xludf.DUMMYFUNCTION("IF(REGEXMATCH(LOWER(G3294), ""^(\?)+\s*(missing)?\s*(\?)*$""), """", PROPER(SUBSTITUTE(SUBSTITUTE(G3294, ""?"", """"), ""*"", """")))"),"Antique Silver T-Light Glass")</f>
        <v>Antique Silver T-Light Glass</v>
      </c>
      <c r="I3294" s="3">
        <v>6.0</v>
      </c>
      <c r="J3294" s="7">
        <v>40885.81180555555</v>
      </c>
      <c r="K3294" s="8" t="str">
        <f t="shared" si="4"/>
        <v>2011-12</v>
      </c>
      <c r="L3294" s="5">
        <v>1.25</v>
      </c>
      <c r="M3294" s="3">
        <v>14702.0</v>
      </c>
      <c r="N3294" s="1" t="str">
        <f t="shared" si="5"/>
        <v>Registered</v>
      </c>
      <c r="O3294" s="1" t="s">
        <v>19</v>
      </c>
      <c r="P3294" s="9" t="str">
        <f t="shared" si="6"/>
        <v>UK</v>
      </c>
      <c r="Q3294" s="8">
        <f t="shared" si="7"/>
        <v>7.5</v>
      </c>
    </row>
    <row r="3295">
      <c r="A3295" s="1">
        <v>581471.0</v>
      </c>
      <c r="B3295" s="1" t="str">
        <f t="shared" si="1"/>
        <v>581471</v>
      </c>
      <c r="C3295" s="1" t="str">
        <f t="shared" si="2"/>
        <v>Sale</v>
      </c>
      <c r="D3295" s="1">
        <v>22867.0</v>
      </c>
      <c r="E3295" s="1" t="str">
        <f>IFERROR(__xludf.DUMMYFUNCTION("IF(LEN(D3295)&gt;4, IFERROR(REGEXEXTRACT(TO_TEXT(D3295),""\d+""),""""),"""")"),"22867")</f>
        <v>22867</v>
      </c>
      <c r="F3295" s="6" t="str">
        <f t="shared" si="3"/>
        <v>Product</v>
      </c>
      <c r="G3295" s="1" t="s">
        <v>257</v>
      </c>
      <c r="H3295" s="6" t="str">
        <f>IFERROR(__xludf.DUMMYFUNCTION("IF(REGEXMATCH(LOWER(G3295), ""^(\?)+\s*(missing)?\s*(\?)*$""), """", PROPER(SUBSTITUTE(SUBSTITUTE(G3295, ""?"", """"), ""*"", """")))"),"Hand Warmer Bird Design")</f>
        <v>Hand Warmer Bird Design</v>
      </c>
      <c r="I3295" s="3">
        <v>2.0</v>
      </c>
      <c r="J3295" s="7">
        <v>40885.81180555555</v>
      </c>
      <c r="K3295" s="8" t="str">
        <f t="shared" si="4"/>
        <v>2011-12</v>
      </c>
      <c r="L3295" s="5">
        <v>2.1</v>
      </c>
      <c r="M3295" s="3">
        <v>14702.0</v>
      </c>
      <c r="N3295" s="1" t="str">
        <f t="shared" si="5"/>
        <v>Registered</v>
      </c>
      <c r="O3295" s="1" t="s">
        <v>19</v>
      </c>
      <c r="P3295" s="9" t="str">
        <f t="shared" si="6"/>
        <v>UK</v>
      </c>
      <c r="Q3295" s="8">
        <f t="shared" si="7"/>
        <v>4.2</v>
      </c>
    </row>
    <row r="3296">
      <c r="A3296" s="1">
        <v>581471.0</v>
      </c>
      <c r="B3296" s="1" t="str">
        <f t="shared" si="1"/>
        <v>581471</v>
      </c>
      <c r="C3296" s="1" t="str">
        <f t="shared" si="2"/>
        <v>Sale</v>
      </c>
      <c r="D3296" s="1">
        <v>22865.0</v>
      </c>
      <c r="E3296" s="1" t="str">
        <f>IFERROR(__xludf.DUMMYFUNCTION("IF(LEN(D3296)&gt;4, IFERROR(REGEXEXTRACT(TO_TEXT(D3296),""\d+""),""""),"""")"),"22865")</f>
        <v>22865</v>
      </c>
      <c r="F3296" s="6" t="str">
        <f t="shared" si="3"/>
        <v>Product</v>
      </c>
      <c r="G3296" s="1" t="s">
        <v>247</v>
      </c>
      <c r="H3296" s="6" t="str">
        <f>IFERROR(__xludf.DUMMYFUNCTION("IF(REGEXMATCH(LOWER(G3296), ""^(\?)+\s*(missing)?\s*(\?)*$""), """", PROPER(SUBSTITUTE(SUBSTITUTE(G3296, ""?"", """"), ""*"", """")))"),"Hand Warmer Owl Design")</f>
        <v>Hand Warmer Owl Design</v>
      </c>
      <c r="I3296" s="3">
        <v>2.0</v>
      </c>
      <c r="J3296" s="7">
        <v>40885.81180555555</v>
      </c>
      <c r="K3296" s="8" t="str">
        <f t="shared" si="4"/>
        <v>2011-12</v>
      </c>
      <c r="L3296" s="5">
        <v>2.1</v>
      </c>
      <c r="M3296" s="3">
        <v>14702.0</v>
      </c>
      <c r="N3296" s="1" t="str">
        <f t="shared" si="5"/>
        <v>Registered</v>
      </c>
      <c r="O3296" s="1" t="s">
        <v>19</v>
      </c>
      <c r="P3296" s="9" t="str">
        <f t="shared" si="6"/>
        <v>UK</v>
      </c>
      <c r="Q3296" s="8">
        <f t="shared" si="7"/>
        <v>4.2</v>
      </c>
    </row>
    <row r="3297">
      <c r="A3297" s="1">
        <v>581471.0</v>
      </c>
      <c r="B3297" s="1" t="str">
        <f t="shared" si="1"/>
        <v>581471</v>
      </c>
      <c r="C3297" s="1" t="str">
        <f t="shared" si="2"/>
        <v>Sale</v>
      </c>
      <c r="D3297" s="1">
        <v>23439.0</v>
      </c>
      <c r="E3297" s="1" t="str">
        <f>IFERROR(__xludf.DUMMYFUNCTION("IF(LEN(D3297)&gt;4, IFERROR(REGEXEXTRACT(TO_TEXT(D3297),""\d+""),""""),"""")"),"23439")</f>
        <v>23439</v>
      </c>
      <c r="F3297" s="6" t="str">
        <f t="shared" si="3"/>
        <v>Product</v>
      </c>
      <c r="G3297" s="1" t="s">
        <v>1438</v>
      </c>
      <c r="H3297" s="6" t="str">
        <f>IFERROR(__xludf.DUMMYFUNCTION("IF(REGEXMATCH(LOWER(G3297), ""^(\?)+\s*(missing)?\s*(\?)*$""), """", PROPER(SUBSTITUTE(SUBSTITUTE(G3297, ""?"", """"), ""*"", """")))"),"Hand Warmer Red Love Heart")</f>
        <v>Hand Warmer Red Love Heart</v>
      </c>
      <c r="I3297" s="3">
        <v>2.0</v>
      </c>
      <c r="J3297" s="7">
        <v>40885.81180555555</v>
      </c>
      <c r="K3297" s="8" t="str">
        <f t="shared" si="4"/>
        <v>2011-12</v>
      </c>
      <c r="L3297" s="5">
        <v>2.1</v>
      </c>
      <c r="M3297" s="3">
        <v>14702.0</v>
      </c>
      <c r="N3297" s="1" t="str">
        <f t="shared" si="5"/>
        <v>Registered</v>
      </c>
      <c r="O3297" s="1" t="s">
        <v>19</v>
      </c>
      <c r="P3297" s="9" t="str">
        <f t="shared" si="6"/>
        <v>UK</v>
      </c>
      <c r="Q3297" s="8">
        <f t="shared" si="7"/>
        <v>4.2</v>
      </c>
    </row>
    <row r="3298">
      <c r="A3298" s="1">
        <v>581472.0</v>
      </c>
      <c r="B3298" s="1" t="str">
        <f t="shared" si="1"/>
        <v>581472</v>
      </c>
      <c r="C3298" s="1" t="str">
        <f t="shared" si="2"/>
        <v>Sale</v>
      </c>
      <c r="D3298" s="1">
        <v>23298.0</v>
      </c>
      <c r="E3298" s="1" t="str">
        <f>IFERROR(__xludf.DUMMYFUNCTION("IF(LEN(D3298)&gt;4, IFERROR(REGEXEXTRACT(TO_TEXT(D3298),""\d+""),""""),"""")"),"23298")</f>
        <v>23298</v>
      </c>
      <c r="F3298" s="6" t="str">
        <f t="shared" si="3"/>
        <v>Product</v>
      </c>
      <c r="G3298" s="1" t="s">
        <v>1558</v>
      </c>
      <c r="H3298" s="6" t="str">
        <f>IFERROR(__xludf.DUMMYFUNCTION("IF(REGEXMATCH(LOWER(G3298), ""^(\?)+\s*(missing)?\s*(\?)*$""), """", PROPER(SUBSTITUTE(SUBSTITUTE(G3298, ""?"", """"), ""*"", """")))"),"Spotty Bunting")</f>
        <v>Spotty Bunting</v>
      </c>
      <c r="I3298" s="3">
        <v>6.0</v>
      </c>
      <c r="J3298" s="7">
        <v>40885.82986111111</v>
      </c>
      <c r="K3298" s="8" t="str">
        <f t="shared" si="4"/>
        <v>2011-12</v>
      </c>
      <c r="L3298" s="5">
        <v>4.95</v>
      </c>
      <c r="M3298" s="3">
        <v>15796.0</v>
      </c>
      <c r="N3298" s="1" t="str">
        <f t="shared" si="5"/>
        <v>Registered</v>
      </c>
      <c r="O3298" s="1" t="s">
        <v>19</v>
      </c>
      <c r="P3298" s="9" t="str">
        <f t="shared" si="6"/>
        <v>UK</v>
      </c>
      <c r="Q3298" s="8">
        <f t="shared" si="7"/>
        <v>29.7</v>
      </c>
    </row>
    <row r="3299">
      <c r="A3299" s="1">
        <v>581472.0</v>
      </c>
      <c r="B3299" s="1" t="str">
        <f t="shared" si="1"/>
        <v>581472</v>
      </c>
      <c r="C3299" s="1" t="str">
        <f t="shared" si="2"/>
        <v>Sale</v>
      </c>
      <c r="D3299" s="1">
        <v>23170.0</v>
      </c>
      <c r="E3299" s="1" t="str">
        <f>IFERROR(__xludf.DUMMYFUNCTION("IF(LEN(D3299)&gt;4, IFERROR(REGEXEXTRACT(TO_TEXT(D3299),""\d+""),""""),"""")"),"23170")</f>
        <v>23170</v>
      </c>
      <c r="F3299" s="6" t="str">
        <f t="shared" si="3"/>
        <v>Product</v>
      </c>
      <c r="G3299" s="1" t="s">
        <v>1559</v>
      </c>
      <c r="H3299" s="6" t="str">
        <f>IFERROR(__xludf.DUMMYFUNCTION("IF(REGEXMATCH(LOWER(G3299), ""^(\?)+\s*(missing)?\s*(\?)*$""), """", PROPER(SUBSTITUTE(SUBSTITUTE(G3299, ""?"", """"), ""*"", """")))"),"Regency Tea Plate Roses")</f>
        <v>Regency Tea Plate Roses</v>
      </c>
      <c r="I3299" s="3">
        <v>12.0</v>
      </c>
      <c r="J3299" s="7">
        <v>40885.82986111111</v>
      </c>
      <c r="K3299" s="8" t="str">
        <f t="shared" si="4"/>
        <v>2011-12</v>
      </c>
      <c r="L3299" s="5">
        <v>1.65</v>
      </c>
      <c r="M3299" s="3">
        <v>15796.0</v>
      </c>
      <c r="N3299" s="1" t="str">
        <f t="shared" si="5"/>
        <v>Registered</v>
      </c>
      <c r="O3299" s="1" t="s">
        <v>19</v>
      </c>
      <c r="P3299" s="9" t="str">
        <f t="shared" si="6"/>
        <v>UK</v>
      </c>
      <c r="Q3299" s="8">
        <f t="shared" si="7"/>
        <v>19.8</v>
      </c>
    </row>
    <row r="3300">
      <c r="A3300" s="1">
        <v>581472.0</v>
      </c>
      <c r="B3300" s="1" t="str">
        <f t="shared" si="1"/>
        <v>581472</v>
      </c>
      <c r="C3300" s="1" t="str">
        <f t="shared" si="2"/>
        <v>Sale</v>
      </c>
      <c r="D3300" s="1">
        <v>23172.0</v>
      </c>
      <c r="E3300" s="1" t="str">
        <f>IFERROR(__xludf.DUMMYFUNCTION("IF(LEN(D3300)&gt;4, IFERROR(REGEXEXTRACT(TO_TEXT(D3300),""\d+""),""""),"""")"),"23172")</f>
        <v>23172</v>
      </c>
      <c r="F3300" s="6" t="str">
        <f t="shared" si="3"/>
        <v>Product</v>
      </c>
      <c r="G3300" s="1" t="s">
        <v>1560</v>
      </c>
      <c r="H3300" s="6" t="str">
        <f>IFERROR(__xludf.DUMMYFUNCTION("IF(REGEXMATCH(LOWER(G3300), ""^(\?)+\s*(missing)?\s*(\?)*$""), """", PROPER(SUBSTITUTE(SUBSTITUTE(G3300, ""?"", """"), ""*"", """")))"),"Regency Tea Plate Pink")</f>
        <v>Regency Tea Plate Pink</v>
      </c>
      <c r="I3300" s="3">
        <v>12.0</v>
      </c>
      <c r="J3300" s="7">
        <v>40885.82986111111</v>
      </c>
      <c r="K3300" s="8" t="str">
        <f t="shared" si="4"/>
        <v>2011-12</v>
      </c>
      <c r="L3300" s="5">
        <v>1.65</v>
      </c>
      <c r="M3300" s="3">
        <v>15796.0</v>
      </c>
      <c r="N3300" s="1" t="str">
        <f t="shared" si="5"/>
        <v>Registered</v>
      </c>
      <c r="O3300" s="1" t="s">
        <v>19</v>
      </c>
      <c r="P3300" s="9" t="str">
        <f t="shared" si="6"/>
        <v>UK</v>
      </c>
      <c r="Q3300" s="8">
        <f t="shared" si="7"/>
        <v>19.8</v>
      </c>
    </row>
    <row r="3301">
      <c r="A3301" s="1">
        <v>581472.0</v>
      </c>
      <c r="B3301" s="1" t="str">
        <f t="shared" si="1"/>
        <v>581472</v>
      </c>
      <c r="C3301" s="1" t="str">
        <f t="shared" si="2"/>
        <v>Sale</v>
      </c>
      <c r="D3301" s="1">
        <v>23171.0</v>
      </c>
      <c r="E3301" s="1" t="str">
        <f>IFERROR(__xludf.DUMMYFUNCTION("IF(LEN(D3301)&gt;4, IFERROR(REGEXEXTRACT(TO_TEXT(D3301),""\d+""),""""),"""")"),"23171")</f>
        <v>23171</v>
      </c>
      <c r="F3301" s="6" t="str">
        <f t="shared" si="3"/>
        <v>Product</v>
      </c>
      <c r="G3301" s="1" t="s">
        <v>1561</v>
      </c>
      <c r="H3301" s="6" t="str">
        <f>IFERROR(__xludf.DUMMYFUNCTION("IF(REGEXMATCH(LOWER(G3301), ""^(\?)+\s*(missing)?\s*(\?)*$""), """", PROPER(SUBSTITUTE(SUBSTITUTE(G3301, ""?"", """"), ""*"", """")))"),"Regency Tea Plate Green")</f>
        <v>Regency Tea Plate Green</v>
      </c>
      <c r="I3301" s="3">
        <v>12.0</v>
      </c>
      <c r="J3301" s="7">
        <v>40885.82986111111</v>
      </c>
      <c r="K3301" s="8" t="str">
        <f t="shared" si="4"/>
        <v>2011-12</v>
      </c>
      <c r="L3301" s="5">
        <v>1.65</v>
      </c>
      <c r="M3301" s="3">
        <v>15796.0</v>
      </c>
      <c r="N3301" s="1" t="str">
        <f t="shared" si="5"/>
        <v>Registered</v>
      </c>
      <c r="O3301" s="1" t="s">
        <v>19</v>
      </c>
      <c r="P3301" s="9" t="str">
        <f t="shared" si="6"/>
        <v>UK</v>
      </c>
      <c r="Q3301" s="8">
        <f t="shared" si="7"/>
        <v>19.8</v>
      </c>
    </row>
    <row r="3302">
      <c r="A3302" s="1">
        <v>581472.0</v>
      </c>
      <c r="B3302" s="1" t="str">
        <f t="shared" si="1"/>
        <v>581472</v>
      </c>
      <c r="C3302" s="1" t="str">
        <f t="shared" si="2"/>
        <v>Sale</v>
      </c>
      <c r="D3302" s="1">
        <v>22627.0</v>
      </c>
      <c r="E3302" s="1" t="str">
        <f>IFERROR(__xludf.DUMMYFUNCTION("IF(LEN(D3302)&gt;4, IFERROR(REGEXEXTRACT(TO_TEXT(D3302),""\d+""),""""),"""")"),"22627")</f>
        <v>22627</v>
      </c>
      <c r="F3302" s="6" t="str">
        <f t="shared" si="3"/>
        <v>Product</v>
      </c>
      <c r="G3302" s="1" t="s">
        <v>1429</v>
      </c>
      <c r="H3302" s="6" t="str">
        <f>IFERROR(__xludf.DUMMYFUNCTION("IF(REGEXMATCH(LOWER(G3302), ""^(\?)+\s*(missing)?\s*(\?)*$""), """", PROPER(SUBSTITUTE(SUBSTITUTE(G3302, ""?"", """"), ""*"", """")))"),"Mint Kitchen Scales")</f>
        <v>Mint Kitchen Scales</v>
      </c>
      <c r="I3302" s="3">
        <v>4.0</v>
      </c>
      <c r="J3302" s="7">
        <v>40885.82986111111</v>
      </c>
      <c r="K3302" s="8" t="str">
        <f t="shared" si="4"/>
        <v>2011-12</v>
      </c>
      <c r="L3302" s="5">
        <v>8.5</v>
      </c>
      <c r="M3302" s="3">
        <v>15796.0</v>
      </c>
      <c r="N3302" s="1" t="str">
        <f t="shared" si="5"/>
        <v>Registered</v>
      </c>
      <c r="O3302" s="1" t="s">
        <v>19</v>
      </c>
      <c r="P3302" s="9" t="str">
        <f t="shared" si="6"/>
        <v>UK</v>
      </c>
      <c r="Q3302" s="8">
        <f t="shared" si="7"/>
        <v>34</v>
      </c>
    </row>
    <row r="3303">
      <c r="A3303" s="1">
        <v>581472.0</v>
      </c>
      <c r="B3303" s="1" t="str">
        <f t="shared" si="1"/>
        <v>581472</v>
      </c>
      <c r="C3303" s="1" t="str">
        <f t="shared" si="2"/>
        <v>Sale</v>
      </c>
      <c r="D3303" s="1">
        <v>22624.0</v>
      </c>
      <c r="E3303" s="1" t="str">
        <f>IFERROR(__xludf.DUMMYFUNCTION("IF(LEN(D3303)&gt;4, IFERROR(REGEXEXTRACT(TO_TEXT(D3303),""\d+""),""""),"""")"),"22624")</f>
        <v>22624</v>
      </c>
      <c r="F3303" s="6" t="str">
        <f t="shared" si="3"/>
        <v>Product</v>
      </c>
      <c r="G3303" s="1" t="s">
        <v>771</v>
      </c>
      <c r="H3303" s="6" t="str">
        <f>IFERROR(__xludf.DUMMYFUNCTION("IF(REGEXMATCH(LOWER(G3303), ""^(\?)+\s*(missing)?\s*(\?)*$""), """", PROPER(SUBSTITUTE(SUBSTITUTE(G3303, ""?"", """"), ""*"", """")))"),"Ivory Kitchen Scales")</f>
        <v>Ivory Kitchen Scales</v>
      </c>
      <c r="I3303" s="3">
        <v>4.0</v>
      </c>
      <c r="J3303" s="7">
        <v>40885.82986111111</v>
      </c>
      <c r="K3303" s="8" t="str">
        <f t="shared" si="4"/>
        <v>2011-12</v>
      </c>
      <c r="L3303" s="5">
        <v>8.5</v>
      </c>
      <c r="M3303" s="3">
        <v>15796.0</v>
      </c>
      <c r="N3303" s="1" t="str">
        <f t="shared" si="5"/>
        <v>Registered</v>
      </c>
      <c r="O3303" s="1" t="s">
        <v>19</v>
      </c>
      <c r="P3303" s="9" t="str">
        <f t="shared" si="6"/>
        <v>UK</v>
      </c>
      <c r="Q3303" s="8">
        <f t="shared" si="7"/>
        <v>34</v>
      </c>
    </row>
    <row r="3304">
      <c r="A3304" s="1">
        <v>581472.0</v>
      </c>
      <c r="B3304" s="1" t="str">
        <f t="shared" si="1"/>
        <v>581472</v>
      </c>
      <c r="C3304" s="1" t="str">
        <f t="shared" si="2"/>
        <v>Sale</v>
      </c>
      <c r="D3304" s="1">
        <v>82600.0</v>
      </c>
      <c r="E3304" s="1" t="str">
        <f>IFERROR(__xludf.DUMMYFUNCTION("IF(LEN(D3304)&gt;4, IFERROR(REGEXEXTRACT(TO_TEXT(D3304),""\d+""),""""),"""")"),"82600")</f>
        <v>82600</v>
      </c>
      <c r="F3304" s="6" t="str">
        <f t="shared" si="3"/>
        <v>Product</v>
      </c>
      <c r="G3304" s="1" t="s">
        <v>1562</v>
      </c>
      <c r="H3304" s="6" t="str">
        <f>IFERROR(__xludf.DUMMYFUNCTION("IF(REGEXMATCH(LOWER(G3304), ""^(\?)+\s*(missing)?\s*(\?)*$""), """", PROPER(SUBSTITUTE(SUBSTITUTE(G3304, ""?"", """"), ""*"", """")))"),"N0 Singing Metal Sign")</f>
        <v>N0 Singing Metal Sign</v>
      </c>
      <c r="I3304" s="3">
        <v>12.0</v>
      </c>
      <c r="J3304" s="7">
        <v>40885.82986111111</v>
      </c>
      <c r="K3304" s="8" t="str">
        <f t="shared" si="4"/>
        <v>2011-12</v>
      </c>
      <c r="L3304" s="5">
        <v>2.1</v>
      </c>
      <c r="M3304" s="3">
        <v>15796.0</v>
      </c>
      <c r="N3304" s="1" t="str">
        <f t="shared" si="5"/>
        <v>Registered</v>
      </c>
      <c r="O3304" s="1" t="s">
        <v>19</v>
      </c>
      <c r="P3304" s="9" t="str">
        <f t="shared" si="6"/>
        <v>UK</v>
      </c>
      <c r="Q3304" s="8">
        <f t="shared" si="7"/>
        <v>25.2</v>
      </c>
    </row>
    <row r="3305">
      <c r="A3305" s="1">
        <v>581472.0</v>
      </c>
      <c r="B3305" s="1" t="str">
        <f t="shared" si="1"/>
        <v>581472</v>
      </c>
      <c r="C3305" s="1" t="str">
        <f t="shared" si="2"/>
        <v>Sale</v>
      </c>
      <c r="D3305" s="1">
        <v>21181.0</v>
      </c>
      <c r="E3305" s="1" t="str">
        <f>IFERROR(__xludf.DUMMYFUNCTION("IF(LEN(D3305)&gt;4, IFERROR(REGEXEXTRACT(TO_TEXT(D3305),""\d+""),""""),"""")"),"21181")</f>
        <v>21181</v>
      </c>
      <c r="F3305" s="6" t="str">
        <f t="shared" si="3"/>
        <v>Product</v>
      </c>
      <c r="G3305" s="1" t="s">
        <v>776</v>
      </c>
      <c r="H3305" s="6" t="str">
        <f>IFERROR(__xludf.DUMMYFUNCTION("IF(REGEXMATCH(LOWER(G3305), ""^(\?)+\s*(missing)?\s*(\?)*$""), """", PROPER(SUBSTITUTE(SUBSTITUTE(G3305, ""?"", """"), ""*"", """")))"),"Please One Person Metal Sign")</f>
        <v>Please One Person Metal Sign</v>
      </c>
      <c r="I3305" s="3">
        <v>12.0</v>
      </c>
      <c r="J3305" s="7">
        <v>40885.82986111111</v>
      </c>
      <c r="K3305" s="8" t="str">
        <f t="shared" si="4"/>
        <v>2011-12</v>
      </c>
      <c r="L3305" s="5">
        <v>2.1</v>
      </c>
      <c r="M3305" s="3">
        <v>15796.0</v>
      </c>
      <c r="N3305" s="1" t="str">
        <f t="shared" si="5"/>
        <v>Registered</v>
      </c>
      <c r="O3305" s="1" t="s">
        <v>19</v>
      </c>
      <c r="P3305" s="9" t="str">
        <f t="shared" si="6"/>
        <v>UK</v>
      </c>
      <c r="Q3305" s="8">
        <f t="shared" si="7"/>
        <v>25.2</v>
      </c>
    </row>
    <row r="3306">
      <c r="A3306" s="1">
        <v>581472.0</v>
      </c>
      <c r="B3306" s="1" t="str">
        <f t="shared" si="1"/>
        <v>581472</v>
      </c>
      <c r="C3306" s="1" t="str">
        <f t="shared" si="2"/>
        <v>Sale</v>
      </c>
      <c r="D3306" s="1">
        <v>22784.0</v>
      </c>
      <c r="E3306" s="1" t="str">
        <f>IFERROR(__xludf.DUMMYFUNCTION("IF(LEN(D3306)&gt;4, IFERROR(REGEXEXTRACT(TO_TEXT(D3306),""\d+""),""""),"""")"),"22784")</f>
        <v>22784</v>
      </c>
      <c r="F3306" s="6" t="str">
        <f t="shared" si="3"/>
        <v>Product</v>
      </c>
      <c r="G3306" s="1" t="s">
        <v>644</v>
      </c>
      <c r="H3306" s="6" t="str">
        <f>IFERROR(__xludf.DUMMYFUNCTION("IF(REGEXMATCH(LOWER(G3306), ""^(\?)+\s*(missing)?\s*(\?)*$""), """", PROPER(SUBSTITUTE(SUBSTITUTE(G3306, ""?"", """"), ""*"", """")))"),"Lantern Cream Gazebo")</f>
        <v>Lantern Cream Gazebo</v>
      </c>
      <c r="I3306" s="3">
        <v>3.0</v>
      </c>
      <c r="J3306" s="7">
        <v>40885.82986111111</v>
      </c>
      <c r="K3306" s="8" t="str">
        <f t="shared" si="4"/>
        <v>2011-12</v>
      </c>
      <c r="L3306" s="5">
        <v>4.95</v>
      </c>
      <c r="M3306" s="3">
        <v>15796.0</v>
      </c>
      <c r="N3306" s="1" t="str">
        <f t="shared" si="5"/>
        <v>Registered</v>
      </c>
      <c r="O3306" s="1" t="s">
        <v>19</v>
      </c>
      <c r="P3306" s="9" t="str">
        <f t="shared" si="6"/>
        <v>UK</v>
      </c>
      <c r="Q3306" s="8">
        <f t="shared" si="7"/>
        <v>14.85</v>
      </c>
    </row>
    <row r="3307">
      <c r="A3307" s="1">
        <v>581472.0</v>
      </c>
      <c r="B3307" s="1" t="str">
        <f t="shared" si="1"/>
        <v>581472</v>
      </c>
      <c r="C3307" s="1" t="str">
        <f t="shared" si="2"/>
        <v>Sale</v>
      </c>
      <c r="D3307" s="1">
        <v>22699.0</v>
      </c>
      <c r="E3307" s="1" t="str">
        <f>IFERROR(__xludf.DUMMYFUNCTION("IF(LEN(D3307)&gt;4, IFERROR(REGEXEXTRACT(TO_TEXT(D3307),""\d+""),""""),"""")"),"22699")</f>
        <v>22699</v>
      </c>
      <c r="F3307" s="6" t="str">
        <f t="shared" si="3"/>
        <v>Product</v>
      </c>
      <c r="G3307" s="1" t="s">
        <v>684</v>
      </c>
      <c r="H3307" s="6" t="str">
        <f>IFERROR(__xludf.DUMMYFUNCTION("IF(REGEXMATCH(LOWER(G3307), ""^(\?)+\s*(missing)?\s*(\?)*$""), """", PROPER(SUBSTITUTE(SUBSTITUTE(G3307, ""?"", """"), ""*"", """")))"),"Roses Regency Teacup And Saucer")</f>
        <v>Roses Regency Teacup And Saucer</v>
      </c>
      <c r="I3307" s="3">
        <v>12.0</v>
      </c>
      <c r="J3307" s="7">
        <v>40885.82986111111</v>
      </c>
      <c r="K3307" s="8" t="str">
        <f t="shared" si="4"/>
        <v>2011-12</v>
      </c>
      <c r="L3307" s="5">
        <v>2.95</v>
      </c>
      <c r="M3307" s="3">
        <v>15796.0</v>
      </c>
      <c r="N3307" s="1" t="str">
        <f t="shared" si="5"/>
        <v>Registered</v>
      </c>
      <c r="O3307" s="1" t="s">
        <v>19</v>
      </c>
      <c r="P3307" s="9" t="str">
        <f t="shared" si="6"/>
        <v>UK</v>
      </c>
      <c r="Q3307" s="8">
        <f t="shared" si="7"/>
        <v>35.4</v>
      </c>
    </row>
    <row r="3308">
      <c r="A3308" s="1">
        <v>581472.0</v>
      </c>
      <c r="B3308" s="1" t="str">
        <f t="shared" si="1"/>
        <v>581472</v>
      </c>
      <c r="C3308" s="1" t="str">
        <f t="shared" si="2"/>
        <v>Sale</v>
      </c>
      <c r="D3308" s="1">
        <v>22698.0</v>
      </c>
      <c r="E3308" s="1" t="str">
        <f>IFERROR(__xludf.DUMMYFUNCTION("IF(LEN(D3308)&gt;4, IFERROR(REGEXEXTRACT(TO_TEXT(D3308),""\d+""),""""),"""")"),"22698")</f>
        <v>22698</v>
      </c>
      <c r="F3308" s="6" t="str">
        <f t="shared" si="3"/>
        <v>Product</v>
      </c>
      <c r="G3308" s="1" t="s">
        <v>683</v>
      </c>
      <c r="H3308" s="6" t="str">
        <f>IFERROR(__xludf.DUMMYFUNCTION("IF(REGEXMATCH(LOWER(G3308), ""^(\?)+\s*(missing)?\s*(\?)*$""), """", PROPER(SUBSTITUTE(SUBSTITUTE(G3308, ""?"", """"), ""*"", """")))"),"Pink Regency Teacup And Saucer")</f>
        <v>Pink Regency Teacup And Saucer</v>
      </c>
      <c r="I3308" s="3">
        <v>12.0</v>
      </c>
      <c r="J3308" s="7">
        <v>40885.82986111111</v>
      </c>
      <c r="K3308" s="8" t="str">
        <f t="shared" si="4"/>
        <v>2011-12</v>
      </c>
      <c r="L3308" s="5">
        <v>2.95</v>
      </c>
      <c r="M3308" s="3">
        <v>15796.0</v>
      </c>
      <c r="N3308" s="1" t="str">
        <f t="shared" si="5"/>
        <v>Registered</v>
      </c>
      <c r="O3308" s="1" t="s">
        <v>19</v>
      </c>
      <c r="P3308" s="9" t="str">
        <f t="shared" si="6"/>
        <v>UK</v>
      </c>
      <c r="Q3308" s="8">
        <f t="shared" si="7"/>
        <v>35.4</v>
      </c>
    </row>
    <row r="3309">
      <c r="A3309" s="1">
        <v>581472.0</v>
      </c>
      <c r="B3309" s="1" t="str">
        <f t="shared" si="1"/>
        <v>581472</v>
      </c>
      <c r="C3309" s="1" t="str">
        <f t="shared" si="2"/>
        <v>Sale</v>
      </c>
      <c r="D3309" s="1">
        <v>22697.0</v>
      </c>
      <c r="E3309" s="1" t="str">
        <f>IFERROR(__xludf.DUMMYFUNCTION("IF(LEN(D3309)&gt;4, IFERROR(REGEXEXTRACT(TO_TEXT(D3309),""\d+""),""""),"""")"),"22697")</f>
        <v>22697</v>
      </c>
      <c r="F3309" s="6" t="str">
        <f t="shared" si="3"/>
        <v>Product</v>
      </c>
      <c r="G3309" s="1" t="s">
        <v>682</v>
      </c>
      <c r="H3309" s="6" t="str">
        <f>IFERROR(__xludf.DUMMYFUNCTION("IF(REGEXMATCH(LOWER(G3309), ""^(\?)+\s*(missing)?\s*(\?)*$""), """", PROPER(SUBSTITUTE(SUBSTITUTE(G3309, ""?"", """"), ""*"", """")))"),"Green Regency Teacup And Saucer")</f>
        <v>Green Regency Teacup And Saucer</v>
      </c>
      <c r="I3309" s="3">
        <v>12.0</v>
      </c>
      <c r="J3309" s="7">
        <v>40885.82986111111</v>
      </c>
      <c r="K3309" s="8" t="str">
        <f t="shared" si="4"/>
        <v>2011-12</v>
      </c>
      <c r="L3309" s="5">
        <v>2.95</v>
      </c>
      <c r="M3309" s="3">
        <v>15796.0</v>
      </c>
      <c r="N3309" s="1" t="str">
        <f t="shared" si="5"/>
        <v>Registered</v>
      </c>
      <c r="O3309" s="1" t="s">
        <v>19</v>
      </c>
      <c r="P3309" s="9" t="str">
        <f t="shared" si="6"/>
        <v>UK</v>
      </c>
      <c r="Q3309" s="8">
        <f t="shared" si="7"/>
        <v>35.4</v>
      </c>
    </row>
    <row r="3310">
      <c r="A3310" s="1">
        <v>581472.0</v>
      </c>
      <c r="B3310" s="1" t="str">
        <f t="shared" si="1"/>
        <v>581472</v>
      </c>
      <c r="C3310" s="1" t="str">
        <f t="shared" si="2"/>
        <v>Sale</v>
      </c>
      <c r="D3310" s="1">
        <v>22423.0</v>
      </c>
      <c r="E3310" s="1" t="str">
        <f>IFERROR(__xludf.DUMMYFUNCTION("IF(LEN(D3310)&gt;4, IFERROR(REGEXEXTRACT(TO_TEXT(D3310),""\d+""),""""),"""")"),"22423")</f>
        <v>22423</v>
      </c>
      <c r="F3310" s="6" t="str">
        <f t="shared" si="3"/>
        <v>Product</v>
      </c>
      <c r="G3310" s="1" t="s">
        <v>619</v>
      </c>
      <c r="H3310" s="6" t="str">
        <f>IFERROR(__xludf.DUMMYFUNCTION("IF(REGEXMATCH(LOWER(G3310), ""^(\?)+\s*(missing)?\s*(\?)*$""), """", PROPER(SUBSTITUTE(SUBSTITUTE(G3310, ""?"", """"), ""*"", """")))"),"Regency Cakestand 3 Tier")</f>
        <v>Regency Cakestand 3 Tier</v>
      </c>
      <c r="I3310" s="3">
        <v>2.0</v>
      </c>
      <c r="J3310" s="7">
        <v>40885.82986111111</v>
      </c>
      <c r="K3310" s="8" t="str">
        <f t="shared" si="4"/>
        <v>2011-12</v>
      </c>
      <c r="L3310" s="5">
        <v>12.75</v>
      </c>
      <c r="M3310" s="3">
        <v>15796.0</v>
      </c>
      <c r="N3310" s="1" t="str">
        <f t="shared" si="5"/>
        <v>Registered</v>
      </c>
      <c r="O3310" s="1" t="s">
        <v>19</v>
      </c>
      <c r="P3310" s="9" t="str">
        <f t="shared" si="6"/>
        <v>UK</v>
      </c>
      <c r="Q3310" s="8">
        <f t="shared" si="7"/>
        <v>25.5</v>
      </c>
    </row>
    <row r="3311">
      <c r="A3311" s="1">
        <v>581472.0</v>
      </c>
      <c r="B3311" s="1" t="str">
        <f t="shared" si="1"/>
        <v>581472</v>
      </c>
      <c r="C3311" s="1" t="str">
        <f t="shared" si="2"/>
        <v>Sale</v>
      </c>
      <c r="D3311" s="1" t="s">
        <v>17</v>
      </c>
      <c r="E3311" s="1" t="str">
        <f>IFERROR(__xludf.DUMMYFUNCTION("IF(LEN(D3311)&gt;4, IFERROR(REGEXEXTRACT(TO_TEXT(D3311),""\d+""),""""),"""")"),"85123")</f>
        <v>85123</v>
      </c>
      <c r="F3311" s="6" t="str">
        <f t="shared" si="3"/>
        <v>Product</v>
      </c>
      <c r="G3311" s="1" t="s">
        <v>18</v>
      </c>
      <c r="H3311" s="6" t="str">
        <f>IFERROR(__xludf.DUMMYFUNCTION("IF(REGEXMATCH(LOWER(G3311), ""^(\?)+\s*(missing)?\s*(\?)*$""), """", PROPER(SUBSTITUTE(SUBSTITUTE(G3311, ""?"", """"), ""*"", """")))"),"White Hanging Heart T-Light Holder")</f>
        <v>White Hanging Heart T-Light Holder</v>
      </c>
      <c r="I3311" s="3">
        <v>6.0</v>
      </c>
      <c r="J3311" s="7">
        <v>40885.82986111111</v>
      </c>
      <c r="K3311" s="8" t="str">
        <f t="shared" si="4"/>
        <v>2011-12</v>
      </c>
      <c r="L3311" s="5">
        <v>2.95</v>
      </c>
      <c r="M3311" s="3">
        <v>15796.0</v>
      </c>
      <c r="N3311" s="1" t="str">
        <f t="shared" si="5"/>
        <v>Registered</v>
      </c>
      <c r="O3311" s="1" t="s">
        <v>19</v>
      </c>
      <c r="P3311" s="9" t="str">
        <f t="shared" si="6"/>
        <v>UK</v>
      </c>
      <c r="Q3311" s="8">
        <f t="shared" si="7"/>
        <v>17.7</v>
      </c>
    </row>
    <row r="3312">
      <c r="A3312" s="1">
        <v>581472.0</v>
      </c>
      <c r="B3312" s="1" t="str">
        <f t="shared" si="1"/>
        <v>581472</v>
      </c>
      <c r="C3312" s="1" t="str">
        <f t="shared" si="2"/>
        <v>Sale</v>
      </c>
      <c r="D3312" s="1">
        <v>22795.0</v>
      </c>
      <c r="E3312" s="1" t="str">
        <f>IFERROR(__xludf.DUMMYFUNCTION("IF(LEN(D3312)&gt;4, IFERROR(REGEXEXTRACT(TO_TEXT(D3312),""\d+""),""""),"""")"),"22795")</f>
        <v>22795</v>
      </c>
      <c r="F3312" s="6" t="str">
        <f t="shared" si="3"/>
        <v>Product</v>
      </c>
      <c r="G3312" s="1" t="s">
        <v>1555</v>
      </c>
      <c r="H3312" s="6" t="str">
        <f>IFERROR(__xludf.DUMMYFUNCTION("IF(REGEXMATCH(LOWER(G3312), ""^(\?)+\s*(missing)?\s*(\?)*$""), """", PROPER(SUBSTITUTE(SUBSTITUTE(G3312, ""?"", """"), ""*"", """")))"),"Sweetheart Recipe Book Stand")</f>
        <v>Sweetheart Recipe Book Stand</v>
      </c>
      <c r="I3312" s="3">
        <v>6.0</v>
      </c>
      <c r="J3312" s="7">
        <v>40885.82986111111</v>
      </c>
      <c r="K3312" s="8" t="str">
        <f t="shared" si="4"/>
        <v>2011-12</v>
      </c>
      <c r="L3312" s="5">
        <v>6.75</v>
      </c>
      <c r="M3312" s="3">
        <v>15796.0</v>
      </c>
      <c r="N3312" s="1" t="str">
        <f t="shared" si="5"/>
        <v>Registered</v>
      </c>
      <c r="O3312" s="1" t="s">
        <v>19</v>
      </c>
      <c r="P3312" s="9" t="str">
        <f t="shared" si="6"/>
        <v>UK</v>
      </c>
      <c r="Q3312" s="8">
        <f t="shared" si="7"/>
        <v>40.5</v>
      </c>
    </row>
    <row r="3313">
      <c r="A3313" s="1">
        <v>581472.0</v>
      </c>
      <c r="B3313" s="1" t="str">
        <f t="shared" si="1"/>
        <v>581472</v>
      </c>
      <c r="C3313" s="1" t="str">
        <f t="shared" si="2"/>
        <v>Sale</v>
      </c>
      <c r="D3313" s="1">
        <v>82482.0</v>
      </c>
      <c r="E3313" s="1" t="str">
        <f>IFERROR(__xludf.DUMMYFUNCTION("IF(LEN(D3313)&gt;4, IFERROR(REGEXEXTRACT(TO_TEXT(D3313),""\d+""),""""),"""")"),"82482")</f>
        <v>82482</v>
      </c>
      <c r="F3313" s="6" t="str">
        <f t="shared" si="3"/>
        <v>Product</v>
      </c>
      <c r="G3313" s="1" t="s">
        <v>78</v>
      </c>
      <c r="H3313" s="6" t="str">
        <f>IFERROR(__xludf.DUMMYFUNCTION("IF(REGEXMATCH(LOWER(G3313), ""^(\?)+\s*(missing)?\s*(\?)*$""), """", PROPER(SUBSTITUTE(SUBSTITUTE(G3313, ""?"", """"), ""*"", """")))"),"Wooden Picture Frame White Finish")</f>
        <v>Wooden Picture Frame White Finish</v>
      </c>
      <c r="I3313" s="3">
        <v>6.0</v>
      </c>
      <c r="J3313" s="7">
        <v>40885.82986111111</v>
      </c>
      <c r="K3313" s="8" t="str">
        <f t="shared" si="4"/>
        <v>2011-12</v>
      </c>
      <c r="L3313" s="5">
        <v>2.95</v>
      </c>
      <c r="M3313" s="3">
        <v>15796.0</v>
      </c>
      <c r="N3313" s="1" t="str">
        <f t="shared" si="5"/>
        <v>Registered</v>
      </c>
      <c r="O3313" s="1" t="s">
        <v>19</v>
      </c>
      <c r="P3313" s="9" t="str">
        <f t="shared" si="6"/>
        <v>UK</v>
      </c>
      <c r="Q3313" s="8">
        <f t="shared" si="7"/>
        <v>17.7</v>
      </c>
    </row>
    <row r="3314">
      <c r="A3314" s="1">
        <v>581472.0</v>
      </c>
      <c r="B3314" s="1" t="str">
        <f t="shared" si="1"/>
        <v>581472</v>
      </c>
      <c r="C3314" s="1" t="str">
        <f t="shared" si="2"/>
        <v>Sale</v>
      </c>
      <c r="D3314" s="1" t="s">
        <v>79</v>
      </c>
      <c r="E3314" s="1" t="str">
        <f>IFERROR(__xludf.DUMMYFUNCTION("IF(LEN(D3314)&gt;4, IFERROR(REGEXEXTRACT(TO_TEXT(D3314),""\d+""),""""),"""")"),"82494")</f>
        <v>82494</v>
      </c>
      <c r="F3314" s="6" t="str">
        <f t="shared" si="3"/>
        <v>Product</v>
      </c>
      <c r="G3314" s="1" t="s">
        <v>80</v>
      </c>
      <c r="H3314" s="6" t="str">
        <f>IFERROR(__xludf.DUMMYFUNCTION("IF(REGEXMATCH(LOWER(G3314), ""^(\?)+\s*(missing)?\s*(\?)*$""), """", PROPER(SUBSTITUTE(SUBSTITUTE(G3314, ""?"", """"), ""*"", """")))"),"Wooden Frame Antique White")</f>
        <v>Wooden Frame Antique White</v>
      </c>
      <c r="I3314" s="3">
        <v>6.0</v>
      </c>
      <c r="J3314" s="7">
        <v>40885.82986111111</v>
      </c>
      <c r="K3314" s="8" t="str">
        <f t="shared" si="4"/>
        <v>2011-12</v>
      </c>
      <c r="L3314" s="5">
        <v>2.95</v>
      </c>
      <c r="M3314" s="3">
        <v>15796.0</v>
      </c>
      <c r="N3314" s="1" t="str">
        <f t="shared" si="5"/>
        <v>Registered</v>
      </c>
      <c r="O3314" s="1" t="s">
        <v>19</v>
      </c>
      <c r="P3314" s="9" t="str">
        <f t="shared" si="6"/>
        <v>UK</v>
      </c>
      <c r="Q3314" s="8">
        <f t="shared" si="7"/>
        <v>17.7</v>
      </c>
    </row>
    <row r="3315">
      <c r="A3315" s="1">
        <v>581473.0</v>
      </c>
      <c r="B3315" s="1" t="str">
        <f t="shared" si="1"/>
        <v>581473</v>
      </c>
      <c r="C3315" s="1" t="str">
        <f t="shared" si="2"/>
        <v>Sale</v>
      </c>
      <c r="D3315" s="1">
        <v>16237.0</v>
      </c>
      <c r="E3315" s="1" t="str">
        <f>IFERROR(__xludf.DUMMYFUNCTION("IF(LEN(D3315)&gt;4, IFERROR(REGEXEXTRACT(TO_TEXT(D3315),""\d+""),""""),"""")"),"16237")</f>
        <v>16237</v>
      </c>
      <c r="F3315" s="6" t="str">
        <f t="shared" si="3"/>
        <v>Product</v>
      </c>
      <c r="G3315" s="1" t="s">
        <v>383</v>
      </c>
      <c r="H3315" s="6" t="str">
        <f>IFERROR(__xludf.DUMMYFUNCTION("IF(REGEXMATCH(LOWER(G3315), ""^(\?)+\s*(missing)?\s*(\?)*$""), """", PROPER(SUBSTITUTE(SUBSTITUTE(G3315, ""?"", """"), ""*"", """")))"),"Sleeping Cat Erasers")</f>
        <v>Sleeping Cat Erasers</v>
      </c>
      <c r="I3315" s="3">
        <v>1.0</v>
      </c>
      <c r="J3315" s="7">
        <v>40885.83125</v>
      </c>
      <c r="K3315" s="8" t="str">
        <f t="shared" si="4"/>
        <v>2011-12</v>
      </c>
      <c r="L3315" s="5">
        <v>0.21</v>
      </c>
      <c r="M3315" s="3">
        <v>12748.0</v>
      </c>
      <c r="N3315" s="1" t="str">
        <f t="shared" si="5"/>
        <v>Registered</v>
      </c>
      <c r="O3315" s="1" t="s">
        <v>19</v>
      </c>
      <c r="P3315" s="9" t="str">
        <f t="shared" si="6"/>
        <v>UK</v>
      </c>
      <c r="Q3315" s="8">
        <f t="shared" si="7"/>
        <v>0.21</v>
      </c>
    </row>
    <row r="3316">
      <c r="A3316" s="1">
        <v>581473.0</v>
      </c>
      <c r="B3316" s="1" t="str">
        <f t="shared" si="1"/>
        <v>581473</v>
      </c>
      <c r="C3316" s="1" t="str">
        <f t="shared" si="2"/>
        <v>Sale</v>
      </c>
      <c r="D3316" s="1">
        <v>23300.0</v>
      </c>
      <c r="E3316" s="1" t="str">
        <f>IFERROR(__xludf.DUMMYFUNCTION("IF(LEN(D3316)&gt;4, IFERROR(REGEXEXTRACT(TO_TEXT(D3316),""\d+""),""""),"""")"),"23300")</f>
        <v>23300</v>
      </c>
      <c r="F3316" s="6" t="str">
        <f t="shared" si="3"/>
        <v>Product</v>
      </c>
      <c r="G3316" s="1" t="s">
        <v>1563</v>
      </c>
      <c r="H3316" s="6" t="str">
        <f>IFERROR(__xludf.DUMMYFUNCTION("IF(REGEXMATCH(LOWER(G3316), ""^(\?)+\s*(missing)?\s*(\?)*$""), """", PROPER(SUBSTITUTE(SUBSTITUTE(G3316, ""?"", """"), ""*"", """")))"),"Gardeners Kneeling Pad Cup Of Tea")</f>
        <v>Gardeners Kneeling Pad Cup Of Tea</v>
      </c>
      <c r="I3316" s="3">
        <v>1.0</v>
      </c>
      <c r="J3316" s="7">
        <v>40885.83125</v>
      </c>
      <c r="K3316" s="8" t="str">
        <f t="shared" si="4"/>
        <v>2011-12</v>
      </c>
      <c r="L3316" s="5">
        <v>1.65</v>
      </c>
      <c r="M3316" s="3">
        <v>12748.0</v>
      </c>
      <c r="N3316" s="1" t="str">
        <f t="shared" si="5"/>
        <v>Registered</v>
      </c>
      <c r="O3316" s="1" t="s">
        <v>19</v>
      </c>
      <c r="P3316" s="9" t="str">
        <f t="shared" si="6"/>
        <v>UK</v>
      </c>
      <c r="Q3316" s="8">
        <f t="shared" si="7"/>
        <v>1.65</v>
      </c>
    </row>
    <row r="3317">
      <c r="A3317" s="1">
        <v>581473.0</v>
      </c>
      <c r="B3317" s="1" t="str">
        <f t="shared" si="1"/>
        <v>581473</v>
      </c>
      <c r="C3317" s="1" t="str">
        <f t="shared" si="2"/>
        <v>Sale</v>
      </c>
      <c r="D3317" s="1">
        <v>22554.0</v>
      </c>
      <c r="E3317" s="1" t="str">
        <f>IFERROR(__xludf.DUMMYFUNCTION("IF(LEN(D3317)&gt;4, IFERROR(REGEXEXTRACT(TO_TEXT(D3317),""\d+""),""""),"""")"),"22554")</f>
        <v>22554</v>
      </c>
      <c r="F3317" s="6" t="str">
        <f t="shared" si="3"/>
        <v>Product</v>
      </c>
      <c r="G3317" s="1" t="s">
        <v>499</v>
      </c>
      <c r="H3317" s="6" t="str">
        <f>IFERROR(__xludf.DUMMYFUNCTION("IF(REGEXMATCH(LOWER(G3317), ""^(\?)+\s*(missing)?\s*(\?)*$""), """", PROPER(SUBSTITUTE(SUBSTITUTE(G3317, ""?"", """"), ""*"", """")))"),"Plasters In Tin Woodland Animals")</f>
        <v>Plasters In Tin Woodland Animals</v>
      </c>
      <c r="I3317" s="3">
        <v>1.0</v>
      </c>
      <c r="J3317" s="7">
        <v>40885.83125</v>
      </c>
      <c r="K3317" s="8" t="str">
        <f t="shared" si="4"/>
        <v>2011-12</v>
      </c>
      <c r="L3317" s="5">
        <v>1.65</v>
      </c>
      <c r="M3317" s="3">
        <v>12748.0</v>
      </c>
      <c r="N3317" s="1" t="str">
        <f t="shared" si="5"/>
        <v>Registered</v>
      </c>
      <c r="O3317" s="1" t="s">
        <v>19</v>
      </c>
      <c r="P3317" s="9" t="str">
        <f t="shared" si="6"/>
        <v>UK</v>
      </c>
      <c r="Q3317" s="8">
        <f t="shared" si="7"/>
        <v>1.65</v>
      </c>
    </row>
    <row r="3318">
      <c r="A3318" s="1">
        <v>581473.0</v>
      </c>
      <c r="B3318" s="1" t="str">
        <f t="shared" si="1"/>
        <v>581473</v>
      </c>
      <c r="C3318" s="1" t="str">
        <f t="shared" si="2"/>
        <v>Sale</v>
      </c>
      <c r="D3318" s="1">
        <v>22419.0</v>
      </c>
      <c r="E3318" s="1" t="str">
        <f>IFERROR(__xludf.DUMMYFUNCTION("IF(LEN(D3318)&gt;4, IFERROR(REGEXEXTRACT(TO_TEXT(D3318),""\d+""),""""),"""")"),"22419")</f>
        <v>22419</v>
      </c>
      <c r="F3318" s="6" t="str">
        <f t="shared" si="3"/>
        <v>Product</v>
      </c>
      <c r="G3318" s="1" t="s">
        <v>724</v>
      </c>
      <c r="H3318" s="6" t="str">
        <f>IFERROR(__xludf.DUMMYFUNCTION("IF(REGEXMATCH(LOWER(G3318), ""^(\?)+\s*(missing)?\s*(\?)*$""), """", PROPER(SUBSTITUTE(SUBSTITUTE(G3318, ""?"", """"), ""*"", """")))"),"Lipstick Pen Red")</f>
        <v>Lipstick Pen Red</v>
      </c>
      <c r="I3318" s="3">
        <v>1.0</v>
      </c>
      <c r="J3318" s="7">
        <v>40885.83125</v>
      </c>
      <c r="K3318" s="8" t="str">
        <f t="shared" si="4"/>
        <v>2011-12</v>
      </c>
      <c r="L3318" s="5">
        <v>0.42</v>
      </c>
      <c r="M3318" s="3">
        <v>12748.0</v>
      </c>
      <c r="N3318" s="1" t="str">
        <f t="shared" si="5"/>
        <v>Registered</v>
      </c>
      <c r="O3318" s="1" t="s">
        <v>19</v>
      </c>
      <c r="P3318" s="9" t="str">
        <f t="shared" si="6"/>
        <v>UK</v>
      </c>
      <c r="Q3318" s="8">
        <f t="shared" si="7"/>
        <v>0.42</v>
      </c>
    </row>
    <row r="3319">
      <c r="A3319" s="1">
        <v>581473.0</v>
      </c>
      <c r="B3319" s="1" t="str">
        <f t="shared" si="1"/>
        <v>581473</v>
      </c>
      <c r="C3319" s="1" t="str">
        <f t="shared" si="2"/>
        <v>Sale</v>
      </c>
      <c r="D3319" s="1">
        <v>23207.0</v>
      </c>
      <c r="E3319" s="1" t="str">
        <f>IFERROR(__xludf.DUMMYFUNCTION("IF(LEN(D3319)&gt;4, IFERROR(REGEXEXTRACT(TO_TEXT(D3319),""\d+""),""""),"""")"),"23207")</f>
        <v>23207</v>
      </c>
      <c r="F3319" s="6" t="str">
        <f t="shared" si="3"/>
        <v>Product</v>
      </c>
      <c r="G3319" s="1" t="s">
        <v>1564</v>
      </c>
      <c r="H3319" s="6" t="str">
        <f>IFERROR(__xludf.DUMMYFUNCTION("IF(REGEXMATCH(LOWER(G3319), ""^(\?)+\s*(missing)?\s*(\?)*$""), """", PROPER(SUBSTITUTE(SUBSTITUTE(G3319, ""?"", """"), ""*"", """")))"),"Lunch Bag Alphabet Design")</f>
        <v>Lunch Bag Alphabet Design</v>
      </c>
      <c r="I3319" s="3">
        <v>2.0</v>
      </c>
      <c r="J3319" s="7">
        <v>40885.83125</v>
      </c>
      <c r="K3319" s="8" t="str">
        <f t="shared" si="4"/>
        <v>2011-12</v>
      </c>
      <c r="L3319" s="5">
        <v>1.65</v>
      </c>
      <c r="M3319" s="3">
        <v>12748.0</v>
      </c>
      <c r="N3319" s="1" t="str">
        <f t="shared" si="5"/>
        <v>Registered</v>
      </c>
      <c r="O3319" s="1" t="s">
        <v>19</v>
      </c>
      <c r="P3319" s="9" t="str">
        <f t="shared" si="6"/>
        <v>UK</v>
      </c>
      <c r="Q3319" s="8">
        <f t="shared" si="7"/>
        <v>3.3</v>
      </c>
    </row>
    <row r="3320">
      <c r="A3320" s="1">
        <v>581473.0</v>
      </c>
      <c r="B3320" s="1" t="str">
        <f t="shared" si="1"/>
        <v>581473</v>
      </c>
      <c r="C3320" s="1" t="str">
        <f t="shared" si="2"/>
        <v>Sale</v>
      </c>
      <c r="D3320" s="1">
        <v>21944.0</v>
      </c>
      <c r="E3320" s="1" t="str">
        <f>IFERROR(__xludf.DUMMYFUNCTION("IF(LEN(D3320)&gt;4, IFERROR(REGEXEXTRACT(TO_TEXT(D3320),""\d+""),""""),"""")"),"21944")</f>
        <v>21944</v>
      </c>
      <c r="F3320" s="6" t="str">
        <f t="shared" si="3"/>
        <v>Product</v>
      </c>
      <c r="G3320" s="1" t="s">
        <v>1565</v>
      </c>
      <c r="H3320" s="6" t="str">
        <f>IFERROR(__xludf.DUMMYFUNCTION("IF(REGEXMATCH(LOWER(G3320), ""^(\?)+\s*(missing)?\s*(\?)*$""), """", PROPER(SUBSTITUTE(SUBSTITUTE(G3320, ""?"", """"), ""*"", """")))"),"Kittens Design Flannel")</f>
        <v>Kittens Design Flannel</v>
      </c>
      <c r="I3320" s="3">
        <v>3.0</v>
      </c>
      <c r="J3320" s="7">
        <v>40885.83125</v>
      </c>
      <c r="K3320" s="8" t="str">
        <f t="shared" si="4"/>
        <v>2011-12</v>
      </c>
      <c r="L3320" s="5">
        <v>0.39</v>
      </c>
      <c r="M3320" s="3">
        <v>12748.0</v>
      </c>
      <c r="N3320" s="1" t="str">
        <f t="shared" si="5"/>
        <v>Registered</v>
      </c>
      <c r="O3320" s="1" t="s">
        <v>19</v>
      </c>
      <c r="P3320" s="9" t="str">
        <f t="shared" si="6"/>
        <v>UK</v>
      </c>
      <c r="Q3320" s="8">
        <f t="shared" si="7"/>
        <v>1.17</v>
      </c>
    </row>
    <row r="3321">
      <c r="A3321" s="1">
        <v>581473.0</v>
      </c>
      <c r="B3321" s="1" t="str">
        <f t="shared" si="1"/>
        <v>581473</v>
      </c>
      <c r="C3321" s="1" t="str">
        <f t="shared" si="2"/>
        <v>Sale</v>
      </c>
      <c r="D3321" s="1">
        <v>22529.0</v>
      </c>
      <c r="E3321" s="1" t="str">
        <f>IFERROR(__xludf.DUMMYFUNCTION("IF(LEN(D3321)&gt;4, IFERROR(REGEXEXTRACT(TO_TEXT(D3321),""\d+""),""""),"""")"),"22529")</f>
        <v>22529</v>
      </c>
      <c r="F3321" s="6" t="str">
        <f t="shared" si="3"/>
        <v>Product</v>
      </c>
      <c r="G3321" s="1" t="s">
        <v>501</v>
      </c>
      <c r="H3321" s="6" t="str">
        <f>IFERROR(__xludf.DUMMYFUNCTION("IF(REGEXMATCH(LOWER(G3321), ""^(\?)+\s*(missing)?\s*(\?)*$""), """", PROPER(SUBSTITUTE(SUBSTITUTE(G3321, ""?"", """"), ""*"", """")))"),"Magic Drawing Slate Go To The Fair")</f>
        <v>Magic Drawing Slate Go To The Fair</v>
      </c>
      <c r="I3321" s="3">
        <v>1.0</v>
      </c>
      <c r="J3321" s="7">
        <v>40885.83125</v>
      </c>
      <c r="K3321" s="8" t="str">
        <f t="shared" si="4"/>
        <v>2011-12</v>
      </c>
      <c r="L3321" s="5">
        <v>0.42</v>
      </c>
      <c r="M3321" s="3">
        <v>12748.0</v>
      </c>
      <c r="N3321" s="1" t="str">
        <f t="shared" si="5"/>
        <v>Registered</v>
      </c>
      <c r="O3321" s="1" t="s">
        <v>19</v>
      </c>
      <c r="P3321" s="9" t="str">
        <f t="shared" si="6"/>
        <v>UK</v>
      </c>
      <c r="Q3321" s="8">
        <f t="shared" si="7"/>
        <v>0.42</v>
      </c>
    </row>
    <row r="3322">
      <c r="A3322" s="1">
        <v>581473.0</v>
      </c>
      <c r="B3322" s="1" t="str">
        <f t="shared" si="1"/>
        <v>581473</v>
      </c>
      <c r="C3322" s="1" t="str">
        <f t="shared" si="2"/>
        <v>Sale</v>
      </c>
      <c r="D3322" s="1">
        <v>21786.0</v>
      </c>
      <c r="E3322" s="1" t="str">
        <f>IFERROR(__xludf.DUMMYFUNCTION("IF(LEN(D3322)&gt;4, IFERROR(REGEXEXTRACT(TO_TEXT(D3322),""\d+""),""""),"""")"),"21786")</f>
        <v>21786</v>
      </c>
      <c r="F3322" s="6" t="str">
        <f t="shared" si="3"/>
        <v>Product</v>
      </c>
      <c r="G3322" s="1" t="s">
        <v>221</v>
      </c>
      <c r="H3322" s="6" t="str">
        <f>IFERROR(__xludf.DUMMYFUNCTION("IF(REGEXMATCH(LOWER(G3322), ""^(\?)+\s*(missing)?\s*(\?)*$""), """", PROPER(SUBSTITUTE(SUBSTITUTE(G3322, ""?"", """"), ""*"", """")))"),"Polkadot Rain Hat")</f>
        <v>Polkadot Rain Hat</v>
      </c>
      <c r="I3322" s="3">
        <v>1.0</v>
      </c>
      <c r="J3322" s="7">
        <v>40885.83125</v>
      </c>
      <c r="K3322" s="8" t="str">
        <f t="shared" si="4"/>
        <v>2011-12</v>
      </c>
      <c r="L3322" s="5">
        <v>0.42</v>
      </c>
      <c r="M3322" s="3">
        <v>12748.0</v>
      </c>
      <c r="N3322" s="1" t="str">
        <f t="shared" si="5"/>
        <v>Registered</v>
      </c>
      <c r="O3322" s="1" t="s">
        <v>19</v>
      </c>
      <c r="P3322" s="9" t="str">
        <f t="shared" si="6"/>
        <v>UK</v>
      </c>
      <c r="Q3322" s="8">
        <f t="shared" si="7"/>
        <v>0.42</v>
      </c>
    </row>
    <row r="3323">
      <c r="A3323" s="1">
        <v>581473.0</v>
      </c>
      <c r="B3323" s="1" t="str">
        <f t="shared" si="1"/>
        <v>581473</v>
      </c>
      <c r="C3323" s="1" t="str">
        <f t="shared" si="2"/>
        <v>Sale</v>
      </c>
      <c r="D3323" s="1">
        <v>22992.0</v>
      </c>
      <c r="E3323" s="1" t="str">
        <f>IFERROR(__xludf.DUMMYFUNCTION("IF(LEN(D3323)&gt;4, IFERROR(REGEXEXTRACT(TO_TEXT(D3323),""\d+""),""""),"""")"),"22992")</f>
        <v>22992</v>
      </c>
      <c r="F3323" s="6" t="str">
        <f t="shared" si="3"/>
        <v>Product</v>
      </c>
      <c r="G3323" s="1" t="s">
        <v>732</v>
      </c>
      <c r="H3323" s="6" t="str">
        <f>IFERROR(__xludf.DUMMYFUNCTION("IF(REGEXMATCH(LOWER(G3323), ""^(\?)+\s*(missing)?\s*(\?)*$""), """", PROPER(SUBSTITUTE(SUBSTITUTE(G3323, ""?"", """"), ""*"", """")))"),"Revolver Wooden Ruler")</f>
        <v>Revolver Wooden Ruler</v>
      </c>
      <c r="I3323" s="3">
        <v>1.0</v>
      </c>
      <c r="J3323" s="7">
        <v>40885.83125</v>
      </c>
      <c r="K3323" s="8" t="str">
        <f t="shared" si="4"/>
        <v>2011-12</v>
      </c>
      <c r="L3323" s="5">
        <v>1.95</v>
      </c>
      <c r="M3323" s="3">
        <v>12748.0</v>
      </c>
      <c r="N3323" s="1" t="str">
        <f t="shared" si="5"/>
        <v>Registered</v>
      </c>
      <c r="O3323" s="1" t="s">
        <v>19</v>
      </c>
      <c r="P3323" s="9" t="str">
        <f t="shared" si="6"/>
        <v>UK</v>
      </c>
      <c r="Q3323" s="8">
        <f t="shared" si="7"/>
        <v>1.95</v>
      </c>
    </row>
    <row r="3324">
      <c r="A3324" s="1">
        <v>581473.0</v>
      </c>
      <c r="B3324" s="1" t="str">
        <f t="shared" si="1"/>
        <v>581473</v>
      </c>
      <c r="C3324" s="1" t="str">
        <f t="shared" si="2"/>
        <v>Sale</v>
      </c>
      <c r="D3324" s="1">
        <v>22865.0</v>
      </c>
      <c r="E3324" s="1" t="str">
        <f>IFERROR(__xludf.DUMMYFUNCTION("IF(LEN(D3324)&gt;4, IFERROR(REGEXEXTRACT(TO_TEXT(D3324),""\d+""),""""),"""")"),"22865")</f>
        <v>22865</v>
      </c>
      <c r="F3324" s="6" t="str">
        <f t="shared" si="3"/>
        <v>Product</v>
      </c>
      <c r="G3324" s="1" t="s">
        <v>247</v>
      </c>
      <c r="H3324" s="6" t="str">
        <f>IFERROR(__xludf.DUMMYFUNCTION("IF(REGEXMATCH(LOWER(G3324), ""^(\?)+\s*(missing)?\s*(\?)*$""), """", PROPER(SUBSTITUTE(SUBSTITUTE(G3324, ""?"", """"), ""*"", """")))"),"Hand Warmer Owl Design")</f>
        <v>Hand Warmer Owl Design</v>
      </c>
      <c r="I3324" s="3">
        <v>1.0</v>
      </c>
      <c r="J3324" s="7">
        <v>40885.83125</v>
      </c>
      <c r="K3324" s="8" t="str">
        <f t="shared" si="4"/>
        <v>2011-12</v>
      </c>
      <c r="L3324" s="5">
        <v>2.1</v>
      </c>
      <c r="M3324" s="3">
        <v>12748.0</v>
      </c>
      <c r="N3324" s="1" t="str">
        <f t="shared" si="5"/>
        <v>Registered</v>
      </c>
      <c r="O3324" s="1" t="s">
        <v>19</v>
      </c>
      <c r="P3324" s="9" t="str">
        <f t="shared" si="6"/>
        <v>UK</v>
      </c>
      <c r="Q3324" s="8">
        <f t="shared" si="7"/>
        <v>2.1</v>
      </c>
    </row>
    <row r="3325">
      <c r="A3325" s="1">
        <v>581473.0</v>
      </c>
      <c r="B3325" s="1" t="str">
        <f t="shared" si="1"/>
        <v>581473</v>
      </c>
      <c r="C3325" s="1" t="str">
        <f t="shared" si="2"/>
        <v>Sale</v>
      </c>
      <c r="D3325" s="1">
        <v>22030.0</v>
      </c>
      <c r="E3325" s="1" t="str">
        <f>IFERROR(__xludf.DUMMYFUNCTION("IF(LEN(D3325)&gt;4, IFERROR(REGEXEXTRACT(TO_TEXT(D3325),""\d+""),""""),"""")"),"22030")</f>
        <v>22030</v>
      </c>
      <c r="F3325" s="6" t="str">
        <f t="shared" si="3"/>
        <v>Product</v>
      </c>
      <c r="G3325" s="1" t="s">
        <v>898</v>
      </c>
      <c r="H3325" s="6" t="str">
        <f>IFERROR(__xludf.DUMMYFUNCTION("IF(REGEXMATCH(LOWER(G3325), ""^(\?)+\s*(missing)?\s*(\?)*$""), """", PROPER(SUBSTITUTE(SUBSTITUTE(G3325, ""?"", """"), ""*"", """")))"),"Swallows Greeting Card")</f>
        <v>Swallows Greeting Card</v>
      </c>
      <c r="I3325" s="3">
        <v>12.0</v>
      </c>
      <c r="J3325" s="7">
        <v>40885.83125</v>
      </c>
      <c r="K3325" s="8" t="str">
        <f t="shared" si="4"/>
        <v>2011-12</v>
      </c>
      <c r="L3325" s="5">
        <v>0.42</v>
      </c>
      <c r="M3325" s="3">
        <v>12748.0</v>
      </c>
      <c r="N3325" s="1" t="str">
        <f t="shared" si="5"/>
        <v>Registered</v>
      </c>
      <c r="O3325" s="1" t="s">
        <v>19</v>
      </c>
      <c r="P3325" s="9" t="str">
        <f t="shared" si="6"/>
        <v>UK</v>
      </c>
      <c r="Q3325" s="8">
        <f t="shared" si="7"/>
        <v>5.04</v>
      </c>
    </row>
    <row r="3326">
      <c r="A3326" s="1">
        <v>581473.0</v>
      </c>
      <c r="B3326" s="1" t="str">
        <f t="shared" si="1"/>
        <v>581473</v>
      </c>
      <c r="C3326" s="1" t="str">
        <f t="shared" si="2"/>
        <v>Sale</v>
      </c>
      <c r="D3326" s="1">
        <v>22990.0</v>
      </c>
      <c r="E3326" s="1" t="str">
        <f>IFERROR(__xludf.DUMMYFUNCTION("IF(LEN(D3326)&gt;4, IFERROR(REGEXEXTRACT(TO_TEXT(D3326),""\d+""),""""),"""")"),"22990")</f>
        <v>22990</v>
      </c>
      <c r="F3326" s="6" t="str">
        <f t="shared" si="3"/>
        <v>Product</v>
      </c>
      <c r="G3326" s="1" t="s">
        <v>1164</v>
      </c>
      <c r="H3326" s="6" t="str">
        <f>IFERROR(__xludf.DUMMYFUNCTION("IF(REGEXMATCH(LOWER(G3326), ""^(\?)+\s*(missing)?\s*(\?)*$""), """", PROPER(SUBSTITUTE(SUBSTITUTE(G3326, ""?"", """"), ""*"", """")))"),"Cotton Apron Pantry Design")</f>
        <v>Cotton Apron Pantry Design</v>
      </c>
      <c r="I3326" s="3">
        <v>1.0</v>
      </c>
      <c r="J3326" s="7">
        <v>40885.83125</v>
      </c>
      <c r="K3326" s="8" t="str">
        <f t="shared" si="4"/>
        <v>2011-12</v>
      </c>
      <c r="L3326" s="5">
        <v>1.95</v>
      </c>
      <c r="M3326" s="3">
        <v>12748.0</v>
      </c>
      <c r="N3326" s="1" t="str">
        <f t="shared" si="5"/>
        <v>Registered</v>
      </c>
      <c r="O3326" s="1" t="s">
        <v>19</v>
      </c>
      <c r="P3326" s="9" t="str">
        <f t="shared" si="6"/>
        <v>UK</v>
      </c>
      <c r="Q3326" s="8">
        <f t="shared" si="7"/>
        <v>1.95</v>
      </c>
    </row>
    <row r="3327">
      <c r="A3327" s="1">
        <v>581473.0</v>
      </c>
      <c r="B3327" s="1" t="str">
        <f t="shared" si="1"/>
        <v>581473</v>
      </c>
      <c r="C3327" s="1" t="str">
        <f t="shared" si="2"/>
        <v>Sale</v>
      </c>
      <c r="D3327" s="1">
        <v>22989.0</v>
      </c>
      <c r="E3327" s="1" t="str">
        <f>IFERROR(__xludf.DUMMYFUNCTION("IF(LEN(D3327)&gt;4, IFERROR(REGEXEXTRACT(TO_TEXT(D3327),""\d+""),""""),"""")"),"22989")</f>
        <v>22989</v>
      </c>
      <c r="F3327" s="6" t="str">
        <f t="shared" si="3"/>
        <v>Product</v>
      </c>
      <c r="G3327" s="1" t="s">
        <v>1046</v>
      </c>
      <c r="H3327" s="6" t="str">
        <f>IFERROR(__xludf.DUMMYFUNCTION("IF(REGEXMATCH(LOWER(G3327), ""^(\?)+\s*(missing)?\s*(\?)*$""), """", PROPER(SUBSTITUTE(SUBSTITUTE(G3327, ""?"", """"), ""*"", """")))"),"Set 2 Pantry Design Tea Towels")</f>
        <v>Set 2 Pantry Design Tea Towels</v>
      </c>
      <c r="I3327" s="3">
        <v>1.0</v>
      </c>
      <c r="J3327" s="7">
        <v>40885.83125</v>
      </c>
      <c r="K3327" s="8" t="str">
        <f t="shared" si="4"/>
        <v>2011-12</v>
      </c>
      <c r="L3327" s="5">
        <v>3.25</v>
      </c>
      <c r="M3327" s="3">
        <v>12748.0</v>
      </c>
      <c r="N3327" s="1" t="str">
        <f t="shared" si="5"/>
        <v>Registered</v>
      </c>
      <c r="O3327" s="1" t="s">
        <v>19</v>
      </c>
      <c r="P3327" s="9" t="str">
        <f t="shared" si="6"/>
        <v>UK</v>
      </c>
      <c r="Q3327" s="8">
        <f t="shared" si="7"/>
        <v>3.25</v>
      </c>
    </row>
    <row r="3328">
      <c r="A3328" s="1">
        <v>581473.0</v>
      </c>
      <c r="B3328" s="1" t="str">
        <f t="shared" si="1"/>
        <v>581473</v>
      </c>
      <c r="C3328" s="1" t="str">
        <f t="shared" si="2"/>
        <v>Sale</v>
      </c>
      <c r="D3328" s="1">
        <v>23198.0</v>
      </c>
      <c r="E3328" s="1" t="str">
        <f>IFERROR(__xludf.DUMMYFUNCTION("IF(LEN(D3328)&gt;4, IFERROR(REGEXEXTRACT(TO_TEXT(D3328),""\d+""),""""),"""")"),"23198")</f>
        <v>23198</v>
      </c>
      <c r="F3328" s="6" t="str">
        <f t="shared" si="3"/>
        <v>Product</v>
      </c>
      <c r="G3328" s="1" t="s">
        <v>1423</v>
      </c>
      <c r="H3328" s="6" t="str">
        <f>IFERROR(__xludf.DUMMYFUNCTION("IF(REGEXMATCH(LOWER(G3328), ""^(\?)+\s*(missing)?\s*(\?)*$""), """", PROPER(SUBSTITUTE(SUBSTITUTE(G3328, ""?"", """"), ""*"", """")))"),"Pantry Magnetic Shopping List")</f>
        <v>Pantry Magnetic Shopping List</v>
      </c>
      <c r="I3328" s="3">
        <v>1.0</v>
      </c>
      <c r="J3328" s="7">
        <v>40885.83125</v>
      </c>
      <c r="K3328" s="8" t="str">
        <f t="shared" si="4"/>
        <v>2011-12</v>
      </c>
      <c r="L3328" s="5">
        <v>1.45</v>
      </c>
      <c r="M3328" s="3">
        <v>12748.0</v>
      </c>
      <c r="N3328" s="1" t="str">
        <f t="shared" si="5"/>
        <v>Registered</v>
      </c>
      <c r="O3328" s="1" t="s">
        <v>19</v>
      </c>
      <c r="P3328" s="9" t="str">
        <f t="shared" si="6"/>
        <v>UK</v>
      </c>
      <c r="Q3328" s="8">
        <f t="shared" si="7"/>
        <v>1.45</v>
      </c>
    </row>
    <row r="3329">
      <c r="A3329" s="1">
        <v>581473.0</v>
      </c>
      <c r="B3329" s="1" t="str">
        <f t="shared" si="1"/>
        <v>581473</v>
      </c>
      <c r="C3329" s="1" t="str">
        <f t="shared" si="2"/>
        <v>Sale</v>
      </c>
      <c r="D3329" s="1">
        <v>21055.0</v>
      </c>
      <c r="E3329" s="1" t="str">
        <f>IFERROR(__xludf.DUMMYFUNCTION("IF(LEN(D3329)&gt;4, IFERROR(REGEXEXTRACT(TO_TEXT(D3329),""\d+""),""""),"""")"),"21055")</f>
        <v>21055</v>
      </c>
      <c r="F3329" s="6" t="str">
        <f t="shared" si="3"/>
        <v>Product</v>
      </c>
      <c r="G3329" s="1" t="s">
        <v>1367</v>
      </c>
      <c r="H3329" s="6" t="str">
        <f>IFERROR(__xludf.DUMMYFUNCTION("IF(REGEXMATCH(LOWER(G3329), ""^(\?)+\s*(missing)?\s*(\?)*$""), """", PROPER(SUBSTITUTE(SUBSTITUTE(G3329, ""?"", """"), ""*"", """")))"),"Tool Box Soft Toy")</f>
        <v>Tool Box Soft Toy</v>
      </c>
      <c r="I3329" s="3">
        <v>1.0</v>
      </c>
      <c r="J3329" s="7">
        <v>40885.83125</v>
      </c>
      <c r="K3329" s="8" t="str">
        <f t="shared" si="4"/>
        <v>2011-12</v>
      </c>
      <c r="L3329" s="5">
        <v>8.95</v>
      </c>
      <c r="M3329" s="3">
        <v>12748.0</v>
      </c>
      <c r="N3329" s="1" t="str">
        <f t="shared" si="5"/>
        <v>Registered</v>
      </c>
      <c r="O3329" s="1" t="s">
        <v>19</v>
      </c>
      <c r="P3329" s="9" t="str">
        <f t="shared" si="6"/>
        <v>UK</v>
      </c>
      <c r="Q3329" s="8">
        <f t="shared" si="7"/>
        <v>8.95</v>
      </c>
    </row>
    <row r="3330">
      <c r="A3330" s="1">
        <v>581473.0</v>
      </c>
      <c r="B3330" s="1" t="str">
        <f t="shared" si="1"/>
        <v>581473</v>
      </c>
      <c r="C3330" s="1" t="str">
        <f t="shared" si="2"/>
        <v>Sale</v>
      </c>
      <c r="D3330" s="1">
        <v>23344.0</v>
      </c>
      <c r="E3330" s="1" t="str">
        <f>IFERROR(__xludf.DUMMYFUNCTION("IF(LEN(D3330)&gt;4, IFERROR(REGEXEXTRACT(TO_TEXT(D3330),""\d+""),""""),"""")"),"23344")</f>
        <v>23344</v>
      </c>
      <c r="F3330" s="6" t="str">
        <f t="shared" si="3"/>
        <v>Product</v>
      </c>
      <c r="G3330" s="1" t="s">
        <v>1566</v>
      </c>
      <c r="H3330" s="6" t="str">
        <f>IFERROR(__xludf.DUMMYFUNCTION("IF(REGEXMATCH(LOWER(G3330), ""^(\?)+\s*(missing)?\s*(\?)*$""), """", PROPER(SUBSTITUTE(SUBSTITUTE(G3330, ""?"", """"), ""*"", """")))"),"Jumbo Bag 50'S Christmas")</f>
        <v>Jumbo Bag 50'S Christmas</v>
      </c>
      <c r="I3330" s="3">
        <v>2.0</v>
      </c>
      <c r="J3330" s="7">
        <v>40885.83125</v>
      </c>
      <c r="K3330" s="8" t="str">
        <f t="shared" si="4"/>
        <v>2011-12</v>
      </c>
      <c r="L3330" s="5">
        <v>2.08</v>
      </c>
      <c r="M3330" s="3">
        <v>12748.0</v>
      </c>
      <c r="N3330" s="1" t="str">
        <f t="shared" si="5"/>
        <v>Registered</v>
      </c>
      <c r="O3330" s="1" t="s">
        <v>19</v>
      </c>
      <c r="P3330" s="9" t="str">
        <f t="shared" si="6"/>
        <v>UK</v>
      </c>
      <c r="Q3330" s="8">
        <f t="shared" si="7"/>
        <v>4.16</v>
      </c>
    </row>
    <row r="3331">
      <c r="A3331" s="1">
        <v>581473.0</v>
      </c>
      <c r="B3331" s="1" t="str">
        <f t="shared" si="1"/>
        <v>581473</v>
      </c>
      <c r="C3331" s="1" t="str">
        <f t="shared" si="2"/>
        <v>Sale</v>
      </c>
      <c r="D3331" s="1">
        <v>22190.0</v>
      </c>
      <c r="E3331" s="1" t="str">
        <f>IFERROR(__xludf.DUMMYFUNCTION("IF(LEN(D3331)&gt;4, IFERROR(REGEXEXTRACT(TO_TEXT(D3331),""\d+""),""""),"""")"),"22190")</f>
        <v>22190</v>
      </c>
      <c r="F3331" s="6" t="str">
        <f t="shared" si="3"/>
        <v>Product</v>
      </c>
      <c r="G3331" s="1" t="s">
        <v>1567</v>
      </c>
      <c r="H3331" s="6" t="str">
        <f>IFERROR(__xludf.DUMMYFUNCTION("IF(REGEXMATCH(LOWER(G3331), ""^(\?)+\s*(missing)?\s*(\?)*$""), """", PROPER(SUBSTITUTE(SUBSTITUTE(G3331, ""?"", """"), ""*"", """")))"),"Local Cafe Mug")</f>
        <v>Local Cafe Mug</v>
      </c>
      <c r="I3331" s="3">
        <v>1.0</v>
      </c>
      <c r="J3331" s="7">
        <v>40885.83125</v>
      </c>
      <c r="K3331" s="8" t="str">
        <f t="shared" si="4"/>
        <v>2011-12</v>
      </c>
      <c r="L3331" s="5">
        <v>0.39</v>
      </c>
      <c r="M3331" s="3">
        <v>12748.0</v>
      </c>
      <c r="N3331" s="1" t="str">
        <f t="shared" si="5"/>
        <v>Registered</v>
      </c>
      <c r="O3331" s="1" t="s">
        <v>19</v>
      </c>
      <c r="P3331" s="9" t="str">
        <f t="shared" si="6"/>
        <v>UK</v>
      </c>
      <c r="Q3331" s="8">
        <f t="shared" si="7"/>
        <v>0.39</v>
      </c>
    </row>
    <row r="3332">
      <c r="A3332" s="1">
        <v>581473.0</v>
      </c>
      <c r="B3332" s="1" t="str">
        <f t="shared" si="1"/>
        <v>581473</v>
      </c>
      <c r="C3332" s="1" t="str">
        <f t="shared" si="2"/>
        <v>Sale</v>
      </c>
      <c r="D3332" s="1">
        <v>21832.0</v>
      </c>
      <c r="E3332" s="1" t="str">
        <f>IFERROR(__xludf.DUMMYFUNCTION("IF(LEN(D3332)&gt;4, IFERROR(REGEXEXTRACT(TO_TEXT(D3332),""\d+""),""""),"""")"),"21832")</f>
        <v>21832</v>
      </c>
      <c r="F3332" s="6" t="str">
        <f t="shared" si="3"/>
        <v>Product</v>
      </c>
      <c r="G3332" s="1" t="s">
        <v>151</v>
      </c>
      <c r="H3332" s="6" t="str">
        <f>IFERROR(__xludf.DUMMYFUNCTION("IF(REGEXMATCH(LOWER(G3332), ""^(\?)+\s*(missing)?\s*(\?)*$""), """", PROPER(SUBSTITUTE(SUBSTITUTE(G3332, ""?"", """"), ""*"", """")))"),"Chocolate Calculator")</f>
        <v>Chocolate Calculator</v>
      </c>
      <c r="I3332" s="3">
        <v>1.0</v>
      </c>
      <c r="J3332" s="7">
        <v>40885.83125</v>
      </c>
      <c r="K3332" s="8" t="str">
        <f t="shared" si="4"/>
        <v>2011-12</v>
      </c>
      <c r="L3332" s="5">
        <v>1.65</v>
      </c>
      <c r="M3332" s="3">
        <v>12748.0</v>
      </c>
      <c r="N3332" s="1" t="str">
        <f t="shared" si="5"/>
        <v>Registered</v>
      </c>
      <c r="O3332" s="1" t="s">
        <v>19</v>
      </c>
      <c r="P3332" s="9" t="str">
        <f t="shared" si="6"/>
        <v>UK</v>
      </c>
      <c r="Q3332" s="8">
        <f t="shared" si="7"/>
        <v>1.65</v>
      </c>
    </row>
    <row r="3333">
      <c r="A3333" s="1">
        <v>581473.0</v>
      </c>
      <c r="B3333" s="1" t="str">
        <f t="shared" si="1"/>
        <v>581473</v>
      </c>
      <c r="C3333" s="1" t="str">
        <f t="shared" si="2"/>
        <v>Sale</v>
      </c>
      <c r="D3333" s="1">
        <v>22208.0</v>
      </c>
      <c r="E3333" s="1" t="str">
        <f>IFERROR(__xludf.DUMMYFUNCTION("IF(LEN(D3333)&gt;4, IFERROR(REGEXEXTRACT(TO_TEXT(D3333),""\d+""),""""),"""")"),"22208")</f>
        <v>22208</v>
      </c>
      <c r="F3333" s="6" t="str">
        <f t="shared" si="3"/>
        <v>Product</v>
      </c>
      <c r="G3333" s="1" t="s">
        <v>1568</v>
      </c>
      <c r="H3333" s="6" t="str">
        <f>IFERROR(__xludf.DUMMYFUNCTION("IF(REGEXMATCH(LOWER(G3333), ""^(\?)+\s*(missing)?\s*(\?)*$""), """", PROPER(SUBSTITUTE(SUBSTITUTE(G3333, ""?"", """"), ""*"", """")))"),"Wood Stamp Set Thank You")</f>
        <v>Wood Stamp Set Thank You</v>
      </c>
      <c r="I3333" s="3">
        <v>1.0</v>
      </c>
      <c r="J3333" s="7">
        <v>40885.83125</v>
      </c>
      <c r="K3333" s="8" t="str">
        <f t="shared" si="4"/>
        <v>2011-12</v>
      </c>
      <c r="L3333" s="5">
        <v>0.83</v>
      </c>
      <c r="M3333" s="3">
        <v>12748.0</v>
      </c>
      <c r="N3333" s="1" t="str">
        <f t="shared" si="5"/>
        <v>Registered</v>
      </c>
      <c r="O3333" s="1" t="s">
        <v>19</v>
      </c>
      <c r="P3333" s="9" t="str">
        <f t="shared" si="6"/>
        <v>UK</v>
      </c>
      <c r="Q3333" s="8">
        <f t="shared" si="7"/>
        <v>0.83</v>
      </c>
    </row>
    <row r="3334">
      <c r="A3334" s="1">
        <v>581473.0</v>
      </c>
      <c r="B3334" s="1" t="str">
        <f t="shared" si="1"/>
        <v>581473</v>
      </c>
      <c r="C3334" s="1" t="str">
        <f t="shared" si="2"/>
        <v>Sale</v>
      </c>
      <c r="D3334" s="1">
        <v>22086.0</v>
      </c>
      <c r="E3334" s="1" t="str">
        <f>IFERROR(__xludf.DUMMYFUNCTION("IF(LEN(D3334)&gt;4, IFERROR(REGEXEXTRACT(TO_TEXT(D3334),""\d+""),""""),"""")"),"22086")</f>
        <v>22086</v>
      </c>
      <c r="F3334" s="6" t="str">
        <f t="shared" si="3"/>
        <v>Product</v>
      </c>
      <c r="G3334" s="1" t="s">
        <v>70</v>
      </c>
      <c r="H3334" s="6" t="str">
        <f>IFERROR(__xludf.DUMMYFUNCTION("IF(REGEXMATCH(LOWER(G3334), ""^(\?)+\s*(missing)?\s*(\?)*$""), """", PROPER(SUBSTITUTE(SUBSTITUTE(G3334, ""?"", """"), ""*"", """")))"),"Paper Chain Kit 50'S Christmas")</f>
        <v>Paper Chain Kit 50'S Christmas</v>
      </c>
      <c r="I3334" s="3">
        <v>3.0</v>
      </c>
      <c r="J3334" s="7">
        <v>40885.83125</v>
      </c>
      <c r="K3334" s="8" t="str">
        <f t="shared" si="4"/>
        <v>2011-12</v>
      </c>
      <c r="L3334" s="5">
        <v>2.95</v>
      </c>
      <c r="M3334" s="3">
        <v>12748.0</v>
      </c>
      <c r="N3334" s="1" t="str">
        <f t="shared" si="5"/>
        <v>Registered</v>
      </c>
      <c r="O3334" s="1" t="s">
        <v>19</v>
      </c>
      <c r="P3334" s="9" t="str">
        <f t="shared" si="6"/>
        <v>UK</v>
      </c>
      <c r="Q3334" s="8">
        <f t="shared" si="7"/>
        <v>8.85</v>
      </c>
    </row>
    <row r="3335">
      <c r="A3335" s="1">
        <v>581473.0</v>
      </c>
      <c r="B3335" s="1" t="str">
        <f t="shared" si="1"/>
        <v>581473</v>
      </c>
      <c r="C3335" s="1" t="str">
        <f t="shared" si="2"/>
        <v>Sale</v>
      </c>
      <c r="D3335" s="1">
        <v>23352.0</v>
      </c>
      <c r="E3335" s="1" t="str">
        <f>IFERROR(__xludf.DUMMYFUNCTION("IF(LEN(D3335)&gt;4, IFERROR(REGEXEXTRACT(TO_TEXT(D3335),""\d+""),""""),"""")"),"23352")</f>
        <v>23352</v>
      </c>
      <c r="F3335" s="6" t="str">
        <f t="shared" si="3"/>
        <v>Product</v>
      </c>
      <c r="G3335" s="1" t="s">
        <v>1569</v>
      </c>
      <c r="H3335" s="6" t="str">
        <f>IFERROR(__xludf.DUMMYFUNCTION("IF(REGEXMATCH(LOWER(G3335), ""^(\?)+\s*(missing)?\s*(\?)*$""), """", PROPER(SUBSTITUTE(SUBSTITUTE(G3335, ""?"", """"), ""*"", """")))"),"Roll Wrap 50'S Red Christmas")</f>
        <v>Roll Wrap 50'S Red Christmas</v>
      </c>
      <c r="I3335" s="3">
        <v>1.0</v>
      </c>
      <c r="J3335" s="7">
        <v>40885.83125</v>
      </c>
      <c r="K3335" s="8" t="str">
        <f t="shared" si="4"/>
        <v>2011-12</v>
      </c>
      <c r="L3335" s="5">
        <v>1.25</v>
      </c>
      <c r="M3335" s="3">
        <v>12748.0</v>
      </c>
      <c r="N3335" s="1" t="str">
        <f t="shared" si="5"/>
        <v>Registered</v>
      </c>
      <c r="O3335" s="1" t="s">
        <v>19</v>
      </c>
      <c r="P3335" s="9" t="str">
        <f t="shared" si="6"/>
        <v>UK</v>
      </c>
      <c r="Q3335" s="8">
        <f t="shared" si="7"/>
        <v>1.25</v>
      </c>
    </row>
    <row r="3336">
      <c r="A3336" s="1">
        <v>581473.0</v>
      </c>
      <c r="B3336" s="1" t="str">
        <f t="shared" si="1"/>
        <v>581473</v>
      </c>
      <c r="C3336" s="1" t="str">
        <f t="shared" si="2"/>
        <v>Sale</v>
      </c>
      <c r="D3336" s="1">
        <v>23351.0</v>
      </c>
      <c r="E3336" s="1" t="str">
        <f>IFERROR(__xludf.DUMMYFUNCTION("IF(LEN(D3336)&gt;4, IFERROR(REGEXEXTRACT(TO_TEXT(D3336),""\d+""),""""),"""")"),"23351")</f>
        <v>23351</v>
      </c>
      <c r="F3336" s="6" t="str">
        <f t="shared" si="3"/>
        <v>Product</v>
      </c>
      <c r="G3336" s="1" t="s">
        <v>1570</v>
      </c>
      <c r="H3336" s="6" t="str">
        <f>IFERROR(__xludf.DUMMYFUNCTION("IF(REGEXMATCH(LOWER(G3336), ""^(\?)+\s*(missing)?\s*(\?)*$""), """", PROPER(SUBSTITUTE(SUBSTITUTE(G3336, ""?"", """"), ""*"", """")))"),"Roll Wrap 50'S Christmas")</f>
        <v>Roll Wrap 50'S Christmas</v>
      </c>
      <c r="I3336" s="3">
        <v>1.0</v>
      </c>
      <c r="J3336" s="7">
        <v>40885.83125</v>
      </c>
      <c r="K3336" s="8" t="str">
        <f t="shared" si="4"/>
        <v>2011-12</v>
      </c>
      <c r="L3336" s="5">
        <v>1.25</v>
      </c>
      <c r="M3336" s="3">
        <v>12748.0</v>
      </c>
      <c r="N3336" s="1" t="str">
        <f t="shared" si="5"/>
        <v>Registered</v>
      </c>
      <c r="O3336" s="1" t="s">
        <v>19</v>
      </c>
      <c r="P3336" s="9" t="str">
        <f t="shared" si="6"/>
        <v>UK</v>
      </c>
      <c r="Q3336" s="8">
        <f t="shared" si="7"/>
        <v>1.25</v>
      </c>
    </row>
    <row r="3337">
      <c r="A3337" s="1">
        <v>581473.0</v>
      </c>
      <c r="B3337" s="1" t="str">
        <f t="shared" si="1"/>
        <v>581473</v>
      </c>
      <c r="C3337" s="1" t="str">
        <f t="shared" si="2"/>
        <v>Sale</v>
      </c>
      <c r="D3337" s="1">
        <v>23007.0</v>
      </c>
      <c r="E3337" s="1" t="str">
        <f>IFERROR(__xludf.DUMMYFUNCTION("IF(LEN(D3337)&gt;4, IFERROR(REGEXEXTRACT(TO_TEXT(D3337),""\d+""),""""),"""")"),"23007")</f>
        <v>23007</v>
      </c>
      <c r="F3337" s="6" t="str">
        <f t="shared" si="3"/>
        <v>Product</v>
      </c>
      <c r="G3337" s="1" t="s">
        <v>1571</v>
      </c>
      <c r="H3337" s="6" t="str">
        <f>IFERROR(__xludf.DUMMYFUNCTION("IF(REGEXMATCH(LOWER(G3337), ""^(\?)+\s*(missing)?\s*(\?)*$""), """", PROPER(SUBSTITUTE(SUBSTITUTE(G3337, ""?"", """"), ""*"", """")))"),"Spaceboy Baby Gift Set")</f>
        <v>Spaceboy Baby Gift Set</v>
      </c>
      <c r="I3337" s="3">
        <v>1.0</v>
      </c>
      <c r="J3337" s="7">
        <v>40885.83125</v>
      </c>
      <c r="K3337" s="8" t="str">
        <f t="shared" si="4"/>
        <v>2011-12</v>
      </c>
      <c r="L3337" s="5">
        <v>16.95</v>
      </c>
      <c r="M3337" s="3">
        <v>12748.0</v>
      </c>
      <c r="N3337" s="1" t="str">
        <f t="shared" si="5"/>
        <v>Registered</v>
      </c>
      <c r="O3337" s="1" t="s">
        <v>19</v>
      </c>
      <c r="P3337" s="9" t="str">
        <f t="shared" si="6"/>
        <v>UK</v>
      </c>
      <c r="Q3337" s="8">
        <f t="shared" si="7"/>
        <v>16.95</v>
      </c>
    </row>
    <row r="3338">
      <c r="A3338" s="1">
        <v>581473.0</v>
      </c>
      <c r="B3338" s="1" t="str">
        <f t="shared" si="1"/>
        <v>581473</v>
      </c>
      <c r="C3338" s="1" t="str">
        <f t="shared" si="2"/>
        <v>Sale</v>
      </c>
      <c r="D3338" s="1">
        <v>22130.0</v>
      </c>
      <c r="E3338" s="1" t="str">
        <f>IFERROR(__xludf.DUMMYFUNCTION("IF(LEN(D3338)&gt;4, IFERROR(REGEXEXTRACT(TO_TEXT(D3338),""\d+""),""""),"""")"),"22130")</f>
        <v>22130</v>
      </c>
      <c r="F3338" s="6" t="str">
        <f t="shared" si="3"/>
        <v>Product</v>
      </c>
      <c r="G3338" s="1" t="s">
        <v>475</v>
      </c>
      <c r="H3338" s="6" t="str">
        <f>IFERROR(__xludf.DUMMYFUNCTION("IF(REGEXMATCH(LOWER(G3338), ""^(\?)+\s*(missing)?\s*(\?)*$""), """", PROPER(SUBSTITUTE(SUBSTITUTE(G3338, ""?"", """"), ""*"", """")))"),"Party Cone Christmas Decoration")</f>
        <v>Party Cone Christmas Decoration</v>
      </c>
      <c r="I3338" s="3">
        <v>6.0</v>
      </c>
      <c r="J3338" s="7">
        <v>40885.83125</v>
      </c>
      <c r="K3338" s="8" t="str">
        <f t="shared" si="4"/>
        <v>2011-12</v>
      </c>
      <c r="L3338" s="5">
        <v>0.85</v>
      </c>
      <c r="M3338" s="3">
        <v>12748.0</v>
      </c>
      <c r="N3338" s="1" t="str">
        <f t="shared" si="5"/>
        <v>Registered</v>
      </c>
      <c r="O3338" s="1" t="s">
        <v>19</v>
      </c>
      <c r="P3338" s="9" t="str">
        <f t="shared" si="6"/>
        <v>UK</v>
      </c>
      <c r="Q3338" s="8">
        <f t="shared" si="7"/>
        <v>5.1</v>
      </c>
    </row>
    <row r="3339">
      <c r="A3339" s="1">
        <v>581473.0</v>
      </c>
      <c r="B3339" s="1" t="str">
        <f t="shared" si="1"/>
        <v>581473</v>
      </c>
      <c r="C3339" s="1" t="str">
        <f t="shared" si="2"/>
        <v>Sale</v>
      </c>
      <c r="D3339" s="1">
        <v>23080.0</v>
      </c>
      <c r="E3339" s="1" t="str">
        <f>IFERROR(__xludf.DUMMYFUNCTION("IF(LEN(D3339)&gt;4, IFERROR(REGEXEXTRACT(TO_TEXT(D3339),""\d+""),""""),"""")"),"23080")</f>
        <v>23080</v>
      </c>
      <c r="F3339" s="6" t="str">
        <f t="shared" si="3"/>
        <v>Product</v>
      </c>
      <c r="G3339" s="1" t="s">
        <v>1572</v>
      </c>
      <c r="H3339" s="6" t="str">
        <f>IFERROR(__xludf.DUMMYFUNCTION("IF(REGEXMATCH(LOWER(G3339), ""^(\?)+\s*(missing)?\s*(\?)*$""), """", PROPER(SUBSTITUTE(SUBSTITUTE(G3339, ""?"", """"), ""*"", """")))"),"Red Metal Box Top Secret")</f>
        <v>Red Metal Box Top Secret</v>
      </c>
      <c r="I3339" s="3">
        <v>1.0</v>
      </c>
      <c r="J3339" s="7">
        <v>40885.83125</v>
      </c>
      <c r="K3339" s="8" t="str">
        <f t="shared" si="4"/>
        <v>2011-12</v>
      </c>
      <c r="L3339" s="5">
        <v>8.25</v>
      </c>
      <c r="M3339" s="3">
        <v>12748.0</v>
      </c>
      <c r="N3339" s="1" t="str">
        <f t="shared" si="5"/>
        <v>Registered</v>
      </c>
      <c r="O3339" s="1" t="s">
        <v>19</v>
      </c>
      <c r="P3339" s="9" t="str">
        <f t="shared" si="6"/>
        <v>UK</v>
      </c>
      <c r="Q3339" s="8">
        <f t="shared" si="7"/>
        <v>8.25</v>
      </c>
    </row>
    <row r="3340">
      <c r="A3340" s="1">
        <v>581473.0</v>
      </c>
      <c r="B3340" s="1" t="str">
        <f t="shared" si="1"/>
        <v>581473</v>
      </c>
      <c r="C3340" s="1" t="str">
        <f t="shared" si="2"/>
        <v>Sale</v>
      </c>
      <c r="D3340" s="1">
        <v>22845.0</v>
      </c>
      <c r="E3340" s="1" t="str">
        <f>IFERROR(__xludf.DUMMYFUNCTION("IF(LEN(D3340)&gt;4, IFERROR(REGEXEXTRACT(TO_TEXT(D3340),""\d+""),""""),"""")"),"22845")</f>
        <v>22845</v>
      </c>
      <c r="F3340" s="6" t="str">
        <f t="shared" si="3"/>
        <v>Product</v>
      </c>
      <c r="G3340" s="1" t="s">
        <v>787</v>
      </c>
      <c r="H3340" s="6" t="str">
        <f>IFERROR(__xludf.DUMMYFUNCTION("IF(REGEXMATCH(LOWER(G3340), ""^(\?)+\s*(missing)?\s*(\?)*$""), """", PROPER(SUBSTITUTE(SUBSTITUTE(G3340, ""?"", """"), ""*"", """")))"),"Vintage Cream Cat Food Container")</f>
        <v>Vintage Cream Cat Food Container</v>
      </c>
      <c r="I3340" s="3">
        <v>1.0</v>
      </c>
      <c r="J3340" s="7">
        <v>40885.83125</v>
      </c>
      <c r="K3340" s="8" t="str">
        <f t="shared" si="4"/>
        <v>2011-12</v>
      </c>
      <c r="L3340" s="5">
        <v>6.35</v>
      </c>
      <c r="M3340" s="3">
        <v>12748.0</v>
      </c>
      <c r="N3340" s="1" t="str">
        <f t="shared" si="5"/>
        <v>Registered</v>
      </c>
      <c r="O3340" s="1" t="s">
        <v>19</v>
      </c>
      <c r="P3340" s="9" t="str">
        <f t="shared" si="6"/>
        <v>UK</v>
      </c>
      <c r="Q3340" s="8">
        <f t="shared" si="7"/>
        <v>6.35</v>
      </c>
    </row>
    <row r="3341">
      <c r="A3341" s="1">
        <v>581473.0</v>
      </c>
      <c r="B3341" s="1" t="str">
        <f t="shared" si="1"/>
        <v>581473</v>
      </c>
      <c r="C3341" s="1" t="str">
        <f t="shared" si="2"/>
        <v>Sale</v>
      </c>
      <c r="D3341" s="1">
        <v>23320.0</v>
      </c>
      <c r="E3341" s="1" t="str">
        <f>IFERROR(__xludf.DUMMYFUNCTION("IF(LEN(D3341)&gt;4, IFERROR(REGEXEXTRACT(TO_TEXT(D3341),""\d+""),""""),"""")"),"23320")</f>
        <v>23320</v>
      </c>
      <c r="F3341" s="6" t="str">
        <f t="shared" si="3"/>
        <v>Product</v>
      </c>
      <c r="G3341" s="1" t="s">
        <v>1523</v>
      </c>
      <c r="H3341" s="6" t="str">
        <f>IFERROR(__xludf.DUMMYFUNCTION("IF(REGEXMATCH(LOWER(G3341), ""^(\?)+\s*(missing)?\s*(\?)*$""), """", PROPER(SUBSTITUTE(SUBSTITUTE(G3341, ""?"", """"), ""*"", """")))"),"Giant 50'S Christmas Cracker")</f>
        <v>Giant 50'S Christmas Cracker</v>
      </c>
      <c r="I3341" s="3">
        <v>2.0</v>
      </c>
      <c r="J3341" s="7">
        <v>40885.83125</v>
      </c>
      <c r="K3341" s="8" t="str">
        <f t="shared" si="4"/>
        <v>2011-12</v>
      </c>
      <c r="L3341" s="5">
        <v>1.25</v>
      </c>
      <c r="M3341" s="3">
        <v>12748.0</v>
      </c>
      <c r="N3341" s="1" t="str">
        <f t="shared" si="5"/>
        <v>Registered</v>
      </c>
      <c r="O3341" s="1" t="s">
        <v>19</v>
      </c>
      <c r="P3341" s="9" t="str">
        <f t="shared" si="6"/>
        <v>UK</v>
      </c>
      <c r="Q3341" s="8">
        <f t="shared" si="7"/>
        <v>2.5</v>
      </c>
    </row>
    <row r="3342">
      <c r="A3342" s="1">
        <v>581473.0</v>
      </c>
      <c r="B3342" s="1" t="str">
        <f t="shared" si="1"/>
        <v>581473</v>
      </c>
      <c r="C3342" s="1" t="str">
        <f t="shared" si="2"/>
        <v>Sale</v>
      </c>
      <c r="D3342" s="1">
        <v>22108.0</v>
      </c>
      <c r="E3342" s="1" t="str">
        <f>IFERROR(__xludf.DUMMYFUNCTION("IF(LEN(D3342)&gt;4, IFERROR(REGEXEXTRACT(TO_TEXT(D3342),""\d+""),""""),"""")"),"22108")</f>
        <v>22108</v>
      </c>
      <c r="F3342" s="6" t="str">
        <f t="shared" si="3"/>
        <v>Product</v>
      </c>
      <c r="G3342" s="1" t="s">
        <v>1573</v>
      </c>
      <c r="H3342" s="6" t="str">
        <f>IFERROR(__xludf.DUMMYFUNCTION("IF(REGEXMATCH(LOWER(G3342), ""^(\?)+\s*(missing)?\s*(\?)*$""), """", PROPER(SUBSTITUTE(SUBSTITUTE(G3342, ""?"", """"), ""*"", """")))"),"Ping! Microwave Plate")</f>
        <v>Ping! Microwave Plate</v>
      </c>
      <c r="I3342" s="3">
        <v>1.0</v>
      </c>
      <c r="J3342" s="7">
        <v>40885.83125</v>
      </c>
      <c r="K3342" s="8" t="str">
        <f t="shared" si="4"/>
        <v>2011-12</v>
      </c>
      <c r="L3342" s="5">
        <v>1.25</v>
      </c>
      <c r="M3342" s="3">
        <v>12748.0</v>
      </c>
      <c r="N3342" s="1" t="str">
        <f t="shared" si="5"/>
        <v>Registered</v>
      </c>
      <c r="O3342" s="1" t="s">
        <v>19</v>
      </c>
      <c r="P3342" s="9" t="str">
        <f t="shared" si="6"/>
        <v>UK</v>
      </c>
      <c r="Q3342" s="8">
        <f t="shared" si="7"/>
        <v>1.25</v>
      </c>
    </row>
    <row r="3343">
      <c r="A3343" s="1">
        <v>581473.0</v>
      </c>
      <c r="B3343" s="1" t="str">
        <f t="shared" si="1"/>
        <v>581473</v>
      </c>
      <c r="C3343" s="1" t="str">
        <f t="shared" si="2"/>
        <v>Sale</v>
      </c>
      <c r="D3343" s="1">
        <v>23295.0</v>
      </c>
      <c r="E3343" s="1" t="str">
        <f>IFERROR(__xludf.DUMMYFUNCTION("IF(LEN(D3343)&gt;4, IFERROR(REGEXEXTRACT(TO_TEXT(D3343),""\d+""),""""),"""")"),"23295")</f>
        <v>23295</v>
      </c>
      <c r="F3343" s="6" t="str">
        <f t="shared" si="3"/>
        <v>Product</v>
      </c>
      <c r="G3343" s="1" t="s">
        <v>1574</v>
      </c>
      <c r="H3343" s="6" t="str">
        <f>IFERROR(__xludf.DUMMYFUNCTION("IF(REGEXMATCH(LOWER(G3343), ""^(\?)+\s*(missing)?\s*(\?)*$""), """", PROPER(SUBSTITUTE(SUBSTITUTE(G3343, ""?"", """"), ""*"", """")))"),"Set Of 12 Mini Loaf Baking Cases")</f>
        <v>Set Of 12 Mini Loaf Baking Cases</v>
      </c>
      <c r="I3343" s="3">
        <v>1.0</v>
      </c>
      <c r="J3343" s="7">
        <v>40885.83125</v>
      </c>
      <c r="K3343" s="8" t="str">
        <f t="shared" si="4"/>
        <v>2011-12</v>
      </c>
      <c r="L3343" s="5">
        <v>0.83</v>
      </c>
      <c r="M3343" s="3">
        <v>12748.0</v>
      </c>
      <c r="N3343" s="1" t="str">
        <f t="shared" si="5"/>
        <v>Registered</v>
      </c>
      <c r="O3343" s="1" t="s">
        <v>19</v>
      </c>
      <c r="P3343" s="9" t="str">
        <f t="shared" si="6"/>
        <v>UK</v>
      </c>
      <c r="Q3343" s="8">
        <f t="shared" si="7"/>
        <v>0.83</v>
      </c>
    </row>
    <row r="3344">
      <c r="A3344" s="1">
        <v>581473.0</v>
      </c>
      <c r="B3344" s="1" t="str">
        <f t="shared" si="1"/>
        <v>581473</v>
      </c>
      <c r="C3344" s="1" t="str">
        <f t="shared" si="2"/>
        <v>Sale</v>
      </c>
      <c r="D3344" s="1">
        <v>23296.0</v>
      </c>
      <c r="E3344" s="1" t="str">
        <f>IFERROR(__xludf.DUMMYFUNCTION("IF(LEN(D3344)&gt;4, IFERROR(REGEXEXTRACT(TO_TEXT(D3344),""\d+""),""""),"""")"),"23296")</f>
        <v>23296</v>
      </c>
      <c r="F3344" s="6" t="str">
        <f t="shared" si="3"/>
        <v>Product</v>
      </c>
      <c r="G3344" s="1" t="s">
        <v>1575</v>
      </c>
      <c r="H3344" s="6" t="str">
        <f>IFERROR(__xludf.DUMMYFUNCTION("IF(REGEXMATCH(LOWER(G3344), ""^(\?)+\s*(missing)?\s*(\?)*$""), """", PROPER(SUBSTITUTE(SUBSTITUTE(G3344, ""?"", """"), ""*"", """")))"),"Set Of 6 Tea Time Baking Cases")</f>
        <v>Set Of 6 Tea Time Baking Cases</v>
      </c>
      <c r="I3344" s="3">
        <v>1.0</v>
      </c>
      <c r="J3344" s="7">
        <v>40885.83125</v>
      </c>
      <c r="K3344" s="8" t="str">
        <f t="shared" si="4"/>
        <v>2011-12</v>
      </c>
      <c r="L3344" s="5">
        <v>1.25</v>
      </c>
      <c r="M3344" s="3">
        <v>12748.0</v>
      </c>
      <c r="N3344" s="1" t="str">
        <f t="shared" si="5"/>
        <v>Registered</v>
      </c>
      <c r="O3344" s="1" t="s">
        <v>19</v>
      </c>
      <c r="P3344" s="9" t="str">
        <f t="shared" si="6"/>
        <v>UK</v>
      </c>
      <c r="Q3344" s="8">
        <f t="shared" si="7"/>
        <v>1.25</v>
      </c>
    </row>
    <row r="3345">
      <c r="A3345" s="1">
        <v>581473.0</v>
      </c>
      <c r="B3345" s="1" t="str">
        <f t="shared" si="1"/>
        <v>581473</v>
      </c>
      <c r="C3345" s="1" t="str">
        <f t="shared" si="2"/>
        <v>Sale</v>
      </c>
      <c r="D3345" s="1">
        <v>20718.0</v>
      </c>
      <c r="E3345" s="1" t="str">
        <f>IFERROR(__xludf.DUMMYFUNCTION("IF(LEN(D3345)&gt;4, IFERROR(REGEXEXTRACT(TO_TEXT(D3345),""\d+""),""""),"""")"),"20718")</f>
        <v>20718</v>
      </c>
      <c r="F3345" s="6" t="str">
        <f t="shared" si="3"/>
        <v>Product</v>
      </c>
      <c r="G3345" s="1" t="s">
        <v>699</v>
      </c>
      <c r="H3345" s="6" t="str">
        <f>IFERROR(__xludf.DUMMYFUNCTION("IF(REGEXMATCH(LOWER(G3345), ""^(\?)+\s*(missing)?\s*(\?)*$""), """", PROPER(SUBSTITUTE(SUBSTITUTE(G3345, ""?"", """"), ""*"", """")))"),"Red Retrospot Shopper Bag")</f>
        <v>Red Retrospot Shopper Bag</v>
      </c>
      <c r="I3345" s="3">
        <v>1.0</v>
      </c>
      <c r="J3345" s="7">
        <v>40885.83125</v>
      </c>
      <c r="K3345" s="8" t="str">
        <f t="shared" si="4"/>
        <v>2011-12</v>
      </c>
      <c r="L3345" s="5">
        <v>1.25</v>
      </c>
      <c r="M3345" s="3">
        <v>12748.0</v>
      </c>
      <c r="N3345" s="1" t="str">
        <f t="shared" si="5"/>
        <v>Registered</v>
      </c>
      <c r="O3345" s="1" t="s">
        <v>19</v>
      </c>
      <c r="P3345" s="9" t="str">
        <f t="shared" si="6"/>
        <v>UK</v>
      </c>
      <c r="Q3345" s="8">
        <f t="shared" si="7"/>
        <v>1.25</v>
      </c>
    </row>
    <row r="3346">
      <c r="A3346" s="1">
        <v>581473.0</v>
      </c>
      <c r="B3346" s="1" t="str">
        <f t="shared" si="1"/>
        <v>581473</v>
      </c>
      <c r="C3346" s="1" t="str">
        <f t="shared" si="2"/>
        <v>Sale</v>
      </c>
      <c r="D3346" s="1">
        <v>84012.0</v>
      </c>
      <c r="E3346" s="1" t="str">
        <f>IFERROR(__xludf.DUMMYFUNCTION("IF(LEN(D3346)&gt;4, IFERROR(REGEXEXTRACT(TO_TEXT(D3346),""\d+""),""""),"""")"),"84012")</f>
        <v>84012</v>
      </c>
      <c r="F3346" s="6" t="str">
        <f t="shared" si="3"/>
        <v>Product</v>
      </c>
      <c r="G3346" s="1" t="s">
        <v>1576</v>
      </c>
      <c r="H3346" s="6" t="str">
        <f>IFERROR(__xludf.DUMMYFUNCTION("IF(REGEXMATCH(LOWER(G3346), ""^(\?)+\s*(missing)?\s*(\?)*$""), """", PROPER(SUBSTITUTE(SUBSTITUTE(G3346, ""?"", """"), ""*"", """")))"),"Magic Sheep Wool Growing From Paper")</f>
        <v>Magic Sheep Wool Growing From Paper</v>
      </c>
      <c r="I3346" s="3">
        <v>1.0</v>
      </c>
      <c r="J3346" s="7">
        <v>40885.83125</v>
      </c>
      <c r="K3346" s="8" t="str">
        <f t="shared" si="4"/>
        <v>2011-12</v>
      </c>
      <c r="L3346" s="5">
        <v>0.85</v>
      </c>
      <c r="M3346" s="3">
        <v>12748.0</v>
      </c>
      <c r="N3346" s="1" t="str">
        <f t="shared" si="5"/>
        <v>Registered</v>
      </c>
      <c r="O3346" s="1" t="s">
        <v>19</v>
      </c>
      <c r="P3346" s="9" t="str">
        <f t="shared" si="6"/>
        <v>UK</v>
      </c>
      <c r="Q3346" s="8">
        <f t="shared" si="7"/>
        <v>0.85</v>
      </c>
    </row>
    <row r="3347">
      <c r="A3347" s="1">
        <v>581474.0</v>
      </c>
      <c r="B3347" s="1" t="str">
        <f t="shared" si="1"/>
        <v>581474</v>
      </c>
      <c r="C3347" s="1" t="str">
        <f t="shared" si="2"/>
        <v>Sale</v>
      </c>
      <c r="D3347" s="1">
        <v>23351.0</v>
      </c>
      <c r="E3347" s="1" t="str">
        <f>IFERROR(__xludf.DUMMYFUNCTION("IF(LEN(D3347)&gt;4, IFERROR(REGEXEXTRACT(TO_TEXT(D3347),""\d+""),""""),"""")"),"23351")</f>
        <v>23351</v>
      </c>
      <c r="F3347" s="6" t="str">
        <f t="shared" si="3"/>
        <v>Product</v>
      </c>
      <c r="G3347" s="1" t="s">
        <v>1570</v>
      </c>
      <c r="H3347" s="6" t="str">
        <f>IFERROR(__xludf.DUMMYFUNCTION("IF(REGEXMATCH(LOWER(G3347), ""^(\?)+\s*(missing)?\s*(\?)*$""), """", PROPER(SUBSTITUTE(SUBSTITUTE(G3347, ""?"", """"), ""*"", """")))"),"Roll Wrap 50'S Christmas")</f>
        <v>Roll Wrap 50'S Christmas</v>
      </c>
      <c r="I3347" s="3">
        <v>1.0</v>
      </c>
      <c r="J3347" s="7">
        <v>40885.834027777775</v>
      </c>
      <c r="K3347" s="8" t="str">
        <f t="shared" si="4"/>
        <v>2011-12</v>
      </c>
      <c r="L3347" s="5">
        <v>1.25</v>
      </c>
      <c r="M3347" s="3">
        <v>12748.0</v>
      </c>
      <c r="N3347" s="1" t="str">
        <f t="shared" si="5"/>
        <v>Registered</v>
      </c>
      <c r="O3347" s="1" t="s">
        <v>19</v>
      </c>
      <c r="P3347" s="9" t="str">
        <f t="shared" si="6"/>
        <v>UK</v>
      </c>
      <c r="Q3347" s="8">
        <f t="shared" si="7"/>
        <v>1.25</v>
      </c>
    </row>
    <row r="3348">
      <c r="A3348" s="1">
        <v>581474.0</v>
      </c>
      <c r="B3348" s="1" t="str">
        <f t="shared" si="1"/>
        <v>581474</v>
      </c>
      <c r="C3348" s="1" t="str">
        <f t="shared" si="2"/>
        <v>Sale</v>
      </c>
      <c r="D3348" s="1">
        <v>23352.0</v>
      </c>
      <c r="E3348" s="1" t="str">
        <f>IFERROR(__xludf.DUMMYFUNCTION("IF(LEN(D3348)&gt;4, IFERROR(REGEXEXTRACT(TO_TEXT(D3348),""\d+""),""""),"""")"),"23352")</f>
        <v>23352</v>
      </c>
      <c r="F3348" s="6" t="str">
        <f t="shared" si="3"/>
        <v>Product</v>
      </c>
      <c r="G3348" s="1" t="s">
        <v>1569</v>
      </c>
      <c r="H3348" s="6" t="str">
        <f>IFERROR(__xludf.DUMMYFUNCTION("IF(REGEXMATCH(LOWER(G3348), ""^(\?)+\s*(missing)?\s*(\?)*$""), """", PROPER(SUBSTITUTE(SUBSTITUTE(G3348, ""?"", """"), ""*"", """")))"),"Roll Wrap 50'S Red Christmas")</f>
        <v>Roll Wrap 50'S Red Christmas</v>
      </c>
      <c r="I3348" s="3">
        <v>1.0</v>
      </c>
      <c r="J3348" s="7">
        <v>40885.834027777775</v>
      </c>
      <c r="K3348" s="8" t="str">
        <f t="shared" si="4"/>
        <v>2011-12</v>
      </c>
      <c r="L3348" s="5">
        <v>1.25</v>
      </c>
      <c r="M3348" s="3">
        <v>12748.0</v>
      </c>
      <c r="N3348" s="1" t="str">
        <f t="shared" si="5"/>
        <v>Registered</v>
      </c>
      <c r="O3348" s="1" t="s">
        <v>19</v>
      </c>
      <c r="P3348" s="9" t="str">
        <f t="shared" si="6"/>
        <v>UK</v>
      </c>
      <c r="Q3348" s="8">
        <f t="shared" si="7"/>
        <v>1.25</v>
      </c>
    </row>
    <row r="3349">
      <c r="A3349" s="1">
        <v>581474.0</v>
      </c>
      <c r="B3349" s="1" t="str">
        <f t="shared" si="1"/>
        <v>581474</v>
      </c>
      <c r="C3349" s="1" t="str">
        <f t="shared" si="2"/>
        <v>Sale</v>
      </c>
      <c r="D3349" s="1">
        <v>72819.0</v>
      </c>
      <c r="E3349" s="1" t="str">
        <f>IFERROR(__xludf.DUMMYFUNCTION("IF(LEN(D3349)&gt;4, IFERROR(REGEXEXTRACT(TO_TEXT(D3349),""\d+""),""""),"""")"),"72819")</f>
        <v>72819</v>
      </c>
      <c r="F3349" s="6" t="str">
        <f t="shared" si="3"/>
        <v>Product</v>
      </c>
      <c r="G3349" s="1" t="s">
        <v>1577</v>
      </c>
      <c r="H3349" s="6" t="str">
        <f>IFERROR(__xludf.DUMMYFUNCTION("IF(REGEXMATCH(LOWER(G3349), ""^(\?)+\s*(missing)?\s*(\?)*$""), """", PROPER(SUBSTITUTE(SUBSTITUTE(G3349, ""?"", """"), ""*"", """")))"),"Cupid Design Scented Candles")</f>
        <v>Cupid Design Scented Candles</v>
      </c>
      <c r="I3349" s="3">
        <v>1.0</v>
      </c>
      <c r="J3349" s="7">
        <v>40885.834027777775</v>
      </c>
      <c r="K3349" s="8" t="str">
        <f t="shared" si="4"/>
        <v>2011-12</v>
      </c>
      <c r="L3349" s="5">
        <v>1.25</v>
      </c>
      <c r="M3349" s="3">
        <v>12748.0</v>
      </c>
      <c r="N3349" s="1" t="str">
        <f t="shared" si="5"/>
        <v>Registered</v>
      </c>
      <c r="O3349" s="1" t="s">
        <v>19</v>
      </c>
      <c r="P3349" s="9" t="str">
        <f t="shared" si="6"/>
        <v>UK</v>
      </c>
      <c r="Q3349" s="8">
        <f t="shared" si="7"/>
        <v>1.25</v>
      </c>
    </row>
    <row r="3350">
      <c r="A3350" s="1">
        <v>581474.0</v>
      </c>
      <c r="B3350" s="1" t="str">
        <f t="shared" si="1"/>
        <v>581474</v>
      </c>
      <c r="C3350" s="1" t="str">
        <f t="shared" si="2"/>
        <v>Sale</v>
      </c>
      <c r="D3350" s="1">
        <v>22744.0</v>
      </c>
      <c r="E3350" s="1" t="str">
        <f>IFERROR(__xludf.DUMMYFUNCTION("IF(LEN(D3350)&gt;4, IFERROR(REGEXEXTRACT(TO_TEXT(D3350),""\d+""),""""),"""")"),"22744")</f>
        <v>22744</v>
      </c>
      <c r="F3350" s="6" t="str">
        <f t="shared" si="3"/>
        <v>Product</v>
      </c>
      <c r="G3350" s="1" t="s">
        <v>578</v>
      </c>
      <c r="H3350" s="6" t="str">
        <f>IFERROR(__xludf.DUMMYFUNCTION("IF(REGEXMATCH(LOWER(G3350), ""^(\?)+\s*(missing)?\s*(\?)*$""), """", PROPER(SUBSTITUTE(SUBSTITUTE(G3350, ""?"", """"), ""*"", """")))"),"Make Your Own Monsoon Card Kit")</f>
        <v>Make Your Own Monsoon Card Kit</v>
      </c>
      <c r="I3350" s="3">
        <v>1.0</v>
      </c>
      <c r="J3350" s="7">
        <v>40885.834027777775</v>
      </c>
      <c r="K3350" s="8" t="str">
        <f t="shared" si="4"/>
        <v>2011-12</v>
      </c>
      <c r="L3350" s="5">
        <v>0.79</v>
      </c>
      <c r="M3350" s="3">
        <v>12748.0</v>
      </c>
      <c r="N3350" s="1" t="str">
        <f t="shared" si="5"/>
        <v>Registered</v>
      </c>
      <c r="O3350" s="1" t="s">
        <v>19</v>
      </c>
      <c r="P3350" s="9" t="str">
        <f t="shared" si="6"/>
        <v>UK</v>
      </c>
      <c r="Q3350" s="8">
        <f t="shared" si="7"/>
        <v>0.79</v>
      </c>
    </row>
    <row r="3351">
      <c r="A3351" s="1">
        <v>581474.0</v>
      </c>
      <c r="B3351" s="1" t="str">
        <f t="shared" si="1"/>
        <v>581474</v>
      </c>
      <c r="C3351" s="1" t="str">
        <f t="shared" si="2"/>
        <v>Sale</v>
      </c>
      <c r="D3351" s="1" t="s">
        <v>1216</v>
      </c>
      <c r="E3351" s="1" t="str">
        <f>IFERROR(__xludf.DUMMYFUNCTION("IF(LEN(D3351)&gt;4, IFERROR(REGEXEXTRACT(TO_TEXT(D3351),""\d+""),""""),"""")"),"84509")</f>
        <v>84509</v>
      </c>
      <c r="F3351" s="6" t="str">
        <f t="shared" si="3"/>
        <v>Product</v>
      </c>
      <c r="G3351" s="1" t="s">
        <v>1217</v>
      </c>
      <c r="H3351" s="6" t="str">
        <f>IFERROR(__xludf.DUMMYFUNCTION("IF(REGEXMATCH(LOWER(G3351), ""^(\?)+\s*(missing)?\s*(\?)*$""), """", PROPER(SUBSTITUTE(SUBSTITUTE(G3351, ""?"", """"), ""*"", """")))"),"Set Of 4 Fairy Cake Placemats")</f>
        <v>Set Of 4 Fairy Cake Placemats</v>
      </c>
      <c r="I3351" s="3">
        <v>1.0</v>
      </c>
      <c r="J3351" s="7">
        <v>40885.834027777775</v>
      </c>
      <c r="K3351" s="8" t="str">
        <f t="shared" si="4"/>
        <v>2011-12</v>
      </c>
      <c r="L3351" s="5">
        <v>3.75</v>
      </c>
      <c r="M3351" s="3">
        <v>12748.0</v>
      </c>
      <c r="N3351" s="1" t="str">
        <f t="shared" si="5"/>
        <v>Registered</v>
      </c>
      <c r="O3351" s="1" t="s">
        <v>19</v>
      </c>
      <c r="P3351" s="9" t="str">
        <f t="shared" si="6"/>
        <v>UK</v>
      </c>
      <c r="Q3351" s="8">
        <f t="shared" si="7"/>
        <v>3.75</v>
      </c>
    </row>
    <row r="3352">
      <c r="A3352" s="1">
        <v>581474.0</v>
      </c>
      <c r="B3352" s="1" t="str">
        <f t="shared" si="1"/>
        <v>581474</v>
      </c>
      <c r="C3352" s="1" t="str">
        <f t="shared" si="2"/>
        <v>Sale</v>
      </c>
      <c r="D3352" s="1">
        <v>20616.0</v>
      </c>
      <c r="E3352" s="1" t="str">
        <f>IFERROR(__xludf.DUMMYFUNCTION("IF(LEN(D3352)&gt;4, IFERROR(REGEXEXTRACT(TO_TEXT(D3352),""\d+""),""""),"""")"),"20616")</f>
        <v>20616</v>
      </c>
      <c r="F3352" s="6" t="str">
        <f t="shared" si="3"/>
        <v>Product</v>
      </c>
      <c r="G3352" s="1" t="s">
        <v>1578</v>
      </c>
      <c r="H3352" s="6" t="str">
        <f>IFERROR(__xludf.DUMMYFUNCTION("IF(REGEXMATCH(LOWER(G3352), ""^(\?)+\s*(missing)?\s*(\?)*$""), """", PROPER(SUBSTITUTE(SUBSTITUTE(G3352, ""?"", """"), ""*"", """")))"),"Cherry Blossom Passport Cover")</f>
        <v>Cherry Blossom Passport Cover</v>
      </c>
      <c r="I3352" s="3">
        <v>1.0</v>
      </c>
      <c r="J3352" s="7">
        <v>40885.834027777775</v>
      </c>
      <c r="K3352" s="8" t="str">
        <f t="shared" si="4"/>
        <v>2011-12</v>
      </c>
      <c r="L3352" s="5">
        <v>0.75</v>
      </c>
      <c r="M3352" s="3">
        <v>12748.0</v>
      </c>
      <c r="N3352" s="1" t="str">
        <f t="shared" si="5"/>
        <v>Registered</v>
      </c>
      <c r="O3352" s="1" t="s">
        <v>19</v>
      </c>
      <c r="P3352" s="9" t="str">
        <f t="shared" si="6"/>
        <v>UK</v>
      </c>
      <c r="Q3352" s="8">
        <f t="shared" si="7"/>
        <v>0.75</v>
      </c>
    </row>
    <row r="3353">
      <c r="A3353" s="1">
        <v>581474.0</v>
      </c>
      <c r="B3353" s="1" t="str">
        <f t="shared" si="1"/>
        <v>581474</v>
      </c>
      <c r="C3353" s="1" t="str">
        <f t="shared" si="2"/>
        <v>Sale</v>
      </c>
      <c r="D3353" s="1">
        <v>22897.0</v>
      </c>
      <c r="E3353" s="1" t="str">
        <f>IFERROR(__xludf.DUMMYFUNCTION("IF(LEN(D3353)&gt;4, IFERROR(REGEXEXTRACT(TO_TEXT(D3353),""\d+""),""""),"""")"),"22897")</f>
        <v>22897</v>
      </c>
      <c r="F3353" s="6" t="str">
        <f t="shared" si="3"/>
        <v>Product</v>
      </c>
      <c r="G3353" s="1" t="s">
        <v>1156</v>
      </c>
      <c r="H3353" s="6" t="str">
        <f>IFERROR(__xludf.DUMMYFUNCTION("IF(REGEXMATCH(LOWER(G3353), ""^(\?)+\s*(missing)?\s*(\?)*$""), """", PROPER(SUBSTITUTE(SUBSTITUTE(G3353, ""?"", """"), ""*"", """")))"),"Oven Mitt Apples Design")</f>
        <v>Oven Mitt Apples Design</v>
      </c>
      <c r="I3353" s="3">
        <v>1.0</v>
      </c>
      <c r="J3353" s="7">
        <v>40885.834027777775</v>
      </c>
      <c r="K3353" s="8" t="str">
        <f t="shared" si="4"/>
        <v>2011-12</v>
      </c>
      <c r="L3353" s="5">
        <v>1.45</v>
      </c>
      <c r="M3353" s="3">
        <v>12748.0</v>
      </c>
      <c r="N3353" s="1" t="str">
        <f t="shared" si="5"/>
        <v>Registered</v>
      </c>
      <c r="O3353" s="1" t="s">
        <v>19</v>
      </c>
      <c r="P3353" s="9" t="str">
        <f t="shared" si="6"/>
        <v>UK</v>
      </c>
      <c r="Q3353" s="8">
        <f t="shared" si="7"/>
        <v>1.45</v>
      </c>
    </row>
    <row r="3354">
      <c r="A3354" s="1">
        <v>581474.0</v>
      </c>
      <c r="B3354" s="1" t="str">
        <f t="shared" si="1"/>
        <v>581474</v>
      </c>
      <c r="C3354" s="1" t="str">
        <f t="shared" si="2"/>
        <v>Sale</v>
      </c>
      <c r="D3354" s="1">
        <v>21867.0</v>
      </c>
      <c r="E3354" s="1" t="str">
        <f>IFERROR(__xludf.DUMMYFUNCTION("IF(LEN(D3354)&gt;4, IFERROR(REGEXEXTRACT(TO_TEXT(D3354),""\d+""),""""),"""")"),"21867")</f>
        <v>21867</v>
      </c>
      <c r="F3354" s="6" t="str">
        <f t="shared" si="3"/>
        <v>Product</v>
      </c>
      <c r="G3354" s="1" t="s">
        <v>418</v>
      </c>
      <c r="H3354" s="6" t="str">
        <f>IFERROR(__xludf.DUMMYFUNCTION("IF(REGEXMATCH(LOWER(G3354), ""^(\?)+\s*(missing)?\s*(\?)*$""), """", PROPER(SUBSTITUTE(SUBSTITUTE(G3354, ""?"", """"), ""*"", """")))"),"Pink Union Jack Luggage Tag")</f>
        <v>Pink Union Jack Luggage Tag</v>
      </c>
      <c r="I3354" s="3">
        <v>1.0</v>
      </c>
      <c r="J3354" s="7">
        <v>40885.834027777775</v>
      </c>
      <c r="K3354" s="8" t="str">
        <f t="shared" si="4"/>
        <v>2011-12</v>
      </c>
      <c r="L3354" s="5">
        <v>1.25</v>
      </c>
      <c r="M3354" s="3">
        <v>12748.0</v>
      </c>
      <c r="N3354" s="1" t="str">
        <f t="shared" si="5"/>
        <v>Registered</v>
      </c>
      <c r="O3354" s="1" t="s">
        <v>19</v>
      </c>
      <c r="P3354" s="9" t="str">
        <f t="shared" si="6"/>
        <v>UK</v>
      </c>
      <c r="Q3354" s="8">
        <f t="shared" si="7"/>
        <v>1.25</v>
      </c>
    </row>
    <row r="3355">
      <c r="A3355" s="1">
        <v>581474.0</v>
      </c>
      <c r="B3355" s="1" t="str">
        <f t="shared" si="1"/>
        <v>581474</v>
      </c>
      <c r="C3355" s="1" t="str">
        <f t="shared" si="2"/>
        <v>Sale</v>
      </c>
      <c r="D3355" s="1">
        <v>20615.0</v>
      </c>
      <c r="E3355" s="1" t="str">
        <f>IFERROR(__xludf.DUMMYFUNCTION("IF(LEN(D3355)&gt;4, IFERROR(REGEXEXTRACT(TO_TEXT(D3355),""\d+""),""""),"""")"),"20615")</f>
        <v>20615</v>
      </c>
      <c r="F3355" s="6" t="str">
        <f t="shared" si="3"/>
        <v>Product</v>
      </c>
      <c r="G3355" s="1" t="s">
        <v>695</v>
      </c>
      <c r="H3355" s="6" t="str">
        <f>IFERROR(__xludf.DUMMYFUNCTION("IF(REGEXMATCH(LOWER(G3355), ""^(\?)+\s*(missing)?\s*(\?)*$""), """", PROPER(SUBSTITUTE(SUBSTITUTE(G3355, ""?"", """"), ""*"", """")))"),"Blue Polkadot Passport Cover")</f>
        <v>Blue Polkadot Passport Cover</v>
      </c>
      <c r="I3355" s="3">
        <v>1.0</v>
      </c>
      <c r="J3355" s="7">
        <v>40885.834027777775</v>
      </c>
      <c r="K3355" s="8" t="str">
        <f t="shared" si="4"/>
        <v>2011-12</v>
      </c>
      <c r="L3355" s="5">
        <v>0.75</v>
      </c>
      <c r="M3355" s="3">
        <v>12748.0</v>
      </c>
      <c r="N3355" s="1" t="str">
        <f t="shared" si="5"/>
        <v>Registered</v>
      </c>
      <c r="O3355" s="1" t="s">
        <v>19</v>
      </c>
      <c r="P3355" s="9" t="str">
        <f t="shared" si="6"/>
        <v>UK</v>
      </c>
      <c r="Q3355" s="8">
        <f t="shared" si="7"/>
        <v>0.75</v>
      </c>
    </row>
    <row r="3356">
      <c r="A3356" s="1">
        <v>581474.0</v>
      </c>
      <c r="B3356" s="1" t="str">
        <f t="shared" si="1"/>
        <v>581474</v>
      </c>
      <c r="C3356" s="1" t="str">
        <f t="shared" si="2"/>
        <v>Sale</v>
      </c>
      <c r="D3356" s="1">
        <v>20652.0</v>
      </c>
      <c r="E3356" s="1" t="str">
        <f>IFERROR(__xludf.DUMMYFUNCTION("IF(LEN(D3356)&gt;4, IFERROR(REGEXEXTRACT(TO_TEXT(D3356),""\d+""),""""),"""")"),"20652")</f>
        <v>20652</v>
      </c>
      <c r="F3356" s="6" t="str">
        <f t="shared" si="3"/>
        <v>Product</v>
      </c>
      <c r="G3356" s="1" t="s">
        <v>696</v>
      </c>
      <c r="H3356" s="6" t="str">
        <f>IFERROR(__xludf.DUMMYFUNCTION("IF(REGEXMATCH(LOWER(G3356), ""^(\?)+\s*(missing)?\s*(\?)*$""), """", PROPER(SUBSTITUTE(SUBSTITUTE(G3356, ""?"", """"), ""*"", """")))"),"Blue Polkadot Luggage Tag")</f>
        <v>Blue Polkadot Luggage Tag</v>
      </c>
      <c r="I3356" s="3">
        <v>1.0</v>
      </c>
      <c r="J3356" s="7">
        <v>40885.834027777775</v>
      </c>
      <c r="K3356" s="8" t="str">
        <f t="shared" si="4"/>
        <v>2011-12</v>
      </c>
      <c r="L3356" s="5">
        <v>1.25</v>
      </c>
      <c r="M3356" s="3">
        <v>12748.0</v>
      </c>
      <c r="N3356" s="1" t="str">
        <f t="shared" si="5"/>
        <v>Registered</v>
      </c>
      <c r="O3356" s="1" t="s">
        <v>19</v>
      </c>
      <c r="P3356" s="9" t="str">
        <f t="shared" si="6"/>
        <v>UK</v>
      </c>
      <c r="Q3356" s="8">
        <f t="shared" si="7"/>
        <v>1.25</v>
      </c>
    </row>
    <row r="3357">
      <c r="A3357" s="1">
        <v>581474.0</v>
      </c>
      <c r="B3357" s="1" t="str">
        <f t="shared" si="1"/>
        <v>581474</v>
      </c>
      <c r="C3357" s="1" t="str">
        <f t="shared" si="2"/>
        <v>Sale</v>
      </c>
      <c r="D3357" s="1">
        <v>16225.0</v>
      </c>
      <c r="E3357" s="1" t="str">
        <f>IFERROR(__xludf.DUMMYFUNCTION("IF(LEN(D3357)&gt;4, IFERROR(REGEXEXTRACT(TO_TEXT(D3357),""\d+""),""""),"""")"),"16225")</f>
        <v>16225</v>
      </c>
      <c r="F3357" s="6" t="str">
        <f t="shared" si="3"/>
        <v>Product</v>
      </c>
      <c r="G3357" s="1" t="s">
        <v>1579</v>
      </c>
      <c r="H3357" s="6" t="str">
        <f>IFERROR(__xludf.DUMMYFUNCTION("IF(REGEXMATCH(LOWER(G3357), ""^(\?)+\s*(missing)?\s*(\?)*$""), """", PROPER(SUBSTITUTE(SUBSTITUTE(G3357, ""?"", """"), ""*"", """")))"),"Rattle Snake Eggs")</f>
        <v>Rattle Snake Eggs</v>
      </c>
      <c r="I3357" s="3">
        <v>1.0</v>
      </c>
      <c r="J3357" s="7">
        <v>40885.834027777775</v>
      </c>
      <c r="K3357" s="8" t="str">
        <f t="shared" si="4"/>
        <v>2011-12</v>
      </c>
      <c r="L3357" s="5">
        <v>0.39</v>
      </c>
      <c r="M3357" s="3">
        <v>12748.0</v>
      </c>
      <c r="N3357" s="1" t="str">
        <f t="shared" si="5"/>
        <v>Registered</v>
      </c>
      <c r="O3357" s="1" t="s">
        <v>19</v>
      </c>
      <c r="P3357" s="9" t="str">
        <f t="shared" si="6"/>
        <v>UK</v>
      </c>
      <c r="Q3357" s="8">
        <f t="shared" si="7"/>
        <v>0.39</v>
      </c>
    </row>
    <row r="3358">
      <c r="A3358" s="1">
        <v>581474.0</v>
      </c>
      <c r="B3358" s="1" t="str">
        <f t="shared" si="1"/>
        <v>581474</v>
      </c>
      <c r="C3358" s="1" t="str">
        <f t="shared" si="2"/>
        <v>Sale</v>
      </c>
      <c r="D3358" s="1">
        <v>22989.0</v>
      </c>
      <c r="E3358" s="1" t="str">
        <f>IFERROR(__xludf.DUMMYFUNCTION("IF(LEN(D3358)&gt;4, IFERROR(REGEXEXTRACT(TO_TEXT(D3358),""\d+""),""""),"""")"),"22989")</f>
        <v>22989</v>
      </c>
      <c r="F3358" s="6" t="str">
        <f t="shared" si="3"/>
        <v>Product</v>
      </c>
      <c r="G3358" s="1" t="s">
        <v>1046</v>
      </c>
      <c r="H3358" s="6" t="str">
        <f>IFERROR(__xludf.DUMMYFUNCTION("IF(REGEXMATCH(LOWER(G3358), ""^(\?)+\s*(missing)?\s*(\?)*$""), """", PROPER(SUBSTITUTE(SUBSTITUTE(G3358, ""?"", """"), ""*"", """")))"),"Set 2 Pantry Design Tea Towels")</f>
        <v>Set 2 Pantry Design Tea Towels</v>
      </c>
      <c r="I3358" s="3">
        <v>1.0</v>
      </c>
      <c r="J3358" s="7">
        <v>40885.834027777775</v>
      </c>
      <c r="K3358" s="8" t="str">
        <f t="shared" si="4"/>
        <v>2011-12</v>
      </c>
      <c r="L3358" s="5">
        <v>3.25</v>
      </c>
      <c r="M3358" s="3">
        <v>12748.0</v>
      </c>
      <c r="N3358" s="1" t="str">
        <f t="shared" si="5"/>
        <v>Registered</v>
      </c>
      <c r="O3358" s="1" t="s">
        <v>19</v>
      </c>
      <c r="P3358" s="9" t="str">
        <f t="shared" si="6"/>
        <v>UK</v>
      </c>
      <c r="Q3358" s="8">
        <f t="shared" si="7"/>
        <v>3.25</v>
      </c>
    </row>
    <row r="3359">
      <c r="A3359" s="1">
        <v>581474.0</v>
      </c>
      <c r="B3359" s="1" t="str">
        <f t="shared" si="1"/>
        <v>581474</v>
      </c>
      <c r="C3359" s="1" t="str">
        <f t="shared" si="2"/>
        <v>Sale</v>
      </c>
      <c r="D3359" s="1">
        <v>23300.0</v>
      </c>
      <c r="E3359" s="1" t="str">
        <f>IFERROR(__xludf.DUMMYFUNCTION("IF(LEN(D3359)&gt;4, IFERROR(REGEXEXTRACT(TO_TEXT(D3359),""\d+""),""""),"""")"),"23300")</f>
        <v>23300</v>
      </c>
      <c r="F3359" s="6" t="str">
        <f t="shared" si="3"/>
        <v>Product</v>
      </c>
      <c r="G3359" s="1" t="s">
        <v>1563</v>
      </c>
      <c r="H3359" s="6" t="str">
        <f>IFERROR(__xludf.DUMMYFUNCTION("IF(REGEXMATCH(LOWER(G3359), ""^(\?)+\s*(missing)?\s*(\?)*$""), """", PROPER(SUBSTITUTE(SUBSTITUTE(G3359, ""?"", """"), ""*"", """")))"),"Gardeners Kneeling Pad Cup Of Tea")</f>
        <v>Gardeners Kneeling Pad Cup Of Tea</v>
      </c>
      <c r="I3359" s="3">
        <v>1.0</v>
      </c>
      <c r="J3359" s="7">
        <v>40885.834027777775</v>
      </c>
      <c r="K3359" s="8" t="str">
        <f t="shared" si="4"/>
        <v>2011-12</v>
      </c>
      <c r="L3359" s="5">
        <v>1.65</v>
      </c>
      <c r="M3359" s="3">
        <v>12748.0</v>
      </c>
      <c r="N3359" s="1" t="str">
        <f t="shared" si="5"/>
        <v>Registered</v>
      </c>
      <c r="O3359" s="1" t="s">
        <v>19</v>
      </c>
      <c r="P3359" s="9" t="str">
        <f t="shared" si="6"/>
        <v>UK</v>
      </c>
      <c r="Q3359" s="8">
        <f t="shared" si="7"/>
        <v>1.65</v>
      </c>
    </row>
    <row r="3360">
      <c r="A3360" s="1">
        <v>581474.0</v>
      </c>
      <c r="B3360" s="1" t="str">
        <f t="shared" si="1"/>
        <v>581474</v>
      </c>
      <c r="C3360" s="1" t="str">
        <f t="shared" si="2"/>
        <v>Sale</v>
      </c>
      <c r="D3360" s="1">
        <v>22906.0</v>
      </c>
      <c r="E3360" s="1" t="str">
        <f>IFERROR(__xludf.DUMMYFUNCTION("IF(LEN(D3360)&gt;4, IFERROR(REGEXEXTRACT(TO_TEXT(D3360),""\d+""),""""),"""")"),"22906")</f>
        <v>22906</v>
      </c>
      <c r="F3360" s="6" t="str">
        <f t="shared" si="3"/>
        <v>Product</v>
      </c>
      <c r="G3360" s="1" t="s">
        <v>662</v>
      </c>
      <c r="H3360" s="6" t="str">
        <f>IFERROR(__xludf.DUMMYFUNCTION("IF(REGEXMATCH(LOWER(G3360), ""^(\?)+\s*(missing)?\s*(\?)*$""), """", PROPER(SUBSTITUTE(SUBSTITUTE(G3360, ""?"", """"), ""*"", """")))"),"12 Message Cards With Envelopes")</f>
        <v>12 Message Cards With Envelopes</v>
      </c>
      <c r="I3360" s="3">
        <v>1.0</v>
      </c>
      <c r="J3360" s="7">
        <v>40885.834027777775</v>
      </c>
      <c r="K3360" s="8" t="str">
        <f t="shared" si="4"/>
        <v>2011-12</v>
      </c>
      <c r="L3360" s="5">
        <v>1.65</v>
      </c>
      <c r="M3360" s="3">
        <v>12748.0</v>
      </c>
      <c r="N3360" s="1" t="str">
        <f t="shared" si="5"/>
        <v>Registered</v>
      </c>
      <c r="O3360" s="1" t="s">
        <v>19</v>
      </c>
      <c r="P3360" s="9" t="str">
        <f t="shared" si="6"/>
        <v>UK</v>
      </c>
      <c r="Q3360" s="8">
        <f t="shared" si="7"/>
        <v>1.65</v>
      </c>
    </row>
    <row r="3361">
      <c r="A3361" s="1">
        <v>581474.0</v>
      </c>
      <c r="B3361" s="1" t="str">
        <f t="shared" si="1"/>
        <v>581474</v>
      </c>
      <c r="C3361" s="1" t="str">
        <f t="shared" si="2"/>
        <v>Sale</v>
      </c>
      <c r="D3361" s="1">
        <v>23245.0</v>
      </c>
      <c r="E3361" s="1" t="str">
        <f>IFERROR(__xludf.DUMMYFUNCTION("IF(LEN(D3361)&gt;4, IFERROR(REGEXEXTRACT(TO_TEXT(D3361),""\d+""),""""),"""")"),"23245")</f>
        <v>23245</v>
      </c>
      <c r="F3361" s="6" t="str">
        <f t="shared" si="3"/>
        <v>Product</v>
      </c>
      <c r="G3361" s="1" t="s">
        <v>1580</v>
      </c>
      <c r="H3361" s="6" t="str">
        <f>IFERROR(__xludf.DUMMYFUNCTION("IF(REGEXMATCH(LOWER(G3361), ""^(\?)+\s*(missing)?\s*(\?)*$""), """", PROPER(SUBSTITUTE(SUBSTITUTE(G3361, ""?"", """"), ""*"", """")))"),"Set Of 3 Regency Cake Tins")</f>
        <v>Set Of 3 Regency Cake Tins</v>
      </c>
      <c r="I3361" s="3">
        <v>1.0</v>
      </c>
      <c r="J3361" s="7">
        <v>40885.834027777775</v>
      </c>
      <c r="K3361" s="8" t="str">
        <f t="shared" si="4"/>
        <v>2011-12</v>
      </c>
      <c r="L3361" s="5">
        <v>4.95</v>
      </c>
      <c r="M3361" s="3">
        <v>12748.0</v>
      </c>
      <c r="N3361" s="1" t="str">
        <f t="shared" si="5"/>
        <v>Registered</v>
      </c>
      <c r="O3361" s="1" t="s">
        <v>19</v>
      </c>
      <c r="P3361" s="9" t="str">
        <f t="shared" si="6"/>
        <v>UK</v>
      </c>
      <c r="Q3361" s="8">
        <f t="shared" si="7"/>
        <v>4.95</v>
      </c>
    </row>
    <row r="3362">
      <c r="A3362" s="1">
        <v>581474.0</v>
      </c>
      <c r="B3362" s="1" t="str">
        <f t="shared" si="1"/>
        <v>581474</v>
      </c>
      <c r="C3362" s="1" t="str">
        <f t="shared" si="2"/>
        <v>Sale</v>
      </c>
      <c r="D3362" s="1">
        <v>20726.0</v>
      </c>
      <c r="E3362" s="1" t="str">
        <f>IFERROR(__xludf.DUMMYFUNCTION("IF(LEN(D3362)&gt;4, IFERROR(REGEXEXTRACT(TO_TEXT(D3362),""\d+""),""""),"""")"),"20726")</f>
        <v>20726</v>
      </c>
      <c r="F3362" s="6" t="str">
        <f t="shared" si="3"/>
        <v>Product</v>
      </c>
      <c r="G3362" s="1" t="s">
        <v>321</v>
      </c>
      <c r="H3362" s="6" t="str">
        <f>IFERROR(__xludf.DUMMYFUNCTION("IF(REGEXMATCH(LOWER(G3362), ""^(\?)+\s*(missing)?\s*(\?)*$""), """", PROPER(SUBSTITUTE(SUBSTITUTE(G3362, ""?"", """"), ""*"", """")))"),"Lunch Bag Woodland")</f>
        <v>Lunch Bag Woodland</v>
      </c>
      <c r="I3362" s="3">
        <v>1.0</v>
      </c>
      <c r="J3362" s="7">
        <v>40885.834027777775</v>
      </c>
      <c r="K3362" s="8" t="str">
        <f t="shared" si="4"/>
        <v>2011-12</v>
      </c>
      <c r="L3362" s="5">
        <v>1.65</v>
      </c>
      <c r="M3362" s="3">
        <v>12748.0</v>
      </c>
      <c r="N3362" s="1" t="str">
        <f t="shared" si="5"/>
        <v>Registered</v>
      </c>
      <c r="O3362" s="1" t="s">
        <v>19</v>
      </c>
      <c r="P3362" s="9" t="str">
        <f t="shared" si="6"/>
        <v>UK</v>
      </c>
      <c r="Q3362" s="8">
        <f t="shared" si="7"/>
        <v>1.65</v>
      </c>
    </row>
    <row r="3363">
      <c r="A3363" s="1">
        <v>581474.0</v>
      </c>
      <c r="B3363" s="1" t="str">
        <f t="shared" si="1"/>
        <v>581474</v>
      </c>
      <c r="C3363" s="1" t="str">
        <f t="shared" si="2"/>
        <v>Sale</v>
      </c>
      <c r="D3363" s="1">
        <v>23132.0</v>
      </c>
      <c r="E3363" s="1" t="str">
        <f>IFERROR(__xludf.DUMMYFUNCTION("IF(LEN(D3363)&gt;4, IFERROR(REGEXEXTRACT(TO_TEXT(D3363),""\d+""),""""),"""")"),"23132")</f>
        <v>23132</v>
      </c>
      <c r="F3363" s="6" t="str">
        <f t="shared" si="3"/>
        <v>Product</v>
      </c>
      <c r="G3363" s="1" t="s">
        <v>1581</v>
      </c>
      <c r="H3363" s="6" t="str">
        <f>IFERROR(__xludf.DUMMYFUNCTION("IF(REGEXMATCH(LOWER(G3363), ""^(\?)+\s*(missing)?\s*(\?)*$""), """", PROPER(SUBSTITUTE(SUBSTITUTE(G3363, ""?"", """"), ""*"", """")))"),"Small Ivory Heart Wall Organiser")</f>
        <v>Small Ivory Heart Wall Organiser</v>
      </c>
      <c r="I3363" s="3">
        <v>1.0</v>
      </c>
      <c r="J3363" s="7">
        <v>40885.834027777775</v>
      </c>
      <c r="K3363" s="8" t="str">
        <f t="shared" si="4"/>
        <v>2011-12</v>
      </c>
      <c r="L3363" s="5">
        <v>5.75</v>
      </c>
      <c r="M3363" s="3">
        <v>12748.0</v>
      </c>
      <c r="N3363" s="1" t="str">
        <f t="shared" si="5"/>
        <v>Registered</v>
      </c>
      <c r="O3363" s="1" t="s">
        <v>19</v>
      </c>
      <c r="P3363" s="9" t="str">
        <f t="shared" si="6"/>
        <v>UK</v>
      </c>
      <c r="Q3363" s="8">
        <f t="shared" si="7"/>
        <v>5.75</v>
      </c>
    </row>
    <row r="3364">
      <c r="A3364" s="1">
        <v>581474.0</v>
      </c>
      <c r="B3364" s="1" t="str">
        <f t="shared" si="1"/>
        <v>581474</v>
      </c>
      <c r="C3364" s="1" t="str">
        <f t="shared" si="2"/>
        <v>Sale</v>
      </c>
      <c r="D3364" s="1">
        <v>21524.0</v>
      </c>
      <c r="E3364" s="1" t="str">
        <f>IFERROR(__xludf.DUMMYFUNCTION("IF(LEN(D3364)&gt;4, IFERROR(REGEXEXTRACT(TO_TEXT(D3364),""\d+""),""""),"""")"),"21524")</f>
        <v>21524</v>
      </c>
      <c r="F3364" s="6" t="str">
        <f t="shared" si="3"/>
        <v>Product</v>
      </c>
      <c r="G3364" s="1" t="s">
        <v>1548</v>
      </c>
      <c r="H3364" s="6" t="str">
        <f>IFERROR(__xludf.DUMMYFUNCTION("IF(REGEXMATCH(LOWER(G3364), ""^(\?)+\s*(missing)?\s*(\?)*$""), """", PROPER(SUBSTITUTE(SUBSTITUTE(G3364, ""?"", """"), ""*"", """")))"),"Doormat Spotty Home Sweet Home")</f>
        <v>Doormat Spotty Home Sweet Home</v>
      </c>
      <c r="I3364" s="3">
        <v>1.0</v>
      </c>
      <c r="J3364" s="7">
        <v>40885.834027777775</v>
      </c>
      <c r="K3364" s="8" t="str">
        <f t="shared" si="4"/>
        <v>2011-12</v>
      </c>
      <c r="L3364" s="5">
        <v>8.25</v>
      </c>
      <c r="M3364" s="3">
        <v>12748.0</v>
      </c>
      <c r="N3364" s="1" t="str">
        <f t="shared" si="5"/>
        <v>Registered</v>
      </c>
      <c r="O3364" s="1" t="s">
        <v>19</v>
      </c>
      <c r="P3364" s="9" t="str">
        <f t="shared" si="6"/>
        <v>UK</v>
      </c>
      <c r="Q3364" s="8">
        <f t="shared" si="7"/>
        <v>8.25</v>
      </c>
    </row>
    <row r="3365">
      <c r="A3365" s="1">
        <v>581474.0</v>
      </c>
      <c r="B3365" s="1" t="str">
        <f t="shared" si="1"/>
        <v>581474</v>
      </c>
      <c r="C3365" s="1" t="str">
        <f t="shared" si="2"/>
        <v>Sale</v>
      </c>
      <c r="D3365" s="1">
        <v>22507.0</v>
      </c>
      <c r="E3365" s="1" t="str">
        <f>IFERROR(__xludf.DUMMYFUNCTION("IF(LEN(D3365)&gt;4, IFERROR(REGEXEXTRACT(TO_TEXT(D3365),""\d+""),""""),"""")"),"22507")</f>
        <v>22507</v>
      </c>
      <c r="F3365" s="6" t="str">
        <f t="shared" si="3"/>
        <v>Product</v>
      </c>
      <c r="G3365" s="1" t="s">
        <v>812</v>
      </c>
      <c r="H3365" s="6" t="str">
        <f>IFERROR(__xludf.DUMMYFUNCTION("IF(REGEXMATCH(LOWER(G3365), ""^(\?)+\s*(missing)?\s*(\?)*$""), """", PROPER(SUBSTITUTE(SUBSTITUTE(G3365, ""?"", """"), ""*"", """")))"),"Memo Board Retrospot Design")</f>
        <v>Memo Board Retrospot Design</v>
      </c>
      <c r="I3365" s="3">
        <v>1.0</v>
      </c>
      <c r="J3365" s="7">
        <v>40885.834027777775</v>
      </c>
      <c r="K3365" s="8" t="str">
        <f t="shared" si="4"/>
        <v>2011-12</v>
      </c>
      <c r="L3365" s="5">
        <v>4.95</v>
      </c>
      <c r="M3365" s="3">
        <v>12748.0</v>
      </c>
      <c r="N3365" s="1" t="str">
        <f t="shared" si="5"/>
        <v>Registered</v>
      </c>
      <c r="O3365" s="1" t="s">
        <v>19</v>
      </c>
      <c r="P3365" s="9" t="str">
        <f t="shared" si="6"/>
        <v>UK</v>
      </c>
      <c r="Q3365" s="8">
        <f t="shared" si="7"/>
        <v>4.95</v>
      </c>
    </row>
    <row r="3366">
      <c r="A3366" s="1">
        <v>581474.0</v>
      </c>
      <c r="B3366" s="1" t="str">
        <f t="shared" si="1"/>
        <v>581474</v>
      </c>
      <c r="C3366" s="1" t="str">
        <f t="shared" si="2"/>
        <v>Sale</v>
      </c>
      <c r="D3366" s="1">
        <v>21253.0</v>
      </c>
      <c r="E3366" s="1" t="str">
        <f>IFERROR(__xludf.DUMMYFUNCTION("IF(LEN(D3366)&gt;4, IFERROR(REGEXEXTRACT(TO_TEXT(D3366),""\d+""),""""),"""")"),"21253")</f>
        <v>21253</v>
      </c>
      <c r="F3366" s="6" t="str">
        <f t="shared" si="3"/>
        <v>Product</v>
      </c>
      <c r="G3366" s="1" t="s">
        <v>1184</v>
      </c>
      <c r="H3366" s="6" t="str">
        <f>IFERROR(__xludf.DUMMYFUNCTION("IF(REGEXMATCH(LOWER(G3366), ""^(\?)+\s*(missing)?\s*(\?)*$""), """", PROPER(SUBSTITUTE(SUBSTITUTE(G3366, ""?"", """"), ""*"", """")))"),"Set Of Picture Frame Stickers")</f>
        <v>Set Of Picture Frame Stickers</v>
      </c>
      <c r="I3366" s="3">
        <v>1.0</v>
      </c>
      <c r="J3366" s="7">
        <v>40885.834027777775</v>
      </c>
      <c r="K3366" s="8" t="str">
        <f t="shared" si="4"/>
        <v>2011-12</v>
      </c>
      <c r="L3366" s="5">
        <v>0.79</v>
      </c>
      <c r="M3366" s="3">
        <v>12748.0</v>
      </c>
      <c r="N3366" s="1" t="str">
        <f t="shared" si="5"/>
        <v>Registered</v>
      </c>
      <c r="O3366" s="1" t="s">
        <v>19</v>
      </c>
      <c r="P3366" s="9" t="str">
        <f t="shared" si="6"/>
        <v>UK</v>
      </c>
      <c r="Q3366" s="8">
        <f t="shared" si="7"/>
        <v>0.79</v>
      </c>
    </row>
    <row r="3367">
      <c r="A3367" s="1">
        <v>581474.0</v>
      </c>
      <c r="B3367" s="1" t="str">
        <f t="shared" si="1"/>
        <v>581474</v>
      </c>
      <c r="C3367" s="1" t="str">
        <f t="shared" si="2"/>
        <v>Sale</v>
      </c>
      <c r="D3367" s="1">
        <v>22108.0</v>
      </c>
      <c r="E3367" s="1" t="str">
        <f>IFERROR(__xludf.DUMMYFUNCTION("IF(LEN(D3367)&gt;4, IFERROR(REGEXEXTRACT(TO_TEXT(D3367),""\d+""),""""),"""")"),"22108")</f>
        <v>22108</v>
      </c>
      <c r="F3367" s="6" t="str">
        <f t="shared" si="3"/>
        <v>Product</v>
      </c>
      <c r="G3367" s="1" t="s">
        <v>1573</v>
      </c>
      <c r="H3367" s="6" t="str">
        <f>IFERROR(__xludf.DUMMYFUNCTION("IF(REGEXMATCH(LOWER(G3367), ""^(\?)+\s*(missing)?\s*(\?)*$""), """", PROPER(SUBSTITUTE(SUBSTITUTE(G3367, ""?"", """"), ""*"", """")))"),"Ping! Microwave Plate")</f>
        <v>Ping! Microwave Plate</v>
      </c>
      <c r="I3367" s="3">
        <v>1.0</v>
      </c>
      <c r="J3367" s="7">
        <v>40885.834027777775</v>
      </c>
      <c r="K3367" s="8" t="str">
        <f t="shared" si="4"/>
        <v>2011-12</v>
      </c>
      <c r="L3367" s="5">
        <v>1.25</v>
      </c>
      <c r="M3367" s="3">
        <v>12748.0</v>
      </c>
      <c r="N3367" s="1" t="str">
        <f t="shared" si="5"/>
        <v>Registered</v>
      </c>
      <c r="O3367" s="1" t="s">
        <v>19</v>
      </c>
      <c r="P3367" s="9" t="str">
        <f t="shared" si="6"/>
        <v>UK</v>
      </c>
      <c r="Q3367" s="8">
        <f t="shared" si="7"/>
        <v>1.25</v>
      </c>
    </row>
    <row r="3368">
      <c r="A3368" s="1">
        <v>581474.0</v>
      </c>
      <c r="B3368" s="1" t="str">
        <f t="shared" si="1"/>
        <v>581474</v>
      </c>
      <c r="C3368" s="1" t="str">
        <f t="shared" si="2"/>
        <v>Sale</v>
      </c>
      <c r="D3368" s="1">
        <v>22167.0</v>
      </c>
      <c r="E3368" s="1" t="str">
        <f>IFERROR(__xludf.DUMMYFUNCTION("IF(LEN(D3368)&gt;4, IFERROR(REGEXEXTRACT(TO_TEXT(D3368),""\d+""),""""),"""")"),"22167")</f>
        <v>22167</v>
      </c>
      <c r="F3368" s="6" t="str">
        <f t="shared" si="3"/>
        <v>Product</v>
      </c>
      <c r="G3368" s="1" t="s">
        <v>1582</v>
      </c>
      <c r="H3368" s="6" t="str">
        <f>IFERROR(__xludf.DUMMYFUNCTION("IF(REGEXMATCH(LOWER(G3368), ""^(\?)+\s*(missing)?\s*(\?)*$""), """", PROPER(SUBSTITUTE(SUBSTITUTE(G3368, ""?"", """"), ""*"", """")))"),"Oval Wall Mirror Diamante")</f>
        <v>Oval Wall Mirror Diamante</v>
      </c>
      <c r="I3368" s="3">
        <v>1.0</v>
      </c>
      <c r="J3368" s="7">
        <v>40885.834027777775</v>
      </c>
      <c r="K3368" s="8" t="str">
        <f t="shared" si="4"/>
        <v>2011-12</v>
      </c>
      <c r="L3368" s="5">
        <v>9.95</v>
      </c>
      <c r="M3368" s="3">
        <v>12748.0</v>
      </c>
      <c r="N3368" s="1" t="str">
        <f t="shared" si="5"/>
        <v>Registered</v>
      </c>
      <c r="O3368" s="1" t="s">
        <v>19</v>
      </c>
      <c r="P3368" s="9" t="str">
        <f t="shared" si="6"/>
        <v>UK</v>
      </c>
      <c r="Q3368" s="8">
        <f t="shared" si="7"/>
        <v>9.95</v>
      </c>
    </row>
    <row r="3369">
      <c r="A3369" s="1">
        <v>581474.0</v>
      </c>
      <c r="B3369" s="1" t="str">
        <f t="shared" si="1"/>
        <v>581474</v>
      </c>
      <c r="C3369" s="1" t="str">
        <f t="shared" si="2"/>
        <v>Sale</v>
      </c>
      <c r="D3369" s="1">
        <v>21929.0</v>
      </c>
      <c r="E3369" s="1" t="str">
        <f>IFERROR(__xludf.DUMMYFUNCTION("IF(LEN(D3369)&gt;4, IFERROR(REGEXEXTRACT(TO_TEXT(D3369),""\d+""),""""),"""")"),"21929")</f>
        <v>21929</v>
      </c>
      <c r="F3369" s="6" t="str">
        <f t="shared" si="3"/>
        <v>Product</v>
      </c>
      <c r="G3369" s="1" t="s">
        <v>108</v>
      </c>
      <c r="H3369" s="6" t="str">
        <f>IFERROR(__xludf.DUMMYFUNCTION("IF(REGEXMATCH(LOWER(G3369), ""^(\?)+\s*(missing)?\s*(\?)*$""), """", PROPER(SUBSTITUTE(SUBSTITUTE(G3369, ""?"", """"), ""*"", """")))"),"Jumbo Bag Pink Vintage Paisley")</f>
        <v>Jumbo Bag Pink Vintage Paisley</v>
      </c>
      <c r="I3369" s="3">
        <v>1.0</v>
      </c>
      <c r="J3369" s="7">
        <v>40885.834027777775</v>
      </c>
      <c r="K3369" s="8" t="str">
        <f t="shared" si="4"/>
        <v>2011-12</v>
      </c>
      <c r="L3369" s="5">
        <v>2.08</v>
      </c>
      <c r="M3369" s="3">
        <v>12748.0</v>
      </c>
      <c r="N3369" s="1" t="str">
        <f t="shared" si="5"/>
        <v>Registered</v>
      </c>
      <c r="O3369" s="1" t="s">
        <v>19</v>
      </c>
      <c r="P3369" s="9" t="str">
        <f t="shared" si="6"/>
        <v>UK</v>
      </c>
      <c r="Q3369" s="8">
        <f t="shared" si="7"/>
        <v>2.08</v>
      </c>
    </row>
    <row r="3370">
      <c r="A3370" s="1">
        <v>581474.0</v>
      </c>
      <c r="B3370" s="1" t="str">
        <f t="shared" si="1"/>
        <v>581474</v>
      </c>
      <c r="C3370" s="1" t="str">
        <f t="shared" si="2"/>
        <v>Sale</v>
      </c>
      <c r="D3370" s="1">
        <v>20717.0</v>
      </c>
      <c r="E3370" s="1" t="str">
        <f>IFERROR(__xludf.DUMMYFUNCTION("IF(LEN(D3370)&gt;4, IFERROR(REGEXEXTRACT(TO_TEXT(D3370),""\d+""),""""),"""")"),"20717")</f>
        <v>20717</v>
      </c>
      <c r="F3370" s="6" t="str">
        <f t="shared" si="3"/>
        <v>Product</v>
      </c>
      <c r="G3370" s="1" t="s">
        <v>430</v>
      </c>
      <c r="H3370" s="6" t="str">
        <f>IFERROR(__xludf.DUMMYFUNCTION("IF(REGEXMATCH(LOWER(G3370), ""^(\?)+\s*(missing)?\s*(\?)*$""), """", PROPER(SUBSTITUTE(SUBSTITUTE(G3370, ""?"", """"), ""*"", """")))"),"Strawberry Shopper Bag")</f>
        <v>Strawberry Shopper Bag</v>
      </c>
      <c r="I3370" s="3">
        <v>1.0</v>
      </c>
      <c r="J3370" s="7">
        <v>40885.834027777775</v>
      </c>
      <c r="K3370" s="8" t="str">
        <f t="shared" si="4"/>
        <v>2011-12</v>
      </c>
      <c r="L3370" s="5">
        <v>1.25</v>
      </c>
      <c r="M3370" s="3">
        <v>12748.0</v>
      </c>
      <c r="N3370" s="1" t="str">
        <f t="shared" si="5"/>
        <v>Registered</v>
      </c>
      <c r="O3370" s="1" t="s">
        <v>19</v>
      </c>
      <c r="P3370" s="9" t="str">
        <f t="shared" si="6"/>
        <v>UK</v>
      </c>
      <c r="Q3370" s="8">
        <f t="shared" si="7"/>
        <v>1.25</v>
      </c>
    </row>
    <row r="3371">
      <c r="A3371" s="1">
        <v>581475.0</v>
      </c>
      <c r="B3371" s="1" t="str">
        <f t="shared" si="1"/>
        <v>581475</v>
      </c>
      <c r="C3371" s="1" t="str">
        <f t="shared" si="2"/>
        <v>Sale</v>
      </c>
      <c r="D3371" s="1">
        <v>22596.0</v>
      </c>
      <c r="E3371" s="1" t="str">
        <f>IFERROR(__xludf.DUMMYFUNCTION("IF(LEN(D3371)&gt;4, IFERROR(REGEXEXTRACT(TO_TEXT(D3371),""\d+""),""""),"""")"),"22596")</f>
        <v>22596</v>
      </c>
      <c r="F3371" s="6" t="str">
        <f t="shared" si="3"/>
        <v>Product</v>
      </c>
      <c r="G3371" s="1" t="s">
        <v>1583</v>
      </c>
      <c r="H3371" s="6" t="str">
        <f>IFERROR(__xludf.DUMMYFUNCTION("IF(REGEXMATCH(LOWER(G3371), ""^(\?)+\s*(missing)?\s*(\?)*$""), """", PROPER(SUBSTITUTE(SUBSTITUTE(G3371, ""?"", """"), ""*"", """")))"),"Christmas Star Wish List Chalkboard")</f>
        <v>Christmas Star Wish List Chalkboard</v>
      </c>
      <c r="I3371" s="3">
        <v>36.0</v>
      </c>
      <c r="J3371" s="7">
        <v>40886.36041666667</v>
      </c>
      <c r="K3371" s="8" t="str">
        <f t="shared" si="4"/>
        <v>2011-12</v>
      </c>
      <c r="L3371" s="5">
        <v>0.39</v>
      </c>
      <c r="M3371" s="3">
        <v>13069.0</v>
      </c>
      <c r="N3371" s="1" t="str">
        <f t="shared" si="5"/>
        <v>Registered</v>
      </c>
      <c r="O3371" s="1" t="s">
        <v>19</v>
      </c>
      <c r="P3371" s="9" t="str">
        <f t="shared" si="6"/>
        <v>UK</v>
      </c>
      <c r="Q3371" s="8">
        <f t="shared" si="7"/>
        <v>14.04</v>
      </c>
    </row>
    <row r="3372">
      <c r="A3372" s="1">
        <v>581475.0</v>
      </c>
      <c r="B3372" s="1" t="str">
        <f t="shared" si="1"/>
        <v>581475</v>
      </c>
      <c r="C3372" s="1" t="str">
        <f t="shared" si="2"/>
        <v>Sale</v>
      </c>
      <c r="D3372" s="1">
        <v>23235.0</v>
      </c>
      <c r="E3372" s="1" t="str">
        <f>IFERROR(__xludf.DUMMYFUNCTION("IF(LEN(D3372)&gt;4, IFERROR(REGEXEXTRACT(TO_TEXT(D3372),""\d+""),""""),"""")"),"23235")</f>
        <v>23235</v>
      </c>
      <c r="F3372" s="6" t="str">
        <f t="shared" si="3"/>
        <v>Product</v>
      </c>
      <c r="G3372" s="1" t="s">
        <v>1584</v>
      </c>
      <c r="H3372" s="6" t="str">
        <f>IFERROR(__xludf.DUMMYFUNCTION("IF(REGEXMATCH(LOWER(G3372), ""^(\?)+\s*(missing)?\s*(\?)*$""), """", PROPER(SUBSTITUTE(SUBSTITUTE(G3372, ""?"", """"), ""*"", """")))"),"Storage Tin Vintage Leaf")</f>
        <v>Storage Tin Vintage Leaf</v>
      </c>
      <c r="I3372" s="3">
        <v>12.0</v>
      </c>
      <c r="J3372" s="7">
        <v>40886.36041666667</v>
      </c>
      <c r="K3372" s="8" t="str">
        <f t="shared" si="4"/>
        <v>2011-12</v>
      </c>
      <c r="L3372" s="5">
        <v>1.25</v>
      </c>
      <c r="M3372" s="3">
        <v>13069.0</v>
      </c>
      <c r="N3372" s="1" t="str">
        <f t="shared" si="5"/>
        <v>Registered</v>
      </c>
      <c r="O3372" s="1" t="s">
        <v>19</v>
      </c>
      <c r="P3372" s="9" t="str">
        <f t="shared" si="6"/>
        <v>UK</v>
      </c>
      <c r="Q3372" s="8">
        <f t="shared" si="7"/>
        <v>15</v>
      </c>
    </row>
    <row r="3373">
      <c r="A3373" s="1">
        <v>581475.0</v>
      </c>
      <c r="B3373" s="1" t="str">
        <f t="shared" si="1"/>
        <v>581475</v>
      </c>
      <c r="C3373" s="1" t="str">
        <f t="shared" si="2"/>
        <v>Sale</v>
      </c>
      <c r="D3373" s="1">
        <v>23272.0</v>
      </c>
      <c r="E3373" s="1" t="str">
        <f>IFERROR(__xludf.DUMMYFUNCTION("IF(LEN(D3373)&gt;4, IFERROR(REGEXEXTRACT(TO_TEXT(D3373),""\d+""),""""),"""")"),"23272")</f>
        <v>23272</v>
      </c>
      <c r="F3373" s="6" t="str">
        <f t="shared" si="3"/>
        <v>Product</v>
      </c>
      <c r="G3373" s="1" t="s">
        <v>1585</v>
      </c>
      <c r="H3373" s="6" t="str">
        <f>IFERROR(__xludf.DUMMYFUNCTION("IF(REGEXMATCH(LOWER(G3373), ""^(\?)+\s*(missing)?\s*(\?)*$""), """", PROPER(SUBSTITUTE(SUBSTITUTE(G3373, ""?"", """"), ""*"", """")))"),"Tree T-Light Holder Willie Winkie")</f>
        <v>Tree T-Light Holder Willie Winkie</v>
      </c>
      <c r="I3373" s="3">
        <v>12.0</v>
      </c>
      <c r="J3373" s="7">
        <v>40886.36041666667</v>
      </c>
      <c r="K3373" s="8" t="str">
        <f t="shared" si="4"/>
        <v>2011-12</v>
      </c>
      <c r="L3373" s="5">
        <v>0.39</v>
      </c>
      <c r="M3373" s="3">
        <v>13069.0</v>
      </c>
      <c r="N3373" s="1" t="str">
        <f t="shared" si="5"/>
        <v>Registered</v>
      </c>
      <c r="O3373" s="1" t="s">
        <v>19</v>
      </c>
      <c r="P3373" s="9" t="str">
        <f t="shared" si="6"/>
        <v>UK</v>
      </c>
      <c r="Q3373" s="8">
        <f t="shared" si="7"/>
        <v>4.68</v>
      </c>
    </row>
    <row r="3374">
      <c r="A3374" s="1">
        <v>581475.0</v>
      </c>
      <c r="B3374" s="1" t="str">
        <f t="shared" si="1"/>
        <v>581475</v>
      </c>
      <c r="C3374" s="1" t="str">
        <f t="shared" si="2"/>
        <v>Sale</v>
      </c>
      <c r="D3374" s="1">
        <v>23239.0</v>
      </c>
      <c r="E3374" s="1" t="str">
        <f>IFERROR(__xludf.DUMMYFUNCTION("IF(LEN(D3374)&gt;4, IFERROR(REGEXEXTRACT(TO_TEXT(D3374),""\d+""),""""),"""")"),"23239")</f>
        <v>23239</v>
      </c>
      <c r="F3374" s="6" t="str">
        <f t="shared" si="3"/>
        <v>Product</v>
      </c>
      <c r="G3374" s="1" t="s">
        <v>1586</v>
      </c>
      <c r="H3374" s="6" t="str">
        <f>IFERROR(__xludf.DUMMYFUNCTION("IF(REGEXMATCH(LOWER(G3374), ""^(\?)+\s*(missing)?\s*(\?)*$""), """", PROPER(SUBSTITUTE(SUBSTITUTE(G3374, ""?"", """"), ""*"", """")))"),"Set Of 4 Knick Knack Tins Poppies")</f>
        <v>Set Of 4 Knick Knack Tins Poppies</v>
      </c>
      <c r="I3374" s="3">
        <v>6.0</v>
      </c>
      <c r="J3374" s="7">
        <v>40886.36041666667</v>
      </c>
      <c r="K3374" s="8" t="str">
        <f t="shared" si="4"/>
        <v>2011-12</v>
      </c>
      <c r="L3374" s="5">
        <v>1.65</v>
      </c>
      <c r="M3374" s="3">
        <v>13069.0</v>
      </c>
      <c r="N3374" s="1" t="str">
        <f t="shared" si="5"/>
        <v>Registered</v>
      </c>
      <c r="O3374" s="1" t="s">
        <v>19</v>
      </c>
      <c r="P3374" s="9" t="str">
        <f t="shared" si="6"/>
        <v>UK</v>
      </c>
      <c r="Q3374" s="8">
        <f t="shared" si="7"/>
        <v>9.9</v>
      </c>
    </row>
    <row r="3375">
      <c r="A3375" s="1">
        <v>581475.0</v>
      </c>
      <c r="B3375" s="1" t="str">
        <f t="shared" si="1"/>
        <v>581475</v>
      </c>
      <c r="C3375" s="1" t="str">
        <f t="shared" si="2"/>
        <v>Sale</v>
      </c>
      <c r="D3375" s="1">
        <v>21705.0</v>
      </c>
      <c r="E3375" s="1" t="str">
        <f>IFERROR(__xludf.DUMMYFUNCTION("IF(LEN(D3375)&gt;4, IFERROR(REGEXEXTRACT(TO_TEXT(D3375),""\d+""),""""),"""")"),"21705")</f>
        <v>21705</v>
      </c>
      <c r="F3375" s="6" t="str">
        <f t="shared" si="3"/>
        <v>Product</v>
      </c>
      <c r="G3375" s="1" t="s">
        <v>389</v>
      </c>
      <c r="H3375" s="6" t="str">
        <f>IFERROR(__xludf.DUMMYFUNCTION("IF(REGEXMATCH(LOWER(G3375), ""^(\?)+\s*(missing)?\s*(\?)*$""), """", PROPER(SUBSTITUTE(SUBSTITUTE(G3375, ""?"", """"), ""*"", """")))"),"Bag 500G Swirly Marbles")</f>
        <v>Bag 500G Swirly Marbles</v>
      </c>
      <c r="I3375" s="3">
        <v>24.0</v>
      </c>
      <c r="J3375" s="7">
        <v>40886.36041666667</v>
      </c>
      <c r="K3375" s="8" t="str">
        <f t="shared" si="4"/>
        <v>2011-12</v>
      </c>
      <c r="L3375" s="5">
        <v>0.39</v>
      </c>
      <c r="M3375" s="3">
        <v>13069.0</v>
      </c>
      <c r="N3375" s="1" t="str">
        <f t="shared" si="5"/>
        <v>Registered</v>
      </c>
      <c r="O3375" s="1" t="s">
        <v>19</v>
      </c>
      <c r="P3375" s="9" t="str">
        <f t="shared" si="6"/>
        <v>UK</v>
      </c>
      <c r="Q3375" s="8">
        <f t="shared" si="7"/>
        <v>9.36</v>
      </c>
    </row>
    <row r="3376">
      <c r="A3376" s="1">
        <v>581475.0</v>
      </c>
      <c r="B3376" s="1" t="str">
        <f t="shared" si="1"/>
        <v>581475</v>
      </c>
      <c r="C3376" s="1" t="str">
        <f t="shared" si="2"/>
        <v>Sale</v>
      </c>
      <c r="D3376" s="1">
        <v>22118.0</v>
      </c>
      <c r="E3376" s="1" t="str">
        <f>IFERROR(__xludf.DUMMYFUNCTION("IF(LEN(D3376)&gt;4, IFERROR(REGEXEXTRACT(TO_TEXT(D3376),""\d+""),""""),"""")"),"22118")</f>
        <v>22118</v>
      </c>
      <c r="F3376" s="6" t="str">
        <f t="shared" si="3"/>
        <v>Product</v>
      </c>
      <c r="G3376" s="1" t="s">
        <v>1419</v>
      </c>
      <c r="H3376" s="6" t="str">
        <f>IFERROR(__xludf.DUMMYFUNCTION("IF(REGEXMATCH(LOWER(G3376), ""^(\?)+\s*(missing)?\s*(\?)*$""), """", PROPER(SUBSTITUTE(SUBSTITUTE(G3376, ""?"", """"), ""*"", """")))"),"Joy Wooden Block Letters")</f>
        <v>Joy Wooden Block Letters</v>
      </c>
      <c r="I3376" s="3">
        <v>18.0</v>
      </c>
      <c r="J3376" s="7">
        <v>40886.36041666667</v>
      </c>
      <c r="K3376" s="8" t="str">
        <f t="shared" si="4"/>
        <v>2011-12</v>
      </c>
      <c r="L3376" s="5">
        <v>1.25</v>
      </c>
      <c r="M3376" s="3">
        <v>13069.0</v>
      </c>
      <c r="N3376" s="1" t="str">
        <f t="shared" si="5"/>
        <v>Registered</v>
      </c>
      <c r="O3376" s="1" t="s">
        <v>19</v>
      </c>
      <c r="P3376" s="9" t="str">
        <f t="shared" si="6"/>
        <v>UK</v>
      </c>
      <c r="Q3376" s="8">
        <f t="shared" si="7"/>
        <v>22.5</v>
      </c>
    </row>
    <row r="3377">
      <c r="A3377" s="1">
        <v>581475.0</v>
      </c>
      <c r="B3377" s="1" t="str">
        <f t="shared" si="1"/>
        <v>581475</v>
      </c>
      <c r="C3377" s="1" t="str">
        <f t="shared" si="2"/>
        <v>Sale</v>
      </c>
      <c r="D3377" s="1">
        <v>22119.0</v>
      </c>
      <c r="E3377" s="1" t="str">
        <f>IFERROR(__xludf.DUMMYFUNCTION("IF(LEN(D3377)&gt;4, IFERROR(REGEXEXTRACT(TO_TEXT(D3377),""\d+""),""""),"""")"),"22119")</f>
        <v>22119</v>
      </c>
      <c r="F3377" s="6" t="str">
        <f t="shared" si="3"/>
        <v>Product</v>
      </c>
      <c r="G3377" s="1" t="s">
        <v>1424</v>
      </c>
      <c r="H3377" s="6" t="str">
        <f>IFERROR(__xludf.DUMMYFUNCTION("IF(REGEXMATCH(LOWER(G3377), ""^(\?)+\s*(missing)?\s*(\?)*$""), """", PROPER(SUBSTITUTE(SUBSTITUTE(G3377, ""?"", """"), ""*"", """")))"),"Peace Wooden Block Letters")</f>
        <v>Peace Wooden Block Letters</v>
      </c>
      <c r="I3377" s="3">
        <v>12.0</v>
      </c>
      <c r="J3377" s="7">
        <v>40886.36041666667</v>
      </c>
      <c r="K3377" s="8" t="str">
        <f t="shared" si="4"/>
        <v>2011-12</v>
      </c>
      <c r="L3377" s="5">
        <v>1.95</v>
      </c>
      <c r="M3377" s="3">
        <v>13069.0</v>
      </c>
      <c r="N3377" s="1" t="str">
        <f t="shared" si="5"/>
        <v>Registered</v>
      </c>
      <c r="O3377" s="1" t="s">
        <v>19</v>
      </c>
      <c r="P3377" s="9" t="str">
        <f t="shared" si="6"/>
        <v>UK</v>
      </c>
      <c r="Q3377" s="8">
        <f t="shared" si="7"/>
        <v>23.4</v>
      </c>
    </row>
    <row r="3378">
      <c r="A3378" s="1">
        <v>581475.0</v>
      </c>
      <c r="B3378" s="1" t="str">
        <f t="shared" si="1"/>
        <v>581475</v>
      </c>
      <c r="C3378" s="1" t="str">
        <f t="shared" si="2"/>
        <v>Sale</v>
      </c>
      <c r="D3378" s="1">
        <v>22217.0</v>
      </c>
      <c r="E3378" s="1" t="str">
        <f>IFERROR(__xludf.DUMMYFUNCTION("IF(LEN(D3378)&gt;4, IFERROR(REGEXEXTRACT(TO_TEXT(D3378),""\d+""),""""),"""")"),"22217")</f>
        <v>22217</v>
      </c>
      <c r="F3378" s="6" t="str">
        <f t="shared" si="3"/>
        <v>Product</v>
      </c>
      <c r="G3378" s="1" t="s">
        <v>1519</v>
      </c>
      <c r="H3378" s="6" t="str">
        <f>IFERROR(__xludf.DUMMYFUNCTION("IF(REGEXMATCH(LOWER(G3378), ""^(\?)+\s*(missing)?\s*(\?)*$""), """", PROPER(SUBSTITUTE(SUBSTITUTE(G3378, ""?"", """"), ""*"", """")))"),"T-Light Holder Hanging Lace")</f>
        <v>T-Light Holder Hanging Lace</v>
      </c>
      <c r="I3378" s="3">
        <v>12.0</v>
      </c>
      <c r="J3378" s="7">
        <v>40886.36041666667</v>
      </c>
      <c r="K3378" s="8" t="str">
        <f t="shared" si="4"/>
        <v>2011-12</v>
      </c>
      <c r="L3378" s="5">
        <v>0.39</v>
      </c>
      <c r="M3378" s="3">
        <v>13069.0</v>
      </c>
      <c r="N3378" s="1" t="str">
        <f t="shared" si="5"/>
        <v>Registered</v>
      </c>
      <c r="O3378" s="1" t="s">
        <v>19</v>
      </c>
      <c r="P3378" s="9" t="str">
        <f t="shared" si="6"/>
        <v>UK</v>
      </c>
      <c r="Q3378" s="8">
        <f t="shared" si="7"/>
        <v>4.68</v>
      </c>
    </row>
    <row r="3379">
      <c r="A3379" s="1">
        <v>581475.0</v>
      </c>
      <c r="B3379" s="1" t="str">
        <f t="shared" si="1"/>
        <v>581475</v>
      </c>
      <c r="C3379" s="1" t="str">
        <f t="shared" si="2"/>
        <v>Sale</v>
      </c>
      <c r="D3379" s="1">
        <v>22216.0</v>
      </c>
      <c r="E3379" s="1" t="str">
        <f>IFERROR(__xludf.DUMMYFUNCTION("IF(LEN(D3379)&gt;4, IFERROR(REGEXEXTRACT(TO_TEXT(D3379),""\d+""),""""),"""")"),"22216")</f>
        <v>22216</v>
      </c>
      <c r="F3379" s="6" t="str">
        <f t="shared" si="3"/>
        <v>Product</v>
      </c>
      <c r="G3379" s="1" t="s">
        <v>1587</v>
      </c>
      <c r="H3379" s="6" t="str">
        <f>IFERROR(__xludf.DUMMYFUNCTION("IF(REGEXMATCH(LOWER(G3379), ""^(\?)+\s*(missing)?\s*(\?)*$""), """", PROPER(SUBSTITUTE(SUBSTITUTE(G3379, ""?"", """"), ""*"", """")))"),"T-Light Holder White Lace")</f>
        <v>T-Light Holder White Lace</v>
      </c>
      <c r="I3379" s="3">
        <v>24.0</v>
      </c>
      <c r="J3379" s="7">
        <v>40886.36041666667</v>
      </c>
      <c r="K3379" s="8" t="str">
        <f t="shared" si="4"/>
        <v>2011-12</v>
      </c>
      <c r="L3379" s="5">
        <v>0.29</v>
      </c>
      <c r="M3379" s="3">
        <v>13069.0</v>
      </c>
      <c r="N3379" s="1" t="str">
        <f t="shared" si="5"/>
        <v>Registered</v>
      </c>
      <c r="O3379" s="1" t="s">
        <v>19</v>
      </c>
      <c r="P3379" s="9" t="str">
        <f t="shared" si="6"/>
        <v>UK</v>
      </c>
      <c r="Q3379" s="8">
        <f t="shared" si="7"/>
        <v>6.96</v>
      </c>
    </row>
    <row r="3380">
      <c r="A3380" s="1">
        <v>581475.0</v>
      </c>
      <c r="B3380" s="1" t="str">
        <f t="shared" si="1"/>
        <v>581475</v>
      </c>
      <c r="C3380" s="1" t="str">
        <f t="shared" si="2"/>
        <v>Sale</v>
      </c>
      <c r="D3380" s="1">
        <v>22380.0</v>
      </c>
      <c r="E3380" s="1" t="str">
        <f>IFERROR(__xludf.DUMMYFUNCTION("IF(LEN(D3380)&gt;4, IFERROR(REGEXEXTRACT(TO_TEXT(D3380),""\d+""),""""),"""")"),"22380")</f>
        <v>22380</v>
      </c>
      <c r="F3380" s="6" t="str">
        <f t="shared" si="3"/>
        <v>Product</v>
      </c>
      <c r="G3380" s="1" t="s">
        <v>1588</v>
      </c>
      <c r="H3380" s="6" t="str">
        <f>IFERROR(__xludf.DUMMYFUNCTION("IF(REGEXMATCH(LOWER(G3380), ""^(\?)+\s*(missing)?\s*(\?)*$""), """", PROPER(SUBSTITUTE(SUBSTITUTE(G3380, ""?"", """"), ""*"", """")))"),"Toy Tidy Spaceboy")</f>
        <v>Toy Tidy Spaceboy</v>
      </c>
      <c r="I3380" s="3">
        <v>20.0</v>
      </c>
      <c r="J3380" s="7">
        <v>40886.36041666667</v>
      </c>
      <c r="K3380" s="8" t="str">
        <f t="shared" si="4"/>
        <v>2011-12</v>
      </c>
      <c r="L3380" s="5">
        <v>0.79</v>
      </c>
      <c r="M3380" s="3">
        <v>13069.0</v>
      </c>
      <c r="N3380" s="1" t="str">
        <f t="shared" si="5"/>
        <v>Registered</v>
      </c>
      <c r="O3380" s="1" t="s">
        <v>19</v>
      </c>
      <c r="P3380" s="9" t="str">
        <f t="shared" si="6"/>
        <v>UK</v>
      </c>
      <c r="Q3380" s="8">
        <f t="shared" si="7"/>
        <v>15.8</v>
      </c>
    </row>
    <row r="3381">
      <c r="A3381" s="1">
        <v>581475.0</v>
      </c>
      <c r="B3381" s="1" t="str">
        <f t="shared" si="1"/>
        <v>581475</v>
      </c>
      <c r="C3381" s="1" t="str">
        <f t="shared" si="2"/>
        <v>Sale</v>
      </c>
      <c r="D3381" s="1">
        <v>22442.0</v>
      </c>
      <c r="E3381" s="1" t="str">
        <f>IFERROR(__xludf.DUMMYFUNCTION("IF(LEN(D3381)&gt;4, IFERROR(REGEXEXTRACT(TO_TEXT(D3381),""\d+""),""""),"""")"),"22442")</f>
        <v>22442</v>
      </c>
      <c r="F3381" s="6" t="str">
        <f t="shared" si="3"/>
        <v>Product</v>
      </c>
      <c r="G3381" s="1" t="s">
        <v>1428</v>
      </c>
      <c r="H3381" s="6" t="str">
        <f>IFERROR(__xludf.DUMMYFUNCTION("IF(REGEXMATCH(LOWER(G3381), ""^(\?)+\s*(missing)?\s*(\?)*$""), """", PROPER(SUBSTITUTE(SUBSTITUTE(G3381, ""?"", """"), ""*"", """")))"),"Grow Your Own Flowers Set Of 3")</f>
        <v>Grow Your Own Flowers Set Of 3</v>
      </c>
      <c r="I3381" s="3">
        <v>12.0</v>
      </c>
      <c r="J3381" s="7">
        <v>40886.36041666667</v>
      </c>
      <c r="K3381" s="8" t="str">
        <f t="shared" si="4"/>
        <v>2011-12</v>
      </c>
      <c r="L3381" s="5">
        <v>1.95</v>
      </c>
      <c r="M3381" s="3">
        <v>13069.0</v>
      </c>
      <c r="N3381" s="1" t="str">
        <f t="shared" si="5"/>
        <v>Registered</v>
      </c>
      <c r="O3381" s="1" t="s">
        <v>19</v>
      </c>
      <c r="P3381" s="9" t="str">
        <f t="shared" si="6"/>
        <v>UK</v>
      </c>
      <c r="Q3381" s="8">
        <f t="shared" si="7"/>
        <v>23.4</v>
      </c>
    </row>
    <row r="3382">
      <c r="A3382" s="1">
        <v>581475.0</v>
      </c>
      <c r="B3382" s="1" t="str">
        <f t="shared" si="1"/>
        <v>581475</v>
      </c>
      <c r="C3382" s="1" t="str">
        <f t="shared" si="2"/>
        <v>Sale</v>
      </c>
      <c r="D3382" s="1">
        <v>22664.0</v>
      </c>
      <c r="E3382" s="1" t="str">
        <f>IFERROR(__xludf.DUMMYFUNCTION("IF(LEN(D3382)&gt;4, IFERROR(REGEXEXTRACT(TO_TEXT(D3382),""\d+""),""""),"""")"),"22664")</f>
        <v>22664</v>
      </c>
      <c r="F3382" s="6" t="str">
        <f t="shared" si="3"/>
        <v>Product</v>
      </c>
      <c r="G3382" s="1" t="s">
        <v>397</v>
      </c>
      <c r="H3382" s="6" t="str">
        <f>IFERROR(__xludf.DUMMYFUNCTION("IF(REGEXMATCH(LOWER(G3382), ""^(\?)+\s*(missing)?\s*(\?)*$""), """", PROPER(SUBSTITUTE(SUBSTITUTE(G3382, ""?"", """"), ""*"", """")))"),"Toy Tidy Dolly Girl Design")</f>
        <v>Toy Tidy Dolly Girl Design</v>
      </c>
      <c r="I3382" s="3">
        <v>20.0</v>
      </c>
      <c r="J3382" s="7">
        <v>40886.36041666667</v>
      </c>
      <c r="K3382" s="8" t="str">
        <f t="shared" si="4"/>
        <v>2011-12</v>
      </c>
      <c r="L3382" s="5">
        <v>0.79</v>
      </c>
      <c r="M3382" s="3">
        <v>13069.0</v>
      </c>
      <c r="N3382" s="1" t="str">
        <f t="shared" si="5"/>
        <v>Registered</v>
      </c>
      <c r="O3382" s="1" t="s">
        <v>19</v>
      </c>
      <c r="P3382" s="9" t="str">
        <f t="shared" si="6"/>
        <v>UK</v>
      </c>
      <c r="Q3382" s="8">
        <f t="shared" si="7"/>
        <v>15.8</v>
      </c>
    </row>
    <row r="3383">
      <c r="A3383" s="1">
        <v>581475.0</v>
      </c>
      <c r="B3383" s="1" t="str">
        <f t="shared" si="1"/>
        <v>581475</v>
      </c>
      <c r="C3383" s="1" t="str">
        <f t="shared" si="2"/>
        <v>Sale</v>
      </c>
      <c r="D3383" s="1">
        <v>22721.0</v>
      </c>
      <c r="E3383" s="1" t="str">
        <f>IFERROR(__xludf.DUMMYFUNCTION("IF(LEN(D3383)&gt;4, IFERROR(REGEXEXTRACT(TO_TEXT(D3383),""\d+""),""""),"""")"),"22721")</f>
        <v>22721</v>
      </c>
      <c r="F3383" s="6" t="str">
        <f t="shared" si="3"/>
        <v>Product</v>
      </c>
      <c r="G3383" s="1" t="s">
        <v>1296</v>
      </c>
      <c r="H3383" s="6" t="str">
        <f>IFERROR(__xludf.DUMMYFUNCTION("IF(REGEXMATCH(LOWER(G3383), ""^(\?)+\s*(missing)?\s*(\?)*$""), """", PROPER(SUBSTITUTE(SUBSTITUTE(G3383, ""?"", """"), ""*"", """")))"),"Set Of 3 Cake Tins Sketchbook")</f>
        <v>Set Of 3 Cake Tins Sketchbook</v>
      </c>
      <c r="I3383" s="3">
        <v>12.0</v>
      </c>
      <c r="J3383" s="7">
        <v>40886.36041666667</v>
      </c>
      <c r="K3383" s="8" t="str">
        <f t="shared" si="4"/>
        <v>2011-12</v>
      </c>
      <c r="L3383" s="5">
        <v>1.95</v>
      </c>
      <c r="M3383" s="3">
        <v>13069.0</v>
      </c>
      <c r="N3383" s="1" t="str">
        <f t="shared" si="5"/>
        <v>Registered</v>
      </c>
      <c r="O3383" s="1" t="s">
        <v>19</v>
      </c>
      <c r="P3383" s="9" t="str">
        <f t="shared" si="6"/>
        <v>UK</v>
      </c>
      <c r="Q3383" s="8">
        <f t="shared" si="7"/>
        <v>23.4</v>
      </c>
    </row>
    <row r="3384">
      <c r="A3384" s="1">
        <v>581475.0</v>
      </c>
      <c r="B3384" s="1" t="str">
        <f t="shared" si="1"/>
        <v>581475</v>
      </c>
      <c r="C3384" s="1" t="str">
        <f t="shared" si="2"/>
        <v>Sale</v>
      </c>
      <c r="D3384" s="1">
        <v>22723.0</v>
      </c>
      <c r="E3384" s="1" t="str">
        <f>IFERROR(__xludf.DUMMYFUNCTION("IF(LEN(D3384)&gt;4, IFERROR(REGEXEXTRACT(TO_TEXT(D3384),""\d+""),""""),"""")"),"22723")</f>
        <v>22723</v>
      </c>
      <c r="F3384" s="6" t="str">
        <f t="shared" si="3"/>
        <v>Product</v>
      </c>
      <c r="G3384" s="1" t="s">
        <v>1200</v>
      </c>
      <c r="H3384" s="6" t="str">
        <f>IFERROR(__xludf.DUMMYFUNCTION("IF(REGEXMATCH(LOWER(G3384), ""^(\?)+\s*(missing)?\s*(\?)*$""), """", PROPER(SUBSTITUTE(SUBSTITUTE(G3384, ""?"", """"), ""*"", """")))"),"Set Of 6 Herb Tins Sketchbook")</f>
        <v>Set Of 6 Herb Tins Sketchbook</v>
      </c>
      <c r="I3384" s="3">
        <v>12.0</v>
      </c>
      <c r="J3384" s="7">
        <v>40886.36041666667</v>
      </c>
      <c r="K3384" s="8" t="str">
        <f t="shared" si="4"/>
        <v>2011-12</v>
      </c>
      <c r="L3384" s="5">
        <v>1.25</v>
      </c>
      <c r="M3384" s="3">
        <v>13069.0</v>
      </c>
      <c r="N3384" s="1" t="str">
        <f t="shared" si="5"/>
        <v>Registered</v>
      </c>
      <c r="O3384" s="1" t="s">
        <v>19</v>
      </c>
      <c r="P3384" s="9" t="str">
        <f t="shared" si="6"/>
        <v>UK</v>
      </c>
      <c r="Q3384" s="8">
        <f t="shared" si="7"/>
        <v>15</v>
      </c>
    </row>
    <row r="3385">
      <c r="A3385" s="1">
        <v>581475.0</v>
      </c>
      <c r="B3385" s="1" t="str">
        <f t="shared" si="1"/>
        <v>581475</v>
      </c>
      <c r="C3385" s="1" t="str">
        <f t="shared" si="2"/>
        <v>Sale</v>
      </c>
      <c r="D3385" s="1">
        <v>22785.0</v>
      </c>
      <c r="E3385" s="1" t="str">
        <f>IFERROR(__xludf.DUMMYFUNCTION("IF(LEN(D3385)&gt;4, IFERROR(REGEXEXTRACT(TO_TEXT(D3385),""\d+""),""""),"""")"),"22785")</f>
        <v>22785</v>
      </c>
      <c r="F3385" s="6" t="str">
        <f t="shared" si="3"/>
        <v>Product</v>
      </c>
      <c r="G3385" s="1" t="s">
        <v>1589</v>
      </c>
      <c r="H3385" s="6" t="str">
        <f>IFERROR(__xludf.DUMMYFUNCTION("IF(REGEXMATCH(LOWER(G3385), ""^(\?)+\s*(missing)?\s*(\?)*$""), """", PROPER(SUBSTITUTE(SUBSTITUTE(G3385, ""?"", """"), ""*"", """")))"),"Squarecushion Cover Pink Union Jack")</f>
        <v>Squarecushion Cover Pink Union Jack</v>
      </c>
      <c r="I3385" s="3">
        <v>12.0</v>
      </c>
      <c r="J3385" s="7">
        <v>40886.36041666667</v>
      </c>
      <c r="K3385" s="8" t="str">
        <f t="shared" si="4"/>
        <v>2011-12</v>
      </c>
      <c r="L3385" s="5">
        <v>1.25</v>
      </c>
      <c r="M3385" s="3">
        <v>13069.0</v>
      </c>
      <c r="N3385" s="1" t="str">
        <f t="shared" si="5"/>
        <v>Registered</v>
      </c>
      <c r="O3385" s="1" t="s">
        <v>19</v>
      </c>
      <c r="P3385" s="9" t="str">
        <f t="shared" si="6"/>
        <v>UK</v>
      </c>
      <c r="Q3385" s="8">
        <f t="shared" si="7"/>
        <v>15</v>
      </c>
    </row>
    <row r="3386">
      <c r="A3386" s="1">
        <v>581475.0</v>
      </c>
      <c r="B3386" s="1" t="str">
        <f t="shared" si="1"/>
        <v>581475</v>
      </c>
      <c r="C3386" s="1" t="str">
        <f t="shared" si="2"/>
        <v>Sale</v>
      </c>
      <c r="D3386" s="1">
        <v>22955.0</v>
      </c>
      <c r="E3386" s="1" t="str">
        <f>IFERROR(__xludf.DUMMYFUNCTION("IF(LEN(D3386)&gt;4, IFERROR(REGEXEXTRACT(TO_TEXT(D3386),""\d+""),""""),"""")"),"22955")</f>
        <v>22955</v>
      </c>
      <c r="F3386" s="6" t="str">
        <f t="shared" si="3"/>
        <v>Product</v>
      </c>
      <c r="G3386" s="1" t="s">
        <v>673</v>
      </c>
      <c r="H3386" s="6" t="str">
        <f>IFERROR(__xludf.DUMMYFUNCTION("IF(REGEXMATCH(LOWER(G3386), ""^(\?)+\s*(missing)?\s*(\?)*$""), """", PROPER(SUBSTITUTE(SUBSTITUTE(G3386, ""?"", """"), ""*"", """")))"),"36 Foil Star Cake Cases")</f>
        <v>36 Foil Star Cake Cases</v>
      </c>
      <c r="I3386" s="3">
        <v>24.0</v>
      </c>
      <c r="J3386" s="7">
        <v>40886.36041666667</v>
      </c>
      <c r="K3386" s="8" t="str">
        <f t="shared" si="4"/>
        <v>2011-12</v>
      </c>
      <c r="L3386" s="5">
        <v>0.79</v>
      </c>
      <c r="M3386" s="3">
        <v>13069.0</v>
      </c>
      <c r="N3386" s="1" t="str">
        <f t="shared" si="5"/>
        <v>Registered</v>
      </c>
      <c r="O3386" s="1" t="s">
        <v>19</v>
      </c>
      <c r="P3386" s="9" t="str">
        <f t="shared" si="6"/>
        <v>UK</v>
      </c>
      <c r="Q3386" s="8">
        <f t="shared" si="7"/>
        <v>18.96</v>
      </c>
    </row>
    <row r="3387">
      <c r="A3387" s="1">
        <v>581475.0</v>
      </c>
      <c r="B3387" s="1" t="str">
        <f t="shared" si="1"/>
        <v>581475</v>
      </c>
      <c r="C3387" s="1" t="str">
        <f t="shared" si="2"/>
        <v>Sale</v>
      </c>
      <c r="D3387" s="1">
        <v>23141.0</v>
      </c>
      <c r="E3387" s="1" t="str">
        <f>IFERROR(__xludf.DUMMYFUNCTION("IF(LEN(D3387)&gt;4, IFERROR(REGEXEXTRACT(TO_TEXT(D3387),""\d+""),""""),"""")"),"23141")</f>
        <v>23141</v>
      </c>
      <c r="F3387" s="6" t="str">
        <f t="shared" si="3"/>
        <v>Product</v>
      </c>
      <c r="G3387" s="1" t="s">
        <v>1590</v>
      </c>
      <c r="H3387" s="6" t="str">
        <f>IFERROR(__xludf.DUMMYFUNCTION("IF(REGEXMATCH(LOWER(G3387), ""^(\?)+\s*(missing)?\s*(\?)*$""), """", PROPER(SUBSTITUTE(SUBSTITUTE(G3387, ""?"", """"), ""*"", """")))"),"Triple Wire Hook Pink Heart")</f>
        <v>Triple Wire Hook Pink Heart</v>
      </c>
      <c r="I3387" s="3">
        <v>12.0</v>
      </c>
      <c r="J3387" s="7">
        <v>40886.36041666667</v>
      </c>
      <c r="K3387" s="8" t="str">
        <f t="shared" si="4"/>
        <v>2011-12</v>
      </c>
      <c r="L3387" s="5">
        <v>0.79</v>
      </c>
      <c r="M3387" s="3">
        <v>13069.0</v>
      </c>
      <c r="N3387" s="1" t="str">
        <f t="shared" si="5"/>
        <v>Registered</v>
      </c>
      <c r="O3387" s="1" t="s">
        <v>19</v>
      </c>
      <c r="P3387" s="9" t="str">
        <f t="shared" si="6"/>
        <v>UK</v>
      </c>
      <c r="Q3387" s="8">
        <f t="shared" si="7"/>
        <v>9.48</v>
      </c>
    </row>
    <row r="3388">
      <c r="A3388" s="1">
        <v>581475.0</v>
      </c>
      <c r="B3388" s="1" t="str">
        <f t="shared" si="1"/>
        <v>581475</v>
      </c>
      <c r="C3388" s="1" t="str">
        <f t="shared" si="2"/>
        <v>Sale</v>
      </c>
      <c r="D3388" s="1">
        <v>22956.0</v>
      </c>
      <c r="E3388" s="1" t="str">
        <f>IFERROR(__xludf.DUMMYFUNCTION("IF(LEN(D3388)&gt;4, IFERROR(REGEXEXTRACT(TO_TEXT(D3388),""\d+""),""""),"""")"),"22956")</f>
        <v>22956</v>
      </c>
      <c r="F3388" s="6" t="str">
        <f t="shared" si="3"/>
        <v>Product</v>
      </c>
      <c r="G3388" s="1" t="s">
        <v>600</v>
      </c>
      <c r="H3388" s="6" t="str">
        <f>IFERROR(__xludf.DUMMYFUNCTION("IF(REGEXMATCH(LOWER(G3388), ""^(\?)+\s*(missing)?\s*(\?)*$""), """", PROPER(SUBSTITUTE(SUBSTITUTE(G3388, ""?"", """"), ""*"", """")))"),"36 Foil Heart Cake Cases")</f>
        <v>36 Foil Heart Cake Cases</v>
      </c>
      <c r="I3388" s="3">
        <v>24.0</v>
      </c>
      <c r="J3388" s="7">
        <v>40886.36041666667</v>
      </c>
      <c r="K3388" s="8" t="str">
        <f t="shared" si="4"/>
        <v>2011-12</v>
      </c>
      <c r="L3388" s="5">
        <v>0.79</v>
      </c>
      <c r="M3388" s="3">
        <v>13069.0</v>
      </c>
      <c r="N3388" s="1" t="str">
        <f t="shared" si="5"/>
        <v>Registered</v>
      </c>
      <c r="O3388" s="1" t="s">
        <v>19</v>
      </c>
      <c r="P3388" s="9" t="str">
        <f t="shared" si="6"/>
        <v>UK</v>
      </c>
      <c r="Q3388" s="8">
        <f t="shared" si="7"/>
        <v>18.96</v>
      </c>
    </row>
    <row r="3389">
      <c r="A3389" s="1">
        <v>581475.0</v>
      </c>
      <c r="B3389" s="1" t="str">
        <f t="shared" si="1"/>
        <v>581475</v>
      </c>
      <c r="C3389" s="1" t="str">
        <f t="shared" si="2"/>
        <v>Sale</v>
      </c>
      <c r="D3389" s="1">
        <v>22581.0</v>
      </c>
      <c r="E3389" s="1" t="str">
        <f>IFERROR(__xludf.DUMMYFUNCTION("IF(LEN(D3389)&gt;4, IFERROR(REGEXEXTRACT(TO_TEXT(D3389),""\d+""),""""),"""")"),"22581")</f>
        <v>22581</v>
      </c>
      <c r="F3389" s="6" t="str">
        <f t="shared" si="3"/>
        <v>Product</v>
      </c>
      <c r="G3389" s="1" t="s">
        <v>1591</v>
      </c>
      <c r="H3389" s="6" t="str">
        <f>IFERROR(__xludf.DUMMYFUNCTION("IF(REGEXMATCH(LOWER(G3389), ""^(\?)+\s*(missing)?\s*(\?)*$""), """", PROPER(SUBSTITUTE(SUBSTITUTE(G3389, ""?"", """"), ""*"", """")))"),"Wood Stocking Christmas Scandispot")</f>
        <v>Wood Stocking Christmas Scandispot</v>
      </c>
      <c r="I3389" s="3">
        <v>48.0</v>
      </c>
      <c r="J3389" s="7">
        <v>40886.36041666667</v>
      </c>
      <c r="K3389" s="8" t="str">
        <f t="shared" si="4"/>
        <v>2011-12</v>
      </c>
      <c r="L3389" s="5">
        <v>0.29</v>
      </c>
      <c r="M3389" s="3">
        <v>13069.0</v>
      </c>
      <c r="N3389" s="1" t="str">
        <f t="shared" si="5"/>
        <v>Registered</v>
      </c>
      <c r="O3389" s="1" t="s">
        <v>19</v>
      </c>
      <c r="P3389" s="9" t="str">
        <f t="shared" si="6"/>
        <v>UK</v>
      </c>
      <c r="Q3389" s="8">
        <f t="shared" si="7"/>
        <v>13.92</v>
      </c>
    </row>
    <row r="3390">
      <c r="A3390" s="1">
        <v>581476.0</v>
      </c>
      <c r="B3390" s="1" t="str">
        <f t="shared" si="1"/>
        <v>581476</v>
      </c>
      <c r="C3390" s="1" t="str">
        <f t="shared" si="2"/>
        <v>Sale</v>
      </c>
      <c r="D3390" s="1">
        <v>23198.0</v>
      </c>
      <c r="E3390" s="1" t="str">
        <f>IFERROR(__xludf.DUMMYFUNCTION("IF(LEN(D3390)&gt;4, IFERROR(REGEXEXTRACT(TO_TEXT(D3390),""\d+""),""""),"""")"),"23198")</f>
        <v>23198</v>
      </c>
      <c r="F3390" s="6" t="str">
        <f t="shared" si="3"/>
        <v>Product</v>
      </c>
      <c r="G3390" s="1" t="s">
        <v>1423</v>
      </c>
      <c r="H3390" s="6" t="str">
        <f>IFERROR(__xludf.DUMMYFUNCTION("IF(REGEXMATCH(LOWER(G3390), ""^(\?)+\s*(missing)?\s*(\?)*$""), """", PROPER(SUBSTITUTE(SUBSTITUTE(G3390, ""?"", """"), ""*"", """")))"),"Pantry Magnetic Shopping List")</f>
        <v>Pantry Magnetic Shopping List</v>
      </c>
      <c r="I3390" s="3">
        <v>48.0</v>
      </c>
      <c r="J3390" s="7">
        <v>40886.36666666667</v>
      </c>
      <c r="K3390" s="8" t="str">
        <f t="shared" si="4"/>
        <v>2011-12</v>
      </c>
      <c r="L3390" s="5">
        <v>1.25</v>
      </c>
      <c r="M3390" s="3">
        <v>12433.0</v>
      </c>
      <c r="N3390" s="1" t="str">
        <f t="shared" si="5"/>
        <v>Registered</v>
      </c>
      <c r="O3390" s="1" t="s">
        <v>1592</v>
      </c>
      <c r="P3390" s="9" t="str">
        <f t="shared" si="6"/>
        <v>International</v>
      </c>
      <c r="Q3390" s="8">
        <f t="shared" si="7"/>
        <v>60</v>
      </c>
    </row>
    <row r="3391">
      <c r="A3391" s="1">
        <v>581476.0</v>
      </c>
      <c r="B3391" s="1" t="str">
        <f t="shared" si="1"/>
        <v>581476</v>
      </c>
      <c r="C3391" s="1" t="str">
        <f t="shared" si="2"/>
        <v>Sale</v>
      </c>
      <c r="D3391" s="1">
        <v>23197.0</v>
      </c>
      <c r="E3391" s="1" t="str">
        <f>IFERROR(__xludf.DUMMYFUNCTION("IF(LEN(D3391)&gt;4, IFERROR(REGEXEXTRACT(TO_TEXT(D3391),""\d+""),""""),"""")"),"23197")</f>
        <v>23197</v>
      </c>
      <c r="F3391" s="6" t="str">
        <f t="shared" si="3"/>
        <v>Product</v>
      </c>
      <c r="G3391" s="1" t="s">
        <v>1422</v>
      </c>
      <c r="H3391" s="6" t="str">
        <f>IFERROR(__xludf.DUMMYFUNCTION("IF(REGEXMATCH(LOWER(G3391), ""^(\?)+\s*(missing)?\s*(\?)*$""), """", PROPER(SUBSTITUTE(SUBSTITUTE(G3391, ""?"", """"), ""*"", """")))"),"Sketchbook Magnetic Shopping List")</f>
        <v>Sketchbook Magnetic Shopping List</v>
      </c>
      <c r="I3391" s="3">
        <v>24.0</v>
      </c>
      <c r="J3391" s="7">
        <v>40886.36666666667</v>
      </c>
      <c r="K3391" s="8" t="str">
        <f t="shared" si="4"/>
        <v>2011-12</v>
      </c>
      <c r="L3391" s="5">
        <v>1.45</v>
      </c>
      <c r="M3391" s="3">
        <v>12433.0</v>
      </c>
      <c r="N3391" s="1" t="str">
        <f t="shared" si="5"/>
        <v>Registered</v>
      </c>
      <c r="O3391" s="1" t="s">
        <v>1592</v>
      </c>
      <c r="P3391" s="9" t="str">
        <f t="shared" si="6"/>
        <v>International</v>
      </c>
      <c r="Q3391" s="8">
        <f t="shared" si="7"/>
        <v>34.8</v>
      </c>
    </row>
    <row r="3392">
      <c r="A3392" s="1">
        <v>581476.0</v>
      </c>
      <c r="B3392" s="1" t="str">
        <f t="shared" si="1"/>
        <v>581476</v>
      </c>
      <c r="C3392" s="1" t="str">
        <f t="shared" si="2"/>
        <v>Sale</v>
      </c>
      <c r="D3392" s="1">
        <v>23184.0</v>
      </c>
      <c r="E3392" s="1" t="str">
        <f>IFERROR(__xludf.DUMMYFUNCTION("IF(LEN(D3392)&gt;4, IFERROR(REGEXEXTRACT(TO_TEXT(D3392),""\d+""),""""),"""")"),"23184")</f>
        <v>23184</v>
      </c>
      <c r="F3392" s="6" t="str">
        <f t="shared" si="3"/>
        <v>Product</v>
      </c>
      <c r="G3392" s="1" t="s">
        <v>1593</v>
      </c>
      <c r="H3392" s="6" t="str">
        <f>IFERROR(__xludf.DUMMYFUNCTION("IF(REGEXMATCH(LOWER(G3392), ""^(\?)+\s*(missing)?\s*(\?)*$""), """", PROPER(SUBSTITUTE(SUBSTITUTE(G3392, ""?"", """"), ""*"", """")))"),"Bull Dog Bottle Opener")</f>
        <v>Bull Dog Bottle Opener</v>
      </c>
      <c r="I3392" s="3">
        <v>8.0</v>
      </c>
      <c r="J3392" s="7">
        <v>40886.36666666667</v>
      </c>
      <c r="K3392" s="8" t="str">
        <f t="shared" si="4"/>
        <v>2011-12</v>
      </c>
      <c r="L3392" s="5">
        <v>4.95</v>
      </c>
      <c r="M3392" s="3">
        <v>12433.0</v>
      </c>
      <c r="N3392" s="1" t="str">
        <f t="shared" si="5"/>
        <v>Registered</v>
      </c>
      <c r="O3392" s="1" t="s">
        <v>1592</v>
      </c>
      <c r="P3392" s="9" t="str">
        <f t="shared" si="6"/>
        <v>International</v>
      </c>
      <c r="Q3392" s="8">
        <f t="shared" si="7"/>
        <v>39.6</v>
      </c>
    </row>
    <row r="3393">
      <c r="A3393" s="1">
        <v>581476.0</v>
      </c>
      <c r="B3393" s="1" t="str">
        <f t="shared" si="1"/>
        <v>581476</v>
      </c>
      <c r="C3393" s="1" t="str">
        <f t="shared" si="2"/>
        <v>Sale</v>
      </c>
      <c r="D3393" s="1">
        <v>23168.0</v>
      </c>
      <c r="E3393" s="1" t="str">
        <f>IFERROR(__xludf.DUMMYFUNCTION("IF(LEN(D3393)&gt;4, IFERROR(REGEXEXTRACT(TO_TEXT(D3393),""\d+""),""""),"""")"),"23168")</f>
        <v>23168</v>
      </c>
      <c r="F3393" s="6" t="str">
        <f t="shared" si="3"/>
        <v>Product</v>
      </c>
      <c r="G3393" s="1" t="s">
        <v>1594</v>
      </c>
      <c r="H3393" s="6" t="str">
        <f>IFERROR(__xludf.DUMMYFUNCTION("IF(REGEXMATCH(LOWER(G3393), ""^(\?)+\s*(missing)?\s*(\?)*$""), """", PROPER(SUBSTITUTE(SUBSTITUTE(G3393, ""?"", """"), ""*"", """")))"),"Classic Cafe Sugar Dispenser")</f>
        <v>Classic Cafe Sugar Dispenser</v>
      </c>
      <c r="I3393" s="3">
        <v>12.0</v>
      </c>
      <c r="J3393" s="7">
        <v>40886.36666666667</v>
      </c>
      <c r="K3393" s="8" t="str">
        <f t="shared" si="4"/>
        <v>2011-12</v>
      </c>
      <c r="L3393" s="5">
        <v>1.25</v>
      </c>
      <c r="M3393" s="3">
        <v>12433.0</v>
      </c>
      <c r="N3393" s="1" t="str">
        <f t="shared" si="5"/>
        <v>Registered</v>
      </c>
      <c r="O3393" s="1" t="s">
        <v>1592</v>
      </c>
      <c r="P3393" s="9" t="str">
        <f t="shared" si="6"/>
        <v>International</v>
      </c>
      <c r="Q3393" s="8">
        <f t="shared" si="7"/>
        <v>15</v>
      </c>
    </row>
    <row r="3394">
      <c r="A3394" s="1">
        <v>581476.0</v>
      </c>
      <c r="B3394" s="1" t="str">
        <f t="shared" si="1"/>
        <v>581476</v>
      </c>
      <c r="C3394" s="1" t="str">
        <f t="shared" si="2"/>
        <v>Sale</v>
      </c>
      <c r="D3394" s="1">
        <v>23167.0</v>
      </c>
      <c r="E3394" s="1" t="str">
        <f>IFERROR(__xludf.DUMMYFUNCTION("IF(LEN(D3394)&gt;4, IFERROR(REGEXEXTRACT(TO_TEXT(D3394),""\d+""),""""),"""")"),"23167")</f>
        <v>23167</v>
      </c>
      <c r="F3394" s="6" t="str">
        <f t="shared" si="3"/>
        <v>Product</v>
      </c>
      <c r="G3394" s="1" t="s">
        <v>1595</v>
      </c>
      <c r="H3394" s="6" t="str">
        <f>IFERROR(__xludf.DUMMYFUNCTION("IF(REGEXMATCH(LOWER(G3394), ""^(\?)+\s*(missing)?\s*(\?)*$""), """", PROPER(SUBSTITUTE(SUBSTITUTE(G3394, ""?"", """"), ""*"", """")))"),"Small Ceramic Top Storage Jar")</f>
        <v>Small Ceramic Top Storage Jar</v>
      </c>
      <c r="I3394" s="3">
        <v>96.0</v>
      </c>
      <c r="J3394" s="7">
        <v>40886.36666666667</v>
      </c>
      <c r="K3394" s="8" t="str">
        <f t="shared" si="4"/>
        <v>2011-12</v>
      </c>
      <c r="L3394" s="5">
        <v>0.69</v>
      </c>
      <c r="M3394" s="3">
        <v>12433.0</v>
      </c>
      <c r="N3394" s="1" t="str">
        <f t="shared" si="5"/>
        <v>Registered</v>
      </c>
      <c r="O3394" s="1" t="s">
        <v>1592</v>
      </c>
      <c r="P3394" s="9" t="str">
        <f t="shared" si="6"/>
        <v>International</v>
      </c>
      <c r="Q3394" s="8">
        <f t="shared" si="7"/>
        <v>66.24</v>
      </c>
    </row>
    <row r="3395">
      <c r="A3395" s="1">
        <v>581476.0</v>
      </c>
      <c r="B3395" s="1" t="str">
        <f t="shared" si="1"/>
        <v>581476</v>
      </c>
      <c r="C3395" s="1" t="str">
        <f t="shared" si="2"/>
        <v>Sale</v>
      </c>
      <c r="D3395" s="1">
        <v>23166.0</v>
      </c>
      <c r="E3395" s="1" t="str">
        <f>IFERROR(__xludf.DUMMYFUNCTION("IF(LEN(D3395)&gt;4, IFERROR(REGEXEXTRACT(TO_TEXT(D3395),""\d+""),""""),"""")"),"23166")</f>
        <v>23166</v>
      </c>
      <c r="F3395" s="6" t="str">
        <f t="shared" si="3"/>
        <v>Product</v>
      </c>
      <c r="G3395" s="1" t="s">
        <v>1596</v>
      </c>
      <c r="H3395" s="6" t="str">
        <f>IFERROR(__xludf.DUMMYFUNCTION("IF(REGEXMATCH(LOWER(G3395), ""^(\?)+\s*(missing)?\s*(\?)*$""), """", PROPER(SUBSTITUTE(SUBSTITUTE(G3395, ""?"", """"), ""*"", """")))"),"Medium Ceramic Top Storage Jar")</f>
        <v>Medium Ceramic Top Storage Jar</v>
      </c>
      <c r="I3395" s="3">
        <v>48.0</v>
      </c>
      <c r="J3395" s="7">
        <v>40886.36666666667</v>
      </c>
      <c r="K3395" s="8" t="str">
        <f t="shared" si="4"/>
        <v>2011-12</v>
      </c>
      <c r="L3395" s="5">
        <v>1.04</v>
      </c>
      <c r="M3395" s="3">
        <v>12433.0</v>
      </c>
      <c r="N3395" s="1" t="str">
        <f t="shared" si="5"/>
        <v>Registered</v>
      </c>
      <c r="O3395" s="1" t="s">
        <v>1592</v>
      </c>
      <c r="P3395" s="9" t="str">
        <f t="shared" si="6"/>
        <v>International</v>
      </c>
      <c r="Q3395" s="8">
        <f t="shared" si="7"/>
        <v>49.92</v>
      </c>
    </row>
    <row r="3396">
      <c r="A3396" s="1">
        <v>581476.0</v>
      </c>
      <c r="B3396" s="1" t="str">
        <f t="shared" si="1"/>
        <v>581476</v>
      </c>
      <c r="C3396" s="1" t="str">
        <f t="shared" si="2"/>
        <v>Sale</v>
      </c>
      <c r="D3396" s="1">
        <v>23165.0</v>
      </c>
      <c r="E3396" s="1" t="str">
        <f>IFERROR(__xludf.DUMMYFUNCTION("IF(LEN(D3396)&gt;4, IFERROR(REGEXEXTRACT(TO_TEXT(D3396),""\d+""),""""),"""")"),"23165")</f>
        <v>23165</v>
      </c>
      <c r="F3396" s="6" t="str">
        <f t="shared" si="3"/>
        <v>Product</v>
      </c>
      <c r="G3396" s="1" t="s">
        <v>1597</v>
      </c>
      <c r="H3396" s="6" t="str">
        <f>IFERROR(__xludf.DUMMYFUNCTION("IF(REGEXMATCH(LOWER(G3396), ""^(\?)+\s*(missing)?\s*(\?)*$""), """", PROPER(SUBSTITUTE(SUBSTITUTE(G3396, ""?"", """"), ""*"", """")))"),"Large Ceramic Top Storage Jar")</f>
        <v>Large Ceramic Top Storage Jar</v>
      </c>
      <c r="I3396" s="3">
        <v>48.0</v>
      </c>
      <c r="J3396" s="7">
        <v>40886.36666666667</v>
      </c>
      <c r="K3396" s="8" t="str">
        <f t="shared" si="4"/>
        <v>2011-12</v>
      </c>
      <c r="L3396" s="5">
        <v>1.45</v>
      </c>
      <c r="M3396" s="3">
        <v>12433.0</v>
      </c>
      <c r="N3396" s="1" t="str">
        <f t="shared" si="5"/>
        <v>Registered</v>
      </c>
      <c r="O3396" s="1" t="s">
        <v>1592</v>
      </c>
      <c r="P3396" s="9" t="str">
        <f t="shared" si="6"/>
        <v>International</v>
      </c>
      <c r="Q3396" s="8">
        <f t="shared" si="7"/>
        <v>69.6</v>
      </c>
    </row>
    <row r="3397">
      <c r="A3397" s="1">
        <v>581476.0</v>
      </c>
      <c r="B3397" s="1" t="str">
        <f t="shared" si="1"/>
        <v>581476</v>
      </c>
      <c r="C3397" s="1" t="str">
        <f t="shared" si="2"/>
        <v>Sale</v>
      </c>
      <c r="D3397" s="1">
        <v>23004.0</v>
      </c>
      <c r="E3397" s="1" t="str">
        <f>IFERROR(__xludf.DUMMYFUNCTION("IF(LEN(D3397)&gt;4, IFERROR(REGEXEXTRACT(TO_TEXT(D3397),""\d+""),""""),"""")"),"23004")</f>
        <v>23004</v>
      </c>
      <c r="F3397" s="6" t="str">
        <f t="shared" si="3"/>
        <v>Product</v>
      </c>
      <c r="G3397" s="1" t="s">
        <v>734</v>
      </c>
      <c r="H3397" s="6" t="str">
        <f>IFERROR(__xludf.DUMMYFUNCTION("IF(REGEXMATCH(LOWER(G3397), ""^(\?)+\s*(missing)?\s*(\?)*$""), """", PROPER(SUBSTITUTE(SUBSTITUTE(G3397, ""?"", """"), ""*"", """")))"),"Travel Card Wallet Pantry")</f>
        <v>Travel Card Wallet Pantry</v>
      </c>
      <c r="I3397" s="3">
        <v>48.0</v>
      </c>
      <c r="J3397" s="7">
        <v>40886.36666666667</v>
      </c>
      <c r="K3397" s="8" t="str">
        <f t="shared" si="4"/>
        <v>2011-12</v>
      </c>
      <c r="L3397" s="5">
        <v>0.42</v>
      </c>
      <c r="M3397" s="3">
        <v>12433.0</v>
      </c>
      <c r="N3397" s="1" t="str">
        <f t="shared" si="5"/>
        <v>Registered</v>
      </c>
      <c r="O3397" s="1" t="s">
        <v>1592</v>
      </c>
      <c r="P3397" s="9" t="str">
        <f t="shared" si="6"/>
        <v>International</v>
      </c>
      <c r="Q3397" s="8">
        <f t="shared" si="7"/>
        <v>20.16</v>
      </c>
    </row>
    <row r="3398">
      <c r="A3398" s="1">
        <v>581476.0</v>
      </c>
      <c r="B3398" s="1" t="str">
        <f t="shared" si="1"/>
        <v>581476</v>
      </c>
      <c r="C3398" s="1" t="str">
        <f t="shared" si="2"/>
        <v>Sale</v>
      </c>
      <c r="D3398" s="1">
        <v>23002.0</v>
      </c>
      <c r="E3398" s="1" t="str">
        <f>IFERROR(__xludf.DUMMYFUNCTION("IF(LEN(D3398)&gt;4, IFERROR(REGEXEXTRACT(TO_TEXT(D3398),""\d+""),""""),"""")"),"23002")</f>
        <v>23002</v>
      </c>
      <c r="F3398" s="6" t="str">
        <f t="shared" si="3"/>
        <v>Product</v>
      </c>
      <c r="G3398" s="1" t="s">
        <v>715</v>
      </c>
      <c r="H3398" s="6" t="str">
        <f>IFERROR(__xludf.DUMMYFUNCTION("IF(REGEXMATCH(LOWER(G3398), ""^(\?)+\s*(missing)?\s*(\?)*$""), """", PROPER(SUBSTITUTE(SUBSTITUTE(G3398, ""?"", """"), ""*"", """")))"),"Travel Card Wallet Skulls")</f>
        <v>Travel Card Wallet Skulls</v>
      </c>
      <c r="I3398" s="3">
        <v>24.0</v>
      </c>
      <c r="J3398" s="7">
        <v>40886.36666666667</v>
      </c>
      <c r="K3398" s="8" t="str">
        <f t="shared" si="4"/>
        <v>2011-12</v>
      </c>
      <c r="L3398" s="5">
        <v>0.42</v>
      </c>
      <c r="M3398" s="3">
        <v>12433.0</v>
      </c>
      <c r="N3398" s="1" t="str">
        <f t="shared" si="5"/>
        <v>Registered</v>
      </c>
      <c r="O3398" s="1" t="s">
        <v>1592</v>
      </c>
      <c r="P3398" s="9" t="str">
        <f t="shared" si="6"/>
        <v>International</v>
      </c>
      <c r="Q3398" s="8">
        <f t="shared" si="7"/>
        <v>10.08</v>
      </c>
    </row>
    <row r="3399">
      <c r="A3399" s="1">
        <v>581476.0</v>
      </c>
      <c r="B3399" s="1" t="str">
        <f t="shared" si="1"/>
        <v>581476</v>
      </c>
      <c r="C3399" s="1" t="str">
        <f t="shared" si="2"/>
        <v>Sale</v>
      </c>
      <c r="D3399" s="1">
        <v>23000.0</v>
      </c>
      <c r="E3399" s="1" t="str">
        <f>IFERROR(__xludf.DUMMYFUNCTION("IF(LEN(D3399)&gt;4, IFERROR(REGEXEXTRACT(TO_TEXT(D3399),""\d+""),""""),"""")"),"23000")</f>
        <v>23000</v>
      </c>
      <c r="F3399" s="6" t="str">
        <f t="shared" si="3"/>
        <v>Product</v>
      </c>
      <c r="G3399" s="1" t="s">
        <v>714</v>
      </c>
      <c r="H3399" s="6" t="str">
        <f>IFERROR(__xludf.DUMMYFUNCTION("IF(REGEXMATCH(LOWER(G3399), ""^(\?)+\s*(missing)?\s*(\?)*$""), """", PROPER(SUBSTITUTE(SUBSTITUTE(G3399, ""?"", """"), ""*"", """")))"),"Travel Card Wallet Transport")</f>
        <v>Travel Card Wallet Transport</v>
      </c>
      <c r="I3399" s="3">
        <v>24.0</v>
      </c>
      <c r="J3399" s="7">
        <v>40886.36666666667</v>
      </c>
      <c r="K3399" s="8" t="str">
        <f t="shared" si="4"/>
        <v>2011-12</v>
      </c>
      <c r="L3399" s="5">
        <v>0.42</v>
      </c>
      <c r="M3399" s="3">
        <v>12433.0</v>
      </c>
      <c r="N3399" s="1" t="str">
        <f t="shared" si="5"/>
        <v>Registered</v>
      </c>
      <c r="O3399" s="1" t="s">
        <v>1592</v>
      </c>
      <c r="P3399" s="9" t="str">
        <f t="shared" si="6"/>
        <v>International</v>
      </c>
      <c r="Q3399" s="8">
        <f t="shared" si="7"/>
        <v>10.08</v>
      </c>
    </row>
    <row r="3400">
      <c r="A3400" s="1">
        <v>581476.0</v>
      </c>
      <c r="B3400" s="1" t="str">
        <f t="shared" si="1"/>
        <v>581476</v>
      </c>
      <c r="C3400" s="1" t="str">
        <f t="shared" si="2"/>
        <v>Sale</v>
      </c>
      <c r="D3400" s="1">
        <v>22998.0</v>
      </c>
      <c r="E3400" s="1" t="str">
        <f>IFERROR(__xludf.DUMMYFUNCTION("IF(LEN(D3400)&gt;4, IFERROR(REGEXEXTRACT(TO_TEXT(D3400),""\d+""),""""),"""")"),"22998")</f>
        <v>22998</v>
      </c>
      <c r="F3400" s="6" t="str">
        <f t="shared" si="3"/>
        <v>Product</v>
      </c>
      <c r="G3400" s="1" t="s">
        <v>712</v>
      </c>
      <c r="H3400" s="6" t="str">
        <f>IFERROR(__xludf.DUMMYFUNCTION("IF(REGEXMATCH(LOWER(G3400), ""^(\?)+\s*(missing)?\s*(\?)*$""), """", PROPER(SUBSTITUTE(SUBSTITUTE(G3400, ""?"", """"), ""*"", """")))"),"Travel Card Wallet Keep Calm")</f>
        <v>Travel Card Wallet Keep Calm</v>
      </c>
      <c r="I3400" s="3">
        <v>72.0</v>
      </c>
      <c r="J3400" s="7">
        <v>40886.36666666667</v>
      </c>
      <c r="K3400" s="8" t="str">
        <f t="shared" si="4"/>
        <v>2011-12</v>
      </c>
      <c r="L3400" s="5">
        <v>0.42</v>
      </c>
      <c r="M3400" s="3">
        <v>12433.0</v>
      </c>
      <c r="N3400" s="1" t="str">
        <f t="shared" si="5"/>
        <v>Registered</v>
      </c>
      <c r="O3400" s="1" t="s">
        <v>1592</v>
      </c>
      <c r="P3400" s="9" t="str">
        <f t="shared" si="6"/>
        <v>International</v>
      </c>
      <c r="Q3400" s="8">
        <f t="shared" si="7"/>
        <v>30.24</v>
      </c>
    </row>
    <row r="3401">
      <c r="A3401" s="1">
        <v>581476.0</v>
      </c>
      <c r="B3401" s="1" t="str">
        <f t="shared" si="1"/>
        <v>581476</v>
      </c>
      <c r="C3401" s="1" t="str">
        <f t="shared" si="2"/>
        <v>Sale</v>
      </c>
      <c r="D3401" s="1">
        <v>22994.0</v>
      </c>
      <c r="E3401" s="1" t="str">
        <f>IFERROR(__xludf.DUMMYFUNCTION("IF(LEN(D3401)&gt;4, IFERROR(REGEXEXTRACT(TO_TEXT(D3401),""\d+""),""""),"""")"),"22994")</f>
        <v>22994</v>
      </c>
      <c r="F3401" s="6" t="str">
        <f t="shared" si="3"/>
        <v>Product</v>
      </c>
      <c r="G3401" s="1" t="s">
        <v>997</v>
      </c>
      <c r="H3401" s="6" t="str">
        <f>IFERROR(__xludf.DUMMYFUNCTION("IF(REGEXMATCH(LOWER(G3401), ""^(\?)+\s*(missing)?\s*(\?)*$""), """", PROPER(SUBSTITUTE(SUBSTITUTE(G3401, ""?"", """"), ""*"", """")))"),"Travel Card Wallet Retrospot")</f>
        <v>Travel Card Wallet Retrospot</v>
      </c>
      <c r="I3401" s="3">
        <v>48.0</v>
      </c>
      <c r="J3401" s="7">
        <v>40886.36666666667</v>
      </c>
      <c r="K3401" s="8" t="str">
        <f t="shared" si="4"/>
        <v>2011-12</v>
      </c>
      <c r="L3401" s="5">
        <v>0.42</v>
      </c>
      <c r="M3401" s="3">
        <v>12433.0</v>
      </c>
      <c r="N3401" s="1" t="str">
        <f t="shared" si="5"/>
        <v>Registered</v>
      </c>
      <c r="O3401" s="1" t="s">
        <v>1592</v>
      </c>
      <c r="P3401" s="9" t="str">
        <f t="shared" si="6"/>
        <v>International</v>
      </c>
      <c r="Q3401" s="8">
        <f t="shared" si="7"/>
        <v>20.16</v>
      </c>
    </row>
    <row r="3402">
      <c r="A3402" s="1">
        <v>581476.0</v>
      </c>
      <c r="B3402" s="1" t="str">
        <f t="shared" si="1"/>
        <v>581476</v>
      </c>
      <c r="C3402" s="1" t="str">
        <f t="shared" si="2"/>
        <v>Sale</v>
      </c>
      <c r="D3402" s="1">
        <v>22835.0</v>
      </c>
      <c r="E3402" s="1" t="str">
        <f>IFERROR(__xludf.DUMMYFUNCTION("IF(LEN(D3402)&gt;4, IFERROR(REGEXEXTRACT(TO_TEXT(D3402),""\d+""),""""),"""")"),"22835")</f>
        <v>22835</v>
      </c>
      <c r="F3402" s="6" t="str">
        <f t="shared" si="3"/>
        <v>Product</v>
      </c>
      <c r="G3402" s="1" t="s">
        <v>267</v>
      </c>
      <c r="H3402" s="6" t="str">
        <f>IFERROR(__xludf.DUMMYFUNCTION("IF(REGEXMATCH(LOWER(G3402), ""^(\?)+\s*(missing)?\s*(\?)*$""), """", PROPER(SUBSTITUTE(SUBSTITUTE(G3402, ""?"", """"), ""*"", """")))"),"Hot Water Bottle I Am So Poorly")</f>
        <v>Hot Water Bottle I Am So Poorly</v>
      </c>
      <c r="I3402" s="3">
        <v>8.0</v>
      </c>
      <c r="J3402" s="7">
        <v>40886.36666666667</v>
      </c>
      <c r="K3402" s="8" t="str">
        <f t="shared" si="4"/>
        <v>2011-12</v>
      </c>
      <c r="L3402" s="5">
        <v>4.95</v>
      </c>
      <c r="M3402" s="3">
        <v>12433.0</v>
      </c>
      <c r="N3402" s="1" t="str">
        <f t="shared" si="5"/>
        <v>Registered</v>
      </c>
      <c r="O3402" s="1" t="s">
        <v>1592</v>
      </c>
      <c r="P3402" s="9" t="str">
        <f t="shared" si="6"/>
        <v>International</v>
      </c>
      <c r="Q3402" s="8">
        <f t="shared" si="7"/>
        <v>39.6</v>
      </c>
    </row>
    <row r="3403">
      <c r="A3403" s="1">
        <v>581476.0</v>
      </c>
      <c r="B3403" s="1" t="str">
        <f t="shared" si="1"/>
        <v>581476</v>
      </c>
      <c r="C3403" s="1" t="str">
        <f t="shared" si="2"/>
        <v>Sale</v>
      </c>
      <c r="D3403" s="1">
        <v>22730.0</v>
      </c>
      <c r="E3403" s="1" t="str">
        <f>IFERROR(__xludf.DUMMYFUNCTION("IF(LEN(D3403)&gt;4, IFERROR(REGEXEXTRACT(TO_TEXT(D3403),""\d+""),""""),"""")"),"22730")</f>
        <v>22730</v>
      </c>
      <c r="F3403" s="6" t="str">
        <f t="shared" si="3"/>
        <v>Product</v>
      </c>
      <c r="G3403" s="1" t="s">
        <v>255</v>
      </c>
      <c r="H3403" s="6" t="str">
        <f>IFERROR(__xludf.DUMMYFUNCTION("IF(REGEXMATCH(LOWER(G3403), ""^(\?)+\s*(missing)?\s*(\?)*$""), """", PROPER(SUBSTITUTE(SUBSTITUTE(G3403, ""?"", """"), ""*"", """")))"),"Alarm Clock Bakelike Ivory")</f>
        <v>Alarm Clock Bakelike Ivory</v>
      </c>
      <c r="I3403" s="3">
        <v>4.0</v>
      </c>
      <c r="J3403" s="7">
        <v>40886.36666666667</v>
      </c>
      <c r="K3403" s="8" t="str">
        <f t="shared" si="4"/>
        <v>2011-12</v>
      </c>
      <c r="L3403" s="5">
        <v>3.75</v>
      </c>
      <c r="M3403" s="3">
        <v>12433.0</v>
      </c>
      <c r="N3403" s="1" t="str">
        <f t="shared" si="5"/>
        <v>Registered</v>
      </c>
      <c r="O3403" s="1" t="s">
        <v>1592</v>
      </c>
      <c r="P3403" s="9" t="str">
        <f t="shared" si="6"/>
        <v>International</v>
      </c>
      <c r="Q3403" s="8">
        <f t="shared" si="7"/>
        <v>15</v>
      </c>
    </row>
    <row r="3404">
      <c r="A3404" s="1">
        <v>581476.0</v>
      </c>
      <c r="B3404" s="1" t="str">
        <f t="shared" si="1"/>
        <v>581476</v>
      </c>
      <c r="C3404" s="1" t="str">
        <f t="shared" si="2"/>
        <v>Sale</v>
      </c>
      <c r="D3404" s="1">
        <v>22728.0</v>
      </c>
      <c r="E3404" s="1" t="str">
        <f>IFERROR(__xludf.DUMMYFUNCTION("IF(LEN(D3404)&gt;4, IFERROR(REGEXEXTRACT(TO_TEXT(D3404),""\d+""),""""),"""")"),"22728")</f>
        <v>22728</v>
      </c>
      <c r="F3404" s="6" t="str">
        <f t="shared" si="3"/>
        <v>Product</v>
      </c>
      <c r="G3404" s="1" t="s">
        <v>48</v>
      </c>
      <c r="H3404" s="6" t="str">
        <f>IFERROR(__xludf.DUMMYFUNCTION("IF(REGEXMATCH(LOWER(G3404), ""^(\?)+\s*(missing)?\s*(\?)*$""), """", PROPER(SUBSTITUTE(SUBSTITUTE(G3404, ""?"", """"), ""*"", """")))"),"Alarm Clock Bakelike Pink")</f>
        <v>Alarm Clock Bakelike Pink</v>
      </c>
      <c r="I3404" s="3">
        <v>8.0</v>
      </c>
      <c r="J3404" s="7">
        <v>40886.36666666667</v>
      </c>
      <c r="K3404" s="8" t="str">
        <f t="shared" si="4"/>
        <v>2011-12</v>
      </c>
      <c r="L3404" s="5">
        <v>3.75</v>
      </c>
      <c r="M3404" s="3">
        <v>12433.0</v>
      </c>
      <c r="N3404" s="1" t="str">
        <f t="shared" si="5"/>
        <v>Registered</v>
      </c>
      <c r="O3404" s="1" t="s">
        <v>1592</v>
      </c>
      <c r="P3404" s="9" t="str">
        <f t="shared" si="6"/>
        <v>International</v>
      </c>
      <c r="Q3404" s="8">
        <f t="shared" si="7"/>
        <v>30</v>
      </c>
    </row>
    <row r="3405">
      <c r="A3405" s="1">
        <v>581476.0</v>
      </c>
      <c r="B3405" s="1" t="str">
        <f t="shared" si="1"/>
        <v>581476</v>
      </c>
      <c r="C3405" s="1" t="str">
        <f t="shared" si="2"/>
        <v>Sale</v>
      </c>
      <c r="D3405" s="1">
        <v>22727.0</v>
      </c>
      <c r="E3405" s="1" t="str">
        <f>IFERROR(__xludf.DUMMYFUNCTION("IF(LEN(D3405)&gt;4, IFERROR(REGEXEXTRACT(TO_TEXT(D3405),""\d+""),""""),"""")"),"22727")</f>
        <v>22727</v>
      </c>
      <c r="F3405" s="6" t="str">
        <f t="shared" si="3"/>
        <v>Product</v>
      </c>
      <c r="G3405" s="1" t="s">
        <v>50</v>
      </c>
      <c r="H3405" s="6" t="str">
        <f>IFERROR(__xludf.DUMMYFUNCTION("IF(REGEXMATCH(LOWER(G3405), ""^(\?)+\s*(missing)?\s*(\?)*$""), """", PROPER(SUBSTITUTE(SUBSTITUTE(G3405, ""?"", """"), ""*"", """")))"),"Alarm Clock Bakelike Red")</f>
        <v>Alarm Clock Bakelike Red</v>
      </c>
      <c r="I3405" s="3">
        <v>8.0</v>
      </c>
      <c r="J3405" s="7">
        <v>40886.36666666667</v>
      </c>
      <c r="K3405" s="8" t="str">
        <f t="shared" si="4"/>
        <v>2011-12</v>
      </c>
      <c r="L3405" s="5">
        <v>3.75</v>
      </c>
      <c r="M3405" s="3">
        <v>12433.0</v>
      </c>
      <c r="N3405" s="1" t="str">
        <f t="shared" si="5"/>
        <v>Registered</v>
      </c>
      <c r="O3405" s="1" t="s">
        <v>1592</v>
      </c>
      <c r="P3405" s="9" t="str">
        <f t="shared" si="6"/>
        <v>International</v>
      </c>
      <c r="Q3405" s="8">
        <f t="shared" si="7"/>
        <v>30</v>
      </c>
    </row>
    <row r="3406">
      <c r="A3406" s="1">
        <v>581476.0</v>
      </c>
      <c r="B3406" s="1" t="str">
        <f t="shared" si="1"/>
        <v>581476</v>
      </c>
      <c r="C3406" s="1" t="str">
        <f t="shared" si="2"/>
        <v>Sale</v>
      </c>
      <c r="D3406" s="1">
        <v>22726.0</v>
      </c>
      <c r="E3406" s="1" t="str">
        <f>IFERROR(__xludf.DUMMYFUNCTION("IF(LEN(D3406)&gt;4, IFERROR(REGEXEXTRACT(TO_TEXT(D3406),""\d+""),""""),"""")"),"22726")</f>
        <v>22726</v>
      </c>
      <c r="F3406" s="6" t="str">
        <f t="shared" si="3"/>
        <v>Product</v>
      </c>
      <c r="G3406" s="1" t="s">
        <v>51</v>
      </c>
      <c r="H3406" s="6" t="str">
        <f>IFERROR(__xludf.DUMMYFUNCTION("IF(REGEXMATCH(LOWER(G3406), ""^(\?)+\s*(missing)?\s*(\?)*$""), """", PROPER(SUBSTITUTE(SUBSTITUTE(G3406, ""?"", """"), ""*"", """")))"),"Alarm Clock Bakelike Green")</f>
        <v>Alarm Clock Bakelike Green</v>
      </c>
      <c r="I3406" s="3">
        <v>4.0</v>
      </c>
      <c r="J3406" s="7">
        <v>40886.36666666667</v>
      </c>
      <c r="K3406" s="8" t="str">
        <f t="shared" si="4"/>
        <v>2011-12</v>
      </c>
      <c r="L3406" s="5">
        <v>3.75</v>
      </c>
      <c r="M3406" s="3">
        <v>12433.0</v>
      </c>
      <c r="N3406" s="1" t="str">
        <f t="shared" si="5"/>
        <v>Registered</v>
      </c>
      <c r="O3406" s="1" t="s">
        <v>1592</v>
      </c>
      <c r="P3406" s="9" t="str">
        <f t="shared" si="6"/>
        <v>International</v>
      </c>
      <c r="Q3406" s="8">
        <f t="shared" si="7"/>
        <v>15</v>
      </c>
    </row>
    <row r="3407">
      <c r="A3407" s="1">
        <v>581476.0</v>
      </c>
      <c r="B3407" s="1" t="str">
        <f t="shared" si="1"/>
        <v>581476</v>
      </c>
      <c r="C3407" s="1" t="str">
        <f t="shared" si="2"/>
        <v>Sale</v>
      </c>
      <c r="D3407" s="1">
        <v>22720.0</v>
      </c>
      <c r="E3407" s="1" t="str">
        <f>IFERROR(__xludf.DUMMYFUNCTION("IF(LEN(D3407)&gt;4, IFERROR(REGEXEXTRACT(TO_TEXT(D3407),""\d+""),""""),"""")"),"22720")</f>
        <v>22720</v>
      </c>
      <c r="F3407" s="6" t="str">
        <f t="shared" si="3"/>
        <v>Product</v>
      </c>
      <c r="G3407" s="1" t="s">
        <v>685</v>
      </c>
      <c r="H3407" s="6" t="str">
        <f>IFERROR(__xludf.DUMMYFUNCTION("IF(REGEXMATCH(LOWER(G3407), ""^(\?)+\s*(missing)?\s*(\?)*$""), """", PROPER(SUBSTITUTE(SUBSTITUTE(G3407, ""?"", """"), ""*"", """")))"),"Set Of 3 Cake Tins Pantry Design")</f>
        <v>Set Of 3 Cake Tins Pantry Design</v>
      </c>
      <c r="I3407" s="3">
        <v>16.0</v>
      </c>
      <c r="J3407" s="7">
        <v>40886.36666666667</v>
      </c>
      <c r="K3407" s="8" t="str">
        <f t="shared" si="4"/>
        <v>2011-12</v>
      </c>
      <c r="L3407" s="5">
        <v>4.25</v>
      </c>
      <c r="M3407" s="3">
        <v>12433.0</v>
      </c>
      <c r="N3407" s="1" t="str">
        <f t="shared" si="5"/>
        <v>Registered</v>
      </c>
      <c r="O3407" s="1" t="s">
        <v>1592</v>
      </c>
      <c r="P3407" s="9" t="str">
        <f t="shared" si="6"/>
        <v>International</v>
      </c>
      <c r="Q3407" s="8">
        <f t="shared" si="7"/>
        <v>68</v>
      </c>
    </row>
    <row r="3408">
      <c r="A3408" s="1">
        <v>581476.0</v>
      </c>
      <c r="B3408" s="1" t="str">
        <f t="shared" si="1"/>
        <v>581476</v>
      </c>
      <c r="C3408" s="1" t="str">
        <f t="shared" si="2"/>
        <v>Sale</v>
      </c>
      <c r="D3408" s="1">
        <v>22693.0</v>
      </c>
      <c r="E3408" s="1" t="str">
        <f>IFERROR(__xludf.DUMMYFUNCTION("IF(LEN(D3408)&gt;4, IFERROR(REGEXEXTRACT(TO_TEXT(D3408),""\d+""),""""),"""")"),"22693")</f>
        <v>22693</v>
      </c>
      <c r="F3408" s="6" t="str">
        <f t="shared" si="3"/>
        <v>Product</v>
      </c>
      <c r="G3408" s="1" t="s">
        <v>741</v>
      </c>
      <c r="H3408" s="6" t="str">
        <f>IFERROR(__xludf.DUMMYFUNCTION("IF(REGEXMATCH(LOWER(G3408), ""^(\?)+\s*(missing)?\s*(\?)*$""), """", PROPER(SUBSTITUTE(SUBSTITUTE(G3408, ""?"", """"), ""*"", """")))"),"Grow A Flytrap Or Sunflower In Tin")</f>
        <v>Grow A Flytrap Or Sunflower In Tin</v>
      </c>
      <c r="I3408" s="3">
        <v>192.0</v>
      </c>
      <c r="J3408" s="7">
        <v>40886.36666666667</v>
      </c>
      <c r="K3408" s="8" t="str">
        <f t="shared" si="4"/>
        <v>2011-12</v>
      </c>
      <c r="L3408" s="5">
        <v>1.06</v>
      </c>
      <c r="M3408" s="3">
        <v>12433.0</v>
      </c>
      <c r="N3408" s="1" t="str">
        <f t="shared" si="5"/>
        <v>Registered</v>
      </c>
      <c r="O3408" s="1" t="s">
        <v>1592</v>
      </c>
      <c r="P3408" s="9" t="str">
        <f t="shared" si="6"/>
        <v>International</v>
      </c>
      <c r="Q3408" s="8">
        <f t="shared" si="7"/>
        <v>203.52</v>
      </c>
    </row>
    <row r="3409">
      <c r="A3409" s="1">
        <v>581476.0</v>
      </c>
      <c r="B3409" s="1" t="str">
        <f t="shared" si="1"/>
        <v>581476</v>
      </c>
      <c r="C3409" s="1" t="str">
        <f t="shared" si="2"/>
        <v>Sale</v>
      </c>
      <c r="D3409" s="1">
        <v>22670.0</v>
      </c>
      <c r="E3409" s="1" t="str">
        <f>IFERROR(__xludf.DUMMYFUNCTION("IF(LEN(D3409)&gt;4, IFERROR(REGEXEXTRACT(TO_TEXT(D3409),""\d+""),""""),"""")"),"22670")</f>
        <v>22670</v>
      </c>
      <c r="F3409" s="6" t="str">
        <f t="shared" si="3"/>
        <v>Product</v>
      </c>
      <c r="G3409" s="1" t="s">
        <v>551</v>
      </c>
      <c r="H3409" s="6" t="str">
        <f>IFERROR(__xludf.DUMMYFUNCTION("IF(REGEXMATCH(LOWER(G3409), ""^(\?)+\s*(missing)?\s*(\?)*$""), """", PROPER(SUBSTITUTE(SUBSTITUTE(G3409, ""?"", """"), ""*"", """")))"),"French Wc Sign Blue Metal")</f>
        <v>French Wc Sign Blue Metal</v>
      </c>
      <c r="I3409" s="3">
        <v>24.0</v>
      </c>
      <c r="J3409" s="7">
        <v>40886.36666666667</v>
      </c>
      <c r="K3409" s="8" t="str">
        <f t="shared" si="4"/>
        <v>2011-12</v>
      </c>
      <c r="L3409" s="5">
        <v>1.25</v>
      </c>
      <c r="M3409" s="3">
        <v>12433.0</v>
      </c>
      <c r="N3409" s="1" t="str">
        <f t="shared" si="5"/>
        <v>Registered</v>
      </c>
      <c r="O3409" s="1" t="s">
        <v>1592</v>
      </c>
      <c r="P3409" s="9" t="str">
        <f t="shared" si="6"/>
        <v>International</v>
      </c>
      <c r="Q3409" s="8">
        <f t="shared" si="7"/>
        <v>30</v>
      </c>
    </row>
    <row r="3410">
      <c r="A3410" s="1">
        <v>581476.0</v>
      </c>
      <c r="B3410" s="1" t="str">
        <f t="shared" si="1"/>
        <v>581476</v>
      </c>
      <c r="C3410" s="1" t="str">
        <f t="shared" si="2"/>
        <v>Sale</v>
      </c>
      <c r="D3410" s="1">
        <v>22667.0</v>
      </c>
      <c r="E3410" s="1" t="str">
        <f>IFERROR(__xludf.DUMMYFUNCTION("IF(LEN(D3410)&gt;4, IFERROR(REGEXEXTRACT(TO_TEXT(D3410),""\d+""),""""),"""")"),"22667")</f>
        <v>22667</v>
      </c>
      <c r="F3410" s="6" t="str">
        <f t="shared" si="3"/>
        <v>Product</v>
      </c>
      <c r="G3410" s="1" t="s">
        <v>1004</v>
      </c>
      <c r="H3410" s="6" t="str">
        <f>IFERROR(__xludf.DUMMYFUNCTION("IF(REGEXMATCH(LOWER(G3410), ""^(\?)+\s*(missing)?\s*(\?)*$""), """", PROPER(SUBSTITUTE(SUBSTITUTE(G3410, ""?"", """"), ""*"", """")))"),"Recipe Box Retrospot")</f>
        <v>Recipe Box Retrospot</v>
      </c>
      <c r="I3410" s="3">
        <v>24.0</v>
      </c>
      <c r="J3410" s="7">
        <v>40886.36666666667</v>
      </c>
      <c r="K3410" s="8" t="str">
        <f t="shared" si="4"/>
        <v>2011-12</v>
      </c>
      <c r="L3410" s="5">
        <v>2.55</v>
      </c>
      <c r="M3410" s="3">
        <v>12433.0</v>
      </c>
      <c r="N3410" s="1" t="str">
        <f t="shared" si="5"/>
        <v>Registered</v>
      </c>
      <c r="O3410" s="1" t="s">
        <v>1592</v>
      </c>
      <c r="P3410" s="9" t="str">
        <f t="shared" si="6"/>
        <v>International</v>
      </c>
      <c r="Q3410" s="8">
        <f t="shared" si="7"/>
        <v>61.2</v>
      </c>
    </row>
    <row r="3411">
      <c r="A3411" s="1">
        <v>581476.0</v>
      </c>
      <c r="B3411" s="1" t="str">
        <f t="shared" si="1"/>
        <v>581476</v>
      </c>
      <c r="C3411" s="1" t="str">
        <f t="shared" si="2"/>
        <v>Sale</v>
      </c>
      <c r="D3411" s="1">
        <v>22666.0</v>
      </c>
      <c r="E3411" s="1" t="str">
        <f>IFERROR(__xludf.DUMMYFUNCTION("IF(LEN(D3411)&gt;4, IFERROR(REGEXEXTRACT(TO_TEXT(D3411),""\d+""),""""),"""")"),"22666")</f>
        <v>22666</v>
      </c>
      <c r="F3411" s="6" t="str">
        <f t="shared" si="3"/>
        <v>Product</v>
      </c>
      <c r="G3411" s="1" t="s">
        <v>781</v>
      </c>
      <c r="H3411" s="6" t="str">
        <f>IFERROR(__xludf.DUMMYFUNCTION("IF(REGEXMATCH(LOWER(G3411), ""^(\?)+\s*(missing)?\s*(\?)*$""), """", PROPER(SUBSTITUTE(SUBSTITUTE(G3411, ""?"", """"), ""*"", """")))"),"Recipe Box Pantry Yellow Design")</f>
        <v>Recipe Box Pantry Yellow Design</v>
      </c>
      <c r="I3411" s="3">
        <v>24.0</v>
      </c>
      <c r="J3411" s="7">
        <v>40886.36666666667</v>
      </c>
      <c r="K3411" s="8" t="str">
        <f t="shared" si="4"/>
        <v>2011-12</v>
      </c>
      <c r="L3411" s="5">
        <v>2.55</v>
      </c>
      <c r="M3411" s="3">
        <v>12433.0</v>
      </c>
      <c r="N3411" s="1" t="str">
        <f t="shared" si="5"/>
        <v>Registered</v>
      </c>
      <c r="O3411" s="1" t="s">
        <v>1592</v>
      </c>
      <c r="P3411" s="9" t="str">
        <f t="shared" si="6"/>
        <v>International</v>
      </c>
      <c r="Q3411" s="8">
        <f t="shared" si="7"/>
        <v>61.2</v>
      </c>
    </row>
    <row r="3412">
      <c r="A3412" s="1">
        <v>581476.0</v>
      </c>
      <c r="B3412" s="1" t="str">
        <f t="shared" si="1"/>
        <v>581476</v>
      </c>
      <c r="C3412" s="1" t="str">
        <f t="shared" si="2"/>
        <v>Sale</v>
      </c>
      <c r="D3412" s="1">
        <v>22631.0</v>
      </c>
      <c r="E3412" s="1" t="str">
        <f>IFERROR(__xludf.DUMMYFUNCTION("IF(LEN(D3412)&gt;4, IFERROR(REGEXEXTRACT(TO_TEXT(D3412),""\d+""),""""),"""")"),"22631")</f>
        <v>22631</v>
      </c>
      <c r="F3412" s="6" t="str">
        <f t="shared" si="3"/>
        <v>Product</v>
      </c>
      <c r="G3412" s="1" t="s">
        <v>60</v>
      </c>
      <c r="H3412" s="6" t="str">
        <f>IFERROR(__xludf.DUMMYFUNCTION("IF(REGEXMATCH(LOWER(G3412), ""^(\?)+\s*(missing)?\s*(\?)*$""), """", PROPER(SUBSTITUTE(SUBSTITUTE(G3412, ""?"", """"), ""*"", """")))"),"Circus Parade Lunch Box")</f>
        <v>Circus Parade Lunch Box</v>
      </c>
      <c r="I3412" s="3">
        <v>12.0</v>
      </c>
      <c r="J3412" s="7">
        <v>40886.36666666667</v>
      </c>
      <c r="K3412" s="8" t="str">
        <f t="shared" si="4"/>
        <v>2011-12</v>
      </c>
      <c r="L3412" s="5">
        <v>1.95</v>
      </c>
      <c r="M3412" s="3">
        <v>12433.0</v>
      </c>
      <c r="N3412" s="1" t="str">
        <f t="shared" si="5"/>
        <v>Registered</v>
      </c>
      <c r="O3412" s="1" t="s">
        <v>1592</v>
      </c>
      <c r="P3412" s="9" t="str">
        <f t="shared" si="6"/>
        <v>International</v>
      </c>
      <c r="Q3412" s="8">
        <f t="shared" si="7"/>
        <v>23.4</v>
      </c>
    </row>
    <row r="3413">
      <c r="A3413" s="1">
        <v>581476.0</v>
      </c>
      <c r="B3413" s="1" t="str">
        <f t="shared" si="1"/>
        <v>581476</v>
      </c>
      <c r="C3413" s="1" t="str">
        <f t="shared" si="2"/>
        <v>Sale</v>
      </c>
      <c r="D3413" s="1">
        <v>22628.0</v>
      </c>
      <c r="E3413" s="1" t="str">
        <f>IFERROR(__xludf.DUMMYFUNCTION("IF(LEN(D3413)&gt;4, IFERROR(REGEXEXTRACT(TO_TEXT(D3413),""\d+""),""""),"""")"),"22628")</f>
        <v>22628</v>
      </c>
      <c r="F3413" s="6" t="str">
        <f t="shared" si="3"/>
        <v>Product</v>
      </c>
      <c r="G3413" s="1" t="s">
        <v>1598</v>
      </c>
      <c r="H3413" s="6" t="str">
        <f>IFERROR(__xludf.DUMMYFUNCTION("IF(REGEXMATCH(LOWER(G3413), ""^(\?)+\s*(missing)?\s*(\?)*$""), """", PROPER(SUBSTITUTE(SUBSTITUTE(G3413, ""?"", """"), ""*"", """")))"),"Picnic Boxes Set Of 3 Retrospot")</f>
        <v>Picnic Boxes Set Of 3 Retrospot</v>
      </c>
      <c r="I3413" s="3">
        <v>16.0</v>
      </c>
      <c r="J3413" s="7">
        <v>40886.36666666667</v>
      </c>
      <c r="K3413" s="8" t="str">
        <f t="shared" si="4"/>
        <v>2011-12</v>
      </c>
      <c r="L3413" s="5">
        <v>4.95</v>
      </c>
      <c r="M3413" s="3">
        <v>12433.0</v>
      </c>
      <c r="N3413" s="1" t="str">
        <f t="shared" si="5"/>
        <v>Registered</v>
      </c>
      <c r="O3413" s="1" t="s">
        <v>1592</v>
      </c>
      <c r="P3413" s="9" t="str">
        <f t="shared" si="6"/>
        <v>International</v>
      </c>
      <c r="Q3413" s="8">
        <f t="shared" si="7"/>
        <v>79.2</v>
      </c>
    </row>
    <row r="3414">
      <c r="A3414" s="1">
        <v>581476.0</v>
      </c>
      <c r="B3414" s="1" t="str">
        <f t="shared" si="1"/>
        <v>581476</v>
      </c>
      <c r="C3414" s="1" t="str">
        <f t="shared" si="2"/>
        <v>Sale</v>
      </c>
      <c r="D3414" s="1">
        <v>22467.0</v>
      </c>
      <c r="E3414" s="1" t="str">
        <f>IFERROR(__xludf.DUMMYFUNCTION("IF(LEN(D3414)&gt;4, IFERROR(REGEXEXTRACT(TO_TEXT(D3414),""\d+""),""""),"""")"),"22467")</f>
        <v>22467</v>
      </c>
      <c r="F3414" s="6" t="str">
        <f t="shared" si="3"/>
        <v>Product</v>
      </c>
      <c r="G3414" s="1" t="s">
        <v>323</v>
      </c>
      <c r="H3414" s="6" t="str">
        <f>IFERROR(__xludf.DUMMYFUNCTION("IF(REGEXMATCH(LOWER(G3414), ""^(\?)+\s*(missing)?\s*(\?)*$""), """", PROPER(SUBSTITUTE(SUBSTITUTE(G3414, ""?"", """"), ""*"", """")))"),"Gumball Coat Rack")</f>
        <v>Gumball Coat Rack</v>
      </c>
      <c r="I3414" s="3">
        <v>6.0</v>
      </c>
      <c r="J3414" s="7">
        <v>40886.36666666667</v>
      </c>
      <c r="K3414" s="8" t="str">
        <f t="shared" si="4"/>
        <v>2011-12</v>
      </c>
      <c r="L3414" s="5">
        <v>2.55</v>
      </c>
      <c r="M3414" s="3">
        <v>12433.0</v>
      </c>
      <c r="N3414" s="1" t="str">
        <f t="shared" si="5"/>
        <v>Registered</v>
      </c>
      <c r="O3414" s="1" t="s">
        <v>1592</v>
      </c>
      <c r="P3414" s="9" t="str">
        <f t="shared" si="6"/>
        <v>International</v>
      </c>
      <c r="Q3414" s="8">
        <f t="shared" si="7"/>
        <v>15.3</v>
      </c>
    </row>
    <row r="3415">
      <c r="A3415" s="1">
        <v>581476.0</v>
      </c>
      <c r="B3415" s="1" t="str">
        <f t="shared" si="1"/>
        <v>581476</v>
      </c>
      <c r="C3415" s="1" t="str">
        <f t="shared" si="2"/>
        <v>Sale</v>
      </c>
      <c r="D3415" s="1">
        <v>22197.0</v>
      </c>
      <c r="E3415" s="1" t="str">
        <f>IFERROR(__xludf.DUMMYFUNCTION("IF(LEN(D3415)&gt;4, IFERROR(REGEXEXTRACT(TO_TEXT(D3415),""\d+""),""""),"""")"),"22197")</f>
        <v>22197</v>
      </c>
      <c r="F3415" s="6" t="str">
        <f t="shared" si="3"/>
        <v>Product</v>
      </c>
      <c r="G3415" s="1" t="s">
        <v>1440</v>
      </c>
      <c r="H3415" s="6" t="str">
        <f>IFERROR(__xludf.DUMMYFUNCTION("IF(REGEXMATCH(LOWER(G3415), ""^(\?)+\s*(missing)?\s*(\?)*$""), """", PROPER(SUBSTITUTE(SUBSTITUTE(G3415, ""?"", """"), ""*"", """")))"),"Popcorn Holder")</f>
        <v>Popcorn Holder</v>
      </c>
      <c r="I3415" s="3">
        <v>100.0</v>
      </c>
      <c r="J3415" s="7">
        <v>40886.36666666667</v>
      </c>
      <c r="K3415" s="8" t="str">
        <f t="shared" si="4"/>
        <v>2011-12</v>
      </c>
      <c r="L3415" s="5">
        <v>0.72</v>
      </c>
      <c r="M3415" s="3">
        <v>12433.0</v>
      </c>
      <c r="N3415" s="1" t="str">
        <f t="shared" si="5"/>
        <v>Registered</v>
      </c>
      <c r="O3415" s="1" t="s">
        <v>1592</v>
      </c>
      <c r="P3415" s="9" t="str">
        <f t="shared" si="6"/>
        <v>International</v>
      </c>
      <c r="Q3415" s="8">
        <f t="shared" si="7"/>
        <v>72</v>
      </c>
    </row>
    <row r="3416">
      <c r="A3416" s="1">
        <v>581476.0</v>
      </c>
      <c r="B3416" s="1" t="str">
        <f t="shared" si="1"/>
        <v>581476</v>
      </c>
      <c r="C3416" s="1" t="str">
        <f t="shared" si="2"/>
        <v>Sale</v>
      </c>
      <c r="D3416" s="1">
        <v>22114.0</v>
      </c>
      <c r="E3416" s="1" t="str">
        <f>IFERROR(__xludf.DUMMYFUNCTION("IF(LEN(D3416)&gt;4, IFERROR(REGEXEXTRACT(TO_TEXT(D3416),""\d+""),""""),"""")"),"22114")</f>
        <v>22114</v>
      </c>
      <c r="F3416" s="6" t="str">
        <f t="shared" si="3"/>
        <v>Product</v>
      </c>
      <c r="G3416" s="1" t="s">
        <v>82</v>
      </c>
      <c r="H3416" s="6" t="str">
        <f>IFERROR(__xludf.DUMMYFUNCTION("IF(REGEXMATCH(LOWER(G3416), ""^(\?)+\s*(missing)?\s*(\?)*$""), """", PROPER(SUBSTITUTE(SUBSTITUTE(G3416, ""?"", """"), ""*"", """")))"),"Hot Water Bottle Tea And Sympathy")</f>
        <v>Hot Water Bottle Tea And Sympathy</v>
      </c>
      <c r="I3416" s="3">
        <v>8.0</v>
      </c>
      <c r="J3416" s="7">
        <v>40886.36666666667</v>
      </c>
      <c r="K3416" s="8" t="str">
        <f t="shared" si="4"/>
        <v>2011-12</v>
      </c>
      <c r="L3416" s="5">
        <v>4.25</v>
      </c>
      <c r="M3416" s="3">
        <v>12433.0</v>
      </c>
      <c r="N3416" s="1" t="str">
        <f t="shared" si="5"/>
        <v>Registered</v>
      </c>
      <c r="O3416" s="1" t="s">
        <v>1592</v>
      </c>
      <c r="P3416" s="9" t="str">
        <f t="shared" si="6"/>
        <v>International</v>
      </c>
      <c r="Q3416" s="8">
        <f t="shared" si="7"/>
        <v>34</v>
      </c>
    </row>
    <row r="3417">
      <c r="A3417" s="1">
        <v>581476.0</v>
      </c>
      <c r="B3417" s="1" t="str">
        <f t="shared" si="1"/>
        <v>581476</v>
      </c>
      <c r="C3417" s="1" t="str">
        <f t="shared" si="2"/>
        <v>Sale</v>
      </c>
      <c r="D3417" s="1">
        <v>22112.0</v>
      </c>
      <c r="E3417" s="1" t="str">
        <f>IFERROR(__xludf.DUMMYFUNCTION("IF(LEN(D3417)&gt;4, IFERROR(REGEXEXTRACT(TO_TEXT(D3417),""\d+""),""""),"""")"),"22112")</f>
        <v>22112</v>
      </c>
      <c r="F3417" s="6" t="str">
        <f t="shared" si="3"/>
        <v>Product</v>
      </c>
      <c r="G3417" s="1" t="s">
        <v>268</v>
      </c>
      <c r="H3417" s="6" t="str">
        <f>IFERROR(__xludf.DUMMYFUNCTION("IF(REGEXMATCH(LOWER(G3417), ""^(\?)+\s*(missing)?\s*(\?)*$""), """", PROPER(SUBSTITUTE(SUBSTITUTE(G3417, ""?"", """"), ""*"", """")))"),"Chocolate Hot Water Bottle")</f>
        <v>Chocolate Hot Water Bottle</v>
      </c>
      <c r="I3417" s="3">
        <v>9.0</v>
      </c>
      <c r="J3417" s="7">
        <v>40886.36666666667</v>
      </c>
      <c r="K3417" s="8" t="str">
        <f t="shared" si="4"/>
        <v>2011-12</v>
      </c>
      <c r="L3417" s="5">
        <v>4.95</v>
      </c>
      <c r="M3417" s="3">
        <v>12433.0</v>
      </c>
      <c r="N3417" s="1" t="str">
        <f t="shared" si="5"/>
        <v>Registered</v>
      </c>
      <c r="O3417" s="1" t="s">
        <v>1592</v>
      </c>
      <c r="P3417" s="9" t="str">
        <f t="shared" si="6"/>
        <v>International</v>
      </c>
      <c r="Q3417" s="8">
        <f t="shared" si="7"/>
        <v>44.55</v>
      </c>
    </row>
    <row r="3418">
      <c r="A3418" s="1">
        <v>581476.0</v>
      </c>
      <c r="B3418" s="1" t="str">
        <f t="shared" si="1"/>
        <v>581476</v>
      </c>
      <c r="C3418" s="1" t="str">
        <f t="shared" si="2"/>
        <v>Sale</v>
      </c>
      <c r="D3418" s="1">
        <v>21908.0</v>
      </c>
      <c r="E3418" s="1" t="str">
        <f>IFERROR(__xludf.DUMMYFUNCTION("IF(LEN(D3418)&gt;4, IFERROR(REGEXEXTRACT(TO_TEXT(D3418),""\d+""),""""),"""")"),"21908")</f>
        <v>21908</v>
      </c>
      <c r="F3418" s="6" t="str">
        <f t="shared" si="3"/>
        <v>Product</v>
      </c>
      <c r="G3418" s="1" t="s">
        <v>995</v>
      </c>
      <c r="H3418" s="6" t="str">
        <f>IFERROR(__xludf.DUMMYFUNCTION("IF(REGEXMATCH(LOWER(G3418), ""^(\?)+\s*(missing)?\s*(\?)*$""), """", PROPER(SUBSTITUTE(SUBSTITUTE(G3418, ""?"", """"), ""*"", """")))"),"Chocolate This Way Metal Sign")</f>
        <v>Chocolate This Way Metal Sign</v>
      </c>
      <c r="I3418" s="3">
        <v>36.0</v>
      </c>
      <c r="J3418" s="7">
        <v>40886.36666666667</v>
      </c>
      <c r="K3418" s="8" t="str">
        <f t="shared" si="4"/>
        <v>2011-12</v>
      </c>
      <c r="L3418" s="5">
        <v>2.1</v>
      </c>
      <c r="M3418" s="3">
        <v>12433.0</v>
      </c>
      <c r="N3418" s="1" t="str">
        <f t="shared" si="5"/>
        <v>Registered</v>
      </c>
      <c r="O3418" s="1" t="s">
        <v>1592</v>
      </c>
      <c r="P3418" s="9" t="str">
        <f t="shared" si="6"/>
        <v>International</v>
      </c>
      <c r="Q3418" s="8">
        <f t="shared" si="7"/>
        <v>75.6</v>
      </c>
    </row>
    <row r="3419">
      <c r="A3419" s="1">
        <v>581476.0</v>
      </c>
      <c r="B3419" s="1" t="str">
        <f t="shared" si="1"/>
        <v>581476</v>
      </c>
      <c r="C3419" s="1" t="str">
        <f t="shared" si="2"/>
        <v>Sale</v>
      </c>
      <c r="D3419" s="1">
        <v>21874.0</v>
      </c>
      <c r="E3419" s="1" t="str">
        <f>IFERROR(__xludf.DUMMYFUNCTION("IF(LEN(D3419)&gt;4, IFERROR(REGEXEXTRACT(TO_TEXT(D3419),""\d+""),""""),"""")"),"21874")</f>
        <v>21874</v>
      </c>
      <c r="F3419" s="6" t="str">
        <f t="shared" si="3"/>
        <v>Product</v>
      </c>
      <c r="G3419" s="1" t="s">
        <v>1599</v>
      </c>
      <c r="H3419" s="6" t="str">
        <f>IFERROR(__xludf.DUMMYFUNCTION("IF(REGEXMATCH(LOWER(G3419), ""^(\?)+\s*(missing)?\s*(\?)*$""), """", PROPER(SUBSTITUTE(SUBSTITUTE(G3419, ""?"", """"), ""*"", """")))"),"Gin And Tonic Mug")</f>
        <v>Gin And Tonic Mug</v>
      </c>
      <c r="I3419" s="3">
        <v>36.0</v>
      </c>
      <c r="J3419" s="7">
        <v>40886.36666666667</v>
      </c>
      <c r="K3419" s="8" t="str">
        <f t="shared" si="4"/>
        <v>2011-12</v>
      </c>
      <c r="L3419" s="5">
        <v>1.45</v>
      </c>
      <c r="M3419" s="3">
        <v>12433.0</v>
      </c>
      <c r="N3419" s="1" t="str">
        <f t="shared" si="5"/>
        <v>Registered</v>
      </c>
      <c r="O3419" s="1" t="s">
        <v>1592</v>
      </c>
      <c r="P3419" s="9" t="str">
        <f t="shared" si="6"/>
        <v>International</v>
      </c>
      <c r="Q3419" s="8">
        <f t="shared" si="7"/>
        <v>52.2</v>
      </c>
    </row>
    <row r="3420">
      <c r="A3420" s="1">
        <v>581476.0</v>
      </c>
      <c r="B3420" s="1" t="str">
        <f t="shared" si="1"/>
        <v>581476</v>
      </c>
      <c r="C3420" s="1" t="str">
        <f t="shared" si="2"/>
        <v>Sale</v>
      </c>
      <c r="D3420" s="1">
        <v>21872.0</v>
      </c>
      <c r="E3420" s="1" t="str">
        <f>IFERROR(__xludf.DUMMYFUNCTION("IF(LEN(D3420)&gt;4, IFERROR(REGEXEXTRACT(TO_TEXT(D3420),""\d+""),""""),"""")"),"21872")</f>
        <v>21872</v>
      </c>
      <c r="F3420" s="6" t="str">
        <f t="shared" si="3"/>
        <v>Product</v>
      </c>
      <c r="G3420" s="1" t="s">
        <v>1600</v>
      </c>
      <c r="H3420" s="6" t="str">
        <f>IFERROR(__xludf.DUMMYFUNCTION("IF(REGEXMATCH(LOWER(G3420), ""^(\?)+\s*(missing)?\s*(\?)*$""), """", PROPER(SUBSTITUTE(SUBSTITUTE(G3420, ""?"", """"), ""*"", """")))"),"Glamorous Mug")</f>
        <v>Glamorous Mug</v>
      </c>
      <c r="I3420" s="3">
        <v>12.0</v>
      </c>
      <c r="J3420" s="7">
        <v>40886.36666666667</v>
      </c>
      <c r="K3420" s="8" t="str">
        <f t="shared" si="4"/>
        <v>2011-12</v>
      </c>
      <c r="L3420" s="5">
        <v>1.25</v>
      </c>
      <c r="M3420" s="3">
        <v>12433.0</v>
      </c>
      <c r="N3420" s="1" t="str">
        <f t="shared" si="5"/>
        <v>Registered</v>
      </c>
      <c r="O3420" s="1" t="s">
        <v>1592</v>
      </c>
      <c r="P3420" s="9" t="str">
        <f t="shared" si="6"/>
        <v>International</v>
      </c>
      <c r="Q3420" s="8">
        <f t="shared" si="7"/>
        <v>15</v>
      </c>
    </row>
    <row r="3421">
      <c r="A3421" s="1">
        <v>581476.0</v>
      </c>
      <c r="B3421" s="1" t="str">
        <f t="shared" si="1"/>
        <v>581476</v>
      </c>
      <c r="C3421" s="1" t="str">
        <f t="shared" si="2"/>
        <v>Sale</v>
      </c>
      <c r="D3421" s="1">
        <v>21871.0</v>
      </c>
      <c r="E3421" s="1" t="str">
        <f>IFERROR(__xludf.DUMMYFUNCTION("IF(LEN(D3421)&gt;4, IFERROR(REGEXEXTRACT(TO_TEXT(D3421),""\d+""),""""),"""")"),"21871")</f>
        <v>21871</v>
      </c>
      <c r="F3421" s="6" t="str">
        <f t="shared" si="3"/>
        <v>Product</v>
      </c>
      <c r="G3421" s="1" t="s">
        <v>73</v>
      </c>
      <c r="H3421" s="6" t="str">
        <f>IFERROR(__xludf.DUMMYFUNCTION("IF(REGEXMATCH(LOWER(G3421), ""^(\?)+\s*(missing)?\s*(\?)*$""), """", PROPER(SUBSTITUTE(SUBSTITUTE(G3421, ""?"", """"), ""*"", """")))"),"Save The Planet Mug")</f>
        <v>Save The Planet Mug</v>
      </c>
      <c r="I3421" s="3">
        <v>36.0</v>
      </c>
      <c r="J3421" s="7">
        <v>40886.36666666667</v>
      </c>
      <c r="K3421" s="8" t="str">
        <f t="shared" si="4"/>
        <v>2011-12</v>
      </c>
      <c r="L3421" s="5">
        <v>1.45</v>
      </c>
      <c r="M3421" s="3">
        <v>12433.0</v>
      </c>
      <c r="N3421" s="1" t="str">
        <f t="shared" si="5"/>
        <v>Registered</v>
      </c>
      <c r="O3421" s="1" t="s">
        <v>1592</v>
      </c>
      <c r="P3421" s="9" t="str">
        <f t="shared" si="6"/>
        <v>International</v>
      </c>
      <c r="Q3421" s="8">
        <f t="shared" si="7"/>
        <v>52.2</v>
      </c>
    </row>
    <row r="3422">
      <c r="A3422" s="1">
        <v>581476.0</v>
      </c>
      <c r="B3422" s="1" t="str">
        <f t="shared" si="1"/>
        <v>581476</v>
      </c>
      <c r="C3422" s="1" t="str">
        <f t="shared" si="2"/>
        <v>Sale</v>
      </c>
      <c r="D3422" s="1">
        <v>21533.0</v>
      </c>
      <c r="E3422" s="1" t="str">
        <f>IFERROR(__xludf.DUMMYFUNCTION("IF(LEN(D3422)&gt;4, IFERROR(REGEXEXTRACT(TO_TEXT(D3422),""\d+""),""""),"""")"),"21533")</f>
        <v>21533</v>
      </c>
      <c r="F3422" s="6" t="str">
        <f t="shared" si="3"/>
        <v>Product</v>
      </c>
      <c r="G3422" s="1" t="s">
        <v>135</v>
      </c>
      <c r="H3422" s="6" t="str">
        <f>IFERROR(__xludf.DUMMYFUNCTION("IF(REGEXMATCH(LOWER(G3422), ""^(\?)+\s*(missing)?\s*(\?)*$""), """", PROPER(SUBSTITUTE(SUBSTITUTE(G3422, ""?"", """"), ""*"", """")))"),"Retrospot Large Milk Jug")</f>
        <v>Retrospot Large Milk Jug</v>
      </c>
      <c r="I3422" s="3">
        <v>6.0</v>
      </c>
      <c r="J3422" s="7">
        <v>40886.36666666667</v>
      </c>
      <c r="K3422" s="8" t="str">
        <f t="shared" si="4"/>
        <v>2011-12</v>
      </c>
      <c r="L3422" s="5">
        <v>4.95</v>
      </c>
      <c r="M3422" s="3">
        <v>12433.0</v>
      </c>
      <c r="N3422" s="1" t="str">
        <f t="shared" si="5"/>
        <v>Registered</v>
      </c>
      <c r="O3422" s="1" t="s">
        <v>1592</v>
      </c>
      <c r="P3422" s="9" t="str">
        <f t="shared" si="6"/>
        <v>International</v>
      </c>
      <c r="Q3422" s="8">
        <f t="shared" si="7"/>
        <v>29.7</v>
      </c>
    </row>
    <row r="3423">
      <c r="A3423" s="1">
        <v>581476.0</v>
      </c>
      <c r="B3423" s="1" t="str">
        <f t="shared" si="1"/>
        <v>581476</v>
      </c>
      <c r="C3423" s="1" t="str">
        <f t="shared" si="2"/>
        <v>Sale</v>
      </c>
      <c r="D3423" s="1">
        <v>21481.0</v>
      </c>
      <c r="E3423" s="1" t="str">
        <f>IFERROR(__xludf.DUMMYFUNCTION("IF(LEN(D3423)&gt;4, IFERROR(REGEXEXTRACT(TO_TEXT(D3423),""\d+""),""""),"""")"),"21481")</f>
        <v>21481</v>
      </c>
      <c r="F3423" s="6" t="str">
        <f t="shared" si="3"/>
        <v>Product</v>
      </c>
      <c r="G3423" s="1" t="s">
        <v>519</v>
      </c>
      <c r="H3423" s="6" t="str">
        <f>IFERROR(__xludf.DUMMYFUNCTION("IF(REGEXMATCH(LOWER(G3423), ""^(\?)+\s*(missing)?\s*(\?)*$""), """", PROPER(SUBSTITUTE(SUBSTITUTE(G3423, ""?"", """"), ""*"", """")))"),"Fawn Blue Hot Water Bottle")</f>
        <v>Fawn Blue Hot Water Bottle</v>
      </c>
      <c r="I3423" s="3">
        <v>12.0</v>
      </c>
      <c r="J3423" s="7">
        <v>40886.36666666667</v>
      </c>
      <c r="K3423" s="8" t="str">
        <f t="shared" si="4"/>
        <v>2011-12</v>
      </c>
      <c r="L3423" s="5">
        <v>3.75</v>
      </c>
      <c r="M3423" s="3">
        <v>12433.0</v>
      </c>
      <c r="N3423" s="1" t="str">
        <f t="shared" si="5"/>
        <v>Registered</v>
      </c>
      <c r="O3423" s="1" t="s">
        <v>1592</v>
      </c>
      <c r="P3423" s="9" t="str">
        <f t="shared" si="6"/>
        <v>International</v>
      </c>
      <c r="Q3423" s="8">
        <f t="shared" si="7"/>
        <v>45</v>
      </c>
    </row>
    <row r="3424">
      <c r="A3424" s="1">
        <v>581476.0</v>
      </c>
      <c r="B3424" s="1" t="str">
        <f t="shared" si="1"/>
        <v>581476</v>
      </c>
      <c r="C3424" s="1" t="str">
        <f t="shared" si="2"/>
        <v>Sale</v>
      </c>
      <c r="D3424" s="1">
        <v>21479.0</v>
      </c>
      <c r="E3424" s="1" t="str">
        <f>IFERROR(__xludf.DUMMYFUNCTION("IF(LEN(D3424)&gt;4, IFERROR(REGEXEXTRACT(TO_TEXT(D3424),""\d+""),""""),"""")"),"21479")</f>
        <v>21479</v>
      </c>
      <c r="F3424" s="6" t="str">
        <f t="shared" si="3"/>
        <v>Product</v>
      </c>
      <c r="G3424" s="1" t="s">
        <v>269</v>
      </c>
      <c r="H3424" s="6" t="str">
        <f>IFERROR(__xludf.DUMMYFUNCTION("IF(REGEXMATCH(LOWER(G3424), ""^(\?)+\s*(missing)?\s*(\?)*$""), """", PROPER(SUBSTITUTE(SUBSTITUTE(G3424, ""?"", """"), ""*"", """")))"),"White Skull Hot Water Bottle")</f>
        <v>White Skull Hot Water Bottle</v>
      </c>
      <c r="I3424" s="3">
        <v>4.0</v>
      </c>
      <c r="J3424" s="7">
        <v>40886.36666666667</v>
      </c>
      <c r="K3424" s="8" t="str">
        <f t="shared" si="4"/>
        <v>2011-12</v>
      </c>
      <c r="L3424" s="5">
        <v>4.25</v>
      </c>
      <c r="M3424" s="3">
        <v>12433.0</v>
      </c>
      <c r="N3424" s="1" t="str">
        <f t="shared" si="5"/>
        <v>Registered</v>
      </c>
      <c r="O3424" s="1" t="s">
        <v>1592</v>
      </c>
      <c r="P3424" s="9" t="str">
        <f t="shared" si="6"/>
        <v>International</v>
      </c>
      <c r="Q3424" s="8">
        <f t="shared" si="7"/>
        <v>17</v>
      </c>
    </row>
    <row r="3425">
      <c r="A3425" s="1">
        <v>581476.0</v>
      </c>
      <c r="B3425" s="1" t="str">
        <f t="shared" si="1"/>
        <v>581476</v>
      </c>
      <c r="C3425" s="1" t="str">
        <f t="shared" si="2"/>
        <v>Sale</v>
      </c>
      <c r="D3425" s="1">
        <v>21248.0</v>
      </c>
      <c r="E3425" s="1" t="str">
        <f>IFERROR(__xludf.DUMMYFUNCTION("IF(LEN(D3425)&gt;4, IFERROR(REGEXEXTRACT(TO_TEXT(D3425),""\d+""),""""),"""")"),"21248")</f>
        <v>21248</v>
      </c>
      <c r="F3425" s="6" t="str">
        <f t="shared" si="3"/>
        <v>Product</v>
      </c>
      <c r="G3425" s="1" t="s">
        <v>1601</v>
      </c>
      <c r="H3425" s="6" t="str">
        <f>IFERROR(__xludf.DUMMYFUNCTION("IF(REGEXMATCH(LOWER(G3425), ""^(\?)+\s*(missing)?\s*(\?)*$""), """", PROPER(SUBSTITUTE(SUBSTITUTE(G3425, ""?"", """"), ""*"", """")))"),"Door Hanger Mum + Dads Room")</f>
        <v>Door Hanger Mum + Dads Room</v>
      </c>
      <c r="I3425" s="3">
        <v>12.0</v>
      </c>
      <c r="J3425" s="7">
        <v>40886.36666666667</v>
      </c>
      <c r="K3425" s="8" t="str">
        <f t="shared" si="4"/>
        <v>2011-12</v>
      </c>
      <c r="L3425" s="5">
        <v>1.45</v>
      </c>
      <c r="M3425" s="3">
        <v>12433.0</v>
      </c>
      <c r="N3425" s="1" t="str">
        <f t="shared" si="5"/>
        <v>Registered</v>
      </c>
      <c r="O3425" s="1" t="s">
        <v>1592</v>
      </c>
      <c r="P3425" s="9" t="str">
        <f t="shared" si="6"/>
        <v>International</v>
      </c>
      <c r="Q3425" s="8">
        <f t="shared" si="7"/>
        <v>17.4</v>
      </c>
    </row>
    <row r="3426">
      <c r="A3426" s="1">
        <v>581476.0</v>
      </c>
      <c r="B3426" s="1" t="str">
        <f t="shared" si="1"/>
        <v>581476</v>
      </c>
      <c r="C3426" s="1" t="str">
        <f t="shared" si="2"/>
        <v>Sale</v>
      </c>
      <c r="D3426" s="1">
        <v>21216.0</v>
      </c>
      <c r="E3426" s="1" t="str">
        <f>IFERROR(__xludf.DUMMYFUNCTION("IF(LEN(D3426)&gt;4, IFERROR(REGEXEXTRACT(TO_TEXT(D3426),""\d+""),""""),"""")"),"21216")</f>
        <v>21216</v>
      </c>
      <c r="F3426" s="6" t="str">
        <f t="shared" si="3"/>
        <v>Product</v>
      </c>
      <c r="G3426" s="1" t="s">
        <v>819</v>
      </c>
      <c r="H3426" s="6" t="str">
        <f>IFERROR(__xludf.DUMMYFUNCTION("IF(REGEXMATCH(LOWER(G3426), ""^(\?)+\s*(missing)?\s*(\?)*$""), """", PROPER(SUBSTITUTE(SUBSTITUTE(G3426, ""?"", """"), ""*"", """")))"),"Set 3 Retrospot Tea,Coffee,Sugar")</f>
        <v>Set 3 Retrospot Tea,Coffee,Sugar</v>
      </c>
      <c r="I3426" s="3">
        <v>24.0</v>
      </c>
      <c r="J3426" s="7">
        <v>40886.36666666667</v>
      </c>
      <c r="K3426" s="8" t="str">
        <f t="shared" si="4"/>
        <v>2011-12</v>
      </c>
      <c r="L3426" s="5">
        <v>4.25</v>
      </c>
      <c r="M3426" s="3">
        <v>12433.0</v>
      </c>
      <c r="N3426" s="1" t="str">
        <f t="shared" si="5"/>
        <v>Registered</v>
      </c>
      <c r="O3426" s="1" t="s">
        <v>1592</v>
      </c>
      <c r="P3426" s="9" t="str">
        <f t="shared" si="6"/>
        <v>International</v>
      </c>
      <c r="Q3426" s="8">
        <f t="shared" si="7"/>
        <v>102</v>
      </c>
    </row>
    <row r="3427">
      <c r="A3427" s="1">
        <v>581476.0</v>
      </c>
      <c r="B3427" s="1" t="str">
        <f t="shared" si="1"/>
        <v>581476</v>
      </c>
      <c r="C3427" s="1" t="str">
        <f t="shared" si="2"/>
        <v>Sale</v>
      </c>
      <c r="D3427" s="1">
        <v>21181.0</v>
      </c>
      <c r="E3427" s="1" t="str">
        <f>IFERROR(__xludf.DUMMYFUNCTION("IF(LEN(D3427)&gt;4, IFERROR(REGEXEXTRACT(TO_TEXT(D3427),""\d+""),""""),"""")"),"21181")</f>
        <v>21181</v>
      </c>
      <c r="F3427" s="6" t="str">
        <f t="shared" si="3"/>
        <v>Product</v>
      </c>
      <c r="G3427" s="1" t="s">
        <v>776</v>
      </c>
      <c r="H3427" s="6" t="str">
        <f>IFERROR(__xludf.DUMMYFUNCTION("IF(REGEXMATCH(LOWER(G3427), ""^(\?)+\s*(missing)?\s*(\?)*$""), """", PROPER(SUBSTITUTE(SUBSTITUTE(G3427, ""?"", """"), ""*"", """")))"),"Please One Person Metal Sign")</f>
        <v>Please One Person Metal Sign</v>
      </c>
      <c r="I3427" s="3">
        <v>48.0</v>
      </c>
      <c r="J3427" s="7">
        <v>40886.36666666667</v>
      </c>
      <c r="K3427" s="8" t="str">
        <f t="shared" si="4"/>
        <v>2011-12</v>
      </c>
      <c r="L3427" s="5">
        <v>1.85</v>
      </c>
      <c r="M3427" s="3">
        <v>12433.0</v>
      </c>
      <c r="N3427" s="1" t="str">
        <f t="shared" si="5"/>
        <v>Registered</v>
      </c>
      <c r="O3427" s="1" t="s">
        <v>1592</v>
      </c>
      <c r="P3427" s="9" t="str">
        <f t="shared" si="6"/>
        <v>International</v>
      </c>
      <c r="Q3427" s="8">
        <f t="shared" si="7"/>
        <v>88.8</v>
      </c>
    </row>
    <row r="3428">
      <c r="A3428" s="1">
        <v>581476.0</v>
      </c>
      <c r="B3428" s="1" t="str">
        <f t="shared" si="1"/>
        <v>581476</v>
      </c>
      <c r="C3428" s="1" t="str">
        <f t="shared" si="2"/>
        <v>Sale</v>
      </c>
      <c r="D3428" s="1">
        <v>21175.0</v>
      </c>
      <c r="E3428" s="1" t="str">
        <f>IFERROR(__xludf.DUMMYFUNCTION("IF(LEN(D3428)&gt;4, IFERROR(REGEXEXTRACT(TO_TEXT(D3428),""\d+""),""""),"""")"),"21175")</f>
        <v>21175</v>
      </c>
      <c r="F3428" s="6" t="str">
        <f t="shared" si="3"/>
        <v>Product</v>
      </c>
      <c r="G3428" s="1" t="s">
        <v>1434</v>
      </c>
      <c r="H3428" s="6" t="str">
        <f>IFERROR(__xludf.DUMMYFUNCTION("IF(REGEXMATCH(LOWER(G3428), ""^(\?)+\s*(missing)?\s*(\?)*$""), """", PROPER(SUBSTITUTE(SUBSTITUTE(G3428, ""?"", """"), ""*"", """")))"),"Gin And Tonic Diet Metal Sign")</f>
        <v>Gin And Tonic Diet Metal Sign</v>
      </c>
      <c r="I3428" s="3">
        <v>48.0</v>
      </c>
      <c r="J3428" s="7">
        <v>40886.36666666667</v>
      </c>
      <c r="K3428" s="8" t="str">
        <f t="shared" si="4"/>
        <v>2011-12</v>
      </c>
      <c r="L3428" s="5">
        <v>2.08</v>
      </c>
      <c r="M3428" s="3">
        <v>12433.0</v>
      </c>
      <c r="N3428" s="1" t="str">
        <f t="shared" si="5"/>
        <v>Registered</v>
      </c>
      <c r="O3428" s="1" t="s">
        <v>1592</v>
      </c>
      <c r="P3428" s="9" t="str">
        <f t="shared" si="6"/>
        <v>International</v>
      </c>
      <c r="Q3428" s="8">
        <f t="shared" si="7"/>
        <v>99.84</v>
      </c>
    </row>
    <row r="3429">
      <c r="A3429" s="1">
        <v>581476.0</v>
      </c>
      <c r="B3429" s="1" t="str">
        <f t="shared" si="1"/>
        <v>581476</v>
      </c>
      <c r="C3429" s="1" t="str">
        <f t="shared" si="2"/>
        <v>Sale</v>
      </c>
      <c r="D3429" s="1">
        <v>21169.0</v>
      </c>
      <c r="E3429" s="1" t="str">
        <f>IFERROR(__xludf.DUMMYFUNCTION("IF(LEN(D3429)&gt;4, IFERROR(REGEXEXTRACT(TO_TEXT(D3429),""\d+""),""""),"""")"),"21169")</f>
        <v>21169</v>
      </c>
      <c r="F3429" s="6" t="str">
        <f t="shared" si="3"/>
        <v>Product</v>
      </c>
      <c r="G3429" s="1" t="s">
        <v>121</v>
      </c>
      <c r="H3429" s="6" t="str">
        <f>IFERROR(__xludf.DUMMYFUNCTION("IF(REGEXMATCH(LOWER(G3429), ""^(\?)+\s*(missing)?\s*(\?)*$""), """", PROPER(SUBSTITUTE(SUBSTITUTE(G3429, ""?"", """"), ""*"", """")))"),"You'Re Confusing Me Metal Sign")</f>
        <v>You'Re Confusing Me Metal Sign</v>
      </c>
      <c r="I3429" s="3">
        <v>48.0</v>
      </c>
      <c r="J3429" s="7">
        <v>40886.36666666667</v>
      </c>
      <c r="K3429" s="8" t="str">
        <f t="shared" si="4"/>
        <v>2011-12</v>
      </c>
      <c r="L3429" s="5">
        <v>1.45</v>
      </c>
      <c r="M3429" s="3">
        <v>12433.0</v>
      </c>
      <c r="N3429" s="1" t="str">
        <f t="shared" si="5"/>
        <v>Registered</v>
      </c>
      <c r="O3429" s="1" t="s">
        <v>1592</v>
      </c>
      <c r="P3429" s="9" t="str">
        <f t="shared" si="6"/>
        <v>International</v>
      </c>
      <c r="Q3429" s="8">
        <f t="shared" si="7"/>
        <v>69.6</v>
      </c>
    </row>
    <row r="3430">
      <c r="A3430" s="1">
        <v>581476.0</v>
      </c>
      <c r="B3430" s="1" t="str">
        <f t="shared" si="1"/>
        <v>581476</v>
      </c>
      <c r="C3430" s="1" t="str">
        <f t="shared" si="2"/>
        <v>Sale</v>
      </c>
      <c r="D3430" s="1">
        <v>21162.0</v>
      </c>
      <c r="E3430" s="1" t="str">
        <f>IFERROR(__xludf.DUMMYFUNCTION("IF(LEN(D3430)&gt;4, IFERROR(REGEXEXTRACT(TO_TEXT(D3430),""\d+""),""""),"""")"),"21162")</f>
        <v>21162</v>
      </c>
      <c r="F3430" s="6" t="str">
        <f t="shared" si="3"/>
        <v>Product</v>
      </c>
      <c r="G3430" s="1" t="s">
        <v>1602</v>
      </c>
      <c r="H3430" s="6" t="str">
        <f>IFERROR(__xludf.DUMMYFUNCTION("IF(REGEXMATCH(LOWER(G3430), ""^(\?)+\s*(missing)?\s*(\?)*$""), """", PROPER(SUBSTITUTE(SUBSTITUTE(G3430, ""?"", """"), ""*"", """")))"),"Toxic Area Door Hanger")</f>
        <v>Toxic Area Door Hanger</v>
      </c>
      <c r="I3430" s="3">
        <v>24.0</v>
      </c>
      <c r="J3430" s="7">
        <v>40886.36666666667</v>
      </c>
      <c r="K3430" s="8" t="str">
        <f t="shared" si="4"/>
        <v>2011-12</v>
      </c>
      <c r="L3430" s="5">
        <v>0.39</v>
      </c>
      <c r="M3430" s="3">
        <v>12433.0</v>
      </c>
      <c r="N3430" s="1" t="str">
        <f t="shared" si="5"/>
        <v>Registered</v>
      </c>
      <c r="O3430" s="1" t="s">
        <v>1592</v>
      </c>
      <c r="P3430" s="9" t="str">
        <f t="shared" si="6"/>
        <v>International</v>
      </c>
      <c r="Q3430" s="8">
        <f t="shared" si="7"/>
        <v>9.36</v>
      </c>
    </row>
    <row r="3431">
      <c r="A3431" s="1">
        <v>581476.0</v>
      </c>
      <c r="B3431" s="1" t="str">
        <f t="shared" si="1"/>
        <v>581476</v>
      </c>
      <c r="C3431" s="1" t="str">
        <f t="shared" si="2"/>
        <v>Sale</v>
      </c>
      <c r="D3431" s="1">
        <v>21159.0</v>
      </c>
      <c r="E3431" s="1" t="str">
        <f>IFERROR(__xludf.DUMMYFUNCTION("IF(LEN(D3431)&gt;4, IFERROR(REGEXEXTRACT(TO_TEXT(D3431),""\d+""),""""),"""")"),"21159")</f>
        <v>21159</v>
      </c>
      <c r="F3431" s="6" t="str">
        <f t="shared" si="3"/>
        <v>Product</v>
      </c>
      <c r="G3431" s="1" t="s">
        <v>1603</v>
      </c>
      <c r="H3431" s="6" t="str">
        <f>IFERROR(__xludf.DUMMYFUNCTION("IF(REGEXMATCH(LOWER(G3431), ""^(\?)+\s*(missing)?\s*(\?)*$""), """", PROPER(SUBSTITUTE(SUBSTITUTE(G3431, ""?"", """"), ""*"", """")))"),"Moody Boy Door Hanger")</f>
        <v>Moody Boy Door Hanger</v>
      </c>
      <c r="I3431" s="3">
        <v>24.0</v>
      </c>
      <c r="J3431" s="7">
        <v>40886.36666666667</v>
      </c>
      <c r="K3431" s="8" t="str">
        <f t="shared" si="4"/>
        <v>2011-12</v>
      </c>
      <c r="L3431" s="5">
        <v>0.39</v>
      </c>
      <c r="M3431" s="3">
        <v>12433.0</v>
      </c>
      <c r="N3431" s="1" t="str">
        <f t="shared" si="5"/>
        <v>Registered</v>
      </c>
      <c r="O3431" s="1" t="s">
        <v>1592</v>
      </c>
      <c r="P3431" s="9" t="str">
        <f t="shared" si="6"/>
        <v>International</v>
      </c>
      <c r="Q3431" s="8">
        <f t="shared" si="7"/>
        <v>9.36</v>
      </c>
    </row>
    <row r="3432">
      <c r="A3432" s="1">
        <v>581476.0</v>
      </c>
      <c r="B3432" s="1" t="str">
        <f t="shared" si="1"/>
        <v>581476</v>
      </c>
      <c r="C3432" s="1" t="str">
        <f t="shared" si="2"/>
        <v>Sale</v>
      </c>
      <c r="D3432" s="1">
        <v>21158.0</v>
      </c>
      <c r="E3432" s="1" t="str">
        <f>IFERROR(__xludf.DUMMYFUNCTION("IF(LEN(D3432)&gt;4, IFERROR(REGEXEXTRACT(TO_TEXT(D3432),""\d+""),""""),"""")"),"21158")</f>
        <v>21158</v>
      </c>
      <c r="F3432" s="6" t="str">
        <f t="shared" si="3"/>
        <v>Product</v>
      </c>
      <c r="G3432" s="1" t="s">
        <v>1526</v>
      </c>
      <c r="H3432" s="6" t="str">
        <f>IFERROR(__xludf.DUMMYFUNCTION("IF(REGEXMATCH(LOWER(G3432), ""^(\?)+\s*(missing)?\s*(\?)*$""), """", PROPER(SUBSTITUTE(SUBSTITUTE(G3432, ""?"", """"), ""*"", """")))"),"Moody Girl Door Hanger")</f>
        <v>Moody Girl Door Hanger</v>
      </c>
      <c r="I3432" s="3">
        <v>24.0</v>
      </c>
      <c r="J3432" s="7">
        <v>40886.36666666667</v>
      </c>
      <c r="K3432" s="8" t="str">
        <f t="shared" si="4"/>
        <v>2011-12</v>
      </c>
      <c r="L3432" s="5">
        <v>0.39</v>
      </c>
      <c r="M3432" s="3">
        <v>12433.0</v>
      </c>
      <c r="N3432" s="1" t="str">
        <f t="shared" si="5"/>
        <v>Registered</v>
      </c>
      <c r="O3432" s="1" t="s">
        <v>1592</v>
      </c>
      <c r="P3432" s="9" t="str">
        <f t="shared" si="6"/>
        <v>International</v>
      </c>
      <c r="Q3432" s="8">
        <f t="shared" si="7"/>
        <v>9.36</v>
      </c>
    </row>
    <row r="3433">
      <c r="A3433" s="1">
        <v>581476.0</v>
      </c>
      <c r="B3433" s="1" t="str">
        <f t="shared" si="1"/>
        <v>581476</v>
      </c>
      <c r="C3433" s="1" t="str">
        <f t="shared" si="2"/>
        <v>Sale</v>
      </c>
      <c r="D3433" s="1">
        <v>21154.0</v>
      </c>
      <c r="E3433" s="1" t="str">
        <f>IFERROR(__xludf.DUMMYFUNCTION("IF(LEN(D3433)&gt;4, IFERROR(REGEXEXTRACT(TO_TEXT(D3433),""\d+""),""""),"""")"),"21154")</f>
        <v>21154</v>
      </c>
      <c r="F3433" s="6" t="str">
        <f t="shared" si="3"/>
        <v>Product</v>
      </c>
      <c r="G3433" s="1" t="s">
        <v>527</v>
      </c>
      <c r="H3433" s="6" t="str">
        <f>IFERROR(__xludf.DUMMYFUNCTION("IF(REGEXMATCH(LOWER(G3433), ""^(\?)+\s*(missing)?\s*(\?)*$""), """", PROPER(SUBSTITUTE(SUBSTITUTE(G3433, ""?"", """"), ""*"", """")))"),"Red Retrospot Oven Glove")</f>
        <v>Red Retrospot Oven Glove</v>
      </c>
      <c r="I3433" s="3">
        <v>10.0</v>
      </c>
      <c r="J3433" s="7">
        <v>40886.36666666667</v>
      </c>
      <c r="K3433" s="8" t="str">
        <f t="shared" si="4"/>
        <v>2011-12</v>
      </c>
      <c r="L3433" s="5">
        <v>1.25</v>
      </c>
      <c r="M3433" s="3">
        <v>12433.0</v>
      </c>
      <c r="N3433" s="1" t="str">
        <f t="shared" si="5"/>
        <v>Registered</v>
      </c>
      <c r="O3433" s="1" t="s">
        <v>1592</v>
      </c>
      <c r="P3433" s="9" t="str">
        <f t="shared" si="6"/>
        <v>International</v>
      </c>
      <c r="Q3433" s="8">
        <f t="shared" si="7"/>
        <v>12.5</v>
      </c>
    </row>
    <row r="3434">
      <c r="A3434" s="1">
        <v>581476.0</v>
      </c>
      <c r="B3434" s="1" t="str">
        <f t="shared" si="1"/>
        <v>581476</v>
      </c>
      <c r="C3434" s="1" t="str">
        <f t="shared" si="2"/>
        <v>Sale</v>
      </c>
      <c r="D3434" s="1">
        <v>16016.0</v>
      </c>
      <c r="E3434" s="1" t="str">
        <f>IFERROR(__xludf.DUMMYFUNCTION("IF(LEN(D3434)&gt;4, IFERROR(REGEXEXTRACT(TO_TEXT(D3434),""\d+""),""""),"""")"),"16016")</f>
        <v>16016</v>
      </c>
      <c r="F3434" s="6" t="str">
        <f t="shared" si="3"/>
        <v>Product</v>
      </c>
      <c r="G3434" s="1" t="s">
        <v>544</v>
      </c>
      <c r="H3434" s="6" t="str">
        <f>IFERROR(__xludf.DUMMYFUNCTION("IF(REGEXMATCH(LOWER(G3434), ""^(\?)+\s*(missing)?\s*(\?)*$""), """", PROPER(SUBSTITUTE(SUBSTITUTE(G3434, ""?"", """"), ""*"", """")))"),"Large Chinese Style Scissor")</f>
        <v>Large Chinese Style Scissor</v>
      </c>
      <c r="I3434" s="3">
        <v>40.0</v>
      </c>
      <c r="J3434" s="7">
        <v>40886.36666666667</v>
      </c>
      <c r="K3434" s="8" t="str">
        <f t="shared" si="4"/>
        <v>2011-12</v>
      </c>
      <c r="L3434" s="5">
        <v>0.85</v>
      </c>
      <c r="M3434" s="3">
        <v>12433.0</v>
      </c>
      <c r="N3434" s="1" t="str">
        <f t="shared" si="5"/>
        <v>Registered</v>
      </c>
      <c r="O3434" s="1" t="s">
        <v>1592</v>
      </c>
      <c r="P3434" s="9" t="str">
        <f t="shared" si="6"/>
        <v>International</v>
      </c>
      <c r="Q3434" s="8">
        <f t="shared" si="7"/>
        <v>34</v>
      </c>
    </row>
    <row r="3435">
      <c r="A3435" s="1">
        <v>581476.0</v>
      </c>
      <c r="B3435" s="1" t="str">
        <f t="shared" si="1"/>
        <v>581476</v>
      </c>
      <c r="C3435" s="1" t="str">
        <f t="shared" si="2"/>
        <v>Sale</v>
      </c>
      <c r="D3435" s="1">
        <v>16014.0</v>
      </c>
      <c r="E3435" s="1" t="str">
        <f>IFERROR(__xludf.DUMMYFUNCTION("IF(LEN(D3435)&gt;4, IFERROR(REGEXEXTRACT(TO_TEXT(D3435),""\d+""),""""),"""")"),"16014")</f>
        <v>16014</v>
      </c>
      <c r="F3435" s="6" t="str">
        <f t="shared" si="3"/>
        <v>Product</v>
      </c>
      <c r="G3435" s="1" t="s">
        <v>545</v>
      </c>
      <c r="H3435" s="6" t="str">
        <f>IFERROR(__xludf.DUMMYFUNCTION("IF(REGEXMATCH(LOWER(G3435), ""^(\?)+\s*(missing)?\s*(\?)*$""), """", PROPER(SUBSTITUTE(SUBSTITUTE(G3435, ""?"", """"), ""*"", """")))"),"Small Chinese Style Scissor")</f>
        <v>Small Chinese Style Scissor</v>
      </c>
      <c r="I3435" s="3">
        <v>60.0</v>
      </c>
      <c r="J3435" s="7">
        <v>40886.36666666667</v>
      </c>
      <c r="K3435" s="8" t="str">
        <f t="shared" si="4"/>
        <v>2011-12</v>
      </c>
      <c r="L3435" s="5">
        <v>0.42</v>
      </c>
      <c r="M3435" s="3">
        <v>12433.0</v>
      </c>
      <c r="N3435" s="1" t="str">
        <f t="shared" si="5"/>
        <v>Registered</v>
      </c>
      <c r="O3435" s="1" t="s">
        <v>1592</v>
      </c>
      <c r="P3435" s="9" t="str">
        <f t="shared" si="6"/>
        <v>International</v>
      </c>
      <c r="Q3435" s="8">
        <f t="shared" si="7"/>
        <v>25.2</v>
      </c>
    </row>
    <row r="3436">
      <c r="A3436" s="1">
        <v>581476.0</v>
      </c>
      <c r="B3436" s="1" t="str">
        <f t="shared" si="1"/>
        <v>581476</v>
      </c>
      <c r="C3436" s="1" t="str">
        <f t="shared" si="2"/>
        <v>Sale</v>
      </c>
      <c r="D3436" s="1">
        <v>16008.0</v>
      </c>
      <c r="E3436" s="1" t="str">
        <f>IFERROR(__xludf.DUMMYFUNCTION("IF(LEN(D3436)&gt;4, IFERROR(REGEXEXTRACT(TO_TEXT(D3436),""\d+""),""""),"""")"),"16008")</f>
        <v>16008</v>
      </c>
      <c r="F3436" s="6" t="str">
        <f t="shared" si="3"/>
        <v>Product</v>
      </c>
      <c r="G3436" s="1" t="s">
        <v>1604</v>
      </c>
      <c r="H3436" s="6" t="str">
        <f>IFERROR(__xludf.DUMMYFUNCTION("IF(REGEXMATCH(LOWER(G3436), ""^(\?)+\s*(missing)?\s*(\?)*$""), """", PROPER(SUBSTITUTE(SUBSTITUTE(G3436, ""?"", """"), ""*"", """")))"),"Small Folding Scissor(Pointed Edge)")</f>
        <v>Small Folding Scissor(Pointed Edge)</v>
      </c>
      <c r="I3436" s="3">
        <v>240.0</v>
      </c>
      <c r="J3436" s="7">
        <v>40886.36666666667</v>
      </c>
      <c r="K3436" s="8" t="str">
        <f t="shared" si="4"/>
        <v>2011-12</v>
      </c>
      <c r="L3436" s="5">
        <v>0.12</v>
      </c>
      <c r="M3436" s="3">
        <v>12433.0</v>
      </c>
      <c r="N3436" s="1" t="str">
        <f t="shared" si="5"/>
        <v>Registered</v>
      </c>
      <c r="O3436" s="1" t="s">
        <v>1592</v>
      </c>
      <c r="P3436" s="9" t="str">
        <f t="shared" si="6"/>
        <v>International</v>
      </c>
      <c r="Q3436" s="8">
        <f t="shared" si="7"/>
        <v>28.8</v>
      </c>
    </row>
    <row r="3437">
      <c r="A3437" s="1">
        <v>581476.0</v>
      </c>
      <c r="B3437" s="1" t="str">
        <f t="shared" si="1"/>
        <v>581476</v>
      </c>
      <c r="C3437" s="1" t="str">
        <f t="shared" si="2"/>
        <v>Sale</v>
      </c>
      <c r="D3437" s="1">
        <v>85152.0</v>
      </c>
      <c r="E3437" s="1" t="str">
        <f>IFERROR(__xludf.DUMMYFUNCTION("IF(LEN(D3437)&gt;4, IFERROR(REGEXEXTRACT(TO_TEXT(D3437),""\d+""),""""),"""")"),"85152")</f>
        <v>85152</v>
      </c>
      <c r="F3437" s="6" t="str">
        <f t="shared" si="3"/>
        <v>Product</v>
      </c>
      <c r="G3437" s="1" t="s">
        <v>251</v>
      </c>
      <c r="H3437" s="6" t="str">
        <f>IFERROR(__xludf.DUMMYFUNCTION("IF(REGEXMATCH(LOWER(G3437), ""^(\?)+\s*(missing)?\s*(\?)*$""), """", PROPER(SUBSTITUTE(SUBSTITUTE(G3437, ""?"", """"), ""*"", """")))"),"Hand Over The Chocolate Sign")</f>
        <v>Hand Over The Chocolate Sign</v>
      </c>
      <c r="I3437" s="3">
        <v>48.0</v>
      </c>
      <c r="J3437" s="7">
        <v>40886.36666666667</v>
      </c>
      <c r="K3437" s="8" t="str">
        <f t="shared" si="4"/>
        <v>2011-12</v>
      </c>
      <c r="L3437" s="5">
        <v>1.85</v>
      </c>
      <c r="M3437" s="3">
        <v>12433.0</v>
      </c>
      <c r="N3437" s="1" t="str">
        <f t="shared" si="5"/>
        <v>Registered</v>
      </c>
      <c r="O3437" s="1" t="s">
        <v>1592</v>
      </c>
      <c r="P3437" s="9" t="str">
        <f t="shared" si="6"/>
        <v>International</v>
      </c>
      <c r="Q3437" s="8">
        <f t="shared" si="7"/>
        <v>88.8</v>
      </c>
    </row>
    <row r="3438">
      <c r="A3438" s="1">
        <v>581476.0</v>
      </c>
      <c r="B3438" s="1" t="str">
        <f t="shared" si="1"/>
        <v>581476</v>
      </c>
      <c r="C3438" s="1" t="str">
        <f t="shared" si="2"/>
        <v>Sale</v>
      </c>
      <c r="D3438" s="1" t="s">
        <v>1605</v>
      </c>
      <c r="E3438" s="1" t="str">
        <f>IFERROR(__xludf.DUMMYFUNCTION("IF(LEN(D3438)&gt;4, IFERROR(REGEXEXTRACT(TO_TEXT(D3438),""\d+""),""""),"""")"),"84596")</f>
        <v>84596</v>
      </c>
      <c r="F3438" s="6" t="str">
        <f t="shared" si="3"/>
        <v>Product</v>
      </c>
      <c r="G3438" s="1" t="s">
        <v>1606</v>
      </c>
      <c r="H3438" s="6" t="str">
        <f>IFERROR(__xludf.DUMMYFUNCTION("IF(REGEXMATCH(LOWER(G3438), ""^(\?)+\s*(missing)?\s*(\?)*$""), """", PROPER(SUBSTITUTE(SUBSTITUTE(G3438, ""?"", """"), ""*"", """")))"),"Small Marshmallows Pink Bowl")</f>
        <v>Small Marshmallows Pink Bowl</v>
      </c>
      <c r="I3438" s="3">
        <v>32.0</v>
      </c>
      <c r="J3438" s="7">
        <v>40886.36666666667</v>
      </c>
      <c r="K3438" s="8" t="str">
        <f t="shared" si="4"/>
        <v>2011-12</v>
      </c>
      <c r="L3438" s="5">
        <v>0.42</v>
      </c>
      <c r="M3438" s="3">
        <v>12433.0</v>
      </c>
      <c r="N3438" s="1" t="str">
        <f t="shared" si="5"/>
        <v>Registered</v>
      </c>
      <c r="O3438" s="1" t="s">
        <v>1592</v>
      </c>
      <c r="P3438" s="9" t="str">
        <f t="shared" si="6"/>
        <v>International</v>
      </c>
      <c r="Q3438" s="8">
        <f t="shared" si="7"/>
        <v>13.44</v>
      </c>
    </row>
    <row r="3439">
      <c r="A3439" s="1">
        <v>581476.0</v>
      </c>
      <c r="B3439" s="1" t="str">
        <f t="shared" si="1"/>
        <v>581476</v>
      </c>
      <c r="C3439" s="1" t="str">
        <f t="shared" si="2"/>
        <v>Sale</v>
      </c>
      <c r="D3439" s="1" t="s">
        <v>1607</v>
      </c>
      <c r="E3439" s="1" t="str">
        <f>IFERROR(__xludf.DUMMYFUNCTION("IF(LEN(D3439)&gt;4, IFERROR(REGEXEXTRACT(TO_TEXT(D3439),""\d+""),""""),"""")"),"84596")</f>
        <v>84596</v>
      </c>
      <c r="F3439" s="6" t="str">
        <f t="shared" si="3"/>
        <v>Product</v>
      </c>
      <c r="G3439" s="1" t="s">
        <v>1608</v>
      </c>
      <c r="H3439" s="6" t="str">
        <f>IFERROR(__xludf.DUMMYFUNCTION("IF(REGEXMATCH(LOWER(G3439), ""^(\?)+\s*(missing)?\s*(\?)*$""), """", PROPER(SUBSTITUTE(SUBSTITUTE(G3439, ""?"", """"), ""*"", """")))"),"Small Dolly Mix Design Orange Bowl")</f>
        <v>Small Dolly Mix Design Orange Bowl</v>
      </c>
      <c r="I3439" s="3">
        <v>16.0</v>
      </c>
      <c r="J3439" s="7">
        <v>40886.36666666667</v>
      </c>
      <c r="K3439" s="8" t="str">
        <f t="shared" si="4"/>
        <v>2011-12</v>
      </c>
      <c r="L3439" s="5">
        <v>0.42</v>
      </c>
      <c r="M3439" s="3">
        <v>12433.0</v>
      </c>
      <c r="N3439" s="1" t="str">
        <f t="shared" si="5"/>
        <v>Registered</v>
      </c>
      <c r="O3439" s="1" t="s">
        <v>1592</v>
      </c>
      <c r="P3439" s="9" t="str">
        <f t="shared" si="6"/>
        <v>International</v>
      </c>
      <c r="Q3439" s="8">
        <f t="shared" si="7"/>
        <v>6.72</v>
      </c>
    </row>
    <row r="3440">
      <c r="A3440" s="1">
        <v>581476.0</v>
      </c>
      <c r="B3440" s="1" t="str">
        <f t="shared" si="1"/>
        <v>581476</v>
      </c>
      <c r="C3440" s="1" t="str">
        <f t="shared" si="2"/>
        <v>Sale</v>
      </c>
      <c r="D3440" s="1" t="s">
        <v>286</v>
      </c>
      <c r="E3440" s="1" t="str">
        <f>IFERROR(__xludf.DUMMYFUNCTION("IF(LEN(D3440)&gt;4, IFERROR(REGEXEXTRACT(TO_TEXT(D3440),""\d+""),""""),"""")"),"84510")</f>
        <v>84510</v>
      </c>
      <c r="F3440" s="6" t="str">
        <f t="shared" si="3"/>
        <v>Product</v>
      </c>
      <c r="G3440" s="1" t="s">
        <v>287</v>
      </c>
      <c r="H3440" s="6" t="str">
        <f>IFERROR(__xludf.DUMMYFUNCTION("IF(REGEXMATCH(LOWER(G3440), ""^(\?)+\s*(missing)?\s*(\?)*$""), """", PROPER(SUBSTITUTE(SUBSTITUTE(G3440, ""?"", """"), ""*"", """")))"),"Set Of 4 English Rose Coasters")</f>
        <v>Set Of 4 English Rose Coasters</v>
      </c>
      <c r="I3440" s="3">
        <v>20.0</v>
      </c>
      <c r="J3440" s="7">
        <v>40886.36666666667</v>
      </c>
      <c r="K3440" s="8" t="str">
        <f t="shared" si="4"/>
        <v>2011-12</v>
      </c>
      <c r="L3440" s="5">
        <v>1.25</v>
      </c>
      <c r="M3440" s="3">
        <v>12433.0</v>
      </c>
      <c r="N3440" s="1" t="str">
        <f t="shared" si="5"/>
        <v>Registered</v>
      </c>
      <c r="O3440" s="1" t="s">
        <v>1592</v>
      </c>
      <c r="P3440" s="9" t="str">
        <f t="shared" si="6"/>
        <v>International</v>
      </c>
      <c r="Q3440" s="8">
        <f t="shared" si="7"/>
        <v>25</v>
      </c>
    </row>
    <row r="3441">
      <c r="A3441" s="1">
        <v>581476.0</v>
      </c>
      <c r="B3441" s="1" t="str">
        <f t="shared" si="1"/>
        <v>581476</v>
      </c>
      <c r="C3441" s="1" t="str">
        <f t="shared" si="2"/>
        <v>Sale</v>
      </c>
      <c r="D3441" s="1">
        <v>82600.0</v>
      </c>
      <c r="E3441" s="1" t="str">
        <f>IFERROR(__xludf.DUMMYFUNCTION("IF(LEN(D3441)&gt;4, IFERROR(REGEXEXTRACT(TO_TEXT(D3441),""\d+""),""""),"""")"),"82600")</f>
        <v>82600</v>
      </c>
      <c r="F3441" s="6" t="str">
        <f t="shared" si="3"/>
        <v>Product</v>
      </c>
      <c r="G3441" s="1" t="s">
        <v>1562</v>
      </c>
      <c r="H3441" s="6" t="str">
        <f>IFERROR(__xludf.DUMMYFUNCTION("IF(REGEXMATCH(LOWER(G3441), ""^(\?)+\s*(missing)?\s*(\?)*$""), """", PROPER(SUBSTITUTE(SUBSTITUTE(G3441, ""?"", """"), ""*"", """")))"),"N0 Singing Metal Sign")</f>
        <v>N0 Singing Metal Sign</v>
      </c>
      <c r="I3441" s="3">
        <v>48.0</v>
      </c>
      <c r="J3441" s="7">
        <v>40886.36666666667</v>
      </c>
      <c r="K3441" s="8" t="str">
        <f t="shared" si="4"/>
        <v>2011-12</v>
      </c>
      <c r="L3441" s="5">
        <v>1.85</v>
      </c>
      <c r="M3441" s="3">
        <v>12433.0</v>
      </c>
      <c r="N3441" s="1" t="str">
        <f t="shared" si="5"/>
        <v>Registered</v>
      </c>
      <c r="O3441" s="1" t="s">
        <v>1592</v>
      </c>
      <c r="P3441" s="9" t="str">
        <f t="shared" si="6"/>
        <v>International</v>
      </c>
      <c r="Q3441" s="8">
        <f t="shared" si="7"/>
        <v>88.8</v>
      </c>
    </row>
    <row r="3442">
      <c r="A3442" s="1">
        <v>581476.0</v>
      </c>
      <c r="B3442" s="1" t="str">
        <f t="shared" si="1"/>
        <v>581476</v>
      </c>
      <c r="C3442" s="1" t="str">
        <f t="shared" si="2"/>
        <v>Sale</v>
      </c>
      <c r="D3442" s="1">
        <v>82581.0</v>
      </c>
      <c r="E3442" s="1" t="str">
        <f>IFERROR(__xludf.DUMMYFUNCTION("IF(LEN(D3442)&gt;4, IFERROR(REGEXEXTRACT(TO_TEXT(D3442),""\d+""),""""),"""")"),"82581")</f>
        <v>82581</v>
      </c>
      <c r="F3442" s="6" t="str">
        <f t="shared" si="3"/>
        <v>Product</v>
      </c>
      <c r="G3442" s="1" t="s">
        <v>298</v>
      </c>
      <c r="H3442" s="6" t="str">
        <f>IFERROR(__xludf.DUMMYFUNCTION("IF(REGEXMATCH(LOWER(G3442), ""^(\?)+\s*(missing)?\s*(\?)*$""), """", PROPER(SUBSTITUTE(SUBSTITUTE(G3442, ""?"", """"), ""*"", """")))"),"Toilet Metal Sign")</f>
        <v>Toilet Metal Sign</v>
      </c>
      <c r="I3442" s="3">
        <v>48.0</v>
      </c>
      <c r="J3442" s="7">
        <v>40886.36666666667</v>
      </c>
      <c r="K3442" s="8" t="str">
        <f t="shared" si="4"/>
        <v>2011-12</v>
      </c>
      <c r="L3442" s="5">
        <v>0.55</v>
      </c>
      <c r="M3442" s="3">
        <v>12433.0</v>
      </c>
      <c r="N3442" s="1" t="str">
        <f t="shared" si="5"/>
        <v>Registered</v>
      </c>
      <c r="O3442" s="1" t="s">
        <v>1592</v>
      </c>
      <c r="P3442" s="9" t="str">
        <f t="shared" si="6"/>
        <v>International</v>
      </c>
      <c r="Q3442" s="8">
        <f t="shared" si="7"/>
        <v>26.4</v>
      </c>
    </row>
    <row r="3443">
      <c r="A3443" s="1">
        <v>581476.0</v>
      </c>
      <c r="B3443" s="1" t="str">
        <f t="shared" si="1"/>
        <v>581476</v>
      </c>
      <c r="C3443" s="1" t="str">
        <f t="shared" si="2"/>
        <v>Sale</v>
      </c>
      <c r="D3443" s="1" t="s">
        <v>1053</v>
      </c>
      <c r="E3443" s="1" t="str">
        <f>IFERROR(__xludf.DUMMYFUNCTION("IF(LEN(D3443)&gt;4, IFERROR(REGEXEXTRACT(TO_TEXT(D3443),""\d+""),""""),"""")"),"72760")</f>
        <v>72760</v>
      </c>
      <c r="F3443" s="6" t="str">
        <f t="shared" si="3"/>
        <v>Product</v>
      </c>
      <c r="G3443" s="1" t="s">
        <v>1054</v>
      </c>
      <c r="H3443" s="6" t="str">
        <f>IFERROR(__xludf.DUMMYFUNCTION("IF(REGEXMATCH(LOWER(G3443), ""^(\?)+\s*(missing)?\s*(\?)*$""), """", PROPER(SUBSTITUTE(SUBSTITUTE(G3443, ""?"", """"), ""*"", """")))"),"Vintage Cream 3 Basket Cake Stand")</f>
        <v>Vintage Cream 3 Basket Cake Stand</v>
      </c>
      <c r="I3443" s="3">
        <v>2.0</v>
      </c>
      <c r="J3443" s="7">
        <v>40886.36666666667</v>
      </c>
      <c r="K3443" s="8" t="str">
        <f t="shared" si="4"/>
        <v>2011-12</v>
      </c>
      <c r="L3443" s="5">
        <v>9.95</v>
      </c>
      <c r="M3443" s="3">
        <v>12433.0</v>
      </c>
      <c r="N3443" s="1" t="str">
        <f t="shared" si="5"/>
        <v>Registered</v>
      </c>
      <c r="O3443" s="1" t="s">
        <v>1592</v>
      </c>
      <c r="P3443" s="9" t="str">
        <f t="shared" si="6"/>
        <v>International</v>
      </c>
      <c r="Q3443" s="8">
        <f t="shared" si="7"/>
        <v>19.9</v>
      </c>
    </row>
    <row r="3444">
      <c r="A3444" s="1">
        <v>581476.0</v>
      </c>
      <c r="B3444" s="1" t="str">
        <f t="shared" si="1"/>
        <v>581476</v>
      </c>
      <c r="C3444" s="1" t="str">
        <f t="shared" si="2"/>
        <v>Sale</v>
      </c>
      <c r="D3444" s="1">
        <v>72232.0</v>
      </c>
      <c r="E3444" s="1" t="str">
        <f>IFERROR(__xludf.DUMMYFUNCTION("IF(LEN(D3444)&gt;4, IFERROR(REGEXEXTRACT(TO_TEXT(D3444),""\d+""),""""),"""")"),"72232")</f>
        <v>72232</v>
      </c>
      <c r="F3444" s="6" t="str">
        <f t="shared" si="3"/>
        <v>Product</v>
      </c>
      <c r="G3444" s="1" t="s">
        <v>1090</v>
      </c>
      <c r="H3444" s="6" t="str">
        <f>IFERROR(__xludf.DUMMYFUNCTION("IF(REGEXMATCH(LOWER(G3444), ""^(\?)+\s*(missing)?\s*(\?)*$""), """", PROPER(SUBSTITUTE(SUBSTITUTE(G3444, ""?"", """"), ""*"", """")))"),"Feng Shui Pillar Candle")</f>
        <v>Feng Shui Pillar Candle</v>
      </c>
      <c r="I3444" s="3">
        <v>144.0</v>
      </c>
      <c r="J3444" s="7">
        <v>40886.36666666667</v>
      </c>
      <c r="K3444" s="8" t="str">
        <f t="shared" si="4"/>
        <v>2011-12</v>
      </c>
      <c r="L3444" s="5">
        <v>0.19</v>
      </c>
      <c r="M3444" s="3">
        <v>12433.0</v>
      </c>
      <c r="N3444" s="1" t="str">
        <f t="shared" si="5"/>
        <v>Registered</v>
      </c>
      <c r="O3444" s="1" t="s">
        <v>1592</v>
      </c>
      <c r="P3444" s="9" t="str">
        <f t="shared" si="6"/>
        <v>International</v>
      </c>
      <c r="Q3444" s="8">
        <f t="shared" si="7"/>
        <v>27.36</v>
      </c>
    </row>
    <row r="3445">
      <c r="A3445" s="1">
        <v>581476.0</v>
      </c>
      <c r="B3445" s="1" t="str">
        <f t="shared" si="1"/>
        <v>581476</v>
      </c>
      <c r="C3445" s="1" t="str">
        <f t="shared" si="2"/>
        <v>Sale</v>
      </c>
      <c r="D3445" s="1" t="s">
        <v>1207</v>
      </c>
      <c r="E3445" s="1" t="str">
        <f>IFERROR(__xludf.DUMMYFUNCTION("IF(LEN(D3445)&gt;4, IFERROR(REGEXEXTRACT(TO_TEXT(D3445),""\d+""),""""),"""")"),"47559")</f>
        <v>47559</v>
      </c>
      <c r="F3445" s="6" t="str">
        <f t="shared" si="3"/>
        <v>Product</v>
      </c>
      <c r="G3445" s="1" t="s">
        <v>1208</v>
      </c>
      <c r="H3445" s="6" t="str">
        <f>IFERROR(__xludf.DUMMYFUNCTION("IF(REGEXMATCH(LOWER(G3445), ""^(\?)+\s*(missing)?\s*(\?)*$""), """", PROPER(SUBSTITUTE(SUBSTITUTE(G3445, ""?"", """"), ""*"", """")))"),"Tea Time Oven Glove")</f>
        <v>Tea Time Oven Glove</v>
      </c>
      <c r="I3445" s="3">
        <v>10.0</v>
      </c>
      <c r="J3445" s="7">
        <v>40886.36666666667</v>
      </c>
      <c r="K3445" s="8" t="str">
        <f t="shared" si="4"/>
        <v>2011-12</v>
      </c>
      <c r="L3445" s="5">
        <v>1.25</v>
      </c>
      <c r="M3445" s="3">
        <v>12433.0</v>
      </c>
      <c r="N3445" s="1" t="str">
        <f t="shared" si="5"/>
        <v>Registered</v>
      </c>
      <c r="O3445" s="1" t="s">
        <v>1592</v>
      </c>
      <c r="P3445" s="9" t="str">
        <f t="shared" si="6"/>
        <v>International</v>
      </c>
      <c r="Q3445" s="8">
        <f t="shared" si="7"/>
        <v>12.5</v>
      </c>
    </row>
    <row r="3446">
      <c r="A3446" s="1">
        <v>581476.0</v>
      </c>
      <c r="B3446" s="1" t="str">
        <f t="shared" si="1"/>
        <v>581476</v>
      </c>
      <c r="C3446" s="1" t="str">
        <f t="shared" si="2"/>
        <v>Sale</v>
      </c>
      <c r="D3446" s="1" t="s">
        <v>1082</v>
      </c>
      <c r="E3446" s="1" t="str">
        <f>IFERROR(__xludf.DUMMYFUNCTION("IF(LEN(D3446)&gt;4, IFERROR(REGEXEXTRACT(TO_TEXT(D3446),""\d+""),""""),"""")"),"47504")</f>
        <v>47504</v>
      </c>
      <c r="F3446" s="6" t="str">
        <f t="shared" si="3"/>
        <v>Product</v>
      </c>
      <c r="G3446" s="1" t="s">
        <v>1083</v>
      </c>
      <c r="H3446" s="6" t="str">
        <f>IFERROR(__xludf.DUMMYFUNCTION("IF(REGEXMATCH(LOWER(G3446), ""^(\?)+\s*(missing)?\s*(\?)*$""), """", PROPER(SUBSTITUTE(SUBSTITUTE(G3446, ""?"", """"), ""*"", """")))"),"English Rose Spirit Level")</f>
        <v>English Rose Spirit Level</v>
      </c>
      <c r="I3446" s="3">
        <v>36.0</v>
      </c>
      <c r="J3446" s="7">
        <v>40886.36666666667</v>
      </c>
      <c r="K3446" s="8" t="str">
        <f t="shared" si="4"/>
        <v>2011-12</v>
      </c>
      <c r="L3446" s="5">
        <v>0.79</v>
      </c>
      <c r="M3446" s="3">
        <v>12433.0</v>
      </c>
      <c r="N3446" s="1" t="str">
        <f t="shared" si="5"/>
        <v>Registered</v>
      </c>
      <c r="O3446" s="1" t="s">
        <v>1592</v>
      </c>
      <c r="P3446" s="9" t="str">
        <f t="shared" si="6"/>
        <v>International</v>
      </c>
      <c r="Q3446" s="8">
        <f t="shared" si="7"/>
        <v>28.44</v>
      </c>
    </row>
    <row r="3447">
      <c r="A3447" s="1">
        <v>581476.0</v>
      </c>
      <c r="B3447" s="1" t="str">
        <f t="shared" si="1"/>
        <v>581476</v>
      </c>
      <c r="C3447" s="1" t="str">
        <f t="shared" si="2"/>
        <v>Sale</v>
      </c>
      <c r="D3447" s="1">
        <v>23493.0</v>
      </c>
      <c r="E3447" s="1" t="str">
        <f>IFERROR(__xludf.DUMMYFUNCTION("IF(LEN(D3447)&gt;4, IFERROR(REGEXEXTRACT(TO_TEXT(D3447),""\d+""),""""),"""")"),"23493")</f>
        <v>23493</v>
      </c>
      <c r="F3447" s="6" t="str">
        <f t="shared" si="3"/>
        <v>Product</v>
      </c>
      <c r="G3447" s="1" t="s">
        <v>1609</v>
      </c>
      <c r="H3447" s="6" t="str">
        <f>IFERROR(__xludf.DUMMYFUNCTION("IF(REGEXMATCH(LOWER(G3447), ""^(\?)+\s*(missing)?\s*(\?)*$""), """", PROPER(SUBSTITUTE(SUBSTITUTE(G3447, ""?"", """"), ""*"", """")))"),"Vintage Doily Travel Sewing Kit")</f>
        <v>Vintage Doily Travel Sewing Kit</v>
      </c>
      <c r="I3447" s="3">
        <v>30.0</v>
      </c>
      <c r="J3447" s="7">
        <v>40886.36666666667</v>
      </c>
      <c r="K3447" s="8" t="str">
        <f t="shared" si="4"/>
        <v>2011-12</v>
      </c>
      <c r="L3447" s="5">
        <v>1.95</v>
      </c>
      <c r="M3447" s="3">
        <v>12433.0</v>
      </c>
      <c r="N3447" s="1" t="str">
        <f t="shared" si="5"/>
        <v>Registered</v>
      </c>
      <c r="O3447" s="1" t="s">
        <v>1592</v>
      </c>
      <c r="P3447" s="9" t="str">
        <f t="shared" si="6"/>
        <v>International</v>
      </c>
      <c r="Q3447" s="8">
        <f t="shared" si="7"/>
        <v>58.5</v>
      </c>
    </row>
    <row r="3448">
      <c r="A3448" s="1">
        <v>581476.0</v>
      </c>
      <c r="B3448" s="1" t="str">
        <f t="shared" si="1"/>
        <v>581476</v>
      </c>
      <c r="C3448" s="1" t="str">
        <f t="shared" si="2"/>
        <v>Sale</v>
      </c>
      <c r="D3448" s="1">
        <v>23430.0</v>
      </c>
      <c r="E3448" s="1" t="str">
        <f>IFERROR(__xludf.DUMMYFUNCTION("IF(LEN(D3448)&gt;4, IFERROR(REGEXEXTRACT(TO_TEXT(D3448),""\d+""),""""),"""")"),"23430")</f>
        <v>23430</v>
      </c>
      <c r="F3448" s="6" t="str">
        <f t="shared" si="3"/>
        <v>Product</v>
      </c>
      <c r="G3448" s="1" t="s">
        <v>1610</v>
      </c>
      <c r="H3448" s="6" t="str">
        <f>IFERROR(__xludf.DUMMYFUNCTION("IF(REGEXMATCH(LOWER(G3448), ""^(\?)+\s*(missing)?\s*(\?)*$""), """", PROPER(SUBSTITUTE(SUBSTITUTE(G3448, ""?"", """"), ""*"", """")))"),"Blue Retro Kitchen Wall Clock")</f>
        <v>Blue Retro Kitchen Wall Clock</v>
      </c>
      <c r="I3448" s="3">
        <v>2.0</v>
      </c>
      <c r="J3448" s="7">
        <v>40886.36666666667</v>
      </c>
      <c r="K3448" s="8" t="str">
        <f t="shared" si="4"/>
        <v>2011-12</v>
      </c>
      <c r="L3448" s="5">
        <v>8.15</v>
      </c>
      <c r="M3448" s="3">
        <v>12433.0</v>
      </c>
      <c r="N3448" s="1" t="str">
        <f t="shared" si="5"/>
        <v>Registered</v>
      </c>
      <c r="O3448" s="1" t="s">
        <v>1592</v>
      </c>
      <c r="P3448" s="9" t="str">
        <f t="shared" si="6"/>
        <v>International</v>
      </c>
      <c r="Q3448" s="8">
        <f t="shared" si="7"/>
        <v>16.3</v>
      </c>
    </row>
    <row r="3449">
      <c r="A3449" s="1">
        <v>581476.0</v>
      </c>
      <c r="B3449" s="1" t="str">
        <f t="shared" si="1"/>
        <v>581476</v>
      </c>
      <c r="C3449" s="1" t="str">
        <f t="shared" si="2"/>
        <v>Sale</v>
      </c>
      <c r="D3449" s="1">
        <v>23429.0</v>
      </c>
      <c r="E3449" s="1" t="str">
        <f>IFERROR(__xludf.DUMMYFUNCTION("IF(LEN(D3449)&gt;4, IFERROR(REGEXEXTRACT(TO_TEXT(D3449),""\d+""),""""),"""")"),"23429")</f>
        <v>23429</v>
      </c>
      <c r="F3449" s="6" t="str">
        <f t="shared" si="3"/>
        <v>Product</v>
      </c>
      <c r="G3449" s="1" t="s">
        <v>1611</v>
      </c>
      <c r="H3449" s="6" t="str">
        <f>IFERROR(__xludf.DUMMYFUNCTION("IF(REGEXMATCH(LOWER(G3449), ""^(\?)+\s*(missing)?\s*(\?)*$""), """", PROPER(SUBSTITUTE(SUBSTITUTE(G3449, ""?"", """"), ""*"", """")))"),"Red Retro Kitchen Wall Clock")</f>
        <v>Red Retro Kitchen Wall Clock</v>
      </c>
      <c r="I3449" s="3">
        <v>2.0</v>
      </c>
      <c r="J3449" s="7">
        <v>40886.36666666667</v>
      </c>
      <c r="K3449" s="8" t="str">
        <f t="shared" si="4"/>
        <v>2011-12</v>
      </c>
      <c r="L3449" s="5">
        <v>8.15</v>
      </c>
      <c r="M3449" s="3">
        <v>12433.0</v>
      </c>
      <c r="N3449" s="1" t="str">
        <f t="shared" si="5"/>
        <v>Registered</v>
      </c>
      <c r="O3449" s="1" t="s">
        <v>1592</v>
      </c>
      <c r="P3449" s="9" t="str">
        <f t="shared" si="6"/>
        <v>International</v>
      </c>
      <c r="Q3449" s="8">
        <f t="shared" si="7"/>
        <v>16.3</v>
      </c>
    </row>
    <row r="3450">
      <c r="A3450" s="1">
        <v>581476.0</v>
      </c>
      <c r="B3450" s="1" t="str">
        <f t="shared" si="1"/>
        <v>581476</v>
      </c>
      <c r="C3450" s="1" t="str">
        <f t="shared" si="2"/>
        <v>Sale</v>
      </c>
      <c r="D3450" s="1">
        <v>23428.0</v>
      </c>
      <c r="E3450" s="1" t="str">
        <f>IFERROR(__xludf.DUMMYFUNCTION("IF(LEN(D3450)&gt;4, IFERROR(REGEXEXTRACT(TO_TEXT(D3450),""\d+""),""""),"""")"),"23428")</f>
        <v>23428</v>
      </c>
      <c r="F3450" s="6" t="str">
        <f t="shared" si="3"/>
        <v>Product</v>
      </c>
      <c r="G3450" s="1" t="s">
        <v>1612</v>
      </c>
      <c r="H3450" s="6" t="str">
        <f>IFERROR(__xludf.DUMMYFUNCTION("IF(REGEXMATCH(LOWER(G3450), ""^(\?)+\s*(missing)?\s*(\?)*$""), """", PROPER(SUBSTITUTE(SUBSTITUTE(G3450, ""?"", """"), ""*"", """")))"),"Ivory Retro Kitchen Wall Clock")</f>
        <v>Ivory Retro Kitchen Wall Clock</v>
      </c>
      <c r="I3450" s="3">
        <v>2.0</v>
      </c>
      <c r="J3450" s="7">
        <v>40886.36666666667</v>
      </c>
      <c r="K3450" s="8" t="str">
        <f t="shared" si="4"/>
        <v>2011-12</v>
      </c>
      <c r="L3450" s="5">
        <v>8.15</v>
      </c>
      <c r="M3450" s="3">
        <v>12433.0</v>
      </c>
      <c r="N3450" s="1" t="str">
        <f t="shared" si="5"/>
        <v>Registered</v>
      </c>
      <c r="O3450" s="1" t="s">
        <v>1592</v>
      </c>
      <c r="P3450" s="9" t="str">
        <f t="shared" si="6"/>
        <v>International</v>
      </c>
      <c r="Q3450" s="8">
        <f t="shared" si="7"/>
        <v>16.3</v>
      </c>
    </row>
    <row r="3451">
      <c r="A3451" s="1">
        <v>581476.0</v>
      </c>
      <c r="B3451" s="1" t="str">
        <f t="shared" si="1"/>
        <v>581476</v>
      </c>
      <c r="C3451" s="1" t="str">
        <f t="shared" si="2"/>
        <v>Sale</v>
      </c>
      <c r="D3451" s="1">
        <v>23358.0</v>
      </c>
      <c r="E3451" s="1" t="str">
        <f>IFERROR(__xludf.DUMMYFUNCTION("IF(LEN(D3451)&gt;4, IFERROR(REGEXEXTRACT(TO_TEXT(D3451),""\d+""),""""),"""")"),"23358")</f>
        <v>23358</v>
      </c>
      <c r="F3451" s="6" t="str">
        <f t="shared" si="3"/>
        <v>Product</v>
      </c>
      <c r="G3451" s="1" t="s">
        <v>1490</v>
      </c>
      <c r="H3451" s="6" t="str">
        <f>IFERROR(__xludf.DUMMYFUNCTION("IF(REGEXMATCH(LOWER(G3451), ""^(\?)+\s*(missing)?\s*(\?)*$""), """", PROPER(SUBSTITUTE(SUBSTITUTE(G3451, ""?"", """"), ""*"", """")))"),"Hot Stuff Hot Water Bottle")</f>
        <v>Hot Stuff Hot Water Bottle</v>
      </c>
      <c r="I3451" s="3">
        <v>18.0</v>
      </c>
      <c r="J3451" s="7">
        <v>40886.36666666667</v>
      </c>
      <c r="K3451" s="8" t="str">
        <f t="shared" si="4"/>
        <v>2011-12</v>
      </c>
      <c r="L3451" s="5">
        <v>1.25</v>
      </c>
      <c r="M3451" s="3">
        <v>12433.0</v>
      </c>
      <c r="N3451" s="1" t="str">
        <f t="shared" si="5"/>
        <v>Registered</v>
      </c>
      <c r="O3451" s="1" t="s">
        <v>1592</v>
      </c>
      <c r="P3451" s="9" t="str">
        <f t="shared" si="6"/>
        <v>International</v>
      </c>
      <c r="Q3451" s="8">
        <f t="shared" si="7"/>
        <v>22.5</v>
      </c>
    </row>
    <row r="3452">
      <c r="A3452" s="1">
        <v>581476.0</v>
      </c>
      <c r="B3452" s="1" t="str">
        <f t="shared" si="1"/>
        <v>581476</v>
      </c>
      <c r="C3452" s="1" t="str">
        <f t="shared" si="2"/>
        <v>Sale</v>
      </c>
      <c r="D3452" s="1">
        <v>23293.0</v>
      </c>
      <c r="E3452" s="1" t="str">
        <f>IFERROR(__xludf.DUMMYFUNCTION("IF(LEN(D3452)&gt;4, IFERROR(REGEXEXTRACT(TO_TEXT(D3452),""\d+""),""""),"""")"),"23293")</f>
        <v>23293</v>
      </c>
      <c r="F3452" s="6" t="str">
        <f t="shared" si="3"/>
        <v>Product</v>
      </c>
      <c r="G3452" s="1" t="s">
        <v>1444</v>
      </c>
      <c r="H3452" s="6" t="str">
        <f>IFERROR(__xludf.DUMMYFUNCTION("IF(REGEXMATCH(LOWER(G3452), ""^(\?)+\s*(missing)?\s*(\?)*$""), """", PROPER(SUBSTITUTE(SUBSTITUTE(G3452, ""?"", """"), ""*"", """")))"),"Set Of 12 Fairy Cake Baking Cases")</f>
        <v>Set Of 12 Fairy Cake Baking Cases</v>
      </c>
      <c r="I3452" s="3">
        <v>32.0</v>
      </c>
      <c r="J3452" s="7">
        <v>40886.36666666667</v>
      </c>
      <c r="K3452" s="8" t="str">
        <f t="shared" si="4"/>
        <v>2011-12</v>
      </c>
      <c r="L3452" s="5">
        <v>0.83</v>
      </c>
      <c r="M3452" s="3">
        <v>12433.0</v>
      </c>
      <c r="N3452" s="1" t="str">
        <f t="shared" si="5"/>
        <v>Registered</v>
      </c>
      <c r="O3452" s="1" t="s">
        <v>1592</v>
      </c>
      <c r="P3452" s="9" t="str">
        <f t="shared" si="6"/>
        <v>International</v>
      </c>
      <c r="Q3452" s="8">
        <f t="shared" si="7"/>
        <v>26.56</v>
      </c>
    </row>
    <row r="3453">
      <c r="A3453" s="1">
        <v>581476.0</v>
      </c>
      <c r="B3453" s="1" t="str">
        <f t="shared" si="1"/>
        <v>581476</v>
      </c>
      <c r="C3453" s="1" t="str">
        <f t="shared" si="2"/>
        <v>Sale</v>
      </c>
      <c r="D3453" s="1">
        <v>23243.0</v>
      </c>
      <c r="E3453" s="1" t="str">
        <f>IFERROR(__xludf.DUMMYFUNCTION("IF(LEN(D3453)&gt;4, IFERROR(REGEXEXTRACT(TO_TEXT(D3453),""\d+""),""""),"""")"),"23243")</f>
        <v>23243</v>
      </c>
      <c r="F3453" s="6" t="str">
        <f t="shared" si="3"/>
        <v>Product</v>
      </c>
      <c r="G3453" s="1" t="s">
        <v>1613</v>
      </c>
      <c r="H3453" s="6" t="str">
        <f>IFERROR(__xludf.DUMMYFUNCTION("IF(REGEXMATCH(LOWER(G3453), ""^(\?)+\s*(missing)?\s*(\?)*$""), """", PROPER(SUBSTITUTE(SUBSTITUTE(G3453, ""?"", """"), ""*"", """")))"),"Set Of Tea Coffee Sugar Tins Pantry")</f>
        <v>Set Of Tea Coffee Sugar Tins Pantry</v>
      </c>
      <c r="I3453" s="3">
        <v>12.0</v>
      </c>
      <c r="J3453" s="7">
        <v>40886.36666666667</v>
      </c>
      <c r="K3453" s="8" t="str">
        <f t="shared" si="4"/>
        <v>2011-12</v>
      </c>
      <c r="L3453" s="5">
        <v>4.95</v>
      </c>
      <c r="M3453" s="3">
        <v>12433.0</v>
      </c>
      <c r="N3453" s="1" t="str">
        <f t="shared" si="5"/>
        <v>Registered</v>
      </c>
      <c r="O3453" s="1" t="s">
        <v>1592</v>
      </c>
      <c r="P3453" s="9" t="str">
        <f t="shared" si="6"/>
        <v>International</v>
      </c>
      <c r="Q3453" s="8">
        <f t="shared" si="7"/>
        <v>59.4</v>
      </c>
    </row>
    <row r="3454">
      <c r="A3454" s="1">
        <v>581476.0</v>
      </c>
      <c r="B3454" s="1" t="str">
        <f t="shared" si="1"/>
        <v>581476</v>
      </c>
      <c r="C3454" s="1" t="str">
        <f t="shared" si="2"/>
        <v>Sale</v>
      </c>
      <c r="D3454" s="1">
        <v>23240.0</v>
      </c>
      <c r="E3454" s="1" t="str">
        <f>IFERROR(__xludf.DUMMYFUNCTION("IF(LEN(D3454)&gt;4, IFERROR(REGEXEXTRACT(TO_TEXT(D3454),""\d+""),""""),"""")"),"23240")</f>
        <v>23240</v>
      </c>
      <c r="F3454" s="6" t="str">
        <f t="shared" si="3"/>
        <v>Product</v>
      </c>
      <c r="G3454" s="1" t="s">
        <v>1614</v>
      </c>
      <c r="H3454" s="6" t="str">
        <f>IFERROR(__xludf.DUMMYFUNCTION("IF(REGEXMATCH(LOWER(G3454), ""^(\?)+\s*(missing)?\s*(\?)*$""), """", PROPER(SUBSTITUTE(SUBSTITUTE(G3454, ""?"", """"), ""*"", """")))"),"Set Of 4 Knick Knack Tins Doily")</f>
        <v>Set Of 4 Knick Knack Tins Doily</v>
      </c>
      <c r="I3454" s="3">
        <v>6.0</v>
      </c>
      <c r="J3454" s="7">
        <v>40886.36666666667</v>
      </c>
      <c r="K3454" s="8" t="str">
        <f t="shared" si="4"/>
        <v>2011-12</v>
      </c>
      <c r="L3454" s="5">
        <v>4.15</v>
      </c>
      <c r="M3454" s="3">
        <v>12433.0</v>
      </c>
      <c r="N3454" s="1" t="str">
        <f t="shared" si="5"/>
        <v>Registered</v>
      </c>
      <c r="O3454" s="1" t="s">
        <v>1592</v>
      </c>
      <c r="P3454" s="9" t="str">
        <f t="shared" si="6"/>
        <v>International</v>
      </c>
      <c r="Q3454" s="8">
        <f t="shared" si="7"/>
        <v>24.9</v>
      </c>
    </row>
    <row r="3455">
      <c r="A3455" s="1">
        <v>581477.0</v>
      </c>
      <c r="B3455" s="1" t="str">
        <f t="shared" si="1"/>
        <v>581477</v>
      </c>
      <c r="C3455" s="1" t="str">
        <f t="shared" si="2"/>
        <v>Sale</v>
      </c>
      <c r="D3455" s="1">
        <v>48111.0</v>
      </c>
      <c r="E3455" s="1" t="str">
        <f>IFERROR(__xludf.DUMMYFUNCTION("IF(LEN(D3455)&gt;4, IFERROR(REGEXEXTRACT(TO_TEXT(D3455),""\d+""),""""),"""")"),"48111")</f>
        <v>48111</v>
      </c>
      <c r="F3455" s="6" t="str">
        <f t="shared" si="3"/>
        <v>Product</v>
      </c>
      <c r="G3455" s="1" t="s">
        <v>798</v>
      </c>
      <c r="H3455" s="6" t="str">
        <f>IFERROR(__xludf.DUMMYFUNCTION("IF(REGEXMATCH(LOWER(G3455), ""^(\?)+\s*(missing)?\s*(\?)*$""), """", PROPER(SUBSTITUTE(SUBSTITUTE(G3455, ""?"", """"), ""*"", """")))"),"Doormat 3 Smiley Cats")</f>
        <v>Doormat 3 Smiley Cats</v>
      </c>
      <c r="I3455" s="3">
        <v>10.0</v>
      </c>
      <c r="J3455" s="7">
        <v>40886.37430555555</v>
      </c>
      <c r="K3455" s="8" t="str">
        <f t="shared" si="4"/>
        <v>2011-12</v>
      </c>
      <c r="L3455" s="5">
        <v>7.08</v>
      </c>
      <c r="M3455" s="3">
        <v>13426.0</v>
      </c>
      <c r="N3455" s="1" t="str">
        <f t="shared" si="5"/>
        <v>Registered</v>
      </c>
      <c r="O3455" s="1" t="s">
        <v>19</v>
      </c>
      <c r="P3455" s="9" t="str">
        <f t="shared" si="6"/>
        <v>UK</v>
      </c>
      <c r="Q3455" s="8">
        <f t="shared" si="7"/>
        <v>70.8</v>
      </c>
    </row>
    <row r="3456">
      <c r="A3456" s="1">
        <v>581477.0</v>
      </c>
      <c r="B3456" s="1" t="str">
        <f t="shared" si="1"/>
        <v>581477</v>
      </c>
      <c r="C3456" s="1" t="str">
        <f t="shared" si="2"/>
        <v>Sale</v>
      </c>
      <c r="D3456" s="1">
        <v>22464.0</v>
      </c>
      <c r="E3456" s="1" t="str">
        <f>IFERROR(__xludf.DUMMYFUNCTION("IF(LEN(D3456)&gt;4, IFERROR(REGEXEXTRACT(TO_TEXT(D3456),""\d+""),""""),"""")"),"22464")</f>
        <v>22464</v>
      </c>
      <c r="F3456" s="6" t="str">
        <f t="shared" si="3"/>
        <v>Product</v>
      </c>
      <c r="G3456" s="1" t="s">
        <v>164</v>
      </c>
      <c r="H3456" s="6" t="str">
        <f>IFERROR(__xludf.DUMMYFUNCTION("IF(REGEXMATCH(LOWER(G3456), ""^(\?)+\s*(missing)?\s*(\?)*$""), """", PROPER(SUBSTITUTE(SUBSTITUTE(G3456, ""?"", """"), ""*"", """")))"),"Hanging Metal Heart Lantern")</f>
        <v>Hanging Metal Heart Lantern</v>
      </c>
      <c r="I3456" s="3">
        <v>12.0</v>
      </c>
      <c r="J3456" s="7">
        <v>40886.37430555555</v>
      </c>
      <c r="K3456" s="8" t="str">
        <f t="shared" si="4"/>
        <v>2011-12</v>
      </c>
      <c r="L3456" s="5">
        <v>0.79</v>
      </c>
      <c r="M3456" s="3">
        <v>13426.0</v>
      </c>
      <c r="N3456" s="1" t="str">
        <f t="shared" si="5"/>
        <v>Registered</v>
      </c>
      <c r="O3456" s="1" t="s">
        <v>19</v>
      </c>
      <c r="P3456" s="9" t="str">
        <f t="shared" si="6"/>
        <v>UK</v>
      </c>
      <c r="Q3456" s="8">
        <f t="shared" si="7"/>
        <v>9.48</v>
      </c>
    </row>
    <row r="3457">
      <c r="A3457" s="1">
        <v>581477.0</v>
      </c>
      <c r="B3457" s="1" t="str">
        <f t="shared" si="1"/>
        <v>581477</v>
      </c>
      <c r="C3457" s="1" t="str">
        <f t="shared" si="2"/>
        <v>Sale</v>
      </c>
      <c r="D3457" s="1">
        <v>20982.0</v>
      </c>
      <c r="E3457" s="1" t="str">
        <f>IFERROR(__xludf.DUMMYFUNCTION("IF(LEN(D3457)&gt;4, IFERROR(REGEXEXTRACT(TO_TEXT(D3457),""\d+""),""""),"""")"),"20982")</f>
        <v>20982</v>
      </c>
      <c r="F3457" s="6" t="str">
        <f t="shared" si="3"/>
        <v>Product</v>
      </c>
      <c r="G3457" s="1" t="s">
        <v>362</v>
      </c>
      <c r="H3457" s="6" t="str">
        <f>IFERROR(__xludf.DUMMYFUNCTION("IF(REGEXMATCH(LOWER(G3457), ""^(\?)+\s*(missing)?\s*(\?)*$""), """", PROPER(SUBSTITUTE(SUBSTITUTE(G3457, ""?"", """"), ""*"", """")))"),"12 Pencils Tall Tube Skulls")</f>
        <v>12 Pencils Tall Tube Skulls</v>
      </c>
      <c r="I3457" s="3">
        <v>12.0</v>
      </c>
      <c r="J3457" s="7">
        <v>40886.37430555555</v>
      </c>
      <c r="K3457" s="8" t="str">
        <f t="shared" si="4"/>
        <v>2011-12</v>
      </c>
      <c r="L3457" s="5">
        <v>0.85</v>
      </c>
      <c r="M3457" s="3">
        <v>13426.0</v>
      </c>
      <c r="N3457" s="1" t="str">
        <f t="shared" si="5"/>
        <v>Registered</v>
      </c>
      <c r="O3457" s="1" t="s">
        <v>19</v>
      </c>
      <c r="P3457" s="9" t="str">
        <f t="shared" si="6"/>
        <v>UK</v>
      </c>
      <c r="Q3457" s="8">
        <f t="shared" si="7"/>
        <v>10.2</v>
      </c>
    </row>
    <row r="3458">
      <c r="A3458" s="1">
        <v>581477.0</v>
      </c>
      <c r="B3458" s="1" t="str">
        <f t="shared" si="1"/>
        <v>581477</v>
      </c>
      <c r="C3458" s="1" t="str">
        <f t="shared" si="2"/>
        <v>Sale</v>
      </c>
      <c r="D3458" s="1">
        <v>20981.0</v>
      </c>
      <c r="E3458" s="1" t="str">
        <f>IFERROR(__xludf.DUMMYFUNCTION("IF(LEN(D3458)&gt;4, IFERROR(REGEXEXTRACT(TO_TEXT(D3458),""\d+""),""""),"""")"),"20981")</f>
        <v>20981</v>
      </c>
      <c r="F3458" s="6" t="str">
        <f t="shared" si="3"/>
        <v>Product</v>
      </c>
      <c r="G3458" s="1" t="s">
        <v>1348</v>
      </c>
      <c r="H3458" s="6" t="str">
        <f>IFERROR(__xludf.DUMMYFUNCTION("IF(REGEXMATCH(LOWER(G3458), ""^(\?)+\s*(missing)?\s*(\?)*$""), """", PROPER(SUBSTITUTE(SUBSTITUTE(G3458, ""?"", """"), ""*"", """")))"),"12 Pencils Tall Tube Woodland")</f>
        <v>12 Pencils Tall Tube Woodland</v>
      </c>
      <c r="I3458" s="3">
        <v>12.0</v>
      </c>
      <c r="J3458" s="7">
        <v>40886.37430555555</v>
      </c>
      <c r="K3458" s="8" t="str">
        <f t="shared" si="4"/>
        <v>2011-12</v>
      </c>
      <c r="L3458" s="5">
        <v>0.85</v>
      </c>
      <c r="M3458" s="3">
        <v>13426.0</v>
      </c>
      <c r="N3458" s="1" t="str">
        <f t="shared" si="5"/>
        <v>Registered</v>
      </c>
      <c r="O3458" s="1" t="s">
        <v>19</v>
      </c>
      <c r="P3458" s="9" t="str">
        <f t="shared" si="6"/>
        <v>UK</v>
      </c>
      <c r="Q3458" s="8">
        <f t="shared" si="7"/>
        <v>10.2</v>
      </c>
    </row>
    <row r="3459">
      <c r="A3459" s="1">
        <v>581477.0</v>
      </c>
      <c r="B3459" s="1" t="str">
        <f t="shared" si="1"/>
        <v>581477</v>
      </c>
      <c r="C3459" s="1" t="str">
        <f t="shared" si="2"/>
        <v>Sale</v>
      </c>
      <c r="D3459" s="1">
        <v>23424.0</v>
      </c>
      <c r="E3459" s="1" t="str">
        <f>IFERROR(__xludf.DUMMYFUNCTION("IF(LEN(D3459)&gt;4, IFERROR(REGEXEXTRACT(TO_TEXT(D3459),""\d+""),""""),"""")"),"23424")</f>
        <v>23424</v>
      </c>
      <c r="F3459" s="6" t="str">
        <f t="shared" si="3"/>
        <v>Product</v>
      </c>
      <c r="G3459" s="1" t="s">
        <v>1615</v>
      </c>
      <c r="H3459" s="6" t="str">
        <f>IFERROR(__xludf.DUMMYFUNCTION("IF(REGEXMATCH(LOWER(G3459), ""^(\?)+\s*(missing)?\s*(\?)*$""), """", PROPER(SUBSTITUTE(SUBSTITUTE(G3459, ""?"", """"), ""*"", """")))"),"Gingham Recipe Book Box")</f>
        <v>Gingham Recipe Book Box</v>
      </c>
      <c r="I3459" s="3">
        <v>8.0</v>
      </c>
      <c r="J3459" s="7">
        <v>40886.37430555555</v>
      </c>
      <c r="K3459" s="8" t="str">
        <f t="shared" si="4"/>
        <v>2011-12</v>
      </c>
      <c r="L3459" s="5">
        <v>4.95</v>
      </c>
      <c r="M3459" s="3">
        <v>13426.0</v>
      </c>
      <c r="N3459" s="1" t="str">
        <f t="shared" si="5"/>
        <v>Registered</v>
      </c>
      <c r="O3459" s="1" t="s">
        <v>19</v>
      </c>
      <c r="P3459" s="9" t="str">
        <f t="shared" si="6"/>
        <v>UK</v>
      </c>
      <c r="Q3459" s="8">
        <f t="shared" si="7"/>
        <v>39.6</v>
      </c>
    </row>
    <row r="3460">
      <c r="A3460" s="1">
        <v>581477.0</v>
      </c>
      <c r="B3460" s="1" t="str">
        <f t="shared" si="1"/>
        <v>581477</v>
      </c>
      <c r="C3460" s="1" t="str">
        <f t="shared" si="2"/>
        <v>Sale</v>
      </c>
      <c r="D3460" s="1">
        <v>23338.0</v>
      </c>
      <c r="E3460" s="1" t="str">
        <f>IFERROR(__xludf.DUMMYFUNCTION("IF(LEN(D3460)&gt;4, IFERROR(REGEXEXTRACT(TO_TEXT(D3460),""\d+""),""""),"""")"),"23338")</f>
        <v>23338</v>
      </c>
      <c r="F3460" s="6" t="str">
        <f t="shared" si="3"/>
        <v>Product</v>
      </c>
      <c r="G3460" s="1" t="s">
        <v>1616</v>
      </c>
      <c r="H3460" s="6" t="str">
        <f>IFERROR(__xludf.DUMMYFUNCTION("IF(REGEXMATCH(LOWER(G3460), ""^(\?)+\s*(missing)?\s*(\?)*$""), """", PROPER(SUBSTITUTE(SUBSTITUTE(G3460, ""?"", """"), ""*"", """")))"),"Egg Frying Pan Red")</f>
        <v>Egg Frying Pan Red</v>
      </c>
      <c r="I3460" s="3">
        <v>48.0</v>
      </c>
      <c r="J3460" s="7">
        <v>40886.37430555555</v>
      </c>
      <c r="K3460" s="8" t="str">
        <f t="shared" si="4"/>
        <v>2011-12</v>
      </c>
      <c r="L3460" s="5">
        <v>1.85</v>
      </c>
      <c r="M3460" s="3">
        <v>13426.0</v>
      </c>
      <c r="N3460" s="1" t="str">
        <f t="shared" si="5"/>
        <v>Registered</v>
      </c>
      <c r="O3460" s="1" t="s">
        <v>19</v>
      </c>
      <c r="P3460" s="9" t="str">
        <f t="shared" si="6"/>
        <v>UK</v>
      </c>
      <c r="Q3460" s="8">
        <f t="shared" si="7"/>
        <v>88.8</v>
      </c>
    </row>
    <row r="3461">
      <c r="A3461" s="1">
        <v>581477.0</v>
      </c>
      <c r="B3461" s="1" t="str">
        <f t="shared" si="1"/>
        <v>581477</v>
      </c>
      <c r="C3461" s="1" t="str">
        <f t="shared" si="2"/>
        <v>Sale</v>
      </c>
      <c r="D3461" s="1" t="s">
        <v>370</v>
      </c>
      <c r="E3461" s="1" t="str">
        <f>IFERROR(__xludf.DUMMYFUNCTION("IF(LEN(D3461)&gt;4, IFERROR(REGEXEXTRACT(TO_TEXT(D3461),""\d+""),""""),"""")"),"84970")</f>
        <v>84970</v>
      </c>
      <c r="F3461" s="6" t="str">
        <f t="shared" si="3"/>
        <v>Product</v>
      </c>
      <c r="G3461" s="1" t="s">
        <v>371</v>
      </c>
      <c r="H3461" s="6" t="str">
        <f>IFERROR(__xludf.DUMMYFUNCTION("IF(REGEXMATCH(LOWER(G3461), ""^(\?)+\s*(missing)?\s*(\?)*$""), """", PROPER(SUBSTITUTE(SUBSTITUTE(G3461, ""?"", """"), ""*"", """")))"),"Single Heart Zinc T-Light Holder")</f>
        <v>Single Heart Zinc T-Light Holder</v>
      </c>
      <c r="I3461" s="3">
        <v>12.0</v>
      </c>
      <c r="J3461" s="7">
        <v>40886.37430555555</v>
      </c>
      <c r="K3461" s="8" t="str">
        <f t="shared" si="4"/>
        <v>2011-12</v>
      </c>
      <c r="L3461" s="5">
        <v>1.25</v>
      </c>
      <c r="M3461" s="3">
        <v>13426.0</v>
      </c>
      <c r="N3461" s="1" t="str">
        <f t="shared" si="5"/>
        <v>Registered</v>
      </c>
      <c r="O3461" s="1" t="s">
        <v>19</v>
      </c>
      <c r="P3461" s="9" t="str">
        <f t="shared" si="6"/>
        <v>UK</v>
      </c>
      <c r="Q3461" s="8">
        <f t="shared" si="7"/>
        <v>15</v>
      </c>
    </row>
    <row r="3462">
      <c r="A3462" s="1">
        <v>581477.0</v>
      </c>
      <c r="B3462" s="1" t="str">
        <f t="shared" si="1"/>
        <v>581477</v>
      </c>
      <c r="C3462" s="1" t="str">
        <f t="shared" si="2"/>
        <v>Sale</v>
      </c>
      <c r="D3462" s="1">
        <v>22457.0</v>
      </c>
      <c r="E3462" s="1" t="str">
        <f>IFERROR(__xludf.DUMMYFUNCTION("IF(LEN(D3462)&gt;4, IFERROR(REGEXEXTRACT(TO_TEXT(D3462),""\d+""),""""),"""")"),"22457")</f>
        <v>22457</v>
      </c>
      <c r="F3462" s="6" t="str">
        <f t="shared" si="3"/>
        <v>Product</v>
      </c>
      <c r="G3462" s="1" t="s">
        <v>166</v>
      </c>
      <c r="H3462" s="6" t="str">
        <f>IFERROR(__xludf.DUMMYFUNCTION("IF(REGEXMATCH(LOWER(G3462), ""^(\?)+\s*(missing)?\s*(\?)*$""), """", PROPER(SUBSTITUTE(SUBSTITUTE(G3462, ""?"", """"), ""*"", """")))"),"Natural Slate Heart Chalkboard")</f>
        <v>Natural Slate Heart Chalkboard</v>
      </c>
      <c r="I3462" s="3">
        <v>6.0</v>
      </c>
      <c r="J3462" s="7">
        <v>40886.37430555555</v>
      </c>
      <c r="K3462" s="8" t="str">
        <f t="shared" si="4"/>
        <v>2011-12</v>
      </c>
      <c r="L3462" s="5">
        <v>2.95</v>
      </c>
      <c r="M3462" s="3">
        <v>13426.0</v>
      </c>
      <c r="N3462" s="1" t="str">
        <f t="shared" si="5"/>
        <v>Registered</v>
      </c>
      <c r="O3462" s="1" t="s">
        <v>19</v>
      </c>
      <c r="P3462" s="9" t="str">
        <f t="shared" si="6"/>
        <v>UK</v>
      </c>
      <c r="Q3462" s="8">
        <f t="shared" si="7"/>
        <v>17.7</v>
      </c>
    </row>
    <row r="3463">
      <c r="A3463" s="1">
        <v>581477.0</v>
      </c>
      <c r="B3463" s="1" t="str">
        <f t="shared" si="1"/>
        <v>581477</v>
      </c>
      <c r="C3463" s="1" t="str">
        <f t="shared" si="2"/>
        <v>Sale</v>
      </c>
      <c r="D3463" s="1">
        <v>22469.0</v>
      </c>
      <c r="E3463" s="1" t="str">
        <f>IFERROR(__xludf.DUMMYFUNCTION("IF(LEN(D3463)&gt;4, IFERROR(REGEXEXTRACT(TO_TEXT(D3463),""\d+""),""""),"""")"),"22469")</f>
        <v>22469</v>
      </c>
      <c r="F3463" s="6" t="str">
        <f t="shared" si="3"/>
        <v>Product</v>
      </c>
      <c r="G3463" s="1" t="s">
        <v>167</v>
      </c>
      <c r="H3463" s="6" t="str">
        <f>IFERROR(__xludf.DUMMYFUNCTION("IF(REGEXMATCH(LOWER(G3463), ""^(\?)+\s*(missing)?\s*(\?)*$""), """", PROPER(SUBSTITUTE(SUBSTITUTE(G3463, ""?"", """"), ""*"", """")))"),"Heart Of Wicker Small")</f>
        <v>Heart Of Wicker Small</v>
      </c>
      <c r="I3463" s="3">
        <v>12.0</v>
      </c>
      <c r="J3463" s="7">
        <v>40886.37430555555</v>
      </c>
      <c r="K3463" s="8" t="str">
        <f t="shared" si="4"/>
        <v>2011-12</v>
      </c>
      <c r="L3463" s="5">
        <v>1.65</v>
      </c>
      <c r="M3463" s="3">
        <v>13426.0</v>
      </c>
      <c r="N3463" s="1" t="str">
        <f t="shared" si="5"/>
        <v>Registered</v>
      </c>
      <c r="O3463" s="1" t="s">
        <v>19</v>
      </c>
      <c r="P3463" s="9" t="str">
        <f t="shared" si="6"/>
        <v>UK</v>
      </c>
      <c r="Q3463" s="8">
        <f t="shared" si="7"/>
        <v>19.8</v>
      </c>
    </row>
    <row r="3464">
      <c r="A3464" s="1">
        <v>581477.0</v>
      </c>
      <c r="B3464" s="1" t="str">
        <f t="shared" si="1"/>
        <v>581477</v>
      </c>
      <c r="C3464" s="1" t="str">
        <f t="shared" si="2"/>
        <v>Sale</v>
      </c>
      <c r="D3464" s="1">
        <v>22909.0</v>
      </c>
      <c r="E3464" s="1" t="str">
        <f>IFERROR(__xludf.DUMMYFUNCTION("IF(LEN(D3464)&gt;4, IFERROR(REGEXEXTRACT(TO_TEXT(D3464),""\d+""),""""),"""")"),"22909")</f>
        <v>22909</v>
      </c>
      <c r="F3464" s="6" t="str">
        <f t="shared" si="3"/>
        <v>Product</v>
      </c>
      <c r="G3464" s="1" t="s">
        <v>468</v>
      </c>
      <c r="H3464" s="6" t="str">
        <f>IFERROR(__xludf.DUMMYFUNCTION("IF(REGEXMATCH(LOWER(G3464), ""^(\?)+\s*(missing)?\s*(\?)*$""), """", PROPER(SUBSTITUTE(SUBSTITUTE(G3464, ""?"", """"), ""*"", """")))"),"Set Of 20 Vintage Christmas Napkins")</f>
        <v>Set Of 20 Vintage Christmas Napkins</v>
      </c>
      <c r="I3464" s="3">
        <v>12.0</v>
      </c>
      <c r="J3464" s="7">
        <v>40886.37430555555</v>
      </c>
      <c r="K3464" s="8" t="str">
        <f t="shared" si="4"/>
        <v>2011-12</v>
      </c>
      <c r="L3464" s="5">
        <v>0.85</v>
      </c>
      <c r="M3464" s="3">
        <v>13426.0</v>
      </c>
      <c r="N3464" s="1" t="str">
        <f t="shared" si="5"/>
        <v>Registered</v>
      </c>
      <c r="O3464" s="1" t="s">
        <v>19</v>
      </c>
      <c r="P3464" s="9" t="str">
        <f t="shared" si="6"/>
        <v>UK</v>
      </c>
      <c r="Q3464" s="8">
        <f t="shared" si="7"/>
        <v>10.2</v>
      </c>
    </row>
    <row r="3465">
      <c r="A3465" s="1">
        <v>581478.0</v>
      </c>
      <c r="B3465" s="1" t="str">
        <f t="shared" si="1"/>
        <v>581478</v>
      </c>
      <c r="C3465" s="1" t="str">
        <f t="shared" si="2"/>
        <v>Sale</v>
      </c>
      <c r="D3465" s="1">
        <v>84947.0</v>
      </c>
      <c r="E3465" s="1" t="str">
        <f>IFERROR(__xludf.DUMMYFUNCTION("IF(LEN(D3465)&gt;4, IFERROR(REGEXEXTRACT(TO_TEXT(D3465),""\d+""),""""),"""")"),"84947")</f>
        <v>84947</v>
      </c>
      <c r="F3465" s="6" t="str">
        <f t="shared" si="3"/>
        <v>Product</v>
      </c>
      <c r="G3465" s="1" t="s">
        <v>646</v>
      </c>
      <c r="H3465" s="6" t="str">
        <f>IFERROR(__xludf.DUMMYFUNCTION("IF(REGEXMATCH(LOWER(G3465), ""^(\?)+\s*(missing)?\s*(\?)*$""), """", PROPER(SUBSTITUTE(SUBSTITUTE(G3465, ""?"", """"), ""*"", """")))"),"Antique Silver Tea Glass Engraved")</f>
        <v>Antique Silver Tea Glass Engraved</v>
      </c>
      <c r="I3465" s="3">
        <v>24.0</v>
      </c>
      <c r="J3465" s="7">
        <v>40886.37430555555</v>
      </c>
      <c r="K3465" s="8" t="str">
        <f t="shared" si="4"/>
        <v>2011-12</v>
      </c>
      <c r="L3465" s="5">
        <v>1.25</v>
      </c>
      <c r="M3465" s="3">
        <v>17364.0</v>
      </c>
      <c r="N3465" s="1" t="str">
        <f t="shared" si="5"/>
        <v>Registered</v>
      </c>
      <c r="O3465" s="1" t="s">
        <v>19</v>
      </c>
      <c r="P3465" s="9" t="str">
        <f t="shared" si="6"/>
        <v>UK</v>
      </c>
      <c r="Q3465" s="8">
        <f t="shared" si="7"/>
        <v>30</v>
      </c>
    </row>
    <row r="3466">
      <c r="A3466" s="1">
        <v>581478.0</v>
      </c>
      <c r="B3466" s="1" t="str">
        <f t="shared" si="1"/>
        <v>581478</v>
      </c>
      <c r="C3466" s="1" t="str">
        <f t="shared" si="2"/>
        <v>Sale</v>
      </c>
      <c r="D3466" s="1">
        <v>23503.0</v>
      </c>
      <c r="E3466" s="1" t="str">
        <f>IFERROR(__xludf.DUMMYFUNCTION("IF(LEN(D3466)&gt;4, IFERROR(REGEXEXTRACT(TO_TEXT(D3466),""\d+""),""""),"""")"),"23503")</f>
        <v>23503</v>
      </c>
      <c r="F3466" s="6" t="str">
        <f t="shared" si="3"/>
        <v>Product</v>
      </c>
      <c r="G3466" s="1" t="s">
        <v>1617</v>
      </c>
      <c r="H3466" s="6" t="str">
        <f>IFERROR(__xludf.DUMMYFUNCTION("IF(REGEXMATCH(LOWER(G3466), ""^(\?)+\s*(missing)?\s*(\?)*$""), """", PROPER(SUBSTITUTE(SUBSTITUTE(G3466, ""?"", """"), ""*"", """")))"),"Playing Cards Keep Calm &amp; Carry On")</f>
        <v>Playing Cards Keep Calm &amp; Carry On</v>
      </c>
      <c r="I3466" s="3">
        <v>12.0</v>
      </c>
      <c r="J3466" s="7">
        <v>40886.37430555555</v>
      </c>
      <c r="K3466" s="8" t="str">
        <f t="shared" si="4"/>
        <v>2011-12</v>
      </c>
      <c r="L3466" s="5">
        <v>1.25</v>
      </c>
      <c r="M3466" s="3">
        <v>17364.0</v>
      </c>
      <c r="N3466" s="1" t="str">
        <f t="shared" si="5"/>
        <v>Registered</v>
      </c>
      <c r="O3466" s="1" t="s">
        <v>19</v>
      </c>
      <c r="P3466" s="9" t="str">
        <f t="shared" si="6"/>
        <v>UK</v>
      </c>
      <c r="Q3466" s="8">
        <f t="shared" si="7"/>
        <v>15</v>
      </c>
    </row>
    <row r="3467">
      <c r="A3467" s="1">
        <v>581478.0</v>
      </c>
      <c r="B3467" s="1" t="str">
        <f t="shared" si="1"/>
        <v>581478</v>
      </c>
      <c r="C3467" s="1" t="str">
        <f t="shared" si="2"/>
        <v>Sale</v>
      </c>
      <c r="D3467" s="1">
        <v>23445.0</v>
      </c>
      <c r="E3467" s="1" t="str">
        <f>IFERROR(__xludf.DUMMYFUNCTION("IF(LEN(D3467)&gt;4, IFERROR(REGEXEXTRACT(TO_TEXT(D3467),""\d+""),""""),"""")"),"23445")</f>
        <v>23445</v>
      </c>
      <c r="F3467" s="6" t="str">
        <f t="shared" si="3"/>
        <v>Product</v>
      </c>
      <c r="G3467" s="1" t="s">
        <v>1618</v>
      </c>
      <c r="H3467" s="6" t="str">
        <f>IFERROR(__xludf.DUMMYFUNCTION("IF(REGEXMATCH(LOWER(G3467), ""^(\?)+\s*(missing)?\s*(\?)*$""), """", PROPER(SUBSTITUTE(SUBSTITUTE(G3467, ""?"", """"), ""*"", """")))"),"Ice Cream Bubbles")</f>
        <v>Ice Cream Bubbles</v>
      </c>
      <c r="I3467" s="3">
        <v>20.0</v>
      </c>
      <c r="J3467" s="7">
        <v>40886.37430555555</v>
      </c>
      <c r="K3467" s="8" t="str">
        <f t="shared" si="4"/>
        <v>2011-12</v>
      </c>
      <c r="L3467" s="5">
        <v>0.83</v>
      </c>
      <c r="M3467" s="3">
        <v>17364.0</v>
      </c>
      <c r="N3467" s="1" t="str">
        <f t="shared" si="5"/>
        <v>Registered</v>
      </c>
      <c r="O3467" s="1" t="s">
        <v>19</v>
      </c>
      <c r="P3467" s="9" t="str">
        <f t="shared" si="6"/>
        <v>UK</v>
      </c>
      <c r="Q3467" s="8">
        <f t="shared" si="7"/>
        <v>16.6</v>
      </c>
    </row>
    <row r="3468">
      <c r="A3468" s="1">
        <v>581478.0</v>
      </c>
      <c r="B3468" s="1" t="str">
        <f t="shared" si="1"/>
        <v>581478</v>
      </c>
      <c r="C3468" s="1" t="str">
        <f t="shared" si="2"/>
        <v>Sale</v>
      </c>
      <c r="D3468" s="1">
        <v>23530.0</v>
      </c>
      <c r="E3468" s="1" t="str">
        <f>IFERROR(__xludf.DUMMYFUNCTION("IF(LEN(D3468)&gt;4, IFERROR(REGEXEXTRACT(TO_TEXT(D3468),""\d+""),""""),"""")"),"23530")</f>
        <v>23530</v>
      </c>
      <c r="F3468" s="6" t="str">
        <f t="shared" si="3"/>
        <v>Product</v>
      </c>
      <c r="G3468" s="1" t="s">
        <v>1453</v>
      </c>
      <c r="H3468" s="6" t="str">
        <f>IFERROR(__xludf.DUMMYFUNCTION("IF(REGEXMATCH(LOWER(G3468), ""^(\?)+\s*(missing)?\s*(\?)*$""), """", PROPER(SUBSTITUTE(SUBSTITUTE(G3468, ""?"", """"), ""*"", """")))"),"Wall Art Only One Person")</f>
        <v>Wall Art Only One Person</v>
      </c>
      <c r="I3468" s="3">
        <v>12.0</v>
      </c>
      <c r="J3468" s="7">
        <v>40886.37430555555</v>
      </c>
      <c r="K3468" s="8" t="str">
        <f t="shared" si="4"/>
        <v>2011-12</v>
      </c>
      <c r="L3468" s="5">
        <v>4.95</v>
      </c>
      <c r="M3468" s="3">
        <v>17364.0</v>
      </c>
      <c r="N3468" s="1" t="str">
        <f t="shared" si="5"/>
        <v>Registered</v>
      </c>
      <c r="O3468" s="1" t="s">
        <v>19</v>
      </c>
      <c r="P3468" s="9" t="str">
        <f t="shared" si="6"/>
        <v>UK</v>
      </c>
      <c r="Q3468" s="8">
        <f t="shared" si="7"/>
        <v>59.4</v>
      </c>
    </row>
    <row r="3469">
      <c r="A3469" s="1">
        <v>581478.0</v>
      </c>
      <c r="B3469" s="1" t="str">
        <f t="shared" si="1"/>
        <v>581478</v>
      </c>
      <c r="C3469" s="1" t="str">
        <f t="shared" si="2"/>
        <v>Sale</v>
      </c>
      <c r="D3469" s="1" t="s">
        <v>91</v>
      </c>
      <c r="E3469" s="1" t="str">
        <f>IFERROR(__xludf.DUMMYFUNCTION("IF(LEN(D3469)&gt;4, IFERROR(REGEXEXTRACT(TO_TEXT(D3469),""\d+""),""""),"""")"),"84997")</f>
        <v>84997</v>
      </c>
      <c r="F3469" s="6" t="str">
        <f t="shared" si="3"/>
        <v>Product</v>
      </c>
      <c r="G3469" s="1" t="s">
        <v>1323</v>
      </c>
      <c r="H3469" s="6" t="str">
        <f>IFERROR(__xludf.DUMMYFUNCTION("IF(REGEXMATCH(LOWER(G3469), ""^(\?)+\s*(missing)?\s*(\?)*$""), """", PROPER(SUBSTITUTE(SUBSTITUTE(G3469, ""?"", """"), ""*"", """")))"),"Childrens Cutlery Polkadot Blue")</f>
        <v>Childrens Cutlery Polkadot Blue</v>
      </c>
      <c r="I3469" s="3">
        <v>4.0</v>
      </c>
      <c r="J3469" s="7">
        <v>40886.37430555555</v>
      </c>
      <c r="K3469" s="8" t="str">
        <f t="shared" si="4"/>
        <v>2011-12</v>
      </c>
      <c r="L3469" s="5">
        <v>4.15</v>
      </c>
      <c r="M3469" s="3">
        <v>17364.0</v>
      </c>
      <c r="N3469" s="1" t="str">
        <f t="shared" si="5"/>
        <v>Registered</v>
      </c>
      <c r="O3469" s="1" t="s">
        <v>19</v>
      </c>
      <c r="P3469" s="9" t="str">
        <f t="shared" si="6"/>
        <v>UK</v>
      </c>
      <c r="Q3469" s="8">
        <f t="shared" si="7"/>
        <v>16.6</v>
      </c>
    </row>
    <row r="3470">
      <c r="A3470" s="1">
        <v>581478.0</v>
      </c>
      <c r="B3470" s="1" t="str">
        <f t="shared" si="1"/>
        <v>581478</v>
      </c>
      <c r="C3470" s="1" t="str">
        <f t="shared" si="2"/>
        <v>Sale</v>
      </c>
      <c r="D3470" s="1" t="s">
        <v>1117</v>
      </c>
      <c r="E3470" s="1" t="str">
        <f>IFERROR(__xludf.DUMMYFUNCTION("IF(LEN(D3470)&gt;4, IFERROR(REGEXEXTRACT(TO_TEXT(D3470),""\d+""),""""),"""")"),"84997")</f>
        <v>84997</v>
      </c>
      <c r="F3470" s="6" t="str">
        <f t="shared" si="3"/>
        <v>Product</v>
      </c>
      <c r="G3470" s="1" t="s">
        <v>1118</v>
      </c>
      <c r="H3470" s="6" t="str">
        <f>IFERROR(__xludf.DUMMYFUNCTION("IF(REGEXMATCH(LOWER(G3470), ""^(\?)+\s*(missing)?\s*(\?)*$""), """", PROPER(SUBSTITUTE(SUBSTITUTE(G3470, ""?"", """"), ""*"", """")))"),"Childrens Cutlery Polkadot Pink")</f>
        <v>Childrens Cutlery Polkadot Pink</v>
      </c>
      <c r="I3470" s="3">
        <v>4.0</v>
      </c>
      <c r="J3470" s="7">
        <v>40886.37430555555</v>
      </c>
      <c r="K3470" s="8" t="str">
        <f t="shared" si="4"/>
        <v>2011-12</v>
      </c>
      <c r="L3470" s="5">
        <v>4.15</v>
      </c>
      <c r="M3470" s="3">
        <v>17364.0</v>
      </c>
      <c r="N3470" s="1" t="str">
        <f t="shared" si="5"/>
        <v>Registered</v>
      </c>
      <c r="O3470" s="1" t="s">
        <v>19</v>
      </c>
      <c r="P3470" s="9" t="str">
        <f t="shared" si="6"/>
        <v>UK</v>
      </c>
      <c r="Q3470" s="8">
        <f t="shared" si="7"/>
        <v>16.6</v>
      </c>
    </row>
    <row r="3471">
      <c r="A3471" s="1">
        <v>581478.0</v>
      </c>
      <c r="B3471" s="1" t="str">
        <f t="shared" si="1"/>
        <v>581478</v>
      </c>
      <c r="C3471" s="1" t="str">
        <f t="shared" si="2"/>
        <v>Sale</v>
      </c>
      <c r="D3471" s="1">
        <v>84077.0</v>
      </c>
      <c r="E3471" s="1" t="str">
        <f>IFERROR(__xludf.DUMMYFUNCTION("IF(LEN(D3471)&gt;4, IFERROR(REGEXEXTRACT(TO_TEXT(D3471),""\d+""),""""),"""")"),"84077")</f>
        <v>84077</v>
      </c>
      <c r="F3471" s="6" t="str">
        <f t="shared" si="3"/>
        <v>Product</v>
      </c>
      <c r="G3471" s="1" t="s">
        <v>1619</v>
      </c>
      <c r="H3471" s="6" t="str">
        <f>IFERROR(__xludf.DUMMYFUNCTION("IF(REGEXMATCH(LOWER(G3471), ""^(\?)+\s*(missing)?\s*(\?)*$""), """", PROPER(SUBSTITUTE(SUBSTITUTE(G3471, ""?"", """"), ""*"", """")))"),"World War 2 Gliders Asstd Designs")</f>
        <v>World War 2 Gliders Asstd Designs</v>
      </c>
      <c r="I3471" s="3">
        <v>48.0</v>
      </c>
      <c r="J3471" s="7">
        <v>40886.37430555555</v>
      </c>
      <c r="K3471" s="8" t="str">
        <f t="shared" si="4"/>
        <v>2011-12</v>
      </c>
      <c r="L3471" s="5">
        <v>0.29</v>
      </c>
      <c r="M3471" s="3">
        <v>17364.0</v>
      </c>
      <c r="N3471" s="1" t="str">
        <f t="shared" si="5"/>
        <v>Registered</v>
      </c>
      <c r="O3471" s="1" t="s">
        <v>19</v>
      </c>
      <c r="P3471" s="9" t="str">
        <f t="shared" si="6"/>
        <v>UK</v>
      </c>
      <c r="Q3471" s="8">
        <f t="shared" si="7"/>
        <v>13.92</v>
      </c>
    </row>
    <row r="3472">
      <c r="A3472" s="1">
        <v>581478.0</v>
      </c>
      <c r="B3472" s="1" t="str">
        <f t="shared" si="1"/>
        <v>581478</v>
      </c>
      <c r="C3472" s="1" t="str">
        <f t="shared" si="2"/>
        <v>Sale</v>
      </c>
      <c r="D3472" s="1">
        <v>22749.0</v>
      </c>
      <c r="E3472" s="1" t="str">
        <f>IFERROR(__xludf.DUMMYFUNCTION("IF(LEN(D3472)&gt;4, IFERROR(REGEXEXTRACT(TO_TEXT(D3472),""\d+""),""""),"""")"),"22749")</f>
        <v>22749</v>
      </c>
      <c r="F3472" s="6" t="str">
        <f t="shared" si="3"/>
        <v>Product</v>
      </c>
      <c r="G3472" s="1" t="s">
        <v>34</v>
      </c>
      <c r="H3472" s="6" t="str">
        <f>IFERROR(__xludf.DUMMYFUNCTION("IF(REGEXMATCH(LOWER(G3472), ""^(\?)+\s*(missing)?\s*(\?)*$""), """", PROPER(SUBSTITUTE(SUBSTITUTE(G3472, ""?"", """"), ""*"", """")))"),"Feltcraft Princess Charlotte Doll")</f>
        <v>Feltcraft Princess Charlotte Doll</v>
      </c>
      <c r="I3472" s="3">
        <v>4.0</v>
      </c>
      <c r="J3472" s="7">
        <v>40886.37430555555</v>
      </c>
      <c r="K3472" s="8" t="str">
        <f t="shared" si="4"/>
        <v>2011-12</v>
      </c>
      <c r="L3472" s="5">
        <v>3.75</v>
      </c>
      <c r="M3472" s="3">
        <v>17364.0</v>
      </c>
      <c r="N3472" s="1" t="str">
        <f t="shared" si="5"/>
        <v>Registered</v>
      </c>
      <c r="O3472" s="1" t="s">
        <v>19</v>
      </c>
      <c r="P3472" s="9" t="str">
        <f t="shared" si="6"/>
        <v>UK</v>
      </c>
      <c r="Q3472" s="8">
        <f t="shared" si="7"/>
        <v>15</v>
      </c>
    </row>
    <row r="3473">
      <c r="A3473" s="1">
        <v>581478.0</v>
      </c>
      <c r="B3473" s="1" t="str">
        <f t="shared" si="1"/>
        <v>581478</v>
      </c>
      <c r="C3473" s="1" t="str">
        <f t="shared" si="2"/>
        <v>Sale</v>
      </c>
      <c r="D3473" s="1">
        <v>23127.0</v>
      </c>
      <c r="E3473" s="1" t="str">
        <f>IFERROR(__xludf.DUMMYFUNCTION("IF(LEN(D3473)&gt;4, IFERROR(REGEXEXTRACT(TO_TEXT(D3473),""\d+""),""""),"""")"),"23127")</f>
        <v>23127</v>
      </c>
      <c r="F3473" s="6" t="str">
        <f t="shared" si="3"/>
        <v>Product</v>
      </c>
      <c r="G3473" s="1" t="s">
        <v>1620</v>
      </c>
      <c r="H3473" s="6" t="str">
        <f>IFERROR(__xludf.DUMMYFUNCTION("IF(REGEXMATCH(LOWER(G3473), ""^(\?)+\s*(missing)?\s*(\?)*$""), """", PROPER(SUBSTITUTE(SUBSTITUTE(G3473, ""?"", """"), ""*"", """")))"),"Feltcraft Girl Nicole Kit")</f>
        <v>Feltcraft Girl Nicole Kit</v>
      </c>
      <c r="I3473" s="3">
        <v>4.0</v>
      </c>
      <c r="J3473" s="7">
        <v>40886.37430555555</v>
      </c>
      <c r="K3473" s="8" t="str">
        <f t="shared" si="4"/>
        <v>2011-12</v>
      </c>
      <c r="L3473" s="5">
        <v>4.95</v>
      </c>
      <c r="M3473" s="3">
        <v>17364.0</v>
      </c>
      <c r="N3473" s="1" t="str">
        <f t="shared" si="5"/>
        <v>Registered</v>
      </c>
      <c r="O3473" s="1" t="s">
        <v>19</v>
      </c>
      <c r="P3473" s="9" t="str">
        <f t="shared" si="6"/>
        <v>UK</v>
      </c>
      <c r="Q3473" s="8">
        <f t="shared" si="7"/>
        <v>19.8</v>
      </c>
    </row>
    <row r="3474">
      <c r="A3474" s="1">
        <v>581478.0</v>
      </c>
      <c r="B3474" s="1" t="str">
        <f t="shared" si="1"/>
        <v>581478</v>
      </c>
      <c r="C3474" s="1" t="str">
        <f t="shared" si="2"/>
        <v>Sale</v>
      </c>
      <c r="D3474" s="1">
        <v>23126.0</v>
      </c>
      <c r="E3474" s="1" t="str">
        <f>IFERROR(__xludf.DUMMYFUNCTION("IF(LEN(D3474)&gt;4, IFERROR(REGEXEXTRACT(TO_TEXT(D3474),""\d+""),""""),"""")"),"23126")</f>
        <v>23126</v>
      </c>
      <c r="F3474" s="6" t="str">
        <f t="shared" si="3"/>
        <v>Product</v>
      </c>
      <c r="G3474" s="1" t="s">
        <v>1621</v>
      </c>
      <c r="H3474" s="6" t="str">
        <f>IFERROR(__xludf.DUMMYFUNCTION("IF(REGEXMATCH(LOWER(G3474), ""^(\?)+\s*(missing)?\s*(\?)*$""), """", PROPER(SUBSTITUTE(SUBSTITUTE(G3474, ""?"", """"), ""*"", """")))"),"Feltcraft Girl Amelie Kit")</f>
        <v>Feltcraft Girl Amelie Kit</v>
      </c>
      <c r="I3474" s="3">
        <v>4.0</v>
      </c>
      <c r="J3474" s="7">
        <v>40886.37430555555</v>
      </c>
      <c r="K3474" s="8" t="str">
        <f t="shared" si="4"/>
        <v>2011-12</v>
      </c>
      <c r="L3474" s="5">
        <v>4.95</v>
      </c>
      <c r="M3474" s="3">
        <v>17364.0</v>
      </c>
      <c r="N3474" s="1" t="str">
        <f t="shared" si="5"/>
        <v>Registered</v>
      </c>
      <c r="O3474" s="1" t="s">
        <v>19</v>
      </c>
      <c r="P3474" s="9" t="str">
        <f t="shared" si="6"/>
        <v>UK</v>
      </c>
      <c r="Q3474" s="8">
        <f t="shared" si="7"/>
        <v>19.8</v>
      </c>
    </row>
    <row r="3475">
      <c r="A3475" s="1">
        <v>581478.0</v>
      </c>
      <c r="B3475" s="1" t="str">
        <f t="shared" si="1"/>
        <v>581478</v>
      </c>
      <c r="C3475" s="1" t="str">
        <f t="shared" si="2"/>
        <v>Sale</v>
      </c>
      <c r="D3475" s="1">
        <v>22747.0</v>
      </c>
      <c r="E3475" s="1" t="str">
        <f>IFERROR(__xludf.DUMMYFUNCTION("IF(LEN(D3475)&gt;4, IFERROR(REGEXEXTRACT(TO_TEXT(D3475),""\d+""),""""),"""")"),"22747")</f>
        <v>22747</v>
      </c>
      <c r="F3475" s="6" t="str">
        <f t="shared" si="3"/>
        <v>Product</v>
      </c>
      <c r="G3475" s="1" t="s">
        <v>687</v>
      </c>
      <c r="H3475" s="6" t="str">
        <f>IFERROR(__xludf.DUMMYFUNCTION("IF(REGEXMATCH(LOWER(G3475), ""^(\?)+\s*(missing)?\s*(\?)*$""), """", PROPER(SUBSTITUTE(SUBSTITUTE(G3475, ""?"", """"), ""*"", """")))"),"Poppy'S Playhouse Bathroom")</f>
        <v>Poppy'S Playhouse Bathroom</v>
      </c>
      <c r="I3475" s="3">
        <v>6.0</v>
      </c>
      <c r="J3475" s="7">
        <v>40886.37430555555</v>
      </c>
      <c r="K3475" s="8" t="str">
        <f t="shared" si="4"/>
        <v>2011-12</v>
      </c>
      <c r="L3475" s="5">
        <v>2.1</v>
      </c>
      <c r="M3475" s="3">
        <v>17364.0</v>
      </c>
      <c r="N3475" s="1" t="str">
        <f t="shared" si="5"/>
        <v>Registered</v>
      </c>
      <c r="O3475" s="1" t="s">
        <v>19</v>
      </c>
      <c r="P3475" s="9" t="str">
        <f t="shared" si="6"/>
        <v>UK</v>
      </c>
      <c r="Q3475" s="8">
        <f t="shared" si="7"/>
        <v>12.6</v>
      </c>
    </row>
    <row r="3476">
      <c r="A3476" s="1">
        <v>581478.0</v>
      </c>
      <c r="B3476" s="1" t="str">
        <f t="shared" si="1"/>
        <v>581478</v>
      </c>
      <c r="C3476" s="1" t="str">
        <f t="shared" si="2"/>
        <v>Sale</v>
      </c>
      <c r="D3476" s="1">
        <v>22078.0</v>
      </c>
      <c r="E3476" s="1" t="str">
        <f>IFERROR(__xludf.DUMMYFUNCTION("IF(LEN(D3476)&gt;4, IFERROR(REGEXEXTRACT(TO_TEXT(D3476),""\d+""),""""),"""")"),"22078")</f>
        <v>22078</v>
      </c>
      <c r="F3476" s="6" t="str">
        <f t="shared" si="3"/>
        <v>Product</v>
      </c>
      <c r="G3476" s="1" t="s">
        <v>920</v>
      </c>
      <c r="H3476" s="6" t="str">
        <f>IFERROR(__xludf.DUMMYFUNCTION("IF(REGEXMATCH(LOWER(G3476), ""^(\?)+\s*(missing)?\s*(\?)*$""), """", PROPER(SUBSTITUTE(SUBSTITUTE(G3476, ""?"", """"), ""*"", """")))"),"Ribbon Reel Lace Design")</f>
        <v>Ribbon Reel Lace Design</v>
      </c>
      <c r="I3476" s="3">
        <v>10.0</v>
      </c>
      <c r="J3476" s="7">
        <v>40886.37430555555</v>
      </c>
      <c r="K3476" s="8" t="str">
        <f t="shared" si="4"/>
        <v>2011-12</v>
      </c>
      <c r="L3476" s="5">
        <v>2.1</v>
      </c>
      <c r="M3476" s="3">
        <v>17364.0</v>
      </c>
      <c r="N3476" s="1" t="str">
        <f t="shared" si="5"/>
        <v>Registered</v>
      </c>
      <c r="O3476" s="1" t="s">
        <v>19</v>
      </c>
      <c r="P3476" s="9" t="str">
        <f t="shared" si="6"/>
        <v>UK</v>
      </c>
      <c r="Q3476" s="8">
        <f t="shared" si="7"/>
        <v>21</v>
      </c>
    </row>
    <row r="3477">
      <c r="A3477" s="1">
        <v>581478.0</v>
      </c>
      <c r="B3477" s="1" t="str">
        <f t="shared" si="1"/>
        <v>581478</v>
      </c>
      <c r="C3477" s="1" t="str">
        <f t="shared" si="2"/>
        <v>Sale</v>
      </c>
      <c r="D3477" s="1">
        <v>84946.0</v>
      </c>
      <c r="E3477" s="1" t="str">
        <f>IFERROR(__xludf.DUMMYFUNCTION("IF(LEN(D3477)&gt;4, IFERROR(REGEXEXTRACT(TO_TEXT(D3477),""\d+""),""""),"""")"),"84946")</f>
        <v>84946</v>
      </c>
      <c r="F3477" s="6" t="str">
        <f t="shared" si="3"/>
        <v>Product</v>
      </c>
      <c r="G3477" s="1" t="s">
        <v>1557</v>
      </c>
      <c r="H3477" s="6" t="str">
        <f>IFERROR(__xludf.DUMMYFUNCTION("IF(REGEXMATCH(LOWER(G3477), ""^(\?)+\s*(missing)?\s*(\?)*$""), """", PROPER(SUBSTITUTE(SUBSTITUTE(G3477, ""?"", """"), ""*"", """")))"),"Antique Silver T-Light Glass")</f>
        <v>Antique Silver T-Light Glass</v>
      </c>
      <c r="I3477" s="3">
        <v>12.0</v>
      </c>
      <c r="J3477" s="7">
        <v>40886.37430555555</v>
      </c>
      <c r="K3477" s="8" t="str">
        <f t="shared" si="4"/>
        <v>2011-12</v>
      </c>
      <c r="L3477" s="5">
        <v>1.25</v>
      </c>
      <c r="M3477" s="3">
        <v>17364.0</v>
      </c>
      <c r="N3477" s="1" t="str">
        <f t="shared" si="5"/>
        <v>Registered</v>
      </c>
      <c r="O3477" s="1" t="s">
        <v>19</v>
      </c>
      <c r="P3477" s="9" t="str">
        <f t="shared" si="6"/>
        <v>UK</v>
      </c>
      <c r="Q3477" s="8">
        <f t="shared" si="7"/>
        <v>15</v>
      </c>
    </row>
    <row r="3478">
      <c r="A3478" s="1">
        <v>581478.0</v>
      </c>
      <c r="B3478" s="1" t="str">
        <f t="shared" si="1"/>
        <v>581478</v>
      </c>
      <c r="C3478" s="1" t="str">
        <f t="shared" si="2"/>
        <v>Sale</v>
      </c>
      <c r="D3478" s="1">
        <v>22791.0</v>
      </c>
      <c r="E3478" s="1" t="str">
        <f>IFERROR(__xludf.DUMMYFUNCTION("IF(LEN(D3478)&gt;4, IFERROR(REGEXEXTRACT(TO_TEXT(D3478),""\d+""),""""),"""")"),"22791")</f>
        <v>22791</v>
      </c>
      <c r="F3478" s="6" t="str">
        <f t="shared" si="3"/>
        <v>Product</v>
      </c>
      <c r="G3478" s="1" t="s">
        <v>1110</v>
      </c>
      <c r="H3478" s="6" t="str">
        <f>IFERROR(__xludf.DUMMYFUNCTION("IF(REGEXMATCH(LOWER(G3478), ""^(\?)+\s*(missing)?\s*(\?)*$""), """", PROPER(SUBSTITUTE(SUBSTITUTE(G3478, ""?"", """"), ""*"", """")))"),"T-Light Glass Fluted Antique")</f>
        <v>T-Light Glass Fluted Antique</v>
      </c>
      <c r="I3478" s="3">
        <v>12.0</v>
      </c>
      <c r="J3478" s="7">
        <v>40886.37430555555</v>
      </c>
      <c r="K3478" s="8" t="str">
        <f t="shared" si="4"/>
        <v>2011-12</v>
      </c>
      <c r="L3478" s="5">
        <v>1.25</v>
      </c>
      <c r="M3478" s="3">
        <v>17364.0</v>
      </c>
      <c r="N3478" s="1" t="str">
        <f t="shared" si="5"/>
        <v>Registered</v>
      </c>
      <c r="O3478" s="1" t="s">
        <v>19</v>
      </c>
      <c r="P3478" s="9" t="str">
        <f t="shared" si="6"/>
        <v>UK</v>
      </c>
      <c r="Q3478" s="8">
        <f t="shared" si="7"/>
        <v>15</v>
      </c>
    </row>
    <row r="3479">
      <c r="A3479" s="1">
        <v>581478.0</v>
      </c>
      <c r="B3479" s="1" t="str">
        <f t="shared" si="1"/>
        <v>581478</v>
      </c>
      <c r="C3479" s="1" t="str">
        <f t="shared" si="2"/>
        <v>Sale</v>
      </c>
      <c r="D3479" s="1">
        <v>21326.0</v>
      </c>
      <c r="E3479" s="1" t="str">
        <f>IFERROR(__xludf.DUMMYFUNCTION("IF(LEN(D3479)&gt;4, IFERROR(REGEXEXTRACT(TO_TEXT(D3479),""\d+""),""""),"""")"),"21326")</f>
        <v>21326</v>
      </c>
      <c r="F3479" s="6" t="str">
        <f t="shared" si="3"/>
        <v>Product</v>
      </c>
      <c r="G3479" s="1" t="s">
        <v>420</v>
      </c>
      <c r="H3479" s="6" t="str">
        <f>IFERROR(__xludf.DUMMYFUNCTION("IF(REGEXMATCH(LOWER(G3479), ""^(\?)+\s*(missing)?\s*(\?)*$""), """", PROPER(SUBSTITUTE(SUBSTITUTE(G3479, ""?"", """"), ""*"", """")))"),"Aged Glass Silver T-Light Holder")</f>
        <v>Aged Glass Silver T-Light Holder</v>
      </c>
      <c r="I3479" s="3">
        <v>12.0</v>
      </c>
      <c r="J3479" s="7">
        <v>40886.37430555555</v>
      </c>
      <c r="K3479" s="8" t="str">
        <f t="shared" si="4"/>
        <v>2011-12</v>
      </c>
      <c r="L3479" s="5">
        <v>0.65</v>
      </c>
      <c r="M3479" s="3">
        <v>17364.0</v>
      </c>
      <c r="N3479" s="1" t="str">
        <f t="shared" si="5"/>
        <v>Registered</v>
      </c>
      <c r="O3479" s="1" t="s">
        <v>19</v>
      </c>
      <c r="P3479" s="9" t="str">
        <f t="shared" si="6"/>
        <v>UK</v>
      </c>
      <c r="Q3479" s="8">
        <f t="shared" si="7"/>
        <v>7.8</v>
      </c>
    </row>
    <row r="3480">
      <c r="A3480" s="1">
        <v>581478.0</v>
      </c>
      <c r="B3480" s="1" t="str">
        <f t="shared" si="1"/>
        <v>581478</v>
      </c>
      <c r="C3480" s="1" t="str">
        <f t="shared" si="2"/>
        <v>Sale</v>
      </c>
      <c r="D3480" s="1">
        <v>22170.0</v>
      </c>
      <c r="E3480" s="1" t="str">
        <f>IFERROR(__xludf.DUMMYFUNCTION("IF(LEN(D3480)&gt;4, IFERROR(REGEXEXTRACT(TO_TEXT(D3480),""\d+""),""""),"""")"),"22170")</f>
        <v>22170</v>
      </c>
      <c r="F3480" s="6" t="str">
        <f t="shared" si="3"/>
        <v>Product</v>
      </c>
      <c r="G3480" s="1" t="s">
        <v>978</v>
      </c>
      <c r="H3480" s="6" t="str">
        <f>IFERROR(__xludf.DUMMYFUNCTION("IF(REGEXMATCH(LOWER(G3480), ""^(\?)+\s*(missing)?\s*(\?)*$""), """", PROPER(SUBSTITUTE(SUBSTITUTE(G3480, ""?"", """"), ""*"", """")))"),"Picture Frame Wood Triple Portrait")</f>
        <v>Picture Frame Wood Triple Portrait</v>
      </c>
      <c r="I3480" s="3">
        <v>8.0</v>
      </c>
      <c r="J3480" s="7">
        <v>40886.37430555555</v>
      </c>
      <c r="K3480" s="8" t="str">
        <f t="shared" si="4"/>
        <v>2011-12</v>
      </c>
      <c r="L3480" s="5">
        <v>6.75</v>
      </c>
      <c r="M3480" s="3">
        <v>17364.0</v>
      </c>
      <c r="N3480" s="1" t="str">
        <f t="shared" si="5"/>
        <v>Registered</v>
      </c>
      <c r="O3480" s="1" t="s">
        <v>19</v>
      </c>
      <c r="P3480" s="9" t="str">
        <f t="shared" si="6"/>
        <v>UK</v>
      </c>
      <c r="Q3480" s="8">
        <f t="shared" si="7"/>
        <v>54</v>
      </c>
    </row>
    <row r="3481">
      <c r="A3481" s="1">
        <v>581478.0</v>
      </c>
      <c r="B3481" s="1" t="str">
        <f t="shared" si="1"/>
        <v>581478</v>
      </c>
      <c r="C3481" s="1" t="str">
        <f t="shared" si="2"/>
        <v>Sale</v>
      </c>
      <c r="D3481" s="1">
        <v>23082.0</v>
      </c>
      <c r="E3481" s="1" t="str">
        <f>IFERROR(__xludf.DUMMYFUNCTION("IF(LEN(D3481)&gt;4, IFERROR(REGEXEXTRACT(TO_TEXT(D3481),""\d+""),""""),"""")"),"23082")</f>
        <v>23082</v>
      </c>
      <c r="F3481" s="6" t="str">
        <f t="shared" si="3"/>
        <v>Product</v>
      </c>
      <c r="G3481" s="1" t="s">
        <v>1622</v>
      </c>
      <c r="H3481" s="6" t="str">
        <f>IFERROR(__xludf.DUMMYFUNCTION("IF(REGEXMATCH(LOWER(G3481), ""^(\?)+\s*(missing)?\s*(\?)*$""), """", PROPER(SUBSTITUTE(SUBSTITUTE(G3481, ""?"", """"), ""*"", """")))"),"Set 6 Paper Table Lantern Hearts")</f>
        <v>Set 6 Paper Table Lantern Hearts</v>
      </c>
      <c r="I3481" s="3">
        <v>6.0</v>
      </c>
      <c r="J3481" s="7">
        <v>40886.37430555555</v>
      </c>
      <c r="K3481" s="8" t="str">
        <f t="shared" si="4"/>
        <v>2011-12</v>
      </c>
      <c r="L3481" s="5">
        <v>3.75</v>
      </c>
      <c r="M3481" s="3">
        <v>17364.0</v>
      </c>
      <c r="N3481" s="1" t="str">
        <f t="shared" si="5"/>
        <v>Registered</v>
      </c>
      <c r="O3481" s="1" t="s">
        <v>19</v>
      </c>
      <c r="P3481" s="9" t="str">
        <f t="shared" si="6"/>
        <v>UK</v>
      </c>
      <c r="Q3481" s="8">
        <f t="shared" si="7"/>
        <v>22.5</v>
      </c>
    </row>
    <row r="3482">
      <c r="A3482" s="1">
        <v>581478.0</v>
      </c>
      <c r="B3482" s="1" t="str">
        <f t="shared" si="1"/>
        <v>581478</v>
      </c>
      <c r="C3482" s="1" t="str">
        <f t="shared" si="2"/>
        <v>Sale</v>
      </c>
      <c r="D3482" s="1">
        <v>22909.0</v>
      </c>
      <c r="E3482" s="1" t="str">
        <f>IFERROR(__xludf.DUMMYFUNCTION("IF(LEN(D3482)&gt;4, IFERROR(REGEXEXTRACT(TO_TEXT(D3482),""\d+""),""""),"""")"),"22909")</f>
        <v>22909</v>
      </c>
      <c r="F3482" s="6" t="str">
        <f t="shared" si="3"/>
        <v>Product</v>
      </c>
      <c r="G3482" s="1" t="s">
        <v>468</v>
      </c>
      <c r="H3482" s="6" t="str">
        <f>IFERROR(__xludf.DUMMYFUNCTION("IF(REGEXMATCH(LOWER(G3482), ""^(\?)+\s*(missing)?\s*(\?)*$""), """", PROPER(SUBSTITUTE(SUBSTITUTE(G3482, ""?"", """"), ""*"", """")))"),"Set Of 20 Vintage Christmas Napkins")</f>
        <v>Set Of 20 Vintage Christmas Napkins</v>
      </c>
      <c r="I3482" s="3">
        <v>24.0</v>
      </c>
      <c r="J3482" s="7">
        <v>40886.37430555555</v>
      </c>
      <c r="K3482" s="8" t="str">
        <f t="shared" si="4"/>
        <v>2011-12</v>
      </c>
      <c r="L3482" s="5">
        <v>0.85</v>
      </c>
      <c r="M3482" s="3">
        <v>17364.0</v>
      </c>
      <c r="N3482" s="1" t="str">
        <f t="shared" si="5"/>
        <v>Registered</v>
      </c>
      <c r="O3482" s="1" t="s">
        <v>19</v>
      </c>
      <c r="P3482" s="9" t="str">
        <f t="shared" si="6"/>
        <v>UK</v>
      </c>
      <c r="Q3482" s="8">
        <f t="shared" si="7"/>
        <v>20.4</v>
      </c>
    </row>
    <row r="3483">
      <c r="A3483" s="1">
        <v>581479.0</v>
      </c>
      <c r="B3483" s="1" t="str">
        <f t="shared" si="1"/>
        <v>581479</v>
      </c>
      <c r="C3483" s="1" t="str">
        <f t="shared" si="2"/>
        <v>Sale</v>
      </c>
      <c r="D3483" s="1">
        <v>22087.0</v>
      </c>
      <c r="E3483" s="1" t="str">
        <f>IFERROR(__xludf.DUMMYFUNCTION("IF(LEN(D3483)&gt;4, IFERROR(REGEXEXTRACT(TO_TEXT(D3483),""\d+""),""""),"""")"),"22087")</f>
        <v>22087</v>
      </c>
      <c r="F3483" s="6" t="str">
        <f t="shared" si="3"/>
        <v>Product</v>
      </c>
      <c r="G3483" s="1" t="s">
        <v>626</v>
      </c>
      <c r="H3483" s="6" t="str">
        <f>IFERROR(__xludf.DUMMYFUNCTION("IF(REGEXMATCH(LOWER(G3483), ""^(\?)+\s*(missing)?\s*(\?)*$""), """", PROPER(SUBSTITUTE(SUBSTITUTE(G3483, ""?"", """"), ""*"", """")))"),"Paper Bunting White Lace")</f>
        <v>Paper Bunting White Lace</v>
      </c>
      <c r="I3483" s="3">
        <v>10.0</v>
      </c>
      <c r="J3483" s="7">
        <v>40886.375</v>
      </c>
      <c r="K3483" s="8" t="str">
        <f t="shared" si="4"/>
        <v>2011-12</v>
      </c>
      <c r="L3483" s="5">
        <v>2.95</v>
      </c>
      <c r="M3483" s="3">
        <v>17364.0</v>
      </c>
      <c r="N3483" s="1" t="str">
        <f t="shared" si="5"/>
        <v>Registered</v>
      </c>
      <c r="O3483" s="1" t="s">
        <v>19</v>
      </c>
      <c r="P3483" s="9" t="str">
        <f t="shared" si="6"/>
        <v>UK</v>
      </c>
      <c r="Q3483" s="8">
        <f t="shared" si="7"/>
        <v>29.5</v>
      </c>
    </row>
    <row r="3484">
      <c r="A3484" s="1">
        <v>581480.0</v>
      </c>
      <c r="B3484" s="1" t="str">
        <f t="shared" si="1"/>
        <v>581480</v>
      </c>
      <c r="C3484" s="1" t="str">
        <f t="shared" si="2"/>
        <v>Sale</v>
      </c>
      <c r="D3484" s="1">
        <v>23463.0</v>
      </c>
      <c r="E3484" s="1" t="str">
        <f>IFERROR(__xludf.DUMMYFUNCTION("IF(LEN(D3484)&gt;4, IFERROR(REGEXEXTRACT(TO_TEXT(D3484),""\d+""),""""),"""")"),"23463")</f>
        <v>23463</v>
      </c>
      <c r="F3484" s="6" t="str">
        <f t="shared" si="3"/>
        <v>Product</v>
      </c>
      <c r="G3484" s="1" t="s">
        <v>1623</v>
      </c>
      <c r="H3484" s="6" t="str">
        <f>IFERROR(__xludf.DUMMYFUNCTION("IF(REGEXMATCH(LOWER(G3484), ""^(\?)+\s*(missing)?\s*(\?)*$""), """", PROPER(SUBSTITUTE(SUBSTITUTE(G3484, ""?"", """"), ""*"", """")))"),"Vintage Zinc Watering Can")</f>
        <v>Vintage Zinc Watering Can</v>
      </c>
      <c r="I3484" s="3">
        <v>2.0</v>
      </c>
      <c r="J3484" s="7">
        <v>40886.37986111111</v>
      </c>
      <c r="K3484" s="8" t="str">
        <f t="shared" si="4"/>
        <v>2011-12</v>
      </c>
      <c r="L3484" s="5">
        <v>9.95</v>
      </c>
      <c r="M3484" s="3">
        <v>14441.0</v>
      </c>
      <c r="N3484" s="1" t="str">
        <f t="shared" si="5"/>
        <v>Registered</v>
      </c>
      <c r="O3484" s="1" t="s">
        <v>19</v>
      </c>
      <c r="P3484" s="9" t="str">
        <f t="shared" si="6"/>
        <v>UK</v>
      </c>
      <c r="Q3484" s="8">
        <f t="shared" si="7"/>
        <v>19.9</v>
      </c>
    </row>
    <row r="3485">
      <c r="A3485" s="1">
        <v>581480.0</v>
      </c>
      <c r="B3485" s="1" t="str">
        <f t="shared" si="1"/>
        <v>581480</v>
      </c>
      <c r="C3485" s="1" t="str">
        <f t="shared" si="2"/>
        <v>Sale</v>
      </c>
      <c r="D3485" s="1">
        <v>23464.0</v>
      </c>
      <c r="E3485" s="1" t="str">
        <f>IFERROR(__xludf.DUMMYFUNCTION("IF(LEN(D3485)&gt;4, IFERROR(REGEXEXTRACT(TO_TEXT(D3485),""\d+""),""""),"""")"),"23464")</f>
        <v>23464</v>
      </c>
      <c r="F3485" s="6" t="str">
        <f t="shared" si="3"/>
        <v>Product</v>
      </c>
      <c r="G3485" s="1" t="s">
        <v>1624</v>
      </c>
      <c r="H3485" s="6" t="str">
        <f>IFERROR(__xludf.DUMMYFUNCTION("IF(REGEXMATCH(LOWER(G3485), ""^(\?)+\s*(missing)?\s*(\?)*$""), """", PROPER(SUBSTITUTE(SUBSTITUTE(G3485, ""?"", """"), ""*"", """")))"),"Vintage Zinc Watering Can Small")</f>
        <v>Vintage Zinc Watering Can Small</v>
      </c>
      <c r="I3485" s="3">
        <v>4.0</v>
      </c>
      <c r="J3485" s="7">
        <v>40886.37986111111</v>
      </c>
      <c r="K3485" s="8" t="str">
        <f t="shared" si="4"/>
        <v>2011-12</v>
      </c>
      <c r="L3485" s="5">
        <v>4.95</v>
      </c>
      <c r="M3485" s="3">
        <v>14441.0</v>
      </c>
      <c r="N3485" s="1" t="str">
        <f t="shared" si="5"/>
        <v>Registered</v>
      </c>
      <c r="O3485" s="1" t="s">
        <v>19</v>
      </c>
      <c r="P3485" s="9" t="str">
        <f t="shared" si="6"/>
        <v>UK</v>
      </c>
      <c r="Q3485" s="8">
        <f t="shared" si="7"/>
        <v>19.8</v>
      </c>
    </row>
    <row r="3486">
      <c r="A3486" s="1">
        <v>581480.0</v>
      </c>
      <c r="B3486" s="1" t="str">
        <f t="shared" si="1"/>
        <v>581480</v>
      </c>
      <c r="C3486" s="1" t="str">
        <f t="shared" si="2"/>
        <v>Sale</v>
      </c>
      <c r="D3486" s="1">
        <v>22411.0</v>
      </c>
      <c r="E3486" s="1" t="str">
        <f>IFERROR(__xludf.DUMMYFUNCTION("IF(LEN(D3486)&gt;4, IFERROR(REGEXEXTRACT(TO_TEXT(D3486),""\d+""),""""),"""")"),"22411")</f>
        <v>22411</v>
      </c>
      <c r="F3486" s="6" t="str">
        <f t="shared" si="3"/>
        <v>Product</v>
      </c>
      <c r="G3486" s="1" t="s">
        <v>112</v>
      </c>
      <c r="H3486" s="6" t="str">
        <f>IFERROR(__xludf.DUMMYFUNCTION("IF(REGEXMATCH(LOWER(G3486), ""^(\?)+\s*(missing)?\s*(\?)*$""), """", PROPER(SUBSTITUTE(SUBSTITUTE(G3486, ""?"", """"), ""*"", """")))"),"Jumbo Shopper Vintage Red Paisley")</f>
        <v>Jumbo Shopper Vintage Red Paisley</v>
      </c>
      <c r="I3486" s="3">
        <v>10.0</v>
      </c>
      <c r="J3486" s="7">
        <v>40886.37986111111</v>
      </c>
      <c r="K3486" s="8" t="str">
        <f t="shared" si="4"/>
        <v>2011-12</v>
      </c>
      <c r="L3486" s="5">
        <v>2.08</v>
      </c>
      <c r="M3486" s="3">
        <v>14441.0</v>
      </c>
      <c r="N3486" s="1" t="str">
        <f t="shared" si="5"/>
        <v>Registered</v>
      </c>
      <c r="O3486" s="1" t="s">
        <v>19</v>
      </c>
      <c r="P3486" s="9" t="str">
        <f t="shared" si="6"/>
        <v>UK</v>
      </c>
      <c r="Q3486" s="8">
        <f t="shared" si="7"/>
        <v>20.8</v>
      </c>
    </row>
    <row r="3487">
      <c r="A3487" s="1">
        <v>581480.0</v>
      </c>
      <c r="B3487" s="1" t="str">
        <f t="shared" si="1"/>
        <v>581480</v>
      </c>
      <c r="C3487" s="1" t="str">
        <f t="shared" si="2"/>
        <v>Sale</v>
      </c>
      <c r="D3487" s="1" t="s">
        <v>25</v>
      </c>
      <c r="E3487" s="1" t="str">
        <f>IFERROR(__xludf.DUMMYFUNCTION("IF(LEN(D3487)&gt;4, IFERROR(REGEXEXTRACT(TO_TEXT(D3487),""\d+""),""""),"""")"),"84029")</f>
        <v>84029</v>
      </c>
      <c r="F3487" s="6" t="str">
        <f t="shared" si="3"/>
        <v>Product</v>
      </c>
      <c r="G3487" s="1" t="s">
        <v>26</v>
      </c>
      <c r="H3487" s="6" t="str">
        <f>IFERROR(__xludf.DUMMYFUNCTION("IF(REGEXMATCH(LOWER(G3487), ""^(\?)+\s*(missing)?\s*(\?)*$""), """", PROPER(SUBSTITUTE(SUBSTITUTE(G3487, ""?"", """"), ""*"", """")))"),"Red Woolly Hottie White Heart.")</f>
        <v>Red Woolly Hottie White Heart.</v>
      </c>
      <c r="I3487" s="3">
        <v>8.0</v>
      </c>
      <c r="J3487" s="7">
        <v>40886.37986111111</v>
      </c>
      <c r="K3487" s="8" t="str">
        <f t="shared" si="4"/>
        <v>2011-12</v>
      </c>
      <c r="L3487" s="5">
        <v>4.25</v>
      </c>
      <c r="M3487" s="3">
        <v>14441.0</v>
      </c>
      <c r="N3487" s="1" t="str">
        <f t="shared" si="5"/>
        <v>Registered</v>
      </c>
      <c r="O3487" s="1" t="s">
        <v>19</v>
      </c>
      <c r="P3487" s="9" t="str">
        <f t="shared" si="6"/>
        <v>UK</v>
      </c>
      <c r="Q3487" s="8">
        <f t="shared" si="7"/>
        <v>34</v>
      </c>
    </row>
    <row r="3488">
      <c r="A3488" s="1">
        <v>581480.0</v>
      </c>
      <c r="B3488" s="1" t="str">
        <f t="shared" si="1"/>
        <v>581480</v>
      </c>
      <c r="C3488" s="1" t="str">
        <f t="shared" si="2"/>
        <v>Sale</v>
      </c>
      <c r="D3488" s="1">
        <v>22633.0</v>
      </c>
      <c r="E3488" s="1" t="str">
        <f>IFERROR(__xludf.DUMMYFUNCTION("IF(LEN(D3488)&gt;4, IFERROR(REGEXEXTRACT(TO_TEXT(D3488),""\d+""),""""),"""")"),"22633")</f>
        <v>22633</v>
      </c>
      <c r="F3488" s="6" t="str">
        <f t="shared" si="3"/>
        <v>Product</v>
      </c>
      <c r="G3488" s="1" t="s">
        <v>29</v>
      </c>
      <c r="H3488" s="6" t="str">
        <f>IFERROR(__xludf.DUMMYFUNCTION("IF(REGEXMATCH(LOWER(G3488), ""^(\?)+\s*(missing)?\s*(\?)*$""), """", PROPER(SUBSTITUTE(SUBSTITUTE(G3488, ""?"", """"), ""*"", """")))"),"Hand Warmer Union Jack")</f>
        <v>Hand Warmer Union Jack</v>
      </c>
      <c r="I3488" s="3">
        <v>12.0</v>
      </c>
      <c r="J3488" s="7">
        <v>40886.37986111111</v>
      </c>
      <c r="K3488" s="8" t="str">
        <f t="shared" si="4"/>
        <v>2011-12</v>
      </c>
      <c r="L3488" s="5">
        <v>2.1</v>
      </c>
      <c r="M3488" s="3">
        <v>14441.0</v>
      </c>
      <c r="N3488" s="1" t="str">
        <f t="shared" si="5"/>
        <v>Registered</v>
      </c>
      <c r="O3488" s="1" t="s">
        <v>19</v>
      </c>
      <c r="P3488" s="9" t="str">
        <f t="shared" si="6"/>
        <v>UK</v>
      </c>
      <c r="Q3488" s="8">
        <f t="shared" si="7"/>
        <v>25.2</v>
      </c>
    </row>
    <row r="3489">
      <c r="A3489" s="1">
        <v>581480.0</v>
      </c>
      <c r="B3489" s="1" t="str">
        <f t="shared" si="1"/>
        <v>581480</v>
      </c>
      <c r="C3489" s="1" t="str">
        <f t="shared" si="2"/>
        <v>Sale</v>
      </c>
      <c r="D3489" s="1">
        <v>23355.0</v>
      </c>
      <c r="E3489" s="1" t="str">
        <f>IFERROR(__xludf.DUMMYFUNCTION("IF(LEN(D3489)&gt;4, IFERROR(REGEXEXTRACT(TO_TEXT(D3489),""\d+""),""""),"""")"),"23355")</f>
        <v>23355</v>
      </c>
      <c r="F3489" s="6" t="str">
        <f t="shared" si="3"/>
        <v>Product</v>
      </c>
      <c r="G3489" s="1" t="s">
        <v>1625</v>
      </c>
      <c r="H3489" s="6" t="str">
        <f>IFERROR(__xludf.DUMMYFUNCTION("IF(REGEXMATCH(LOWER(G3489), ""^(\?)+\s*(missing)?\s*(\?)*$""), """", PROPER(SUBSTITUTE(SUBSTITUTE(G3489, ""?"", """"), ""*"", """")))"),"Hot Water Bottle Keep Calm")</f>
        <v>Hot Water Bottle Keep Calm</v>
      </c>
      <c r="I3489" s="3">
        <v>12.0</v>
      </c>
      <c r="J3489" s="7">
        <v>40886.37986111111</v>
      </c>
      <c r="K3489" s="8" t="str">
        <f t="shared" si="4"/>
        <v>2011-12</v>
      </c>
      <c r="L3489" s="5">
        <v>4.95</v>
      </c>
      <c r="M3489" s="3">
        <v>14441.0</v>
      </c>
      <c r="N3489" s="1" t="str">
        <f t="shared" si="5"/>
        <v>Registered</v>
      </c>
      <c r="O3489" s="1" t="s">
        <v>19</v>
      </c>
      <c r="P3489" s="9" t="str">
        <f t="shared" si="6"/>
        <v>UK</v>
      </c>
      <c r="Q3489" s="8">
        <f t="shared" si="7"/>
        <v>59.4</v>
      </c>
    </row>
    <row r="3490">
      <c r="A3490" s="1">
        <v>581480.0</v>
      </c>
      <c r="B3490" s="1" t="str">
        <f t="shared" si="1"/>
        <v>581480</v>
      </c>
      <c r="C3490" s="1" t="str">
        <f t="shared" si="2"/>
        <v>Sale</v>
      </c>
      <c r="D3490" s="1" t="s">
        <v>23</v>
      </c>
      <c r="E3490" s="1" t="str">
        <f>IFERROR(__xludf.DUMMYFUNCTION("IF(LEN(D3490)&gt;4, IFERROR(REGEXEXTRACT(TO_TEXT(D3490),""\d+""),""""),"""")"),"84029")</f>
        <v>84029</v>
      </c>
      <c r="F3490" s="6" t="str">
        <f t="shared" si="3"/>
        <v>Product</v>
      </c>
      <c r="G3490" s="1" t="s">
        <v>24</v>
      </c>
      <c r="H3490" s="6" t="str">
        <f>IFERROR(__xludf.DUMMYFUNCTION("IF(REGEXMATCH(LOWER(G3490), ""^(\?)+\s*(missing)?\s*(\?)*$""), """", PROPER(SUBSTITUTE(SUBSTITUTE(G3490, ""?"", """"), ""*"", """")))"),"Knitted Union Flag Hot Water Bottle")</f>
        <v>Knitted Union Flag Hot Water Bottle</v>
      </c>
      <c r="I3490" s="3">
        <v>12.0</v>
      </c>
      <c r="J3490" s="7">
        <v>40886.37986111111</v>
      </c>
      <c r="K3490" s="8" t="str">
        <f t="shared" si="4"/>
        <v>2011-12</v>
      </c>
      <c r="L3490" s="5">
        <v>4.25</v>
      </c>
      <c r="M3490" s="3">
        <v>14441.0</v>
      </c>
      <c r="N3490" s="1" t="str">
        <f t="shared" si="5"/>
        <v>Registered</v>
      </c>
      <c r="O3490" s="1" t="s">
        <v>19</v>
      </c>
      <c r="P3490" s="9" t="str">
        <f t="shared" si="6"/>
        <v>UK</v>
      </c>
      <c r="Q3490" s="8">
        <f t="shared" si="7"/>
        <v>51</v>
      </c>
    </row>
    <row r="3491">
      <c r="A3491" s="1">
        <v>581480.0</v>
      </c>
      <c r="B3491" s="1" t="str">
        <f t="shared" si="1"/>
        <v>581480</v>
      </c>
      <c r="C3491" s="1" t="str">
        <f t="shared" si="2"/>
        <v>Sale</v>
      </c>
      <c r="D3491" s="1">
        <v>22112.0</v>
      </c>
      <c r="E3491" s="1" t="str">
        <f>IFERROR(__xludf.DUMMYFUNCTION("IF(LEN(D3491)&gt;4, IFERROR(REGEXEXTRACT(TO_TEXT(D3491),""\d+""),""""),"""")"),"22112")</f>
        <v>22112</v>
      </c>
      <c r="F3491" s="6" t="str">
        <f t="shared" si="3"/>
        <v>Product</v>
      </c>
      <c r="G3491" s="1" t="s">
        <v>268</v>
      </c>
      <c r="H3491" s="6" t="str">
        <f>IFERROR(__xludf.DUMMYFUNCTION("IF(REGEXMATCH(LOWER(G3491), ""^(\?)+\s*(missing)?\s*(\?)*$""), """", PROPER(SUBSTITUTE(SUBSTITUTE(G3491, ""?"", """"), ""*"", """")))"),"Chocolate Hot Water Bottle")</f>
        <v>Chocolate Hot Water Bottle</v>
      </c>
      <c r="I3491" s="3">
        <v>6.0</v>
      </c>
      <c r="J3491" s="7">
        <v>40886.37986111111</v>
      </c>
      <c r="K3491" s="8" t="str">
        <f t="shared" si="4"/>
        <v>2011-12</v>
      </c>
      <c r="L3491" s="5">
        <v>4.95</v>
      </c>
      <c r="M3491" s="3">
        <v>14441.0</v>
      </c>
      <c r="N3491" s="1" t="str">
        <f t="shared" si="5"/>
        <v>Registered</v>
      </c>
      <c r="O3491" s="1" t="s">
        <v>19</v>
      </c>
      <c r="P3491" s="9" t="str">
        <f t="shared" si="6"/>
        <v>UK</v>
      </c>
      <c r="Q3491" s="8">
        <f t="shared" si="7"/>
        <v>29.7</v>
      </c>
    </row>
    <row r="3492">
      <c r="A3492" s="1">
        <v>581480.0</v>
      </c>
      <c r="B3492" s="1" t="str">
        <f t="shared" si="1"/>
        <v>581480</v>
      </c>
      <c r="C3492" s="1" t="str">
        <f t="shared" si="2"/>
        <v>Sale</v>
      </c>
      <c r="D3492" s="1">
        <v>84347.0</v>
      </c>
      <c r="E3492" s="1" t="str">
        <f>IFERROR(__xludf.DUMMYFUNCTION("IF(LEN(D3492)&gt;4, IFERROR(REGEXEXTRACT(TO_TEXT(D3492),""\d+""),""""),"""")"),"84347")</f>
        <v>84347</v>
      </c>
      <c r="F3492" s="6" t="str">
        <f t="shared" si="3"/>
        <v>Product</v>
      </c>
      <c r="G3492" s="1" t="s">
        <v>386</v>
      </c>
      <c r="H3492" s="6" t="str">
        <f>IFERROR(__xludf.DUMMYFUNCTION("IF(REGEXMATCH(LOWER(G3492), ""^(\?)+\s*(missing)?\s*(\?)*$""), """", PROPER(SUBSTITUTE(SUBSTITUTE(G3492, ""?"", """"), ""*"", """")))"),"Rotating Silver Angels T-Light Hldr")</f>
        <v>Rotating Silver Angels T-Light Hldr</v>
      </c>
      <c r="I3492" s="3">
        <v>18.0</v>
      </c>
      <c r="J3492" s="7">
        <v>40886.37986111111</v>
      </c>
      <c r="K3492" s="8" t="str">
        <f t="shared" si="4"/>
        <v>2011-12</v>
      </c>
      <c r="L3492" s="5">
        <v>2.55</v>
      </c>
      <c r="M3492" s="3">
        <v>14441.0</v>
      </c>
      <c r="N3492" s="1" t="str">
        <f t="shared" si="5"/>
        <v>Registered</v>
      </c>
      <c r="O3492" s="1" t="s">
        <v>19</v>
      </c>
      <c r="P3492" s="9" t="str">
        <f t="shared" si="6"/>
        <v>UK</v>
      </c>
      <c r="Q3492" s="8">
        <f t="shared" si="7"/>
        <v>45.9</v>
      </c>
    </row>
    <row r="3493">
      <c r="A3493" s="1">
        <v>581481.0</v>
      </c>
      <c r="B3493" s="1" t="str">
        <f t="shared" si="1"/>
        <v>581481</v>
      </c>
      <c r="C3493" s="1" t="str">
        <f t="shared" si="2"/>
        <v>Sale</v>
      </c>
      <c r="D3493" s="1">
        <v>21115.0</v>
      </c>
      <c r="E3493" s="1" t="str">
        <f>IFERROR(__xludf.DUMMYFUNCTION("IF(LEN(D3493)&gt;4, IFERROR(REGEXEXTRACT(TO_TEXT(D3493),""\d+""),""""),"""")"),"21115")</f>
        <v>21115</v>
      </c>
      <c r="F3493" s="6" t="str">
        <f t="shared" si="3"/>
        <v>Product</v>
      </c>
      <c r="G3493" s="1" t="s">
        <v>194</v>
      </c>
      <c r="H3493" s="6" t="str">
        <f>IFERROR(__xludf.DUMMYFUNCTION("IF(REGEXMATCH(LOWER(G3493), ""^(\?)+\s*(missing)?\s*(\?)*$""), """", PROPER(SUBSTITUTE(SUBSTITUTE(G3493, ""?"", """"), ""*"", """")))"),"Rose Caravan Doorstop")</f>
        <v>Rose Caravan Doorstop</v>
      </c>
      <c r="I3493" s="3">
        <v>8.0</v>
      </c>
      <c r="J3493" s="7">
        <v>40886.37986111111</v>
      </c>
      <c r="K3493" s="8" t="str">
        <f t="shared" si="4"/>
        <v>2011-12</v>
      </c>
      <c r="L3493" s="5">
        <v>1.95</v>
      </c>
      <c r="M3493" s="3">
        <v>17490.0</v>
      </c>
      <c r="N3493" s="1" t="str">
        <f t="shared" si="5"/>
        <v>Registered</v>
      </c>
      <c r="O3493" s="1" t="s">
        <v>19</v>
      </c>
      <c r="P3493" s="9" t="str">
        <f t="shared" si="6"/>
        <v>UK</v>
      </c>
      <c r="Q3493" s="8">
        <f t="shared" si="7"/>
        <v>15.6</v>
      </c>
    </row>
    <row r="3494">
      <c r="A3494" s="1">
        <v>581481.0</v>
      </c>
      <c r="B3494" s="1" t="str">
        <f t="shared" si="1"/>
        <v>581481</v>
      </c>
      <c r="C3494" s="1" t="str">
        <f t="shared" si="2"/>
        <v>Sale</v>
      </c>
      <c r="D3494" s="1">
        <v>22059.0</v>
      </c>
      <c r="E3494" s="1" t="str">
        <f>IFERROR(__xludf.DUMMYFUNCTION("IF(LEN(D3494)&gt;4, IFERROR(REGEXEXTRACT(TO_TEXT(D3494),""\d+""),""""),"""")"),"22059")</f>
        <v>22059</v>
      </c>
      <c r="F3494" s="6" t="str">
        <f t="shared" si="3"/>
        <v>Product</v>
      </c>
      <c r="G3494" s="1" t="s">
        <v>529</v>
      </c>
      <c r="H3494" s="6" t="str">
        <f>IFERROR(__xludf.DUMMYFUNCTION("IF(REGEXMATCH(LOWER(G3494), ""^(\?)+\s*(missing)?\s*(\?)*$""), """", PROPER(SUBSTITUTE(SUBSTITUTE(G3494, ""?"", """"), ""*"", """")))"),"Ceramic Strawberry Design Mug")</f>
        <v>Ceramic Strawberry Design Mug</v>
      </c>
      <c r="I3494" s="3">
        <v>24.0</v>
      </c>
      <c r="J3494" s="7">
        <v>40886.37986111111</v>
      </c>
      <c r="K3494" s="8" t="str">
        <f t="shared" si="4"/>
        <v>2011-12</v>
      </c>
      <c r="L3494" s="5">
        <v>0.39</v>
      </c>
      <c r="M3494" s="3">
        <v>17490.0</v>
      </c>
      <c r="N3494" s="1" t="str">
        <f t="shared" si="5"/>
        <v>Registered</v>
      </c>
      <c r="O3494" s="1" t="s">
        <v>19</v>
      </c>
      <c r="P3494" s="9" t="str">
        <f t="shared" si="6"/>
        <v>UK</v>
      </c>
      <c r="Q3494" s="8">
        <f t="shared" si="7"/>
        <v>9.36</v>
      </c>
    </row>
    <row r="3495">
      <c r="A3495" s="1">
        <v>581481.0</v>
      </c>
      <c r="B3495" s="1" t="str">
        <f t="shared" si="1"/>
        <v>581481</v>
      </c>
      <c r="C3495" s="1" t="str">
        <f t="shared" si="2"/>
        <v>Sale</v>
      </c>
      <c r="D3495" s="1">
        <v>22072.0</v>
      </c>
      <c r="E3495" s="1" t="str">
        <f>IFERROR(__xludf.DUMMYFUNCTION("IF(LEN(D3495)&gt;4, IFERROR(REGEXEXTRACT(TO_TEXT(D3495),""\d+""),""""),"""")"),"22072")</f>
        <v>22072</v>
      </c>
      <c r="F3495" s="6" t="str">
        <f t="shared" si="3"/>
        <v>Product</v>
      </c>
      <c r="G3495" s="1" t="s">
        <v>990</v>
      </c>
      <c r="H3495" s="6" t="str">
        <f>IFERROR(__xludf.DUMMYFUNCTION("IF(REGEXMATCH(LOWER(G3495), ""^(\?)+\s*(missing)?\s*(\?)*$""), """", PROPER(SUBSTITUTE(SUBSTITUTE(G3495, ""?"", """"), ""*"", """")))"),"Red Retrospot Tea Cup And Saucer")</f>
        <v>Red Retrospot Tea Cup And Saucer</v>
      </c>
      <c r="I3495" s="3">
        <v>24.0</v>
      </c>
      <c r="J3495" s="7">
        <v>40886.37986111111</v>
      </c>
      <c r="K3495" s="8" t="str">
        <f t="shared" si="4"/>
        <v>2011-12</v>
      </c>
      <c r="L3495" s="5">
        <v>1.25</v>
      </c>
      <c r="M3495" s="3">
        <v>17490.0</v>
      </c>
      <c r="N3495" s="1" t="str">
        <f t="shared" si="5"/>
        <v>Registered</v>
      </c>
      <c r="O3495" s="1" t="s">
        <v>19</v>
      </c>
      <c r="P3495" s="9" t="str">
        <f t="shared" si="6"/>
        <v>UK</v>
      </c>
      <c r="Q3495" s="8">
        <f t="shared" si="7"/>
        <v>30</v>
      </c>
    </row>
    <row r="3496">
      <c r="A3496" s="1">
        <v>581481.0</v>
      </c>
      <c r="B3496" s="1" t="str">
        <f t="shared" si="1"/>
        <v>581481</v>
      </c>
      <c r="C3496" s="1" t="str">
        <f t="shared" si="2"/>
        <v>Sale</v>
      </c>
      <c r="D3496" s="1">
        <v>22123.0</v>
      </c>
      <c r="E3496" s="1" t="str">
        <f>IFERROR(__xludf.DUMMYFUNCTION("IF(LEN(D3496)&gt;4, IFERROR(REGEXEXTRACT(TO_TEXT(D3496),""\d+""),""""),"""")"),"22123")</f>
        <v>22123</v>
      </c>
      <c r="F3496" s="6" t="str">
        <f t="shared" si="3"/>
        <v>Product</v>
      </c>
      <c r="G3496" s="1" t="s">
        <v>1193</v>
      </c>
      <c r="H3496" s="6" t="str">
        <f>IFERROR(__xludf.DUMMYFUNCTION("IF(REGEXMATCH(LOWER(G3496), ""^(\?)+\s*(missing)?\s*(\?)*$""), """", PROPER(SUBSTITUTE(SUBSTITUTE(G3496, ""?"", """"), ""*"", """")))"),"Ping Microwave Apron")</f>
        <v>Ping Microwave Apron</v>
      </c>
      <c r="I3496" s="3">
        <v>24.0</v>
      </c>
      <c r="J3496" s="7">
        <v>40886.37986111111</v>
      </c>
      <c r="K3496" s="8" t="str">
        <f t="shared" si="4"/>
        <v>2011-12</v>
      </c>
      <c r="L3496" s="5">
        <v>0.79</v>
      </c>
      <c r="M3496" s="3">
        <v>17490.0</v>
      </c>
      <c r="N3496" s="1" t="str">
        <f t="shared" si="5"/>
        <v>Registered</v>
      </c>
      <c r="O3496" s="1" t="s">
        <v>19</v>
      </c>
      <c r="P3496" s="9" t="str">
        <f t="shared" si="6"/>
        <v>UK</v>
      </c>
      <c r="Q3496" s="8">
        <f t="shared" si="7"/>
        <v>18.96</v>
      </c>
    </row>
    <row r="3497">
      <c r="A3497" s="1">
        <v>581481.0</v>
      </c>
      <c r="B3497" s="1" t="str">
        <f t="shared" si="1"/>
        <v>581481</v>
      </c>
      <c r="C3497" s="1" t="str">
        <f t="shared" si="2"/>
        <v>Sale</v>
      </c>
      <c r="D3497" s="1">
        <v>22476.0</v>
      </c>
      <c r="E3497" s="1" t="str">
        <f>IFERROR(__xludf.DUMMYFUNCTION("IF(LEN(D3497)&gt;4, IFERROR(REGEXEXTRACT(TO_TEXT(D3497),""\d+""),""""),"""")"),"22476")</f>
        <v>22476</v>
      </c>
      <c r="F3497" s="6" t="str">
        <f t="shared" si="3"/>
        <v>Product</v>
      </c>
      <c r="G3497" s="1" t="s">
        <v>811</v>
      </c>
      <c r="H3497" s="6" t="str">
        <f>IFERROR(__xludf.DUMMYFUNCTION("IF(REGEXMATCH(LOWER(G3497), ""^(\?)+\s*(missing)?\s*(\?)*$""), """", PROPER(SUBSTITUTE(SUBSTITUTE(G3497, ""?"", """"), ""*"", """")))"),"Empire Union Jack Tv Dinner Tray")</f>
        <v>Empire Union Jack Tv Dinner Tray</v>
      </c>
      <c r="I3497" s="3">
        <v>8.0</v>
      </c>
      <c r="J3497" s="7">
        <v>40886.37986111111</v>
      </c>
      <c r="K3497" s="8" t="str">
        <f t="shared" si="4"/>
        <v>2011-12</v>
      </c>
      <c r="L3497" s="5">
        <v>1.95</v>
      </c>
      <c r="M3497" s="3">
        <v>17490.0</v>
      </c>
      <c r="N3497" s="1" t="str">
        <f t="shared" si="5"/>
        <v>Registered</v>
      </c>
      <c r="O3497" s="1" t="s">
        <v>19</v>
      </c>
      <c r="P3497" s="9" t="str">
        <f t="shared" si="6"/>
        <v>UK</v>
      </c>
      <c r="Q3497" s="8">
        <f t="shared" si="7"/>
        <v>15.6</v>
      </c>
    </row>
    <row r="3498">
      <c r="A3498" s="1">
        <v>581481.0</v>
      </c>
      <c r="B3498" s="1" t="str">
        <f t="shared" si="1"/>
        <v>581481</v>
      </c>
      <c r="C3498" s="1" t="str">
        <f t="shared" si="2"/>
        <v>Sale</v>
      </c>
      <c r="D3498" s="1">
        <v>22495.0</v>
      </c>
      <c r="E3498" s="1" t="str">
        <f>IFERROR(__xludf.DUMMYFUNCTION("IF(LEN(D3498)&gt;4, IFERROR(REGEXEXTRACT(TO_TEXT(D3498),""\d+""),""""),"""")"),"22495")</f>
        <v>22495</v>
      </c>
      <c r="F3498" s="6" t="str">
        <f t="shared" si="3"/>
        <v>Product</v>
      </c>
      <c r="G3498" s="1" t="s">
        <v>869</v>
      </c>
      <c r="H3498" s="6" t="str">
        <f>IFERROR(__xludf.DUMMYFUNCTION("IF(REGEXMATCH(LOWER(G3498), ""^(\?)+\s*(missing)?\s*(\?)*$""), """", PROPER(SUBSTITUTE(SUBSTITUTE(G3498, ""?"", """"), ""*"", """")))"),"Set Of 2 Round Tins Camembert")</f>
        <v>Set Of 2 Round Tins Camembert</v>
      </c>
      <c r="I3498" s="3">
        <v>12.0</v>
      </c>
      <c r="J3498" s="7">
        <v>40886.37986111111</v>
      </c>
      <c r="K3498" s="8" t="str">
        <f t="shared" si="4"/>
        <v>2011-12</v>
      </c>
      <c r="L3498" s="5">
        <v>0.79</v>
      </c>
      <c r="M3498" s="3">
        <v>17490.0</v>
      </c>
      <c r="N3498" s="1" t="str">
        <f t="shared" si="5"/>
        <v>Registered</v>
      </c>
      <c r="O3498" s="1" t="s">
        <v>19</v>
      </c>
      <c r="P3498" s="9" t="str">
        <f t="shared" si="6"/>
        <v>UK</v>
      </c>
      <c r="Q3498" s="8">
        <f t="shared" si="7"/>
        <v>9.48</v>
      </c>
    </row>
    <row r="3499">
      <c r="A3499" s="1">
        <v>581481.0</v>
      </c>
      <c r="B3499" s="1" t="str">
        <f t="shared" si="1"/>
        <v>581481</v>
      </c>
      <c r="C3499" s="1" t="str">
        <f t="shared" si="2"/>
        <v>Sale</v>
      </c>
      <c r="D3499" s="1">
        <v>22496.0</v>
      </c>
      <c r="E3499" s="1" t="str">
        <f>IFERROR(__xludf.DUMMYFUNCTION("IF(LEN(D3499)&gt;4, IFERROR(REGEXEXTRACT(TO_TEXT(D3499),""\d+""),""""),"""")"),"22496")</f>
        <v>22496</v>
      </c>
      <c r="F3499" s="6" t="str">
        <f t="shared" si="3"/>
        <v>Product</v>
      </c>
      <c r="G3499" s="1" t="s">
        <v>1626</v>
      </c>
      <c r="H3499" s="6" t="str">
        <f>IFERROR(__xludf.DUMMYFUNCTION("IF(REGEXMATCH(LOWER(G3499), ""^(\?)+\s*(missing)?\s*(\?)*$""), """", PROPER(SUBSTITUTE(SUBSTITUTE(G3499, ""?"", """"), ""*"", """")))"),"Set Of 2 Round Tins Dutch Cheese")</f>
        <v>Set Of 2 Round Tins Dutch Cheese</v>
      </c>
      <c r="I3499" s="3">
        <v>12.0</v>
      </c>
      <c r="J3499" s="7">
        <v>40886.37986111111</v>
      </c>
      <c r="K3499" s="8" t="str">
        <f t="shared" si="4"/>
        <v>2011-12</v>
      </c>
      <c r="L3499" s="5">
        <v>0.79</v>
      </c>
      <c r="M3499" s="3">
        <v>17490.0</v>
      </c>
      <c r="N3499" s="1" t="str">
        <f t="shared" si="5"/>
        <v>Registered</v>
      </c>
      <c r="O3499" s="1" t="s">
        <v>19</v>
      </c>
      <c r="P3499" s="9" t="str">
        <f t="shared" si="6"/>
        <v>UK</v>
      </c>
      <c r="Q3499" s="8">
        <f t="shared" si="7"/>
        <v>9.48</v>
      </c>
    </row>
    <row r="3500">
      <c r="A3500" s="1">
        <v>581481.0</v>
      </c>
      <c r="B3500" s="1" t="str">
        <f t="shared" si="1"/>
        <v>581481</v>
      </c>
      <c r="C3500" s="1" t="str">
        <f t="shared" si="2"/>
        <v>Sale</v>
      </c>
      <c r="D3500" s="1">
        <v>22513.0</v>
      </c>
      <c r="E3500" s="1" t="str">
        <f>IFERROR(__xludf.DUMMYFUNCTION("IF(LEN(D3500)&gt;4, IFERROR(REGEXEXTRACT(TO_TEXT(D3500),""\d+""),""""),"""")"),"22513")</f>
        <v>22513</v>
      </c>
      <c r="F3500" s="6" t="str">
        <f t="shared" si="3"/>
        <v>Product</v>
      </c>
      <c r="G3500" s="1" t="s">
        <v>1627</v>
      </c>
      <c r="H3500" s="6" t="str">
        <f>IFERROR(__xludf.DUMMYFUNCTION("IF(REGEXMATCH(LOWER(G3500), ""^(\?)+\s*(missing)?\s*(\?)*$""), """", PROPER(SUBSTITUTE(SUBSTITUTE(G3500, ""?"", """"), ""*"", """")))"),"Doorstop Football Design")</f>
        <v>Doorstop Football Design</v>
      </c>
      <c r="I3500" s="3">
        <v>8.0</v>
      </c>
      <c r="J3500" s="7">
        <v>40886.37986111111</v>
      </c>
      <c r="K3500" s="8" t="str">
        <f t="shared" si="4"/>
        <v>2011-12</v>
      </c>
      <c r="L3500" s="5">
        <v>0.79</v>
      </c>
      <c r="M3500" s="3">
        <v>17490.0</v>
      </c>
      <c r="N3500" s="1" t="str">
        <f t="shared" si="5"/>
        <v>Registered</v>
      </c>
      <c r="O3500" s="1" t="s">
        <v>19</v>
      </c>
      <c r="P3500" s="9" t="str">
        <f t="shared" si="6"/>
        <v>UK</v>
      </c>
      <c r="Q3500" s="8">
        <f t="shared" si="7"/>
        <v>6.32</v>
      </c>
    </row>
    <row r="3501">
      <c r="A3501" s="1">
        <v>581481.0</v>
      </c>
      <c r="B3501" s="1" t="str">
        <f t="shared" si="1"/>
        <v>581481</v>
      </c>
      <c r="C3501" s="1" t="str">
        <f t="shared" si="2"/>
        <v>Sale</v>
      </c>
      <c r="D3501" s="1">
        <v>22500.0</v>
      </c>
      <c r="E3501" s="1" t="str">
        <f>IFERROR(__xludf.DUMMYFUNCTION("IF(LEN(D3501)&gt;4, IFERROR(REGEXEXTRACT(TO_TEXT(D3501),""\d+""),""""),"""")"),"22500")</f>
        <v>22500</v>
      </c>
      <c r="F3501" s="6" t="str">
        <f t="shared" si="3"/>
        <v>Product</v>
      </c>
      <c r="G3501" s="1" t="s">
        <v>607</v>
      </c>
      <c r="H3501" s="6" t="str">
        <f>IFERROR(__xludf.DUMMYFUNCTION("IF(REGEXMATCH(LOWER(G3501), ""^(\?)+\s*(missing)?\s*(\?)*$""), """", PROPER(SUBSTITUTE(SUBSTITUTE(G3501, ""?"", """"), ""*"", """")))"),"Set Of 2 Tins Jardin De Provence")</f>
        <v>Set Of 2 Tins Jardin De Provence</v>
      </c>
      <c r="I3501" s="3">
        <v>12.0</v>
      </c>
      <c r="J3501" s="7">
        <v>40886.37986111111</v>
      </c>
      <c r="K3501" s="8" t="str">
        <f t="shared" si="4"/>
        <v>2011-12</v>
      </c>
      <c r="L3501" s="5">
        <v>1.25</v>
      </c>
      <c r="M3501" s="3">
        <v>17490.0</v>
      </c>
      <c r="N3501" s="1" t="str">
        <f t="shared" si="5"/>
        <v>Registered</v>
      </c>
      <c r="O3501" s="1" t="s">
        <v>19</v>
      </c>
      <c r="P3501" s="9" t="str">
        <f t="shared" si="6"/>
        <v>UK</v>
      </c>
      <c r="Q3501" s="8">
        <f t="shared" si="7"/>
        <v>15</v>
      </c>
    </row>
    <row r="3502">
      <c r="A3502" s="1">
        <v>581481.0</v>
      </c>
      <c r="B3502" s="1" t="str">
        <f t="shared" si="1"/>
        <v>581481</v>
      </c>
      <c r="C3502" s="1" t="str">
        <f t="shared" si="2"/>
        <v>Sale</v>
      </c>
      <c r="D3502" s="1">
        <v>22664.0</v>
      </c>
      <c r="E3502" s="1" t="str">
        <f>IFERROR(__xludf.DUMMYFUNCTION("IF(LEN(D3502)&gt;4, IFERROR(REGEXEXTRACT(TO_TEXT(D3502),""\d+""),""""),"""")"),"22664")</f>
        <v>22664</v>
      </c>
      <c r="F3502" s="6" t="str">
        <f t="shared" si="3"/>
        <v>Product</v>
      </c>
      <c r="G3502" s="1" t="s">
        <v>397</v>
      </c>
      <c r="H3502" s="6" t="str">
        <f>IFERROR(__xludf.DUMMYFUNCTION("IF(REGEXMATCH(LOWER(G3502), ""^(\?)+\s*(missing)?\s*(\?)*$""), """", PROPER(SUBSTITUTE(SUBSTITUTE(G3502, ""?"", """"), ""*"", """")))"),"Toy Tidy Dolly Girl Design")</f>
        <v>Toy Tidy Dolly Girl Design</v>
      </c>
      <c r="I3502" s="3">
        <v>20.0</v>
      </c>
      <c r="J3502" s="7">
        <v>40886.37986111111</v>
      </c>
      <c r="K3502" s="8" t="str">
        <f t="shared" si="4"/>
        <v>2011-12</v>
      </c>
      <c r="L3502" s="5">
        <v>0.79</v>
      </c>
      <c r="M3502" s="3">
        <v>17490.0</v>
      </c>
      <c r="N3502" s="1" t="str">
        <f t="shared" si="5"/>
        <v>Registered</v>
      </c>
      <c r="O3502" s="1" t="s">
        <v>19</v>
      </c>
      <c r="P3502" s="9" t="str">
        <f t="shared" si="6"/>
        <v>UK</v>
      </c>
      <c r="Q3502" s="8">
        <f t="shared" si="7"/>
        <v>15.8</v>
      </c>
    </row>
    <row r="3503">
      <c r="A3503" s="1">
        <v>581481.0</v>
      </c>
      <c r="B3503" s="1" t="str">
        <f t="shared" si="1"/>
        <v>581481</v>
      </c>
      <c r="C3503" s="1" t="str">
        <f t="shared" si="2"/>
        <v>Sale</v>
      </c>
      <c r="D3503" s="1">
        <v>22721.0</v>
      </c>
      <c r="E3503" s="1" t="str">
        <f>IFERROR(__xludf.DUMMYFUNCTION("IF(LEN(D3503)&gt;4, IFERROR(REGEXEXTRACT(TO_TEXT(D3503),""\d+""),""""),"""")"),"22721")</f>
        <v>22721</v>
      </c>
      <c r="F3503" s="6" t="str">
        <f t="shared" si="3"/>
        <v>Product</v>
      </c>
      <c r="G3503" s="1" t="s">
        <v>1296</v>
      </c>
      <c r="H3503" s="6" t="str">
        <f>IFERROR(__xludf.DUMMYFUNCTION("IF(REGEXMATCH(LOWER(G3503), ""^(\?)+\s*(missing)?\s*(\?)*$""), """", PROPER(SUBSTITUTE(SUBSTITUTE(G3503, ""?"", """"), ""*"", """")))"),"Set Of 3 Cake Tins Sketchbook")</f>
        <v>Set Of 3 Cake Tins Sketchbook</v>
      </c>
      <c r="I3503" s="3">
        <v>12.0</v>
      </c>
      <c r="J3503" s="7">
        <v>40886.37986111111</v>
      </c>
      <c r="K3503" s="8" t="str">
        <f t="shared" si="4"/>
        <v>2011-12</v>
      </c>
      <c r="L3503" s="5">
        <v>1.95</v>
      </c>
      <c r="M3503" s="3">
        <v>17490.0</v>
      </c>
      <c r="N3503" s="1" t="str">
        <f t="shared" si="5"/>
        <v>Registered</v>
      </c>
      <c r="O3503" s="1" t="s">
        <v>19</v>
      </c>
      <c r="P3503" s="9" t="str">
        <f t="shared" si="6"/>
        <v>UK</v>
      </c>
      <c r="Q3503" s="8">
        <f t="shared" si="7"/>
        <v>23.4</v>
      </c>
    </row>
    <row r="3504">
      <c r="A3504" s="1">
        <v>581481.0</v>
      </c>
      <c r="B3504" s="1" t="str">
        <f t="shared" si="1"/>
        <v>581481</v>
      </c>
      <c r="C3504" s="1" t="str">
        <f t="shared" si="2"/>
        <v>Sale</v>
      </c>
      <c r="D3504" s="1">
        <v>22785.0</v>
      </c>
      <c r="E3504" s="1" t="str">
        <f>IFERROR(__xludf.DUMMYFUNCTION("IF(LEN(D3504)&gt;4, IFERROR(REGEXEXTRACT(TO_TEXT(D3504),""\d+""),""""),"""")"),"22785")</f>
        <v>22785</v>
      </c>
      <c r="F3504" s="6" t="str">
        <f t="shared" si="3"/>
        <v>Product</v>
      </c>
      <c r="G3504" s="1" t="s">
        <v>1589</v>
      </c>
      <c r="H3504" s="6" t="str">
        <f>IFERROR(__xludf.DUMMYFUNCTION("IF(REGEXMATCH(LOWER(G3504), ""^(\?)+\s*(missing)?\s*(\?)*$""), """", PROPER(SUBSTITUTE(SUBSTITUTE(G3504, ""?"", """"), ""*"", """")))"),"Squarecushion Cover Pink Union Jack")</f>
        <v>Squarecushion Cover Pink Union Jack</v>
      </c>
      <c r="I3504" s="3">
        <v>12.0</v>
      </c>
      <c r="J3504" s="7">
        <v>40886.37986111111</v>
      </c>
      <c r="K3504" s="8" t="str">
        <f t="shared" si="4"/>
        <v>2011-12</v>
      </c>
      <c r="L3504" s="5">
        <v>1.25</v>
      </c>
      <c r="M3504" s="3">
        <v>17490.0</v>
      </c>
      <c r="N3504" s="1" t="str">
        <f t="shared" si="5"/>
        <v>Registered</v>
      </c>
      <c r="O3504" s="1" t="s">
        <v>19</v>
      </c>
      <c r="P3504" s="9" t="str">
        <f t="shared" si="6"/>
        <v>UK</v>
      </c>
      <c r="Q3504" s="8">
        <f t="shared" si="7"/>
        <v>15</v>
      </c>
    </row>
    <row r="3505">
      <c r="A3505" s="1">
        <v>581481.0</v>
      </c>
      <c r="B3505" s="1" t="str">
        <f t="shared" si="1"/>
        <v>581481</v>
      </c>
      <c r="C3505" s="1" t="str">
        <f t="shared" si="2"/>
        <v>Sale</v>
      </c>
      <c r="D3505" s="1">
        <v>23178.0</v>
      </c>
      <c r="E3505" s="1" t="str">
        <f>IFERROR(__xludf.DUMMYFUNCTION("IF(LEN(D3505)&gt;4, IFERROR(REGEXEXTRACT(TO_TEXT(D3505),""\d+""),""""),"""")"),"23178")</f>
        <v>23178</v>
      </c>
      <c r="F3505" s="6" t="str">
        <f t="shared" si="3"/>
        <v>Product</v>
      </c>
      <c r="G3505" s="1" t="s">
        <v>1628</v>
      </c>
      <c r="H3505" s="6" t="str">
        <f>IFERROR(__xludf.DUMMYFUNCTION("IF(REGEXMATCH(LOWER(G3505), ""^(\?)+\s*(missing)?\s*(\?)*$""), """", PROPER(SUBSTITUTE(SUBSTITUTE(G3505, ""?"", """"), ""*"", """")))"),"Jam Clock Magnet")</f>
        <v>Jam Clock Magnet</v>
      </c>
      <c r="I3505" s="3">
        <v>12.0</v>
      </c>
      <c r="J3505" s="7">
        <v>40886.37986111111</v>
      </c>
      <c r="K3505" s="8" t="str">
        <f t="shared" si="4"/>
        <v>2011-12</v>
      </c>
      <c r="L3505" s="5">
        <v>1.25</v>
      </c>
      <c r="M3505" s="3">
        <v>17490.0</v>
      </c>
      <c r="N3505" s="1" t="str">
        <f t="shared" si="5"/>
        <v>Registered</v>
      </c>
      <c r="O3505" s="1" t="s">
        <v>19</v>
      </c>
      <c r="P3505" s="9" t="str">
        <f t="shared" si="6"/>
        <v>UK</v>
      </c>
      <c r="Q3505" s="8">
        <f t="shared" si="7"/>
        <v>15</v>
      </c>
    </row>
    <row r="3506">
      <c r="A3506" s="1">
        <v>581481.0</v>
      </c>
      <c r="B3506" s="1" t="str">
        <f t="shared" si="1"/>
        <v>581481</v>
      </c>
      <c r="C3506" s="1" t="str">
        <f t="shared" si="2"/>
        <v>Sale</v>
      </c>
      <c r="D3506" s="1">
        <v>23302.0</v>
      </c>
      <c r="E3506" s="1" t="str">
        <f>IFERROR(__xludf.DUMMYFUNCTION("IF(LEN(D3506)&gt;4, IFERROR(REGEXEXTRACT(TO_TEXT(D3506),""\d+""),""""),"""")"),"23302")</f>
        <v>23302</v>
      </c>
      <c r="F3506" s="6" t="str">
        <f t="shared" si="3"/>
        <v>Product</v>
      </c>
      <c r="G3506" s="1" t="s">
        <v>1629</v>
      </c>
      <c r="H3506" s="6" t="str">
        <f>IFERROR(__xludf.DUMMYFUNCTION("IF(REGEXMATCH(LOWER(G3506), ""^(\?)+\s*(missing)?\s*(\?)*$""), """", PROPER(SUBSTITUTE(SUBSTITUTE(G3506, ""?"", """"), ""*"", """")))"),"Kneeling Mat Housework Design")</f>
        <v>Kneeling Mat Housework Design</v>
      </c>
      <c r="I3506" s="3">
        <v>24.0</v>
      </c>
      <c r="J3506" s="7">
        <v>40886.37986111111</v>
      </c>
      <c r="K3506" s="8" t="str">
        <f t="shared" si="4"/>
        <v>2011-12</v>
      </c>
      <c r="L3506" s="5">
        <v>0.79</v>
      </c>
      <c r="M3506" s="3">
        <v>17490.0</v>
      </c>
      <c r="N3506" s="1" t="str">
        <f t="shared" si="5"/>
        <v>Registered</v>
      </c>
      <c r="O3506" s="1" t="s">
        <v>19</v>
      </c>
      <c r="P3506" s="9" t="str">
        <f t="shared" si="6"/>
        <v>UK</v>
      </c>
      <c r="Q3506" s="8">
        <f t="shared" si="7"/>
        <v>18.96</v>
      </c>
    </row>
    <row r="3507">
      <c r="A3507" s="1">
        <v>581481.0</v>
      </c>
      <c r="B3507" s="1" t="str">
        <f t="shared" si="1"/>
        <v>581481</v>
      </c>
      <c r="C3507" s="1" t="str">
        <f t="shared" si="2"/>
        <v>Sale</v>
      </c>
      <c r="D3507" s="1">
        <v>23533.0</v>
      </c>
      <c r="E3507" s="1" t="str">
        <f>IFERROR(__xludf.DUMMYFUNCTION("IF(LEN(D3507)&gt;4, IFERROR(REGEXEXTRACT(TO_TEXT(D3507),""\d+""),""""),"""")"),"23533")</f>
        <v>23533</v>
      </c>
      <c r="F3507" s="6" t="str">
        <f t="shared" si="3"/>
        <v>Product</v>
      </c>
      <c r="G3507" s="1" t="s">
        <v>1630</v>
      </c>
      <c r="H3507" s="6" t="str">
        <f>IFERROR(__xludf.DUMMYFUNCTION("IF(REGEXMATCH(LOWER(G3507), ""^(\?)+\s*(missing)?\s*(\?)*$""), """", PROPER(SUBSTITUTE(SUBSTITUTE(G3507, ""?"", """"), ""*"", """")))"),"Wall Art Garden Haven")</f>
        <v>Wall Art Garden Haven</v>
      </c>
      <c r="I3507" s="3">
        <v>6.0</v>
      </c>
      <c r="J3507" s="7">
        <v>40886.37986111111</v>
      </c>
      <c r="K3507" s="8" t="str">
        <f t="shared" si="4"/>
        <v>2011-12</v>
      </c>
      <c r="L3507" s="5">
        <v>1.95</v>
      </c>
      <c r="M3507" s="3">
        <v>17490.0</v>
      </c>
      <c r="N3507" s="1" t="str">
        <f t="shared" si="5"/>
        <v>Registered</v>
      </c>
      <c r="O3507" s="1" t="s">
        <v>19</v>
      </c>
      <c r="P3507" s="9" t="str">
        <f t="shared" si="6"/>
        <v>UK</v>
      </c>
      <c r="Q3507" s="8">
        <f t="shared" si="7"/>
        <v>11.7</v>
      </c>
    </row>
    <row r="3508">
      <c r="A3508" s="1">
        <v>581481.0</v>
      </c>
      <c r="B3508" s="1" t="str">
        <f t="shared" si="1"/>
        <v>581481</v>
      </c>
      <c r="C3508" s="1" t="str">
        <f t="shared" si="2"/>
        <v>Sale</v>
      </c>
      <c r="D3508" s="1">
        <v>84819.0</v>
      </c>
      <c r="E3508" s="1" t="str">
        <f>IFERROR(__xludf.DUMMYFUNCTION("IF(LEN(D3508)&gt;4, IFERROR(REGEXEXTRACT(TO_TEXT(D3508),""\d+""),""""),"""")"),"84819")</f>
        <v>84819</v>
      </c>
      <c r="F3508" s="6" t="str">
        <f t="shared" si="3"/>
        <v>Product</v>
      </c>
      <c r="G3508" s="1" t="s">
        <v>1125</v>
      </c>
      <c r="H3508" s="6" t="str">
        <f>IFERROR(__xludf.DUMMYFUNCTION("IF(REGEXMATCH(LOWER(G3508), ""^(\?)+\s*(missing)?\s*(\?)*$""), """", PROPER(SUBSTITUTE(SUBSTITUTE(G3508, ""?"", """"), ""*"", """")))"),"Danish Rose Round Sewing Box")</f>
        <v>Danish Rose Round Sewing Box</v>
      </c>
      <c r="I3508" s="3">
        <v>16.0</v>
      </c>
      <c r="J3508" s="7">
        <v>40886.37986111111</v>
      </c>
      <c r="K3508" s="8" t="str">
        <f t="shared" si="4"/>
        <v>2011-12</v>
      </c>
      <c r="L3508" s="5">
        <v>0.79</v>
      </c>
      <c r="M3508" s="3">
        <v>17490.0</v>
      </c>
      <c r="N3508" s="1" t="str">
        <f t="shared" si="5"/>
        <v>Registered</v>
      </c>
      <c r="O3508" s="1" t="s">
        <v>19</v>
      </c>
      <c r="P3508" s="9" t="str">
        <f t="shared" si="6"/>
        <v>UK</v>
      </c>
      <c r="Q3508" s="8">
        <f t="shared" si="7"/>
        <v>12.64</v>
      </c>
    </row>
    <row r="3509">
      <c r="A3509" s="1">
        <v>581482.0</v>
      </c>
      <c r="B3509" s="1" t="str">
        <f t="shared" si="1"/>
        <v>581482</v>
      </c>
      <c r="C3509" s="1" t="str">
        <f t="shared" si="2"/>
        <v>Sale</v>
      </c>
      <c r="D3509" s="1">
        <v>22485.0</v>
      </c>
      <c r="E3509" s="1" t="str">
        <f>IFERROR(__xludf.DUMMYFUNCTION("IF(LEN(D3509)&gt;4, IFERROR(REGEXEXTRACT(TO_TEXT(D3509),""\d+""),""""),"""")"),"22485")</f>
        <v>22485</v>
      </c>
      <c r="F3509" s="6" t="str">
        <f t="shared" si="3"/>
        <v>Product</v>
      </c>
      <c r="G3509" s="1" t="s">
        <v>648</v>
      </c>
      <c r="H3509" s="6" t="str">
        <f>IFERROR(__xludf.DUMMYFUNCTION("IF(REGEXMATCH(LOWER(G3509), ""^(\?)+\s*(missing)?\s*(\?)*$""), """", PROPER(SUBSTITUTE(SUBSTITUTE(G3509, ""?"", """"), ""*"", """")))"),"Set Of 2 Wooden Market Crates")</f>
        <v>Set Of 2 Wooden Market Crates</v>
      </c>
      <c r="I3509" s="3">
        <v>12.0</v>
      </c>
      <c r="J3509" s="7">
        <v>40886.38055555556</v>
      </c>
      <c r="K3509" s="8" t="str">
        <f t="shared" si="4"/>
        <v>2011-12</v>
      </c>
      <c r="L3509" s="5">
        <v>10.95</v>
      </c>
      <c r="M3509" s="3">
        <v>17490.0</v>
      </c>
      <c r="N3509" s="1" t="str">
        <f t="shared" si="5"/>
        <v>Registered</v>
      </c>
      <c r="O3509" s="1" t="s">
        <v>19</v>
      </c>
      <c r="P3509" s="9" t="str">
        <f t="shared" si="6"/>
        <v>UK</v>
      </c>
      <c r="Q3509" s="8">
        <f t="shared" si="7"/>
        <v>131.4</v>
      </c>
    </row>
    <row r="3510">
      <c r="A3510" s="1">
        <v>581482.0</v>
      </c>
      <c r="B3510" s="1" t="str">
        <f t="shared" si="1"/>
        <v>581482</v>
      </c>
      <c r="C3510" s="1" t="str">
        <f t="shared" si="2"/>
        <v>Sale</v>
      </c>
      <c r="D3510" s="1">
        <v>22371.0</v>
      </c>
      <c r="E3510" s="1" t="str">
        <f>IFERROR(__xludf.DUMMYFUNCTION("IF(LEN(D3510)&gt;4, IFERROR(REGEXEXTRACT(TO_TEXT(D3510),""\d+""),""""),"""")"),"22371")</f>
        <v>22371</v>
      </c>
      <c r="F3510" s="6" t="str">
        <f t="shared" si="3"/>
        <v>Product</v>
      </c>
      <c r="G3510" s="1" t="s">
        <v>381</v>
      </c>
      <c r="H3510" s="6" t="str">
        <f>IFERROR(__xludf.DUMMYFUNCTION("IF(REGEXMATCH(LOWER(G3510), ""^(\?)+\s*(missing)?\s*(\?)*$""), """", PROPER(SUBSTITUTE(SUBSTITUTE(G3510, ""?"", """"), ""*"", """")))"),"Airline Bag Vintage Tokyo 78")</f>
        <v>Airline Bag Vintage Tokyo 78</v>
      </c>
      <c r="I3510" s="3">
        <v>12.0</v>
      </c>
      <c r="J3510" s="7">
        <v>40886.38055555556</v>
      </c>
      <c r="K3510" s="8" t="str">
        <f t="shared" si="4"/>
        <v>2011-12</v>
      </c>
      <c r="L3510" s="5">
        <v>3.95</v>
      </c>
      <c r="M3510" s="3">
        <v>17490.0</v>
      </c>
      <c r="N3510" s="1" t="str">
        <f t="shared" si="5"/>
        <v>Registered</v>
      </c>
      <c r="O3510" s="1" t="s">
        <v>19</v>
      </c>
      <c r="P3510" s="9" t="str">
        <f t="shared" si="6"/>
        <v>UK</v>
      </c>
      <c r="Q3510" s="8">
        <f t="shared" si="7"/>
        <v>47.4</v>
      </c>
    </row>
    <row r="3511">
      <c r="A3511" s="1">
        <v>581482.0</v>
      </c>
      <c r="B3511" s="1" t="str">
        <f t="shared" si="1"/>
        <v>581482</v>
      </c>
      <c r="C3511" s="1" t="str">
        <f t="shared" si="2"/>
        <v>Sale</v>
      </c>
      <c r="D3511" s="1">
        <v>21875.0</v>
      </c>
      <c r="E3511" s="1" t="str">
        <f>IFERROR(__xludf.DUMMYFUNCTION("IF(LEN(D3511)&gt;4, IFERROR(REGEXEXTRACT(TO_TEXT(D3511),""\d+""),""""),"""")"),"21875")</f>
        <v>21875</v>
      </c>
      <c r="F3511" s="6" t="str">
        <f t="shared" si="3"/>
        <v>Product</v>
      </c>
      <c r="G3511" s="1" t="s">
        <v>1631</v>
      </c>
      <c r="H3511" s="6" t="str">
        <f>IFERROR(__xludf.DUMMYFUNCTION("IF(REGEXMATCH(LOWER(G3511), ""^(\?)+\s*(missing)?\s*(\?)*$""), """", PROPER(SUBSTITUTE(SUBSTITUTE(G3511, ""?"", """"), ""*"", """")))"),"Kings Choice Mug")</f>
        <v>Kings Choice Mug</v>
      </c>
      <c r="I3511" s="3">
        <v>36.0</v>
      </c>
      <c r="J3511" s="7">
        <v>40886.38055555556</v>
      </c>
      <c r="K3511" s="8" t="str">
        <f t="shared" si="4"/>
        <v>2011-12</v>
      </c>
      <c r="L3511" s="5">
        <v>1.06</v>
      </c>
      <c r="M3511" s="3">
        <v>17490.0</v>
      </c>
      <c r="N3511" s="1" t="str">
        <f t="shared" si="5"/>
        <v>Registered</v>
      </c>
      <c r="O3511" s="1" t="s">
        <v>19</v>
      </c>
      <c r="P3511" s="9" t="str">
        <f t="shared" si="6"/>
        <v>UK</v>
      </c>
      <c r="Q3511" s="8">
        <f t="shared" si="7"/>
        <v>38.16</v>
      </c>
    </row>
    <row r="3512">
      <c r="A3512" s="1">
        <v>581482.0</v>
      </c>
      <c r="B3512" s="1" t="str">
        <f t="shared" si="1"/>
        <v>581482</v>
      </c>
      <c r="C3512" s="1" t="str">
        <f t="shared" si="2"/>
        <v>Sale</v>
      </c>
      <c r="D3512" s="1">
        <v>23251.0</v>
      </c>
      <c r="E3512" s="1" t="str">
        <f>IFERROR(__xludf.DUMMYFUNCTION("IF(LEN(D3512)&gt;4, IFERROR(REGEXEXTRACT(TO_TEXT(D3512),""\d+""),""""),"""")"),"23251")</f>
        <v>23251</v>
      </c>
      <c r="F3512" s="6" t="str">
        <f t="shared" si="3"/>
        <v>Product</v>
      </c>
      <c r="G3512" s="1" t="s">
        <v>1632</v>
      </c>
      <c r="H3512" s="6" t="str">
        <f>IFERROR(__xludf.DUMMYFUNCTION("IF(REGEXMATCH(LOWER(G3512), ""^(\?)+\s*(missing)?\s*(\?)*$""), """", PROPER(SUBSTITUTE(SUBSTITUTE(G3512, ""?"", """"), ""*"", """")))"),"Vintage Red Enamel Trim Mug")</f>
        <v>Vintage Red Enamel Trim Mug</v>
      </c>
      <c r="I3512" s="3">
        <v>96.0</v>
      </c>
      <c r="J3512" s="7">
        <v>40886.38055555556</v>
      </c>
      <c r="K3512" s="8" t="str">
        <f t="shared" si="4"/>
        <v>2011-12</v>
      </c>
      <c r="L3512" s="5">
        <v>1.04</v>
      </c>
      <c r="M3512" s="3">
        <v>17490.0</v>
      </c>
      <c r="N3512" s="1" t="str">
        <f t="shared" si="5"/>
        <v>Registered</v>
      </c>
      <c r="O3512" s="1" t="s">
        <v>19</v>
      </c>
      <c r="P3512" s="9" t="str">
        <f t="shared" si="6"/>
        <v>UK</v>
      </c>
      <c r="Q3512" s="8">
        <f t="shared" si="7"/>
        <v>99.84</v>
      </c>
    </row>
    <row r="3513">
      <c r="A3513" s="1">
        <v>581482.0</v>
      </c>
      <c r="B3513" s="1" t="str">
        <f t="shared" si="1"/>
        <v>581482</v>
      </c>
      <c r="C3513" s="1" t="str">
        <f t="shared" si="2"/>
        <v>Sale</v>
      </c>
      <c r="D3513" s="1">
        <v>23300.0</v>
      </c>
      <c r="E3513" s="1" t="str">
        <f>IFERROR(__xludf.DUMMYFUNCTION("IF(LEN(D3513)&gt;4, IFERROR(REGEXEXTRACT(TO_TEXT(D3513),""\d+""),""""),"""")"),"23300")</f>
        <v>23300</v>
      </c>
      <c r="F3513" s="6" t="str">
        <f t="shared" si="3"/>
        <v>Product</v>
      </c>
      <c r="G3513" s="1" t="s">
        <v>1563</v>
      </c>
      <c r="H3513" s="6" t="str">
        <f>IFERROR(__xludf.DUMMYFUNCTION("IF(REGEXMATCH(LOWER(G3513), ""^(\?)+\s*(missing)?\s*(\?)*$""), """", PROPER(SUBSTITUTE(SUBSTITUTE(G3513, ""?"", """"), ""*"", """")))"),"Gardeners Kneeling Pad Cup Of Tea")</f>
        <v>Gardeners Kneeling Pad Cup Of Tea</v>
      </c>
      <c r="I3513" s="3">
        <v>48.0</v>
      </c>
      <c r="J3513" s="7">
        <v>40886.38055555556</v>
      </c>
      <c r="K3513" s="8" t="str">
        <f t="shared" si="4"/>
        <v>2011-12</v>
      </c>
      <c r="L3513" s="5">
        <v>1.45</v>
      </c>
      <c r="M3513" s="3">
        <v>17490.0</v>
      </c>
      <c r="N3513" s="1" t="str">
        <f t="shared" si="5"/>
        <v>Registered</v>
      </c>
      <c r="O3513" s="1" t="s">
        <v>19</v>
      </c>
      <c r="P3513" s="9" t="str">
        <f t="shared" si="6"/>
        <v>UK</v>
      </c>
      <c r="Q3513" s="8">
        <f t="shared" si="7"/>
        <v>69.6</v>
      </c>
    </row>
    <row r="3514">
      <c r="A3514" s="1">
        <v>581482.0</v>
      </c>
      <c r="B3514" s="1" t="str">
        <f t="shared" si="1"/>
        <v>581482</v>
      </c>
      <c r="C3514" s="1" t="str">
        <f t="shared" si="2"/>
        <v>Sale</v>
      </c>
      <c r="D3514" s="1">
        <v>22138.0</v>
      </c>
      <c r="E3514" s="1" t="str">
        <f>IFERROR(__xludf.DUMMYFUNCTION("IF(LEN(D3514)&gt;4, IFERROR(REGEXEXTRACT(TO_TEXT(D3514),""\d+""),""""),"""")"),"22138")</f>
        <v>22138</v>
      </c>
      <c r="F3514" s="6" t="str">
        <f t="shared" si="3"/>
        <v>Product</v>
      </c>
      <c r="G3514" s="1" t="s">
        <v>735</v>
      </c>
      <c r="H3514" s="6" t="str">
        <f>IFERROR(__xludf.DUMMYFUNCTION("IF(REGEXMATCH(LOWER(G3514), ""^(\?)+\s*(missing)?\s*(\?)*$""), """", PROPER(SUBSTITUTE(SUBSTITUTE(G3514, ""?"", """"), ""*"", """")))"),"Baking Set 9 Piece Retrospot")</f>
        <v>Baking Set 9 Piece Retrospot</v>
      </c>
      <c r="I3514" s="3">
        <v>24.0</v>
      </c>
      <c r="J3514" s="7">
        <v>40886.38055555556</v>
      </c>
      <c r="K3514" s="8" t="str">
        <f t="shared" si="4"/>
        <v>2011-12</v>
      </c>
      <c r="L3514" s="5">
        <v>4.25</v>
      </c>
      <c r="M3514" s="3">
        <v>17490.0</v>
      </c>
      <c r="N3514" s="1" t="str">
        <f t="shared" si="5"/>
        <v>Registered</v>
      </c>
      <c r="O3514" s="1" t="s">
        <v>19</v>
      </c>
      <c r="P3514" s="9" t="str">
        <f t="shared" si="6"/>
        <v>UK</v>
      </c>
      <c r="Q3514" s="8">
        <f t="shared" si="7"/>
        <v>102</v>
      </c>
    </row>
    <row r="3515">
      <c r="A3515" s="1">
        <v>541220.0</v>
      </c>
      <c r="B3515" s="1" t="str">
        <f t="shared" si="1"/>
        <v>541220</v>
      </c>
      <c r="C3515" s="1" t="str">
        <f t="shared" si="2"/>
        <v>Sale</v>
      </c>
      <c r="D3515" s="1">
        <v>22840.0</v>
      </c>
      <c r="E3515" s="1" t="str">
        <f>IFERROR(__xludf.DUMMYFUNCTION("IF(LEN(D3515)&gt;4, IFERROR(REGEXEXTRACT(TO_TEXT(D3515),""\d+""),""""),"""")"),"22840")</f>
        <v>22840</v>
      </c>
      <c r="F3515" s="6" t="str">
        <f t="shared" si="3"/>
        <v>Product</v>
      </c>
      <c r="G3515" s="1" t="s">
        <v>782</v>
      </c>
      <c r="H3515" s="6" t="str">
        <f>IFERROR(__xludf.DUMMYFUNCTION("IF(REGEXMATCH(LOWER(G3515), ""^(\?)+\s*(missing)?\s*(\?)*$""), """", PROPER(SUBSTITUTE(SUBSTITUTE(G3515, ""?"", """"), ""*"", """")))"),"Round Cake Tin Vintage Red")</f>
        <v>Round Cake Tin Vintage Red</v>
      </c>
      <c r="I3515" s="3">
        <v>144.0</v>
      </c>
      <c r="J3515" s="7">
        <v>40557.59097222222</v>
      </c>
      <c r="K3515" s="8" t="str">
        <f t="shared" si="4"/>
        <v>2011-01</v>
      </c>
      <c r="L3515" s="5">
        <v>6.95</v>
      </c>
      <c r="M3515" s="3">
        <v>14156.0</v>
      </c>
      <c r="N3515" s="1" t="str">
        <f t="shared" si="5"/>
        <v>Registered</v>
      </c>
      <c r="O3515" s="1" t="s">
        <v>1633</v>
      </c>
      <c r="P3515" s="9" t="str">
        <f t="shared" si="6"/>
        <v>International</v>
      </c>
      <c r="Q3515" s="8">
        <f t="shared" si="7"/>
        <v>1000.8</v>
      </c>
    </row>
    <row r="3516">
      <c r="A3516" s="1" t="s">
        <v>1634</v>
      </c>
      <c r="B3516" s="1" t="str">
        <f t="shared" si="1"/>
        <v>570556</v>
      </c>
      <c r="C3516" s="1" t="str">
        <f t="shared" si="2"/>
        <v>Return</v>
      </c>
      <c r="D3516" s="1">
        <v>22147.0</v>
      </c>
      <c r="E3516" s="1" t="str">
        <f>IFERROR(__xludf.DUMMYFUNCTION("IF(LEN(D3516)&gt;4, IFERROR(REGEXEXTRACT(TO_TEXT(D3516),""\d+""),""""),"""")"),"22147")</f>
        <v>22147</v>
      </c>
      <c r="F3516" s="6" t="str">
        <f t="shared" si="3"/>
        <v>Product</v>
      </c>
      <c r="G3516" s="1" t="s">
        <v>474</v>
      </c>
      <c r="H3516" s="6" t="str">
        <f>IFERROR(__xludf.DUMMYFUNCTION("IF(REGEXMATCH(LOWER(G3516), ""^(\?)+\s*(missing)?\s*(\?)*$""), """", PROPER(SUBSTITUTE(SUBSTITUTE(G3516, ""?"", """"), ""*"", """")))"),"Feltcraft Butterfly Hearts")</f>
        <v>Feltcraft Butterfly Hearts</v>
      </c>
      <c r="I3516" s="3">
        <v>-840.0</v>
      </c>
      <c r="J3516" s="7">
        <v>40827.46527777778</v>
      </c>
      <c r="K3516" s="8" t="str">
        <f t="shared" si="4"/>
        <v>2011-10</v>
      </c>
      <c r="L3516" s="5">
        <v>1.25</v>
      </c>
      <c r="M3516" s="3">
        <v>16029.0</v>
      </c>
      <c r="N3516" s="1" t="str">
        <f t="shared" si="5"/>
        <v>Registered</v>
      </c>
      <c r="O3516" s="1" t="s">
        <v>19</v>
      </c>
      <c r="P3516" s="9" t="str">
        <f t="shared" si="6"/>
        <v>UK</v>
      </c>
      <c r="Q3516" s="8">
        <f t="shared" si="7"/>
        <v>-1050</v>
      </c>
    </row>
    <row r="3517">
      <c r="A3517" s="1">
        <v>581485.0</v>
      </c>
      <c r="B3517" s="1" t="str">
        <f t="shared" si="1"/>
        <v>581485</v>
      </c>
      <c r="C3517" s="1" t="str">
        <f t="shared" si="2"/>
        <v>Sale</v>
      </c>
      <c r="D3517" s="1">
        <v>22617.0</v>
      </c>
      <c r="E3517" s="1" t="str">
        <f>IFERROR(__xludf.DUMMYFUNCTION("IF(LEN(D3517)&gt;4, IFERROR(REGEXEXTRACT(TO_TEXT(D3517),""\d+""),""""),"""")"),"22617")</f>
        <v>22617</v>
      </c>
      <c r="F3517" s="6" t="str">
        <f t="shared" si="3"/>
        <v>Product</v>
      </c>
      <c r="G3517" s="1" t="s">
        <v>1034</v>
      </c>
      <c r="H3517" s="6" t="str">
        <f>IFERROR(__xludf.DUMMYFUNCTION("IF(REGEXMATCH(LOWER(G3517), ""^(\?)+\s*(missing)?\s*(\?)*$""), """", PROPER(SUBSTITUTE(SUBSTITUTE(G3517, ""?"", """"), ""*"", """")))"),"Baking Set Spaceboy Design")</f>
        <v>Baking Set Spaceboy Design</v>
      </c>
      <c r="I3517" s="3">
        <v>18.0</v>
      </c>
      <c r="J3517" s="7">
        <v>40886.40138888889</v>
      </c>
      <c r="K3517" s="8" t="str">
        <f t="shared" si="4"/>
        <v>2011-12</v>
      </c>
      <c r="L3517" s="5">
        <v>4.95</v>
      </c>
      <c r="M3517" s="3">
        <v>17389.0</v>
      </c>
      <c r="N3517" s="1" t="str">
        <f t="shared" si="5"/>
        <v>Registered</v>
      </c>
      <c r="O3517" s="1" t="s">
        <v>19</v>
      </c>
      <c r="P3517" s="9" t="str">
        <f t="shared" si="6"/>
        <v>UK</v>
      </c>
      <c r="Q3517" s="8">
        <f t="shared" si="7"/>
        <v>89.1</v>
      </c>
    </row>
    <row r="3518">
      <c r="A3518" s="1">
        <v>581485.0</v>
      </c>
      <c r="B3518" s="1" t="str">
        <f t="shared" si="1"/>
        <v>581485</v>
      </c>
      <c r="C3518" s="1" t="str">
        <f t="shared" si="2"/>
        <v>Sale</v>
      </c>
      <c r="D3518" s="1">
        <v>22768.0</v>
      </c>
      <c r="E3518" s="1" t="str">
        <f>IFERROR(__xludf.DUMMYFUNCTION("IF(LEN(D3518)&gt;4, IFERROR(REGEXEXTRACT(TO_TEXT(D3518),""\d+""),""""),"""")"),"22768")</f>
        <v>22768</v>
      </c>
      <c r="F3518" s="6" t="str">
        <f t="shared" si="3"/>
        <v>Product</v>
      </c>
      <c r="G3518" s="1" t="s">
        <v>289</v>
      </c>
      <c r="H3518" s="6" t="str">
        <f>IFERROR(__xludf.DUMMYFUNCTION("IF(REGEXMATCH(LOWER(G3518), ""^(\?)+\s*(missing)?\s*(\?)*$""), """", PROPER(SUBSTITUTE(SUBSTITUTE(G3518, ""?"", """"), ""*"", """")))"),"Family Photo Frame Cornice")</f>
        <v>Family Photo Frame Cornice</v>
      </c>
      <c r="I3518" s="3">
        <v>12.0</v>
      </c>
      <c r="J3518" s="7">
        <v>40886.40138888889</v>
      </c>
      <c r="K3518" s="8" t="str">
        <f t="shared" si="4"/>
        <v>2011-12</v>
      </c>
      <c r="L3518" s="5">
        <v>9.95</v>
      </c>
      <c r="M3518" s="3">
        <v>17389.0</v>
      </c>
      <c r="N3518" s="1" t="str">
        <f t="shared" si="5"/>
        <v>Registered</v>
      </c>
      <c r="O3518" s="1" t="s">
        <v>19</v>
      </c>
      <c r="P3518" s="9" t="str">
        <f t="shared" si="6"/>
        <v>UK</v>
      </c>
      <c r="Q3518" s="8">
        <f t="shared" si="7"/>
        <v>119.4</v>
      </c>
    </row>
    <row r="3519">
      <c r="A3519" s="1">
        <v>581485.0</v>
      </c>
      <c r="B3519" s="1" t="str">
        <f t="shared" si="1"/>
        <v>581485</v>
      </c>
      <c r="C3519" s="1" t="str">
        <f t="shared" si="2"/>
        <v>Sale</v>
      </c>
      <c r="D3519" s="1">
        <v>20749.0</v>
      </c>
      <c r="E3519" s="1" t="str">
        <f>IFERROR(__xludf.DUMMYFUNCTION("IF(LEN(D3519)&gt;4, IFERROR(REGEXEXTRACT(TO_TEXT(D3519),""\d+""),""""),"""")"),"20749")</f>
        <v>20749</v>
      </c>
      <c r="F3519" s="6" t="str">
        <f t="shared" si="3"/>
        <v>Product</v>
      </c>
      <c r="G3519" s="1" t="s">
        <v>319</v>
      </c>
      <c r="H3519" s="6" t="str">
        <f>IFERROR(__xludf.DUMMYFUNCTION("IF(REGEXMATCH(LOWER(G3519), ""^(\?)+\s*(missing)?\s*(\?)*$""), """", PROPER(SUBSTITUTE(SUBSTITUTE(G3519, ""?"", """"), ""*"", """")))"),"Assorted Colour Mini Cases")</f>
        <v>Assorted Colour Mini Cases</v>
      </c>
      <c r="I3519" s="3">
        <v>84.0</v>
      </c>
      <c r="J3519" s="7">
        <v>40886.40138888889</v>
      </c>
      <c r="K3519" s="8" t="str">
        <f t="shared" si="4"/>
        <v>2011-12</v>
      </c>
      <c r="L3519" s="5">
        <v>6.35</v>
      </c>
      <c r="M3519" s="3">
        <v>17389.0</v>
      </c>
      <c r="N3519" s="1" t="str">
        <f t="shared" si="5"/>
        <v>Registered</v>
      </c>
      <c r="O3519" s="1" t="s">
        <v>19</v>
      </c>
      <c r="P3519" s="9" t="str">
        <f t="shared" si="6"/>
        <v>UK</v>
      </c>
      <c r="Q3519" s="8">
        <f t="shared" si="7"/>
        <v>533.4</v>
      </c>
    </row>
    <row r="3520">
      <c r="A3520" s="1">
        <v>581486.0</v>
      </c>
      <c r="B3520" s="1" t="str">
        <f t="shared" si="1"/>
        <v>581486</v>
      </c>
      <c r="C3520" s="1" t="str">
        <f t="shared" si="2"/>
        <v>Sale</v>
      </c>
      <c r="D3520" s="1">
        <v>22910.0</v>
      </c>
      <c r="E3520" s="1" t="str">
        <f>IFERROR(__xludf.DUMMYFUNCTION("IF(LEN(D3520)&gt;4, IFERROR(REGEXEXTRACT(TO_TEXT(D3520),""\d+""),""""),"""")"),"22910")</f>
        <v>22910</v>
      </c>
      <c r="F3520" s="6" t="str">
        <f t="shared" si="3"/>
        <v>Product</v>
      </c>
      <c r="G3520" s="1" t="s">
        <v>215</v>
      </c>
      <c r="H3520" s="6" t="str">
        <f>IFERROR(__xludf.DUMMYFUNCTION("IF(REGEXMATCH(LOWER(G3520), ""^(\?)+\s*(missing)?\s*(\?)*$""), """", PROPER(SUBSTITUTE(SUBSTITUTE(G3520, ""?"", """"), ""*"", """")))"),"Paper Chain Kit Vintage Christmas")</f>
        <v>Paper Chain Kit Vintage Christmas</v>
      </c>
      <c r="I3520" s="3">
        <v>12.0</v>
      </c>
      <c r="J3520" s="7">
        <v>40886.40138888889</v>
      </c>
      <c r="K3520" s="8" t="str">
        <f t="shared" si="4"/>
        <v>2011-12</v>
      </c>
      <c r="L3520" s="5">
        <v>2.95</v>
      </c>
      <c r="M3520" s="3">
        <v>17001.0</v>
      </c>
      <c r="N3520" s="1" t="str">
        <f t="shared" si="5"/>
        <v>Registered</v>
      </c>
      <c r="O3520" s="1" t="s">
        <v>19</v>
      </c>
      <c r="P3520" s="9" t="str">
        <f t="shared" si="6"/>
        <v>UK</v>
      </c>
      <c r="Q3520" s="8">
        <f t="shared" si="7"/>
        <v>35.4</v>
      </c>
    </row>
    <row r="3521">
      <c r="A3521" s="1">
        <v>581486.0</v>
      </c>
      <c r="B3521" s="1" t="str">
        <f t="shared" si="1"/>
        <v>581486</v>
      </c>
      <c r="C3521" s="1" t="str">
        <f t="shared" si="2"/>
        <v>Sale</v>
      </c>
      <c r="D3521" s="1">
        <v>22086.0</v>
      </c>
      <c r="E3521" s="1" t="str">
        <f>IFERROR(__xludf.DUMMYFUNCTION("IF(LEN(D3521)&gt;4, IFERROR(REGEXEXTRACT(TO_TEXT(D3521),""\d+""),""""),"""")"),"22086")</f>
        <v>22086</v>
      </c>
      <c r="F3521" s="6" t="str">
        <f t="shared" si="3"/>
        <v>Product</v>
      </c>
      <c r="G3521" s="1" t="s">
        <v>70</v>
      </c>
      <c r="H3521" s="6" t="str">
        <f>IFERROR(__xludf.DUMMYFUNCTION("IF(REGEXMATCH(LOWER(G3521), ""^(\?)+\s*(missing)?\s*(\?)*$""), """", PROPER(SUBSTITUTE(SUBSTITUTE(G3521, ""?"", """"), ""*"", """")))"),"Paper Chain Kit 50'S Christmas")</f>
        <v>Paper Chain Kit 50'S Christmas</v>
      </c>
      <c r="I3521" s="3">
        <v>12.0</v>
      </c>
      <c r="J3521" s="7">
        <v>40886.40138888889</v>
      </c>
      <c r="K3521" s="8" t="str">
        <f t="shared" si="4"/>
        <v>2011-12</v>
      </c>
      <c r="L3521" s="5">
        <v>2.95</v>
      </c>
      <c r="M3521" s="3">
        <v>17001.0</v>
      </c>
      <c r="N3521" s="1" t="str">
        <f t="shared" si="5"/>
        <v>Registered</v>
      </c>
      <c r="O3521" s="1" t="s">
        <v>19</v>
      </c>
      <c r="P3521" s="9" t="str">
        <f t="shared" si="6"/>
        <v>UK</v>
      </c>
      <c r="Q3521" s="8">
        <f t="shared" si="7"/>
        <v>35.4</v>
      </c>
    </row>
    <row r="3522">
      <c r="A3522" s="1">
        <v>581486.0</v>
      </c>
      <c r="B3522" s="1" t="str">
        <f t="shared" si="1"/>
        <v>581486</v>
      </c>
      <c r="C3522" s="1" t="str">
        <f t="shared" si="2"/>
        <v>Sale</v>
      </c>
      <c r="D3522" s="1">
        <v>23344.0</v>
      </c>
      <c r="E3522" s="1" t="str">
        <f>IFERROR(__xludf.DUMMYFUNCTION("IF(LEN(D3522)&gt;4, IFERROR(REGEXEXTRACT(TO_TEXT(D3522),""\d+""),""""),"""")"),"23344")</f>
        <v>23344</v>
      </c>
      <c r="F3522" s="6" t="str">
        <f t="shared" si="3"/>
        <v>Product</v>
      </c>
      <c r="G3522" s="1" t="s">
        <v>1566</v>
      </c>
      <c r="H3522" s="6" t="str">
        <f>IFERROR(__xludf.DUMMYFUNCTION("IF(REGEXMATCH(LOWER(G3522), ""^(\?)+\s*(missing)?\s*(\?)*$""), """", PROPER(SUBSTITUTE(SUBSTITUTE(G3522, ""?"", """"), ""*"", """")))"),"Jumbo Bag 50'S Christmas")</f>
        <v>Jumbo Bag 50'S Christmas</v>
      </c>
      <c r="I3522" s="3">
        <v>20.0</v>
      </c>
      <c r="J3522" s="7">
        <v>40886.40138888889</v>
      </c>
      <c r="K3522" s="8" t="str">
        <f t="shared" si="4"/>
        <v>2011-12</v>
      </c>
      <c r="L3522" s="5">
        <v>2.08</v>
      </c>
      <c r="M3522" s="3">
        <v>17001.0</v>
      </c>
      <c r="N3522" s="1" t="str">
        <f t="shared" si="5"/>
        <v>Registered</v>
      </c>
      <c r="O3522" s="1" t="s">
        <v>19</v>
      </c>
      <c r="P3522" s="9" t="str">
        <f t="shared" si="6"/>
        <v>UK</v>
      </c>
      <c r="Q3522" s="8">
        <f t="shared" si="7"/>
        <v>41.6</v>
      </c>
    </row>
    <row r="3523">
      <c r="A3523" s="1">
        <v>581486.0</v>
      </c>
      <c r="B3523" s="1" t="str">
        <f t="shared" si="1"/>
        <v>581486</v>
      </c>
      <c r="C3523" s="1" t="str">
        <f t="shared" si="2"/>
        <v>Sale</v>
      </c>
      <c r="D3523" s="1">
        <v>23351.0</v>
      </c>
      <c r="E3523" s="1" t="str">
        <f>IFERROR(__xludf.DUMMYFUNCTION("IF(LEN(D3523)&gt;4, IFERROR(REGEXEXTRACT(TO_TEXT(D3523),""\d+""),""""),"""")"),"23351")</f>
        <v>23351</v>
      </c>
      <c r="F3523" s="6" t="str">
        <f t="shared" si="3"/>
        <v>Product</v>
      </c>
      <c r="G3523" s="1" t="s">
        <v>1570</v>
      </c>
      <c r="H3523" s="6" t="str">
        <f>IFERROR(__xludf.DUMMYFUNCTION("IF(REGEXMATCH(LOWER(G3523), ""^(\?)+\s*(missing)?\s*(\?)*$""), """", PROPER(SUBSTITUTE(SUBSTITUTE(G3523, ""?"", """"), ""*"", """")))"),"Roll Wrap 50'S Christmas")</f>
        <v>Roll Wrap 50'S Christmas</v>
      </c>
      <c r="I3523" s="3">
        <v>12.0</v>
      </c>
      <c r="J3523" s="7">
        <v>40886.40138888889</v>
      </c>
      <c r="K3523" s="8" t="str">
        <f t="shared" si="4"/>
        <v>2011-12</v>
      </c>
      <c r="L3523" s="5">
        <v>1.25</v>
      </c>
      <c r="M3523" s="3">
        <v>17001.0</v>
      </c>
      <c r="N3523" s="1" t="str">
        <f t="shared" si="5"/>
        <v>Registered</v>
      </c>
      <c r="O3523" s="1" t="s">
        <v>19</v>
      </c>
      <c r="P3523" s="9" t="str">
        <f t="shared" si="6"/>
        <v>UK</v>
      </c>
      <c r="Q3523" s="8">
        <f t="shared" si="7"/>
        <v>15</v>
      </c>
    </row>
    <row r="3524">
      <c r="A3524" s="1">
        <v>581486.0</v>
      </c>
      <c r="B3524" s="1" t="str">
        <f t="shared" si="1"/>
        <v>581486</v>
      </c>
      <c r="C3524" s="1" t="str">
        <f t="shared" si="2"/>
        <v>Sale</v>
      </c>
      <c r="D3524" s="1">
        <v>23352.0</v>
      </c>
      <c r="E3524" s="1" t="str">
        <f>IFERROR(__xludf.DUMMYFUNCTION("IF(LEN(D3524)&gt;4, IFERROR(REGEXEXTRACT(TO_TEXT(D3524),""\d+""),""""),"""")"),"23352")</f>
        <v>23352</v>
      </c>
      <c r="F3524" s="6" t="str">
        <f t="shared" si="3"/>
        <v>Product</v>
      </c>
      <c r="G3524" s="1" t="s">
        <v>1569</v>
      </c>
      <c r="H3524" s="6" t="str">
        <f>IFERROR(__xludf.DUMMYFUNCTION("IF(REGEXMATCH(LOWER(G3524), ""^(\?)+\s*(missing)?\s*(\?)*$""), """", PROPER(SUBSTITUTE(SUBSTITUTE(G3524, ""?"", """"), ""*"", """")))"),"Roll Wrap 50'S Red Christmas")</f>
        <v>Roll Wrap 50'S Red Christmas</v>
      </c>
      <c r="I3524" s="3">
        <v>12.0</v>
      </c>
      <c r="J3524" s="7">
        <v>40886.40138888889</v>
      </c>
      <c r="K3524" s="8" t="str">
        <f t="shared" si="4"/>
        <v>2011-12</v>
      </c>
      <c r="L3524" s="5">
        <v>1.25</v>
      </c>
      <c r="M3524" s="3">
        <v>17001.0</v>
      </c>
      <c r="N3524" s="1" t="str">
        <f t="shared" si="5"/>
        <v>Registered</v>
      </c>
      <c r="O3524" s="1" t="s">
        <v>19</v>
      </c>
      <c r="P3524" s="9" t="str">
        <f t="shared" si="6"/>
        <v>UK</v>
      </c>
      <c r="Q3524" s="8">
        <f t="shared" si="7"/>
        <v>15</v>
      </c>
    </row>
    <row r="3525">
      <c r="A3525" s="1">
        <v>581486.0</v>
      </c>
      <c r="B3525" s="1" t="str">
        <f t="shared" si="1"/>
        <v>581486</v>
      </c>
      <c r="C3525" s="1" t="str">
        <f t="shared" si="2"/>
        <v>Sale</v>
      </c>
      <c r="D3525" s="1">
        <v>22727.0</v>
      </c>
      <c r="E3525" s="1" t="str">
        <f>IFERROR(__xludf.DUMMYFUNCTION("IF(LEN(D3525)&gt;4, IFERROR(REGEXEXTRACT(TO_TEXT(D3525),""\d+""),""""),"""")"),"22727")</f>
        <v>22727</v>
      </c>
      <c r="F3525" s="6" t="str">
        <f t="shared" si="3"/>
        <v>Product</v>
      </c>
      <c r="G3525" s="1" t="s">
        <v>50</v>
      </c>
      <c r="H3525" s="6" t="str">
        <f>IFERROR(__xludf.DUMMYFUNCTION("IF(REGEXMATCH(LOWER(G3525), ""^(\?)+\s*(missing)?\s*(\?)*$""), """", PROPER(SUBSTITUTE(SUBSTITUTE(G3525, ""?"", """"), ""*"", """")))"),"Alarm Clock Bakelike Red")</f>
        <v>Alarm Clock Bakelike Red</v>
      </c>
      <c r="I3525" s="3">
        <v>8.0</v>
      </c>
      <c r="J3525" s="7">
        <v>40886.40138888889</v>
      </c>
      <c r="K3525" s="8" t="str">
        <f t="shared" si="4"/>
        <v>2011-12</v>
      </c>
      <c r="L3525" s="5">
        <v>3.75</v>
      </c>
      <c r="M3525" s="3">
        <v>17001.0</v>
      </c>
      <c r="N3525" s="1" t="str">
        <f t="shared" si="5"/>
        <v>Registered</v>
      </c>
      <c r="O3525" s="1" t="s">
        <v>19</v>
      </c>
      <c r="P3525" s="9" t="str">
        <f t="shared" si="6"/>
        <v>UK</v>
      </c>
      <c r="Q3525" s="8">
        <f t="shared" si="7"/>
        <v>30</v>
      </c>
    </row>
    <row r="3526">
      <c r="A3526" s="1">
        <v>581486.0</v>
      </c>
      <c r="B3526" s="1" t="str">
        <f t="shared" si="1"/>
        <v>581486</v>
      </c>
      <c r="C3526" s="1" t="str">
        <f t="shared" si="2"/>
        <v>Sale</v>
      </c>
      <c r="D3526" s="1">
        <v>22730.0</v>
      </c>
      <c r="E3526" s="1" t="str">
        <f>IFERROR(__xludf.DUMMYFUNCTION("IF(LEN(D3526)&gt;4, IFERROR(REGEXEXTRACT(TO_TEXT(D3526),""\d+""),""""),"""")"),"22730")</f>
        <v>22730</v>
      </c>
      <c r="F3526" s="6" t="str">
        <f t="shared" si="3"/>
        <v>Product</v>
      </c>
      <c r="G3526" s="1" t="s">
        <v>255</v>
      </c>
      <c r="H3526" s="6" t="str">
        <f>IFERROR(__xludf.DUMMYFUNCTION("IF(REGEXMATCH(LOWER(G3526), ""^(\?)+\s*(missing)?\s*(\?)*$""), """", PROPER(SUBSTITUTE(SUBSTITUTE(G3526, ""?"", """"), ""*"", """")))"),"Alarm Clock Bakelike Ivory")</f>
        <v>Alarm Clock Bakelike Ivory</v>
      </c>
      <c r="I3526" s="3">
        <v>4.0</v>
      </c>
      <c r="J3526" s="7">
        <v>40886.40138888889</v>
      </c>
      <c r="K3526" s="8" t="str">
        <f t="shared" si="4"/>
        <v>2011-12</v>
      </c>
      <c r="L3526" s="5">
        <v>3.75</v>
      </c>
      <c r="M3526" s="3">
        <v>17001.0</v>
      </c>
      <c r="N3526" s="1" t="str">
        <f t="shared" si="5"/>
        <v>Registered</v>
      </c>
      <c r="O3526" s="1" t="s">
        <v>19</v>
      </c>
      <c r="P3526" s="9" t="str">
        <f t="shared" si="6"/>
        <v>UK</v>
      </c>
      <c r="Q3526" s="8">
        <f t="shared" si="7"/>
        <v>15</v>
      </c>
    </row>
    <row r="3527">
      <c r="A3527" s="1">
        <v>581486.0</v>
      </c>
      <c r="B3527" s="1" t="str">
        <f t="shared" si="1"/>
        <v>581486</v>
      </c>
      <c r="C3527" s="1" t="str">
        <f t="shared" si="2"/>
        <v>Sale</v>
      </c>
      <c r="D3527" s="1">
        <v>23203.0</v>
      </c>
      <c r="E3527" s="1" t="str">
        <f>IFERROR(__xludf.DUMMYFUNCTION("IF(LEN(D3527)&gt;4, IFERROR(REGEXEXTRACT(TO_TEXT(D3527),""\d+""),""""),"""")"),"23203")</f>
        <v>23203</v>
      </c>
      <c r="F3527" s="6" t="str">
        <f t="shared" si="3"/>
        <v>Product</v>
      </c>
      <c r="G3527" s="1" t="s">
        <v>1635</v>
      </c>
      <c r="H3527" s="6" t="str">
        <f>IFERROR(__xludf.DUMMYFUNCTION("IF(REGEXMATCH(LOWER(G3527), ""^(\?)+\s*(missing)?\s*(\?)*$""), """", PROPER(SUBSTITUTE(SUBSTITUTE(G3527, ""?"", """"), ""*"", """")))"),"Jumbo Bag Vintage Doily")</f>
        <v>Jumbo Bag Vintage Doily</v>
      </c>
      <c r="I3527" s="3">
        <v>20.0</v>
      </c>
      <c r="J3527" s="7">
        <v>40886.40138888889</v>
      </c>
      <c r="K3527" s="8" t="str">
        <f t="shared" si="4"/>
        <v>2011-12</v>
      </c>
      <c r="L3527" s="5">
        <v>2.08</v>
      </c>
      <c r="M3527" s="3">
        <v>17001.0</v>
      </c>
      <c r="N3527" s="1" t="str">
        <f t="shared" si="5"/>
        <v>Registered</v>
      </c>
      <c r="O3527" s="1" t="s">
        <v>19</v>
      </c>
      <c r="P3527" s="9" t="str">
        <f t="shared" si="6"/>
        <v>UK</v>
      </c>
      <c r="Q3527" s="8">
        <f t="shared" si="7"/>
        <v>41.6</v>
      </c>
    </row>
    <row r="3528">
      <c r="A3528" s="1">
        <v>581486.0</v>
      </c>
      <c r="B3528" s="1" t="str">
        <f t="shared" si="1"/>
        <v>581486</v>
      </c>
      <c r="C3528" s="1" t="str">
        <f t="shared" si="2"/>
        <v>Sale</v>
      </c>
      <c r="D3528" s="1" t="s">
        <v>181</v>
      </c>
      <c r="E3528" s="1" t="str">
        <f>IFERROR(__xludf.DUMMYFUNCTION("IF(LEN(D3528)&gt;4, IFERROR(REGEXEXTRACT(TO_TEXT(D3528),""\d+""),""""),"""")"),"85099")</f>
        <v>85099</v>
      </c>
      <c r="F3528" s="6" t="str">
        <f t="shared" si="3"/>
        <v>Product</v>
      </c>
      <c r="G3528" s="1" t="s">
        <v>182</v>
      </c>
      <c r="H3528" s="6" t="str">
        <f>IFERROR(__xludf.DUMMYFUNCTION("IF(REGEXMATCH(LOWER(G3528), ""^(\?)+\s*(missing)?\s*(\?)*$""), """", PROPER(SUBSTITUTE(SUBSTITUTE(G3528, ""?"", """"), ""*"", """")))"),"Jumbo Bag Red Retrospot")</f>
        <v>Jumbo Bag Red Retrospot</v>
      </c>
      <c r="I3528" s="3">
        <v>10.0</v>
      </c>
      <c r="J3528" s="7">
        <v>40886.40138888889</v>
      </c>
      <c r="K3528" s="8" t="str">
        <f t="shared" si="4"/>
        <v>2011-12</v>
      </c>
      <c r="L3528" s="5">
        <v>2.08</v>
      </c>
      <c r="M3528" s="3">
        <v>17001.0</v>
      </c>
      <c r="N3528" s="1" t="str">
        <f t="shared" si="5"/>
        <v>Registered</v>
      </c>
      <c r="O3528" s="1" t="s">
        <v>19</v>
      </c>
      <c r="P3528" s="9" t="str">
        <f t="shared" si="6"/>
        <v>UK</v>
      </c>
      <c r="Q3528" s="8">
        <f t="shared" si="7"/>
        <v>20.8</v>
      </c>
    </row>
    <row r="3529">
      <c r="A3529" s="1">
        <v>581486.0</v>
      </c>
      <c r="B3529" s="1" t="str">
        <f t="shared" si="1"/>
        <v>581486</v>
      </c>
      <c r="C3529" s="1" t="str">
        <f t="shared" si="2"/>
        <v>Sale</v>
      </c>
      <c r="D3529" s="1">
        <v>23201.0</v>
      </c>
      <c r="E3529" s="1" t="str">
        <f>IFERROR(__xludf.DUMMYFUNCTION("IF(LEN(D3529)&gt;4, IFERROR(REGEXEXTRACT(TO_TEXT(D3529),""\d+""),""""),"""")"),"23201")</f>
        <v>23201</v>
      </c>
      <c r="F3529" s="6" t="str">
        <f t="shared" si="3"/>
        <v>Product</v>
      </c>
      <c r="G3529" s="1" t="s">
        <v>1636</v>
      </c>
      <c r="H3529" s="6" t="str">
        <f>IFERROR(__xludf.DUMMYFUNCTION("IF(REGEXMATCH(LOWER(G3529), ""^(\?)+\s*(missing)?\s*(\?)*$""), """", PROPER(SUBSTITUTE(SUBSTITUTE(G3529, ""?"", """"), ""*"", """")))"),"Jumbo Bag Alphabet")</f>
        <v>Jumbo Bag Alphabet</v>
      </c>
      <c r="I3529" s="3">
        <v>20.0</v>
      </c>
      <c r="J3529" s="7">
        <v>40886.40138888889</v>
      </c>
      <c r="K3529" s="8" t="str">
        <f t="shared" si="4"/>
        <v>2011-12</v>
      </c>
      <c r="L3529" s="5">
        <v>2.08</v>
      </c>
      <c r="M3529" s="3">
        <v>17001.0</v>
      </c>
      <c r="N3529" s="1" t="str">
        <f t="shared" si="5"/>
        <v>Registered</v>
      </c>
      <c r="O3529" s="1" t="s">
        <v>19</v>
      </c>
      <c r="P3529" s="9" t="str">
        <f t="shared" si="6"/>
        <v>UK</v>
      </c>
      <c r="Q3529" s="8">
        <f t="shared" si="7"/>
        <v>41.6</v>
      </c>
    </row>
    <row r="3530">
      <c r="A3530" s="1">
        <v>581486.0</v>
      </c>
      <c r="B3530" s="1" t="str">
        <f t="shared" si="1"/>
        <v>581486</v>
      </c>
      <c r="C3530" s="1" t="str">
        <f t="shared" si="2"/>
        <v>Sale</v>
      </c>
      <c r="D3530" s="1">
        <v>23207.0</v>
      </c>
      <c r="E3530" s="1" t="str">
        <f>IFERROR(__xludf.DUMMYFUNCTION("IF(LEN(D3530)&gt;4, IFERROR(REGEXEXTRACT(TO_TEXT(D3530),""\d+""),""""),"""")"),"23207")</f>
        <v>23207</v>
      </c>
      <c r="F3530" s="6" t="str">
        <f t="shared" si="3"/>
        <v>Product</v>
      </c>
      <c r="G3530" s="1" t="s">
        <v>1564</v>
      </c>
      <c r="H3530" s="6" t="str">
        <f>IFERROR(__xludf.DUMMYFUNCTION("IF(REGEXMATCH(LOWER(G3530), ""^(\?)+\s*(missing)?\s*(\?)*$""), """", PROPER(SUBSTITUTE(SUBSTITUTE(G3530, ""?"", """"), ""*"", """")))"),"Lunch Bag Alphabet Design")</f>
        <v>Lunch Bag Alphabet Design</v>
      </c>
      <c r="I3530" s="3">
        <v>10.0</v>
      </c>
      <c r="J3530" s="7">
        <v>40886.40138888889</v>
      </c>
      <c r="K3530" s="8" t="str">
        <f t="shared" si="4"/>
        <v>2011-12</v>
      </c>
      <c r="L3530" s="5">
        <v>1.65</v>
      </c>
      <c r="M3530" s="3">
        <v>17001.0</v>
      </c>
      <c r="N3530" s="1" t="str">
        <f t="shared" si="5"/>
        <v>Registered</v>
      </c>
      <c r="O3530" s="1" t="s">
        <v>19</v>
      </c>
      <c r="P3530" s="9" t="str">
        <f t="shared" si="6"/>
        <v>UK</v>
      </c>
      <c r="Q3530" s="8">
        <f t="shared" si="7"/>
        <v>16.5</v>
      </c>
    </row>
    <row r="3531">
      <c r="A3531" s="1">
        <v>581486.0</v>
      </c>
      <c r="B3531" s="1" t="str">
        <f t="shared" si="1"/>
        <v>581486</v>
      </c>
      <c r="C3531" s="1" t="str">
        <f t="shared" si="2"/>
        <v>Sale</v>
      </c>
      <c r="D3531" s="1">
        <v>22491.0</v>
      </c>
      <c r="E3531" s="1" t="str">
        <f>IFERROR(__xludf.DUMMYFUNCTION("IF(LEN(D3531)&gt;4, IFERROR(REGEXEXTRACT(TO_TEXT(D3531),""\d+""),""""),"""")"),"22491")</f>
        <v>22491</v>
      </c>
      <c r="F3531" s="6" t="str">
        <f t="shared" si="3"/>
        <v>Product</v>
      </c>
      <c r="G3531" s="1" t="s">
        <v>1637</v>
      </c>
      <c r="H3531" s="6" t="str">
        <f>IFERROR(__xludf.DUMMYFUNCTION("IF(REGEXMATCH(LOWER(G3531), ""^(\?)+\s*(missing)?\s*(\?)*$""), """", PROPER(SUBSTITUTE(SUBSTITUTE(G3531, ""?"", """"), ""*"", """")))"),"Pack Of 12 Coloured Pencils")</f>
        <v>Pack Of 12 Coloured Pencils</v>
      </c>
      <c r="I3531" s="3">
        <v>12.0</v>
      </c>
      <c r="J3531" s="7">
        <v>40886.40138888889</v>
      </c>
      <c r="K3531" s="8" t="str">
        <f t="shared" si="4"/>
        <v>2011-12</v>
      </c>
      <c r="L3531" s="5">
        <v>0.85</v>
      </c>
      <c r="M3531" s="3">
        <v>17001.0</v>
      </c>
      <c r="N3531" s="1" t="str">
        <f t="shared" si="5"/>
        <v>Registered</v>
      </c>
      <c r="O3531" s="1" t="s">
        <v>19</v>
      </c>
      <c r="P3531" s="9" t="str">
        <f t="shared" si="6"/>
        <v>UK</v>
      </c>
      <c r="Q3531" s="8">
        <f t="shared" si="7"/>
        <v>10.2</v>
      </c>
    </row>
    <row r="3532">
      <c r="A3532" s="1">
        <v>581486.0</v>
      </c>
      <c r="B3532" s="1" t="str">
        <f t="shared" si="1"/>
        <v>581486</v>
      </c>
      <c r="C3532" s="1" t="str">
        <f t="shared" si="2"/>
        <v>Sale</v>
      </c>
      <c r="D3532" s="1">
        <v>22561.0</v>
      </c>
      <c r="E3532" s="1" t="str">
        <f>IFERROR(__xludf.DUMMYFUNCTION("IF(LEN(D3532)&gt;4, IFERROR(REGEXEXTRACT(TO_TEXT(D3532),""\d+""),""""),"""")"),"22561")</f>
        <v>22561</v>
      </c>
      <c r="F3532" s="6" t="str">
        <f t="shared" si="3"/>
        <v>Product</v>
      </c>
      <c r="G3532" s="1" t="s">
        <v>1638</v>
      </c>
      <c r="H3532" s="6" t="str">
        <f>IFERROR(__xludf.DUMMYFUNCTION("IF(REGEXMATCH(LOWER(G3532), ""^(\?)+\s*(missing)?\s*(\?)*$""), """", PROPER(SUBSTITUTE(SUBSTITUTE(G3532, ""?"", """"), ""*"", """")))"),"Wooden School Colouring Set")</f>
        <v>Wooden School Colouring Set</v>
      </c>
      <c r="I3532" s="3">
        <v>12.0</v>
      </c>
      <c r="J3532" s="7">
        <v>40886.40138888889</v>
      </c>
      <c r="K3532" s="8" t="str">
        <f t="shared" si="4"/>
        <v>2011-12</v>
      </c>
      <c r="L3532" s="5">
        <v>1.65</v>
      </c>
      <c r="M3532" s="3">
        <v>17001.0</v>
      </c>
      <c r="N3532" s="1" t="str">
        <f t="shared" si="5"/>
        <v>Registered</v>
      </c>
      <c r="O3532" s="1" t="s">
        <v>19</v>
      </c>
      <c r="P3532" s="9" t="str">
        <f t="shared" si="6"/>
        <v>UK</v>
      </c>
      <c r="Q3532" s="8">
        <f t="shared" si="7"/>
        <v>19.8</v>
      </c>
    </row>
    <row r="3533">
      <c r="A3533" s="1">
        <v>581486.0</v>
      </c>
      <c r="B3533" s="1" t="str">
        <f t="shared" si="1"/>
        <v>581486</v>
      </c>
      <c r="C3533" s="1" t="str">
        <f t="shared" si="2"/>
        <v>Sale</v>
      </c>
      <c r="D3533" s="1">
        <v>22489.0</v>
      </c>
      <c r="E3533" s="1" t="str">
        <f>IFERROR(__xludf.DUMMYFUNCTION("IF(LEN(D3533)&gt;4, IFERROR(REGEXEXTRACT(TO_TEXT(D3533),""\d+""),""""),"""")"),"22489")</f>
        <v>22489</v>
      </c>
      <c r="F3533" s="6" t="str">
        <f t="shared" si="3"/>
        <v>Product</v>
      </c>
      <c r="G3533" s="1" t="s">
        <v>1639</v>
      </c>
      <c r="H3533" s="6" t="str">
        <f>IFERROR(__xludf.DUMMYFUNCTION("IF(REGEXMATCH(LOWER(G3533), ""^(\?)+\s*(missing)?\s*(\?)*$""), """", PROPER(SUBSTITUTE(SUBSTITUTE(G3533, ""?"", """"), ""*"", """")))"),"Pack Of 12 Traditional Crayons")</f>
        <v>Pack Of 12 Traditional Crayons</v>
      </c>
      <c r="I3533" s="3">
        <v>24.0</v>
      </c>
      <c r="J3533" s="7">
        <v>40886.40138888889</v>
      </c>
      <c r="K3533" s="8" t="str">
        <f t="shared" si="4"/>
        <v>2011-12</v>
      </c>
      <c r="L3533" s="5">
        <v>0.42</v>
      </c>
      <c r="M3533" s="3">
        <v>17001.0</v>
      </c>
      <c r="N3533" s="1" t="str">
        <f t="shared" si="5"/>
        <v>Registered</v>
      </c>
      <c r="O3533" s="1" t="s">
        <v>19</v>
      </c>
      <c r="P3533" s="9" t="str">
        <f t="shared" si="6"/>
        <v>UK</v>
      </c>
      <c r="Q3533" s="8">
        <f t="shared" si="7"/>
        <v>10.08</v>
      </c>
    </row>
    <row r="3534">
      <c r="A3534" s="1">
        <v>581486.0</v>
      </c>
      <c r="B3534" s="1" t="str">
        <f t="shared" si="1"/>
        <v>581486</v>
      </c>
      <c r="C3534" s="1" t="str">
        <f t="shared" si="2"/>
        <v>Sale</v>
      </c>
      <c r="D3534" s="1">
        <v>22560.0</v>
      </c>
      <c r="E3534" s="1" t="str">
        <f>IFERROR(__xludf.DUMMYFUNCTION("IF(LEN(D3534)&gt;4, IFERROR(REGEXEXTRACT(TO_TEXT(D3534),""\d+""),""""),"""")"),"22560")</f>
        <v>22560</v>
      </c>
      <c r="F3534" s="6" t="str">
        <f t="shared" si="3"/>
        <v>Product</v>
      </c>
      <c r="G3534" s="1" t="s">
        <v>761</v>
      </c>
      <c r="H3534" s="6" t="str">
        <f>IFERROR(__xludf.DUMMYFUNCTION("IF(REGEXMATCH(LOWER(G3534), ""^(\?)+\s*(missing)?\s*(\?)*$""), """", PROPER(SUBSTITUTE(SUBSTITUTE(G3534, ""?"", """"), ""*"", """")))"),"Traditional Modelling Clay")</f>
        <v>Traditional Modelling Clay</v>
      </c>
      <c r="I3534" s="3">
        <v>24.0</v>
      </c>
      <c r="J3534" s="7">
        <v>40886.40138888889</v>
      </c>
      <c r="K3534" s="8" t="str">
        <f t="shared" si="4"/>
        <v>2011-12</v>
      </c>
      <c r="L3534" s="5">
        <v>1.25</v>
      </c>
      <c r="M3534" s="3">
        <v>17001.0</v>
      </c>
      <c r="N3534" s="1" t="str">
        <f t="shared" si="5"/>
        <v>Registered</v>
      </c>
      <c r="O3534" s="1" t="s">
        <v>19</v>
      </c>
      <c r="P3534" s="9" t="str">
        <f t="shared" si="6"/>
        <v>UK</v>
      </c>
      <c r="Q3534" s="8">
        <f t="shared" si="7"/>
        <v>30</v>
      </c>
    </row>
    <row r="3535">
      <c r="A3535" s="1">
        <v>581486.0</v>
      </c>
      <c r="B3535" s="1" t="str">
        <f t="shared" si="1"/>
        <v>581486</v>
      </c>
      <c r="C3535" s="1" t="str">
        <f t="shared" si="2"/>
        <v>Sale</v>
      </c>
      <c r="D3535" s="1">
        <v>22139.0</v>
      </c>
      <c r="E3535" s="1" t="str">
        <f>IFERROR(__xludf.DUMMYFUNCTION("IF(LEN(D3535)&gt;4, IFERROR(REGEXEXTRACT(TO_TEXT(D3535),""\d+""),""""),"""")"),"22139")</f>
        <v>22139</v>
      </c>
      <c r="F3535" s="6" t="str">
        <f t="shared" si="3"/>
        <v>Product</v>
      </c>
      <c r="G3535" s="1" t="s">
        <v>110</v>
      </c>
      <c r="H3535" s="6" t="str">
        <f>IFERROR(__xludf.DUMMYFUNCTION("IF(REGEXMATCH(LOWER(G3535), ""^(\?)+\s*(missing)?\s*(\?)*$""), """", PROPER(SUBSTITUTE(SUBSTITUTE(G3535, ""?"", """"), ""*"", """")))"),"Retrospot Tea Set Ceramic 11 Pc")</f>
        <v>Retrospot Tea Set Ceramic 11 Pc</v>
      </c>
      <c r="I3535" s="3">
        <v>6.0</v>
      </c>
      <c r="J3535" s="7">
        <v>40886.40138888889</v>
      </c>
      <c r="K3535" s="8" t="str">
        <f t="shared" si="4"/>
        <v>2011-12</v>
      </c>
      <c r="L3535" s="5">
        <v>4.95</v>
      </c>
      <c r="M3535" s="3">
        <v>17001.0</v>
      </c>
      <c r="N3535" s="1" t="str">
        <f t="shared" si="5"/>
        <v>Registered</v>
      </c>
      <c r="O3535" s="1" t="s">
        <v>19</v>
      </c>
      <c r="P3535" s="9" t="str">
        <f t="shared" si="6"/>
        <v>UK</v>
      </c>
      <c r="Q3535" s="8">
        <f t="shared" si="7"/>
        <v>29.7</v>
      </c>
    </row>
    <row r="3536">
      <c r="A3536" s="1">
        <v>581487.0</v>
      </c>
      <c r="B3536" s="1" t="str">
        <f t="shared" si="1"/>
        <v>581487</v>
      </c>
      <c r="C3536" s="1" t="str">
        <f t="shared" si="2"/>
        <v>Sale</v>
      </c>
      <c r="D3536" s="1">
        <v>21137.0</v>
      </c>
      <c r="E3536" s="1" t="str">
        <f>IFERROR(__xludf.DUMMYFUNCTION("IF(LEN(D3536)&gt;4, IFERROR(REGEXEXTRACT(TO_TEXT(D3536),""\d+""),""""),"""")"),"21137")</f>
        <v>21137</v>
      </c>
      <c r="F3536" s="6" t="str">
        <f t="shared" si="3"/>
        <v>Product</v>
      </c>
      <c r="G3536" s="1" t="s">
        <v>803</v>
      </c>
      <c r="H3536" s="6" t="str">
        <f>IFERROR(__xludf.DUMMYFUNCTION("IF(REGEXMATCH(LOWER(G3536), ""^(\?)+\s*(missing)?\s*(\?)*$""), """", PROPER(SUBSTITUTE(SUBSTITUTE(G3536, ""?"", """"), ""*"", """")))"),"Black Record Cover Frame")</f>
        <v>Black Record Cover Frame</v>
      </c>
      <c r="I3536" s="3">
        <v>120.0</v>
      </c>
      <c r="J3536" s="7">
        <v>40886.40555555555</v>
      </c>
      <c r="K3536" s="8" t="str">
        <f t="shared" si="4"/>
        <v>2011-12</v>
      </c>
      <c r="L3536" s="5">
        <v>3.39</v>
      </c>
      <c r="M3536" s="3">
        <v>15694.0</v>
      </c>
      <c r="N3536" s="1" t="str">
        <f t="shared" si="5"/>
        <v>Registered</v>
      </c>
      <c r="O3536" s="1" t="s">
        <v>19</v>
      </c>
      <c r="P3536" s="9" t="str">
        <f t="shared" si="6"/>
        <v>UK</v>
      </c>
      <c r="Q3536" s="8">
        <f t="shared" si="7"/>
        <v>406.8</v>
      </c>
    </row>
    <row r="3537">
      <c r="A3537" s="1">
        <v>581488.0</v>
      </c>
      <c r="B3537" s="1" t="str">
        <f t="shared" si="1"/>
        <v>581488</v>
      </c>
      <c r="C3537" s="1" t="str">
        <f t="shared" si="2"/>
        <v>Sale</v>
      </c>
      <c r="D3537" s="1">
        <v>23118.0</v>
      </c>
      <c r="E3537" s="1" t="str">
        <f>IFERROR(__xludf.DUMMYFUNCTION("IF(LEN(D3537)&gt;4, IFERROR(REGEXEXTRACT(TO_TEXT(D3537),""\d+""),""""),"""")"),"23118")</f>
        <v>23118</v>
      </c>
      <c r="F3537" s="6" t="str">
        <f t="shared" si="3"/>
        <v>Product</v>
      </c>
      <c r="G3537" s="1" t="s">
        <v>1640</v>
      </c>
      <c r="H3537" s="6" t="str">
        <f>IFERROR(__xludf.DUMMYFUNCTION("IF(REGEXMATCH(LOWER(G3537), ""^(\?)+\s*(missing)?\s*(\?)*$""), """", PROPER(SUBSTITUTE(SUBSTITUTE(G3537, ""?"", """"), ""*"", """")))"),"Parisienne Jewellery Drawer")</f>
        <v>Parisienne Jewellery Drawer</v>
      </c>
      <c r="I3537" s="3">
        <v>16.0</v>
      </c>
      <c r="J3537" s="7">
        <v>40886.40625</v>
      </c>
      <c r="K3537" s="8" t="str">
        <f t="shared" si="4"/>
        <v>2011-12</v>
      </c>
      <c r="L3537" s="5">
        <v>6.65</v>
      </c>
      <c r="M3537" s="3">
        <v>17428.0</v>
      </c>
      <c r="N3537" s="1" t="str">
        <f t="shared" si="5"/>
        <v>Registered</v>
      </c>
      <c r="O3537" s="1" t="s">
        <v>19</v>
      </c>
      <c r="P3537" s="9" t="str">
        <f t="shared" si="6"/>
        <v>UK</v>
      </c>
      <c r="Q3537" s="8">
        <f t="shared" si="7"/>
        <v>106.4</v>
      </c>
    </row>
    <row r="3538">
      <c r="A3538" s="1">
        <v>581488.0</v>
      </c>
      <c r="B3538" s="1" t="str">
        <f t="shared" si="1"/>
        <v>581488</v>
      </c>
      <c r="C3538" s="1" t="str">
        <f t="shared" si="2"/>
        <v>Sale</v>
      </c>
      <c r="D3538" s="1">
        <v>23111.0</v>
      </c>
      <c r="E3538" s="1" t="str">
        <f>IFERROR(__xludf.DUMMYFUNCTION("IF(LEN(D3538)&gt;4, IFERROR(REGEXEXTRACT(TO_TEXT(D3538),""\d+""),""""),"""")"),"23111")</f>
        <v>23111</v>
      </c>
      <c r="F3538" s="6" t="str">
        <f t="shared" si="3"/>
        <v>Product</v>
      </c>
      <c r="G3538" s="1" t="s">
        <v>1641</v>
      </c>
      <c r="H3538" s="6" t="str">
        <f>IFERROR(__xludf.DUMMYFUNCTION("IF(REGEXMATCH(LOWER(G3538), ""^(\?)+\s*(missing)?\s*(\?)*$""), """", PROPER(SUBSTITUTE(SUBSTITUTE(G3538, ""?"", """"), ""*"", """")))"),"Parisienne Sewing Box")</f>
        <v>Parisienne Sewing Box</v>
      </c>
      <c r="I3538" s="3">
        <v>16.0</v>
      </c>
      <c r="J3538" s="7">
        <v>40886.40625</v>
      </c>
      <c r="K3538" s="8" t="str">
        <f t="shared" si="4"/>
        <v>2011-12</v>
      </c>
      <c r="L3538" s="5">
        <v>10.4</v>
      </c>
      <c r="M3538" s="3">
        <v>17428.0</v>
      </c>
      <c r="N3538" s="1" t="str">
        <f t="shared" si="5"/>
        <v>Registered</v>
      </c>
      <c r="O3538" s="1" t="s">
        <v>19</v>
      </c>
      <c r="P3538" s="9" t="str">
        <f t="shared" si="6"/>
        <v>UK</v>
      </c>
      <c r="Q3538" s="8">
        <f t="shared" si="7"/>
        <v>166.4</v>
      </c>
    </row>
    <row r="3539">
      <c r="A3539" s="1">
        <v>581488.0</v>
      </c>
      <c r="B3539" s="1" t="str">
        <f t="shared" si="1"/>
        <v>581488</v>
      </c>
      <c r="C3539" s="1" t="str">
        <f t="shared" si="2"/>
        <v>Sale</v>
      </c>
      <c r="D3539" s="1">
        <v>22179.0</v>
      </c>
      <c r="E3539" s="1" t="str">
        <f>IFERROR(__xludf.DUMMYFUNCTION("IF(LEN(D3539)&gt;4, IFERROR(REGEXEXTRACT(TO_TEXT(D3539),""\d+""),""""),"""")"),"22179")</f>
        <v>22179</v>
      </c>
      <c r="F3539" s="6" t="str">
        <f t="shared" si="3"/>
        <v>Product</v>
      </c>
      <c r="G3539" s="1" t="s">
        <v>1642</v>
      </c>
      <c r="H3539" s="6" t="str">
        <f>IFERROR(__xludf.DUMMYFUNCTION("IF(REGEXMATCH(LOWER(G3539), ""^(\?)+\s*(missing)?\s*(\?)*$""), """", PROPER(SUBSTITUTE(SUBSTITUTE(G3539, ""?"", """"), ""*"", """")))"),"Set 10 Night Owl Lights")</f>
        <v>Set 10 Night Owl Lights</v>
      </c>
      <c r="I3539" s="3">
        <v>24.0</v>
      </c>
      <c r="J3539" s="7">
        <v>40886.40625</v>
      </c>
      <c r="K3539" s="8" t="str">
        <f t="shared" si="4"/>
        <v>2011-12</v>
      </c>
      <c r="L3539" s="5">
        <v>5.95</v>
      </c>
      <c r="M3539" s="3">
        <v>17428.0</v>
      </c>
      <c r="N3539" s="1" t="str">
        <f t="shared" si="5"/>
        <v>Registered</v>
      </c>
      <c r="O3539" s="1" t="s">
        <v>19</v>
      </c>
      <c r="P3539" s="9" t="str">
        <f t="shared" si="6"/>
        <v>UK</v>
      </c>
      <c r="Q3539" s="8">
        <f t="shared" si="7"/>
        <v>142.8</v>
      </c>
    </row>
    <row r="3540">
      <c r="A3540" s="1">
        <v>581489.0</v>
      </c>
      <c r="B3540" s="1" t="str">
        <f t="shared" si="1"/>
        <v>581489</v>
      </c>
      <c r="C3540" s="1" t="str">
        <f t="shared" si="2"/>
        <v>Sale</v>
      </c>
      <c r="D3540" s="1">
        <v>22061.0</v>
      </c>
      <c r="E3540" s="1" t="str">
        <f>IFERROR(__xludf.DUMMYFUNCTION("IF(LEN(D3540)&gt;4, IFERROR(REGEXEXTRACT(TO_TEXT(D3540),""\d+""),""""),"""")"),"22061")</f>
        <v>22061</v>
      </c>
      <c r="F3540" s="6" t="str">
        <f t="shared" si="3"/>
        <v>Product</v>
      </c>
      <c r="G3540" s="1" t="s">
        <v>918</v>
      </c>
      <c r="H3540" s="6" t="str">
        <f>IFERROR(__xludf.DUMMYFUNCTION("IF(REGEXMATCH(LOWER(G3540), ""^(\?)+\s*(missing)?\s*(\?)*$""), """", PROPER(SUBSTITUTE(SUBSTITUTE(G3540, ""?"", """"), ""*"", """")))"),"Large Cake Stand Hanging Strawbery")</f>
        <v>Large Cake Stand Hanging Strawbery</v>
      </c>
      <c r="I3540" s="3">
        <v>48.0</v>
      </c>
      <c r="J3540" s="7">
        <v>40886.40694444445</v>
      </c>
      <c r="K3540" s="8" t="str">
        <f t="shared" si="4"/>
        <v>2011-12</v>
      </c>
      <c r="L3540" s="5">
        <v>2.95</v>
      </c>
      <c r="M3540" s="3">
        <v>16954.0</v>
      </c>
      <c r="N3540" s="1" t="str">
        <f t="shared" si="5"/>
        <v>Registered</v>
      </c>
      <c r="O3540" s="1" t="s">
        <v>19</v>
      </c>
      <c r="P3540" s="9" t="str">
        <f t="shared" si="6"/>
        <v>UK</v>
      </c>
      <c r="Q3540" s="8">
        <f t="shared" si="7"/>
        <v>141.6</v>
      </c>
    </row>
    <row r="3541">
      <c r="A3541" s="1">
        <v>581489.0</v>
      </c>
      <c r="B3541" s="1" t="str">
        <f t="shared" si="1"/>
        <v>581489</v>
      </c>
      <c r="C3541" s="1" t="str">
        <f t="shared" si="2"/>
        <v>Sale</v>
      </c>
      <c r="D3541" s="1">
        <v>22182.0</v>
      </c>
      <c r="E3541" s="1" t="str">
        <f>IFERROR(__xludf.DUMMYFUNCTION("IF(LEN(D3541)&gt;4, IFERROR(REGEXEXTRACT(TO_TEXT(D3541),""\d+""),""""),"""")"),"22182")</f>
        <v>22182</v>
      </c>
      <c r="F3541" s="6" t="str">
        <f t="shared" si="3"/>
        <v>Product</v>
      </c>
      <c r="G3541" s="1" t="s">
        <v>1643</v>
      </c>
      <c r="H3541" s="6" t="str">
        <f>IFERROR(__xludf.DUMMYFUNCTION("IF(REGEXMATCH(LOWER(G3541), ""^(\?)+\s*(missing)?\s*(\?)*$""), """", PROPER(SUBSTITUTE(SUBSTITUTE(G3541, ""?"", """"), ""*"", """")))"),"Cake Stand Victorian Filigree Small")</f>
        <v>Cake Stand Victorian Filigree Small</v>
      </c>
      <c r="I3541" s="3">
        <v>24.0</v>
      </c>
      <c r="J3541" s="7">
        <v>40886.40694444445</v>
      </c>
      <c r="K3541" s="8" t="str">
        <f t="shared" si="4"/>
        <v>2011-12</v>
      </c>
      <c r="L3541" s="5">
        <v>1.25</v>
      </c>
      <c r="M3541" s="3">
        <v>16954.0</v>
      </c>
      <c r="N3541" s="1" t="str">
        <f t="shared" si="5"/>
        <v>Registered</v>
      </c>
      <c r="O3541" s="1" t="s">
        <v>19</v>
      </c>
      <c r="P3541" s="9" t="str">
        <f t="shared" si="6"/>
        <v>UK</v>
      </c>
      <c r="Q3541" s="8">
        <f t="shared" si="7"/>
        <v>30</v>
      </c>
    </row>
    <row r="3542">
      <c r="A3542" s="1" t="s">
        <v>1644</v>
      </c>
      <c r="B3542" s="1" t="str">
        <f t="shared" si="1"/>
        <v>581490</v>
      </c>
      <c r="C3542" s="1" t="str">
        <f t="shared" si="2"/>
        <v>Return</v>
      </c>
      <c r="D3542" s="1">
        <v>22178.0</v>
      </c>
      <c r="E3542" s="1" t="str">
        <f>IFERROR(__xludf.DUMMYFUNCTION("IF(LEN(D3542)&gt;4, IFERROR(REGEXEXTRACT(TO_TEXT(D3542),""\d+""),""""),"""")"),"22178")</f>
        <v>22178</v>
      </c>
      <c r="F3542" s="6" t="str">
        <f t="shared" si="3"/>
        <v>Product</v>
      </c>
      <c r="G3542" s="1" t="s">
        <v>369</v>
      </c>
      <c r="H3542" s="6" t="str">
        <f>IFERROR(__xludf.DUMMYFUNCTION("IF(REGEXMATCH(LOWER(G3542), ""^(\?)+\s*(missing)?\s*(\?)*$""), """", PROPER(SUBSTITUTE(SUBSTITUTE(G3542, ""?"", """"), ""*"", """")))"),"Victorian Glass Hanging T-Light")</f>
        <v>Victorian Glass Hanging T-Light</v>
      </c>
      <c r="I3542" s="3">
        <v>-12.0</v>
      </c>
      <c r="J3542" s="7">
        <v>40886.41458333333</v>
      </c>
      <c r="K3542" s="8" t="str">
        <f t="shared" si="4"/>
        <v>2011-12</v>
      </c>
      <c r="L3542" s="5">
        <v>1.95</v>
      </c>
      <c r="M3542" s="3">
        <v>14397.0</v>
      </c>
      <c r="N3542" s="1" t="str">
        <f t="shared" si="5"/>
        <v>Registered</v>
      </c>
      <c r="O3542" s="1" t="s">
        <v>19</v>
      </c>
      <c r="P3542" s="9" t="str">
        <f t="shared" si="6"/>
        <v>UK</v>
      </c>
      <c r="Q3542" s="8">
        <f t="shared" si="7"/>
        <v>-23.4</v>
      </c>
    </row>
    <row r="3543">
      <c r="A3543" s="1" t="s">
        <v>1644</v>
      </c>
      <c r="B3543" s="1" t="str">
        <f t="shared" si="1"/>
        <v>581490</v>
      </c>
      <c r="C3543" s="1" t="str">
        <f t="shared" si="2"/>
        <v>Return</v>
      </c>
      <c r="D3543" s="1">
        <v>23144.0</v>
      </c>
      <c r="E3543" s="1" t="str">
        <f>IFERROR(__xludf.DUMMYFUNCTION("IF(LEN(D3543)&gt;4, IFERROR(REGEXEXTRACT(TO_TEXT(D3543),""\d+""),""""),"""")"),"23144")</f>
        <v>23144</v>
      </c>
      <c r="F3543" s="6" t="str">
        <f t="shared" si="3"/>
        <v>Product</v>
      </c>
      <c r="G3543" s="1" t="s">
        <v>1645</v>
      </c>
      <c r="H3543" s="6" t="str">
        <f>IFERROR(__xludf.DUMMYFUNCTION("IF(REGEXMATCH(LOWER(G3543), ""^(\?)+\s*(missing)?\s*(\?)*$""), """", PROPER(SUBSTITUTE(SUBSTITUTE(G3543, ""?"", """"), ""*"", """")))"),"Zinc T-Light Holder Stars Small")</f>
        <v>Zinc T-Light Holder Stars Small</v>
      </c>
      <c r="I3543" s="3">
        <v>-11.0</v>
      </c>
      <c r="J3543" s="7">
        <v>40886.41458333333</v>
      </c>
      <c r="K3543" s="8" t="str">
        <f t="shared" si="4"/>
        <v>2011-12</v>
      </c>
      <c r="L3543" s="5">
        <v>0.83</v>
      </c>
      <c r="M3543" s="3">
        <v>14397.0</v>
      </c>
      <c r="N3543" s="1" t="str">
        <f t="shared" si="5"/>
        <v>Registered</v>
      </c>
      <c r="O3543" s="1" t="s">
        <v>19</v>
      </c>
      <c r="P3543" s="9" t="str">
        <f t="shared" si="6"/>
        <v>UK</v>
      </c>
      <c r="Q3543" s="8">
        <f t="shared" si="7"/>
        <v>-9.13</v>
      </c>
    </row>
    <row r="3544">
      <c r="A3544" s="1">
        <v>581491.0</v>
      </c>
      <c r="B3544" s="1" t="str">
        <f t="shared" si="1"/>
        <v>581491</v>
      </c>
      <c r="C3544" s="1" t="str">
        <f t="shared" si="2"/>
        <v>Sale</v>
      </c>
      <c r="D3544" s="1">
        <v>23571.0</v>
      </c>
      <c r="E3544" s="1" t="str">
        <f>IFERROR(__xludf.DUMMYFUNCTION("IF(LEN(D3544)&gt;4, IFERROR(REGEXEXTRACT(TO_TEXT(D3544),""\d+""),""""),"""")"),"23571")</f>
        <v>23571</v>
      </c>
      <c r="F3544" s="6" t="str">
        <f t="shared" si="3"/>
        <v>Product</v>
      </c>
      <c r="G3544" s="1" t="s">
        <v>1468</v>
      </c>
      <c r="H3544" s="6" t="str">
        <f>IFERROR(__xludf.DUMMYFUNCTION("IF(REGEXMATCH(LOWER(G3544), ""^(\?)+\s*(missing)?\s*(\?)*$""), """", PROPER(SUBSTITUTE(SUBSTITUTE(G3544, ""?"", """"), ""*"", """")))"),"Traditional Naughts &amp; Crosses")</f>
        <v>Traditional Naughts &amp; Crosses</v>
      </c>
      <c r="I3544" s="3">
        <v>12.0</v>
      </c>
      <c r="J3544" s="7">
        <v>40886.41805555556</v>
      </c>
      <c r="K3544" s="8" t="str">
        <f t="shared" si="4"/>
        <v>2011-12</v>
      </c>
      <c r="L3544" s="5">
        <v>1.65</v>
      </c>
      <c r="M3544" s="3">
        <v>12433.0</v>
      </c>
      <c r="N3544" s="1" t="str">
        <f t="shared" si="5"/>
        <v>Registered</v>
      </c>
      <c r="O3544" s="1" t="s">
        <v>1592</v>
      </c>
      <c r="P3544" s="9" t="str">
        <f t="shared" si="6"/>
        <v>International</v>
      </c>
      <c r="Q3544" s="8">
        <f t="shared" si="7"/>
        <v>19.8</v>
      </c>
    </row>
    <row r="3545">
      <c r="A3545" s="1">
        <v>581492.0</v>
      </c>
      <c r="B3545" s="1" t="str">
        <f t="shared" si="1"/>
        <v>581492</v>
      </c>
      <c r="C3545" s="1" t="str">
        <f t="shared" si="2"/>
        <v>Sale</v>
      </c>
      <c r="D3545" s="1">
        <v>23369.0</v>
      </c>
      <c r="E3545" s="1" t="str">
        <f>IFERROR(__xludf.DUMMYFUNCTION("IF(LEN(D3545)&gt;4, IFERROR(REGEXEXTRACT(TO_TEXT(D3545),""\d+""),""""),"""")"),"23369")</f>
        <v>23369</v>
      </c>
      <c r="F3545" s="6" t="str">
        <f t="shared" si="3"/>
        <v>Product</v>
      </c>
      <c r="G3545" s="1" t="s">
        <v>1646</v>
      </c>
      <c r="H3545" s="6" t="str">
        <f>IFERROR(__xludf.DUMMYFUNCTION("IF(REGEXMATCH(LOWER(G3545), ""^(\?)+\s*(missing)?\s*(\?)*$""), """", PROPER(SUBSTITUTE(SUBSTITUTE(G3545, ""?"", """"), ""*"", """")))"),"Set 36 Colour Pencils Love London")</f>
        <v>Set 36 Colour Pencils Love London</v>
      </c>
      <c r="I3545" s="3">
        <v>2.0</v>
      </c>
      <c r="J3545" s="7">
        <v>40886.41875</v>
      </c>
      <c r="K3545" s="8" t="str">
        <f t="shared" si="4"/>
        <v>2011-12</v>
      </c>
      <c r="L3545" s="5">
        <v>2.46</v>
      </c>
      <c r="M3545" s="10"/>
      <c r="N3545" s="1" t="str">
        <f t="shared" si="5"/>
        <v>Guest</v>
      </c>
      <c r="O3545" s="1" t="s">
        <v>19</v>
      </c>
      <c r="P3545" s="9" t="str">
        <f t="shared" si="6"/>
        <v>UK</v>
      </c>
      <c r="Q3545" s="8">
        <f t="shared" si="7"/>
        <v>4.92</v>
      </c>
    </row>
    <row r="3546">
      <c r="A3546" s="1">
        <v>581492.0</v>
      </c>
      <c r="B3546" s="1" t="str">
        <f t="shared" si="1"/>
        <v>581492</v>
      </c>
      <c r="C3546" s="1" t="str">
        <f t="shared" si="2"/>
        <v>Sale</v>
      </c>
      <c r="D3546" s="1">
        <v>23370.0</v>
      </c>
      <c r="E3546" s="1" t="str">
        <f>IFERROR(__xludf.DUMMYFUNCTION("IF(LEN(D3546)&gt;4, IFERROR(REGEXEXTRACT(TO_TEXT(D3546),""\d+""),""""),"""")"),"23370")</f>
        <v>23370</v>
      </c>
      <c r="F3546" s="6" t="str">
        <f t="shared" si="3"/>
        <v>Product</v>
      </c>
      <c r="G3546" s="1" t="s">
        <v>1647</v>
      </c>
      <c r="H3546" s="6" t="str">
        <f>IFERROR(__xludf.DUMMYFUNCTION("IF(REGEXMATCH(LOWER(G3546), ""^(\?)+\s*(missing)?\s*(\?)*$""), """", PROPER(SUBSTITUTE(SUBSTITUTE(G3546, ""?"", """"), ""*"", """")))"),"Set 36 Colouring Pencils Doily")</f>
        <v>Set 36 Colouring Pencils Doily</v>
      </c>
      <c r="I3546" s="3">
        <v>2.0</v>
      </c>
      <c r="J3546" s="7">
        <v>40886.41875</v>
      </c>
      <c r="K3546" s="8" t="str">
        <f t="shared" si="4"/>
        <v>2011-12</v>
      </c>
      <c r="L3546" s="5">
        <v>2.46</v>
      </c>
      <c r="M3546" s="10"/>
      <c r="N3546" s="1" t="str">
        <f t="shared" si="5"/>
        <v>Guest</v>
      </c>
      <c r="O3546" s="1" t="s">
        <v>19</v>
      </c>
      <c r="P3546" s="9" t="str">
        <f t="shared" si="6"/>
        <v>UK</v>
      </c>
      <c r="Q3546" s="8">
        <f t="shared" si="7"/>
        <v>4.92</v>
      </c>
    </row>
    <row r="3547">
      <c r="A3547" s="1">
        <v>581492.0</v>
      </c>
      <c r="B3547" s="1" t="str">
        <f t="shared" si="1"/>
        <v>581492</v>
      </c>
      <c r="C3547" s="1" t="str">
        <f t="shared" si="2"/>
        <v>Sale</v>
      </c>
      <c r="D3547" s="1">
        <v>23371.0</v>
      </c>
      <c r="E3547" s="1" t="str">
        <f>IFERROR(__xludf.DUMMYFUNCTION("IF(LEN(D3547)&gt;4, IFERROR(REGEXEXTRACT(TO_TEXT(D3547),""\d+""),""""),"""")"),"23371")</f>
        <v>23371</v>
      </c>
      <c r="F3547" s="6" t="str">
        <f t="shared" si="3"/>
        <v>Product</v>
      </c>
      <c r="G3547" s="1" t="s">
        <v>1648</v>
      </c>
      <c r="H3547" s="6" t="str">
        <f>IFERROR(__xludf.DUMMYFUNCTION("IF(REGEXMATCH(LOWER(G3547), ""^(\?)+\s*(missing)?\s*(\?)*$""), """", PROPER(SUBSTITUTE(SUBSTITUTE(G3547, ""?"", """"), ""*"", """")))"),"Set 36 Colour Pencils Spaceboy")</f>
        <v>Set 36 Colour Pencils Spaceboy</v>
      </c>
      <c r="I3547" s="3">
        <v>3.0</v>
      </c>
      <c r="J3547" s="7">
        <v>40886.41875</v>
      </c>
      <c r="K3547" s="8" t="str">
        <f t="shared" si="4"/>
        <v>2011-12</v>
      </c>
      <c r="L3547" s="5">
        <v>2.46</v>
      </c>
      <c r="M3547" s="10"/>
      <c r="N3547" s="1" t="str">
        <f t="shared" si="5"/>
        <v>Guest</v>
      </c>
      <c r="O3547" s="1" t="s">
        <v>19</v>
      </c>
      <c r="P3547" s="9" t="str">
        <f t="shared" si="6"/>
        <v>UK</v>
      </c>
      <c r="Q3547" s="8">
        <f t="shared" si="7"/>
        <v>7.38</v>
      </c>
    </row>
    <row r="3548">
      <c r="A3548" s="1">
        <v>581492.0</v>
      </c>
      <c r="B3548" s="1" t="str">
        <f t="shared" si="1"/>
        <v>581492</v>
      </c>
      <c r="C3548" s="1" t="str">
        <f t="shared" si="2"/>
        <v>Sale</v>
      </c>
      <c r="D3548" s="1">
        <v>23372.0</v>
      </c>
      <c r="E3548" s="1" t="str">
        <f>IFERROR(__xludf.DUMMYFUNCTION("IF(LEN(D3548)&gt;4, IFERROR(REGEXEXTRACT(TO_TEXT(D3548),""\d+""),""""),"""")"),"23372")</f>
        <v>23372</v>
      </c>
      <c r="F3548" s="6" t="str">
        <f t="shared" si="3"/>
        <v>Product</v>
      </c>
      <c r="G3548" s="1" t="s">
        <v>1649</v>
      </c>
      <c r="H3548" s="6" t="str">
        <f>IFERROR(__xludf.DUMMYFUNCTION("IF(REGEXMATCH(LOWER(G3548), ""^(\?)+\s*(missing)?\s*(\?)*$""), """", PROPER(SUBSTITUTE(SUBSTITUTE(G3548, ""?"", """"), ""*"", """")))"),"Set 36 Colour Pencils Dolly Girl")</f>
        <v>Set 36 Colour Pencils Dolly Girl</v>
      </c>
      <c r="I3548" s="3">
        <v>1.0</v>
      </c>
      <c r="J3548" s="7">
        <v>40886.41875</v>
      </c>
      <c r="K3548" s="8" t="str">
        <f t="shared" si="4"/>
        <v>2011-12</v>
      </c>
      <c r="L3548" s="5">
        <v>2.46</v>
      </c>
      <c r="M3548" s="10"/>
      <c r="N3548" s="1" t="str">
        <f t="shared" si="5"/>
        <v>Guest</v>
      </c>
      <c r="O3548" s="1" t="s">
        <v>19</v>
      </c>
      <c r="P3548" s="9" t="str">
        <f t="shared" si="6"/>
        <v>UK</v>
      </c>
      <c r="Q3548" s="8">
        <f t="shared" si="7"/>
        <v>2.46</v>
      </c>
    </row>
    <row r="3549">
      <c r="A3549" s="1">
        <v>581492.0</v>
      </c>
      <c r="B3549" s="1" t="str">
        <f t="shared" si="1"/>
        <v>581492</v>
      </c>
      <c r="C3549" s="1" t="str">
        <f t="shared" si="2"/>
        <v>Sale</v>
      </c>
      <c r="D3549" s="1">
        <v>23375.0</v>
      </c>
      <c r="E3549" s="1" t="str">
        <f>IFERROR(__xludf.DUMMYFUNCTION("IF(LEN(D3549)&gt;4, IFERROR(REGEXEXTRACT(TO_TEXT(D3549),""\d+""),""""),"""")"),"23375")</f>
        <v>23375</v>
      </c>
      <c r="F3549" s="6" t="str">
        <f t="shared" si="3"/>
        <v>Product</v>
      </c>
      <c r="G3549" s="1" t="s">
        <v>1650</v>
      </c>
      <c r="H3549" s="6" t="str">
        <f>IFERROR(__xludf.DUMMYFUNCTION("IF(REGEXMATCH(LOWER(G3549), ""^(\?)+\s*(missing)?\s*(\?)*$""), """", PROPER(SUBSTITUTE(SUBSTITUTE(G3549, ""?"", """"), ""*"", """")))"),"50'S Christmas Paper Gift Bag")</f>
        <v>50'S Christmas Paper Gift Bag</v>
      </c>
      <c r="I3549" s="3">
        <v>1.0</v>
      </c>
      <c r="J3549" s="7">
        <v>40886.41875</v>
      </c>
      <c r="K3549" s="8" t="str">
        <f t="shared" si="4"/>
        <v>2011-12</v>
      </c>
      <c r="L3549" s="5">
        <v>1.63</v>
      </c>
      <c r="M3549" s="10"/>
      <c r="N3549" s="1" t="str">
        <f t="shared" si="5"/>
        <v>Guest</v>
      </c>
      <c r="O3549" s="1" t="s">
        <v>19</v>
      </c>
      <c r="P3549" s="9" t="str">
        <f t="shared" si="6"/>
        <v>UK</v>
      </c>
      <c r="Q3549" s="8">
        <f t="shared" si="7"/>
        <v>1.63</v>
      </c>
    </row>
    <row r="3550">
      <c r="A3550" s="1">
        <v>581492.0</v>
      </c>
      <c r="B3550" s="1" t="str">
        <f t="shared" si="1"/>
        <v>581492</v>
      </c>
      <c r="C3550" s="1" t="str">
        <f t="shared" si="2"/>
        <v>Sale</v>
      </c>
      <c r="D3550" s="1">
        <v>23376.0</v>
      </c>
      <c r="E3550" s="1" t="str">
        <f>IFERROR(__xludf.DUMMYFUNCTION("IF(LEN(D3550)&gt;4, IFERROR(REGEXEXTRACT(TO_TEXT(D3550),""\d+""),""""),"""")"),"23376")</f>
        <v>23376</v>
      </c>
      <c r="F3550" s="6" t="str">
        <f t="shared" si="3"/>
        <v>Product</v>
      </c>
      <c r="G3550" s="1" t="s">
        <v>1651</v>
      </c>
      <c r="H3550" s="6" t="str">
        <f>IFERROR(__xludf.DUMMYFUNCTION("IF(REGEXMATCH(LOWER(G3550), ""^(\?)+\s*(missing)?\s*(\?)*$""), """", PROPER(SUBSTITUTE(SUBSTITUTE(G3550, ""?"", """"), ""*"", """")))"),"Pack Of 12 Vintage Christmas Tissue")</f>
        <v>Pack Of 12 Vintage Christmas Tissue</v>
      </c>
      <c r="I3550" s="3">
        <v>3.0</v>
      </c>
      <c r="J3550" s="7">
        <v>40886.41875</v>
      </c>
      <c r="K3550" s="8" t="str">
        <f t="shared" si="4"/>
        <v>2011-12</v>
      </c>
      <c r="L3550" s="5">
        <v>0.83</v>
      </c>
      <c r="M3550" s="10"/>
      <c r="N3550" s="1" t="str">
        <f t="shared" si="5"/>
        <v>Guest</v>
      </c>
      <c r="O3550" s="1" t="s">
        <v>19</v>
      </c>
      <c r="P3550" s="9" t="str">
        <f t="shared" si="6"/>
        <v>UK</v>
      </c>
      <c r="Q3550" s="8">
        <f t="shared" si="7"/>
        <v>2.49</v>
      </c>
    </row>
    <row r="3551">
      <c r="A3551" s="1">
        <v>581492.0</v>
      </c>
      <c r="B3551" s="1" t="str">
        <f t="shared" si="1"/>
        <v>581492</v>
      </c>
      <c r="C3551" s="1" t="str">
        <f t="shared" si="2"/>
        <v>Sale</v>
      </c>
      <c r="D3551" s="1">
        <v>23377.0</v>
      </c>
      <c r="E3551" s="1" t="str">
        <f>IFERROR(__xludf.DUMMYFUNCTION("IF(LEN(D3551)&gt;4, IFERROR(REGEXEXTRACT(TO_TEXT(D3551),""\d+""),""""),"""")"),"23377")</f>
        <v>23377</v>
      </c>
      <c r="F3551" s="6" t="str">
        <f t="shared" si="3"/>
        <v>Product</v>
      </c>
      <c r="G3551" s="1" t="s">
        <v>1652</v>
      </c>
      <c r="H3551" s="6" t="str">
        <f>IFERROR(__xludf.DUMMYFUNCTION("IF(REGEXMATCH(LOWER(G3551), ""^(\?)+\s*(missing)?\s*(\?)*$""), """", PROPER(SUBSTITUTE(SUBSTITUTE(G3551, ""?"", """"), ""*"", """")))"),"Pack Of 12 Dolly Girl Tissues")</f>
        <v>Pack Of 12 Dolly Girl Tissues</v>
      </c>
      <c r="I3551" s="3">
        <v>6.0</v>
      </c>
      <c r="J3551" s="7">
        <v>40886.41875</v>
      </c>
      <c r="K3551" s="8" t="str">
        <f t="shared" si="4"/>
        <v>2011-12</v>
      </c>
      <c r="L3551" s="5">
        <v>0.83</v>
      </c>
      <c r="M3551" s="10"/>
      <c r="N3551" s="1" t="str">
        <f t="shared" si="5"/>
        <v>Guest</v>
      </c>
      <c r="O3551" s="1" t="s">
        <v>19</v>
      </c>
      <c r="P3551" s="9" t="str">
        <f t="shared" si="6"/>
        <v>UK</v>
      </c>
      <c r="Q3551" s="8">
        <f t="shared" si="7"/>
        <v>4.98</v>
      </c>
    </row>
    <row r="3552">
      <c r="A3552" s="1">
        <v>581492.0</v>
      </c>
      <c r="B3552" s="1" t="str">
        <f t="shared" si="1"/>
        <v>581492</v>
      </c>
      <c r="C3552" s="1" t="str">
        <f t="shared" si="2"/>
        <v>Sale</v>
      </c>
      <c r="D3552" s="1">
        <v>23378.0</v>
      </c>
      <c r="E3552" s="1" t="str">
        <f>IFERROR(__xludf.DUMMYFUNCTION("IF(LEN(D3552)&gt;4, IFERROR(REGEXEXTRACT(TO_TEXT(D3552),""\d+""),""""),"""")"),"23378")</f>
        <v>23378</v>
      </c>
      <c r="F3552" s="6" t="str">
        <f t="shared" si="3"/>
        <v>Product</v>
      </c>
      <c r="G3552" s="1" t="s">
        <v>1653</v>
      </c>
      <c r="H3552" s="6" t="str">
        <f>IFERROR(__xludf.DUMMYFUNCTION("IF(REGEXMATCH(LOWER(G3552), ""^(\?)+\s*(missing)?\s*(\?)*$""), """", PROPER(SUBSTITUTE(SUBSTITUTE(G3552, ""?"", """"), ""*"", """")))"),"Pack Of 12 50'S Christmas Tissues")</f>
        <v>Pack Of 12 50'S Christmas Tissues</v>
      </c>
      <c r="I3552" s="3">
        <v>9.0</v>
      </c>
      <c r="J3552" s="7">
        <v>40886.41875</v>
      </c>
      <c r="K3552" s="8" t="str">
        <f t="shared" si="4"/>
        <v>2011-12</v>
      </c>
      <c r="L3552" s="5">
        <v>0.83</v>
      </c>
      <c r="M3552" s="10"/>
      <c r="N3552" s="1" t="str">
        <f t="shared" si="5"/>
        <v>Guest</v>
      </c>
      <c r="O3552" s="1" t="s">
        <v>19</v>
      </c>
      <c r="P3552" s="9" t="str">
        <f t="shared" si="6"/>
        <v>UK</v>
      </c>
      <c r="Q3552" s="8">
        <f t="shared" si="7"/>
        <v>7.47</v>
      </c>
    </row>
    <row r="3553">
      <c r="A3553" s="1">
        <v>581492.0</v>
      </c>
      <c r="B3553" s="1" t="str">
        <f t="shared" si="1"/>
        <v>581492</v>
      </c>
      <c r="C3553" s="1" t="str">
        <f t="shared" si="2"/>
        <v>Sale</v>
      </c>
      <c r="D3553" s="1">
        <v>23379.0</v>
      </c>
      <c r="E3553" s="1" t="str">
        <f>IFERROR(__xludf.DUMMYFUNCTION("IF(LEN(D3553)&gt;4, IFERROR(REGEXEXTRACT(TO_TEXT(D3553),""\d+""),""""),"""")"),"23379")</f>
        <v>23379</v>
      </c>
      <c r="F3553" s="6" t="str">
        <f t="shared" si="3"/>
        <v>Product</v>
      </c>
      <c r="G3553" s="1" t="s">
        <v>1654</v>
      </c>
      <c r="H3553" s="6" t="str">
        <f>IFERROR(__xludf.DUMMYFUNCTION("IF(REGEXMATCH(LOWER(G3553), ""^(\?)+\s*(missing)?\s*(\?)*$""), """", PROPER(SUBSTITUTE(SUBSTITUTE(G3553, ""?"", """"), ""*"", """")))"),"Pack Of 12 Red Apple Tissues")</f>
        <v>Pack Of 12 Red Apple Tissues</v>
      </c>
      <c r="I3553" s="3">
        <v>4.0</v>
      </c>
      <c r="J3553" s="7">
        <v>40886.41875</v>
      </c>
      <c r="K3553" s="8" t="str">
        <f t="shared" si="4"/>
        <v>2011-12</v>
      </c>
      <c r="L3553" s="5">
        <v>0.83</v>
      </c>
      <c r="M3553" s="10"/>
      <c r="N3553" s="1" t="str">
        <f t="shared" si="5"/>
        <v>Guest</v>
      </c>
      <c r="O3553" s="1" t="s">
        <v>19</v>
      </c>
      <c r="P3553" s="9" t="str">
        <f t="shared" si="6"/>
        <v>UK</v>
      </c>
      <c r="Q3553" s="8">
        <f t="shared" si="7"/>
        <v>3.32</v>
      </c>
    </row>
    <row r="3554">
      <c r="A3554" s="1">
        <v>581492.0</v>
      </c>
      <c r="B3554" s="1" t="str">
        <f t="shared" si="1"/>
        <v>581492</v>
      </c>
      <c r="C3554" s="1" t="str">
        <f t="shared" si="2"/>
        <v>Sale</v>
      </c>
      <c r="D3554" s="1">
        <v>23380.0</v>
      </c>
      <c r="E3554" s="1" t="str">
        <f>IFERROR(__xludf.DUMMYFUNCTION("IF(LEN(D3554)&gt;4, IFERROR(REGEXEXTRACT(TO_TEXT(D3554),""\d+""),""""),"""")"),"23380")</f>
        <v>23380</v>
      </c>
      <c r="F3554" s="6" t="str">
        <f t="shared" si="3"/>
        <v>Product</v>
      </c>
      <c r="G3554" s="1" t="s">
        <v>1655</v>
      </c>
      <c r="H3554" s="6" t="str">
        <f>IFERROR(__xludf.DUMMYFUNCTION("IF(REGEXMATCH(LOWER(G3554), ""^(\?)+\s*(missing)?\s*(\?)*$""), """", PROPER(SUBSTITUTE(SUBSTITUTE(G3554, ""?"", """"), ""*"", """")))"),"Pack Of 12 Vintage Doily Tissues")</f>
        <v>Pack Of 12 Vintage Doily Tissues</v>
      </c>
      <c r="I3554" s="3">
        <v>3.0</v>
      </c>
      <c r="J3554" s="7">
        <v>40886.41875</v>
      </c>
      <c r="K3554" s="8" t="str">
        <f t="shared" si="4"/>
        <v>2011-12</v>
      </c>
      <c r="L3554" s="5">
        <v>0.83</v>
      </c>
      <c r="M3554" s="10"/>
      <c r="N3554" s="1" t="str">
        <f t="shared" si="5"/>
        <v>Guest</v>
      </c>
      <c r="O3554" s="1" t="s">
        <v>19</v>
      </c>
      <c r="P3554" s="9" t="str">
        <f t="shared" si="6"/>
        <v>UK</v>
      </c>
      <c r="Q3554" s="8">
        <f t="shared" si="7"/>
        <v>2.49</v>
      </c>
    </row>
    <row r="3555">
      <c r="A3555" s="1">
        <v>581492.0</v>
      </c>
      <c r="B3555" s="1" t="str">
        <f t="shared" si="1"/>
        <v>581492</v>
      </c>
      <c r="C3555" s="1" t="str">
        <f t="shared" si="2"/>
        <v>Sale</v>
      </c>
      <c r="D3555" s="1">
        <v>23381.0</v>
      </c>
      <c r="E3555" s="1" t="str">
        <f>IFERROR(__xludf.DUMMYFUNCTION("IF(LEN(D3555)&gt;4, IFERROR(REGEXEXTRACT(TO_TEXT(D3555),""\d+""),""""),"""")"),"23381")</f>
        <v>23381</v>
      </c>
      <c r="F3555" s="6" t="str">
        <f t="shared" si="3"/>
        <v>Product</v>
      </c>
      <c r="G3555" s="1" t="s">
        <v>1656</v>
      </c>
      <c r="H3555" s="6" t="str">
        <f>IFERROR(__xludf.DUMMYFUNCTION("IF(REGEXMATCH(LOWER(G3555), ""^(\?)+\s*(missing)?\s*(\?)*$""), """", PROPER(SUBSTITUTE(SUBSTITUTE(G3555, ""?"", """"), ""*"", """")))"),"Pack Of 12 Vintage Leaf Tissues")</f>
        <v>Pack Of 12 Vintage Leaf Tissues</v>
      </c>
      <c r="I3555" s="3">
        <v>1.0</v>
      </c>
      <c r="J3555" s="7">
        <v>40886.41875</v>
      </c>
      <c r="K3555" s="8" t="str">
        <f t="shared" si="4"/>
        <v>2011-12</v>
      </c>
      <c r="L3555" s="5">
        <v>0.83</v>
      </c>
      <c r="M3555" s="10"/>
      <c r="N3555" s="1" t="str">
        <f t="shared" si="5"/>
        <v>Guest</v>
      </c>
      <c r="O3555" s="1" t="s">
        <v>19</v>
      </c>
      <c r="P3555" s="9" t="str">
        <f t="shared" si="6"/>
        <v>UK</v>
      </c>
      <c r="Q3555" s="8">
        <f t="shared" si="7"/>
        <v>0.83</v>
      </c>
    </row>
    <row r="3556">
      <c r="A3556" s="1">
        <v>581492.0</v>
      </c>
      <c r="B3556" s="1" t="str">
        <f t="shared" si="1"/>
        <v>581492</v>
      </c>
      <c r="C3556" s="1" t="str">
        <f t="shared" si="2"/>
        <v>Sale</v>
      </c>
      <c r="D3556" s="1">
        <v>23382.0</v>
      </c>
      <c r="E3556" s="1" t="str">
        <f>IFERROR(__xludf.DUMMYFUNCTION("IF(LEN(D3556)&gt;4, IFERROR(REGEXEXTRACT(TO_TEXT(D3556),""\d+""),""""),"""")"),"23382")</f>
        <v>23382</v>
      </c>
      <c r="F3556" s="6" t="str">
        <f t="shared" si="3"/>
        <v>Product</v>
      </c>
      <c r="G3556" s="1" t="s">
        <v>1657</v>
      </c>
      <c r="H3556" s="6" t="str">
        <f>IFERROR(__xludf.DUMMYFUNCTION("IF(REGEXMATCH(LOWER(G3556), ""^(\?)+\s*(missing)?\s*(\?)*$""), """", PROPER(SUBSTITUTE(SUBSTITUTE(G3556, ""?"", """"), ""*"", """")))"),"Box Of 6 Christmas Cake Decorations")</f>
        <v>Box Of 6 Christmas Cake Decorations</v>
      </c>
      <c r="I3556" s="3">
        <v>4.0</v>
      </c>
      <c r="J3556" s="7">
        <v>40886.41875</v>
      </c>
      <c r="K3556" s="8" t="str">
        <f t="shared" si="4"/>
        <v>2011-12</v>
      </c>
      <c r="L3556" s="5">
        <v>7.46</v>
      </c>
      <c r="M3556" s="10"/>
      <c r="N3556" s="1" t="str">
        <f t="shared" si="5"/>
        <v>Guest</v>
      </c>
      <c r="O3556" s="1" t="s">
        <v>19</v>
      </c>
      <c r="P3556" s="9" t="str">
        <f t="shared" si="6"/>
        <v>UK</v>
      </c>
      <c r="Q3556" s="8">
        <f t="shared" si="7"/>
        <v>29.84</v>
      </c>
    </row>
    <row r="3557">
      <c r="A3557" s="1">
        <v>581492.0</v>
      </c>
      <c r="B3557" s="1" t="str">
        <f t="shared" si="1"/>
        <v>581492</v>
      </c>
      <c r="C3557" s="1" t="str">
        <f t="shared" si="2"/>
        <v>Sale</v>
      </c>
      <c r="D3557" s="1">
        <v>23391.0</v>
      </c>
      <c r="E3557" s="1" t="str">
        <f>IFERROR(__xludf.DUMMYFUNCTION("IF(LEN(D3557)&gt;4, IFERROR(REGEXEXTRACT(TO_TEXT(D3557),""\d+""),""""),"""")"),"23391")</f>
        <v>23391</v>
      </c>
      <c r="F3557" s="6" t="str">
        <f t="shared" si="3"/>
        <v>Product</v>
      </c>
      <c r="G3557" s="1" t="s">
        <v>1658</v>
      </c>
      <c r="H3557" s="6" t="str">
        <f>IFERROR(__xludf.DUMMYFUNCTION("IF(REGEXMATCH(LOWER(G3557), ""^(\?)+\s*(missing)?\s*(\?)*$""), """", PROPER(SUBSTITUTE(SUBSTITUTE(G3557, ""?"", """"), ""*"", """")))"),"I Love London Mini Backpack")</f>
        <v>I Love London Mini Backpack</v>
      </c>
      <c r="I3557" s="3">
        <v>2.0</v>
      </c>
      <c r="J3557" s="7">
        <v>40886.41875</v>
      </c>
      <c r="K3557" s="8" t="str">
        <f t="shared" si="4"/>
        <v>2011-12</v>
      </c>
      <c r="L3557" s="5">
        <v>8.29</v>
      </c>
      <c r="M3557" s="10"/>
      <c r="N3557" s="1" t="str">
        <f t="shared" si="5"/>
        <v>Guest</v>
      </c>
      <c r="O3557" s="1" t="s">
        <v>19</v>
      </c>
      <c r="P3557" s="9" t="str">
        <f t="shared" si="6"/>
        <v>UK</v>
      </c>
      <c r="Q3557" s="8">
        <f t="shared" si="7"/>
        <v>16.58</v>
      </c>
    </row>
    <row r="3558">
      <c r="A3558" s="1">
        <v>581492.0</v>
      </c>
      <c r="B3558" s="1" t="str">
        <f t="shared" si="1"/>
        <v>581492</v>
      </c>
      <c r="C3558" s="1" t="str">
        <f t="shared" si="2"/>
        <v>Sale</v>
      </c>
      <c r="D3558" s="1">
        <v>23392.0</v>
      </c>
      <c r="E3558" s="1" t="str">
        <f>IFERROR(__xludf.DUMMYFUNCTION("IF(LEN(D3558)&gt;4, IFERROR(REGEXEXTRACT(TO_TEXT(D3558),""\d+""),""""),"""")"),"23392")</f>
        <v>23392</v>
      </c>
      <c r="F3558" s="6" t="str">
        <f t="shared" si="3"/>
        <v>Product</v>
      </c>
      <c r="G3558" s="1" t="s">
        <v>1659</v>
      </c>
      <c r="H3558" s="6" t="str">
        <f>IFERROR(__xludf.DUMMYFUNCTION("IF(REGEXMATCH(LOWER(G3558), ""^(\?)+\s*(missing)?\s*(\?)*$""), """", PROPER(SUBSTITUTE(SUBSTITUTE(G3558, ""?"", """"), ""*"", """")))"),"Spaceboy Rocket Lolly Makers")</f>
        <v>Spaceboy Rocket Lolly Makers</v>
      </c>
      <c r="I3558" s="3">
        <v>2.0</v>
      </c>
      <c r="J3558" s="7">
        <v>40886.41875</v>
      </c>
      <c r="K3558" s="8" t="str">
        <f t="shared" si="4"/>
        <v>2011-12</v>
      </c>
      <c r="L3558" s="5">
        <v>4.13</v>
      </c>
      <c r="M3558" s="10"/>
      <c r="N3558" s="1" t="str">
        <f t="shared" si="5"/>
        <v>Guest</v>
      </c>
      <c r="O3558" s="1" t="s">
        <v>19</v>
      </c>
      <c r="P3558" s="9" t="str">
        <f t="shared" si="6"/>
        <v>UK</v>
      </c>
      <c r="Q3558" s="8">
        <f t="shared" si="7"/>
        <v>8.26</v>
      </c>
    </row>
    <row r="3559">
      <c r="A3559" s="1">
        <v>581492.0</v>
      </c>
      <c r="B3559" s="1" t="str">
        <f t="shared" si="1"/>
        <v>581492</v>
      </c>
      <c r="C3559" s="1" t="str">
        <f t="shared" si="2"/>
        <v>Sale</v>
      </c>
      <c r="D3559" s="1">
        <v>23399.0</v>
      </c>
      <c r="E3559" s="1" t="str">
        <f>IFERROR(__xludf.DUMMYFUNCTION("IF(LEN(D3559)&gt;4, IFERROR(REGEXEXTRACT(TO_TEXT(D3559),""\d+""),""""),"""")"),"23399")</f>
        <v>23399</v>
      </c>
      <c r="F3559" s="6" t="str">
        <f t="shared" si="3"/>
        <v>Product</v>
      </c>
      <c r="G3559" s="1" t="s">
        <v>1660</v>
      </c>
      <c r="H3559" s="6" t="str">
        <f>IFERROR(__xludf.DUMMYFUNCTION("IF(REGEXMATCH(LOWER(G3559), ""^(\?)+\s*(missing)?\s*(\?)*$""), """", PROPER(SUBSTITUTE(SUBSTITUTE(G3559, ""?"", """"), ""*"", """")))"),"Home Sweet Home Hanging Heart")</f>
        <v>Home Sweet Home Hanging Heart</v>
      </c>
      <c r="I3559" s="3">
        <v>4.0</v>
      </c>
      <c r="J3559" s="7">
        <v>40886.41875</v>
      </c>
      <c r="K3559" s="8" t="str">
        <f t="shared" si="4"/>
        <v>2011-12</v>
      </c>
      <c r="L3559" s="5">
        <v>2.08</v>
      </c>
      <c r="M3559" s="10"/>
      <c r="N3559" s="1" t="str">
        <f t="shared" si="5"/>
        <v>Guest</v>
      </c>
      <c r="O3559" s="1" t="s">
        <v>19</v>
      </c>
      <c r="P3559" s="9" t="str">
        <f t="shared" si="6"/>
        <v>UK</v>
      </c>
      <c r="Q3559" s="8">
        <f t="shared" si="7"/>
        <v>8.32</v>
      </c>
    </row>
    <row r="3560">
      <c r="A3560" s="1">
        <v>581492.0</v>
      </c>
      <c r="B3560" s="1" t="str">
        <f t="shared" si="1"/>
        <v>581492</v>
      </c>
      <c r="C3560" s="1" t="str">
        <f t="shared" si="2"/>
        <v>Sale</v>
      </c>
      <c r="D3560" s="1">
        <v>23405.0</v>
      </c>
      <c r="E3560" s="1" t="str">
        <f>IFERROR(__xludf.DUMMYFUNCTION("IF(LEN(D3560)&gt;4, IFERROR(REGEXEXTRACT(TO_TEXT(D3560),""\d+""),""""),"""")"),"23405")</f>
        <v>23405</v>
      </c>
      <c r="F3560" s="6" t="str">
        <f t="shared" si="3"/>
        <v>Product</v>
      </c>
      <c r="G3560" s="1" t="s">
        <v>1661</v>
      </c>
      <c r="H3560" s="6" t="str">
        <f>IFERROR(__xludf.DUMMYFUNCTION("IF(REGEXMATCH(LOWER(G3560), ""^(\?)+\s*(missing)?\s*(\?)*$""), """", PROPER(SUBSTITUTE(SUBSTITUTE(G3560, ""?"", """"), ""*"", """")))"),"Home Sweet Home 2 Drawer Cabinet")</f>
        <v>Home Sweet Home 2 Drawer Cabinet</v>
      </c>
      <c r="I3560" s="3">
        <v>3.0</v>
      </c>
      <c r="J3560" s="7">
        <v>40886.41875</v>
      </c>
      <c r="K3560" s="8" t="str">
        <f t="shared" si="4"/>
        <v>2011-12</v>
      </c>
      <c r="L3560" s="5">
        <v>10.79</v>
      </c>
      <c r="M3560" s="10"/>
      <c r="N3560" s="1" t="str">
        <f t="shared" si="5"/>
        <v>Guest</v>
      </c>
      <c r="O3560" s="1" t="s">
        <v>19</v>
      </c>
      <c r="P3560" s="9" t="str">
        <f t="shared" si="6"/>
        <v>UK</v>
      </c>
      <c r="Q3560" s="8">
        <f t="shared" si="7"/>
        <v>32.37</v>
      </c>
    </row>
    <row r="3561">
      <c r="A3561" s="1">
        <v>581492.0</v>
      </c>
      <c r="B3561" s="1" t="str">
        <f t="shared" si="1"/>
        <v>581492</v>
      </c>
      <c r="C3561" s="1" t="str">
        <f t="shared" si="2"/>
        <v>Sale</v>
      </c>
      <c r="D3561" s="1">
        <v>23418.0</v>
      </c>
      <c r="E3561" s="1" t="str">
        <f>IFERROR(__xludf.DUMMYFUNCTION("IF(LEN(D3561)&gt;4, IFERROR(REGEXEXTRACT(TO_TEXT(D3561),""\d+""),""""),"""")"),"23418")</f>
        <v>23418</v>
      </c>
      <c r="F3561" s="6" t="str">
        <f t="shared" si="3"/>
        <v>Product</v>
      </c>
      <c r="G3561" s="1" t="s">
        <v>1662</v>
      </c>
      <c r="H3561" s="6" t="str">
        <f>IFERROR(__xludf.DUMMYFUNCTION("IF(REGEXMATCH(LOWER(G3561), ""^(\?)+\s*(missing)?\s*(\?)*$""), """", PROPER(SUBSTITUTE(SUBSTITUTE(G3561, ""?"", """"), ""*"", """")))"),"Lavender Toilette Bottle")</f>
        <v>Lavender Toilette Bottle</v>
      </c>
      <c r="I3561" s="3">
        <v>1.0</v>
      </c>
      <c r="J3561" s="7">
        <v>40886.41875</v>
      </c>
      <c r="K3561" s="8" t="str">
        <f t="shared" si="4"/>
        <v>2011-12</v>
      </c>
      <c r="L3561" s="5">
        <v>4.13</v>
      </c>
      <c r="M3561" s="10"/>
      <c r="N3561" s="1" t="str">
        <f t="shared" si="5"/>
        <v>Guest</v>
      </c>
      <c r="O3561" s="1" t="s">
        <v>19</v>
      </c>
      <c r="P3561" s="9" t="str">
        <f t="shared" si="6"/>
        <v>UK</v>
      </c>
      <c r="Q3561" s="8">
        <f t="shared" si="7"/>
        <v>4.13</v>
      </c>
    </row>
    <row r="3562">
      <c r="A3562" s="1">
        <v>581492.0</v>
      </c>
      <c r="B3562" s="1" t="str">
        <f t="shared" si="1"/>
        <v>581492</v>
      </c>
      <c r="C3562" s="1" t="str">
        <f t="shared" si="2"/>
        <v>Sale</v>
      </c>
      <c r="D3562" s="1">
        <v>23426.0</v>
      </c>
      <c r="E3562" s="1" t="str">
        <f>IFERROR(__xludf.DUMMYFUNCTION("IF(LEN(D3562)&gt;4, IFERROR(REGEXEXTRACT(TO_TEXT(D3562),""\d+""),""""),"""")"),"23426")</f>
        <v>23426</v>
      </c>
      <c r="F3562" s="6" t="str">
        <f t="shared" si="3"/>
        <v>Product</v>
      </c>
      <c r="G3562" s="1" t="s">
        <v>1663</v>
      </c>
      <c r="H3562" s="6" t="str">
        <f>IFERROR(__xludf.DUMMYFUNCTION("IF(REGEXMATCH(LOWER(G3562), ""^(\?)+\s*(missing)?\s*(\?)*$""), """", PROPER(SUBSTITUTE(SUBSTITUTE(G3562, ""?"", """"), ""*"", """")))"),"Metal Sign Drop Your Pants")</f>
        <v>Metal Sign Drop Your Pants</v>
      </c>
      <c r="I3562" s="3">
        <v>1.0</v>
      </c>
      <c r="J3562" s="7">
        <v>40886.41875</v>
      </c>
      <c r="K3562" s="8" t="str">
        <f t="shared" si="4"/>
        <v>2011-12</v>
      </c>
      <c r="L3562" s="5">
        <v>5.79</v>
      </c>
      <c r="M3562" s="10"/>
      <c r="N3562" s="1" t="str">
        <f t="shared" si="5"/>
        <v>Guest</v>
      </c>
      <c r="O3562" s="1" t="s">
        <v>19</v>
      </c>
      <c r="P3562" s="9" t="str">
        <f t="shared" si="6"/>
        <v>UK</v>
      </c>
      <c r="Q3562" s="8">
        <f t="shared" si="7"/>
        <v>5.79</v>
      </c>
    </row>
    <row r="3563">
      <c r="A3563" s="1">
        <v>581492.0</v>
      </c>
      <c r="B3563" s="1" t="str">
        <f t="shared" si="1"/>
        <v>581492</v>
      </c>
      <c r="C3563" s="1" t="str">
        <f t="shared" si="2"/>
        <v>Sale</v>
      </c>
      <c r="D3563" s="1">
        <v>23434.0</v>
      </c>
      <c r="E3563" s="1" t="str">
        <f>IFERROR(__xludf.DUMMYFUNCTION("IF(LEN(D3563)&gt;4, IFERROR(REGEXEXTRACT(TO_TEXT(D3563),""\d+""),""""),"""")"),"23434")</f>
        <v>23434</v>
      </c>
      <c r="F3563" s="6" t="str">
        <f t="shared" si="3"/>
        <v>Product</v>
      </c>
      <c r="G3563" s="1" t="s">
        <v>1664</v>
      </c>
      <c r="H3563" s="6" t="str">
        <f>IFERROR(__xludf.DUMMYFUNCTION("IF(REGEXMATCH(LOWER(G3563), ""^(\?)+\s*(missing)?\s*(\?)*$""), """", PROPER(SUBSTITUTE(SUBSTITUTE(G3563, ""?"", """"), ""*"", """")))"),"3 Raffia Ribbons 50'S Christmas")</f>
        <v>3 Raffia Ribbons 50'S Christmas</v>
      </c>
      <c r="I3563" s="3">
        <v>9.0</v>
      </c>
      <c r="J3563" s="7">
        <v>40886.41875</v>
      </c>
      <c r="K3563" s="8" t="str">
        <f t="shared" si="4"/>
        <v>2011-12</v>
      </c>
      <c r="L3563" s="5">
        <v>0.83</v>
      </c>
      <c r="M3563" s="10"/>
      <c r="N3563" s="1" t="str">
        <f t="shared" si="5"/>
        <v>Guest</v>
      </c>
      <c r="O3563" s="1" t="s">
        <v>19</v>
      </c>
      <c r="P3563" s="9" t="str">
        <f t="shared" si="6"/>
        <v>UK</v>
      </c>
      <c r="Q3563" s="8">
        <f t="shared" si="7"/>
        <v>7.47</v>
      </c>
    </row>
    <row r="3564">
      <c r="A3564" s="1">
        <v>581492.0</v>
      </c>
      <c r="B3564" s="1" t="str">
        <f t="shared" si="1"/>
        <v>581492</v>
      </c>
      <c r="C3564" s="1" t="str">
        <f t="shared" si="2"/>
        <v>Sale</v>
      </c>
      <c r="D3564" s="1">
        <v>23435.0</v>
      </c>
      <c r="E3564" s="1" t="str">
        <f>IFERROR(__xludf.DUMMYFUNCTION("IF(LEN(D3564)&gt;4, IFERROR(REGEXEXTRACT(TO_TEXT(D3564),""\d+""),""""),"""")"),"23435")</f>
        <v>23435</v>
      </c>
      <c r="F3564" s="6" t="str">
        <f t="shared" si="3"/>
        <v>Product</v>
      </c>
      <c r="G3564" s="1" t="s">
        <v>1665</v>
      </c>
      <c r="H3564" s="6" t="str">
        <f>IFERROR(__xludf.DUMMYFUNCTION("IF(REGEXMATCH(LOWER(G3564), ""^(\?)+\s*(missing)?\s*(\?)*$""), """", PROPER(SUBSTITUTE(SUBSTITUTE(G3564, ""?"", """"), ""*"", """")))"),"3 Raffia Ribbons Vintage Christmas")</f>
        <v>3 Raffia Ribbons Vintage Christmas</v>
      </c>
      <c r="I3564" s="3">
        <v>3.0</v>
      </c>
      <c r="J3564" s="7">
        <v>40886.41875</v>
      </c>
      <c r="K3564" s="8" t="str">
        <f t="shared" si="4"/>
        <v>2011-12</v>
      </c>
      <c r="L3564" s="5">
        <v>0.83</v>
      </c>
      <c r="M3564" s="10"/>
      <c r="N3564" s="1" t="str">
        <f t="shared" si="5"/>
        <v>Guest</v>
      </c>
      <c r="O3564" s="1" t="s">
        <v>19</v>
      </c>
      <c r="P3564" s="9" t="str">
        <f t="shared" si="6"/>
        <v>UK</v>
      </c>
      <c r="Q3564" s="8">
        <f t="shared" si="7"/>
        <v>2.49</v>
      </c>
    </row>
    <row r="3565">
      <c r="A3565" s="1">
        <v>581492.0</v>
      </c>
      <c r="B3565" s="1" t="str">
        <f t="shared" si="1"/>
        <v>581492</v>
      </c>
      <c r="C3565" s="1" t="str">
        <f t="shared" si="2"/>
        <v>Sale</v>
      </c>
      <c r="D3565" s="1">
        <v>23437.0</v>
      </c>
      <c r="E3565" s="1" t="str">
        <f>IFERROR(__xludf.DUMMYFUNCTION("IF(LEN(D3565)&gt;4, IFERROR(REGEXEXTRACT(TO_TEXT(D3565),""\d+""),""""),"""")"),"23437")</f>
        <v>23437</v>
      </c>
      <c r="F3565" s="6" t="str">
        <f t="shared" si="3"/>
        <v>Product</v>
      </c>
      <c r="G3565" s="1" t="s">
        <v>1666</v>
      </c>
      <c r="H3565" s="6" t="str">
        <f>IFERROR(__xludf.DUMMYFUNCTION("IF(REGEXMATCH(LOWER(G3565), ""^(\?)+\s*(missing)?\s*(\?)*$""), """", PROPER(SUBSTITUTE(SUBSTITUTE(G3565, ""?"", """"), ""*"", """")))"),"50'S Christmas Gift Bag Large")</f>
        <v>50'S Christmas Gift Bag Large</v>
      </c>
      <c r="I3565" s="3">
        <v>1.0</v>
      </c>
      <c r="J3565" s="7">
        <v>40886.41875</v>
      </c>
      <c r="K3565" s="8" t="str">
        <f t="shared" si="4"/>
        <v>2011-12</v>
      </c>
      <c r="L3565" s="5">
        <v>2.46</v>
      </c>
      <c r="M3565" s="10"/>
      <c r="N3565" s="1" t="str">
        <f t="shared" si="5"/>
        <v>Guest</v>
      </c>
      <c r="O3565" s="1" t="s">
        <v>19</v>
      </c>
      <c r="P3565" s="9" t="str">
        <f t="shared" si="6"/>
        <v>UK</v>
      </c>
      <c r="Q3565" s="8">
        <f t="shared" si="7"/>
        <v>2.46</v>
      </c>
    </row>
    <row r="3566">
      <c r="A3566" s="1">
        <v>581492.0</v>
      </c>
      <c r="B3566" s="1" t="str">
        <f t="shared" si="1"/>
        <v>581492</v>
      </c>
      <c r="C3566" s="1" t="str">
        <f t="shared" si="2"/>
        <v>Sale</v>
      </c>
      <c r="D3566" s="1">
        <v>23439.0</v>
      </c>
      <c r="E3566" s="1" t="str">
        <f>IFERROR(__xludf.DUMMYFUNCTION("IF(LEN(D3566)&gt;4, IFERROR(REGEXEXTRACT(TO_TEXT(D3566),""\d+""),""""),"""")"),"23439")</f>
        <v>23439</v>
      </c>
      <c r="F3566" s="6" t="str">
        <f t="shared" si="3"/>
        <v>Product</v>
      </c>
      <c r="G3566" s="1" t="s">
        <v>1438</v>
      </c>
      <c r="H3566" s="6" t="str">
        <f>IFERROR(__xludf.DUMMYFUNCTION("IF(REGEXMATCH(LOWER(G3566), ""^(\?)+\s*(missing)?\s*(\?)*$""), """", PROPER(SUBSTITUTE(SUBSTITUTE(G3566, ""?"", """"), ""*"", """")))"),"Hand Warmer Red Love Heart")</f>
        <v>Hand Warmer Red Love Heart</v>
      </c>
      <c r="I3566" s="3">
        <v>1.0</v>
      </c>
      <c r="J3566" s="7">
        <v>40886.41875</v>
      </c>
      <c r="K3566" s="8" t="str">
        <f t="shared" si="4"/>
        <v>2011-12</v>
      </c>
      <c r="L3566" s="5">
        <v>4.13</v>
      </c>
      <c r="M3566" s="10"/>
      <c r="N3566" s="1" t="str">
        <f t="shared" si="5"/>
        <v>Guest</v>
      </c>
      <c r="O3566" s="1" t="s">
        <v>19</v>
      </c>
      <c r="P3566" s="9" t="str">
        <f t="shared" si="6"/>
        <v>UK</v>
      </c>
      <c r="Q3566" s="8">
        <f t="shared" si="7"/>
        <v>4.13</v>
      </c>
    </row>
    <row r="3567">
      <c r="A3567" s="1">
        <v>581492.0</v>
      </c>
      <c r="B3567" s="1" t="str">
        <f t="shared" si="1"/>
        <v>581492</v>
      </c>
      <c r="C3567" s="1" t="str">
        <f t="shared" si="2"/>
        <v>Sale</v>
      </c>
      <c r="D3567" s="1">
        <v>23451.0</v>
      </c>
      <c r="E3567" s="1" t="str">
        <f>IFERROR(__xludf.DUMMYFUNCTION("IF(LEN(D3567)&gt;4, IFERROR(REGEXEXTRACT(TO_TEXT(D3567),""\d+""),""""),"""")"),"23451")</f>
        <v>23451</v>
      </c>
      <c r="F3567" s="6" t="str">
        <f t="shared" si="3"/>
        <v>Product</v>
      </c>
      <c r="G3567" s="1" t="s">
        <v>1667</v>
      </c>
      <c r="H3567" s="6" t="str">
        <f>IFERROR(__xludf.DUMMYFUNCTION("IF(REGEXMATCH(LOWER(G3567), ""^(\?)+\s*(missing)?\s*(\?)*$""), """", PROPER(SUBSTITUTE(SUBSTITUTE(G3567, ""?"", """"), ""*"", """")))"),"Square Mini Portrait Frame")</f>
        <v>Square Mini Portrait Frame</v>
      </c>
      <c r="I3567" s="3">
        <v>1.0</v>
      </c>
      <c r="J3567" s="7">
        <v>40886.41875</v>
      </c>
      <c r="K3567" s="8" t="str">
        <f t="shared" si="4"/>
        <v>2011-12</v>
      </c>
      <c r="L3567" s="5">
        <v>4.13</v>
      </c>
      <c r="M3567" s="10"/>
      <c r="N3567" s="1" t="str">
        <f t="shared" si="5"/>
        <v>Guest</v>
      </c>
      <c r="O3567" s="1" t="s">
        <v>19</v>
      </c>
      <c r="P3567" s="9" t="str">
        <f t="shared" si="6"/>
        <v>UK</v>
      </c>
      <c r="Q3567" s="8">
        <f t="shared" si="7"/>
        <v>4.13</v>
      </c>
    </row>
    <row r="3568">
      <c r="A3568" s="1">
        <v>581492.0</v>
      </c>
      <c r="B3568" s="1" t="str">
        <f t="shared" si="1"/>
        <v>581492</v>
      </c>
      <c r="C3568" s="1" t="str">
        <f t="shared" si="2"/>
        <v>Sale</v>
      </c>
      <c r="D3568" s="1">
        <v>23467.0</v>
      </c>
      <c r="E3568" s="1" t="str">
        <f>IFERROR(__xludf.DUMMYFUNCTION("IF(LEN(D3568)&gt;4, IFERROR(REGEXEXTRACT(TO_TEXT(D3568),""\d+""),""""),"""")"),"23467")</f>
        <v>23467</v>
      </c>
      <c r="F3568" s="6" t="str">
        <f t="shared" si="3"/>
        <v>Product</v>
      </c>
      <c r="G3568" s="1" t="s">
        <v>1668</v>
      </c>
      <c r="H3568" s="6" t="str">
        <f>IFERROR(__xludf.DUMMYFUNCTION("IF(REGEXMATCH(LOWER(G3568), ""^(\?)+\s*(missing)?\s*(\?)*$""), """", PROPER(SUBSTITUTE(SUBSTITUTE(G3568, ""?"", """"), ""*"", """")))"),"Vintage Zinc Planter")</f>
        <v>Vintage Zinc Planter</v>
      </c>
      <c r="I3568" s="3">
        <v>1.0</v>
      </c>
      <c r="J3568" s="7">
        <v>40886.41875</v>
      </c>
      <c r="K3568" s="8" t="str">
        <f t="shared" si="4"/>
        <v>2011-12</v>
      </c>
      <c r="L3568" s="5">
        <v>6.25</v>
      </c>
      <c r="M3568" s="10"/>
      <c r="N3568" s="1" t="str">
        <f t="shared" si="5"/>
        <v>Guest</v>
      </c>
      <c r="O3568" s="1" t="s">
        <v>19</v>
      </c>
      <c r="P3568" s="9" t="str">
        <f t="shared" si="6"/>
        <v>UK</v>
      </c>
      <c r="Q3568" s="8">
        <f t="shared" si="7"/>
        <v>6.25</v>
      </c>
    </row>
    <row r="3569">
      <c r="A3569" s="1">
        <v>581492.0</v>
      </c>
      <c r="B3569" s="1" t="str">
        <f t="shared" si="1"/>
        <v>581492</v>
      </c>
      <c r="C3569" s="1" t="str">
        <f t="shared" si="2"/>
        <v>Sale</v>
      </c>
      <c r="D3569" s="1">
        <v>23469.0</v>
      </c>
      <c r="E3569" s="1" t="str">
        <f>IFERROR(__xludf.DUMMYFUNCTION("IF(LEN(D3569)&gt;4, IFERROR(REGEXEXTRACT(TO_TEXT(D3569),""\d+""),""""),"""")"),"23469")</f>
        <v>23469</v>
      </c>
      <c r="F3569" s="6" t="str">
        <f t="shared" si="3"/>
        <v>Product</v>
      </c>
      <c r="G3569" s="1" t="s">
        <v>1669</v>
      </c>
      <c r="H3569" s="6" t="str">
        <f>IFERROR(__xludf.DUMMYFUNCTION("IF(REGEXMATCH(LOWER(G3569), ""^(\?)+\s*(missing)?\s*(\?)*$""), """", PROPER(SUBSTITUTE(SUBSTITUTE(G3569, ""?"", """"), ""*"", """")))"),"Card Holder Love Bird Small")</f>
        <v>Card Holder Love Bird Small</v>
      </c>
      <c r="I3569" s="3">
        <v>3.0</v>
      </c>
      <c r="J3569" s="7">
        <v>40886.41875</v>
      </c>
      <c r="K3569" s="8" t="str">
        <f t="shared" si="4"/>
        <v>2011-12</v>
      </c>
      <c r="L3569" s="5">
        <v>8.29</v>
      </c>
      <c r="M3569" s="10"/>
      <c r="N3569" s="1" t="str">
        <f t="shared" si="5"/>
        <v>Guest</v>
      </c>
      <c r="O3569" s="1" t="s">
        <v>19</v>
      </c>
      <c r="P3569" s="9" t="str">
        <f t="shared" si="6"/>
        <v>UK</v>
      </c>
      <c r="Q3569" s="8">
        <f t="shared" si="7"/>
        <v>24.87</v>
      </c>
    </row>
    <row r="3570">
      <c r="A3570" s="1">
        <v>581492.0</v>
      </c>
      <c r="B3570" s="1" t="str">
        <f t="shared" si="1"/>
        <v>581492</v>
      </c>
      <c r="C3570" s="1" t="str">
        <f t="shared" si="2"/>
        <v>Sale</v>
      </c>
      <c r="D3570" s="1">
        <v>23480.0</v>
      </c>
      <c r="E3570" s="1" t="str">
        <f>IFERROR(__xludf.DUMMYFUNCTION("IF(LEN(D3570)&gt;4, IFERROR(REGEXEXTRACT(TO_TEXT(D3570),""\d+""),""""),"""")"),"23480")</f>
        <v>23480</v>
      </c>
      <c r="F3570" s="6" t="str">
        <f t="shared" si="3"/>
        <v>Product</v>
      </c>
      <c r="G3570" s="1" t="s">
        <v>1476</v>
      </c>
      <c r="H3570" s="6" t="str">
        <f>IFERROR(__xludf.DUMMYFUNCTION("IF(REGEXMATCH(LOWER(G3570), ""^(\?)+\s*(missing)?\s*(\?)*$""), """", PROPER(SUBSTITUTE(SUBSTITUTE(G3570, ""?"", """"), ""*"", """")))"),"Mini Lights Woodland Mushrooms")</f>
        <v>Mini Lights Woodland Mushrooms</v>
      </c>
      <c r="I3570" s="3">
        <v>2.0</v>
      </c>
      <c r="J3570" s="7">
        <v>40886.41875</v>
      </c>
      <c r="K3570" s="8" t="str">
        <f t="shared" si="4"/>
        <v>2011-12</v>
      </c>
      <c r="L3570" s="5">
        <v>7.46</v>
      </c>
      <c r="M3570" s="10"/>
      <c r="N3570" s="1" t="str">
        <f t="shared" si="5"/>
        <v>Guest</v>
      </c>
      <c r="O3570" s="1" t="s">
        <v>19</v>
      </c>
      <c r="P3570" s="9" t="str">
        <f t="shared" si="6"/>
        <v>UK</v>
      </c>
      <c r="Q3570" s="8">
        <f t="shared" si="7"/>
        <v>14.92</v>
      </c>
    </row>
    <row r="3571">
      <c r="A3571" s="1">
        <v>581492.0</v>
      </c>
      <c r="B3571" s="1" t="str">
        <f t="shared" si="1"/>
        <v>581492</v>
      </c>
      <c r="C3571" s="1" t="str">
        <f t="shared" si="2"/>
        <v>Sale</v>
      </c>
      <c r="D3571" s="1">
        <v>23493.0</v>
      </c>
      <c r="E3571" s="1" t="str">
        <f>IFERROR(__xludf.DUMMYFUNCTION("IF(LEN(D3571)&gt;4, IFERROR(REGEXEXTRACT(TO_TEXT(D3571),""\d+""),""""),"""")"),"23493")</f>
        <v>23493</v>
      </c>
      <c r="F3571" s="6" t="str">
        <f t="shared" si="3"/>
        <v>Product</v>
      </c>
      <c r="G3571" s="1" t="s">
        <v>1609</v>
      </c>
      <c r="H3571" s="6" t="str">
        <f>IFERROR(__xludf.DUMMYFUNCTION("IF(REGEXMATCH(LOWER(G3571), ""^(\?)+\s*(missing)?\s*(\?)*$""), """", PROPER(SUBSTITUTE(SUBSTITUTE(G3571, ""?"", """"), ""*"", """")))"),"Vintage Doily Travel Sewing Kit")</f>
        <v>Vintage Doily Travel Sewing Kit</v>
      </c>
      <c r="I3571" s="3">
        <v>3.0</v>
      </c>
      <c r="J3571" s="7">
        <v>40886.41875</v>
      </c>
      <c r="K3571" s="8" t="str">
        <f t="shared" si="4"/>
        <v>2011-12</v>
      </c>
      <c r="L3571" s="5">
        <v>3.29</v>
      </c>
      <c r="M3571" s="10"/>
      <c r="N3571" s="1" t="str">
        <f t="shared" si="5"/>
        <v>Guest</v>
      </c>
      <c r="O3571" s="1" t="s">
        <v>19</v>
      </c>
      <c r="P3571" s="9" t="str">
        <f t="shared" si="6"/>
        <v>UK</v>
      </c>
      <c r="Q3571" s="8">
        <f t="shared" si="7"/>
        <v>9.87</v>
      </c>
    </row>
    <row r="3572">
      <c r="A3572" s="1">
        <v>581492.0</v>
      </c>
      <c r="B3572" s="1" t="str">
        <f t="shared" si="1"/>
        <v>581492</v>
      </c>
      <c r="C3572" s="1" t="str">
        <f t="shared" si="2"/>
        <v>Sale</v>
      </c>
      <c r="D3572" s="1">
        <v>23494.0</v>
      </c>
      <c r="E3572" s="1" t="str">
        <f>IFERROR(__xludf.DUMMYFUNCTION("IF(LEN(D3572)&gt;4, IFERROR(REGEXEXTRACT(TO_TEXT(D3572),""\d+""),""""),"""")"),"23494")</f>
        <v>23494</v>
      </c>
      <c r="F3572" s="6" t="str">
        <f t="shared" si="3"/>
        <v>Product</v>
      </c>
      <c r="G3572" s="1" t="s">
        <v>1670</v>
      </c>
      <c r="H3572" s="6" t="str">
        <f>IFERROR(__xludf.DUMMYFUNCTION("IF(REGEXMATCH(LOWER(G3572), ""^(\?)+\s*(missing)?\s*(\?)*$""), """", PROPER(SUBSTITUTE(SUBSTITUTE(G3572, ""?"", """"), ""*"", """")))"),"Vintage Doily Deluxe Sewing Kit")</f>
        <v>Vintage Doily Deluxe Sewing Kit</v>
      </c>
      <c r="I3572" s="3">
        <v>1.0</v>
      </c>
      <c r="J3572" s="7">
        <v>40886.41875</v>
      </c>
      <c r="K3572" s="8" t="str">
        <f t="shared" si="4"/>
        <v>2011-12</v>
      </c>
      <c r="L3572" s="5">
        <v>12.46</v>
      </c>
      <c r="M3572" s="10"/>
      <c r="N3572" s="1" t="str">
        <f t="shared" si="5"/>
        <v>Guest</v>
      </c>
      <c r="O3572" s="1" t="s">
        <v>19</v>
      </c>
      <c r="P3572" s="9" t="str">
        <f t="shared" si="6"/>
        <v>UK</v>
      </c>
      <c r="Q3572" s="8">
        <f t="shared" si="7"/>
        <v>12.46</v>
      </c>
    </row>
    <row r="3573">
      <c r="A3573" s="1">
        <v>581492.0</v>
      </c>
      <c r="B3573" s="1" t="str">
        <f t="shared" si="1"/>
        <v>581492</v>
      </c>
      <c r="C3573" s="1" t="str">
        <f t="shared" si="2"/>
        <v>Sale</v>
      </c>
      <c r="D3573" s="1">
        <v>23495.0</v>
      </c>
      <c r="E3573" s="1" t="str">
        <f>IFERROR(__xludf.DUMMYFUNCTION("IF(LEN(D3573)&gt;4, IFERROR(REGEXEXTRACT(TO_TEXT(D3573),""\d+""),""""),"""")"),"23495")</f>
        <v>23495</v>
      </c>
      <c r="F3573" s="6" t="str">
        <f t="shared" si="3"/>
        <v>Product</v>
      </c>
      <c r="G3573" s="1" t="s">
        <v>1671</v>
      </c>
      <c r="H3573" s="6" t="str">
        <f>IFERROR(__xludf.DUMMYFUNCTION("IF(REGEXMATCH(LOWER(G3573), ""^(\?)+\s*(missing)?\s*(\?)*$""), """", PROPER(SUBSTITUTE(SUBSTITUTE(G3573, ""?"", """"), ""*"", """")))"),"Set Of 3 Pantry Wooden Spoons")</f>
        <v>Set Of 3 Pantry Wooden Spoons</v>
      </c>
      <c r="I3573" s="3">
        <v>1.0</v>
      </c>
      <c r="J3573" s="7">
        <v>40886.41875</v>
      </c>
      <c r="K3573" s="8" t="str">
        <f t="shared" si="4"/>
        <v>2011-12</v>
      </c>
      <c r="L3573" s="5">
        <v>2.46</v>
      </c>
      <c r="M3573" s="10"/>
      <c r="N3573" s="1" t="str">
        <f t="shared" si="5"/>
        <v>Guest</v>
      </c>
      <c r="O3573" s="1" t="s">
        <v>19</v>
      </c>
      <c r="P3573" s="9" t="str">
        <f t="shared" si="6"/>
        <v>UK</v>
      </c>
      <c r="Q3573" s="8">
        <f t="shared" si="7"/>
        <v>2.46</v>
      </c>
    </row>
    <row r="3574">
      <c r="A3574" s="1">
        <v>581492.0</v>
      </c>
      <c r="B3574" s="1" t="str">
        <f t="shared" si="1"/>
        <v>581492</v>
      </c>
      <c r="C3574" s="1" t="str">
        <f t="shared" si="2"/>
        <v>Sale</v>
      </c>
      <c r="D3574" s="1">
        <v>23497.0</v>
      </c>
      <c r="E3574" s="1" t="str">
        <f>IFERROR(__xludf.DUMMYFUNCTION("IF(LEN(D3574)&gt;4, IFERROR(REGEXEXTRACT(TO_TEXT(D3574),""\d+""),""""),"""")"),"23497")</f>
        <v>23497</v>
      </c>
      <c r="F3574" s="6" t="str">
        <f t="shared" si="3"/>
        <v>Product</v>
      </c>
      <c r="G3574" s="1" t="s">
        <v>1439</v>
      </c>
      <c r="H3574" s="6" t="str">
        <f>IFERROR(__xludf.DUMMYFUNCTION("IF(REGEXMATCH(LOWER(G3574), ""^(\?)+\s*(missing)?\s*(\?)*$""), """", PROPER(SUBSTITUTE(SUBSTITUTE(G3574, ""?"", """"), ""*"", """")))"),"Classic Chrome Bicycle Bell")</f>
        <v>Classic Chrome Bicycle Bell</v>
      </c>
      <c r="I3574" s="3">
        <v>4.0</v>
      </c>
      <c r="J3574" s="7">
        <v>40886.41875</v>
      </c>
      <c r="K3574" s="8" t="str">
        <f t="shared" si="4"/>
        <v>2011-12</v>
      </c>
      <c r="L3574" s="5">
        <v>3.29</v>
      </c>
      <c r="M3574" s="10"/>
      <c r="N3574" s="1" t="str">
        <f t="shared" si="5"/>
        <v>Guest</v>
      </c>
      <c r="O3574" s="1" t="s">
        <v>19</v>
      </c>
      <c r="P3574" s="9" t="str">
        <f t="shared" si="6"/>
        <v>UK</v>
      </c>
      <c r="Q3574" s="8">
        <f t="shared" si="7"/>
        <v>13.16</v>
      </c>
    </row>
    <row r="3575">
      <c r="A3575" s="1">
        <v>581492.0</v>
      </c>
      <c r="B3575" s="1" t="str">
        <f t="shared" si="1"/>
        <v>581492</v>
      </c>
      <c r="C3575" s="1" t="str">
        <f t="shared" si="2"/>
        <v>Sale</v>
      </c>
      <c r="D3575" s="1">
        <v>23498.0</v>
      </c>
      <c r="E3575" s="1" t="str">
        <f>IFERROR(__xludf.DUMMYFUNCTION("IF(LEN(D3575)&gt;4, IFERROR(REGEXEXTRACT(TO_TEXT(D3575),""\d+""),""""),"""")"),"23498")</f>
        <v>23498</v>
      </c>
      <c r="F3575" s="6" t="str">
        <f t="shared" si="3"/>
        <v>Product</v>
      </c>
      <c r="G3575" s="1" t="s">
        <v>1672</v>
      </c>
      <c r="H3575" s="6" t="str">
        <f>IFERROR(__xludf.DUMMYFUNCTION("IF(REGEXMATCH(LOWER(G3575), ""^(\?)+\s*(missing)?\s*(\?)*$""), """", PROPER(SUBSTITUTE(SUBSTITUTE(G3575, ""?"", """"), ""*"", """")))"),"Classic Bicycle Clips")</f>
        <v>Classic Bicycle Clips</v>
      </c>
      <c r="I3575" s="3">
        <v>2.0</v>
      </c>
      <c r="J3575" s="7">
        <v>40886.41875</v>
      </c>
      <c r="K3575" s="8" t="str">
        <f t="shared" si="4"/>
        <v>2011-12</v>
      </c>
      <c r="L3575" s="5">
        <v>3.29</v>
      </c>
      <c r="M3575" s="10"/>
      <c r="N3575" s="1" t="str">
        <f t="shared" si="5"/>
        <v>Guest</v>
      </c>
      <c r="O3575" s="1" t="s">
        <v>19</v>
      </c>
      <c r="P3575" s="9" t="str">
        <f t="shared" si="6"/>
        <v>UK</v>
      </c>
      <c r="Q3575" s="8">
        <f t="shared" si="7"/>
        <v>6.58</v>
      </c>
    </row>
    <row r="3576">
      <c r="A3576" s="1">
        <v>581492.0</v>
      </c>
      <c r="B3576" s="1" t="str">
        <f t="shared" si="1"/>
        <v>581492</v>
      </c>
      <c r="C3576" s="1" t="str">
        <f t="shared" si="2"/>
        <v>Sale</v>
      </c>
      <c r="D3576" s="1">
        <v>23501.0</v>
      </c>
      <c r="E3576" s="1" t="str">
        <f>IFERROR(__xludf.DUMMYFUNCTION("IF(LEN(D3576)&gt;4, IFERROR(REGEXEXTRACT(TO_TEXT(D3576),""\d+""),""""),"""")"),"23501")</f>
        <v>23501</v>
      </c>
      <c r="F3576" s="6" t="str">
        <f t="shared" si="3"/>
        <v>Product</v>
      </c>
      <c r="G3576" s="1" t="s">
        <v>1673</v>
      </c>
      <c r="H3576" s="6" t="str">
        <f>IFERROR(__xludf.DUMMYFUNCTION("IF(REGEXMATCH(LOWER(G3576), ""^(\?)+\s*(missing)?\s*(\?)*$""), """", PROPER(SUBSTITUTE(SUBSTITUTE(G3576, ""?"", """"), ""*"", """")))"),"Key Ring Baseball Boot Union Jack")</f>
        <v>Key Ring Baseball Boot Union Jack</v>
      </c>
      <c r="I3576" s="3">
        <v>3.0</v>
      </c>
      <c r="J3576" s="7">
        <v>40886.41875</v>
      </c>
      <c r="K3576" s="8" t="str">
        <f t="shared" si="4"/>
        <v>2011-12</v>
      </c>
      <c r="L3576" s="5">
        <v>2.46</v>
      </c>
      <c r="M3576" s="10"/>
      <c r="N3576" s="1" t="str">
        <f t="shared" si="5"/>
        <v>Guest</v>
      </c>
      <c r="O3576" s="1" t="s">
        <v>19</v>
      </c>
      <c r="P3576" s="9" t="str">
        <f t="shared" si="6"/>
        <v>UK</v>
      </c>
      <c r="Q3576" s="8">
        <f t="shared" si="7"/>
        <v>7.38</v>
      </c>
    </row>
    <row r="3577">
      <c r="A3577" s="1">
        <v>581492.0</v>
      </c>
      <c r="B3577" s="1" t="str">
        <f t="shared" si="1"/>
        <v>581492</v>
      </c>
      <c r="C3577" s="1" t="str">
        <f t="shared" si="2"/>
        <v>Sale</v>
      </c>
      <c r="D3577" s="1">
        <v>23506.0</v>
      </c>
      <c r="E3577" s="1" t="str">
        <f>IFERROR(__xludf.DUMMYFUNCTION("IF(LEN(D3577)&gt;4, IFERROR(REGEXEXTRACT(TO_TEXT(D3577),""\d+""),""""),"""")"),"23506")</f>
        <v>23506</v>
      </c>
      <c r="F3577" s="6" t="str">
        <f t="shared" si="3"/>
        <v>Product</v>
      </c>
      <c r="G3577" s="1" t="s">
        <v>1674</v>
      </c>
      <c r="H3577" s="6" t="str">
        <f>IFERROR(__xludf.DUMMYFUNCTION("IF(REGEXMATCH(LOWER(G3577), ""^(\?)+\s*(missing)?\s*(\?)*$""), """", PROPER(SUBSTITUTE(SUBSTITUTE(G3577, ""?"", """"), ""*"", """")))"),"Mini Playing Cards Spaceboy")</f>
        <v>Mini Playing Cards Spaceboy</v>
      </c>
      <c r="I3577" s="3">
        <v>1.0</v>
      </c>
      <c r="J3577" s="7">
        <v>40886.41875</v>
      </c>
      <c r="K3577" s="8" t="str">
        <f t="shared" si="4"/>
        <v>2011-12</v>
      </c>
      <c r="L3577" s="5">
        <v>0.83</v>
      </c>
      <c r="M3577" s="10"/>
      <c r="N3577" s="1" t="str">
        <f t="shared" si="5"/>
        <v>Guest</v>
      </c>
      <c r="O3577" s="1" t="s">
        <v>19</v>
      </c>
      <c r="P3577" s="9" t="str">
        <f t="shared" si="6"/>
        <v>UK</v>
      </c>
      <c r="Q3577" s="8">
        <f t="shared" si="7"/>
        <v>0.83</v>
      </c>
    </row>
    <row r="3578">
      <c r="A3578" s="1">
        <v>581492.0</v>
      </c>
      <c r="B3578" s="1" t="str">
        <f t="shared" si="1"/>
        <v>581492</v>
      </c>
      <c r="C3578" s="1" t="str">
        <f t="shared" si="2"/>
        <v>Sale</v>
      </c>
      <c r="D3578" s="1">
        <v>23508.0</v>
      </c>
      <c r="E3578" s="1" t="str">
        <f>IFERROR(__xludf.DUMMYFUNCTION("IF(LEN(D3578)&gt;4, IFERROR(REGEXEXTRACT(TO_TEXT(D3578),""\d+""),""""),"""")"),"23508")</f>
        <v>23508</v>
      </c>
      <c r="F3578" s="6" t="str">
        <f t="shared" si="3"/>
        <v>Product</v>
      </c>
      <c r="G3578" s="1" t="s">
        <v>1675</v>
      </c>
      <c r="H3578" s="6" t="str">
        <f>IFERROR(__xludf.DUMMYFUNCTION("IF(REGEXMATCH(LOWER(G3578), ""^(\?)+\s*(missing)?\s*(\?)*$""), """", PROPER(SUBSTITUTE(SUBSTITUTE(G3578, ""?"", """"), ""*"", """")))"),"Mini Playing Cards Dolly Girl")</f>
        <v>Mini Playing Cards Dolly Girl</v>
      </c>
      <c r="I3578" s="3">
        <v>2.0</v>
      </c>
      <c r="J3578" s="7">
        <v>40886.41875</v>
      </c>
      <c r="K3578" s="8" t="str">
        <f t="shared" si="4"/>
        <v>2011-12</v>
      </c>
      <c r="L3578" s="5">
        <v>0.83</v>
      </c>
      <c r="M3578" s="10"/>
      <c r="N3578" s="1" t="str">
        <f t="shared" si="5"/>
        <v>Guest</v>
      </c>
      <c r="O3578" s="1" t="s">
        <v>19</v>
      </c>
      <c r="P3578" s="9" t="str">
        <f t="shared" si="6"/>
        <v>UK</v>
      </c>
      <c r="Q3578" s="8">
        <f t="shared" si="7"/>
        <v>1.66</v>
      </c>
    </row>
    <row r="3579">
      <c r="A3579" s="1">
        <v>581492.0</v>
      </c>
      <c r="B3579" s="1" t="str">
        <f t="shared" si="1"/>
        <v>581492</v>
      </c>
      <c r="C3579" s="1" t="str">
        <f t="shared" si="2"/>
        <v>Sale</v>
      </c>
      <c r="D3579" s="1">
        <v>23510.0</v>
      </c>
      <c r="E3579" s="1" t="str">
        <f>IFERROR(__xludf.DUMMYFUNCTION("IF(LEN(D3579)&gt;4, IFERROR(REGEXEXTRACT(TO_TEXT(D3579),""\d+""),""""),"""")"),"23510")</f>
        <v>23510</v>
      </c>
      <c r="F3579" s="6" t="str">
        <f t="shared" si="3"/>
        <v>Product</v>
      </c>
      <c r="G3579" s="1" t="s">
        <v>1676</v>
      </c>
      <c r="H3579" s="6" t="str">
        <f>IFERROR(__xludf.DUMMYFUNCTION("IF(REGEXMATCH(LOWER(G3579), ""^(\?)+\s*(missing)?\s*(\?)*$""), """", PROPER(SUBSTITUTE(SUBSTITUTE(G3579, ""?"", """"), ""*"", """")))"),"Mini Playing Cards Gymkhana")</f>
        <v>Mini Playing Cards Gymkhana</v>
      </c>
      <c r="I3579" s="3">
        <v>1.0</v>
      </c>
      <c r="J3579" s="7">
        <v>40886.41875</v>
      </c>
      <c r="K3579" s="8" t="str">
        <f t="shared" si="4"/>
        <v>2011-12</v>
      </c>
      <c r="L3579" s="5">
        <v>0.83</v>
      </c>
      <c r="M3579" s="10"/>
      <c r="N3579" s="1" t="str">
        <f t="shared" si="5"/>
        <v>Guest</v>
      </c>
      <c r="O3579" s="1" t="s">
        <v>19</v>
      </c>
      <c r="P3579" s="9" t="str">
        <f t="shared" si="6"/>
        <v>UK</v>
      </c>
      <c r="Q3579" s="8">
        <f t="shared" si="7"/>
        <v>0.83</v>
      </c>
    </row>
    <row r="3580">
      <c r="A3580" s="1">
        <v>581492.0</v>
      </c>
      <c r="B3580" s="1" t="str">
        <f t="shared" si="1"/>
        <v>581492</v>
      </c>
      <c r="C3580" s="1" t="str">
        <f t="shared" si="2"/>
        <v>Sale</v>
      </c>
      <c r="D3580" s="1">
        <v>23521.0</v>
      </c>
      <c r="E3580" s="1" t="str">
        <f>IFERROR(__xludf.DUMMYFUNCTION("IF(LEN(D3580)&gt;4, IFERROR(REGEXEXTRACT(TO_TEXT(D3580),""\d+""),""""),"""")"),"23521")</f>
        <v>23521</v>
      </c>
      <c r="F3580" s="6" t="str">
        <f t="shared" si="3"/>
        <v>Product</v>
      </c>
      <c r="G3580" s="1" t="s">
        <v>1677</v>
      </c>
      <c r="H3580" s="6" t="str">
        <f>IFERROR(__xludf.DUMMYFUNCTION("IF(REGEXMATCH(LOWER(G3580), ""^(\?)+\s*(missing)?\s*(\?)*$""), """", PROPER(SUBSTITUTE(SUBSTITUTE(G3580, ""?"", """"), ""*"", """")))"),"Wall Art Cat And Bird")</f>
        <v>Wall Art Cat And Bird</v>
      </c>
      <c r="I3580" s="3">
        <v>1.0</v>
      </c>
      <c r="J3580" s="7">
        <v>40886.41875</v>
      </c>
      <c r="K3580" s="8" t="str">
        <f t="shared" si="4"/>
        <v>2011-12</v>
      </c>
      <c r="L3580" s="5">
        <v>5.79</v>
      </c>
      <c r="M3580" s="10"/>
      <c r="N3580" s="1" t="str">
        <f t="shared" si="5"/>
        <v>Guest</v>
      </c>
      <c r="O3580" s="1" t="s">
        <v>19</v>
      </c>
      <c r="P3580" s="9" t="str">
        <f t="shared" si="6"/>
        <v>UK</v>
      </c>
      <c r="Q3580" s="8">
        <f t="shared" si="7"/>
        <v>5.79</v>
      </c>
    </row>
    <row r="3581">
      <c r="A3581" s="1">
        <v>581492.0</v>
      </c>
      <c r="B3581" s="1" t="str">
        <f t="shared" si="1"/>
        <v>581492</v>
      </c>
      <c r="C3581" s="1" t="str">
        <f t="shared" si="2"/>
        <v>Sale</v>
      </c>
      <c r="D3581" s="1">
        <v>23526.0</v>
      </c>
      <c r="E3581" s="1" t="str">
        <f>IFERROR(__xludf.DUMMYFUNCTION("IF(LEN(D3581)&gt;4, IFERROR(REGEXEXTRACT(TO_TEXT(D3581),""\d+""),""""),"""")"),"23526")</f>
        <v>23526</v>
      </c>
      <c r="F3581" s="6" t="str">
        <f t="shared" si="3"/>
        <v>Product</v>
      </c>
      <c r="G3581" s="1" t="s">
        <v>1471</v>
      </c>
      <c r="H3581" s="6" t="str">
        <f>IFERROR(__xludf.DUMMYFUNCTION("IF(REGEXMATCH(LOWER(G3581), ""^(\?)+\s*(missing)?\s*(\?)*$""), """", PROPER(SUBSTITUTE(SUBSTITUTE(G3581, ""?"", """"), ""*"", """")))"),"Wall Art Dog Licence")</f>
        <v>Wall Art Dog Licence</v>
      </c>
      <c r="I3581" s="3">
        <v>4.0</v>
      </c>
      <c r="J3581" s="7">
        <v>40886.41875</v>
      </c>
      <c r="K3581" s="8" t="str">
        <f t="shared" si="4"/>
        <v>2011-12</v>
      </c>
      <c r="L3581" s="5">
        <v>12.46</v>
      </c>
      <c r="M3581" s="10"/>
      <c r="N3581" s="1" t="str">
        <f t="shared" si="5"/>
        <v>Guest</v>
      </c>
      <c r="O3581" s="1" t="s">
        <v>19</v>
      </c>
      <c r="P3581" s="9" t="str">
        <f t="shared" si="6"/>
        <v>UK</v>
      </c>
      <c r="Q3581" s="8">
        <f t="shared" si="7"/>
        <v>49.84</v>
      </c>
    </row>
    <row r="3582">
      <c r="A3582" s="1">
        <v>581492.0</v>
      </c>
      <c r="B3582" s="1" t="str">
        <f t="shared" si="1"/>
        <v>581492</v>
      </c>
      <c r="C3582" s="1" t="str">
        <f t="shared" si="2"/>
        <v>Sale</v>
      </c>
      <c r="D3582" s="1">
        <v>23530.0</v>
      </c>
      <c r="E3582" s="1" t="str">
        <f>IFERROR(__xludf.DUMMYFUNCTION("IF(LEN(D3582)&gt;4, IFERROR(REGEXEXTRACT(TO_TEXT(D3582),""\d+""),""""),"""")"),"23530")</f>
        <v>23530</v>
      </c>
      <c r="F3582" s="6" t="str">
        <f t="shared" si="3"/>
        <v>Product</v>
      </c>
      <c r="G3582" s="1" t="s">
        <v>1453</v>
      </c>
      <c r="H3582" s="6" t="str">
        <f>IFERROR(__xludf.DUMMYFUNCTION("IF(REGEXMATCH(LOWER(G3582), ""^(\?)+\s*(missing)?\s*(\?)*$""), """", PROPER(SUBSTITUTE(SUBSTITUTE(G3582, ""?"", """"), ""*"", """")))"),"Wall Art Only One Person")</f>
        <v>Wall Art Only One Person</v>
      </c>
      <c r="I3582" s="3">
        <v>2.0</v>
      </c>
      <c r="J3582" s="7">
        <v>40886.41875</v>
      </c>
      <c r="K3582" s="8" t="str">
        <f t="shared" si="4"/>
        <v>2011-12</v>
      </c>
      <c r="L3582" s="5">
        <v>10.79</v>
      </c>
      <c r="M3582" s="10"/>
      <c r="N3582" s="1" t="str">
        <f t="shared" si="5"/>
        <v>Guest</v>
      </c>
      <c r="O3582" s="1" t="s">
        <v>19</v>
      </c>
      <c r="P3582" s="9" t="str">
        <f t="shared" si="6"/>
        <v>UK</v>
      </c>
      <c r="Q3582" s="8">
        <f t="shared" si="7"/>
        <v>21.58</v>
      </c>
    </row>
    <row r="3583">
      <c r="A3583" s="1">
        <v>581492.0</v>
      </c>
      <c r="B3583" s="1" t="str">
        <f t="shared" si="1"/>
        <v>581492</v>
      </c>
      <c r="C3583" s="1" t="str">
        <f t="shared" si="2"/>
        <v>Sale</v>
      </c>
      <c r="D3583" s="1">
        <v>23534.0</v>
      </c>
      <c r="E3583" s="1" t="str">
        <f>IFERROR(__xludf.DUMMYFUNCTION("IF(LEN(D3583)&gt;4, IFERROR(REGEXEXTRACT(TO_TEXT(D3583),""\d+""),""""),"""")"),"23534")</f>
        <v>23534</v>
      </c>
      <c r="F3583" s="6" t="str">
        <f t="shared" si="3"/>
        <v>Product</v>
      </c>
      <c r="G3583" s="1" t="s">
        <v>1678</v>
      </c>
      <c r="H3583" s="6" t="str">
        <f>IFERROR(__xludf.DUMMYFUNCTION("IF(REGEXMATCH(LOWER(G3583), ""^(\?)+\s*(missing)?\s*(\?)*$""), """", PROPER(SUBSTITUTE(SUBSTITUTE(G3583, ""?"", """"), ""*"", """")))"),"Wall Art Stop For Tea")</f>
        <v>Wall Art Stop For Tea</v>
      </c>
      <c r="I3583" s="3">
        <v>6.0</v>
      </c>
      <c r="J3583" s="7">
        <v>40886.41875</v>
      </c>
      <c r="K3583" s="8" t="str">
        <f t="shared" si="4"/>
        <v>2011-12</v>
      </c>
      <c r="L3583" s="5">
        <v>12.46</v>
      </c>
      <c r="M3583" s="10"/>
      <c r="N3583" s="1" t="str">
        <f t="shared" si="5"/>
        <v>Guest</v>
      </c>
      <c r="O3583" s="1" t="s">
        <v>19</v>
      </c>
      <c r="P3583" s="9" t="str">
        <f t="shared" si="6"/>
        <v>UK</v>
      </c>
      <c r="Q3583" s="8">
        <f t="shared" si="7"/>
        <v>74.76</v>
      </c>
    </row>
    <row r="3584">
      <c r="A3584" s="1">
        <v>581492.0</v>
      </c>
      <c r="B3584" s="1" t="str">
        <f t="shared" si="1"/>
        <v>581492</v>
      </c>
      <c r="C3584" s="1" t="str">
        <f t="shared" si="2"/>
        <v>Sale</v>
      </c>
      <c r="D3584" s="1">
        <v>23535.0</v>
      </c>
      <c r="E3584" s="1" t="str">
        <f>IFERROR(__xludf.DUMMYFUNCTION("IF(LEN(D3584)&gt;4, IFERROR(REGEXEXTRACT(TO_TEXT(D3584),""\d+""),""""),"""")"),"23535")</f>
        <v>23535</v>
      </c>
      <c r="F3584" s="6" t="str">
        <f t="shared" si="3"/>
        <v>Product</v>
      </c>
      <c r="G3584" s="1" t="s">
        <v>1470</v>
      </c>
      <c r="H3584" s="6" t="str">
        <f>IFERROR(__xludf.DUMMYFUNCTION("IF(REGEXMATCH(LOWER(G3584), ""^(\?)+\s*(missing)?\s*(\?)*$""), """", PROPER(SUBSTITUTE(SUBSTITUTE(G3584, ""?"", """"), ""*"", """")))"),"Wall Art Bicycle Safety")</f>
        <v>Wall Art Bicycle Safety</v>
      </c>
      <c r="I3584" s="3">
        <v>4.0</v>
      </c>
      <c r="J3584" s="7">
        <v>40886.41875</v>
      </c>
      <c r="K3584" s="8" t="str">
        <f t="shared" si="4"/>
        <v>2011-12</v>
      </c>
      <c r="L3584" s="5">
        <v>12.46</v>
      </c>
      <c r="M3584" s="10"/>
      <c r="N3584" s="1" t="str">
        <f t="shared" si="5"/>
        <v>Guest</v>
      </c>
      <c r="O3584" s="1" t="s">
        <v>19</v>
      </c>
      <c r="P3584" s="9" t="str">
        <f t="shared" si="6"/>
        <v>UK</v>
      </c>
      <c r="Q3584" s="8">
        <f t="shared" si="7"/>
        <v>49.84</v>
      </c>
    </row>
    <row r="3585">
      <c r="A3585" s="1">
        <v>581492.0</v>
      </c>
      <c r="B3585" s="1" t="str">
        <f t="shared" si="1"/>
        <v>581492</v>
      </c>
      <c r="C3585" s="1" t="str">
        <f t="shared" si="2"/>
        <v>Sale</v>
      </c>
      <c r="D3585" s="1">
        <v>23536.0</v>
      </c>
      <c r="E3585" s="1" t="str">
        <f>IFERROR(__xludf.DUMMYFUNCTION("IF(LEN(D3585)&gt;4, IFERROR(REGEXEXTRACT(TO_TEXT(D3585),""\d+""),""""),"""")"),"23536")</f>
        <v>23536</v>
      </c>
      <c r="F3585" s="6" t="str">
        <f t="shared" si="3"/>
        <v>Product</v>
      </c>
      <c r="G3585" s="1" t="s">
        <v>1679</v>
      </c>
      <c r="H3585" s="6" t="str">
        <f>IFERROR(__xludf.DUMMYFUNCTION("IF(REGEXMATCH(LOWER(G3585), ""^(\?)+\s*(missing)?\s*(\?)*$""), """", PROPER(SUBSTITUTE(SUBSTITUTE(G3585, ""?"", """"), ""*"", """")))"),"Wall Art Village Show")</f>
        <v>Wall Art Village Show</v>
      </c>
      <c r="I3585" s="3">
        <v>1.0</v>
      </c>
      <c r="J3585" s="7">
        <v>40886.41875</v>
      </c>
      <c r="K3585" s="8" t="str">
        <f t="shared" si="4"/>
        <v>2011-12</v>
      </c>
      <c r="L3585" s="5">
        <v>12.46</v>
      </c>
      <c r="M3585" s="10"/>
      <c r="N3585" s="1" t="str">
        <f t="shared" si="5"/>
        <v>Guest</v>
      </c>
      <c r="O3585" s="1" t="s">
        <v>19</v>
      </c>
      <c r="P3585" s="9" t="str">
        <f t="shared" si="6"/>
        <v>UK</v>
      </c>
      <c r="Q3585" s="8">
        <f t="shared" si="7"/>
        <v>12.46</v>
      </c>
    </row>
    <row r="3586">
      <c r="A3586" s="1">
        <v>581492.0</v>
      </c>
      <c r="B3586" s="1" t="str">
        <f t="shared" si="1"/>
        <v>581492</v>
      </c>
      <c r="C3586" s="1" t="str">
        <f t="shared" si="2"/>
        <v>Sale</v>
      </c>
      <c r="D3586" s="1">
        <v>23538.0</v>
      </c>
      <c r="E3586" s="1" t="str">
        <f>IFERROR(__xludf.DUMMYFUNCTION("IF(LEN(D3586)&gt;4, IFERROR(REGEXEXTRACT(TO_TEXT(D3586),""\d+""),""""),"""")"),"23538")</f>
        <v>23538</v>
      </c>
      <c r="F3586" s="6" t="str">
        <f t="shared" si="3"/>
        <v>Product</v>
      </c>
      <c r="G3586" s="1" t="s">
        <v>1680</v>
      </c>
      <c r="H3586" s="6" t="str">
        <f>IFERROR(__xludf.DUMMYFUNCTION("IF(REGEXMATCH(LOWER(G3586), ""^(\?)+\s*(missing)?\s*(\?)*$""), """", PROPER(SUBSTITUTE(SUBSTITUTE(G3586, ""?"", """"), ""*"", """")))"),"Wall Art Vintage Heart")</f>
        <v>Wall Art Vintage Heart</v>
      </c>
      <c r="I3586" s="3">
        <v>1.0</v>
      </c>
      <c r="J3586" s="7">
        <v>40886.41875</v>
      </c>
      <c r="K3586" s="8" t="str">
        <f t="shared" si="4"/>
        <v>2011-12</v>
      </c>
      <c r="L3586" s="5">
        <v>10.79</v>
      </c>
      <c r="M3586" s="10"/>
      <c r="N3586" s="1" t="str">
        <f t="shared" si="5"/>
        <v>Guest</v>
      </c>
      <c r="O3586" s="1" t="s">
        <v>19</v>
      </c>
      <c r="P3586" s="9" t="str">
        <f t="shared" si="6"/>
        <v>UK</v>
      </c>
      <c r="Q3586" s="8">
        <f t="shared" si="7"/>
        <v>10.79</v>
      </c>
    </row>
    <row r="3587">
      <c r="A3587" s="1">
        <v>581492.0</v>
      </c>
      <c r="B3587" s="1" t="str">
        <f t="shared" si="1"/>
        <v>581492</v>
      </c>
      <c r="C3587" s="1" t="str">
        <f t="shared" si="2"/>
        <v>Sale</v>
      </c>
      <c r="D3587" s="1">
        <v>23551.0</v>
      </c>
      <c r="E3587" s="1" t="str">
        <f>IFERROR(__xludf.DUMMYFUNCTION("IF(LEN(D3587)&gt;4, IFERROR(REGEXEXTRACT(TO_TEXT(D3587),""\d+""),""""),"""")"),"23551")</f>
        <v>23551</v>
      </c>
      <c r="F3587" s="6" t="str">
        <f t="shared" si="3"/>
        <v>Product</v>
      </c>
      <c r="G3587" s="1" t="s">
        <v>1446</v>
      </c>
      <c r="H3587" s="6" t="str">
        <f>IFERROR(__xludf.DUMMYFUNCTION("IF(REGEXMATCH(LOWER(G3587), ""^(\?)+\s*(missing)?\s*(\?)*$""), """", PROPER(SUBSTITUTE(SUBSTITUTE(G3587, ""?"", """"), ""*"", """")))"),"Pack Of 12 Paisley Park Tissues")</f>
        <v>Pack Of 12 Paisley Park Tissues</v>
      </c>
      <c r="I3587" s="3">
        <v>1.0</v>
      </c>
      <c r="J3587" s="7">
        <v>40886.41875</v>
      </c>
      <c r="K3587" s="8" t="str">
        <f t="shared" si="4"/>
        <v>2011-12</v>
      </c>
      <c r="L3587" s="5">
        <v>0.83</v>
      </c>
      <c r="M3587" s="10"/>
      <c r="N3587" s="1" t="str">
        <f t="shared" si="5"/>
        <v>Guest</v>
      </c>
      <c r="O3587" s="1" t="s">
        <v>19</v>
      </c>
      <c r="P3587" s="9" t="str">
        <f t="shared" si="6"/>
        <v>UK</v>
      </c>
      <c r="Q3587" s="8">
        <f t="shared" si="7"/>
        <v>0.83</v>
      </c>
    </row>
    <row r="3588">
      <c r="A3588" s="1">
        <v>581492.0</v>
      </c>
      <c r="B3588" s="1" t="str">
        <f t="shared" si="1"/>
        <v>581492</v>
      </c>
      <c r="C3588" s="1" t="str">
        <f t="shared" si="2"/>
        <v>Sale</v>
      </c>
      <c r="D3588" s="1">
        <v>23552.0</v>
      </c>
      <c r="E3588" s="1" t="str">
        <f>IFERROR(__xludf.DUMMYFUNCTION("IF(LEN(D3588)&gt;4, IFERROR(REGEXEXTRACT(TO_TEXT(D3588),""\d+""),""""),"""")"),"23552")</f>
        <v>23552</v>
      </c>
      <c r="F3588" s="6" t="str">
        <f t="shared" si="3"/>
        <v>Product</v>
      </c>
      <c r="G3588" s="1" t="s">
        <v>1448</v>
      </c>
      <c r="H3588" s="6" t="str">
        <f>IFERROR(__xludf.DUMMYFUNCTION("IF(REGEXMATCH(LOWER(G3588), ""^(\?)+\s*(missing)?\s*(\?)*$""), """", PROPER(SUBSTITUTE(SUBSTITUTE(G3588, ""?"", """"), ""*"", """")))"),"Bicycle Puncture Repair Kit")</f>
        <v>Bicycle Puncture Repair Kit</v>
      </c>
      <c r="I3588" s="3">
        <v>12.0</v>
      </c>
      <c r="J3588" s="7">
        <v>40886.41875</v>
      </c>
      <c r="K3588" s="8" t="str">
        <f t="shared" si="4"/>
        <v>2011-12</v>
      </c>
      <c r="L3588" s="5">
        <v>4.13</v>
      </c>
      <c r="M3588" s="10"/>
      <c r="N3588" s="1" t="str">
        <f t="shared" si="5"/>
        <v>Guest</v>
      </c>
      <c r="O3588" s="1" t="s">
        <v>19</v>
      </c>
      <c r="P3588" s="9" t="str">
        <f t="shared" si="6"/>
        <v>UK</v>
      </c>
      <c r="Q3588" s="8">
        <f t="shared" si="7"/>
        <v>49.56</v>
      </c>
    </row>
    <row r="3589">
      <c r="A3589" s="1">
        <v>581492.0</v>
      </c>
      <c r="B3589" s="1" t="str">
        <f t="shared" si="1"/>
        <v>581492</v>
      </c>
      <c r="C3589" s="1" t="str">
        <f t="shared" si="2"/>
        <v>Sale</v>
      </c>
      <c r="D3589" s="1">
        <v>23555.0</v>
      </c>
      <c r="E3589" s="1" t="str">
        <f>IFERROR(__xludf.DUMMYFUNCTION("IF(LEN(D3589)&gt;4, IFERROR(REGEXEXTRACT(TO_TEXT(D3589),""\d+""),""""),"""")"),"23555")</f>
        <v>23555</v>
      </c>
      <c r="F3589" s="6" t="str">
        <f t="shared" si="3"/>
        <v>Product</v>
      </c>
      <c r="G3589" s="1" t="s">
        <v>1681</v>
      </c>
      <c r="H3589" s="6" t="str">
        <f>IFERROR(__xludf.DUMMYFUNCTION("IF(REGEXMATCH(LOWER(G3589), ""^(\?)+\s*(missing)?\s*(\?)*$""), """", PROPER(SUBSTITUTE(SUBSTITUTE(G3589, ""?"", """"), ""*"", """")))"),"Landmark Frame Notting Hill")</f>
        <v>Landmark Frame Notting Hill</v>
      </c>
      <c r="I3589" s="3">
        <v>1.0</v>
      </c>
      <c r="J3589" s="7">
        <v>40886.41875</v>
      </c>
      <c r="K3589" s="8" t="str">
        <f t="shared" si="4"/>
        <v>2011-12</v>
      </c>
      <c r="L3589" s="5">
        <v>24.96</v>
      </c>
      <c r="M3589" s="10"/>
      <c r="N3589" s="1" t="str">
        <f t="shared" si="5"/>
        <v>Guest</v>
      </c>
      <c r="O3589" s="1" t="s">
        <v>19</v>
      </c>
      <c r="P3589" s="9" t="str">
        <f t="shared" si="6"/>
        <v>UK</v>
      </c>
      <c r="Q3589" s="8">
        <f t="shared" si="7"/>
        <v>24.96</v>
      </c>
    </row>
    <row r="3590">
      <c r="A3590" s="1">
        <v>581492.0</v>
      </c>
      <c r="B3590" s="1" t="str">
        <f t="shared" si="1"/>
        <v>581492</v>
      </c>
      <c r="C3590" s="1" t="str">
        <f t="shared" si="2"/>
        <v>Sale</v>
      </c>
      <c r="D3590" s="1">
        <v>23559.0</v>
      </c>
      <c r="E3590" s="1" t="str">
        <f>IFERROR(__xludf.DUMMYFUNCTION("IF(LEN(D3590)&gt;4, IFERROR(REGEXEXTRACT(TO_TEXT(D3590),""\d+""),""""),"""")"),"23559")</f>
        <v>23559</v>
      </c>
      <c r="F3590" s="6" t="str">
        <f t="shared" si="3"/>
        <v>Product</v>
      </c>
      <c r="G3590" s="1" t="s">
        <v>1682</v>
      </c>
      <c r="H3590" s="6" t="str">
        <f>IFERROR(__xludf.DUMMYFUNCTION("IF(REGEXMATCH(LOWER(G3590), ""^(\?)+\s*(missing)?\s*(\?)*$""), """", PROPER(SUBSTITUTE(SUBSTITUTE(G3590, ""?"", """"), ""*"", """")))"),"Woodland Bunnies Lolly Makers")</f>
        <v>Woodland Bunnies Lolly Makers</v>
      </c>
      <c r="I3590" s="3">
        <v>5.0</v>
      </c>
      <c r="J3590" s="7">
        <v>40886.41875</v>
      </c>
      <c r="K3590" s="8" t="str">
        <f t="shared" si="4"/>
        <v>2011-12</v>
      </c>
      <c r="L3590" s="5">
        <v>4.13</v>
      </c>
      <c r="M3590" s="10"/>
      <c r="N3590" s="1" t="str">
        <f t="shared" si="5"/>
        <v>Guest</v>
      </c>
      <c r="O3590" s="1" t="s">
        <v>19</v>
      </c>
      <c r="P3590" s="9" t="str">
        <f t="shared" si="6"/>
        <v>UK</v>
      </c>
      <c r="Q3590" s="8">
        <f t="shared" si="7"/>
        <v>20.65</v>
      </c>
    </row>
    <row r="3591">
      <c r="A3591" s="1">
        <v>581492.0</v>
      </c>
      <c r="B3591" s="1" t="str">
        <f t="shared" si="1"/>
        <v>581492</v>
      </c>
      <c r="C3591" s="1" t="str">
        <f t="shared" si="2"/>
        <v>Sale</v>
      </c>
      <c r="D3591" s="1">
        <v>23561.0</v>
      </c>
      <c r="E3591" s="1" t="str">
        <f>IFERROR(__xludf.DUMMYFUNCTION("IF(LEN(D3591)&gt;4, IFERROR(REGEXEXTRACT(TO_TEXT(D3591),""\d+""),""""),"""")"),"23561")</f>
        <v>23561</v>
      </c>
      <c r="F3591" s="6" t="str">
        <f t="shared" si="3"/>
        <v>Product</v>
      </c>
      <c r="G3591" s="1" t="s">
        <v>1683</v>
      </c>
      <c r="H3591" s="6" t="str">
        <f>IFERROR(__xludf.DUMMYFUNCTION("IF(REGEXMATCH(LOWER(G3591), ""^(\?)+\s*(missing)?\s*(\?)*$""), """", PROPER(SUBSTITUTE(SUBSTITUTE(G3591, ""?"", """"), ""*"", """")))"),"Set Of 6 Ribbons Party")</f>
        <v>Set Of 6 Ribbons Party</v>
      </c>
      <c r="I3591" s="3">
        <v>1.0</v>
      </c>
      <c r="J3591" s="7">
        <v>40886.41875</v>
      </c>
      <c r="K3591" s="8" t="str">
        <f t="shared" si="4"/>
        <v>2011-12</v>
      </c>
      <c r="L3591" s="5">
        <v>5.79</v>
      </c>
      <c r="M3591" s="10"/>
      <c r="N3591" s="1" t="str">
        <f t="shared" si="5"/>
        <v>Guest</v>
      </c>
      <c r="O3591" s="1" t="s">
        <v>19</v>
      </c>
      <c r="P3591" s="9" t="str">
        <f t="shared" si="6"/>
        <v>UK</v>
      </c>
      <c r="Q3591" s="8">
        <f t="shared" si="7"/>
        <v>5.79</v>
      </c>
    </row>
    <row r="3592">
      <c r="A3592" s="1">
        <v>581492.0</v>
      </c>
      <c r="B3592" s="1" t="str">
        <f t="shared" si="1"/>
        <v>581492</v>
      </c>
      <c r="C3592" s="1" t="str">
        <f t="shared" si="2"/>
        <v>Sale</v>
      </c>
      <c r="D3592" s="1">
        <v>23564.0</v>
      </c>
      <c r="E3592" s="1" t="str">
        <f>IFERROR(__xludf.DUMMYFUNCTION("IF(LEN(D3592)&gt;4, IFERROR(REGEXEXTRACT(TO_TEXT(D3592),""\d+""),""""),"""")"),"23564")</f>
        <v>23564</v>
      </c>
      <c r="F3592" s="6" t="str">
        <f t="shared" si="3"/>
        <v>Product</v>
      </c>
      <c r="G3592" s="1" t="s">
        <v>1684</v>
      </c>
      <c r="H3592" s="6" t="str">
        <f>IFERROR(__xludf.DUMMYFUNCTION("IF(REGEXMATCH(LOWER(G3592), ""^(\?)+\s*(missing)?\s*(\?)*$""), """", PROPER(SUBSTITUTE(SUBSTITUTE(G3592, ""?"", """"), ""*"", """")))"),"Egg Cup Milkmaid Ingrid")</f>
        <v>Egg Cup Milkmaid Ingrid</v>
      </c>
      <c r="I3592" s="3">
        <v>2.0</v>
      </c>
      <c r="J3592" s="7">
        <v>40886.41875</v>
      </c>
      <c r="K3592" s="8" t="str">
        <f t="shared" si="4"/>
        <v>2011-12</v>
      </c>
      <c r="L3592" s="5">
        <v>2.46</v>
      </c>
      <c r="M3592" s="10"/>
      <c r="N3592" s="1" t="str">
        <f t="shared" si="5"/>
        <v>Guest</v>
      </c>
      <c r="O3592" s="1" t="s">
        <v>19</v>
      </c>
      <c r="P3592" s="9" t="str">
        <f t="shared" si="6"/>
        <v>UK</v>
      </c>
      <c r="Q3592" s="8">
        <f t="shared" si="7"/>
        <v>4.92</v>
      </c>
    </row>
    <row r="3593">
      <c r="A3593" s="1">
        <v>581492.0</v>
      </c>
      <c r="B3593" s="1" t="str">
        <f t="shared" si="1"/>
        <v>581492</v>
      </c>
      <c r="C3593" s="1" t="str">
        <f t="shared" si="2"/>
        <v>Sale</v>
      </c>
      <c r="D3593" s="1">
        <v>23565.0</v>
      </c>
      <c r="E3593" s="1" t="str">
        <f>IFERROR(__xludf.DUMMYFUNCTION("IF(LEN(D3593)&gt;4, IFERROR(REGEXEXTRACT(TO_TEXT(D3593),""\d+""),""""),"""")"),"23565")</f>
        <v>23565</v>
      </c>
      <c r="F3593" s="6" t="str">
        <f t="shared" si="3"/>
        <v>Product</v>
      </c>
      <c r="G3593" s="1" t="s">
        <v>1685</v>
      </c>
      <c r="H3593" s="6" t="str">
        <f>IFERROR(__xludf.DUMMYFUNCTION("IF(REGEXMATCH(LOWER(G3593), ""^(\?)+\s*(missing)?\s*(\?)*$""), """", PROPER(SUBSTITUTE(SUBSTITUTE(G3593, ""?"", """"), ""*"", """")))"),"Egg Cup Milkmaid Helga")</f>
        <v>Egg Cup Milkmaid Helga</v>
      </c>
      <c r="I3593" s="3">
        <v>2.0</v>
      </c>
      <c r="J3593" s="7">
        <v>40886.41875</v>
      </c>
      <c r="K3593" s="8" t="str">
        <f t="shared" si="4"/>
        <v>2011-12</v>
      </c>
      <c r="L3593" s="5">
        <v>2.46</v>
      </c>
      <c r="M3593" s="10"/>
      <c r="N3593" s="1" t="str">
        <f t="shared" si="5"/>
        <v>Guest</v>
      </c>
      <c r="O3593" s="1" t="s">
        <v>19</v>
      </c>
      <c r="P3593" s="9" t="str">
        <f t="shared" si="6"/>
        <v>UK</v>
      </c>
      <c r="Q3593" s="8">
        <f t="shared" si="7"/>
        <v>4.92</v>
      </c>
    </row>
    <row r="3594">
      <c r="A3594" s="1">
        <v>581492.0</v>
      </c>
      <c r="B3594" s="1" t="str">
        <f t="shared" si="1"/>
        <v>581492</v>
      </c>
      <c r="C3594" s="1" t="str">
        <f t="shared" si="2"/>
        <v>Sale</v>
      </c>
      <c r="D3594" s="1">
        <v>23567.0</v>
      </c>
      <c r="E3594" s="1" t="str">
        <f>IFERROR(__xludf.DUMMYFUNCTION("IF(LEN(D3594)&gt;4, IFERROR(REGEXEXTRACT(TO_TEXT(D3594),""\d+""),""""),"""")"),"23567")</f>
        <v>23567</v>
      </c>
      <c r="F3594" s="6" t="str">
        <f t="shared" si="3"/>
        <v>Product</v>
      </c>
      <c r="G3594" s="1" t="s">
        <v>1686</v>
      </c>
      <c r="H3594" s="6" t="str">
        <f>IFERROR(__xludf.DUMMYFUNCTION("IF(REGEXMATCH(LOWER(G3594), ""^(\?)+\s*(missing)?\s*(\?)*$""), """", PROPER(SUBSTITUTE(SUBSTITUTE(G3594, ""?"", """"), ""*"", """")))"),"Egg Cup Henrietta Hen Pink")</f>
        <v>Egg Cup Henrietta Hen Pink</v>
      </c>
      <c r="I3594" s="3">
        <v>1.0</v>
      </c>
      <c r="J3594" s="7">
        <v>40886.41875</v>
      </c>
      <c r="K3594" s="8" t="str">
        <f t="shared" si="4"/>
        <v>2011-12</v>
      </c>
      <c r="L3594" s="5">
        <v>2.46</v>
      </c>
      <c r="M3594" s="10"/>
      <c r="N3594" s="1" t="str">
        <f t="shared" si="5"/>
        <v>Guest</v>
      </c>
      <c r="O3594" s="1" t="s">
        <v>19</v>
      </c>
      <c r="P3594" s="9" t="str">
        <f t="shared" si="6"/>
        <v>UK</v>
      </c>
      <c r="Q3594" s="8">
        <f t="shared" si="7"/>
        <v>2.46</v>
      </c>
    </row>
    <row r="3595">
      <c r="A3595" s="1">
        <v>581492.0</v>
      </c>
      <c r="B3595" s="1" t="str">
        <f t="shared" si="1"/>
        <v>581492</v>
      </c>
      <c r="C3595" s="1" t="str">
        <f t="shared" si="2"/>
        <v>Sale</v>
      </c>
      <c r="D3595" s="1">
        <v>23569.0</v>
      </c>
      <c r="E3595" s="1" t="str">
        <f>IFERROR(__xludf.DUMMYFUNCTION("IF(LEN(D3595)&gt;4, IFERROR(REGEXEXTRACT(TO_TEXT(D3595),""\d+""),""""),"""")"),"23569")</f>
        <v>23569</v>
      </c>
      <c r="F3595" s="6" t="str">
        <f t="shared" si="3"/>
        <v>Product</v>
      </c>
      <c r="G3595" s="1" t="s">
        <v>1469</v>
      </c>
      <c r="H3595" s="6" t="str">
        <f>IFERROR(__xludf.DUMMYFUNCTION("IF(REGEXMATCH(LOWER(G3595), ""^(\?)+\s*(missing)?\s*(\?)*$""), """", PROPER(SUBSTITUTE(SUBSTITUTE(G3595, ""?"", """"), ""*"", """")))"),"Tradtional Alphabet Stamp Set")</f>
        <v>Tradtional Alphabet Stamp Set</v>
      </c>
      <c r="I3595" s="3">
        <v>2.0</v>
      </c>
      <c r="J3595" s="7">
        <v>40886.41875</v>
      </c>
      <c r="K3595" s="8" t="str">
        <f t="shared" si="4"/>
        <v>2011-12</v>
      </c>
      <c r="L3595" s="5">
        <v>10.79</v>
      </c>
      <c r="M3595" s="10"/>
      <c r="N3595" s="1" t="str">
        <f t="shared" si="5"/>
        <v>Guest</v>
      </c>
      <c r="O3595" s="1" t="s">
        <v>19</v>
      </c>
      <c r="P3595" s="9" t="str">
        <f t="shared" si="6"/>
        <v>UK</v>
      </c>
      <c r="Q3595" s="8">
        <f t="shared" si="7"/>
        <v>21.58</v>
      </c>
    </row>
    <row r="3596">
      <c r="A3596" s="1">
        <v>581492.0</v>
      </c>
      <c r="B3596" s="1" t="str">
        <f t="shared" si="1"/>
        <v>581492</v>
      </c>
      <c r="C3596" s="1" t="str">
        <f t="shared" si="2"/>
        <v>Sale</v>
      </c>
      <c r="D3596" s="1">
        <v>23570.0</v>
      </c>
      <c r="E3596" s="1" t="str">
        <f>IFERROR(__xludf.DUMMYFUNCTION("IF(LEN(D3596)&gt;4, IFERROR(REGEXEXTRACT(TO_TEXT(D3596),""\d+""),""""),"""")"),"23570")</f>
        <v>23570</v>
      </c>
      <c r="F3596" s="6" t="str">
        <f t="shared" si="3"/>
        <v>Product</v>
      </c>
      <c r="G3596" s="1" t="s">
        <v>1467</v>
      </c>
      <c r="H3596" s="6" t="str">
        <f>IFERROR(__xludf.DUMMYFUNCTION("IF(REGEXMATCH(LOWER(G3596), ""^(\?)+\s*(missing)?\s*(\?)*$""), """", PROPER(SUBSTITUTE(SUBSTITUTE(G3596, ""?"", """"), ""*"", """")))"),"Traditional Pick Up Sticks Game")</f>
        <v>Traditional Pick Up Sticks Game</v>
      </c>
      <c r="I3596" s="3">
        <v>7.0</v>
      </c>
      <c r="J3596" s="7">
        <v>40886.41875</v>
      </c>
      <c r="K3596" s="8" t="str">
        <f t="shared" si="4"/>
        <v>2011-12</v>
      </c>
      <c r="L3596" s="5">
        <v>2.46</v>
      </c>
      <c r="M3596" s="10"/>
      <c r="N3596" s="1" t="str">
        <f t="shared" si="5"/>
        <v>Guest</v>
      </c>
      <c r="O3596" s="1" t="s">
        <v>19</v>
      </c>
      <c r="P3596" s="9" t="str">
        <f t="shared" si="6"/>
        <v>UK</v>
      </c>
      <c r="Q3596" s="8">
        <f t="shared" si="7"/>
        <v>17.22</v>
      </c>
    </row>
    <row r="3597">
      <c r="A3597" s="1">
        <v>581492.0</v>
      </c>
      <c r="B3597" s="1" t="str">
        <f t="shared" si="1"/>
        <v>581492</v>
      </c>
      <c r="C3597" s="1" t="str">
        <f t="shared" si="2"/>
        <v>Sale</v>
      </c>
      <c r="D3597" s="1">
        <v>23571.0</v>
      </c>
      <c r="E3597" s="1" t="str">
        <f>IFERROR(__xludf.DUMMYFUNCTION("IF(LEN(D3597)&gt;4, IFERROR(REGEXEXTRACT(TO_TEXT(D3597),""\d+""),""""),"""")"),"23571")</f>
        <v>23571</v>
      </c>
      <c r="F3597" s="6" t="str">
        <f t="shared" si="3"/>
        <v>Product</v>
      </c>
      <c r="G3597" s="1" t="s">
        <v>1468</v>
      </c>
      <c r="H3597" s="6" t="str">
        <f>IFERROR(__xludf.DUMMYFUNCTION("IF(REGEXMATCH(LOWER(G3597), ""^(\?)+\s*(missing)?\s*(\?)*$""), """", PROPER(SUBSTITUTE(SUBSTITUTE(G3597, ""?"", """"), ""*"", """")))"),"Traditional Naughts &amp; Crosses")</f>
        <v>Traditional Naughts &amp; Crosses</v>
      </c>
      <c r="I3597" s="3">
        <v>2.0</v>
      </c>
      <c r="J3597" s="7">
        <v>40886.41875</v>
      </c>
      <c r="K3597" s="8" t="str">
        <f t="shared" si="4"/>
        <v>2011-12</v>
      </c>
      <c r="L3597" s="5">
        <v>3.29</v>
      </c>
      <c r="M3597" s="10"/>
      <c r="N3597" s="1" t="str">
        <f t="shared" si="5"/>
        <v>Guest</v>
      </c>
      <c r="O3597" s="1" t="s">
        <v>19</v>
      </c>
      <c r="P3597" s="9" t="str">
        <f t="shared" si="6"/>
        <v>UK</v>
      </c>
      <c r="Q3597" s="8">
        <f t="shared" si="7"/>
        <v>6.58</v>
      </c>
    </row>
    <row r="3598">
      <c r="A3598" s="1">
        <v>581492.0</v>
      </c>
      <c r="B3598" s="1" t="str">
        <f t="shared" si="1"/>
        <v>581492</v>
      </c>
      <c r="C3598" s="1" t="str">
        <f t="shared" si="2"/>
        <v>Sale</v>
      </c>
      <c r="D3598" s="1">
        <v>23575.0</v>
      </c>
      <c r="E3598" s="1" t="str">
        <f>IFERROR(__xludf.DUMMYFUNCTION("IF(LEN(D3598)&gt;4, IFERROR(REGEXEXTRACT(TO_TEXT(D3598),""\d+""),""""),"""")"),"23575")</f>
        <v>23575</v>
      </c>
      <c r="F3598" s="6" t="str">
        <f t="shared" si="3"/>
        <v>Product</v>
      </c>
      <c r="G3598" s="1" t="s">
        <v>1430</v>
      </c>
      <c r="H3598" s="6" t="str">
        <f>IFERROR(__xludf.DUMMYFUNCTION("IF(REGEXMATCH(LOWER(G3598), ""^(\?)+\s*(missing)?\s*(\?)*$""), """", PROPER(SUBSTITUTE(SUBSTITUTE(G3598, ""?"", """"), ""*"", """")))"),"Snack Tray Paisley Park")</f>
        <v>Snack Tray Paisley Park</v>
      </c>
      <c r="I3598" s="3">
        <v>3.0</v>
      </c>
      <c r="J3598" s="7">
        <v>40886.41875</v>
      </c>
      <c r="K3598" s="8" t="str">
        <f t="shared" si="4"/>
        <v>2011-12</v>
      </c>
      <c r="L3598" s="5">
        <v>4.13</v>
      </c>
      <c r="M3598" s="10"/>
      <c r="N3598" s="1" t="str">
        <f t="shared" si="5"/>
        <v>Guest</v>
      </c>
      <c r="O3598" s="1" t="s">
        <v>19</v>
      </c>
      <c r="P3598" s="9" t="str">
        <f t="shared" si="6"/>
        <v>UK</v>
      </c>
      <c r="Q3598" s="8">
        <f t="shared" si="7"/>
        <v>12.39</v>
      </c>
    </row>
    <row r="3599">
      <c r="A3599" s="1">
        <v>581492.0</v>
      </c>
      <c r="B3599" s="1" t="str">
        <f t="shared" si="1"/>
        <v>581492</v>
      </c>
      <c r="C3599" s="1" t="str">
        <f t="shared" si="2"/>
        <v>Sale</v>
      </c>
      <c r="D3599" s="1">
        <v>23579.0</v>
      </c>
      <c r="E3599" s="1" t="str">
        <f>IFERROR(__xludf.DUMMYFUNCTION("IF(LEN(D3599)&gt;4, IFERROR(REGEXEXTRACT(TO_TEXT(D3599),""\d+""),""""),"""")"),"23579")</f>
        <v>23579</v>
      </c>
      <c r="F3599" s="6" t="str">
        <f t="shared" si="3"/>
        <v>Product</v>
      </c>
      <c r="G3599" s="1" t="s">
        <v>1687</v>
      </c>
      <c r="H3599" s="6" t="str">
        <f>IFERROR(__xludf.DUMMYFUNCTION("IF(REGEXMATCH(LOWER(G3599), ""^(\?)+\s*(missing)?\s*(\?)*$""), """", PROPER(SUBSTITUTE(SUBSTITUTE(G3599, ""?"", """"), ""*"", """")))"),"Snack Tray I Love London")</f>
        <v>Snack Tray I Love London</v>
      </c>
      <c r="I3599" s="3">
        <v>1.0</v>
      </c>
      <c r="J3599" s="7">
        <v>40886.41875</v>
      </c>
      <c r="K3599" s="8" t="str">
        <f t="shared" si="4"/>
        <v>2011-12</v>
      </c>
      <c r="L3599" s="5">
        <v>4.13</v>
      </c>
      <c r="M3599" s="10"/>
      <c r="N3599" s="1" t="str">
        <f t="shared" si="5"/>
        <v>Guest</v>
      </c>
      <c r="O3599" s="1" t="s">
        <v>19</v>
      </c>
      <c r="P3599" s="9" t="str">
        <f t="shared" si="6"/>
        <v>UK</v>
      </c>
      <c r="Q3599" s="8">
        <f t="shared" si="7"/>
        <v>4.13</v>
      </c>
    </row>
    <row r="3600">
      <c r="A3600" s="1">
        <v>581492.0</v>
      </c>
      <c r="B3600" s="1" t="str">
        <f t="shared" si="1"/>
        <v>581492</v>
      </c>
      <c r="C3600" s="1" t="str">
        <f t="shared" si="2"/>
        <v>Sale</v>
      </c>
      <c r="D3600" s="1">
        <v>23581.0</v>
      </c>
      <c r="E3600" s="1" t="str">
        <f>IFERROR(__xludf.DUMMYFUNCTION("IF(LEN(D3600)&gt;4, IFERROR(REGEXEXTRACT(TO_TEXT(D3600),""\d+""),""""),"""")"),"23581")</f>
        <v>23581</v>
      </c>
      <c r="F3600" s="6" t="str">
        <f t="shared" si="3"/>
        <v>Product</v>
      </c>
      <c r="G3600" s="1" t="s">
        <v>1688</v>
      </c>
      <c r="H3600" s="6" t="str">
        <f>IFERROR(__xludf.DUMMYFUNCTION("IF(REGEXMATCH(LOWER(G3600), ""^(\?)+\s*(missing)?\s*(\?)*$""), """", PROPER(SUBSTITUTE(SUBSTITUTE(G3600, ""?"", """"), ""*"", """")))"),"Jumbo Bag Paisley Park")</f>
        <v>Jumbo Bag Paisley Park</v>
      </c>
      <c r="I3600" s="3">
        <v>3.0</v>
      </c>
      <c r="J3600" s="7">
        <v>40886.41875</v>
      </c>
      <c r="K3600" s="8" t="str">
        <f t="shared" si="4"/>
        <v>2011-12</v>
      </c>
      <c r="L3600" s="5">
        <v>4.13</v>
      </c>
      <c r="M3600" s="10"/>
      <c r="N3600" s="1" t="str">
        <f t="shared" si="5"/>
        <v>Guest</v>
      </c>
      <c r="O3600" s="1" t="s">
        <v>19</v>
      </c>
      <c r="P3600" s="9" t="str">
        <f t="shared" si="6"/>
        <v>UK</v>
      </c>
      <c r="Q3600" s="8">
        <f t="shared" si="7"/>
        <v>12.39</v>
      </c>
    </row>
    <row r="3601">
      <c r="A3601" s="1">
        <v>581492.0</v>
      </c>
      <c r="B3601" s="1" t="str">
        <f t="shared" si="1"/>
        <v>581492</v>
      </c>
      <c r="C3601" s="1" t="str">
        <f t="shared" si="2"/>
        <v>Sale</v>
      </c>
      <c r="D3601" s="1">
        <v>23583.0</v>
      </c>
      <c r="E3601" s="1" t="str">
        <f>IFERROR(__xludf.DUMMYFUNCTION("IF(LEN(D3601)&gt;4, IFERROR(REGEXEXTRACT(TO_TEXT(D3601),""\d+""),""""),"""")"),"23583")</f>
        <v>23583</v>
      </c>
      <c r="F3601" s="6" t="str">
        <f t="shared" si="3"/>
        <v>Product</v>
      </c>
      <c r="G3601" s="1" t="s">
        <v>1432</v>
      </c>
      <c r="H3601" s="6" t="str">
        <f>IFERROR(__xludf.DUMMYFUNCTION("IF(REGEXMATCH(LOWER(G3601), ""^(\?)+\s*(missing)?\s*(\?)*$""), """", PROPER(SUBSTITUTE(SUBSTITUTE(G3601, ""?"", """"), ""*"", """")))"),"Lunch Bag Paisley Park")</f>
        <v>Lunch Bag Paisley Park</v>
      </c>
      <c r="I3601" s="3">
        <v>2.0</v>
      </c>
      <c r="J3601" s="7">
        <v>40886.41875</v>
      </c>
      <c r="K3601" s="8" t="str">
        <f t="shared" si="4"/>
        <v>2011-12</v>
      </c>
      <c r="L3601" s="5">
        <v>4.13</v>
      </c>
      <c r="M3601" s="10"/>
      <c r="N3601" s="1" t="str">
        <f t="shared" si="5"/>
        <v>Guest</v>
      </c>
      <c r="O3601" s="1" t="s">
        <v>19</v>
      </c>
      <c r="P3601" s="9" t="str">
        <f t="shared" si="6"/>
        <v>UK</v>
      </c>
      <c r="Q3601" s="8">
        <f t="shared" si="7"/>
        <v>8.26</v>
      </c>
    </row>
    <row r="3602">
      <c r="A3602" s="1">
        <v>581492.0</v>
      </c>
      <c r="B3602" s="1" t="str">
        <f t="shared" si="1"/>
        <v>581492</v>
      </c>
      <c r="C3602" s="1" t="str">
        <f t="shared" si="2"/>
        <v>Sale</v>
      </c>
      <c r="D3602" s="1">
        <v>23611.0</v>
      </c>
      <c r="E3602" s="1" t="str">
        <f>IFERROR(__xludf.DUMMYFUNCTION("IF(LEN(D3602)&gt;4, IFERROR(REGEXEXTRACT(TO_TEXT(D3602),""\d+""),""""),"""")"),"23611")</f>
        <v>23611</v>
      </c>
      <c r="F3602" s="6" t="str">
        <f t="shared" si="3"/>
        <v>Product</v>
      </c>
      <c r="G3602" s="1" t="s">
        <v>1689</v>
      </c>
      <c r="H3602" s="6" t="str">
        <f>IFERROR(__xludf.DUMMYFUNCTION("IF(REGEXMATCH(LOWER(G3602), ""^(\?)+\s*(missing)?\s*(\?)*$""), """", PROPER(SUBSTITUTE(SUBSTITUTE(G3602, ""?"", """"), ""*"", """")))"),"Set 10 Cards Red Riding Hood 17214")</f>
        <v>Set 10 Cards Red Riding Hood 17214</v>
      </c>
      <c r="I3602" s="3">
        <v>3.0</v>
      </c>
      <c r="J3602" s="7">
        <v>40886.41875</v>
      </c>
      <c r="K3602" s="8" t="str">
        <f t="shared" si="4"/>
        <v>2011-12</v>
      </c>
      <c r="L3602" s="5">
        <v>2.49</v>
      </c>
      <c r="M3602" s="10"/>
      <c r="N3602" s="1" t="str">
        <f t="shared" si="5"/>
        <v>Guest</v>
      </c>
      <c r="O3602" s="1" t="s">
        <v>19</v>
      </c>
      <c r="P3602" s="9" t="str">
        <f t="shared" si="6"/>
        <v>UK</v>
      </c>
      <c r="Q3602" s="8">
        <f t="shared" si="7"/>
        <v>7.47</v>
      </c>
    </row>
    <row r="3603">
      <c r="A3603" s="1">
        <v>581492.0</v>
      </c>
      <c r="B3603" s="1" t="str">
        <f t="shared" si="1"/>
        <v>581492</v>
      </c>
      <c r="C3603" s="1" t="str">
        <f t="shared" si="2"/>
        <v>Sale</v>
      </c>
      <c r="D3603" s="1">
        <v>23616.0</v>
      </c>
      <c r="E3603" s="1" t="str">
        <f>IFERROR(__xludf.DUMMYFUNCTION("IF(LEN(D3603)&gt;4, IFERROR(REGEXEXTRACT(TO_TEXT(D3603),""\d+""),""""),"""")"),"23616")</f>
        <v>23616</v>
      </c>
      <c r="F3603" s="6" t="str">
        <f t="shared" si="3"/>
        <v>Product</v>
      </c>
      <c r="G3603" s="1" t="s">
        <v>1690</v>
      </c>
      <c r="H3603" s="6" t="str">
        <f>IFERROR(__xludf.DUMMYFUNCTION("IF(REGEXMATCH(LOWER(G3603), ""^(\?)+\s*(missing)?\s*(\?)*$""), """", PROPER(SUBSTITUTE(SUBSTITUTE(G3603, ""?"", """"), ""*"", """")))"),"Set 10 Cards Jingle Bells 17217")</f>
        <v>Set 10 Cards Jingle Bells 17217</v>
      </c>
      <c r="I3603" s="3">
        <v>1.0</v>
      </c>
      <c r="J3603" s="7">
        <v>40886.41875</v>
      </c>
      <c r="K3603" s="8" t="str">
        <f t="shared" si="4"/>
        <v>2011-12</v>
      </c>
      <c r="L3603" s="5">
        <v>2.49</v>
      </c>
      <c r="M3603" s="10"/>
      <c r="N3603" s="1" t="str">
        <f t="shared" si="5"/>
        <v>Guest</v>
      </c>
      <c r="O3603" s="1" t="s">
        <v>19</v>
      </c>
      <c r="P3603" s="9" t="str">
        <f t="shared" si="6"/>
        <v>UK</v>
      </c>
      <c r="Q3603" s="8">
        <f t="shared" si="7"/>
        <v>2.49</v>
      </c>
    </row>
    <row r="3604">
      <c r="A3604" s="1">
        <v>581492.0</v>
      </c>
      <c r="B3604" s="1" t="str">
        <f t="shared" si="1"/>
        <v>581492</v>
      </c>
      <c r="C3604" s="1" t="str">
        <f t="shared" si="2"/>
        <v>Sale</v>
      </c>
      <c r="D3604" s="1">
        <v>23621.0</v>
      </c>
      <c r="E3604" s="1" t="str">
        <f>IFERROR(__xludf.DUMMYFUNCTION("IF(LEN(D3604)&gt;4, IFERROR(REGEXEXTRACT(TO_TEXT(D3604),""\d+""),""""),"""")"),"23621")</f>
        <v>23621</v>
      </c>
      <c r="F3604" s="6" t="str">
        <f t="shared" si="3"/>
        <v>Product</v>
      </c>
      <c r="G3604" s="1" t="s">
        <v>1691</v>
      </c>
      <c r="H3604" s="6" t="str">
        <f>IFERROR(__xludf.DUMMYFUNCTION("IF(REGEXMATCH(LOWER(G3604), ""^(\?)+\s*(missing)?\s*(\?)*$""), """", PROPER(SUBSTITUTE(SUBSTITUTE(G3604, ""?"", """"), ""*"", """")))"),"Set 10 Cards David'S Madonna 17074")</f>
        <v>Set 10 Cards David'S Madonna 17074</v>
      </c>
      <c r="I3604" s="3">
        <v>3.0</v>
      </c>
      <c r="J3604" s="7">
        <v>40886.41875</v>
      </c>
      <c r="K3604" s="8" t="str">
        <f t="shared" si="4"/>
        <v>2011-12</v>
      </c>
      <c r="L3604" s="5">
        <v>2.49</v>
      </c>
      <c r="M3604" s="10"/>
      <c r="N3604" s="1" t="str">
        <f t="shared" si="5"/>
        <v>Guest</v>
      </c>
      <c r="O3604" s="1" t="s">
        <v>19</v>
      </c>
      <c r="P3604" s="9" t="str">
        <f t="shared" si="6"/>
        <v>UK</v>
      </c>
      <c r="Q3604" s="8">
        <f t="shared" si="7"/>
        <v>7.47</v>
      </c>
    </row>
    <row r="3605">
      <c r="A3605" s="1">
        <v>581492.0</v>
      </c>
      <c r="B3605" s="1" t="str">
        <f t="shared" si="1"/>
        <v>581492</v>
      </c>
      <c r="C3605" s="1" t="str">
        <f t="shared" si="2"/>
        <v>Sale</v>
      </c>
      <c r="D3605" s="1">
        <v>23635.0</v>
      </c>
      <c r="E3605" s="1" t="str">
        <f>IFERROR(__xludf.DUMMYFUNCTION("IF(LEN(D3605)&gt;4, IFERROR(REGEXEXTRACT(TO_TEXT(D3605),""\d+""),""""),"""")"),"23635")</f>
        <v>23635</v>
      </c>
      <c r="F3605" s="6" t="str">
        <f t="shared" si="3"/>
        <v>Product</v>
      </c>
      <c r="G3605" s="1" t="s">
        <v>1692</v>
      </c>
      <c r="H3605" s="6" t="str">
        <f>IFERROR(__xludf.DUMMYFUNCTION("IF(REGEXMATCH(LOWER(G3605), ""^(\?)+\s*(missing)?\s*(\?)*$""), """", PROPER(SUBSTITUTE(SUBSTITUTE(G3605, ""?"", """"), ""*"", """")))"),"Set 10 Cards Christmas Holly 17259")</f>
        <v>Set 10 Cards Christmas Holly 17259</v>
      </c>
      <c r="I3605" s="3">
        <v>1.0</v>
      </c>
      <c r="J3605" s="7">
        <v>40886.41875</v>
      </c>
      <c r="K3605" s="8" t="str">
        <f t="shared" si="4"/>
        <v>2011-12</v>
      </c>
      <c r="L3605" s="5">
        <v>4.16</v>
      </c>
      <c r="M3605" s="10"/>
      <c r="N3605" s="1" t="str">
        <f t="shared" si="5"/>
        <v>Guest</v>
      </c>
      <c r="O3605" s="1" t="s">
        <v>19</v>
      </c>
      <c r="P3605" s="9" t="str">
        <f t="shared" si="6"/>
        <v>UK</v>
      </c>
      <c r="Q3605" s="8">
        <f t="shared" si="7"/>
        <v>4.16</v>
      </c>
    </row>
    <row r="3606">
      <c r="A3606" s="1">
        <v>581492.0</v>
      </c>
      <c r="B3606" s="1" t="str">
        <f t="shared" si="1"/>
        <v>581492</v>
      </c>
      <c r="C3606" s="1" t="str">
        <f t="shared" si="2"/>
        <v>Sale</v>
      </c>
      <c r="D3606" s="1">
        <v>23644.0</v>
      </c>
      <c r="E3606" s="1" t="str">
        <f>IFERROR(__xludf.DUMMYFUNCTION("IF(LEN(D3606)&gt;4, IFERROR(REGEXEXTRACT(TO_TEXT(D3606),""\d+""),""""),"""")"),"23644")</f>
        <v>23644</v>
      </c>
      <c r="F3606" s="6" t="str">
        <f t="shared" si="3"/>
        <v>Product</v>
      </c>
      <c r="G3606" s="1" t="s">
        <v>1693</v>
      </c>
      <c r="H3606" s="6" t="str">
        <f>IFERROR(__xludf.DUMMYFUNCTION("IF(REGEXMATCH(LOWER(G3606), ""^(\?)+\s*(missing)?\s*(\?)*$""), """", PROPER(SUBSTITUTE(SUBSTITUTE(G3606, ""?"", """"), ""*"", """")))"),"Set 10 Cards Christmas Tree 16955")</f>
        <v>Set 10 Cards Christmas Tree 16955</v>
      </c>
      <c r="I3606" s="3">
        <v>1.0</v>
      </c>
      <c r="J3606" s="7">
        <v>40886.41875</v>
      </c>
      <c r="K3606" s="8" t="str">
        <f t="shared" si="4"/>
        <v>2011-12</v>
      </c>
      <c r="L3606" s="5">
        <v>3.33</v>
      </c>
      <c r="M3606" s="10"/>
      <c r="N3606" s="1" t="str">
        <f t="shared" si="5"/>
        <v>Guest</v>
      </c>
      <c r="O3606" s="1" t="s">
        <v>19</v>
      </c>
      <c r="P3606" s="9" t="str">
        <f t="shared" si="6"/>
        <v>UK</v>
      </c>
      <c r="Q3606" s="8">
        <f t="shared" si="7"/>
        <v>3.33</v>
      </c>
    </row>
    <row r="3607">
      <c r="A3607" s="1">
        <v>581492.0</v>
      </c>
      <c r="B3607" s="1" t="str">
        <f t="shared" si="1"/>
        <v>581492</v>
      </c>
      <c r="C3607" s="1" t="str">
        <f t="shared" si="2"/>
        <v>Sale</v>
      </c>
      <c r="D3607" s="1">
        <v>23660.0</v>
      </c>
      <c r="E3607" s="1" t="str">
        <f>IFERROR(__xludf.DUMMYFUNCTION("IF(LEN(D3607)&gt;4, IFERROR(REGEXEXTRACT(TO_TEXT(D3607),""\d+""),""""),"""")"),"23660")</f>
        <v>23660</v>
      </c>
      <c r="F3607" s="6" t="str">
        <f t="shared" si="3"/>
        <v>Product</v>
      </c>
      <c r="G3607" s="1" t="s">
        <v>1486</v>
      </c>
      <c r="H3607" s="6" t="str">
        <f>IFERROR(__xludf.DUMMYFUNCTION("IF(REGEXMATCH(LOWER(G3607), ""^(\?)+\s*(missing)?\s*(\?)*$""), """", PROPER(SUBSTITUTE(SUBSTITUTE(G3607, ""?"", """"), ""*"", """")))"),"Henrietta Hen Mug")</f>
        <v>Henrietta Hen Mug</v>
      </c>
      <c r="I3607" s="3">
        <v>1.0</v>
      </c>
      <c r="J3607" s="7">
        <v>40886.41875</v>
      </c>
      <c r="K3607" s="8" t="str">
        <f t="shared" si="4"/>
        <v>2011-12</v>
      </c>
      <c r="L3607" s="5">
        <v>4.13</v>
      </c>
      <c r="M3607" s="10"/>
      <c r="N3607" s="1" t="str">
        <f t="shared" si="5"/>
        <v>Guest</v>
      </c>
      <c r="O3607" s="1" t="s">
        <v>19</v>
      </c>
      <c r="P3607" s="9" t="str">
        <f t="shared" si="6"/>
        <v>UK</v>
      </c>
      <c r="Q3607" s="8">
        <f t="shared" si="7"/>
        <v>4.13</v>
      </c>
    </row>
    <row r="3608">
      <c r="A3608" s="1">
        <v>581492.0</v>
      </c>
      <c r="B3608" s="1" t="str">
        <f t="shared" si="1"/>
        <v>581492</v>
      </c>
      <c r="C3608" s="1" t="str">
        <f t="shared" si="2"/>
        <v>Sale</v>
      </c>
      <c r="D3608" s="1">
        <v>23661.0</v>
      </c>
      <c r="E3608" s="1" t="str">
        <f>IFERROR(__xludf.DUMMYFUNCTION("IF(LEN(D3608)&gt;4, IFERROR(REGEXEXTRACT(TO_TEXT(D3608),""\d+""),""""),"""")"),"23661")</f>
        <v>23661</v>
      </c>
      <c r="F3608" s="6" t="str">
        <f t="shared" si="3"/>
        <v>Product</v>
      </c>
      <c r="G3608" s="1" t="s">
        <v>1694</v>
      </c>
      <c r="H3608" s="6" t="str">
        <f>IFERROR(__xludf.DUMMYFUNCTION("IF(REGEXMATCH(LOWER(G3608), ""^(\?)+\s*(missing)?\s*(\?)*$""), """", PROPER(SUBSTITUTE(SUBSTITUTE(G3608, ""?"", """"), ""*"", """")))"),"Milk Maids Mug")</f>
        <v>Milk Maids Mug</v>
      </c>
      <c r="I3608" s="3">
        <v>1.0</v>
      </c>
      <c r="J3608" s="7">
        <v>40886.41875</v>
      </c>
      <c r="K3608" s="8" t="str">
        <f t="shared" si="4"/>
        <v>2011-12</v>
      </c>
      <c r="L3608" s="5">
        <v>4.13</v>
      </c>
      <c r="M3608" s="10"/>
      <c r="N3608" s="1" t="str">
        <f t="shared" si="5"/>
        <v>Guest</v>
      </c>
      <c r="O3608" s="1" t="s">
        <v>19</v>
      </c>
      <c r="P3608" s="9" t="str">
        <f t="shared" si="6"/>
        <v>UK</v>
      </c>
      <c r="Q3608" s="8">
        <f t="shared" si="7"/>
        <v>4.13</v>
      </c>
    </row>
    <row r="3609">
      <c r="A3609" s="1">
        <v>581492.0</v>
      </c>
      <c r="B3609" s="1" t="str">
        <f t="shared" si="1"/>
        <v>581492</v>
      </c>
      <c r="C3609" s="1" t="str">
        <f t="shared" si="2"/>
        <v>Sale</v>
      </c>
      <c r="D3609" s="1" t="s">
        <v>1695</v>
      </c>
      <c r="E3609" s="1" t="str">
        <f>IFERROR(__xludf.DUMMYFUNCTION("IF(LEN(D3609)&gt;4, IFERROR(REGEXEXTRACT(TO_TEXT(D3609),""\d+""),""""),"""")"),"35095")</f>
        <v>35095</v>
      </c>
      <c r="F3609" s="6" t="str">
        <f t="shared" si="3"/>
        <v>Product</v>
      </c>
      <c r="G3609" s="1" t="s">
        <v>1696</v>
      </c>
      <c r="H3609" s="6" t="str">
        <f>IFERROR(__xludf.DUMMYFUNCTION("IF(REGEXMATCH(LOWER(G3609), ""^(\?)+\s*(missing)?\s*(\?)*$""), """", PROPER(SUBSTITUTE(SUBSTITUTE(G3609, ""?"", """"), ""*"", """")))"),"Blue Victorian Fabric Oval Box")</f>
        <v>Blue Victorian Fabric Oval Box</v>
      </c>
      <c r="I3609" s="3">
        <v>1.0</v>
      </c>
      <c r="J3609" s="7">
        <v>40886.41875</v>
      </c>
      <c r="K3609" s="8" t="str">
        <f t="shared" si="4"/>
        <v>2011-12</v>
      </c>
      <c r="L3609" s="5">
        <v>0.83</v>
      </c>
      <c r="M3609" s="10"/>
      <c r="N3609" s="1" t="str">
        <f t="shared" si="5"/>
        <v>Guest</v>
      </c>
      <c r="O3609" s="1" t="s">
        <v>19</v>
      </c>
      <c r="P3609" s="9" t="str">
        <f t="shared" si="6"/>
        <v>UK</v>
      </c>
      <c r="Q3609" s="8">
        <f t="shared" si="7"/>
        <v>0.83</v>
      </c>
    </row>
    <row r="3610">
      <c r="A3610" s="1">
        <v>581492.0</v>
      </c>
      <c r="B3610" s="1" t="str">
        <f t="shared" si="1"/>
        <v>581492</v>
      </c>
      <c r="C3610" s="1" t="str">
        <f t="shared" si="2"/>
        <v>Sale</v>
      </c>
      <c r="D3610" s="1" t="s">
        <v>1697</v>
      </c>
      <c r="E3610" s="1" t="str">
        <f>IFERROR(__xludf.DUMMYFUNCTION("IF(LEN(D3610)&gt;4, IFERROR(REGEXEXTRACT(TO_TEXT(D3610),""\d+""),""""),"""")"),"35095")</f>
        <v>35095</v>
      </c>
      <c r="F3610" s="6" t="str">
        <f t="shared" si="3"/>
        <v>Product</v>
      </c>
      <c r="G3610" s="1" t="s">
        <v>1698</v>
      </c>
      <c r="H3610" s="6" t="str">
        <f>IFERROR(__xludf.DUMMYFUNCTION("IF(REGEXMATCH(LOWER(G3610), ""^(\?)+\s*(missing)?\s*(\?)*$""), """", PROPER(SUBSTITUTE(SUBSTITUTE(G3610, ""?"", """"), ""*"", """")))"),"Red Victorian Fabric Oval Box")</f>
        <v>Red Victorian Fabric Oval Box</v>
      </c>
      <c r="I3610" s="3">
        <v>1.0</v>
      </c>
      <c r="J3610" s="7">
        <v>40886.41875</v>
      </c>
      <c r="K3610" s="8" t="str">
        <f t="shared" si="4"/>
        <v>2011-12</v>
      </c>
      <c r="L3610" s="5">
        <v>0.83</v>
      </c>
      <c r="M3610" s="10"/>
      <c r="N3610" s="1" t="str">
        <f t="shared" si="5"/>
        <v>Guest</v>
      </c>
      <c r="O3610" s="1" t="s">
        <v>19</v>
      </c>
      <c r="P3610" s="9" t="str">
        <f t="shared" si="6"/>
        <v>UK</v>
      </c>
      <c r="Q3610" s="8">
        <f t="shared" si="7"/>
        <v>0.83</v>
      </c>
    </row>
    <row r="3611">
      <c r="A3611" s="1">
        <v>581492.0</v>
      </c>
      <c r="B3611" s="1" t="str">
        <f t="shared" si="1"/>
        <v>581492</v>
      </c>
      <c r="C3611" s="1" t="str">
        <f t="shared" si="2"/>
        <v>Sale</v>
      </c>
      <c r="D3611" s="1">
        <v>35646.0</v>
      </c>
      <c r="E3611" s="1" t="str">
        <f>IFERROR(__xludf.DUMMYFUNCTION("IF(LEN(D3611)&gt;4, IFERROR(REGEXEXTRACT(TO_TEXT(D3611),""\d+""),""""),"""")"),"35646")</f>
        <v>35646</v>
      </c>
      <c r="F3611" s="6" t="str">
        <f t="shared" si="3"/>
        <v>Product</v>
      </c>
      <c r="G3611" s="1" t="s">
        <v>1699</v>
      </c>
      <c r="H3611" s="6" t="str">
        <f>IFERROR(__xludf.DUMMYFUNCTION("IF(REGEXMATCH(LOWER(G3611), ""^(\?)+\s*(missing)?\s*(\?)*$""), """", PROPER(SUBSTITUTE(SUBSTITUTE(G3611, ""?"", """"), ""*"", """")))"),"Vintage Bead Pink Evening Bag")</f>
        <v>Vintage Bead Pink Evening Bag</v>
      </c>
      <c r="I3611" s="3">
        <v>1.0</v>
      </c>
      <c r="J3611" s="7">
        <v>40886.41875</v>
      </c>
      <c r="K3611" s="8" t="str">
        <f t="shared" si="4"/>
        <v>2011-12</v>
      </c>
      <c r="L3611" s="5">
        <v>2.46</v>
      </c>
      <c r="M3611" s="10"/>
      <c r="N3611" s="1" t="str">
        <f t="shared" si="5"/>
        <v>Guest</v>
      </c>
      <c r="O3611" s="1" t="s">
        <v>19</v>
      </c>
      <c r="P3611" s="9" t="str">
        <f t="shared" si="6"/>
        <v>UK</v>
      </c>
      <c r="Q3611" s="8">
        <f t="shared" si="7"/>
        <v>2.46</v>
      </c>
    </row>
    <row r="3612">
      <c r="A3612" s="1">
        <v>581492.0</v>
      </c>
      <c r="B3612" s="1" t="str">
        <f t="shared" si="1"/>
        <v>581492</v>
      </c>
      <c r="C3612" s="1" t="str">
        <f t="shared" si="2"/>
        <v>Sale</v>
      </c>
      <c r="D3612" s="1">
        <v>35648.0</v>
      </c>
      <c r="E3612" s="1" t="str">
        <f>IFERROR(__xludf.DUMMYFUNCTION("IF(LEN(D3612)&gt;4, IFERROR(REGEXEXTRACT(TO_TEXT(D3612),""\d+""),""""),"""")"),"35648")</f>
        <v>35648</v>
      </c>
      <c r="F3612" s="6" t="str">
        <f t="shared" si="3"/>
        <v>Product</v>
      </c>
      <c r="G3612" s="1" t="s">
        <v>1700</v>
      </c>
      <c r="H3612" s="6" t="str">
        <f>IFERROR(__xludf.DUMMYFUNCTION("IF(REGEXMATCH(LOWER(G3612), ""^(\?)+\s*(missing)?\s*(\?)*$""), """", PROPER(SUBSTITUTE(SUBSTITUTE(G3612, ""?"", """"), ""*"", """")))"),"Vintage Bead Pink Purse")</f>
        <v>Vintage Bead Pink Purse</v>
      </c>
      <c r="I3612" s="3">
        <v>2.0</v>
      </c>
      <c r="J3612" s="7">
        <v>40886.41875</v>
      </c>
      <c r="K3612" s="8" t="str">
        <f t="shared" si="4"/>
        <v>2011-12</v>
      </c>
      <c r="L3612" s="5">
        <v>1.63</v>
      </c>
      <c r="M3612" s="10"/>
      <c r="N3612" s="1" t="str">
        <f t="shared" si="5"/>
        <v>Guest</v>
      </c>
      <c r="O3612" s="1" t="s">
        <v>19</v>
      </c>
      <c r="P3612" s="9" t="str">
        <f t="shared" si="6"/>
        <v>UK</v>
      </c>
      <c r="Q3612" s="8">
        <f t="shared" si="7"/>
        <v>3.26</v>
      </c>
    </row>
    <row r="3613">
      <c r="A3613" s="1">
        <v>581492.0</v>
      </c>
      <c r="B3613" s="1" t="str">
        <f t="shared" si="1"/>
        <v>581492</v>
      </c>
      <c r="C3613" s="1" t="str">
        <f t="shared" si="2"/>
        <v>Sale</v>
      </c>
      <c r="D3613" s="1">
        <v>35953.0</v>
      </c>
      <c r="E3613" s="1" t="str">
        <f>IFERROR(__xludf.DUMMYFUNCTION("IF(LEN(D3613)&gt;4, IFERROR(REGEXEXTRACT(TO_TEXT(D3613),""\d+""),""""),"""")"),"35953")</f>
        <v>35953</v>
      </c>
      <c r="F3613" s="6" t="str">
        <f t="shared" si="3"/>
        <v>Product</v>
      </c>
      <c r="G3613" s="1" t="s">
        <v>1701</v>
      </c>
      <c r="H3613" s="6" t="str">
        <f>IFERROR(__xludf.DUMMYFUNCTION("IF(REGEXMATCH(LOWER(G3613), ""^(\?)+\s*(missing)?\s*(\?)*$""), """", PROPER(SUBSTITUTE(SUBSTITUTE(G3613, ""?"", """"), ""*"", """")))"),"Folkart Star Christmas Decorations")</f>
        <v>Folkart Star Christmas Decorations</v>
      </c>
      <c r="I3613" s="3">
        <v>12.0</v>
      </c>
      <c r="J3613" s="7">
        <v>40886.41875</v>
      </c>
      <c r="K3613" s="8" t="str">
        <f t="shared" si="4"/>
        <v>2011-12</v>
      </c>
      <c r="L3613" s="5">
        <v>0.61</v>
      </c>
      <c r="M3613" s="10"/>
      <c r="N3613" s="1" t="str">
        <f t="shared" si="5"/>
        <v>Guest</v>
      </c>
      <c r="O3613" s="1" t="s">
        <v>19</v>
      </c>
      <c r="P3613" s="9" t="str">
        <f t="shared" si="6"/>
        <v>UK</v>
      </c>
      <c r="Q3613" s="8">
        <f t="shared" si="7"/>
        <v>7.32</v>
      </c>
    </row>
    <row r="3614">
      <c r="A3614" s="1">
        <v>581492.0</v>
      </c>
      <c r="B3614" s="1" t="str">
        <f t="shared" si="1"/>
        <v>581492</v>
      </c>
      <c r="C3614" s="1" t="str">
        <f t="shared" si="2"/>
        <v>Sale</v>
      </c>
      <c r="D3614" s="1">
        <v>35964.0</v>
      </c>
      <c r="E3614" s="1" t="str">
        <f>IFERROR(__xludf.DUMMYFUNCTION("IF(LEN(D3614)&gt;4, IFERROR(REGEXEXTRACT(TO_TEXT(D3614),""\d+""),""""),"""")"),"35964")</f>
        <v>35964</v>
      </c>
      <c r="F3614" s="6" t="str">
        <f t="shared" si="3"/>
        <v>Product</v>
      </c>
      <c r="G3614" s="1" t="s">
        <v>1461</v>
      </c>
      <c r="H3614" s="6" t="str">
        <f>IFERROR(__xludf.DUMMYFUNCTION("IF(REGEXMATCH(LOWER(G3614), ""^(\?)+\s*(missing)?\s*(\?)*$""), """", PROPER(SUBSTITUTE(SUBSTITUTE(G3614, ""?"", """"), ""*"", """")))"),"Folkart Clip On Stars")</f>
        <v>Folkart Clip On Stars</v>
      </c>
      <c r="I3614" s="3">
        <v>4.0</v>
      </c>
      <c r="J3614" s="7">
        <v>40886.41875</v>
      </c>
      <c r="K3614" s="8" t="str">
        <f t="shared" si="4"/>
        <v>2011-12</v>
      </c>
      <c r="L3614" s="5">
        <v>0.83</v>
      </c>
      <c r="M3614" s="10"/>
      <c r="N3614" s="1" t="str">
        <f t="shared" si="5"/>
        <v>Guest</v>
      </c>
      <c r="O3614" s="1" t="s">
        <v>19</v>
      </c>
      <c r="P3614" s="9" t="str">
        <f t="shared" si="6"/>
        <v>UK</v>
      </c>
      <c r="Q3614" s="8">
        <f t="shared" si="7"/>
        <v>3.32</v>
      </c>
    </row>
    <row r="3615">
      <c r="A3615" s="1">
        <v>581492.0</v>
      </c>
      <c r="B3615" s="1" t="str">
        <f t="shared" si="1"/>
        <v>581492</v>
      </c>
      <c r="C3615" s="1" t="str">
        <f t="shared" si="2"/>
        <v>Sale</v>
      </c>
      <c r="D3615" s="1">
        <v>35970.0</v>
      </c>
      <c r="E3615" s="1" t="str">
        <f>IFERROR(__xludf.DUMMYFUNCTION("IF(LEN(D3615)&gt;4, IFERROR(REGEXEXTRACT(TO_TEXT(D3615),""\d+""),""""),"""")"),"35970")</f>
        <v>35970</v>
      </c>
      <c r="F3615" s="6" t="str">
        <f t="shared" si="3"/>
        <v>Product</v>
      </c>
      <c r="G3615" s="1" t="s">
        <v>1702</v>
      </c>
      <c r="H3615" s="6" t="str">
        <f>IFERROR(__xludf.DUMMYFUNCTION("IF(REGEXMATCH(LOWER(G3615), ""^(\?)+\s*(missing)?\s*(\?)*$""), """", PROPER(SUBSTITUTE(SUBSTITUTE(G3615, ""?"", """"), ""*"", """")))"),"Zinc Folkart Sleigh Bells")</f>
        <v>Zinc Folkart Sleigh Bells</v>
      </c>
      <c r="I3615" s="3">
        <v>1.0</v>
      </c>
      <c r="J3615" s="7">
        <v>40886.41875</v>
      </c>
      <c r="K3615" s="8" t="str">
        <f t="shared" si="4"/>
        <v>2011-12</v>
      </c>
      <c r="L3615" s="5">
        <v>4.13</v>
      </c>
      <c r="M3615" s="10"/>
      <c r="N3615" s="1" t="str">
        <f t="shared" si="5"/>
        <v>Guest</v>
      </c>
      <c r="O3615" s="1" t="s">
        <v>19</v>
      </c>
      <c r="P3615" s="9" t="str">
        <f t="shared" si="6"/>
        <v>UK</v>
      </c>
      <c r="Q3615" s="8">
        <f t="shared" si="7"/>
        <v>4.13</v>
      </c>
    </row>
    <row r="3616">
      <c r="A3616" s="1">
        <v>581492.0</v>
      </c>
      <c r="B3616" s="1" t="str">
        <f t="shared" si="1"/>
        <v>581492</v>
      </c>
      <c r="C3616" s="1" t="str">
        <f t="shared" si="2"/>
        <v>Sale</v>
      </c>
      <c r="D3616" s="1">
        <v>46118.0</v>
      </c>
      <c r="E3616" s="1" t="str">
        <f>IFERROR(__xludf.DUMMYFUNCTION("IF(LEN(D3616)&gt;4, IFERROR(REGEXEXTRACT(TO_TEXT(D3616),""\d+""),""""),"""")"),"46118")</f>
        <v>46118</v>
      </c>
      <c r="F3616" s="6" t="str">
        <f t="shared" si="3"/>
        <v>Product</v>
      </c>
      <c r="G3616" s="1" t="s">
        <v>1703</v>
      </c>
      <c r="H3616" s="6" t="str">
        <f>IFERROR(__xludf.DUMMYFUNCTION("IF(REGEXMATCH(LOWER(G3616), ""^(\?)+\s*(missing)?\s*(\?)*$""), """", PROPER(SUBSTITUTE(SUBSTITUTE(G3616, ""?"", """"), ""*"", """")))"),"Funky Monkey Cushion Cover")</f>
        <v>Funky Monkey Cushion Cover</v>
      </c>
      <c r="I3616" s="3">
        <v>1.0</v>
      </c>
      <c r="J3616" s="7">
        <v>40886.41875</v>
      </c>
      <c r="K3616" s="8" t="str">
        <f t="shared" si="4"/>
        <v>2011-12</v>
      </c>
      <c r="L3616" s="5">
        <v>4.13</v>
      </c>
      <c r="M3616" s="10"/>
      <c r="N3616" s="1" t="str">
        <f t="shared" si="5"/>
        <v>Guest</v>
      </c>
      <c r="O3616" s="1" t="s">
        <v>19</v>
      </c>
      <c r="P3616" s="9" t="str">
        <f t="shared" si="6"/>
        <v>UK</v>
      </c>
      <c r="Q3616" s="8">
        <f t="shared" si="7"/>
        <v>4.13</v>
      </c>
    </row>
    <row r="3617">
      <c r="A3617" s="1">
        <v>581492.0</v>
      </c>
      <c r="B3617" s="1" t="str">
        <f t="shared" si="1"/>
        <v>581492</v>
      </c>
      <c r="C3617" s="1" t="str">
        <f t="shared" si="2"/>
        <v>Sale</v>
      </c>
      <c r="D3617" s="1" t="s">
        <v>1704</v>
      </c>
      <c r="E3617" s="1" t="str">
        <f>IFERROR(__xludf.DUMMYFUNCTION("IF(LEN(D3617)&gt;4, IFERROR(REGEXEXTRACT(TO_TEXT(D3617),""\d+""),""""),"""")"),"46776")</f>
        <v>46776</v>
      </c>
      <c r="F3617" s="6" t="str">
        <f t="shared" si="3"/>
        <v>Product</v>
      </c>
      <c r="G3617" s="1" t="s">
        <v>1705</v>
      </c>
      <c r="H3617" s="6" t="str">
        <f>IFERROR(__xludf.DUMMYFUNCTION("IF(REGEXMATCH(LOWER(G3617), ""^(\?)+\s*(missing)?\s*(\?)*$""), """", PROPER(SUBSTITUTE(SUBSTITUTE(G3617, ""?"", """"), ""*"", """")))"),"Woven Bubble Gum Cushion Cover")</f>
        <v>Woven Bubble Gum Cushion Cover</v>
      </c>
      <c r="I3617" s="3">
        <v>2.0</v>
      </c>
      <c r="J3617" s="7">
        <v>40886.41875</v>
      </c>
      <c r="K3617" s="8" t="str">
        <f t="shared" si="4"/>
        <v>2011-12</v>
      </c>
      <c r="L3617" s="5">
        <v>4.13</v>
      </c>
      <c r="M3617" s="10"/>
      <c r="N3617" s="1" t="str">
        <f t="shared" si="5"/>
        <v>Guest</v>
      </c>
      <c r="O3617" s="1" t="s">
        <v>19</v>
      </c>
      <c r="P3617" s="9" t="str">
        <f t="shared" si="6"/>
        <v>UK</v>
      </c>
      <c r="Q3617" s="8">
        <f t="shared" si="7"/>
        <v>8.26</v>
      </c>
    </row>
    <row r="3618">
      <c r="A3618" s="1">
        <v>581492.0</v>
      </c>
      <c r="B3618" s="1" t="str">
        <f t="shared" si="1"/>
        <v>581492</v>
      </c>
      <c r="C3618" s="1" t="str">
        <f t="shared" si="2"/>
        <v>Sale</v>
      </c>
      <c r="D3618" s="1" t="s">
        <v>1706</v>
      </c>
      <c r="E3618" s="1" t="str">
        <f>IFERROR(__xludf.DUMMYFUNCTION("IF(LEN(D3618)&gt;4, IFERROR(REGEXEXTRACT(TO_TEXT(D3618),""\d+""),""""),"""")"),"46776")</f>
        <v>46776</v>
      </c>
      <c r="F3618" s="6" t="str">
        <f t="shared" si="3"/>
        <v>Product</v>
      </c>
      <c r="G3618" s="1" t="s">
        <v>1707</v>
      </c>
      <c r="H3618" s="6" t="str">
        <f>IFERROR(__xludf.DUMMYFUNCTION("IF(REGEXMATCH(LOWER(G3618), ""^(\?)+\s*(missing)?\s*(\?)*$""), """", PROPER(SUBSTITUTE(SUBSTITUTE(G3618, ""?"", """"), ""*"", """")))"),"Woven Berries Cushion Cover")</f>
        <v>Woven Berries Cushion Cover</v>
      </c>
      <c r="I3618" s="3">
        <v>3.0</v>
      </c>
      <c r="J3618" s="7">
        <v>40886.41875</v>
      </c>
      <c r="K3618" s="8" t="str">
        <f t="shared" si="4"/>
        <v>2011-12</v>
      </c>
      <c r="L3618" s="5">
        <v>4.13</v>
      </c>
      <c r="M3618" s="10"/>
      <c r="N3618" s="1" t="str">
        <f t="shared" si="5"/>
        <v>Guest</v>
      </c>
      <c r="O3618" s="1" t="s">
        <v>19</v>
      </c>
      <c r="P3618" s="9" t="str">
        <f t="shared" si="6"/>
        <v>UK</v>
      </c>
      <c r="Q3618" s="8">
        <f t="shared" si="7"/>
        <v>12.39</v>
      </c>
    </row>
    <row r="3619">
      <c r="A3619" s="1">
        <v>581492.0</v>
      </c>
      <c r="B3619" s="1" t="str">
        <f t="shared" si="1"/>
        <v>581492</v>
      </c>
      <c r="C3619" s="1" t="str">
        <f t="shared" si="2"/>
        <v>Sale</v>
      </c>
      <c r="D3619" s="1" t="s">
        <v>1708</v>
      </c>
      <c r="E3619" s="1" t="str">
        <f>IFERROR(__xludf.DUMMYFUNCTION("IF(LEN(D3619)&gt;4, IFERROR(REGEXEXTRACT(TO_TEXT(D3619),""\d+""),""""),"""")"),"46776")</f>
        <v>46776</v>
      </c>
      <c r="F3619" s="6" t="str">
        <f t="shared" si="3"/>
        <v>Product</v>
      </c>
      <c r="G3619" s="1" t="s">
        <v>1709</v>
      </c>
      <c r="H3619" s="6" t="str">
        <f>IFERROR(__xludf.DUMMYFUNCTION("IF(REGEXMATCH(LOWER(G3619), ""^(\?)+\s*(missing)?\s*(\?)*$""), """", PROPER(SUBSTITUTE(SUBSTITUTE(G3619, ""?"", """"), ""*"", """")))"),"Woven Frost Cushion Cover")</f>
        <v>Woven Frost Cushion Cover</v>
      </c>
      <c r="I3619" s="3">
        <v>1.0</v>
      </c>
      <c r="J3619" s="7">
        <v>40886.41875</v>
      </c>
      <c r="K3619" s="8" t="str">
        <f t="shared" si="4"/>
        <v>2011-12</v>
      </c>
      <c r="L3619" s="5">
        <v>4.13</v>
      </c>
      <c r="M3619" s="10"/>
      <c r="N3619" s="1" t="str">
        <f t="shared" si="5"/>
        <v>Guest</v>
      </c>
      <c r="O3619" s="1" t="s">
        <v>19</v>
      </c>
      <c r="P3619" s="9" t="str">
        <f t="shared" si="6"/>
        <v>UK</v>
      </c>
      <c r="Q3619" s="8">
        <f t="shared" si="7"/>
        <v>4.13</v>
      </c>
    </row>
    <row r="3620">
      <c r="A3620" s="1">
        <v>581492.0</v>
      </c>
      <c r="B3620" s="1" t="str">
        <f t="shared" si="1"/>
        <v>581492</v>
      </c>
      <c r="C3620" s="1" t="str">
        <f t="shared" si="2"/>
        <v>Sale</v>
      </c>
      <c r="D3620" s="1" t="s">
        <v>1710</v>
      </c>
      <c r="E3620" s="1" t="str">
        <f>IFERROR(__xludf.DUMMYFUNCTION("IF(LEN(D3620)&gt;4, IFERROR(REGEXEXTRACT(TO_TEXT(D3620),""\d+""),""""),"""")"),"46776")</f>
        <v>46776</v>
      </c>
      <c r="F3620" s="6" t="str">
        <f t="shared" si="3"/>
        <v>Product</v>
      </c>
      <c r="G3620" s="1" t="s">
        <v>1711</v>
      </c>
      <c r="H3620" s="6" t="str">
        <f>IFERROR(__xludf.DUMMYFUNCTION("IF(REGEXMATCH(LOWER(G3620), ""^(\?)+\s*(missing)?\s*(\?)*$""), """", PROPER(SUBSTITUTE(SUBSTITUTE(G3620, ""?"", """"), ""*"", """")))"),"Woven Sunset Cushion Cover")</f>
        <v>Woven Sunset Cushion Cover</v>
      </c>
      <c r="I3620" s="3">
        <v>2.0</v>
      </c>
      <c r="J3620" s="7">
        <v>40886.41875</v>
      </c>
      <c r="K3620" s="8" t="str">
        <f t="shared" si="4"/>
        <v>2011-12</v>
      </c>
      <c r="L3620" s="5">
        <v>4.13</v>
      </c>
      <c r="M3620" s="10"/>
      <c r="N3620" s="1" t="str">
        <f t="shared" si="5"/>
        <v>Guest</v>
      </c>
      <c r="O3620" s="1" t="s">
        <v>19</v>
      </c>
      <c r="P3620" s="9" t="str">
        <f t="shared" si="6"/>
        <v>UK</v>
      </c>
      <c r="Q3620" s="8">
        <f t="shared" si="7"/>
        <v>8.26</v>
      </c>
    </row>
    <row r="3621">
      <c r="A3621" s="1">
        <v>581492.0</v>
      </c>
      <c r="B3621" s="1" t="str">
        <f t="shared" si="1"/>
        <v>581492</v>
      </c>
      <c r="C3621" s="1" t="str">
        <f t="shared" si="2"/>
        <v>Sale</v>
      </c>
      <c r="D3621" s="1" t="s">
        <v>1712</v>
      </c>
      <c r="E3621" s="1" t="str">
        <f>IFERROR(__xludf.DUMMYFUNCTION("IF(LEN(D3621)&gt;4, IFERROR(REGEXEXTRACT(TO_TEXT(D3621),""\d+""),""""),"""")"),"46776")</f>
        <v>46776</v>
      </c>
      <c r="F3621" s="6" t="str">
        <f t="shared" si="3"/>
        <v>Product</v>
      </c>
      <c r="G3621" s="1" t="s">
        <v>1713</v>
      </c>
      <c r="H3621" s="6" t="str">
        <f>IFERROR(__xludf.DUMMYFUNCTION("IF(REGEXMATCH(LOWER(G3621), ""^(\?)+\s*(missing)?\s*(\?)*$""), """", PROPER(SUBSTITUTE(SUBSTITUTE(G3621, ""?"", """"), ""*"", """")))"),"Woven Candy Cushion Cover")</f>
        <v>Woven Candy Cushion Cover</v>
      </c>
      <c r="I3621" s="3">
        <v>5.0</v>
      </c>
      <c r="J3621" s="7">
        <v>40886.41875</v>
      </c>
      <c r="K3621" s="8" t="str">
        <f t="shared" si="4"/>
        <v>2011-12</v>
      </c>
      <c r="L3621" s="5">
        <v>4.13</v>
      </c>
      <c r="M3621" s="10"/>
      <c r="N3621" s="1" t="str">
        <f t="shared" si="5"/>
        <v>Guest</v>
      </c>
      <c r="O3621" s="1" t="s">
        <v>19</v>
      </c>
      <c r="P3621" s="9" t="str">
        <f t="shared" si="6"/>
        <v>UK</v>
      </c>
      <c r="Q3621" s="8">
        <f t="shared" si="7"/>
        <v>20.65</v>
      </c>
    </row>
    <row r="3622">
      <c r="A3622" s="1">
        <v>581492.0</v>
      </c>
      <c r="B3622" s="1" t="str">
        <f t="shared" si="1"/>
        <v>581492</v>
      </c>
      <c r="C3622" s="1" t="str">
        <f t="shared" si="2"/>
        <v>Sale</v>
      </c>
      <c r="D3622" s="1" t="s">
        <v>1714</v>
      </c>
      <c r="E3622" s="1" t="str">
        <f>IFERROR(__xludf.DUMMYFUNCTION("IF(LEN(D3622)&gt;4, IFERROR(REGEXEXTRACT(TO_TEXT(D3622),""\d+""),""""),"""")"),"46776")</f>
        <v>46776</v>
      </c>
      <c r="F3622" s="6" t="str">
        <f t="shared" si="3"/>
        <v>Product</v>
      </c>
      <c r="G3622" s="1" t="s">
        <v>1715</v>
      </c>
      <c r="H3622" s="6" t="str">
        <f>IFERROR(__xludf.DUMMYFUNCTION("IF(REGEXMATCH(LOWER(G3622), ""^(\?)+\s*(missing)?\s*(\?)*$""), """", PROPER(SUBSTITUTE(SUBSTITUTE(G3622, ""?"", """"), ""*"", """")))"),"Woven Rose Garden Cushion Cover")</f>
        <v>Woven Rose Garden Cushion Cover</v>
      </c>
      <c r="I3622" s="3">
        <v>6.0</v>
      </c>
      <c r="J3622" s="7">
        <v>40886.41875</v>
      </c>
      <c r="K3622" s="8" t="str">
        <f t="shared" si="4"/>
        <v>2011-12</v>
      </c>
      <c r="L3622" s="5">
        <v>4.13</v>
      </c>
      <c r="M3622" s="10"/>
      <c r="N3622" s="1" t="str">
        <f t="shared" si="5"/>
        <v>Guest</v>
      </c>
      <c r="O3622" s="1" t="s">
        <v>19</v>
      </c>
      <c r="P3622" s="9" t="str">
        <f t="shared" si="6"/>
        <v>UK</v>
      </c>
      <c r="Q3622" s="8">
        <f t="shared" si="7"/>
        <v>24.78</v>
      </c>
    </row>
    <row r="3623">
      <c r="A3623" s="1">
        <v>581492.0</v>
      </c>
      <c r="B3623" s="1" t="str">
        <f t="shared" si="1"/>
        <v>581492</v>
      </c>
      <c r="C3623" s="1" t="str">
        <f t="shared" si="2"/>
        <v>Sale</v>
      </c>
      <c r="D3623" s="1" t="s">
        <v>1716</v>
      </c>
      <c r="E3623" s="1" t="str">
        <f>IFERROR(__xludf.DUMMYFUNCTION("IF(LEN(D3623)&gt;4, IFERROR(REGEXEXTRACT(TO_TEXT(D3623),""\d+""),""""),"""")"),"47310")</f>
        <v>47310</v>
      </c>
      <c r="F3623" s="6" t="str">
        <f t="shared" si="3"/>
        <v>Product</v>
      </c>
      <c r="G3623" s="1" t="s">
        <v>1717</v>
      </c>
      <c r="H3623" s="6" t="str">
        <f>IFERROR(__xludf.DUMMYFUNCTION("IF(REGEXMATCH(LOWER(G3623), ""^(\?)+\s*(missing)?\s*(\?)*$""), """", PROPER(SUBSTITUTE(SUBSTITUTE(G3623, ""?"", """"), ""*"", """")))"),"Small Pop Box Funky Monkey")</f>
        <v>Small Pop Box Funky Monkey</v>
      </c>
      <c r="I3623" s="3">
        <v>1.0</v>
      </c>
      <c r="J3623" s="7">
        <v>40886.41875</v>
      </c>
      <c r="K3623" s="8" t="str">
        <f t="shared" si="4"/>
        <v>2011-12</v>
      </c>
      <c r="L3623" s="5">
        <v>1.63</v>
      </c>
      <c r="M3623" s="10"/>
      <c r="N3623" s="1" t="str">
        <f t="shared" si="5"/>
        <v>Guest</v>
      </c>
      <c r="O3623" s="1" t="s">
        <v>19</v>
      </c>
      <c r="P3623" s="9" t="str">
        <f t="shared" si="6"/>
        <v>UK</v>
      </c>
      <c r="Q3623" s="8">
        <f t="shared" si="7"/>
        <v>1.63</v>
      </c>
    </row>
    <row r="3624">
      <c r="A3624" s="1">
        <v>581492.0</v>
      </c>
      <c r="B3624" s="1" t="str">
        <f t="shared" si="1"/>
        <v>581492</v>
      </c>
      <c r="C3624" s="1" t="str">
        <f t="shared" si="2"/>
        <v>Sale</v>
      </c>
      <c r="D3624" s="1">
        <v>47480.0</v>
      </c>
      <c r="E3624" s="1" t="str">
        <f>IFERROR(__xludf.DUMMYFUNCTION("IF(LEN(D3624)&gt;4, IFERROR(REGEXEXTRACT(TO_TEXT(D3624),""\d+""),""""),"""")"),"47480")</f>
        <v>47480</v>
      </c>
      <c r="F3624" s="6" t="str">
        <f t="shared" si="3"/>
        <v>Product</v>
      </c>
      <c r="G3624" s="1" t="s">
        <v>1718</v>
      </c>
      <c r="H3624" s="6" t="str">
        <f>IFERROR(__xludf.DUMMYFUNCTION("IF(REGEXMATCH(LOWER(G3624), ""^(\?)+\s*(missing)?\s*(\?)*$""), """", PROPER(SUBSTITUTE(SUBSTITUTE(G3624, ""?"", """"), ""*"", """")))"),"Hanging Photo Clip Rope Ladder")</f>
        <v>Hanging Photo Clip Rope Ladder</v>
      </c>
      <c r="I3624" s="3">
        <v>3.0</v>
      </c>
      <c r="J3624" s="7">
        <v>40886.41875</v>
      </c>
      <c r="K3624" s="8" t="str">
        <f t="shared" si="4"/>
        <v>2011-12</v>
      </c>
      <c r="L3624" s="5">
        <v>3.29</v>
      </c>
      <c r="M3624" s="10"/>
      <c r="N3624" s="1" t="str">
        <f t="shared" si="5"/>
        <v>Guest</v>
      </c>
      <c r="O3624" s="1" t="s">
        <v>19</v>
      </c>
      <c r="P3624" s="9" t="str">
        <f t="shared" si="6"/>
        <v>UK</v>
      </c>
      <c r="Q3624" s="8">
        <f t="shared" si="7"/>
        <v>9.87</v>
      </c>
    </row>
    <row r="3625">
      <c r="A3625" s="1">
        <v>581492.0</v>
      </c>
      <c r="B3625" s="1" t="str">
        <f t="shared" si="1"/>
        <v>581492</v>
      </c>
      <c r="C3625" s="1" t="str">
        <f t="shared" si="2"/>
        <v>Sale</v>
      </c>
      <c r="D3625" s="1" t="s">
        <v>1082</v>
      </c>
      <c r="E3625" s="1" t="str">
        <f>IFERROR(__xludf.DUMMYFUNCTION("IF(LEN(D3625)&gt;4, IFERROR(REGEXEXTRACT(TO_TEXT(D3625),""\d+""),""""),"""")"),"47504")</f>
        <v>47504</v>
      </c>
      <c r="F3625" s="6" t="str">
        <f t="shared" si="3"/>
        <v>Product</v>
      </c>
      <c r="G3625" s="1" t="s">
        <v>1083</v>
      </c>
      <c r="H3625" s="6" t="str">
        <f>IFERROR(__xludf.DUMMYFUNCTION("IF(REGEXMATCH(LOWER(G3625), ""^(\?)+\s*(missing)?\s*(\?)*$""), """", PROPER(SUBSTITUTE(SUBSTITUTE(G3625, ""?"", """"), ""*"", """")))"),"English Rose Spirit Level")</f>
        <v>English Rose Spirit Level</v>
      </c>
      <c r="I3625" s="3">
        <v>1.0</v>
      </c>
      <c r="J3625" s="7">
        <v>40886.41875</v>
      </c>
      <c r="K3625" s="8" t="str">
        <f t="shared" si="4"/>
        <v>2011-12</v>
      </c>
      <c r="L3625" s="5">
        <v>3.29</v>
      </c>
      <c r="M3625" s="10"/>
      <c r="N3625" s="1" t="str">
        <f t="shared" si="5"/>
        <v>Guest</v>
      </c>
      <c r="O3625" s="1" t="s">
        <v>19</v>
      </c>
      <c r="P3625" s="9" t="str">
        <f t="shared" si="6"/>
        <v>UK</v>
      </c>
      <c r="Q3625" s="8">
        <f t="shared" si="7"/>
        <v>3.29</v>
      </c>
    </row>
    <row r="3626">
      <c r="A3626" s="1">
        <v>581492.0</v>
      </c>
      <c r="B3626" s="1" t="str">
        <f t="shared" si="1"/>
        <v>581492</v>
      </c>
      <c r="C3626" s="1" t="str">
        <f t="shared" si="2"/>
        <v>Sale</v>
      </c>
      <c r="D3626" s="1" t="s">
        <v>1207</v>
      </c>
      <c r="E3626" s="1" t="str">
        <f>IFERROR(__xludf.DUMMYFUNCTION("IF(LEN(D3626)&gt;4, IFERROR(REGEXEXTRACT(TO_TEXT(D3626),""\d+""),""""),"""")"),"47559")</f>
        <v>47559</v>
      </c>
      <c r="F3626" s="6" t="str">
        <f t="shared" si="3"/>
        <v>Product</v>
      </c>
      <c r="G3626" s="1" t="s">
        <v>1208</v>
      </c>
      <c r="H3626" s="6" t="str">
        <f>IFERROR(__xludf.DUMMYFUNCTION("IF(REGEXMATCH(LOWER(G3626), ""^(\?)+\s*(missing)?\s*(\?)*$""), """", PROPER(SUBSTITUTE(SUBSTITUTE(G3626, ""?"", """"), ""*"", """")))"),"Tea Time Oven Glove")</f>
        <v>Tea Time Oven Glove</v>
      </c>
      <c r="I3626" s="3">
        <v>3.0</v>
      </c>
      <c r="J3626" s="7">
        <v>40886.41875</v>
      </c>
      <c r="K3626" s="8" t="str">
        <f t="shared" si="4"/>
        <v>2011-12</v>
      </c>
      <c r="L3626" s="5">
        <v>2.46</v>
      </c>
      <c r="M3626" s="10"/>
      <c r="N3626" s="1" t="str">
        <f t="shared" si="5"/>
        <v>Guest</v>
      </c>
      <c r="O3626" s="1" t="s">
        <v>19</v>
      </c>
      <c r="P3626" s="9" t="str">
        <f t="shared" si="6"/>
        <v>UK</v>
      </c>
      <c r="Q3626" s="8">
        <f t="shared" si="7"/>
        <v>7.38</v>
      </c>
    </row>
    <row r="3627">
      <c r="A3627" s="1">
        <v>581492.0</v>
      </c>
      <c r="B3627" s="1" t="str">
        <f t="shared" si="1"/>
        <v>581492</v>
      </c>
      <c r="C3627" s="1" t="str">
        <f t="shared" si="2"/>
        <v>Sale</v>
      </c>
      <c r="D3627" s="1" t="s">
        <v>621</v>
      </c>
      <c r="E3627" s="1" t="str">
        <f>IFERROR(__xludf.DUMMYFUNCTION("IF(LEN(D3627)&gt;4, IFERROR(REGEXEXTRACT(TO_TEXT(D3627),""\d+""),""""),"""")"),"47563")</f>
        <v>47563</v>
      </c>
      <c r="F3627" s="6" t="str">
        <f t="shared" si="3"/>
        <v>Product</v>
      </c>
      <c r="G3627" s="1" t="s">
        <v>622</v>
      </c>
      <c r="H3627" s="6" t="str">
        <f>IFERROR(__xludf.DUMMYFUNCTION("IF(REGEXMATCH(LOWER(G3627), ""^(\?)+\s*(missing)?\s*(\?)*$""), """", PROPER(SUBSTITUTE(SUBSTITUTE(G3627, ""?"", """"), ""*"", """")))"),"Retro Longboard Ironing Board Cover")</f>
        <v>Retro Longboard Ironing Board Cover</v>
      </c>
      <c r="I3627" s="3">
        <v>2.0</v>
      </c>
      <c r="J3627" s="7">
        <v>40886.41875</v>
      </c>
      <c r="K3627" s="8" t="str">
        <f t="shared" si="4"/>
        <v>2011-12</v>
      </c>
      <c r="L3627" s="5">
        <v>3.29</v>
      </c>
      <c r="M3627" s="10"/>
      <c r="N3627" s="1" t="str">
        <f t="shared" si="5"/>
        <v>Guest</v>
      </c>
      <c r="O3627" s="1" t="s">
        <v>19</v>
      </c>
      <c r="P3627" s="9" t="str">
        <f t="shared" si="6"/>
        <v>UK</v>
      </c>
      <c r="Q3627" s="8">
        <f t="shared" si="7"/>
        <v>6.58</v>
      </c>
    </row>
    <row r="3628">
      <c r="A3628" s="1">
        <v>581492.0</v>
      </c>
      <c r="B3628" s="1" t="str">
        <f t="shared" si="1"/>
        <v>581492</v>
      </c>
      <c r="C3628" s="1" t="str">
        <f t="shared" si="2"/>
        <v>Sale</v>
      </c>
      <c r="D3628" s="1">
        <v>47566.0</v>
      </c>
      <c r="E3628" s="1" t="str">
        <f>IFERROR(__xludf.DUMMYFUNCTION("IF(LEN(D3628)&gt;4, IFERROR(REGEXEXTRACT(TO_TEXT(D3628),""\d+""),""""),"""")"),"47566")</f>
        <v>47566</v>
      </c>
      <c r="F3628" s="6" t="str">
        <f t="shared" si="3"/>
        <v>Product</v>
      </c>
      <c r="G3628" s="1" t="s">
        <v>1002</v>
      </c>
      <c r="H3628" s="6" t="str">
        <f>IFERROR(__xludf.DUMMYFUNCTION("IF(REGEXMATCH(LOWER(G3628), ""^(\?)+\s*(missing)?\s*(\?)*$""), """", PROPER(SUBSTITUTE(SUBSTITUTE(G3628, ""?"", """"), ""*"", """")))"),"Party Bunting")</f>
        <v>Party Bunting</v>
      </c>
      <c r="I3628" s="3">
        <v>2.0</v>
      </c>
      <c r="J3628" s="7">
        <v>40886.41875</v>
      </c>
      <c r="K3628" s="8" t="str">
        <f t="shared" si="4"/>
        <v>2011-12</v>
      </c>
      <c r="L3628" s="5">
        <v>10.79</v>
      </c>
      <c r="M3628" s="10"/>
      <c r="N3628" s="1" t="str">
        <f t="shared" si="5"/>
        <v>Guest</v>
      </c>
      <c r="O3628" s="1" t="s">
        <v>19</v>
      </c>
      <c r="P3628" s="9" t="str">
        <f t="shared" si="6"/>
        <v>UK</v>
      </c>
      <c r="Q3628" s="8">
        <f t="shared" si="7"/>
        <v>21.58</v>
      </c>
    </row>
    <row r="3629">
      <c r="A3629" s="1">
        <v>581492.0</v>
      </c>
      <c r="B3629" s="1" t="str">
        <f t="shared" si="1"/>
        <v>581492</v>
      </c>
      <c r="C3629" s="1" t="str">
        <f t="shared" si="2"/>
        <v>Sale</v>
      </c>
      <c r="D3629" s="1" t="s">
        <v>1263</v>
      </c>
      <c r="E3629" s="1" t="str">
        <f>IFERROR(__xludf.DUMMYFUNCTION("IF(LEN(D3629)&gt;4, IFERROR(REGEXEXTRACT(TO_TEXT(D3629),""\d+""),""""),"""")"),"47590")</f>
        <v>47590</v>
      </c>
      <c r="F3629" s="6" t="str">
        <f t="shared" si="3"/>
        <v>Product</v>
      </c>
      <c r="G3629" s="1" t="s">
        <v>1264</v>
      </c>
      <c r="H3629" s="6" t="str">
        <f>IFERROR(__xludf.DUMMYFUNCTION("IF(REGEXMATCH(LOWER(G3629), ""^(\?)+\s*(missing)?\s*(\?)*$""), """", PROPER(SUBSTITUTE(SUBSTITUTE(G3629, ""?"", """"), ""*"", """")))"),"Pink Happy Birthday Bunting")</f>
        <v>Pink Happy Birthday Bunting</v>
      </c>
      <c r="I3629" s="3">
        <v>1.0</v>
      </c>
      <c r="J3629" s="7">
        <v>40886.41875</v>
      </c>
      <c r="K3629" s="8" t="str">
        <f t="shared" si="4"/>
        <v>2011-12</v>
      </c>
      <c r="L3629" s="5">
        <v>10.79</v>
      </c>
      <c r="M3629" s="10"/>
      <c r="N3629" s="1" t="str">
        <f t="shared" si="5"/>
        <v>Guest</v>
      </c>
      <c r="O3629" s="1" t="s">
        <v>19</v>
      </c>
      <c r="P3629" s="9" t="str">
        <f t="shared" si="6"/>
        <v>UK</v>
      </c>
      <c r="Q3629" s="8">
        <f t="shared" si="7"/>
        <v>10.79</v>
      </c>
    </row>
    <row r="3630">
      <c r="A3630" s="1">
        <v>581492.0</v>
      </c>
      <c r="B3630" s="1" t="str">
        <f t="shared" si="1"/>
        <v>581492</v>
      </c>
      <c r="C3630" s="1" t="str">
        <f t="shared" si="2"/>
        <v>Sale</v>
      </c>
      <c r="D3630" s="1" t="s">
        <v>1719</v>
      </c>
      <c r="E3630" s="1" t="str">
        <f>IFERROR(__xludf.DUMMYFUNCTION("IF(LEN(D3630)&gt;4, IFERROR(REGEXEXTRACT(TO_TEXT(D3630),""\d+""),""""),"""")"),"51014")</f>
        <v>51014</v>
      </c>
      <c r="F3630" s="6" t="str">
        <f t="shared" si="3"/>
        <v>Product</v>
      </c>
      <c r="G3630" s="1" t="s">
        <v>1720</v>
      </c>
      <c r="H3630" s="6" t="str">
        <f>IFERROR(__xludf.DUMMYFUNCTION("IF(REGEXMATCH(LOWER(G3630), ""^(\?)+\s*(missing)?\s*(\?)*$""), """", PROPER(SUBSTITUTE(SUBSTITUTE(G3630, ""?"", """"), ""*"", """")))"),"Feather Pen,Hot Pink")</f>
        <v>Feather Pen,Hot Pink</v>
      </c>
      <c r="I3630" s="3">
        <v>2.0</v>
      </c>
      <c r="J3630" s="7">
        <v>40886.41875</v>
      </c>
      <c r="K3630" s="8" t="str">
        <f t="shared" si="4"/>
        <v>2011-12</v>
      </c>
      <c r="L3630" s="5">
        <v>0.83</v>
      </c>
      <c r="M3630" s="10"/>
      <c r="N3630" s="1" t="str">
        <f t="shared" si="5"/>
        <v>Guest</v>
      </c>
      <c r="O3630" s="1" t="s">
        <v>19</v>
      </c>
      <c r="P3630" s="9" t="str">
        <f t="shared" si="6"/>
        <v>UK</v>
      </c>
      <c r="Q3630" s="8">
        <f t="shared" si="7"/>
        <v>1.66</v>
      </c>
    </row>
    <row r="3631">
      <c r="A3631" s="1">
        <v>581492.0</v>
      </c>
      <c r="B3631" s="1" t="str">
        <f t="shared" si="1"/>
        <v>581492</v>
      </c>
      <c r="C3631" s="1" t="str">
        <f t="shared" si="2"/>
        <v>Sale</v>
      </c>
      <c r="D3631" s="1" t="s">
        <v>1721</v>
      </c>
      <c r="E3631" s="1" t="str">
        <f>IFERROR(__xludf.DUMMYFUNCTION("IF(LEN(D3631)&gt;4, IFERROR(REGEXEXTRACT(TO_TEXT(D3631),""\d+""),""""),"""")"),"51014")</f>
        <v>51014</v>
      </c>
      <c r="F3631" s="6" t="str">
        <f t="shared" si="3"/>
        <v>Product</v>
      </c>
      <c r="G3631" s="1" t="s">
        <v>1722</v>
      </c>
      <c r="H3631" s="6" t="str">
        <f>IFERROR(__xludf.DUMMYFUNCTION("IF(REGEXMATCH(LOWER(G3631), ""^(\?)+\s*(missing)?\s*(\?)*$""), """", PROPER(SUBSTITUTE(SUBSTITUTE(G3631, ""?"", """"), ""*"", """")))"),"Feather Pen,Light Pink")</f>
        <v>Feather Pen,Light Pink</v>
      </c>
      <c r="I3631" s="3">
        <v>1.0</v>
      </c>
      <c r="J3631" s="7">
        <v>40886.41875</v>
      </c>
      <c r="K3631" s="8" t="str">
        <f t="shared" si="4"/>
        <v>2011-12</v>
      </c>
      <c r="L3631" s="5">
        <v>0.83</v>
      </c>
      <c r="M3631" s="10"/>
      <c r="N3631" s="1" t="str">
        <f t="shared" si="5"/>
        <v>Guest</v>
      </c>
      <c r="O3631" s="1" t="s">
        <v>19</v>
      </c>
      <c r="P3631" s="9" t="str">
        <f t="shared" si="6"/>
        <v>UK</v>
      </c>
      <c r="Q3631" s="8">
        <f t="shared" si="7"/>
        <v>0.83</v>
      </c>
    </row>
    <row r="3632">
      <c r="A3632" s="1">
        <v>581492.0</v>
      </c>
      <c r="B3632" s="1" t="str">
        <f t="shared" si="1"/>
        <v>581492</v>
      </c>
      <c r="C3632" s="1" t="str">
        <f t="shared" si="2"/>
        <v>Sale</v>
      </c>
      <c r="D3632" s="1">
        <v>71270.0</v>
      </c>
      <c r="E3632" s="1" t="str">
        <f>IFERROR(__xludf.DUMMYFUNCTION("IF(LEN(D3632)&gt;4, IFERROR(REGEXEXTRACT(TO_TEXT(D3632),""\d+""),""""),"""")"),"71270")</f>
        <v>71270</v>
      </c>
      <c r="F3632" s="6" t="str">
        <f t="shared" si="3"/>
        <v>Product</v>
      </c>
      <c r="G3632" s="1" t="s">
        <v>117</v>
      </c>
      <c r="H3632" s="6" t="str">
        <f>IFERROR(__xludf.DUMMYFUNCTION("IF(REGEXMATCH(LOWER(G3632), ""^(\?)+\s*(missing)?\s*(\?)*$""), """", PROPER(SUBSTITUTE(SUBSTITUTE(G3632, ""?"", """"), ""*"", """")))"),"Photo Clip Line")</f>
        <v>Photo Clip Line</v>
      </c>
      <c r="I3632" s="3">
        <v>1.0</v>
      </c>
      <c r="J3632" s="7">
        <v>40886.41875</v>
      </c>
      <c r="K3632" s="8" t="str">
        <f t="shared" si="4"/>
        <v>2011-12</v>
      </c>
      <c r="L3632" s="5">
        <v>2.46</v>
      </c>
      <c r="M3632" s="10"/>
      <c r="N3632" s="1" t="str">
        <f t="shared" si="5"/>
        <v>Guest</v>
      </c>
      <c r="O3632" s="1" t="s">
        <v>19</v>
      </c>
      <c r="P3632" s="9" t="str">
        <f t="shared" si="6"/>
        <v>UK</v>
      </c>
      <c r="Q3632" s="8">
        <f t="shared" si="7"/>
        <v>2.46</v>
      </c>
    </row>
    <row r="3633">
      <c r="A3633" s="1">
        <v>581492.0</v>
      </c>
      <c r="B3633" s="1" t="str">
        <f t="shared" si="1"/>
        <v>581492</v>
      </c>
      <c r="C3633" s="1" t="str">
        <f t="shared" si="2"/>
        <v>Sale</v>
      </c>
      <c r="D3633" s="1" t="s">
        <v>1723</v>
      </c>
      <c r="E3633" s="1" t="str">
        <f>IFERROR(__xludf.DUMMYFUNCTION("IF(LEN(D3633)&gt;4, IFERROR(REGEXEXTRACT(TO_TEXT(D3633),""\d+""),""""),"""")"),"72349")</f>
        <v>72349</v>
      </c>
      <c r="F3633" s="6" t="str">
        <f t="shared" si="3"/>
        <v>Product</v>
      </c>
      <c r="G3633" s="1" t="s">
        <v>1724</v>
      </c>
      <c r="H3633" s="6" t="str">
        <f>IFERROR(__xludf.DUMMYFUNCTION("IF(REGEXMATCH(LOWER(G3633), ""^(\?)+\s*(missing)?\s*(\?)*$""), """", PROPER(SUBSTITUTE(SUBSTITUTE(G3633, ""?"", """"), ""*"", """")))"),"Set/6 Purple Butterfly T-Lights")</f>
        <v>Set/6 Purple Butterfly T-Lights</v>
      </c>
      <c r="I3633" s="3">
        <v>1.0</v>
      </c>
      <c r="J3633" s="7">
        <v>40886.41875</v>
      </c>
      <c r="K3633" s="8" t="str">
        <f t="shared" si="4"/>
        <v>2011-12</v>
      </c>
      <c r="L3633" s="5">
        <v>4.13</v>
      </c>
      <c r="M3633" s="10"/>
      <c r="N3633" s="1" t="str">
        <f t="shared" si="5"/>
        <v>Guest</v>
      </c>
      <c r="O3633" s="1" t="s">
        <v>19</v>
      </c>
      <c r="P3633" s="9" t="str">
        <f t="shared" si="6"/>
        <v>UK</v>
      </c>
      <c r="Q3633" s="8">
        <f t="shared" si="7"/>
        <v>4.13</v>
      </c>
    </row>
    <row r="3634">
      <c r="A3634" s="1">
        <v>581492.0</v>
      </c>
      <c r="B3634" s="1" t="str">
        <f t="shared" si="1"/>
        <v>581492</v>
      </c>
      <c r="C3634" s="1" t="str">
        <f t="shared" si="2"/>
        <v>Sale</v>
      </c>
      <c r="D3634" s="1">
        <v>72741.0</v>
      </c>
      <c r="E3634" s="1" t="str">
        <f>IFERROR(__xludf.DUMMYFUNCTION("IF(LEN(D3634)&gt;4, IFERROR(REGEXEXTRACT(TO_TEXT(D3634),""\d+""),""""),"""")"),"72741")</f>
        <v>72741</v>
      </c>
      <c r="F3634" s="6" t="str">
        <f t="shared" si="3"/>
        <v>Product</v>
      </c>
      <c r="G3634" s="1" t="s">
        <v>998</v>
      </c>
      <c r="H3634" s="6" t="str">
        <f>IFERROR(__xludf.DUMMYFUNCTION("IF(REGEXMATCH(LOWER(G3634), ""^(\?)+\s*(missing)?\s*(\?)*$""), """", PROPER(SUBSTITUTE(SUBSTITUTE(G3634, ""?"", """"), ""*"", """")))"),"Grand Chocolatecandle")</f>
        <v>Grand Chocolatecandle</v>
      </c>
      <c r="I3634" s="3">
        <v>3.0</v>
      </c>
      <c r="J3634" s="7">
        <v>40886.41875</v>
      </c>
      <c r="K3634" s="8" t="str">
        <f t="shared" si="4"/>
        <v>2011-12</v>
      </c>
      <c r="L3634" s="5">
        <v>2.76</v>
      </c>
      <c r="M3634" s="10"/>
      <c r="N3634" s="1" t="str">
        <f t="shared" si="5"/>
        <v>Guest</v>
      </c>
      <c r="O3634" s="1" t="s">
        <v>19</v>
      </c>
      <c r="P3634" s="9" t="str">
        <f t="shared" si="6"/>
        <v>UK</v>
      </c>
      <c r="Q3634" s="8">
        <f t="shared" si="7"/>
        <v>8.28</v>
      </c>
    </row>
    <row r="3635">
      <c r="A3635" s="1">
        <v>581492.0</v>
      </c>
      <c r="B3635" s="1" t="str">
        <f t="shared" si="1"/>
        <v>581492</v>
      </c>
      <c r="C3635" s="1" t="str">
        <f t="shared" si="2"/>
        <v>Sale</v>
      </c>
      <c r="D3635" s="1" t="s">
        <v>538</v>
      </c>
      <c r="E3635" s="1" t="str">
        <f>IFERROR(__xludf.DUMMYFUNCTION("IF(LEN(D3635)&gt;4, IFERROR(REGEXEXTRACT(TO_TEXT(D3635),""\d+""),""""),"""")"),"72800")</f>
        <v>72800</v>
      </c>
      <c r="F3635" s="6" t="str">
        <f t="shared" si="3"/>
        <v>Product</v>
      </c>
      <c r="G3635" s="1" t="s">
        <v>539</v>
      </c>
      <c r="H3635" s="6" t="str">
        <f>IFERROR(__xludf.DUMMYFUNCTION("IF(REGEXMATCH(LOWER(G3635), ""^(\?)+\s*(missing)?\s*(\?)*$""), """", PROPER(SUBSTITUTE(SUBSTITUTE(G3635, ""?"", """"), ""*"", """")))"),"4 Ivory Dinner Candles Silver Flock")</f>
        <v>4 Ivory Dinner Candles Silver Flock</v>
      </c>
      <c r="I3635" s="3">
        <v>3.0</v>
      </c>
      <c r="J3635" s="7">
        <v>40886.41875</v>
      </c>
      <c r="K3635" s="8" t="str">
        <f t="shared" si="4"/>
        <v>2011-12</v>
      </c>
      <c r="L3635" s="5">
        <v>3.29</v>
      </c>
      <c r="M3635" s="10"/>
      <c r="N3635" s="1" t="str">
        <f t="shared" si="5"/>
        <v>Guest</v>
      </c>
      <c r="O3635" s="1" t="s">
        <v>19</v>
      </c>
      <c r="P3635" s="9" t="str">
        <f t="shared" si="6"/>
        <v>UK</v>
      </c>
      <c r="Q3635" s="8">
        <f t="shared" si="7"/>
        <v>9.87</v>
      </c>
    </row>
    <row r="3636">
      <c r="A3636" s="1">
        <v>581492.0</v>
      </c>
      <c r="B3636" s="1" t="str">
        <f t="shared" si="1"/>
        <v>581492</v>
      </c>
      <c r="C3636" s="1" t="str">
        <f t="shared" si="2"/>
        <v>Sale</v>
      </c>
      <c r="D3636" s="1">
        <v>79321.0</v>
      </c>
      <c r="E3636" s="1" t="str">
        <f>IFERROR(__xludf.DUMMYFUNCTION("IF(LEN(D3636)&gt;4, IFERROR(REGEXEXTRACT(TO_TEXT(D3636),""\d+""),""""),"""")"),"79321")</f>
        <v>79321</v>
      </c>
      <c r="F3636" s="6" t="str">
        <f t="shared" si="3"/>
        <v>Product</v>
      </c>
      <c r="G3636" s="1" t="s">
        <v>183</v>
      </c>
      <c r="H3636" s="6" t="str">
        <f>IFERROR(__xludf.DUMMYFUNCTION("IF(REGEXMATCH(LOWER(G3636), ""^(\?)+\s*(missing)?\s*(\?)*$""), """", PROPER(SUBSTITUTE(SUBSTITUTE(G3636, ""?"", """"), ""*"", """")))"),"Chilli Lights")</f>
        <v>Chilli Lights</v>
      </c>
      <c r="I3636" s="3">
        <v>1.0</v>
      </c>
      <c r="J3636" s="7">
        <v>40886.41875</v>
      </c>
      <c r="K3636" s="8" t="str">
        <f t="shared" si="4"/>
        <v>2011-12</v>
      </c>
      <c r="L3636" s="5">
        <v>12.46</v>
      </c>
      <c r="M3636" s="10"/>
      <c r="N3636" s="1" t="str">
        <f t="shared" si="5"/>
        <v>Guest</v>
      </c>
      <c r="O3636" s="1" t="s">
        <v>19</v>
      </c>
      <c r="P3636" s="9" t="str">
        <f t="shared" si="6"/>
        <v>UK</v>
      </c>
      <c r="Q3636" s="8">
        <f t="shared" si="7"/>
        <v>12.46</v>
      </c>
    </row>
    <row r="3637">
      <c r="A3637" s="1">
        <v>581492.0</v>
      </c>
      <c r="B3637" s="1" t="str">
        <f t="shared" si="1"/>
        <v>581492</v>
      </c>
      <c r="C3637" s="1" t="str">
        <f t="shared" si="2"/>
        <v>Sale</v>
      </c>
      <c r="D3637" s="1">
        <v>82484.0</v>
      </c>
      <c r="E3637" s="1" t="str">
        <f>IFERROR(__xludf.DUMMYFUNCTION("IF(LEN(D3637)&gt;4, IFERROR(REGEXEXTRACT(TO_TEXT(D3637),""\d+""),""""),"""")"),"82484")</f>
        <v>82484</v>
      </c>
      <c r="F3637" s="6" t="str">
        <f t="shared" si="3"/>
        <v>Product</v>
      </c>
      <c r="G3637" s="1" t="s">
        <v>162</v>
      </c>
      <c r="H3637" s="6" t="str">
        <f>IFERROR(__xludf.DUMMYFUNCTION("IF(REGEXMATCH(LOWER(G3637), ""^(\?)+\s*(missing)?\s*(\?)*$""), """", PROPER(SUBSTITUTE(SUBSTITUTE(G3637, ""?"", """"), ""*"", """")))"),"Wood Black Board Ant White Finish")</f>
        <v>Wood Black Board Ant White Finish</v>
      </c>
      <c r="I3637" s="3">
        <v>2.0</v>
      </c>
      <c r="J3637" s="7">
        <v>40886.41875</v>
      </c>
      <c r="K3637" s="8" t="str">
        <f t="shared" si="4"/>
        <v>2011-12</v>
      </c>
      <c r="L3637" s="5">
        <v>16.63</v>
      </c>
      <c r="M3637" s="10"/>
      <c r="N3637" s="1" t="str">
        <f t="shared" si="5"/>
        <v>Guest</v>
      </c>
      <c r="O3637" s="1" t="s">
        <v>19</v>
      </c>
      <c r="P3637" s="9" t="str">
        <f t="shared" si="6"/>
        <v>UK</v>
      </c>
      <c r="Q3637" s="8">
        <f t="shared" si="7"/>
        <v>33.26</v>
      </c>
    </row>
    <row r="3638">
      <c r="A3638" s="1">
        <v>581492.0</v>
      </c>
      <c r="B3638" s="1" t="str">
        <f t="shared" si="1"/>
        <v>581492</v>
      </c>
      <c r="C3638" s="1" t="str">
        <f t="shared" si="2"/>
        <v>Sale</v>
      </c>
      <c r="D3638" s="1">
        <v>82567.0</v>
      </c>
      <c r="E3638" s="1" t="str">
        <f>IFERROR(__xludf.DUMMYFUNCTION("IF(LEN(D3638)&gt;4, IFERROR(REGEXEXTRACT(TO_TEXT(D3638),""\d+""),""""),"""")"),"82567")</f>
        <v>82567</v>
      </c>
      <c r="F3638" s="6" t="str">
        <f t="shared" si="3"/>
        <v>Product</v>
      </c>
      <c r="G3638" s="1" t="s">
        <v>113</v>
      </c>
      <c r="H3638" s="6" t="str">
        <f>IFERROR(__xludf.DUMMYFUNCTION("IF(REGEXMATCH(LOWER(G3638), ""^(\?)+\s*(missing)?\s*(\?)*$""), """", PROPER(SUBSTITUTE(SUBSTITUTE(G3638, ""?"", """"), ""*"", """")))"),"Airline Lounge,Metal Sign")</f>
        <v>Airline Lounge,Metal Sign</v>
      </c>
      <c r="I3638" s="3">
        <v>2.0</v>
      </c>
      <c r="J3638" s="7">
        <v>40886.41875</v>
      </c>
      <c r="K3638" s="8" t="str">
        <f t="shared" si="4"/>
        <v>2011-12</v>
      </c>
      <c r="L3638" s="5">
        <v>1.63</v>
      </c>
      <c r="M3638" s="10"/>
      <c r="N3638" s="1" t="str">
        <f t="shared" si="5"/>
        <v>Guest</v>
      </c>
      <c r="O3638" s="1" t="s">
        <v>19</v>
      </c>
      <c r="P3638" s="9" t="str">
        <f t="shared" si="6"/>
        <v>UK</v>
      </c>
      <c r="Q3638" s="8">
        <f t="shared" si="7"/>
        <v>3.26</v>
      </c>
    </row>
    <row r="3639">
      <c r="A3639" s="1">
        <v>581492.0</v>
      </c>
      <c r="B3639" s="1" t="str">
        <f t="shared" si="1"/>
        <v>581492</v>
      </c>
      <c r="C3639" s="1" t="str">
        <f t="shared" si="2"/>
        <v>Sale</v>
      </c>
      <c r="D3639" s="1">
        <v>82582.0</v>
      </c>
      <c r="E3639" s="1" t="str">
        <f>IFERROR(__xludf.DUMMYFUNCTION("IF(LEN(D3639)&gt;4, IFERROR(REGEXEXTRACT(TO_TEXT(D3639),""\d+""),""""),"""")"),"82582")</f>
        <v>82582</v>
      </c>
      <c r="F3639" s="6" t="str">
        <f t="shared" si="3"/>
        <v>Product</v>
      </c>
      <c r="G3639" s="1" t="s">
        <v>1041</v>
      </c>
      <c r="H3639" s="6" t="str">
        <f>IFERROR(__xludf.DUMMYFUNCTION("IF(REGEXMATCH(LOWER(G3639), ""^(\?)+\s*(missing)?\s*(\?)*$""), """", PROPER(SUBSTITUTE(SUBSTITUTE(G3639, ""?"", """"), ""*"", """")))"),"Area Patrolled Metal Sign")</f>
        <v>Area Patrolled Metal Sign</v>
      </c>
      <c r="I3639" s="3">
        <v>1.0</v>
      </c>
      <c r="J3639" s="7">
        <v>40886.41875</v>
      </c>
      <c r="K3639" s="8" t="str">
        <f t="shared" si="4"/>
        <v>2011-12</v>
      </c>
      <c r="L3639" s="5">
        <v>4.13</v>
      </c>
      <c r="M3639" s="10"/>
      <c r="N3639" s="1" t="str">
        <f t="shared" si="5"/>
        <v>Guest</v>
      </c>
      <c r="O3639" s="1" t="s">
        <v>19</v>
      </c>
      <c r="P3639" s="9" t="str">
        <f t="shared" si="6"/>
        <v>UK</v>
      </c>
      <c r="Q3639" s="8">
        <f t="shared" si="7"/>
        <v>4.13</v>
      </c>
    </row>
    <row r="3640">
      <c r="A3640" s="1">
        <v>581492.0</v>
      </c>
      <c r="B3640" s="1" t="str">
        <f t="shared" si="1"/>
        <v>581492</v>
      </c>
      <c r="C3640" s="1" t="str">
        <f t="shared" si="2"/>
        <v>Sale</v>
      </c>
      <c r="D3640" s="1">
        <v>82600.0</v>
      </c>
      <c r="E3640" s="1" t="str">
        <f>IFERROR(__xludf.DUMMYFUNCTION("IF(LEN(D3640)&gt;4, IFERROR(REGEXEXTRACT(TO_TEXT(D3640),""\d+""),""""),"""")"),"82600")</f>
        <v>82600</v>
      </c>
      <c r="F3640" s="6" t="str">
        <f t="shared" si="3"/>
        <v>Product</v>
      </c>
      <c r="G3640" s="1" t="s">
        <v>1562</v>
      </c>
      <c r="H3640" s="6" t="str">
        <f>IFERROR(__xludf.DUMMYFUNCTION("IF(REGEXMATCH(LOWER(G3640), ""^(\?)+\s*(missing)?\s*(\?)*$""), """", PROPER(SUBSTITUTE(SUBSTITUTE(G3640, ""?"", """"), ""*"", """")))"),"N0 Singing Metal Sign")</f>
        <v>N0 Singing Metal Sign</v>
      </c>
      <c r="I3640" s="3">
        <v>1.0</v>
      </c>
      <c r="J3640" s="7">
        <v>40886.41875</v>
      </c>
      <c r="K3640" s="8" t="str">
        <f t="shared" si="4"/>
        <v>2011-12</v>
      </c>
      <c r="L3640" s="5">
        <v>4.13</v>
      </c>
      <c r="M3640" s="10"/>
      <c r="N3640" s="1" t="str">
        <f t="shared" si="5"/>
        <v>Guest</v>
      </c>
      <c r="O3640" s="1" t="s">
        <v>19</v>
      </c>
      <c r="P3640" s="9" t="str">
        <f t="shared" si="6"/>
        <v>UK</v>
      </c>
      <c r="Q3640" s="8">
        <f t="shared" si="7"/>
        <v>4.13</v>
      </c>
    </row>
    <row r="3641">
      <c r="A3641" s="1">
        <v>581492.0</v>
      </c>
      <c r="B3641" s="1" t="str">
        <f t="shared" si="1"/>
        <v>581492</v>
      </c>
      <c r="C3641" s="1" t="str">
        <f t="shared" si="2"/>
        <v>Sale</v>
      </c>
      <c r="D3641" s="1" t="s">
        <v>1725</v>
      </c>
      <c r="E3641" s="1" t="str">
        <f>IFERROR(__xludf.DUMMYFUNCTION("IF(LEN(D3641)&gt;4, IFERROR(REGEXEXTRACT(TO_TEXT(D3641),""\d+""),""""),"""")"),"84031")</f>
        <v>84031</v>
      </c>
      <c r="F3641" s="6" t="str">
        <f t="shared" si="3"/>
        <v>Product</v>
      </c>
      <c r="G3641" s="1" t="s">
        <v>1726</v>
      </c>
      <c r="H3641" s="6" t="str">
        <f>IFERROR(__xludf.DUMMYFUNCTION("IF(REGEXMATCH(LOWER(G3641), ""^(\?)+\s*(missing)?\s*(\?)*$""), """", PROPER(SUBSTITUTE(SUBSTITUTE(G3641, ""?"", """"), ""*"", """")))"),"Charlie+Lola Red Hot Water Bottle")</f>
        <v>Charlie+Lola Red Hot Water Bottle</v>
      </c>
      <c r="I3641" s="3">
        <v>4.0</v>
      </c>
      <c r="J3641" s="7">
        <v>40886.41875</v>
      </c>
      <c r="K3641" s="8" t="str">
        <f t="shared" si="4"/>
        <v>2011-12</v>
      </c>
      <c r="L3641" s="5">
        <v>4.13</v>
      </c>
      <c r="M3641" s="10"/>
      <c r="N3641" s="1" t="str">
        <f t="shared" si="5"/>
        <v>Guest</v>
      </c>
      <c r="O3641" s="1" t="s">
        <v>19</v>
      </c>
      <c r="P3641" s="9" t="str">
        <f t="shared" si="6"/>
        <v>UK</v>
      </c>
      <c r="Q3641" s="8">
        <f t="shared" si="7"/>
        <v>16.52</v>
      </c>
    </row>
    <row r="3642">
      <c r="A3642" s="1">
        <v>581492.0</v>
      </c>
      <c r="B3642" s="1" t="str">
        <f t="shared" si="1"/>
        <v>581492</v>
      </c>
      <c r="C3642" s="1" t="str">
        <f t="shared" si="2"/>
        <v>Sale</v>
      </c>
      <c r="D3642" s="1">
        <v>84077.0</v>
      </c>
      <c r="E3642" s="1" t="str">
        <f>IFERROR(__xludf.DUMMYFUNCTION("IF(LEN(D3642)&gt;4, IFERROR(REGEXEXTRACT(TO_TEXT(D3642),""\d+""),""""),"""")"),"84077")</f>
        <v>84077</v>
      </c>
      <c r="F3642" s="6" t="str">
        <f t="shared" si="3"/>
        <v>Product</v>
      </c>
      <c r="G3642" s="1" t="s">
        <v>1619</v>
      </c>
      <c r="H3642" s="6" t="str">
        <f>IFERROR(__xludf.DUMMYFUNCTION("IF(REGEXMATCH(LOWER(G3642), ""^(\?)+\s*(missing)?\s*(\?)*$""), """", PROPER(SUBSTITUTE(SUBSTITUTE(G3642, ""?"", """"), ""*"", """")))"),"World War 2 Gliders Asstd Designs")</f>
        <v>World War 2 Gliders Asstd Designs</v>
      </c>
      <c r="I3642" s="3">
        <v>1.0</v>
      </c>
      <c r="J3642" s="7">
        <v>40886.41875</v>
      </c>
      <c r="K3642" s="8" t="str">
        <f t="shared" si="4"/>
        <v>2011-12</v>
      </c>
      <c r="L3642" s="5">
        <v>0.63</v>
      </c>
      <c r="M3642" s="10"/>
      <c r="N3642" s="1" t="str">
        <f t="shared" si="5"/>
        <v>Guest</v>
      </c>
      <c r="O3642" s="1" t="s">
        <v>19</v>
      </c>
      <c r="P3642" s="9" t="str">
        <f t="shared" si="6"/>
        <v>UK</v>
      </c>
      <c r="Q3642" s="8">
        <f t="shared" si="7"/>
        <v>0.63</v>
      </c>
    </row>
    <row r="3643">
      <c r="A3643" s="1">
        <v>581492.0</v>
      </c>
      <c r="B3643" s="1" t="str">
        <f t="shared" si="1"/>
        <v>581492</v>
      </c>
      <c r="C3643" s="1" t="str">
        <f t="shared" si="2"/>
        <v>Sale</v>
      </c>
      <c r="D3643" s="1" t="s">
        <v>1727</v>
      </c>
      <c r="E3643" s="1" t="str">
        <f>IFERROR(__xludf.DUMMYFUNCTION("IF(LEN(D3643)&gt;4, IFERROR(REGEXEXTRACT(TO_TEXT(D3643),""\d+""),""""),"""")"),"84249")</f>
        <v>84249</v>
      </c>
      <c r="F3643" s="6" t="str">
        <f t="shared" si="3"/>
        <v>Product</v>
      </c>
      <c r="G3643" s="1" t="s">
        <v>1728</v>
      </c>
      <c r="H3643" s="6" t="str">
        <f>IFERROR(__xludf.DUMMYFUNCTION("IF(REGEXMATCH(LOWER(G3643), ""^(\?)+\s*(missing)?\s*(\?)*$""), """", PROPER(SUBSTITUTE(SUBSTITUTE(G3643, ""?"", """"), ""*"", """")))"),"Greeting Card,Square, Doughnuts")</f>
        <v>Greeting Card,Square, Doughnuts</v>
      </c>
      <c r="I3643" s="3">
        <v>1.0</v>
      </c>
      <c r="J3643" s="7">
        <v>40886.41875</v>
      </c>
      <c r="K3643" s="8" t="str">
        <f t="shared" si="4"/>
        <v>2011-12</v>
      </c>
      <c r="L3643" s="5">
        <v>0.83</v>
      </c>
      <c r="M3643" s="10"/>
      <c r="N3643" s="1" t="str">
        <f t="shared" si="5"/>
        <v>Guest</v>
      </c>
      <c r="O3643" s="1" t="s">
        <v>19</v>
      </c>
      <c r="P3643" s="9" t="str">
        <f t="shared" si="6"/>
        <v>UK</v>
      </c>
      <c r="Q3643" s="8">
        <f t="shared" si="7"/>
        <v>0.83</v>
      </c>
    </row>
    <row r="3644">
      <c r="A3644" s="1">
        <v>581492.0</v>
      </c>
      <c r="B3644" s="1" t="str">
        <f t="shared" si="1"/>
        <v>581492</v>
      </c>
      <c r="C3644" s="1" t="str">
        <f t="shared" si="2"/>
        <v>Sale</v>
      </c>
      <c r="D3644" s="1">
        <v>84347.0</v>
      </c>
      <c r="E3644" s="1" t="str">
        <f>IFERROR(__xludf.DUMMYFUNCTION("IF(LEN(D3644)&gt;4, IFERROR(REGEXEXTRACT(TO_TEXT(D3644),""\d+""),""""),"""")"),"84347")</f>
        <v>84347</v>
      </c>
      <c r="F3644" s="6" t="str">
        <f t="shared" si="3"/>
        <v>Product</v>
      </c>
      <c r="G3644" s="1" t="s">
        <v>386</v>
      </c>
      <c r="H3644" s="6" t="str">
        <f>IFERROR(__xludf.DUMMYFUNCTION("IF(REGEXMATCH(LOWER(G3644), ""^(\?)+\s*(missing)?\s*(\?)*$""), """", PROPER(SUBSTITUTE(SUBSTITUTE(G3644, ""?"", """"), ""*"", """")))"),"Rotating Silver Angels T-Light Hldr")</f>
        <v>Rotating Silver Angels T-Light Hldr</v>
      </c>
      <c r="I3644" s="3">
        <v>2.0</v>
      </c>
      <c r="J3644" s="7">
        <v>40886.41875</v>
      </c>
      <c r="K3644" s="8" t="str">
        <f t="shared" si="4"/>
        <v>2011-12</v>
      </c>
      <c r="L3644" s="5">
        <v>4.96</v>
      </c>
      <c r="M3644" s="10"/>
      <c r="N3644" s="1" t="str">
        <f t="shared" si="5"/>
        <v>Guest</v>
      </c>
      <c r="O3644" s="1" t="s">
        <v>19</v>
      </c>
      <c r="P3644" s="9" t="str">
        <f t="shared" si="6"/>
        <v>UK</v>
      </c>
      <c r="Q3644" s="8">
        <f t="shared" si="7"/>
        <v>9.92</v>
      </c>
    </row>
    <row r="3645">
      <c r="A3645" s="1">
        <v>581492.0</v>
      </c>
      <c r="B3645" s="1" t="str">
        <f t="shared" si="1"/>
        <v>581492</v>
      </c>
      <c r="C3645" s="1" t="str">
        <f t="shared" si="2"/>
        <v>Sale</v>
      </c>
      <c r="D3645" s="1">
        <v>84375.0</v>
      </c>
      <c r="E3645" s="1" t="str">
        <f>IFERROR(__xludf.DUMMYFUNCTION("IF(LEN(D3645)&gt;4, IFERROR(REGEXEXTRACT(TO_TEXT(D3645),""\d+""),""""),"""")"),"84375")</f>
        <v>84375</v>
      </c>
      <c r="F3645" s="6" t="str">
        <f t="shared" si="3"/>
        <v>Product</v>
      </c>
      <c r="G3645" s="1" t="s">
        <v>367</v>
      </c>
      <c r="H3645" s="6" t="str">
        <f>IFERROR(__xludf.DUMMYFUNCTION("IF(REGEXMATCH(LOWER(G3645), ""^(\?)+\s*(missing)?\s*(\?)*$""), """", PROPER(SUBSTITUTE(SUBSTITUTE(G3645, ""?"", """"), ""*"", """")))"),"Set Of 20 Kids Cookie Cutters")</f>
        <v>Set Of 20 Kids Cookie Cutters</v>
      </c>
      <c r="I3645" s="3">
        <v>1.0</v>
      </c>
      <c r="J3645" s="7">
        <v>40886.41875</v>
      </c>
      <c r="K3645" s="8" t="str">
        <f t="shared" si="4"/>
        <v>2011-12</v>
      </c>
      <c r="L3645" s="5">
        <v>4.13</v>
      </c>
      <c r="M3645" s="10"/>
      <c r="N3645" s="1" t="str">
        <f t="shared" si="5"/>
        <v>Guest</v>
      </c>
      <c r="O3645" s="1" t="s">
        <v>19</v>
      </c>
      <c r="P3645" s="9" t="str">
        <f t="shared" si="6"/>
        <v>UK</v>
      </c>
      <c r="Q3645" s="8">
        <f t="shared" si="7"/>
        <v>4.13</v>
      </c>
    </row>
    <row r="3646">
      <c r="A3646" s="1">
        <v>581492.0</v>
      </c>
      <c r="B3646" s="1" t="str">
        <f t="shared" si="1"/>
        <v>581492</v>
      </c>
      <c r="C3646" s="1" t="str">
        <f t="shared" si="2"/>
        <v>Sale</v>
      </c>
      <c r="D3646" s="1">
        <v>84378.0</v>
      </c>
      <c r="E3646" s="1" t="str">
        <f>IFERROR(__xludf.DUMMYFUNCTION("IF(LEN(D3646)&gt;4, IFERROR(REGEXEXTRACT(TO_TEXT(D3646),""\d+""),""""),"""")"),"84378")</f>
        <v>84378</v>
      </c>
      <c r="F3646" s="6" t="str">
        <f t="shared" si="3"/>
        <v>Product</v>
      </c>
      <c r="G3646" s="1" t="s">
        <v>350</v>
      </c>
      <c r="H3646" s="6" t="str">
        <f>IFERROR(__xludf.DUMMYFUNCTION("IF(REGEXMATCH(LOWER(G3646), ""^(\?)+\s*(missing)?\s*(\?)*$""), """", PROPER(SUBSTITUTE(SUBSTITUTE(G3646, ""?"", """"), ""*"", """")))"),"Set Of 3 Heart Cookie Cutters")</f>
        <v>Set Of 3 Heart Cookie Cutters</v>
      </c>
      <c r="I3646" s="3">
        <v>4.0</v>
      </c>
      <c r="J3646" s="7">
        <v>40886.41875</v>
      </c>
      <c r="K3646" s="8" t="str">
        <f t="shared" si="4"/>
        <v>2011-12</v>
      </c>
      <c r="L3646" s="5">
        <v>2.46</v>
      </c>
      <c r="M3646" s="10"/>
      <c r="N3646" s="1" t="str">
        <f t="shared" si="5"/>
        <v>Guest</v>
      </c>
      <c r="O3646" s="1" t="s">
        <v>19</v>
      </c>
      <c r="P3646" s="9" t="str">
        <f t="shared" si="6"/>
        <v>UK</v>
      </c>
      <c r="Q3646" s="8">
        <f t="shared" si="7"/>
        <v>9.84</v>
      </c>
    </row>
    <row r="3647">
      <c r="A3647" s="1">
        <v>581492.0</v>
      </c>
      <c r="B3647" s="1" t="str">
        <f t="shared" si="1"/>
        <v>581492</v>
      </c>
      <c r="C3647" s="1" t="str">
        <f t="shared" si="2"/>
        <v>Sale</v>
      </c>
      <c r="D3647" s="1" t="s">
        <v>1729</v>
      </c>
      <c r="E3647" s="1" t="str">
        <f>IFERROR(__xludf.DUMMYFUNCTION("IF(LEN(D3647)&gt;4, IFERROR(REGEXEXTRACT(TO_TEXT(D3647),""\d+""),""""),"""")"),"84519")</f>
        <v>84519</v>
      </c>
      <c r="F3647" s="6" t="str">
        <f t="shared" si="3"/>
        <v>Product</v>
      </c>
      <c r="G3647" s="1" t="s">
        <v>1730</v>
      </c>
      <c r="H3647" s="6" t="str">
        <f>IFERROR(__xludf.DUMMYFUNCTION("IF(REGEXMATCH(LOWER(G3647), ""^(\?)+\s*(missing)?\s*(\?)*$""), """", PROPER(SUBSTITUTE(SUBSTITUTE(G3647, ""?"", """"), ""*"", """")))"),"Carrot Charlie+Lola Coaster Set")</f>
        <v>Carrot Charlie+Lola Coaster Set</v>
      </c>
      <c r="I3647" s="3">
        <v>1.0</v>
      </c>
      <c r="J3647" s="7">
        <v>40886.41875</v>
      </c>
      <c r="K3647" s="8" t="str">
        <f t="shared" si="4"/>
        <v>2011-12</v>
      </c>
      <c r="L3647" s="5">
        <v>5.79</v>
      </c>
      <c r="M3647" s="10"/>
      <c r="N3647" s="1" t="str">
        <f t="shared" si="5"/>
        <v>Guest</v>
      </c>
      <c r="O3647" s="1" t="s">
        <v>19</v>
      </c>
      <c r="P3647" s="9" t="str">
        <f t="shared" si="6"/>
        <v>UK</v>
      </c>
      <c r="Q3647" s="8">
        <f t="shared" si="7"/>
        <v>5.79</v>
      </c>
    </row>
    <row r="3648">
      <c r="A3648" s="1">
        <v>581492.0</v>
      </c>
      <c r="B3648" s="1" t="str">
        <f t="shared" si="1"/>
        <v>581492</v>
      </c>
      <c r="C3648" s="1" t="str">
        <f t="shared" si="2"/>
        <v>Sale</v>
      </c>
      <c r="D3648" s="1" t="s">
        <v>1731</v>
      </c>
      <c r="E3648" s="1" t="str">
        <f>IFERROR(__xludf.DUMMYFUNCTION("IF(LEN(D3648)&gt;4, IFERROR(REGEXEXTRACT(TO_TEXT(D3648),""\d+""),""""),"""")"),"84559")</f>
        <v>84559</v>
      </c>
      <c r="F3648" s="6" t="str">
        <f t="shared" si="3"/>
        <v>Product</v>
      </c>
      <c r="G3648" s="1" t="s">
        <v>1732</v>
      </c>
      <c r="H3648" s="6" t="str">
        <f>IFERROR(__xludf.DUMMYFUNCTION("IF(REGEXMATCH(LOWER(G3648), ""^(\?)+\s*(missing)?\s*(\?)*$""), """", PROPER(SUBSTITUTE(SUBSTITUTE(G3648, ""?"", """"), ""*"", """")))"),"3D Sheet Of Dog Stickers")</f>
        <v>3D Sheet Of Dog Stickers</v>
      </c>
      <c r="I3648" s="3">
        <v>2.0</v>
      </c>
      <c r="J3648" s="7">
        <v>40886.41875</v>
      </c>
      <c r="K3648" s="8" t="str">
        <f t="shared" si="4"/>
        <v>2011-12</v>
      </c>
      <c r="L3648" s="5">
        <v>1.63</v>
      </c>
      <c r="M3648" s="10"/>
      <c r="N3648" s="1" t="str">
        <f t="shared" si="5"/>
        <v>Guest</v>
      </c>
      <c r="O3648" s="1" t="s">
        <v>19</v>
      </c>
      <c r="P3648" s="9" t="str">
        <f t="shared" si="6"/>
        <v>UK</v>
      </c>
      <c r="Q3648" s="8">
        <f t="shared" si="7"/>
        <v>3.26</v>
      </c>
    </row>
    <row r="3649">
      <c r="A3649" s="1">
        <v>581492.0</v>
      </c>
      <c r="B3649" s="1" t="str">
        <f t="shared" si="1"/>
        <v>581492</v>
      </c>
      <c r="C3649" s="1" t="str">
        <f t="shared" si="2"/>
        <v>Sale</v>
      </c>
      <c r="D3649" s="1">
        <v>84568.0</v>
      </c>
      <c r="E3649" s="1" t="str">
        <f>IFERROR(__xludf.DUMMYFUNCTION("IF(LEN(D3649)&gt;4, IFERROR(REGEXEXTRACT(TO_TEXT(D3649),""\d+""),""""),"""")"),"84568")</f>
        <v>84568</v>
      </c>
      <c r="F3649" s="6" t="str">
        <f t="shared" si="3"/>
        <v>Product</v>
      </c>
      <c r="G3649" s="1" t="s">
        <v>1171</v>
      </c>
      <c r="H3649" s="6" t="str">
        <f>IFERROR(__xludf.DUMMYFUNCTION("IF(REGEXMATCH(LOWER(G3649), ""^(\?)+\s*(missing)?\s*(\?)*$""), """", PROPER(SUBSTITUTE(SUBSTITUTE(G3649, ""?"", """"), ""*"", """")))"),"Girls Alphabet Iron On Patches")</f>
        <v>Girls Alphabet Iron On Patches</v>
      </c>
      <c r="I3649" s="3">
        <v>31.0</v>
      </c>
      <c r="J3649" s="7">
        <v>40886.41875</v>
      </c>
      <c r="K3649" s="8" t="str">
        <f t="shared" si="4"/>
        <v>2011-12</v>
      </c>
      <c r="L3649" s="5">
        <v>0.42</v>
      </c>
      <c r="M3649" s="10"/>
      <c r="N3649" s="1" t="str">
        <f t="shared" si="5"/>
        <v>Guest</v>
      </c>
      <c r="O3649" s="1" t="s">
        <v>19</v>
      </c>
      <c r="P3649" s="9" t="str">
        <f t="shared" si="6"/>
        <v>UK</v>
      </c>
      <c r="Q3649" s="8">
        <f t="shared" si="7"/>
        <v>13.02</v>
      </c>
    </row>
    <row r="3650">
      <c r="A3650" s="1">
        <v>581492.0</v>
      </c>
      <c r="B3650" s="1" t="str">
        <f t="shared" si="1"/>
        <v>581492</v>
      </c>
      <c r="C3650" s="1" t="str">
        <f t="shared" si="2"/>
        <v>Sale</v>
      </c>
      <c r="D3650" s="1" t="s">
        <v>1733</v>
      </c>
      <c r="E3650" s="1" t="str">
        <f>IFERROR(__xludf.DUMMYFUNCTION("IF(LEN(D3650)&gt;4, IFERROR(REGEXEXTRACT(TO_TEXT(D3650),""\d+""),""""),"""")"),"84569")</f>
        <v>84569</v>
      </c>
      <c r="F3650" s="6" t="str">
        <f t="shared" si="3"/>
        <v>Product</v>
      </c>
      <c r="G3650" s="1" t="s">
        <v>1734</v>
      </c>
      <c r="H3650" s="6" t="str">
        <f>IFERROR(__xludf.DUMMYFUNCTION("IF(REGEXMATCH(LOWER(G3650), ""^(\?)+\s*(missing)?\s*(\?)*$""), """", PROPER(SUBSTITUTE(SUBSTITUTE(G3650, ""?"", """"), ""*"", """")))"),"Pack 6 Heart/Ice-Cream Patches")</f>
        <v>Pack 6 Heart/Ice-Cream Patches</v>
      </c>
      <c r="I3650" s="3">
        <v>1.0</v>
      </c>
      <c r="J3650" s="7">
        <v>40886.41875</v>
      </c>
      <c r="K3650" s="8" t="str">
        <f t="shared" si="4"/>
        <v>2011-12</v>
      </c>
      <c r="L3650" s="5">
        <v>2.46</v>
      </c>
      <c r="M3650" s="10"/>
      <c r="N3650" s="1" t="str">
        <f t="shared" si="5"/>
        <v>Guest</v>
      </c>
      <c r="O3650" s="1" t="s">
        <v>19</v>
      </c>
      <c r="P3650" s="9" t="str">
        <f t="shared" si="6"/>
        <v>UK</v>
      </c>
      <c r="Q3650" s="8">
        <f t="shared" si="7"/>
        <v>2.46</v>
      </c>
    </row>
    <row r="3651">
      <c r="A3651" s="1">
        <v>581492.0</v>
      </c>
      <c r="B3651" s="1" t="str">
        <f t="shared" si="1"/>
        <v>581492</v>
      </c>
      <c r="C3651" s="1" t="str">
        <f t="shared" si="2"/>
        <v>Sale</v>
      </c>
      <c r="D3651" s="1" t="s">
        <v>1607</v>
      </c>
      <c r="E3651" s="1" t="str">
        <f>IFERROR(__xludf.DUMMYFUNCTION("IF(LEN(D3651)&gt;4, IFERROR(REGEXEXTRACT(TO_TEXT(D3651),""\d+""),""""),"""")"),"84596")</f>
        <v>84596</v>
      </c>
      <c r="F3651" s="6" t="str">
        <f t="shared" si="3"/>
        <v>Product</v>
      </c>
      <c r="G3651" s="1" t="s">
        <v>1608</v>
      </c>
      <c r="H3651" s="6" t="str">
        <f>IFERROR(__xludf.DUMMYFUNCTION("IF(REGEXMATCH(LOWER(G3651), ""^(\?)+\s*(missing)?\s*(\?)*$""), """", PROPER(SUBSTITUTE(SUBSTITUTE(G3651, ""?"", """"), ""*"", """")))"),"Small Dolly Mix Design Orange Bowl")</f>
        <v>Small Dolly Mix Design Orange Bowl</v>
      </c>
      <c r="I3651" s="3">
        <v>4.0</v>
      </c>
      <c r="J3651" s="7">
        <v>40886.41875</v>
      </c>
      <c r="K3651" s="8" t="str">
        <f t="shared" si="4"/>
        <v>2011-12</v>
      </c>
      <c r="L3651" s="5">
        <v>0.83</v>
      </c>
      <c r="M3651" s="10"/>
      <c r="N3651" s="1" t="str">
        <f t="shared" si="5"/>
        <v>Guest</v>
      </c>
      <c r="O3651" s="1" t="s">
        <v>19</v>
      </c>
      <c r="P3651" s="9" t="str">
        <f t="shared" si="6"/>
        <v>UK</v>
      </c>
      <c r="Q3651" s="8">
        <f t="shared" si="7"/>
        <v>3.32</v>
      </c>
    </row>
    <row r="3652">
      <c r="A3652" s="1">
        <v>581492.0</v>
      </c>
      <c r="B3652" s="1" t="str">
        <f t="shared" si="1"/>
        <v>581492</v>
      </c>
      <c r="C3652" s="1" t="str">
        <f t="shared" si="2"/>
        <v>Sale</v>
      </c>
      <c r="D3652" s="1" t="s">
        <v>1605</v>
      </c>
      <c r="E3652" s="1" t="str">
        <f>IFERROR(__xludf.DUMMYFUNCTION("IF(LEN(D3652)&gt;4, IFERROR(REGEXEXTRACT(TO_TEXT(D3652),""\d+""),""""),"""")"),"84596")</f>
        <v>84596</v>
      </c>
      <c r="F3652" s="6" t="str">
        <f t="shared" si="3"/>
        <v>Product</v>
      </c>
      <c r="G3652" s="1" t="s">
        <v>1606</v>
      </c>
      <c r="H3652" s="6" t="str">
        <f>IFERROR(__xludf.DUMMYFUNCTION("IF(REGEXMATCH(LOWER(G3652), ""^(\?)+\s*(missing)?\s*(\?)*$""), """", PROPER(SUBSTITUTE(SUBSTITUTE(G3652, ""?"", """"), ""*"", """")))"),"Small Marshmallows Pink Bowl")</f>
        <v>Small Marshmallows Pink Bowl</v>
      </c>
      <c r="I3652" s="3">
        <v>4.0</v>
      </c>
      <c r="J3652" s="7">
        <v>40886.41875</v>
      </c>
      <c r="K3652" s="8" t="str">
        <f t="shared" si="4"/>
        <v>2011-12</v>
      </c>
      <c r="L3652" s="5">
        <v>0.83</v>
      </c>
      <c r="M3652" s="10"/>
      <c r="N3652" s="1" t="str">
        <f t="shared" si="5"/>
        <v>Guest</v>
      </c>
      <c r="O3652" s="1" t="s">
        <v>19</v>
      </c>
      <c r="P3652" s="9" t="str">
        <f t="shared" si="6"/>
        <v>UK</v>
      </c>
      <c r="Q3652" s="8">
        <f t="shared" si="7"/>
        <v>3.32</v>
      </c>
    </row>
    <row r="3653">
      <c r="A3653" s="1">
        <v>581492.0</v>
      </c>
      <c r="B3653" s="1" t="str">
        <f t="shared" si="1"/>
        <v>581492</v>
      </c>
      <c r="C3653" s="1" t="str">
        <f t="shared" si="2"/>
        <v>Sale</v>
      </c>
      <c r="D3653" s="1">
        <v>84598.0</v>
      </c>
      <c r="E3653" s="1" t="str">
        <f>IFERROR(__xludf.DUMMYFUNCTION("IF(LEN(D3653)&gt;4, IFERROR(REGEXEXTRACT(TO_TEXT(D3653),""\d+""),""""),"""")"),"84598")</f>
        <v>84598</v>
      </c>
      <c r="F3653" s="6" t="str">
        <f t="shared" si="3"/>
        <v>Product</v>
      </c>
      <c r="G3653" s="1" t="s">
        <v>1218</v>
      </c>
      <c r="H3653" s="6" t="str">
        <f>IFERROR(__xludf.DUMMYFUNCTION("IF(REGEXMATCH(LOWER(G3653), ""^(\?)+\s*(missing)?\s*(\?)*$""), """", PROPER(SUBSTITUTE(SUBSTITUTE(G3653, ""?"", """"), ""*"", """")))"),"Boys Alphabet Iron On Patches")</f>
        <v>Boys Alphabet Iron On Patches</v>
      </c>
      <c r="I3653" s="3">
        <v>5.0</v>
      </c>
      <c r="J3653" s="7">
        <v>40886.41875</v>
      </c>
      <c r="K3653" s="8" t="str">
        <f t="shared" si="4"/>
        <v>2011-12</v>
      </c>
      <c r="L3653" s="5">
        <v>0.42</v>
      </c>
      <c r="M3653" s="10"/>
      <c r="N3653" s="1" t="str">
        <f t="shared" si="5"/>
        <v>Guest</v>
      </c>
      <c r="O3653" s="1" t="s">
        <v>19</v>
      </c>
      <c r="P3653" s="9" t="str">
        <f t="shared" si="6"/>
        <v>UK</v>
      </c>
      <c r="Q3653" s="8">
        <f t="shared" si="7"/>
        <v>2.1</v>
      </c>
    </row>
    <row r="3654">
      <c r="A3654" s="1">
        <v>581492.0</v>
      </c>
      <c r="B3654" s="1" t="str">
        <f t="shared" si="1"/>
        <v>581492</v>
      </c>
      <c r="C3654" s="1" t="str">
        <f t="shared" si="2"/>
        <v>Sale</v>
      </c>
      <c r="D3654" s="1">
        <v>84692.0</v>
      </c>
      <c r="E3654" s="1" t="str">
        <f>IFERROR(__xludf.DUMMYFUNCTION("IF(LEN(D3654)&gt;4, IFERROR(REGEXEXTRACT(TO_TEXT(D3654),""\d+""),""""),"""")"),"84692")</f>
        <v>84692</v>
      </c>
      <c r="F3654" s="6" t="str">
        <f t="shared" si="3"/>
        <v>Product</v>
      </c>
      <c r="G3654" s="1" t="s">
        <v>1219</v>
      </c>
      <c r="H3654" s="6" t="str">
        <f>IFERROR(__xludf.DUMMYFUNCTION("IF(REGEXMATCH(LOWER(G3654), ""^(\?)+\s*(missing)?\s*(\?)*$""), """", PROPER(SUBSTITUTE(SUBSTITUTE(G3654, ""?"", """"), ""*"", """")))"),"Box Of 24 Cocktail Parasols")</f>
        <v>Box Of 24 Cocktail Parasols</v>
      </c>
      <c r="I3654" s="3">
        <v>1.0</v>
      </c>
      <c r="J3654" s="7">
        <v>40886.41875</v>
      </c>
      <c r="K3654" s="8" t="str">
        <f t="shared" si="4"/>
        <v>2011-12</v>
      </c>
      <c r="L3654" s="5">
        <v>0.83</v>
      </c>
      <c r="M3654" s="10"/>
      <c r="N3654" s="1" t="str">
        <f t="shared" si="5"/>
        <v>Guest</v>
      </c>
      <c r="O3654" s="1" t="s">
        <v>19</v>
      </c>
      <c r="P3654" s="9" t="str">
        <f t="shared" si="6"/>
        <v>UK</v>
      </c>
      <c r="Q3654" s="8">
        <f t="shared" si="7"/>
        <v>0.83</v>
      </c>
    </row>
    <row r="3655">
      <c r="A3655" s="1">
        <v>581492.0</v>
      </c>
      <c r="B3655" s="1" t="str">
        <f t="shared" si="1"/>
        <v>581492</v>
      </c>
      <c r="C3655" s="1" t="str">
        <f t="shared" si="2"/>
        <v>Sale</v>
      </c>
      <c r="D3655" s="1">
        <v>84755.0</v>
      </c>
      <c r="E3655" s="1" t="str">
        <f>IFERROR(__xludf.DUMMYFUNCTION("IF(LEN(D3655)&gt;4, IFERROR(REGEXEXTRACT(TO_TEXT(D3655),""\d+""),""""),"""")"),"84755")</f>
        <v>84755</v>
      </c>
      <c r="F3655" s="6" t="str">
        <f t="shared" si="3"/>
        <v>Product</v>
      </c>
      <c r="G3655" s="1" t="s">
        <v>163</v>
      </c>
      <c r="H3655" s="6" t="str">
        <f>IFERROR(__xludf.DUMMYFUNCTION("IF(REGEXMATCH(LOWER(G3655), ""^(\?)+\s*(missing)?\s*(\?)*$""), """", PROPER(SUBSTITUTE(SUBSTITUTE(G3655, ""?"", """"), ""*"", """")))"),"Colour Glass T-Light Holder Hanging")</f>
        <v>Colour Glass T-Light Holder Hanging</v>
      </c>
      <c r="I3655" s="3">
        <v>4.0</v>
      </c>
      <c r="J3655" s="7">
        <v>40886.41875</v>
      </c>
      <c r="K3655" s="8" t="str">
        <f t="shared" si="4"/>
        <v>2011-12</v>
      </c>
      <c r="L3655" s="5">
        <v>1.24</v>
      </c>
      <c r="M3655" s="10"/>
      <c r="N3655" s="1" t="str">
        <f t="shared" si="5"/>
        <v>Guest</v>
      </c>
      <c r="O3655" s="1" t="s">
        <v>19</v>
      </c>
      <c r="P3655" s="9" t="str">
        <f t="shared" si="6"/>
        <v>UK</v>
      </c>
      <c r="Q3655" s="8">
        <f t="shared" si="7"/>
        <v>4.96</v>
      </c>
    </row>
    <row r="3656">
      <c r="A3656" s="1">
        <v>581492.0</v>
      </c>
      <c r="B3656" s="1" t="str">
        <f t="shared" si="1"/>
        <v>581492</v>
      </c>
      <c r="C3656" s="1" t="str">
        <f t="shared" si="2"/>
        <v>Sale</v>
      </c>
      <c r="D3656" s="1">
        <v>84828.0</v>
      </c>
      <c r="E3656" s="1" t="str">
        <f>IFERROR(__xludf.DUMMYFUNCTION("IF(LEN(D3656)&gt;4, IFERROR(REGEXEXTRACT(TO_TEXT(D3656),""\d+""),""""),"""")"),"84828")</f>
        <v>84828</v>
      </c>
      <c r="F3656" s="6" t="str">
        <f t="shared" si="3"/>
        <v>Product</v>
      </c>
      <c r="G3656" s="1" t="s">
        <v>1735</v>
      </c>
      <c r="H3656" s="6" t="str">
        <f>IFERROR(__xludf.DUMMYFUNCTION("IF(REGEXMATCH(LOWER(G3656), ""^(\?)+\s*(missing)?\s*(\?)*$""), """", PROPER(SUBSTITUTE(SUBSTITUTE(G3656, ""?"", """"), ""*"", """")))"),"Jungle Popsicles Ice Lolly Moulds")</f>
        <v>Jungle Popsicles Ice Lolly Moulds</v>
      </c>
      <c r="I3656" s="3">
        <v>1.0</v>
      </c>
      <c r="J3656" s="7">
        <v>40886.41875</v>
      </c>
      <c r="K3656" s="8" t="str">
        <f t="shared" si="4"/>
        <v>2011-12</v>
      </c>
      <c r="L3656" s="5">
        <v>2.46</v>
      </c>
      <c r="M3656" s="10"/>
      <c r="N3656" s="1" t="str">
        <f t="shared" si="5"/>
        <v>Guest</v>
      </c>
      <c r="O3656" s="1" t="s">
        <v>19</v>
      </c>
      <c r="P3656" s="9" t="str">
        <f t="shared" si="6"/>
        <v>UK</v>
      </c>
      <c r="Q3656" s="8">
        <f t="shared" si="7"/>
        <v>2.46</v>
      </c>
    </row>
    <row r="3657">
      <c r="A3657" s="1">
        <v>581492.0</v>
      </c>
      <c r="B3657" s="1" t="str">
        <f t="shared" si="1"/>
        <v>581492</v>
      </c>
      <c r="C3657" s="1" t="str">
        <f t="shared" si="2"/>
        <v>Sale</v>
      </c>
      <c r="D3657" s="1">
        <v>84879.0</v>
      </c>
      <c r="E3657" s="1" t="str">
        <f>IFERROR(__xludf.DUMMYFUNCTION("IF(LEN(D3657)&gt;4, IFERROR(REGEXEXTRACT(TO_TEXT(D3657),""\d+""),""""),"""")"),"84879")</f>
        <v>84879</v>
      </c>
      <c r="F3657" s="6" t="str">
        <f t="shared" si="3"/>
        <v>Product</v>
      </c>
      <c r="G3657" s="1" t="s">
        <v>31</v>
      </c>
      <c r="H3657" s="6" t="str">
        <f>IFERROR(__xludf.DUMMYFUNCTION("IF(REGEXMATCH(LOWER(G3657), ""^(\?)+\s*(missing)?\s*(\?)*$""), """", PROPER(SUBSTITUTE(SUBSTITUTE(G3657, ""?"", """"), ""*"", """")))"),"Assorted Colour Bird Ornament")</f>
        <v>Assorted Colour Bird Ornament</v>
      </c>
      <c r="I3657" s="3">
        <v>16.0</v>
      </c>
      <c r="J3657" s="7">
        <v>40886.41875</v>
      </c>
      <c r="K3657" s="8" t="str">
        <f t="shared" si="4"/>
        <v>2011-12</v>
      </c>
      <c r="L3657" s="5">
        <v>3.12</v>
      </c>
      <c r="M3657" s="10"/>
      <c r="N3657" s="1" t="str">
        <f t="shared" si="5"/>
        <v>Guest</v>
      </c>
      <c r="O3657" s="1" t="s">
        <v>19</v>
      </c>
      <c r="P3657" s="9" t="str">
        <f t="shared" si="6"/>
        <v>UK</v>
      </c>
      <c r="Q3657" s="8">
        <f t="shared" si="7"/>
        <v>49.92</v>
      </c>
    </row>
    <row r="3658">
      <c r="A3658" s="1">
        <v>581492.0</v>
      </c>
      <c r="B3658" s="1" t="str">
        <f t="shared" si="1"/>
        <v>581492</v>
      </c>
      <c r="C3658" s="1" t="str">
        <f t="shared" si="2"/>
        <v>Sale</v>
      </c>
      <c r="D3658" s="1">
        <v>84923.0</v>
      </c>
      <c r="E3658" s="1" t="str">
        <f>IFERROR(__xludf.DUMMYFUNCTION("IF(LEN(D3658)&gt;4, IFERROR(REGEXEXTRACT(TO_TEXT(D3658),""\d+""),""""),"""")"),"84923")</f>
        <v>84923</v>
      </c>
      <c r="F3658" s="6" t="str">
        <f t="shared" si="3"/>
        <v>Product</v>
      </c>
      <c r="G3658" s="1" t="s">
        <v>1736</v>
      </c>
      <c r="H3658" s="6" t="str">
        <f>IFERROR(__xludf.DUMMYFUNCTION("IF(REGEXMATCH(LOWER(G3658), ""^(\?)+\s*(missing)?\s*(\?)*$""), """", PROPER(SUBSTITUTE(SUBSTITUTE(G3658, ""?"", """"), ""*"", """")))"),"Pink Butterfly Handbag W Bobbles")</f>
        <v>Pink Butterfly Handbag W Bobbles</v>
      </c>
      <c r="I3658" s="3">
        <v>3.0</v>
      </c>
      <c r="J3658" s="7">
        <v>40886.41875</v>
      </c>
      <c r="K3658" s="8" t="str">
        <f t="shared" si="4"/>
        <v>2011-12</v>
      </c>
      <c r="L3658" s="5">
        <v>4.13</v>
      </c>
      <c r="M3658" s="10"/>
      <c r="N3658" s="1" t="str">
        <f t="shared" si="5"/>
        <v>Guest</v>
      </c>
      <c r="O3658" s="1" t="s">
        <v>19</v>
      </c>
      <c r="P3658" s="9" t="str">
        <f t="shared" si="6"/>
        <v>UK</v>
      </c>
      <c r="Q3658" s="8">
        <f t="shared" si="7"/>
        <v>12.39</v>
      </c>
    </row>
    <row r="3659">
      <c r="A3659" s="1">
        <v>581492.0</v>
      </c>
      <c r="B3659" s="1" t="str">
        <f t="shared" si="1"/>
        <v>581492</v>
      </c>
      <c r="C3659" s="1" t="str">
        <f t="shared" si="2"/>
        <v>Sale</v>
      </c>
      <c r="D3659" s="1">
        <v>84946.0</v>
      </c>
      <c r="E3659" s="1" t="str">
        <f>IFERROR(__xludf.DUMMYFUNCTION("IF(LEN(D3659)&gt;4, IFERROR(REGEXEXTRACT(TO_TEXT(D3659),""\d+""),""""),"""")"),"84946")</f>
        <v>84946</v>
      </c>
      <c r="F3659" s="6" t="str">
        <f t="shared" si="3"/>
        <v>Product</v>
      </c>
      <c r="G3659" s="1" t="s">
        <v>1557</v>
      </c>
      <c r="H3659" s="6" t="str">
        <f>IFERROR(__xludf.DUMMYFUNCTION("IF(REGEXMATCH(LOWER(G3659), ""^(\?)+\s*(missing)?\s*(\?)*$""), """", PROPER(SUBSTITUTE(SUBSTITUTE(G3659, ""?"", """"), ""*"", """")))"),"Antique Silver T-Light Glass")</f>
        <v>Antique Silver T-Light Glass</v>
      </c>
      <c r="I3659" s="3">
        <v>18.0</v>
      </c>
      <c r="J3659" s="7">
        <v>40886.41875</v>
      </c>
      <c r="K3659" s="8" t="str">
        <f t="shared" si="4"/>
        <v>2011-12</v>
      </c>
      <c r="L3659" s="5">
        <v>2.46</v>
      </c>
      <c r="M3659" s="10"/>
      <c r="N3659" s="1" t="str">
        <f t="shared" si="5"/>
        <v>Guest</v>
      </c>
      <c r="O3659" s="1" t="s">
        <v>19</v>
      </c>
      <c r="P3659" s="9" t="str">
        <f t="shared" si="6"/>
        <v>UK</v>
      </c>
      <c r="Q3659" s="8">
        <f t="shared" si="7"/>
        <v>44.28</v>
      </c>
    </row>
    <row r="3660">
      <c r="A3660" s="1">
        <v>581492.0</v>
      </c>
      <c r="B3660" s="1" t="str">
        <f t="shared" si="1"/>
        <v>581492</v>
      </c>
      <c r="C3660" s="1" t="str">
        <f t="shared" si="2"/>
        <v>Sale</v>
      </c>
      <c r="D3660" s="1" t="s">
        <v>213</v>
      </c>
      <c r="E3660" s="1" t="str">
        <f>IFERROR(__xludf.DUMMYFUNCTION("IF(LEN(D3660)&gt;4, IFERROR(REGEXEXTRACT(TO_TEXT(D3660),""\d+""),""""),"""")"),"84970")</f>
        <v>84970</v>
      </c>
      <c r="F3660" s="6" t="str">
        <f t="shared" si="3"/>
        <v>Product</v>
      </c>
      <c r="G3660" s="1" t="s">
        <v>214</v>
      </c>
      <c r="H3660" s="6" t="str">
        <f>IFERROR(__xludf.DUMMYFUNCTION("IF(REGEXMATCH(LOWER(G3660), ""^(\?)+\s*(missing)?\s*(\?)*$""), """", PROPER(SUBSTITUTE(SUBSTITUTE(G3660, ""?"", """"), ""*"", """")))"),"Hanging Heart Zinc T-Light Holder")</f>
        <v>Hanging Heart Zinc T-Light Holder</v>
      </c>
      <c r="I3660" s="3">
        <v>3.0</v>
      </c>
      <c r="J3660" s="7">
        <v>40886.41875</v>
      </c>
      <c r="K3660" s="8" t="str">
        <f t="shared" si="4"/>
        <v>2011-12</v>
      </c>
      <c r="L3660" s="5">
        <v>2.08</v>
      </c>
      <c r="M3660" s="10"/>
      <c r="N3660" s="1" t="str">
        <f t="shared" si="5"/>
        <v>Guest</v>
      </c>
      <c r="O3660" s="1" t="s">
        <v>19</v>
      </c>
      <c r="P3660" s="9" t="str">
        <f t="shared" si="6"/>
        <v>UK</v>
      </c>
      <c r="Q3660" s="8">
        <f t="shared" si="7"/>
        <v>6.24</v>
      </c>
    </row>
    <row r="3661">
      <c r="A3661" s="1">
        <v>581492.0</v>
      </c>
      <c r="B3661" s="1" t="str">
        <f t="shared" si="1"/>
        <v>581492</v>
      </c>
      <c r="C3661" s="1" t="str">
        <f t="shared" si="2"/>
        <v>Sale</v>
      </c>
      <c r="D3661" s="1">
        <v>84978.0</v>
      </c>
      <c r="E3661" s="1" t="str">
        <f>IFERROR(__xludf.DUMMYFUNCTION("IF(LEN(D3661)&gt;4, IFERROR(REGEXEXTRACT(TO_TEXT(D3661),""\d+""),""""),"""")"),"84978")</f>
        <v>84978</v>
      </c>
      <c r="F3661" s="6" t="str">
        <f t="shared" si="3"/>
        <v>Product</v>
      </c>
      <c r="G3661" s="1" t="s">
        <v>925</v>
      </c>
      <c r="H3661" s="6" t="str">
        <f>IFERROR(__xludf.DUMMYFUNCTION("IF(REGEXMATCH(LOWER(G3661), ""^(\?)+\s*(missing)?\s*(\?)*$""), """", PROPER(SUBSTITUTE(SUBSTITUTE(G3661, ""?"", """"), ""*"", """")))"),"Hanging Heart Jar T-Light Holder")</f>
        <v>Hanging Heart Jar T-Light Holder</v>
      </c>
      <c r="I3661" s="3">
        <v>4.0</v>
      </c>
      <c r="J3661" s="7">
        <v>40886.41875</v>
      </c>
      <c r="K3661" s="8" t="str">
        <f t="shared" si="4"/>
        <v>2011-12</v>
      </c>
      <c r="L3661" s="5">
        <v>2.46</v>
      </c>
      <c r="M3661" s="10"/>
      <c r="N3661" s="1" t="str">
        <f t="shared" si="5"/>
        <v>Guest</v>
      </c>
      <c r="O3661" s="1" t="s">
        <v>19</v>
      </c>
      <c r="P3661" s="9" t="str">
        <f t="shared" si="6"/>
        <v>UK</v>
      </c>
      <c r="Q3661" s="8">
        <f t="shared" si="7"/>
        <v>9.84</v>
      </c>
    </row>
    <row r="3662">
      <c r="A3662" s="1">
        <v>581492.0</v>
      </c>
      <c r="B3662" s="1" t="str">
        <f t="shared" si="1"/>
        <v>581492</v>
      </c>
      <c r="C3662" s="1" t="str">
        <f t="shared" si="2"/>
        <v>Sale</v>
      </c>
      <c r="D3662" s="1">
        <v>84991.0</v>
      </c>
      <c r="E3662" s="1" t="str">
        <f>IFERROR(__xludf.DUMMYFUNCTION("IF(LEN(D3662)&gt;4, IFERROR(REGEXEXTRACT(TO_TEXT(D3662),""\d+""),""""),"""")"),"84991")</f>
        <v>84991</v>
      </c>
      <c r="F3662" s="6" t="str">
        <f t="shared" si="3"/>
        <v>Product</v>
      </c>
      <c r="G3662" s="1" t="s">
        <v>100</v>
      </c>
      <c r="H3662" s="6" t="str">
        <f>IFERROR(__xludf.DUMMYFUNCTION("IF(REGEXMATCH(LOWER(G3662), ""^(\?)+\s*(missing)?\s*(\?)*$""), """", PROPER(SUBSTITUTE(SUBSTITUTE(G3662, ""?"", """"), ""*"", """")))"),"60 Teatime Fairy Cake Cases")</f>
        <v>60 Teatime Fairy Cake Cases</v>
      </c>
      <c r="I3662" s="3">
        <v>1.0</v>
      </c>
      <c r="J3662" s="7">
        <v>40886.41875</v>
      </c>
      <c r="K3662" s="8" t="str">
        <f t="shared" si="4"/>
        <v>2011-12</v>
      </c>
      <c r="L3662" s="5">
        <v>1.25</v>
      </c>
      <c r="M3662" s="10"/>
      <c r="N3662" s="1" t="str">
        <f t="shared" si="5"/>
        <v>Guest</v>
      </c>
      <c r="O3662" s="1" t="s">
        <v>19</v>
      </c>
      <c r="P3662" s="9" t="str">
        <f t="shared" si="6"/>
        <v>UK</v>
      </c>
      <c r="Q3662" s="8">
        <f t="shared" si="7"/>
        <v>1.25</v>
      </c>
    </row>
    <row r="3663">
      <c r="A3663" s="1">
        <v>581492.0</v>
      </c>
      <c r="B3663" s="1" t="str">
        <f t="shared" si="1"/>
        <v>581492</v>
      </c>
      <c r="C3663" s="1" t="str">
        <f t="shared" si="2"/>
        <v>Sale</v>
      </c>
      <c r="D3663" s="1" t="s">
        <v>1315</v>
      </c>
      <c r="E3663" s="1" t="str">
        <f>IFERROR(__xludf.DUMMYFUNCTION("IF(LEN(D3663)&gt;4, IFERROR(REGEXEXTRACT(TO_TEXT(D3663),""\d+""),""""),"""")"),"84997")</f>
        <v>84997</v>
      </c>
      <c r="F3663" s="6" t="str">
        <f t="shared" si="3"/>
        <v>Product</v>
      </c>
      <c r="G3663" s="1" t="s">
        <v>1316</v>
      </c>
      <c r="H3663" s="6" t="str">
        <f>IFERROR(__xludf.DUMMYFUNCTION("IF(REGEXMATCH(LOWER(G3663), ""^(\?)+\s*(missing)?\s*(\?)*$""), """", PROPER(SUBSTITUTE(SUBSTITUTE(G3663, ""?"", """"), ""*"", """")))"),"Childrens Cutlery Polkadot Green")</f>
        <v>Childrens Cutlery Polkadot Green</v>
      </c>
      <c r="I3663" s="3">
        <v>1.0</v>
      </c>
      <c r="J3663" s="7">
        <v>40886.41875</v>
      </c>
      <c r="K3663" s="8" t="str">
        <f t="shared" si="4"/>
        <v>2011-12</v>
      </c>
      <c r="L3663" s="5">
        <v>8.29</v>
      </c>
      <c r="M3663" s="10"/>
      <c r="N3663" s="1" t="str">
        <f t="shared" si="5"/>
        <v>Guest</v>
      </c>
      <c r="O3663" s="1" t="s">
        <v>19</v>
      </c>
      <c r="P3663" s="9" t="str">
        <f t="shared" si="6"/>
        <v>UK</v>
      </c>
      <c r="Q3663" s="8">
        <f t="shared" si="7"/>
        <v>8.29</v>
      </c>
    </row>
    <row r="3664">
      <c r="A3664" s="1">
        <v>581492.0</v>
      </c>
      <c r="B3664" s="1" t="str">
        <f t="shared" si="1"/>
        <v>581492</v>
      </c>
      <c r="C3664" s="1" t="str">
        <f t="shared" si="2"/>
        <v>Sale</v>
      </c>
      <c r="D3664" s="1" t="s">
        <v>89</v>
      </c>
      <c r="E3664" s="1" t="str">
        <f>IFERROR(__xludf.DUMMYFUNCTION("IF(LEN(D3664)&gt;4, IFERROR(REGEXEXTRACT(TO_TEXT(D3664),""\d+""),""""),"""")"),"84997")</f>
        <v>84997</v>
      </c>
      <c r="F3664" s="6" t="str">
        <f t="shared" si="3"/>
        <v>Product</v>
      </c>
      <c r="G3664" s="1" t="s">
        <v>1317</v>
      </c>
      <c r="H3664" s="6" t="str">
        <f>IFERROR(__xludf.DUMMYFUNCTION("IF(REGEXMATCH(LOWER(G3664), ""^(\?)+\s*(missing)?\s*(\?)*$""), """", PROPER(SUBSTITUTE(SUBSTITUTE(G3664, ""?"", """"), ""*"", """")))"),"Childrens Cutlery Retrospot Red")</f>
        <v>Childrens Cutlery Retrospot Red</v>
      </c>
      <c r="I3664" s="3">
        <v>1.0</v>
      </c>
      <c r="J3664" s="7">
        <v>40886.41875</v>
      </c>
      <c r="K3664" s="8" t="str">
        <f t="shared" si="4"/>
        <v>2011-12</v>
      </c>
      <c r="L3664" s="5">
        <v>8.29</v>
      </c>
      <c r="M3664" s="10"/>
      <c r="N3664" s="1" t="str">
        <f t="shared" si="5"/>
        <v>Guest</v>
      </c>
      <c r="O3664" s="1" t="s">
        <v>19</v>
      </c>
      <c r="P3664" s="9" t="str">
        <f t="shared" si="6"/>
        <v>UK</v>
      </c>
      <c r="Q3664" s="8">
        <f t="shared" si="7"/>
        <v>8.29</v>
      </c>
    </row>
    <row r="3665">
      <c r="A3665" s="1">
        <v>581492.0</v>
      </c>
      <c r="B3665" s="1" t="str">
        <f t="shared" si="1"/>
        <v>581492</v>
      </c>
      <c r="C3665" s="1" t="str">
        <f t="shared" si="2"/>
        <v>Sale</v>
      </c>
      <c r="D3665" s="1">
        <v>20727.0</v>
      </c>
      <c r="E3665" s="1" t="str">
        <f>IFERROR(__xludf.DUMMYFUNCTION("IF(LEN(D3665)&gt;4, IFERROR(REGEXEXTRACT(TO_TEXT(D3665),""\d+""),""""),"""")"),"20727")</f>
        <v>20727</v>
      </c>
      <c r="F3665" s="6" t="str">
        <f t="shared" si="3"/>
        <v>Product</v>
      </c>
      <c r="G3665" s="1" t="s">
        <v>357</v>
      </c>
      <c r="H3665" s="6" t="str">
        <f>IFERROR(__xludf.DUMMYFUNCTION("IF(REGEXMATCH(LOWER(G3665), ""^(\?)+\s*(missing)?\s*(\?)*$""), """", PROPER(SUBSTITUTE(SUBSTITUTE(G3665, ""?"", """"), ""*"", """")))"),"Lunch Bag Black Skull.")</f>
        <v>Lunch Bag Black Skull.</v>
      </c>
      <c r="I3665" s="3">
        <v>2.0</v>
      </c>
      <c r="J3665" s="7">
        <v>40886.41875</v>
      </c>
      <c r="K3665" s="8" t="str">
        <f t="shared" si="4"/>
        <v>2011-12</v>
      </c>
      <c r="L3665" s="5">
        <v>4.13</v>
      </c>
      <c r="M3665" s="10"/>
      <c r="N3665" s="1" t="str">
        <f t="shared" si="5"/>
        <v>Guest</v>
      </c>
      <c r="O3665" s="1" t="s">
        <v>19</v>
      </c>
      <c r="P3665" s="9" t="str">
        <f t="shared" si="6"/>
        <v>UK</v>
      </c>
      <c r="Q3665" s="8">
        <f t="shared" si="7"/>
        <v>8.26</v>
      </c>
    </row>
    <row r="3666">
      <c r="A3666" s="1">
        <v>581492.0</v>
      </c>
      <c r="B3666" s="1" t="str">
        <f t="shared" si="1"/>
        <v>581492</v>
      </c>
      <c r="C3666" s="1" t="str">
        <f t="shared" si="2"/>
        <v>Sale</v>
      </c>
      <c r="D3666" s="1">
        <v>20728.0</v>
      </c>
      <c r="E3666" s="1" t="str">
        <f>IFERROR(__xludf.DUMMYFUNCTION("IF(LEN(D3666)&gt;4, IFERROR(REGEXEXTRACT(TO_TEXT(D3666),""\d+""),""""),"""")"),"20728")</f>
        <v>20728</v>
      </c>
      <c r="F3666" s="6" t="str">
        <f t="shared" si="3"/>
        <v>Product</v>
      </c>
      <c r="G3666" s="1" t="s">
        <v>356</v>
      </c>
      <c r="H3666" s="6" t="str">
        <f>IFERROR(__xludf.DUMMYFUNCTION("IF(REGEXMATCH(LOWER(G3666), ""^(\?)+\s*(missing)?\s*(\?)*$""), """", PROPER(SUBSTITUTE(SUBSTITUTE(G3666, ""?"", """"), ""*"", """")))"),"Lunch Bag Cars Blue")</f>
        <v>Lunch Bag Cars Blue</v>
      </c>
      <c r="I3666" s="3">
        <v>1.0</v>
      </c>
      <c r="J3666" s="7">
        <v>40886.41875</v>
      </c>
      <c r="K3666" s="8" t="str">
        <f t="shared" si="4"/>
        <v>2011-12</v>
      </c>
      <c r="L3666" s="5">
        <v>4.13</v>
      </c>
      <c r="M3666" s="10"/>
      <c r="N3666" s="1" t="str">
        <f t="shared" si="5"/>
        <v>Guest</v>
      </c>
      <c r="O3666" s="1" t="s">
        <v>19</v>
      </c>
      <c r="P3666" s="9" t="str">
        <f t="shared" si="6"/>
        <v>UK</v>
      </c>
      <c r="Q3666" s="8">
        <f t="shared" si="7"/>
        <v>4.13</v>
      </c>
    </row>
    <row r="3667">
      <c r="A3667" s="1">
        <v>581492.0</v>
      </c>
      <c r="B3667" s="1" t="str">
        <f t="shared" si="1"/>
        <v>581492</v>
      </c>
      <c r="C3667" s="1" t="str">
        <f t="shared" si="2"/>
        <v>Sale</v>
      </c>
      <c r="D3667" s="1">
        <v>20733.0</v>
      </c>
      <c r="E3667" s="1" t="str">
        <f>IFERROR(__xludf.DUMMYFUNCTION("IF(LEN(D3667)&gt;4, IFERROR(REGEXEXTRACT(TO_TEXT(D3667),""\d+""),""""),"""")"),"20733")</f>
        <v>20733</v>
      </c>
      <c r="F3667" s="6" t="str">
        <f t="shared" si="3"/>
        <v>Product</v>
      </c>
      <c r="G3667" s="1" t="s">
        <v>702</v>
      </c>
      <c r="H3667" s="6" t="str">
        <f>IFERROR(__xludf.DUMMYFUNCTION("IF(REGEXMATCH(LOWER(G3667), ""^(\?)+\s*(missing)?\s*(\?)*$""), """", PROPER(SUBSTITUTE(SUBSTITUTE(G3667, ""?"", """"), ""*"", """")))"),"Gold Mini Tape Measure")</f>
        <v>Gold Mini Tape Measure</v>
      </c>
      <c r="I3667" s="3">
        <v>3.0</v>
      </c>
      <c r="J3667" s="7">
        <v>40886.41875</v>
      </c>
      <c r="K3667" s="8" t="str">
        <f t="shared" si="4"/>
        <v>2011-12</v>
      </c>
      <c r="L3667" s="5">
        <v>0.83</v>
      </c>
      <c r="M3667" s="10"/>
      <c r="N3667" s="1" t="str">
        <f t="shared" si="5"/>
        <v>Guest</v>
      </c>
      <c r="O3667" s="1" t="s">
        <v>19</v>
      </c>
      <c r="P3667" s="9" t="str">
        <f t="shared" si="6"/>
        <v>UK</v>
      </c>
      <c r="Q3667" s="8">
        <f t="shared" si="7"/>
        <v>2.49</v>
      </c>
    </row>
    <row r="3668">
      <c r="A3668" s="1">
        <v>581492.0</v>
      </c>
      <c r="B3668" s="1" t="str">
        <f t="shared" si="1"/>
        <v>581492</v>
      </c>
      <c r="C3668" s="1" t="str">
        <f t="shared" si="2"/>
        <v>Sale</v>
      </c>
      <c r="D3668" s="1">
        <v>20777.0</v>
      </c>
      <c r="E3668" s="1" t="str">
        <f>IFERROR(__xludf.DUMMYFUNCTION("IF(LEN(D3668)&gt;4, IFERROR(REGEXEXTRACT(TO_TEXT(D3668),""\d+""),""""),"""")"),"20777")</f>
        <v>20777</v>
      </c>
      <c r="F3668" s="6" t="str">
        <f t="shared" si="3"/>
        <v>Product</v>
      </c>
      <c r="G3668" s="1" t="s">
        <v>543</v>
      </c>
      <c r="H3668" s="6" t="str">
        <f>IFERROR(__xludf.DUMMYFUNCTION("IF(REGEXMATCH(LOWER(G3668), ""^(\?)+\s*(missing)?\s*(\?)*$""), """", PROPER(SUBSTITUTE(SUBSTITUTE(G3668, ""?"", """"), ""*"", """")))"),"Chrysanthemum Notebook")</f>
        <v>Chrysanthemum Notebook</v>
      </c>
      <c r="I3668" s="3">
        <v>2.0</v>
      </c>
      <c r="J3668" s="7">
        <v>40886.41875</v>
      </c>
      <c r="K3668" s="8" t="str">
        <f t="shared" si="4"/>
        <v>2011-12</v>
      </c>
      <c r="L3668" s="5">
        <v>1.63</v>
      </c>
      <c r="M3668" s="10"/>
      <c r="N3668" s="1" t="str">
        <f t="shared" si="5"/>
        <v>Guest</v>
      </c>
      <c r="O3668" s="1" t="s">
        <v>19</v>
      </c>
      <c r="P3668" s="9" t="str">
        <f t="shared" si="6"/>
        <v>UK</v>
      </c>
      <c r="Q3668" s="8">
        <f t="shared" si="7"/>
        <v>3.26</v>
      </c>
    </row>
    <row r="3669">
      <c r="A3669" s="1">
        <v>581492.0</v>
      </c>
      <c r="B3669" s="1" t="str">
        <f t="shared" si="1"/>
        <v>581492</v>
      </c>
      <c r="C3669" s="1" t="str">
        <f t="shared" si="2"/>
        <v>Sale</v>
      </c>
      <c r="D3669" s="1">
        <v>20782.0</v>
      </c>
      <c r="E3669" s="1" t="str">
        <f>IFERROR(__xludf.DUMMYFUNCTION("IF(LEN(D3669)&gt;4, IFERROR(REGEXEXTRACT(TO_TEXT(D3669),""\d+""),""""),"""")"),"20782")</f>
        <v>20782</v>
      </c>
      <c r="F3669" s="6" t="str">
        <f t="shared" si="3"/>
        <v>Product</v>
      </c>
      <c r="G3669" s="1" t="s">
        <v>884</v>
      </c>
      <c r="H3669" s="6" t="str">
        <f>IFERROR(__xludf.DUMMYFUNCTION("IF(REGEXMATCH(LOWER(G3669), ""^(\?)+\s*(missing)?\s*(\?)*$""), """", PROPER(SUBSTITUTE(SUBSTITUTE(G3669, ""?"", """"), ""*"", """")))"),"Camouflage Ear Muff Headphones")</f>
        <v>Camouflage Ear Muff Headphones</v>
      </c>
      <c r="I3669" s="3">
        <v>1.0</v>
      </c>
      <c r="J3669" s="7">
        <v>40886.41875</v>
      </c>
      <c r="K3669" s="8" t="str">
        <f t="shared" si="4"/>
        <v>2011-12</v>
      </c>
      <c r="L3669" s="5">
        <v>10.79</v>
      </c>
      <c r="M3669" s="10"/>
      <c r="N3669" s="1" t="str">
        <f t="shared" si="5"/>
        <v>Guest</v>
      </c>
      <c r="O3669" s="1" t="s">
        <v>19</v>
      </c>
      <c r="P3669" s="9" t="str">
        <f t="shared" si="6"/>
        <v>UK</v>
      </c>
      <c r="Q3669" s="8">
        <f t="shared" si="7"/>
        <v>10.79</v>
      </c>
    </row>
    <row r="3670">
      <c r="A3670" s="1">
        <v>581492.0</v>
      </c>
      <c r="B3670" s="1" t="str">
        <f t="shared" si="1"/>
        <v>581492</v>
      </c>
      <c r="C3670" s="1" t="str">
        <f t="shared" si="2"/>
        <v>Sale</v>
      </c>
      <c r="D3670" s="1">
        <v>20914.0</v>
      </c>
      <c r="E3670" s="1" t="str">
        <f>IFERROR(__xludf.DUMMYFUNCTION("IF(LEN(D3670)&gt;4, IFERROR(REGEXEXTRACT(TO_TEXT(D3670),""\d+""),""""),"""")"),"20914")</f>
        <v>20914</v>
      </c>
      <c r="F3670" s="6" t="str">
        <f t="shared" si="3"/>
        <v>Product</v>
      </c>
      <c r="G3670" s="1" t="s">
        <v>359</v>
      </c>
      <c r="H3670" s="6" t="str">
        <f>IFERROR(__xludf.DUMMYFUNCTION("IF(REGEXMATCH(LOWER(G3670), ""^(\?)+\s*(missing)?\s*(\?)*$""), """", PROPER(SUBSTITUTE(SUBSTITUTE(G3670, ""?"", """"), ""*"", """")))"),"Set/5 Red Retrospot Lid Glass Bowls")</f>
        <v>Set/5 Red Retrospot Lid Glass Bowls</v>
      </c>
      <c r="I3670" s="3">
        <v>2.0</v>
      </c>
      <c r="J3670" s="7">
        <v>40886.41875</v>
      </c>
      <c r="K3670" s="8" t="str">
        <f t="shared" si="4"/>
        <v>2011-12</v>
      </c>
      <c r="L3670" s="5">
        <v>5.79</v>
      </c>
      <c r="M3670" s="10"/>
      <c r="N3670" s="1" t="str">
        <f t="shared" si="5"/>
        <v>Guest</v>
      </c>
      <c r="O3670" s="1" t="s">
        <v>19</v>
      </c>
      <c r="P3670" s="9" t="str">
        <f t="shared" si="6"/>
        <v>UK</v>
      </c>
      <c r="Q3670" s="8">
        <f t="shared" si="7"/>
        <v>11.58</v>
      </c>
    </row>
    <row r="3671">
      <c r="A3671" s="1">
        <v>581492.0</v>
      </c>
      <c r="B3671" s="1" t="str">
        <f t="shared" si="1"/>
        <v>581492</v>
      </c>
      <c r="C3671" s="1" t="str">
        <f t="shared" si="2"/>
        <v>Sale</v>
      </c>
      <c r="D3671" s="1">
        <v>20931.0</v>
      </c>
      <c r="E3671" s="1" t="str">
        <f>IFERROR(__xludf.DUMMYFUNCTION("IF(LEN(D3671)&gt;4, IFERROR(REGEXEXTRACT(TO_TEXT(D3671),""\d+""),""""),"""")"),"20931")</f>
        <v>20931</v>
      </c>
      <c r="F3671" s="6" t="str">
        <f t="shared" si="3"/>
        <v>Product</v>
      </c>
      <c r="G3671" s="1" t="s">
        <v>880</v>
      </c>
      <c r="H3671" s="6" t="str">
        <f>IFERROR(__xludf.DUMMYFUNCTION("IF(REGEXMATCH(LOWER(G3671), ""^(\?)+\s*(missing)?\s*(\?)*$""), """", PROPER(SUBSTITUTE(SUBSTITUTE(G3671, ""?"", """"), ""*"", """")))"),"Blue Pot Plant Candle")</f>
        <v>Blue Pot Plant Candle</v>
      </c>
      <c r="I3671" s="3">
        <v>1.0</v>
      </c>
      <c r="J3671" s="7">
        <v>40886.41875</v>
      </c>
      <c r="K3671" s="8" t="str">
        <f t="shared" si="4"/>
        <v>2011-12</v>
      </c>
      <c r="L3671" s="5">
        <v>7.46</v>
      </c>
      <c r="M3671" s="10"/>
      <c r="N3671" s="1" t="str">
        <f t="shared" si="5"/>
        <v>Guest</v>
      </c>
      <c r="O3671" s="1" t="s">
        <v>19</v>
      </c>
      <c r="P3671" s="9" t="str">
        <f t="shared" si="6"/>
        <v>UK</v>
      </c>
      <c r="Q3671" s="8">
        <f t="shared" si="7"/>
        <v>7.46</v>
      </c>
    </row>
    <row r="3672">
      <c r="A3672" s="1">
        <v>581492.0</v>
      </c>
      <c r="B3672" s="1" t="str">
        <f t="shared" si="1"/>
        <v>581492</v>
      </c>
      <c r="C3672" s="1" t="str">
        <f t="shared" si="2"/>
        <v>Sale</v>
      </c>
      <c r="D3672" s="1">
        <v>20970.0</v>
      </c>
      <c r="E3672" s="1" t="str">
        <f>IFERROR(__xludf.DUMMYFUNCTION("IF(LEN(D3672)&gt;4, IFERROR(REGEXEXTRACT(TO_TEXT(D3672),""\d+""),""""),"""")"),"20970")</f>
        <v>20970</v>
      </c>
      <c r="F3672" s="6" t="str">
        <f t="shared" si="3"/>
        <v>Product</v>
      </c>
      <c r="G3672" s="1" t="s">
        <v>957</v>
      </c>
      <c r="H3672" s="6" t="str">
        <f>IFERROR(__xludf.DUMMYFUNCTION("IF(REGEXMATCH(LOWER(G3672), ""^(\?)+\s*(missing)?\s*(\?)*$""), """", PROPER(SUBSTITUTE(SUBSTITUTE(G3672, ""?"", """"), ""*"", """")))"),"Pink Floral Feltcraft Shoulder Bag")</f>
        <v>Pink Floral Feltcraft Shoulder Bag</v>
      </c>
      <c r="I3672" s="3">
        <v>1.0</v>
      </c>
      <c r="J3672" s="7">
        <v>40886.41875</v>
      </c>
      <c r="K3672" s="8" t="str">
        <f t="shared" si="4"/>
        <v>2011-12</v>
      </c>
      <c r="L3672" s="5">
        <v>7.46</v>
      </c>
      <c r="M3672" s="10"/>
      <c r="N3672" s="1" t="str">
        <f t="shared" si="5"/>
        <v>Guest</v>
      </c>
      <c r="O3672" s="1" t="s">
        <v>19</v>
      </c>
      <c r="P3672" s="9" t="str">
        <f t="shared" si="6"/>
        <v>UK</v>
      </c>
      <c r="Q3672" s="8">
        <f t="shared" si="7"/>
        <v>7.46</v>
      </c>
    </row>
    <row r="3673">
      <c r="A3673" s="1">
        <v>581492.0</v>
      </c>
      <c r="B3673" s="1" t="str">
        <f t="shared" si="1"/>
        <v>581492</v>
      </c>
      <c r="C3673" s="1" t="str">
        <f t="shared" si="2"/>
        <v>Sale</v>
      </c>
      <c r="D3673" s="1">
        <v>20971.0</v>
      </c>
      <c r="E3673" s="1" t="str">
        <f>IFERROR(__xludf.DUMMYFUNCTION("IF(LEN(D3673)&gt;4, IFERROR(REGEXEXTRACT(TO_TEXT(D3673),""\d+""),""""),"""")"),"20971")</f>
        <v>20971</v>
      </c>
      <c r="F3673" s="6" t="str">
        <f t="shared" si="3"/>
        <v>Product</v>
      </c>
      <c r="G3673" s="1" t="s">
        <v>760</v>
      </c>
      <c r="H3673" s="6" t="str">
        <f>IFERROR(__xludf.DUMMYFUNCTION("IF(REGEXMATCH(LOWER(G3673), ""^(\?)+\s*(missing)?\s*(\?)*$""), """", PROPER(SUBSTITUTE(SUBSTITUTE(G3673, ""?"", """"), ""*"", """")))"),"Pink Blue Felt Craft Trinket Box")</f>
        <v>Pink Blue Felt Craft Trinket Box</v>
      </c>
      <c r="I3673" s="3">
        <v>2.0</v>
      </c>
      <c r="J3673" s="7">
        <v>40886.41875</v>
      </c>
      <c r="K3673" s="8" t="str">
        <f t="shared" si="4"/>
        <v>2011-12</v>
      </c>
      <c r="L3673" s="5">
        <v>2.46</v>
      </c>
      <c r="M3673" s="10"/>
      <c r="N3673" s="1" t="str">
        <f t="shared" si="5"/>
        <v>Guest</v>
      </c>
      <c r="O3673" s="1" t="s">
        <v>19</v>
      </c>
      <c r="P3673" s="9" t="str">
        <f t="shared" si="6"/>
        <v>UK</v>
      </c>
      <c r="Q3673" s="8">
        <f t="shared" si="7"/>
        <v>4.92</v>
      </c>
    </row>
    <row r="3674">
      <c r="A3674" s="1">
        <v>581492.0</v>
      </c>
      <c r="B3674" s="1" t="str">
        <f t="shared" si="1"/>
        <v>581492</v>
      </c>
      <c r="C3674" s="1" t="str">
        <f t="shared" si="2"/>
        <v>Sale</v>
      </c>
      <c r="D3674" s="1">
        <v>20972.0</v>
      </c>
      <c r="E3674" s="1" t="str">
        <f>IFERROR(__xludf.DUMMYFUNCTION("IF(LEN(D3674)&gt;4, IFERROR(REGEXEXTRACT(TO_TEXT(D3674),""\d+""),""""),"""")"),"20972")</f>
        <v>20972</v>
      </c>
      <c r="F3674" s="6" t="str">
        <f t="shared" si="3"/>
        <v>Product</v>
      </c>
      <c r="G3674" s="1" t="s">
        <v>759</v>
      </c>
      <c r="H3674" s="6" t="str">
        <f>IFERROR(__xludf.DUMMYFUNCTION("IF(REGEXMATCH(LOWER(G3674), ""^(\?)+\s*(missing)?\s*(\?)*$""), """", PROPER(SUBSTITUTE(SUBSTITUTE(G3674, ""?"", """"), ""*"", """")))"),"Pink Cream Felt Craft Trinket Box")</f>
        <v>Pink Cream Felt Craft Trinket Box</v>
      </c>
      <c r="I3674" s="3">
        <v>3.0</v>
      </c>
      <c r="J3674" s="7">
        <v>40886.41875</v>
      </c>
      <c r="K3674" s="8" t="str">
        <f t="shared" si="4"/>
        <v>2011-12</v>
      </c>
      <c r="L3674" s="5">
        <v>2.46</v>
      </c>
      <c r="M3674" s="10"/>
      <c r="N3674" s="1" t="str">
        <f t="shared" si="5"/>
        <v>Guest</v>
      </c>
      <c r="O3674" s="1" t="s">
        <v>19</v>
      </c>
      <c r="P3674" s="9" t="str">
        <f t="shared" si="6"/>
        <v>UK</v>
      </c>
      <c r="Q3674" s="8">
        <f t="shared" si="7"/>
        <v>7.38</v>
      </c>
    </row>
    <row r="3675">
      <c r="A3675" s="1">
        <v>581492.0</v>
      </c>
      <c r="B3675" s="1" t="str">
        <f t="shared" si="1"/>
        <v>581492</v>
      </c>
      <c r="C3675" s="1" t="str">
        <f t="shared" si="2"/>
        <v>Sale</v>
      </c>
      <c r="D3675" s="1">
        <v>20973.0</v>
      </c>
      <c r="E3675" s="1" t="str">
        <f>IFERROR(__xludf.DUMMYFUNCTION("IF(LEN(D3675)&gt;4, IFERROR(REGEXEXTRACT(TO_TEXT(D3675),""\d+""),""""),"""")"),"20973")</f>
        <v>20973</v>
      </c>
      <c r="F3675" s="6" t="str">
        <f t="shared" si="3"/>
        <v>Product</v>
      </c>
      <c r="G3675" s="1" t="s">
        <v>1737</v>
      </c>
      <c r="H3675" s="6" t="str">
        <f>IFERROR(__xludf.DUMMYFUNCTION("IF(REGEXMATCH(LOWER(G3675), ""^(\?)+\s*(missing)?\s*(\?)*$""), """", PROPER(SUBSTITUTE(SUBSTITUTE(G3675, ""?"", """"), ""*"", """")))"),"12 Pencil Small Tube Woodland")</f>
        <v>12 Pencil Small Tube Woodland</v>
      </c>
      <c r="I3675" s="3">
        <v>4.0</v>
      </c>
      <c r="J3675" s="7">
        <v>40886.41875</v>
      </c>
      <c r="K3675" s="8" t="str">
        <f t="shared" si="4"/>
        <v>2011-12</v>
      </c>
      <c r="L3675" s="5">
        <v>1.25</v>
      </c>
      <c r="M3675" s="10"/>
      <c r="N3675" s="1" t="str">
        <f t="shared" si="5"/>
        <v>Guest</v>
      </c>
      <c r="O3675" s="1" t="s">
        <v>19</v>
      </c>
      <c r="P3675" s="9" t="str">
        <f t="shared" si="6"/>
        <v>UK</v>
      </c>
      <c r="Q3675" s="8">
        <f t="shared" si="7"/>
        <v>5</v>
      </c>
    </row>
    <row r="3676">
      <c r="A3676" s="1">
        <v>581492.0</v>
      </c>
      <c r="B3676" s="1" t="str">
        <f t="shared" si="1"/>
        <v>581492</v>
      </c>
      <c r="C3676" s="1" t="str">
        <f t="shared" si="2"/>
        <v>Sale</v>
      </c>
      <c r="D3676" s="1">
        <v>20978.0</v>
      </c>
      <c r="E3676" s="1" t="str">
        <f>IFERROR(__xludf.DUMMYFUNCTION("IF(LEN(D3676)&gt;4, IFERROR(REGEXEXTRACT(TO_TEXT(D3676),""\d+""),""""),"""")"),"20978")</f>
        <v>20978</v>
      </c>
      <c r="F3676" s="6" t="str">
        <f t="shared" si="3"/>
        <v>Product</v>
      </c>
      <c r="G3676" s="1" t="s">
        <v>1250</v>
      </c>
      <c r="H3676" s="6" t="str">
        <f>IFERROR(__xludf.DUMMYFUNCTION("IF(REGEXMATCH(LOWER(G3676), ""^(\?)+\s*(missing)?\s*(\?)*$""), """", PROPER(SUBSTITUTE(SUBSTITUTE(G3676, ""?"", """"), ""*"", """")))"),"36 Pencils Tube Skulls")</f>
        <v>36 Pencils Tube Skulls</v>
      </c>
      <c r="I3676" s="3">
        <v>1.0</v>
      </c>
      <c r="J3676" s="7">
        <v>40886.41875</v>
      </c>
      <c r="K3676" s="8" t="str">
        <f t="shared" si="4"/>
        <v>2011-12</v>
      </c>
      <c r="L3676" s="5">
        <v>2.46</v>
      </c>
      <c r="M3676" s="10"/>
      <c r="N3676" s="1" t="str">
        <f t="shared" si="5"/>
        <v>Guest</v>
      </c>
      <c r="O3676" s="1" t="s">
        <v>19</v>
      </c>
      <c r="P3676" s="9" t="str">
        <f t="shared" si="6"/>
        <v>UK</v>
      </c>
      <c r="Q3676" s="8">
        <f t="shared" si="7"/>
        <v>2.46</v>
      </c>
    </row>
    <row r="3677">
      <c r="A3677" s="1">
        <v>581492.0</v>
      </c>
      <c r="B3677" s="1" t="str">
        <f t="shared" si="1"/>
        <v>581492</v>
      </c>
      <c r="C3677" s="1" t="str">
        <f t="shared" si="2"/>
        <v>Sale</v>
      </c>
      <c r="D3677" s="1">
        <v>20979.0</v>
      </c>
      <c r="E3677" s="1" t="str">
        <f>IFERROR(__xludf.DUMMYFUNCTION("IF(LEN(D3677)&gt;4, IFERROR(REGEXEXTRACT(TO_TEXT(D3677),""\d+""),""""),"""")"),"20979")</f>
        <v>20979</v>
      </c>
      <c r="F3677" s="6" t="str">
        <f t="shared" si="3"/>
        <v>Product</v>
      </c>
      <c r="G3677" s="1" t="s">
        <v>616</v>
      </c>
      <c r="H3677" s="6" t="str">
        <f>IFERROR(__xludf.DUMMYFUNCTION("IF(REGEXMATCH(LOWER(G3677), ""^(\?)+\s*(missing)?\s*(\?)*$""), """", PROPER(SUBSTITUTE(SUBSTITUTE(G3677, ""?"", """"), ""*"", """")))"),"36 Pencils Tube Red Retrospot")</f>
        <v>36 Pencils Tube Red Retrospot</v>
      </c>
      <c r="I3677" s="3">
        <v>3.0</v>
      </c>
      <c r="J3677" s="7">
        <v>40886.41875</v>
      </c>
      <c r="K3677" s="8" t="str">
        <f t="shared" si="4"/>
        <v>2011-12</v>
      </c>
      <c r="L3677" s="5">
        <v>2.46</v>
      </c>
      <c r="M3677" s="10"/>
      <c r="N3677" s="1" t="str">
        <f t="shared" si="5"/>
        <v>Guest</v>
      </c>
      <c r="O3677" s="1" t="s">
        <v>19</v>
      </c>
      <c r="P3677" s="9" t="str">
        <f t="shared" si="6"/>
        <v>UK</v>
      </c>
      <c r="Q3677" s="8">
        <f t="shared" si="7"/>
        <v>7.38</v>
      </c>
    </row>
    <row r="3678">
      <c r="A3678" s="1">
        <v>581492.0</v>
      </c>
      <c r="B3678" s="1" t="str">
        <f t="shared" si="1"/>
        <v>581492</v>
      </c>
      <c r="C3678" s="1" t="str">
        <f t="shared" si="2"/>
        <v>Sale</v>
      </c>
      <c r="D3678" s="1">
        <v>20982.0</v>
      </c>
      <c r="E3678" s="1" t="str">
        <f>IFERROR(__xludf.DUMMYFUNCTION("IF(LEN(D3678)&gt;4, IFERROR(REGEXEXTRACT(TO_TEXT(D3678),""\d+""),""""),"""")"),"20982")</f>
        <v>20982</v>
      </c>
      <c r="F3678" s="6" t="str">
        <f t="shared" si="3"/>
        <v>Product</v>
      </c>
      <c r="G3678" s="1" t="s">
        <v>362</v>
      </c>
      <c r="H3678" s="6" t="str">
        <f>IFERROR(__xludf.DUMMYFUNCTION("IF(REGEXMATCH(LOWER(G3678), ""^(\?)+\s*(missing)?\s*(\?)*$""), """", PROPER(SUBSTITUTE(SUBSTITUTE(G3678, ""?"", """"), ""*"", """")))"),"12 Pencils Tall Tube Skulls")</f>
        <v>12 Pencils Tall Tube Skulls</v>
      </c>
      <c r="I3678" s="3">
        <v>2.0</v>
      </c>
      <c r="J3678" s="7">
        <v>40886.41875</v>
      </c>
      <c r="K3678" s="8" t="str">
        <f t="shared" si="4"/>
        <v>2011-12</v>
      </c>
      <c r="L3678" s="5">
        <v>1.63</v>
      </c>
      <c r="M3678" s="10"/>
      <c r="N3678" s="1" t="str">
        <f t="shared" si="5"/>
        <v>Guest</v>
      </c>
      <c r="O3678" s="1" t="s">
        <v>19</v>
      </c>
      <c r="P3678" s="9" t="str">
        <f t="shared" si="6"/>
        <v>UK</v>
      </c>
      <c r="Q3678" s="8">
        <f t="shared" si="7"/>
        <v>3.26</v>
      </c>
    </row>
    <row r="3679">
      <c r="A3679" s="1">
        <v>581492.0</v>
      </c>
      <c r="B3679" s="1" t="str">
        <f t="shared" si="1"/>
        <v>581492</v>
      </c>
      <c r="C3679" s="1" t="str">
        <f t="shared" si="2"/>
        <v>Sale</v>
      </c>
      <c r="D3679" s="1">
        <v>20983.0</v>
      </c>
      <c r="E3679" s="1" t="str">
        <f>IFERROR(__xludf.DUMMYFUNCTION("IF(LEN(D3679)&gt;4, IFERROR(REGEXEXTRACT(TO_TEXT(D3679),""\d+""),""""),"""")"),"20983")</f>
        <v>20983</v>
      </c>
      <c r="F3679" s="6" t="str">
        <f t="shared" si="3"/>
        <v>Product</v>
      </c>
      <c r="G3679" s="1" t="s">
        <v>1349</v>
      </c>
      <c r="H3679" s="6" t="str">
        <f>IFERROR(__xludf.DUMMYFUNCTION("IF(REGEXMATCH(LOWER(G3679), ""^(\?)+\s*(missing)?\s*(\?)*$""), """", PROPER(SUBSTITUTE(SUBSTITUTE(G3679, ""?"", """"), ""*"", """")))"),"12 Pencils Tall Tube Red Retrospot")</f>
        <v>12 Pencils Tall Tube Red Retrospot</v>
      </c>
      <c r="I3679" s="3">
        <v>4.0</v>
      </c>
      <c r="J3679" s="7">
        <v>40886.41875</v>
      </c>
      <c r="K3679" s="8" t="str">
        <f t="shared" si="4"/>
        <v>2011-12</v>
      </c>
      <c r="L3679" s="5">
        <v>1.63</v>
      </c>
      <c r="M3679" s="10"/>
      <c r="N3679" s="1" t="str">
        <f t="shared" si="5"/>
        <v>Guest</v>
      </c>
      <c r="O3679" s="1" t="s">
        <v>19</v>
      </c>
      <c r="P3679" s="9" t="str">
        <f t="shared" si="6"/>
        <v>UK</v>
      </c>
      <c r="Q3679" s="8">
        <f t="shared" si="7"/>
        <v>6.52</v>
      </c>
    </row>
    <row r="3680">
      <c r="A3680" s="1">
        <v>581492.0</v>
      </c>
      <c r="B3680" s="1" t="str">
        <f t="shared" si="1"/>
        <v>581492</v>
      </c>
      <c r="C3680" s="1" t="str">
        <f t="shared" si="2"/>
        <v>Sale</v>
      </c>
      <c r="D3680" s="1">
        <v>20985.0</v>
      </c>
      <c r="E3680" s="1" t="str">
        <f>IFERROR(__xludf.DUMMYFUNCTION("IF(LEN(D3680)&gt;4, IFERROR(REGEXEXTRACT(TO_TEXT(D3680),""\d+""),""""),"""")"),"20985")</f>
        <v>20985</v>
      </c>
      <c r="F3680" s="6" t="str">
        <f t="shared" si="3"/>
        <v>Product</v>
      </c>
      <c r="G3680" s="1" t="s">
        <v>1738</v>
      </c>
      <c r="H3680" s="6" t="str">
        <f>IFERROR(__xludf.DUMMYFUNCTION("IF(REGEXMATCH(LOWER(G3680), ""^(\?)+\s*(missing)?\s*(\?)*$""), """", PROPER(SUBSTITUTE(SUBSTITUTE(G3680, ""?"", """"), ""*"", """")))"),"Heart Calculator")</f>
        <v>Heart Calculator</v>
      </c>
      <c r="I3680" s="3">
        <v>1.0</v>
      </c>
      <c r="J3680" s="7">
        <v>40886.41875</v>
      </c>
      <c r="K3680" s="8" t="str">
        <f t="shared" si="4"/>
        <v>2011-12</v>
      </c>
      <c r="L3680" s="5">
        <v>2.46</v>
      </c>
      <c r="M3680" s="10"/>
      <c r="N3680" s="1" t="str">
        <f t="shared" si="5"/>
        <v>Guest</v>
      </c>
      <c r="O3680" s="1" t="s">
        <v>19</v>
      </c>
      <c r="P3680" s="9" t="str">
        <f t="shared" si="6"/>
        <v>UK</v>
      </c>
      <c r="Q3680" s="8">
        <f t="shared" si="7"/>
        <v>2.46</v>
      </c>
    </row>
    <row r="3681">
      <c r="A3681" s="1">
        <v>581492.0</v>
      </c>
      <c r="B3681" s="1" t="str">
        <f t="shared" si="1"/>
        <v>581492</v>
      </c>
      <c r="C3681" s="1" t="str">
        <f t="shared" si="2"/>
        <v>Sale</v>
      </c>
      <c r="D3681" s="1">
        <v>20986.0</v>
      </c>
      <c r="E3681" s="1" t="str">
        <f>IFERROR(__xludf.DUMMYFUNCTION("IF(LEN(D3681)&gt;4, IFERROR(REGEXEXTRACT(TO_TEXT(D3681),""\d+""),""""),"""")"),"20986")</f>
        <v>20986</v>
      </c>
      <c r="F3681" s="6" t="str">
        <f t="shared" si="3"/>
        <v>Product</v>
      </c>
      <c r="G3681" s="1" t="s">
        <v>1739</v>
      </c>
      <c r="H3681" s="6" t="str">
        <f>IFERROR(__xludf.DUMMYFUNCTION("IF(REGEXMATCH(LOWER(G3681), ""^(\?)+\s*(missing)?\s*(\?)*$""), """", PROPER(SUBSTITUTE(SUBSTITUTE(G3681, ""?"", """"), ""*"", """")))"),"Blue Calculator Ruler")</f>
        <v>Blue Calculator Ruler</v>
      </c>
      <c r="I3681" s="3">
        <v>1.0</v>
      </c>
      <c r="J3681" s="7">
        <v>40886.41875</v>
      </c>
      <c r="K3681" s="8" t="str">
        <f t="shared" si="4"/>
        <v>2011-12</v>
      </c>
      <c r="L3681" s="5">
        <v>2.46</v>
      </c>
      <c r="M3681" s="10"/>
      <c r="N3681" s="1" t="str">
        <f t="shared" si="5"/>
        <v>Guest</v>
      </c>
      <c r="O3681" s="1" t="s">
        <v>19</v>
      </c>
      <c r="P3681" s="9" t="str">
        <f t="shared" si="6"/>
        <v>UK</v>
      </c>
      <c r="Q3681" s="8">
        <f t="shared" si="7"/>
        <v>2.46</v>
      </c>
    </row>
    <row r="3682">
      <c r="A3682" s="1">
        <v>581492.0</v>
      </c>
      <c r="B3682" s="1" t="str">
        <f t="shared" si="1"/>
        <v>581492</v>
      </c>
      <c r="C3682" s="1" t="str">
        <f t="shared" si="2"/>
        <v>Sale</v>
      </c>
      <c r="D3682" s="1">
        <v>21000.0</v>
      </c>
      <c r="E3682" s="1" t="str">
        <f>IFERROR(__xludf.DUMMYFUNCTION("IF(LEN(D3682)&gt;4, IFERROR(REGEXEXTRACT(TO_TEXT(D3682),""\d+""),""""),"""")"),"21000")</f>
        <v>21000</v>
      </c>
      <c r="F3682" s="6" t="str">
        <f t="shared" si="3"/>
        <v>Product</v>
      </c>
      <c r="G3682" s="1" t="s">
        <v>1740</v>
      </c>
      <c r="H3682" s="6" t="str">
        <f>IFERROR(__xludf.DUMMYFUNCTION("IF(REGEXMATCH(LOWER(G3682), ""^(\?)+\s*(missing)?\s*(\?)*$""), """", PROPER(SUBSTITUTE(SUBSTITUTE(G3682, ""?"", """"), ""*"", """")))"),"Rose Du Sud Cosmetics Bag")</f>
        <v>Rose Du Sud Cosmetics Bag</v>
      </c>
      <c r="I3682" s="3">
        <v>1.0</v>
      </c>
      <c r="J3682" s="7">
        <v>40886.41875</v>
      </c>
      <c r="K3682" s="8" t="str">
        <f t="shared" si="4"/>
        <v>2011-12</v>
      </c>
      <c r="L3682" s="5">
        <v>3.29</v>
      </c>
      <c r="M3682" s="10"/>
      <c r="N3682" s="1" t="str">
        <f t="shared" si="5"/>
        <v>Guest</v>
      </c>
      <c r="O3682" s="1" t="s">
        <v>19</v>
      </c>
      <c r="P3682" s="9" t="str">
        <f t="shared" si="6"/>
        <v>UK</v>
      </c>
      <c r="Q3682" s="8">
        <f t="shared" si="7"/>
        <v>3.29</v>
      </c>
    </row>
    <row r="3683">
      <c r="A3683" s="1">
        <v>581492.0</v>
      </c>
      <c r="B3683" s="1" t="str">
        <f t="shared" si="1"/>
        <v>581492</v>
      </c>
      <c r="C3683" s="1" t="str">
        <f t="shared" si="2"/>
        <v>Sale</v>
      </c>
      <c r="D3683" s="1">
        <v>21012.0</v>
      </c>
      <c r="E3683" s="1" t="str">
        <f>IFERROR(__xludf.DUMMYFUNCTION("IF(LEN(D3683)&gt;4, IFERROR(REGEXEXTRACT(TO_TEXT(D3683),""\d+""),""""),"""")"),"21012")</f>
        <v>21012</v>
      </c>
      <c r="F3683" s="6" t="str">
        <f t="shared" si="3"/>
        <v>Product</v>
      </c>
      <c r="G3683" s="1" t="s">
        <v>1741</v>
      </c>
      <c r="H3683" s="6" t="str">
        <f>IFERROR(__xludf.DUMMYFUNCTION("IF(REGEXMATCH(LOWER(G3683), ""^(\?)+\s*(missing)?\s*(\?)*$""), """", PROPER(SUBSTITUTE(SUBSTITUTE(G3683, ""?"", """"), ""*"", """")))"),"Antique All Glass Candlestick")</f>
        <v>Antique All Glass Candlestick</v>
      </c>
      <c r="I3683" s="3">
        <v>3.0</v>
      </c>
      <c r="J3683" s="7">
        <v>40886.41875</v>
      </c>
      <c r="K3683" s="8" t="str">
        <f t="shared" si="4"/>
        <v>2011-12</v>
      </c>
      <c r="L3683" s="5">
        <v>2.46</v>
      </c>
      <c r="M3683" s="10"/>
      <c r="N3683" s="1" t="str">
        <f t="shared" si="5"/>
        <v>Guest</v>
      </c>
      <c r="O3683" s="1" t="s">
        <v>19</v>
      </c>
      <c r="P3683" s="9" t="str">
        <f t="shared" si="6"/>
        <v>UK</v>
      </c>
      <c r="Q3683" s="8">
        <f t="shared" si="7"/>
        <v>7.38</v>
      </c>
    </row>
    <row r="3684">
      <c r="A3684" s="1">
        <v>581492.0</v>
      </c>
      <c r="B3684" s="1" t="str">
        <f t="shared" si="1"/>
        <v>581492</v>
      </c>
      <c r="C3684" s="1" t="str">
        <f t="shared" si="2"/>
        <v>Sale</v>
      </c>
      <c r="D3684" s="1">
        <v>21015.0</v>
      </c>
      <c r="E3684" s="1" t="str">
        <f>IFERROR(__xludf.DUMMYFUNCTION("IF(LEN(D3684)&gt;4, IFERROR(REGEXEXTRACT(TO_TEXT(D3684),""\d+""),""""),"""")"),"21015")</f>
        <v>21015</v>
      </c>
      <c r="F3684" s="6" t="str">
        <f t="shared" si="3"/>
        <v>Product</v>
      </c>
      <c r="G3684" s="1" t="s">
        <v>1742</v>
      </c>
      <c r="H3684" s="6" t="str">
        <f>IFERROR(__xludf.DUMMYFUNCTION("IF(REGEXMATCH(LOWER(G3684), ""^(\?)+\s*(missing)?\s*(\?)*$""), """", PROPER(SUBSTITUTE(SUBSTITUTE(G3684, ""?"", """"), ""*"", """")))"),"Dark Bird House Tree Decoration")</f>
        <v>Dark Bird House Tree Decoration</v>
      </c>
      <c r="I3684" s="3">
        <v>8.0</v>
      </c>
      <c r="J3684" s="7">
        <v>40886.41875</v>
      </c>
      <c r="K3684" s="8" t="str">
        <f t="shared" si="4"/>
        <v>2011-12</v>
      </c>
      <c r="L3684" s="5">
        <v>0.83</v>
      </c>
      <c r="M3684" s="10"/>
      <c r="N3684" s="1" t="str">
        <f t="shared" si="5"/>
        <v>Guest</v>
      </c>
      <c r="O3684" s="1" t="s">
        <v>19</v>
      </c>
      <c r="P3684" s="9" t="str">
        <f t="shared" si="6"/>
        <v>UK</v>
      </c>
      <c r="Q3684" s="8">
        <f t="shared" si="7"/>
        <v>6.64</v>
      </c>
    </row>
    <row r="3685">
      <c r="A3685" s="1">
        <v>581492.0</v>
      </c>
      <c r="B3685" s="1" t="str">
        <f t="shared" si="1"/>
        <v>581492</v>
      </c>
      <c r="C3685" s="1" t="str">
        <f t="shared" si="2"/>
        <v>Sale</v>
      </c>
      <c r="D3685" s="1">
        <v>21026.0</v>
      </c>
      <c r="E3685" s="1" t="str">
        <f>IFERROR(__xludf.DUMMYFUNCTION("IF(LEN(D3685)&gt;4, IFERROR(REGEXEXTRACT(TO_TEXT(D3685),""\d+""),""""),"""")"),"21026")</f>
        <v>21026</v>
      </c>
      <c r="F3685" s="6" t="str">
        <f t="shared" si="3"/>
        <v>Product</v>
      </c>
      <c r="G3685" s="1" t="s">
        <v>1743</v>
      </c>
      <c r="H3685" s="6" t="str">
        <f>IFERROR(__xludf.DUMMYFUNCTION("IF(REGEXMATCH(LOWER(G3685), ""^(\?)+\s*(missing)?\s*(\?)*$""), """", PROPER(SUBSTITUTE(SUBSTITUTE(G3685, ""?"", """"), ""*"", """")))"),"Space Owl")</f>
        <v>Space Owl</v>
      </c>
      <c r="I3685" s="3">
        <v>1.0</v>
      </c>
      <c r="J3685" s="7">
        <v>40886.41875</v>
      </c>
      <c r="K3685" s="8" t="str">
        <f t="shared" si="4"/>
        <v>2011-12</v>
      </c>
      <c r="L3685" s="5">
        <v>2.46</v>
      </c>
      <c r="M3685" s="10"/>
      <c r="N3685" s="1" t="str">
        <f t="shared" si="5"/>
        <v>Guest</v>
      </c>
      <c r="O3685" s="1" t="s">
        <v>19</v>
      </c>
      <c r="P3685" s="9" t="str">
        <f t="shared" si="6"/>
        <v>UK</v>
      </c>
      <c r="Q3685" s="8">
        <f t="shared" si="7"/>
        <v>2.46</v>
      </c>
    </row>
    <row r="3686">
      <c r="A3686" s="1">
        <v>581492.0</v>
      </c>
      <c r="B3686" s="1" t="str">
        <f t="shared" si="1"/>
        <v>581492</v>
      </c>
      <c r="C3686" s="1" t="str">
        <f t="shared" si="2"/>
        <v>Sale</v>
      </c>
      <c r="D3686" s="1">
        <v>21035.0</v>
      </c>
      <c r="E3686" s="1" t="str">
        <f>IFERROR(__xludf.DUMMYFUNCTION("IF(LEN(D3686)&gt;4, IFERROR(REGEXEXTRACT(TO_TEXT(D3686),""\d+""),""""),"""")"),"21035")</f>
        <v>21035</v>
      </c>
      <c r="F3686" s="6" t="str">
        <f t="shared" si="3"/>
        <v>Product</v>
      </c>
      <c r="G3686" s="1" t="s">
        <v>56</v>
      </c>
      <c r="H3686" s="6" t="str">
        <f>IFERROR(__xludf.DUMMYFUNCTION("IF(REGEXMATCH(LOWER(G3686), ""^(\?)+\s*(missing)?\s*(\?)*$""), """", PROPER(SUBSTITUTE(SUBSTITUTE(G3686, ""?"", """"), ""*"", """")))"),"Set/2 Red Retrospot Tea Towels")</f>
        <v>Set/2 Red Retrospot Tea Towels</v>
      </c>
      <c r="I3686" s="3">
        <v>1.0</v>
      </c>
      <c r="J3686" s="7">
        <v>40886.41875</v>
      </c>
      <c r="K3686" s="8" t="str">
        <f t="shared" si="4"/>
        <v>2011-12</v>
      </c>
      <c r="L3686" s="5">
        <v>6.63</v>
      </c>
      <c r="M3686" s="10"/>
      <c r="N3686" s="1" t="str">
        <f t="shared" si="5"/>
        <v>Guest</v>
      </c>
      <c r="O3686" s="1" t="s">
        <v>19</v>
      </c>
      <c r="P3686" s="9" t="str">
        <f t="shared" si="6"/>
        <v>UK</v>
      </c>
      <c r="Q3686" s="8">
        <f t="shared" si="7"/>
        <v>6.63</v>
      </c>
    </row>
    <row r="3687">
      <c r="A3687" s="1">
        <v>581492.0</v>
      </c>
      <c r="B3687" s="1" t="str">
        <f t="shared" si="1"/>
        <v>581492</v>
      </c>
      <c r="C3687" s="1" t="str">
        <f t="shared" si="2"/>
        <v>Sale</v>
      </c>
      <c r="D3687" s="1">
        <v>21064.0</v>
      </c>
      <c r="E3687" s="1" t="str">
        <f>IFERROR(__xludf.DUMMYFUNCTION("IF(LEN(D3687)&gt;4, IFERROR(REGEXEXTRACT(TO_TEXT(D3687),""\d+""),""""),"""")"),"21064")</f>
        <v>21064</v>
      </c>
      <c r="F3687" s="6" t="str">
        <f t="shared" si="3"/>
        <v>Product</v>
      </c>
      <c r="G3687" s="1" t="s">
        <v>1744</v>
      </c>
      <c r="H3687" s="6" t="str">
        <f>IFERROR(__xludf.DUMMYFUNCTION("IF(REGEXMATCH(LOWER(G3687), ""^(\?)+\s*(missing)?\s*(\?)*$""), """", PROPER(SUBSTITUTE(SUBSTITUTE(G3687, ""?"", """"), ""*"", """")))"),"Boom Box Speaker Boys")</f>
        <v>Boom Box Speaker Boys</v>
      </c>
      <c r="I3687" s="3">
        <v>4.0</v>
      </c>
      <c r="J3687" s="7">
        <v>40886.41875</v>
      </c>
      <c r="K3687" s="8" t="str">
        <f t="shared" si="4"/>
        <v>2011-12</v>
      </c>
      <c r="L3687" s="5">
        <v>4.13</v>
      </c>
      <c r="M3687" s="10"/>
      <c r="N3687" s="1" t="str">
        <f t="shared" si="5"/>
        <v>Guest</v>
      </c>
      <c r="O3687" s="1" t="s">
        <v>19</v>
      </c>
      <c r="P3687" s="9" t="str">
        <f t="shared" si="6"/>
        <v>UK</v>
      </c>
      <c r="Q3687" s="8">
        <f t="shared" si="7"/>
        <v>16.52</v>
      </c>
    </row>
    <row r="3688">
      <c r="A3688" s="1">
        <v>581492.0</v>
      </c>
      <c r="B3688" s="1" t="str">
        <f t="shared" si="1"/>
        <v>581492</v>
      </c>
      <c r="C3688" s="1" t="str">
        <f t="shared" si="2"/>
        <v>Sale</v>
      </c>
      <c r="D3688" s="1">
        <v>21065.0</v>
      </c>
      <c r="E3688" s="1" t="str">
        <f>IFERROR(__xludf.DUMMYFUNCTION("IF(LEN(D3688)&gt;4, IFERROR(REGEXEXTRACT(TO_TEXT(D3688),""\d+""),""""),"""")"),"21065")</f>
        <v>21065</v>
      </c>
      <c r="F3688" s="6" t="str">
        <f t="shared" si="3"/>
        <v>Product</v>
      </c>
      <c r="G3688" s="1" t="s">
        <v>421</v>
      </c>
      <c r="H3688" s="6" t="str">
        <f>IFERROR(__xludf.DUMMYFUNCTION("IF(REGEXMATCH(LOWER(G3688), ""^(\?)+\s*(missing)?\s*(\?)*$""), """", PROPER(SUBSTITUTE(SUBSTITUTE(G3688, ""?"", """"), ""*"", """")))"),"Boom Box Speaker Girls")</f>
        <v>Boom Box Speaker Girls</v>
      </c>
      <c r="I3688" s="3">
        <v>2.0</v>
      </c>
      <c r="J3688" s="7">
        <v>40886.41875</v>
      </c>
      <c r="K3688" s="8" t="str">
        <f t="shared" si="4"/>
        <v>2011-12</v>
      </c>
      <c r="L3688" s="5">
        <v>4.13</v>
      </c>
      <c r="M3688" s="10"/>
      <c r="N3688" s="1" t="str">
        <f t="shared" si="5"/>
        <v>Guest</v>
      </c>
      <c r="O3688" s="1" t="s">
        <v>19</v>
      </c>
      <c r="P3688" s="9" t="str">
        <f t="shared" si="6"/>
        <v>UK</v>
      </c>
      <c r="Q3688" s="8">
        <f t="shared" si="7"/>
        <v>8.26</v>
      </c>
    </row>
    <row r="3689">
      <c r="A3689" s="1">
        <v>581492.0</v>
      </c>
      <c r="B3689" s="1" t="str">
        <f t="shared" si="1"/>
        <v>581492</v>
      </c>
      <c r="C3689" s="1" t="str">
        <f t="shared" si="2"/>
        <v>Sale</v>
      </c>
      <c r="D3689" s="1">
        <v>21098.0</v>
      </c>
      <c r="E3689" s="1" t="str">
        <f>IFERROR(__xludf.DUMMYFUNCTION("IF(LEN(D3689)&gt;4, IFERROR(REGEXEXTRACT(TO_TEXT(D3689),""\d+""),""""),"""")"),"21098")</f>
        <v>21098</v>
      </c>
      <c r="F3689" s="6" t="str">
        <f t="shared" si="3"/>
        <v>Product</v>
      </c>
      <c r="G3689" s="1" t="s">
        <v>1745</v>
      </c>
      <c r="H3689" s="6" t="str">
        <f>IFERROR(__xludf.DUMMYFUNCTION("IF(REGEXMATCH(LOWER(G3689), ""^(\?)+\s*(missing)?\s*(\?)*$""), """", PROPER(SUBSTITUTE(SUBSTITUTE(G3689, ""?"", """"), ""*"", """")))"),"Christmas Toilet Roll")</f>
        <v>Christmas Toilet Roll</v>
      </c>
      <c r="I3689" s="3">
        <v>1.0</v>
      </c>
      <c r="J3689" s="7">
        <v>40886.41875</v>
      </c>
      <c r="K3689" s="8" t="str">
        <f t="shared" si="4"/>
        <v>2011-12</v>
      </c>
      <c r="L3689" s="5">
        <v>2.46</v>
      </c>
      <c r="M3689" s="10"/>
      <c r="N3689" s="1" t="str">
        <f t="shared" si="5"/>
        <v>Guest</v>
      </c>
      <c r="O3689" s="1" t="s">
        <v>19</v>
      </c>
      <c r="P3689" s="9" t="str">
        <f t="shared" si="6"/>
        <v>UK</v>
      </c>
      <c r="Q3689" s="8">
        <f t="shared" si="7"/>
        <v>2.46</v>
      </c>
    </row>
    <row r="3690">
      <c r="A3690" s="1">
        <v>581492.0</v>
      </c>
      <c r="B3690" s="1" t="str">
        <f t="shared" si="1"/>
        <v>581492</v>
      </c>
      <c r="C3690" s="1" t="str">
        <f t="shared" si="2"/>
        <v>Sale</v>
      </c>
      <c r="D3690" s="1">
        <v>21123.0</v>
      </c>
      <c r="E3690" s="1" t="str">
        <f>IFERROR(__xludf.DUMMYFUNCTION("IF(LEN(D3690)&gt;4, IFERROR(REGEXEXTRACT(TO_TEXT(D3690),""\d+""),""""),"""")"),"21123")</f>
        <v>21123</v>
      </c>
      <c r="F3690" s="6" t="str">
        <f t="shared" si="3"/>
        <v>Product</v>
      </c>
      <c r="G3690" s="1" t="s">
        <v>681</v>
      </c>
      <c r="H3690" s="6" t="str">
        <f>IFERROR(__xludf.DUMMYFUNCTION("IF(REGEXMATCH(LOWER(G3690), ""^(\?)+\s*(missing)?\s*(\?)*$""), """", PROPER(SUBSTITUTE(SUBSTITUTE(G3690, ""?"", """"), ""*"", """")))"),"Set/10 Ivory Polkadot Party Candles")</f>
        <v>Set/10 Ivory Polkadot Party Candles</v>
      </c>
      <c r="I3690" s="3">
        <v>1.0</v>
      </c>
      <c r="J3690" s="7">
        <v>40886.41875</v>
      </c>
      <c r="K3690" s="8" t="str">
        <f t="shared" si="4"/>
        <v>2011-12</v>
      </c>
      <c r="L3690" s="5">
        <v>0.83</v>
      </c>
      <c r="M3690" s="10"/>
      <c r="N3690" s="1" t="str">
        <f t="shared" si="5"/>
        <v>Guest</v>
      </c>
      <c r="O3690" s="1" t="s">
        <v>19</v>
      </c>
      <c r="P3690" s="9" t="str">
        <f t="shared" si="6"/>
        <v>UK</v>
      </c>
      <c r="Q3690" s="8">
        <f t="shared" si="7"/>
        <v>0.83</v>
      </c>
    </row>
    <row r="3691">
      <c r="A3691" s="1">
        <v>581492.0</v>
      </c>
      <c r="B3691" s="1" t="str">
        <f t="shared" si="1"/>
        <v>581492</v>
      </c>
      <c r="C3691" s="1" t="str">
        <f t="shared" si="2"/>
        <v>Sale</v>
      </c>
      <c r="D3691" s="1">
        <v>21125.0</v>
      </c>
      <c r="E3691" s="1" t="str">
        <f>IFERROR(__xludf.DUMMYFUNCTION("IF(LEN(D3691)&gt;4, IFERROR(REGEXEXTRACT(TO_TEXT(D3691),""\d+""),""""),"""")"),"21125")</f>
        <v>21125</v>
      </c>
      <c r="F3691" s="6" t="str">
        <f t="shared" si="3"/>
        <v>Product</v>
      </c>
      <c r="G3691" s="1" t="s">
        <v>338</v>
      </c>
      <c r="H3691" s="6" t="str">
        <f>IFERROR(__xludf.DUMMYFUNCTION("IF(REGEXMATCH(LOWER(G3691), ""^(\?)+\s*(missing)?\s*(\?)*$""), """", PROPER(SUBSTITUTE(SUBSTITUTE(G3691, ""?"", """"), ""*"", """")))"),"Set 6 Football Celebration Candles")</f>
        <v>Set 6 Football Celebration Candles</v>
      </c>
      <c r="I3691" s="3">
        <v>1.0</v>
      </c>
      <c r="J3691" s="7">
        <v>40886.41875</v>
      </c>
      <c r="K3691" s="8" t="str">
        <f t="shared" si="4"/>
        <v>2011-12</v>
      </c>
      <c r="L3691" s="5">
        <v>1.25</v>
      </c>
      <c r="M3691" s="10"/>
      <c r="N3691" s="1" t="str">
        <f t="shared" si="5"/>
        <v>Guest</v>
      </c>
      <c r="O3691" s="1" t="s">
        <v>19</v>
      </c>
      <c r="P3691" s="9" t="str">
        <f t="shared" si="6"/>
        <v>UK</v>
      </c>
      <c r="Q3691" s="8">
        <f t="shared" si="7"/>
        <v>1.25</v>
      </c>
    </row>
    <row r="3692">
      <c r="A3692" s="1">
        <v>581492.0</v>
      </c>
      <c r="B3692" s="1" t="str">
        <f t="shared" si="1"/>
        <v>581492</v>
      </c>
      <c r="C3692" s="1" t="str">
        <f t="shared" si="2"/>
        <v>Sale</v>
      </c>
      <c r="D3692" s="1">
        <v>21126.0</v>
      </c>
      <c r="E3692" s="1" t="str">
        <f>IFERROR(__xludf.DUMMYFUNCTION("IF(LEN(D3692)&gt;4, IFERROR(REGEXEXTRACT(TO_TEXT(D3692),""\d+""),""""),"""")"),"21126")</f>
        <v>21126</v>
      </c>
      <c r="F3692" s="6" t="str">
        <f t="shared" si="3"/>
        <v>Product</v>
      </c>
      <c r="G3692" s="1" t="s">
        <v>339</v>
      </c>
      <c r="H3692" s="6" t="str">
        <f>IFERROR(__xludf.DUMMYFUNCTION("IF(REGEXMATCH(LOWER(G3692), ""^(\?)+\s*(missing)?\s*(\?)*$""), """", PROPER(SUBSTITUTE(SUBSTITUTE(G3692, ""?"", """"), ""*"", """")))"),"Set Of 6 Girls Celebration Candles")</f>
        <v>Set Of 6 Girls Celebration Candles</v>
      </c>
      <c r="I3692" s="3">
        <v>1.0</v>
      </c>
      <c r="J3692" s="7">
        <v>40886.41875</v>
      </c>
      <c r="K3692" s="8" t="str">
        <f t="shared" si="4"/>
        <v>2011-12</v>
      </c>
      <c r="L3692" s="5">
        <v>1.25</v>
      </c>
      <c r="M3692" s="10"/>
      <c r="N3692" s="1" t="str">
        <f t="shared" si="5"/>
        <v>Guest</v>
      </c>
      <c r="O3692" s="1" t="s">
        <v>19</v>
      </c>
      <c r="P3692" s="9" t="str">
        <f t="shared" si="6"/>
        <v>UK</v>
      </c>
      <c r="Q3692" s="8">
        <f t="shared" si="7"/>
        <v>1.25</v>
      </c>
    </row>
    <row r="3693">
      <c r="A3693" s="1">
        <v>581492.0</v>
      </c>
      <c r="B3693" s="1" t="str">
        <f t="shared" si="1"/>
        <v>581492</v>
      </c>
      <c r="C3693" s="1" t="str">
        <f t="shared" si="2"/>
        <v>Sale</v>
      </c>
      <c r="D3693" s="1">
        <v>21137.0</v>
      </c>
      <c r="E3693" s="1" t="str">
        <f>IFERROR(__xludf.DUMMYFUNCTION("IF(LEN(D3693)&gt;4, IFERROR(REGEXEXTRACT(TO_TEXT(D3693),""\d+""),""""),"""")"),"21137")</f>
        <v>21137</v>
      </c>
      <c r="F3693" s="6" t="str">
        <f t="shared" si="3"/>
        <v>Product</v>
      </c>
      <c r="G3693" s="1" t="s">
        <v>803</v>
      </c>
      <c r="H3693" s="6" t="str">
        <f>IFERROR(__xludf.DUMMYFUNCTION("IF(REGEXMATCH(LOWER(G3693), ""^(\?)+\s*(missing)?\s*(\?)*$""), """", PROPER(SUBSTITUTE(SUBSTITUTE(G3693, ""?"", """"), ""*"", """")))"),"Black Record Cover Frame")</f>
        <v>Black Record Cover Frame</v>
      </c>
      <c r="I3693" s="3">
        <v>17.0</v>
      </c>
      <c r="J3693" s="7">
        <v>40886.41875</v>
      </c>
      <c r="K3693" s="8" t="str">
        <f t="shared" si="4"/>
        <v>2011-12</v>
      </c>
      <c r="L3693" s="5">
        <v>4.13</v>
      </c>
      <c r="M3693" s="10"/>
      <c r="N3693" s="1" t="str">
        <f t="shared" si="5"/>
        <v>Guest</v>
      </c>
      <c r="O3693" s="1" t="s">
        <v>19</v>
      </c>
      <c r="P3693" s="9" t="str">
        <f t="shared" si="6"/>
        <v>UK</v>
      </c>
      <c r="Q3693" s="8">
        <f t="shared" si="7"/>
        <v>70.21</v>
      </c>
    </row>
    <row r="3694">
      <c r="A3694" s="1">
        <v>581492.0</v>
      </c>
      <c r="B3694" s="1" t="str">
        <f t="shared" si="1"/>
        <v>581492</v>
      </c>
      <c r="C3694" s="1" t="str">
        <f t="shared" si="2"/>
        <v>Sale</v>
      </c>
      <c r="D3694" s="1">
        <v>21154.0</v>
      </c>
      <c r="E3694" s="1" t="str">
        <f>IFERROR(__xludf.DUMMYFUNCTION("IF(LEN(D3694)&gt;4, IFERROR(REGEXEXTRACT(TO_TEXT(D3694),""\d+""),""""),"""")"),"21154")</f>
        <v>21154</v>
      </c>
      <c r="F3694" s="6" t="str">
        <f t="shared" si="3"/>
        <v>Product</v>
      </c>
      <c r="G3694" s="1" t="s">
        <v>527</v>
      </c>
      <c r="H3694" s="6" t="str">
        <f>IFERROR(__xludf.DUMMYFUNCTION("IF(REGEXMATCH(LOWER(G3694), ""^(\?)+\s*(missing)?\s*(\?)*$""), """", PROPER(SUBSTITUTE(SUBSTITUTE(G3694, ""?"", """"), ""*"", """")))"),"Red Retrospot Oven Glove")</f>
        <v>Red Retrospot Oven Glove</v>
      </c>
      <c r="I3694" s="3">
        <v>2.0</v>
      </c>
      <c r="J3694" s="7">
        <v>40886.41875</v>
      </c>
      <c r="K3694" s="8" t="str">
        <f t="shared" si="4"/>
        <v>2011-12</v>
      </c>
      <c r="L3694" s="5">
        <v>2.46</v>
      </c>
      <c r="M3694" s="10"/>
      <c r="N3694" s="1" t="str">
        <f t="shared" si="5"/>
        <v>Guest</v>
      </c>
      <c r="O3694" s="1" t="s">
        <v>19</v>
      </c>
      <c r="P3694" s="9" t="str">
        <f t="shared" si="6"/>
        <v>UK</v>
      </c>
      <c r="Q3694" s="8">
        <f t="shared" si="7"/>
        <v>4.92</v>
      </c>
    </row>
    <row r="3695">
      <c r="A3695" s="1">
        <v>581492.0</v>
      </c>
      <c r="B3695" s="1" t="str">
        <f t="shared" si="1"/>
        <v>581492</v>
      </c>
      <c r="C3695" s="1" t="str">
        <f t="shared" si="2"/>
        <v>Sale</v>
      </c>
      <c r="D3695" s="1">
        <v>21158.0</v>
      </c>
      <c r="E3695" s="1" t="str">
        <f>IFERROR(__xludf.DUMMYFUNCTION("IF(LEN(D3695)&gt;4, IFERROR(REGEXEXTRACT(TO_TEXT(D3695),""\d+""),""""),"""")"),"21158")</f>
        <v>21158</v>
      </c>
      <c r="F3695" s="6" t="str">
        <f t="shared" si="3"/>
        <v>Product</v>
      </c>
      <c r="G3695" s="1" t="s">
        <v>1526</v>
      </c>
      <c r="H3695" s="6" t="str">
        <f>IFERROR(__xludf.DUMMYFUNCTION("IF(REGEXMATCH(LOWER(G3695), ""^(\?)+\s*(missing)?\s*(\?)*$""), """", PROPER(SUBSTITUTE(SUBSTITUTE(G3695, ""?"", """"), ""*"", """")))"),"Moody Girl Door Hanger")</f>
        <v>Moody Girl Door Hanger</v>
      </c>
      <c r="I3695" s="3">
        <v>1.0</v>
      </c>
      <c r="J3695" s="7">
        <v>40886.41875</v>
      </c>
      <c r="K3695" s="8" t="str">
        <f t="shared" si="4"/>
        <v>2011-12</v>
      </c>
      <c r="L3695" s="5">
        <v>3.29</v>
      </c>
      <c r="M3695" s="10"/>
      <c r="N3695" s="1" t="str">
        <f t="shared" si="5"/>
        <v>Guest</v>
      </c>
      <c r="O3695" s="1" t="s">
        <v>19</v>
      </c>
      <c r="P3695" s="9" t="str">
        <f t="shared" si="6"/>
        <v>UK</v>
      </c>
      <c r="Q3695" s="8">
        <f t="shared" si="7"/>
        <v>3.29</v>
      </c>
    </row>
    <row r="3696">
      <c r="A3696" s="1">
        <v>581492.0</v>
      </c>
      <c r="B3696" s="1" t="str">
        <f t="shared" si="1"/>
        <v>581492</v>
      </c>
      <c r="C3696" s="1" t="str">
        <f t="shared" si="2"/>
        <v>Sale</v>
      </c>
      <c r="D3696" s="1">
        <v>21162.0</v>
      </c>
      <c r="E3696" s="1" t="str">
        <f>IFERROR(__xludf.DUMMYFUNCTION("IF(LEN(D3696)&gt;4, IFERROR(REGEXEXTRACT(TO_TEXT(D3696),""\d+""),""""),"""")"),"21162")</f>
        <v>21162</v>
      </c>
      <c r="F3696" s="6" t="str">
        <f t="shared" si="3"/>
        <v>Product</v>
      </c>
      <c r="G3696" s="1" t="s">
        <v>1602</v>
      </c>
      <c r="H3696" s="6" t="str">
        <f>IFERROR(__xludf.DUMMYFUNCTION("IF(REGEXMATCH(LOWER(G3696), ""^(\?)+\s*(missing)?\s*(\?)*$""), """", PROPER(SUBSTITUTE(SUBSTITUTE(G3696, ""?"", """"), ""*"", """")))"),"Toxic Area Door Hanger")</f>
        <v>Toxic Area Door Hanger</v>
      </c>
      <c r="I3696" s="3">
        <v>1.0</v>
      </c>
      <c r="J3696" s="7">
        <v>40886.41875</v>
      </c>
      <c r="K3696" s="8" t="str">
        <f t="shared" si="4"/>
        <v>2011-12</v>
      </c>
      <c r="L3696" s="5">
        <v>3.29</v>
      </c>
      <c r="M3696" s="10"/>
      <c r="N3696" s="1" t="str">
        <f t="shared" si="5"/>
        <v>Guest</v>
      </c>
      <c r="O3696" s="1" t="s">
        <v>19</v>
      </c>
      <c r="P3696" s="9" t="str">
        <f t="shared" si="6"/>
        <v>UK</v>
      </c>
      <c r="Q3696" s="8">
        <f t="shared" si="7"/>
        <v>3.29</v>
      </c>
    </row>
    <row r="3697">
      <c r="A3697" s="1">
        <v>581492.0</v>
      </c>
      <c r="B3697" s="1" t="str">
        <f t="shared" si="1"/>
        <v>581492</v>
      </c>
      <c r="C3697" s="1" t="str">
        <f t="shared" si="2"/>
        <v>Sale</v>
      </c>
      <c r="D3697" s="1">
        <v>21166.0</v>
      </c>
      <c r="E3697" s="1" t="str">
        <f>IFERROR(__xludf.DUMMYFUNCTION("IF(LEN(D3697)&gt;4, IFERROR(REGEXEXTRACT(TO_TEXT(D3697),""\d+""),""""),"""")"),"21166")</f>
        <v>21166</v>
      </c>
      <c r="F3697" s="6" t="str">
        <f t="shared" si="3"/>
        <v>Product</v>
      </c>
      <c r="G3697" s="1" t="s">
        <v>122</v>
      </c>
      <c r="H3697" s="6" t="str">
        <f>IFERROR(__xludf.DUMMYFUNCTION("IF(REGEXMATCH(LOWER(G3697), ""^(\?)+\s*(missing)?\s*(\?)*$""), """", PROPER(SUBSTITUTE(SUBSTITUTE(G3697, ""?"", """"), ""*"", """")))"),"Cook With Wine Metal Sign")</f>
        <v>Cook With Wine Metal Sign</v>
      </c>
      <c r="I3697" s="3">
        <v>2.0</v>
      </c>
      <c r="J3697" s="7">
        <v>40886.41875</v>
      </c>
      <c r="K3697" s="8" t="str">
        <f t="shared" si="4"/>
        <v>2011-12</v>
      </c>
      <c r="L3697" s="5">
        <v>4.13</v>
      </c>
      <c r="M3697" s="10"/>
      <c r="N3697" s="1" t="str">
        <f t="shared" si="5"/>
        <v>Guest</v>
      </c>
      <c r="O3697" s="1" t="s">
        <v>19</v>
      </c>
      <c r="P3697" s="9" t="str">
        <f t="shared" si="6"/>
        <v>UK</v>
      </c>
      <c r="Q3697" s="8">
        <f t="shared" si="7"/>
        <v>8.26</v>
      </c>
    </row>
    <row r="3698">
      <c r="A3698" s="1">
        <v>581492.0</v>
      </c>
      <c r="B3698" s="1" t="str">
        <f t="shared" si="1"/>
        <v>581492</v>
      </c>
      <c r="C3698" s="1" t="str">
        <f t="shared" si="2"/>
        <v>Sale</v>
      </c>
      <c r="D3698" s="1">
        <v>21172.0</v>
      </c>
      <c r="E3698" s="1" t="str">
        <f>IFERROR(__xludf.DUMMYFUNCTION("IF(LEN(D3698)&gt;4, IFERROR(REGEXEXTRACT(TO_TEXT(D3698),""\d+""),""""),"""")"),"21172")</f>
        <v>21172</v>
      </c>
      <c r="F3698" s="6" t="str">
        <f t="shared" si="3"/>
        <v>Product</v>
      </c>
      <c r="G3698" s="1" t="s">
        <v>1746</v>
      </c>
      <c r="H3698" s="6" t="str">
        <f>IFERROR(__xludf.DUMMYFUNCTION("IF(REGEXMATCH(LOWER(G3698), ""^(\?)+\s*(missing)?\s*(\?)*$""), """", PROPER(SUBSTITUTE(SUBSTITUTE(G3698, ""?"", """"), ""*"", """")))"),"Party Metal Sign")</f>
        <v>Party Metal Sign</v>
      </c>
      <c r="I3698" s="3">
        <v>1.0</v>
      </c>
      <c r="J3698" s="7">
        <v>40886.41875</v>
      </c>
      <c r="K3698" s="8" t="str">
        <f t="shared" si="4"/>
        <v>2011-12</v>
      </c>
      <c r="L3698" s="5">
        <v>4.13</v>
      </c>
      <c r="M3698" s="10"/>
      <c r="N3698" s="1" t="str">
        <f t="shared" si="5"/>
        <v>Guest</v>
      </c>
      <c r="O3698" s="1" t="s">
        <v>19</v>
      </c>
      <c r="P3698" s="9" t="str">
        <f t="shared" si="6"/>
        <v>UK</v>
      </c>
      <c r="Q3698" s="8">
        <f t="shared" si="7"/>
        <v>4.13</v>
      </c>
    </row>
    <row r="3699">
      <c r="A3699" s="1">
        <v>581492.0</v>
      </c>
      <c r="B3699" s="1" t="str">
        <f t="shared" si="1"/>
        <v>581492</v>
      </c>
      <c r="C3699" s="1" t="str">
        <f t="shared" si="2"/>
        <v>Sale</v>
      </c>
      <c r="D3699" s="1">
        <v>21174.0</v>
      </c>
      <c r="E3699" s="1" t="str">
        <f>IFERROR(__xludf.DUMMYFUNCTION("IF(LEN(D3699)&gt;4, IFERROR(REGEXEXTRACT(TO_TEXT(D3699),""\d+""),""""),"""")"),"21174")</f>
        <v>21174</v>
      </c>
      <c r="F3699" s="6" t="str">
        <f t="shared" si="3"/>
        <v>Product</v>
      </c>
      <c r="G3699" s="1" t="s">
        <v>1392</v>
      </c>
      <c r="H3699" s="6" t="str">
        <f>IFERROR(__xludf.DUMMYFUNCTION("IF(REGEXMATCH(LOWER(G3699), ""^(\?)+\s*(missing)?\s*(\?)*$""), """", PROPER(SUBSTITUTE(SUBSTITUTE(G3699, ""?"", """"), ""*"", """")))"),"Pottering In The Shed Metal Sign")</f>
        <v>Pottering In The Shed Metal Sign</v>
      </c>
      <c r="I3699" s="3">
        <v>2.0</v>
      </c>
      <c r="J3699" s="7">
        <v>40886.41875</v>
      </c>
      <c r="K3699" s="8" t="str">
        <f t="shared" si="4"/>
        <v>2011-12</v>
      </c>
      <c r="L3699" s="5">
        <v>4.13</v>
      </c>
      <c r="M3699" s="10"/>
      <c r="N3699" s="1" t="str">
        <f t="shared" si="5"/>
        <v>Guest</v>
      </c>
      <c r="O3699" s="1" t="s">
        <v>19</v>
      </c>
      <c r="P3699" s="9" t="str">
        <f t="shared" si="6"/>
        <v>UK</v>
      </c>
      <c r="Q3699" s="8">
        <f t="shared" si="7"/>
        <v>8.26</v>
      </c>
    </row>
    <row r="3700">
      <c r="A3700" s="1">
        <v>581492.0</v>
      </c>
      <c r="B3700" s="1" t="str">
        <f t="shared" si="1"/>
        <v>581492</v>
      </c>
      <c r="C3700" s="1" t="str">
        <f t="shared" si="2"/>
        <v>Sale</v>
      </c>
      <c r="D3700" s="1">
        <v>21175.0</v>
      </c>
      <c r="E3700" s="1" t="str">
        <f>IFERROR(__xludf.DUMMYFUNCTION("IF(LEN(D3700)&gt;4, IFERROR(REGEXEXTRACT(TO_TEXT(D3700),""\d+""),""""),"""")"),"21175")</f>
        <v>21175</v>
      </c>
      <c r="F3700" s="6" t="str">
        <f t="shared" si="3"/>
        <v>Product</v>
      </c>
      <c r="G3700" s="1" t="s">
        <v>1434</v>
      </c>
      <c r="H3700" s="6" t="str">
        <f>IFERROR(__xludf.DUMMYFUNCTION("IF(REGEXMATCH(LOWER(G3700), ""^(\?)+\s*(missing)?\s*(\?)*$""), """", PROPER(SUBSTITUTE(SUBSTITUTE(G3700, ""?"", """"), ""*"", """")))"),"Gin And Tonic Diet Metal Sign")</f>
        <v>Gin And Tonic Diet Metal Sign</v>
      </c>
      <c r="I3700" s="3">
        <v>2.0</v>
      </c>
      <c r="J3700" s="7">
        <v>40886.41875</v>
      </c>
      <c r="K3700" s="8" t="str">
        <f t="shared" si="4"/>
        <v>2011-12</v>
      </c>
      <c r="L3700" s="5">
        <v>4.96</v>
      </c>
      <c r="M3700" s="10"/>
      <c r="N3700" s="1" t="str">
        <f t="shared" si="5"/>
        <v>Guest</v>
      </c>
      <c r="O3700" s="1" t="s">
        <v>19</v>
      </c>
      <c r="P3700" s="9" t="str">
        <f t="shared" si="6"/>
        <v>UK</v>
      </c>
      <c r="Q3700" s="8">
        <f t="shared" si="7"/>
        <v>9.92</v>
      </c>
    </row>
    <row r="3701">
      <c r="A3701" s="1">
        <v>581492.0</v>
      </c>
      <c r="B3701" s="1" t="str">
        <f t="shared" si="1"/>
        <v>581492</v>
      </c>
      <c r="C3701" s="1" t="str">
        <f t="shared" si="2"/>
        <v>Sale</v>
      </c>
      <c r="D3701" s="1">
        <v>21200.0</v>
      </c>
      <c r="E3701" s="1" t="str">
        <f>IFERROR(__xludf.DUMMYFUNCTION("IF(LEN(D3701)&gt;4, IFERROR(REGEXEXTRACT(TO_TEXT(D3701),""\d+""),""""),"""")"),"21200")</f>
        <v>21200</v>
      </c>
      <c r="F3701" s="6" t="str">
        <f t="shared" si="3"/>
        <v>Product</v>
      </c>
      <c r="G3701" s="1" t="s">
        <v>1747</v>
      </c>
      <c r="H3701" s="6" t="str">
        <f>IFERROR(__xludf.DUMMYFUNCTION("IF(REGEXMATCH(LOWER(G3701), ""^(\?)+\s*(missing)?\s*(\?)*$""), """", PROPER(SUBSTITUTE(SUBSTITUTE(G3701, ""?"", """"), ""*"", """")))"),"Multicolour Honeycomb Paper Garland")</f>
        <v>Multicolour Honeycomb Paper Garland</v>
      </c>
      <c r="I3701" s="3">
        <v>6.0</v>
      </c>
      <c r="J3701" s="7">
        <v>40886.41875</v>
      </c>
      <c r="K3701" s="8" t="str">
        <f t="shared" si="4"/>
        <v>2011-12</v>
      </c>
      <c r="L3701" s="5">
        <v>3.29</v>
      </c>
      <c r="M3701" s="10"/>
      <c r="N3701" s="1" t="str">
        <f t="shared" si="5"/>
        <v>Guest</v>
      </c>
      <c r="O3701" s="1" t="s">
        <v>19</v>
      </c>
      <c r="P3701" s="9" t="str">
        <f t="shared" si="6"/>
        <v>UK</v>
      </c>
      <c r="Q3701" s="8">
        <f t="shared" si="7"/>
        <v>19.74</v>
      </c>
    </row>
    <row r="3702">
      <c r="A3702" s="1">
        <v>581492.0</v>
      </c>
      <c r="B3702" s="1" t="str">
        <f t="shared" si="1"/>
        <v>581492</v>
      </c>
      <c r="C3702" s="1" t="str">
        <f t="shared" si="2"/>
        <v>Sale</v>
      </c>
      <c r="D3702" s="1">
        <v>21201.0</v>
      </c>
      <c r="E3702" s="1" t="str">
        <f>IFERROR(__xludf.DUMMYFUNCTION("IF(LEN(D3702)&gt;4, IFERROR(REGEXEXTRACT(TO_TEXT(D3702),""\d+""),""""),"""")"),"21201")</f>
        <v>21201</v>
      </c>
      <c r="F3702" s="6" t="str">
        <f t="shared" si="3"/>
        <v>Product</v>
      </c>
      <c r="G3702" s="1" t="s">
        <v>748</v>
      </c>
      <c r="H3702" s="6" t="str">
        <f>IFERROR(__xludf.DUMMYFUNCTION("IF(REGEXMATCH(LOWER(G3702), ""^(\?)+\s*(missing)?\s*(\?)*$""), """", PROPER(SUBSTITUTE(SUBSTITUTE(G3702, ""?"", """"), ""*"", """")))"),"Tropical Honeycomb Paper Garland")</f>
        <v>Tropical Honeycomb Paper Garland</v>
      </c>
      <c r="I3702" s="3">
        <v>4.0</v>
      </c>
      <c r="J3702" s="7">
        <v>40886.41875</v>
      </c>
      <c r="K3702" s="8" t="str">
        <f t="shared" si="4"/>
        <v>2011-12</v>
      </c>
      <c r="L3702" s="5">
        <v>4.96</v>
      </c>
      <c r="M3702" s="10"/>
      <c r="N3702" s="1" t="str">
        <f t="shared" si="5"/>
        <v>Guest</v>
      </c>
      <c r="O3702" s="1" t="s">
        <v>19</v>
      </c>
      <c r="P3702" s="9" t="str">
        <f t="shared" si="6"/>
        <v>UK</v>
      </c>
      <c r="Q3702" s="8">
        <f t="shared" si="7"/>
        <v>19.84</v>
      </c>
    </row>
    <row r="3703">
      <c r="A3703" s="1">
        <v>581492.0</v>
      </c>
      <c r="B3703" s="1" t="str">
        <f t="shared" si="1"/>
        <v>581492</v>
      </c>
      <c r="C3703" s="1" t="str">
        <f t="shared" si="2"/>
        <v>Sale</v>
      </c>
      <c r="D3703" s="1">
        <v>21212.0</v>
      </c>
      <c r="E3703" s="1" t="str">
        <f>IFERROR(__xludf.DUMMYFUNCTION("IF(LEN(D3703)&gt;4, IFERROR(REGEXEXTRACT(TO_TEXT(D3703),""\d+""),""""),"""")"),"21212")</f>
        <v>21212</v>
      </c>
      <c r="F3703" s="6" t="str">
        <f t="shared" si="3"/>
        <v>Product</v>
      </c>
      <c r="G3703" s="1" t="s">
        <v>97</v>
      </c>
      <c r="H3703" s="6" t="str">
        <f>IFERROR(__xludf.DUMMYFUNCTION("IF(REGEXMATCH(LOWER(G3703), ""^(\?)+\s*(missing)?\s*(\?)*$""), """", PROPER(SUBSTITUTE(SUBSTITUTE(G3703, ""?"", """"), ""*"", """")))"),"Pack Of 72 Retrospot Cake Cases")</f>
        <v>Pack Of 72 Retrospot Cake Cases</v>
      </c>
      <c r="I3703" s="3">
        <v>2.0</v>
      </c>
      <c r="J3703" s="7">
        <v>40886.41875</v>
      </c>
      <c r="K3703" s="8" t="str">
        <f t="shared" si="4"/>
        <v>2011-12</v>
      </c>
      <c r="L3703" s="5">
        <v>1.25</v>
      </c>
      <c r="M3703" s="10"/>
      <c r="N3703" s="1" t="str">
        <f t="shared" si="5"/>
        <v>Guest</v>
      </c>
      <c r="O3703" s="1" t="s">
        <v>19</v>
      </c>
      <c r="P3703" s="9" t="str">
        <f t="shared" si="6"/>
        <v>UK</v>
      </c>
      <c r="Q3703" s="8">
        <f t="shared" si="7"/>
        <v>2.5</v>
      </c>
    </row>
    <row r="3704">
      <c r="A3704" s="1">
        <v>581492.0</v>
      </c>
      <c r="B3704" s="1" t="str">
        <f t="shared" si="1"/>
        <v>581492</v>
      </c>
      <c r="C3704" s="1" t="str">
        <f t="shared" si="2"/>
        <v>Sale</v>
      </c>
      <c r="D3704" s="1">
        <v>21213.0</v>
      </c>
      <c r="E3704" s="1" t="str">
        <f>IFERROR(__xludf.DUMMYFUNCTION("IF(LEN(D3704)&gt;4, IFERROR(REGEXEXTRACT(TO_TEXT(D3704),""\d+""),""""),"""")"),"21213")</f>
        <v>21213</v>
      </c>
      <c r="F3704" s="6" t="str">
        <f t="shared" si="3"/>
        <v>Product</v>
      </c>
      <c r="G3704" s="1" t="s">
        <v>352</v>
      </c>
      <c r="H3704" s="6" t="str">
        <f>IFERROR(__xludf.DUMMYFUNCTION("IF(REGEXMATCH(LOWER(G3704), ""^(\?)+\s*(missing)?\s*(\?)*$""), """", PROPER(SUBSTITUTE(SUBSTITUTE(G3704, ""?"", """"), ""*"", """")))"),"Pack Of 72 Skull Cake Cases")</f>
        <v>Pack Of 72 Skull Cake Cases</v>
      </c>
      <c r="I3704" s="3">
        <v>2.0</v>
      </c>
      <c r="J3704" s="7">
        <v>40886.41875</v>
      </c>
      <c r="K3704" s="8" t="str">
        <f t="shared" si="4"/>
        <v>2011-12</v>
      </c>
      <c r="L3704" s="5">
        <v>1.25</v>
      </c>
      <c r="M3704" s="10"/>
      <c r="N3704" s="1" t="str">
        <f t="shared" si="5"/>
        <v>Guest</v>
      </c>
      <c r="O3704" s="1" t="s">
        <v>19</v>
      </c>
      <c r="P3704" s="9" t="str">
        <f t="shared" si="6"/>
        <v>UK</v>
      </c>
      <c r="Q3704" s="8">
        <f t="shared" si="7"/>
        <v>2.5</v>
      </c>
    </row>
    <row r="3705">
      <c r="A3705" s="1">
        <v>581492.0</v>
      </c>
      <c r="B3705" s="1" t="str">
        <f t="shared" si="1"/>
        <v>581492</v>
      </c>
      <c r="C3705" s="1" t="str">
        <f t="shared" si="2"/>
        <v>Sale</v>
      </c>
      <c r="D3705" s="1">
        <v>21220.0</v>
      </c>
      <c r="E3705" s="1" t="str">
        <f>IFERROR(__xludf.DUMMYFUNCTION("IF(LEN(D3705)&gt;4, IFERROR(REGEXEXTRACT(TO_TEXT(D3705),""\d+""),""""),"""")"),"21220")</f>
        <v>21220</v>
      </c>
      <c r="F3705" s="6" t="str">
        <f t="shared" si="3"/>
        <v>Product</v>
      </c>
      <c r="G3705" s="1" t="s">
        <v>1748</v>
      </c>
      <c r="H3705" s="6" t="str">
        <f>IFERROR(__xludf.DUMMYFUNCTION("IF(REGEXMATCH(LOWER(G3705), ""^(\?)+\s*(missing)?\s*(\?)*$""), """", PROPER(SUBSTITUTE(SUBSTITUTE(G3705, ""?"", """"), ""*"", """")))"),"Set/4 Badges Dogs")</f>
        <v>Set/4 Badges Dogs</v>
      </c>
      <c r="I3705" s="3">
        <v>2.0</v>
      </c>
      <c r="J3705" s="7">
        <v>40886.41875</v>
      </c>
      <c r="K3705" s="8" t="str">
        <f t="shared" si="4"/>
        <v>2011-12</v>
      </c>
      <c r="L3705" s="5">
        <v>2.46</v>
      </c>
      <c r="M3705" s="10"/>
      <c r="N3705" s="1" t="str">
        <f t="shared" si="5"/>
        <v>Guest</v>
      </c>
      <c r="O3705" s="1" t="s">
        <v>19</v>
      </c>
      <c r="P3705" s="9" t="str">
        <f t="shared" si="6"/>
        <v>UK</v>
      </c>
      <c r="Q3705" s="8">
        <f t="shared" si="7"/>
        <v>4.92</v>
      </c>
    </row>
    <row r="3706">
      <c r="A3706" s="1">
        <v>581492.0</v>
      </c>
      <c r="B3706" s="1" t="str">
        <f t="shared" si="1"/>
        <v>581492</v>
      </c>
      <c r="C3706" s="1" t="str">
        <f t="shared" si="2"/>
        <v>Sale</v>
      </c>
      <c r="D3706" s="1">
        <v>21224.0</v>
      </c>
      <c r="E3706" s="1" t="str">
        <f>IFERROR(__xludf.DUMMYFUNCTION("IF(LEN(D3706)&gt;4, IFERROR(REGEXEXTRACT(TO_TEXT(D3706),""\d+""),""""),"""")"),"21224")</f>
        <v>21224</v>
      </c>
      <c r="F3706" s="6" t="str">
        <f t="shared" si="3"/>
        <v>Product</v>
      </c>
      <c r="G3706" s="1" t="s">
        <v>1749</v>
      </c>
      <c r="H3706" s="6" t="str">
        <f>IFERROR(__xludf.DUMMYFUNCTION("IF(REGEXMATCH(LOWER(G3706), ""^(\?)+\s*(missing)?\s*(\?)*$""), """", PROPER(SUBSTITUTE(SUBSTITUTE(G3706, ""?"", """"), ""*"", """")))"),"Set/4 Skull Badges")</f>
        <v>Set/4 Skull Badges</v>
      </c>
      <c r="I3706" s="3">
        <v>1.0</v>
      </c>
      <c r="J3706" s="7">
        <v>40886.41875</v>
      </c>
      <c r="K3706" s="8" t="str">
        <f t="shared" si="4"/>
        <v>2011-12</v>
      </c>
      <c r="L3706" s="5">
        <v>0.83</v>
      </c>
      <c r="M3706" s="10"/>
      <c r="N3706" s="1" t="str">
        <f t="shared" si="5"/>
        <v>Guest</v>
      </c>
      <c r="O3706" s="1" t="s">
        <v>19</v>
      </c>
      <c r="P3706" s="9" t="str">
        <f t="shared" si="6"/>
        <v>UK</v>
      </c>
      <c r="Q3706" s="8">
        <f t="shared" si="7"/>
        <v>0.83</v>
      </c>
    </row>
    <row r="3707">
      <c r="A3707" s="1">
        <v>581492.0</v>
      </c>
      <c r="B3707" s="1" t="str">
        <f t="shared" si="1"/>
        <v>581492</v>
      </c>
      <c r="C3707" s="1" t="str">
        <f t="shared" si="2"/>
        <v>Sale</v>
      </c>
      <c r="D3707" s="1">
        <v>21232.0</v>
      </c>
      <c r="E3707" s="1" t="str">
        <f>IFERROR(__xludf.DUMMYFUNCTION("IF(LEN(D3707)&gt;4, IFERROR(REGEXEXTRACT(TO_TEXT(D3707),""\d+""),""""),"""")"),"21232")</f>
        <v>21232</v>
      </c>
      <c r="F3707" s="6" t="str">
        <f t="shared" si="3"/>
        <v>Product</v>
      </c>
      <c r="G3707" s="1" t="s">
        <v>1488</v>
      </c>
      <c r="H3707" s="6" t="str">
        <f>IFERROR(__xludf.DUMMYFUNCTION("IF(REGEXMATCH(LOWER(G3707), ""^(\?)+\s*(missing)?\s*(\?)*$""), """", PROPER(SUBSTITUTE(SUBSTITUTE(G3707, ""?"", """"), ""*"", """")))"),"Strawberry Ceramic Trinket Pot")</f>
        <v>Strawberry Ceramic Trinket Pot</v>
      </c>
      <c r="I3707" s="3">
        <v>1.0</v>
      </c>
      <c r="J3707" s="7">
        <v>40886.41875</v>
      </c>
      <c r="K3707" s="8" t="str">
        <f t="shared" si="4"/>
        <v>2011-12</v>
      </c>
      <c r="L3707" s="5">
        <v>2.46</v>
      </c>
      <c r="M3707" s="10"/>
      <c r="N3707" s="1" t="str">
        <f t="shared" si="5"/>
        <v>Guest</v>
      </c>
      <c r="O3707" s="1" t="s">
        <v>19</v>
      </c>
      <c r="P3707" s="9" t="str">
        <f t="shared" si="6"/>
        <v>UK</v>
      </c>
      <c r="Q3707" s="8">
        <f t="shared" si="7"/>
        <v>2.46</v>
      </c>
    </row>
    <row r="3708">
      <c r="A3708" s="1">
        <v>581492.0</v>
      </c>
      <c r="B3708" s="1" t="str">
        <f t="shared" si="1"/>
        <v>581492</v>
      </c>
      <c r="C3708" s="1" t="str">
        <f t="shared" si="2"/>
        <v>Sale</v>
      </c>
      <c r="D3708" s="1">
        <v>21257.0</v>
      </c>
      <c r="E3708" s="1" t="str">
        <f>IFERROR(__xludf.DUMMYFUNCTION("IF(LEN(D3708)&gt;4, IFERROR(REGEXEXTRACT(TO_TEXT(D3708),""\d+""),""""),"""")"),"21257")</f>
        <v>21257</v>
      </c>
      <c r="F3708" s="6" t="str">
        <f t="shared" si="3"/>
        <v>Product</v>
      </c>
      <c r="G3708" s="1" t="s">
        <v>557</v>
      </c>
      <c r="H3708" s="6" t="str">
        <f>IFERROR(__xludf.DUMMYFUNCTION("IF(REGEXMATCH(LOWER(G3708), ""^(\?)+\s*(missing)?\s*(\?)*$""), """", PROPER(SUBSTITUTE(SUBSTITUTE(G3708, ""?"", """"), ""*"", """")))"),"Victorian Sewing Box Medium")</f>
        <v>Victorian Sewing Box Medium</v>
      </c>
      <c r="I3708" s="3">
        <v>2.0</v>
      </c>
      <c r="J3708" s="7">
        <v>40886.41875</v>
      </c>
      <c r="K3708" s="8" t="str">
        <f t="shared" si="4"/>
        <v>2011-12</v>
      </c>
      <c r="L3708" s="5">
        <v>15.79</v>
      </c>
      <c r="M3708" s="10"/>
      <c r="N3708" s="1" t="str">
        <f t="shared" si="5"/>
        <v>Guest</v>
      </c>
      <c r="O3708" s="1" t="s">
        <v>19</v>
      </c>
      <c r="P3708" s="9" t="str">
        <f t="shared" si="6"/>
        <v>UK</v>
      </c>
      <c r="Q3708" s="8">
        <f t="shared" si="7"/>
        <v>31.58</v>
      </c>
    </row>
    <row r="3709">
      <c r="A3709" s="1">
        <v>581492.0</v>
      </c>
      <c r="B3709" s="1" t="str">
        <f t="shared" si="1"/>
        <v>581492</v>
      </c>
      <c r="C3709" s="1" t="str">
        <f t="shared" si="2"/>
        <v>Sale</v>
      </c>
      <c r="D3709" s="1">
        <v>21258.0</v>
      </c>
      <c r="E3709" s="1" t="str">
        <f>IFERROR(__xludf.DUMMYFUNCTION("IF(LEN(D3709)&gt;4, IFERROR(REGEXEXTRACT(TO_TEXT(D3709),""\d+""),""""),"""")"),"21258")</f>
        <v>21258</v>
      </c>
      <c r="F3709" s="6" t="str">
        <f t="shared" si="3"/>
        <v>Product</v>
      </c>
      <c r="G3709" s="1" t="s">
        <v>81</v>
      </c>
      <c r="H3709" s="6" t="str">
        <f>IFERROR(__xludf.DUMMYFUNCTION("IF(REGEXMATCH(LOWER(G3709), ""^(\?)+\s*(missing)?\s*(\?)*$""), """", PROPER(SUBSTITUTE(SUBSTITUTE(G3709, ""?"", """"), ""*"", """")))"),"Victorian Sewing Box Large")</f>
        <v>Victorian Sewing Box Large</v>
      </c>
      <c r="I3709" s="3">
        <v>1.0</v>
      </c>
      <c r="J3709" s="7">
        <v>40886.41875</v>
      </c>
      <c r="K3709" s="8" t="str">
        <f t="shared" si="4"/>
        <v>2011-12</v>
      </c>
      <c r="L3709" s="5">
        <v>24.96</v>
      </c>
      <c r="M3709" s="10"/>
      <c r="N3709" s="1" t="str">
        <f t="shared" si="5"/>
        <v>Guest</v>
      </c>
      <c r="O3709" s="1" t="s">
        <v>19</v>
      </c>
      <c r="P3709" s="9" t="str">
        <f t="shared" si="6"/>
        <v>UK</v>
      </c>
      <c r="Q3709" s="8">
        <f t="shared" si="7"/>
        <v>24.96</v>
      </c>
    </row>
    <row r="3710">
      <c r="A3710" s="1">
        <v>581492.0</v>
      </c>
      <c r="B3710" s="1" t="str">
        <f t="shared" si="1"/>
        <v>581492</v>
      </c>
      <c r="C3710" s="1" t="str">
        <f t="shared" si="2"/>
        <v>Sale</v>
      </c>
      <c r="D3710" s="1">
        <v>21259.0</v>
      </c>
      <c r="E3710" s="1" t="str">
        <f>IFERROR(__xludf.DUMMYFUNCTION("IF(LEN(D3710)&gt;4, IFERROR(REGEXEXTRACT(TO_TEXT(D3710),""\d+""),""""),"""")"),"21259")</f>
        <v>21259</v>
      </c>
      <c r="F3710" s="6" t="str">
        <f t="shared" si="3"/>
        <v>Product</v>
      </c>
      <c r="G3710" s="1" t="s">
        <v>556</v>
      </c>
      <c r="H3710" s="6" t="str">
        <f>IFERROR(__xludf.DUMMYFUNCTION("IF(REGEXMATCH(LOWER(G3710), ""^(\?)+\s*(missing)?\s*(\?)*$""), """", PROPER(SUBSTITUTE(SUBSTITUTE(G3710, ""?"", """"), ""*"", """")))"),"Victorian Sewing Box Small")</f>
        <v>Victorian Sewing Box Small</v>
      </c>
      <c r="I3710" s="3">
        <v>1.0</v>
      </c>
      <c r="J3710" s="7">
        <v>40886.41875</v>
      </c>
      <c r="K3710" s="8" t="str">
        <f t="shared" si="4"/>
        <v>2011-12</v>
      </c>
      <c r="L3710" s="5">
        <v>12.46</v>
      </c>
      <c r="M3710" s="10"/>
      <c r="N3710" s="1" t="str">
        <f t="shared" si="5"/>
        <v>Guest</v>
      </c>
      <c r="O3710" s="1" t="s">
        <v>19</v>
      </c>
      <c r="P3710" s="9" t="str">
        <f t="shared" si="6"/>
        <v>UK</v>
      </c>
      <c r="Q3710" s="8">
        <f t="shared" si="7"/>
        <v>12.46</v>
      </c>
    </row>
    <row r="3711">
      <c r="A3711" s="1">
        <v>581492.0</v>
      </c>
      <c r="B3711" s="1" t="str">
        <f t="shared" si="1"/>
        <v>581492</v>
      </c>
      <c r="C3711" s="1" t="str">
        <f t="shared" si="2"/>
        <v>Sale</v>
      </c>
      <c r="D3711" s="1">
        <v>21313.0</v>
      </c>
      <c r="E3711" s="1" t="str">
        <f>IFERROR(__xludf.DUMMYFUNCTION("IF(LEN(D3711)&gt;4, IFERROR(REGEXEXTRACT(TO_TEXT(D3711),""\d+""),""""),"""")"),"21313")</f>
        <v>21313</v>
      </c>
      <c r="F3711" s="6" t="str">
        <f t="shared" si="3"/>
        <v>Product</v>
      </c>
      <c r="G3711" s="1" t="s">
        <v>1750</v>
      </c>
      <c r="H3711" s="6" t="str">
        <f>IFERROR(__xludf.DUMMYFUNCTION("IF(REGEXMATCH(LOWER(G3711), ""^(\?)+\s*(missing)?\s*(\?)*$""), """", PROPER(SUBSTITUTE(SUBSTITUTE(G3711, ""?"", """"), ""*"", """")))"),"Glass Heart T-Light Holder")</f>
        <v>Glass Heart T-Light Holder</v>
      </c>
      <c r="I3711" s="3">
        <v>1.0</v>
      </c>
      <c r="J3711" s="7">
        <v>40886.41875</v>
      </c>
      <c r="K3711" s="8" t="str">
        <f t="shared" si="4"/>
        <v>2011-12</v>
      </c>
      <c r="L3711" s="5">
        <v>1.63</v>
      </c>
      <c r="M3711" s="10"/>
      <c r="N3711" s="1" t="str">
        <f t="shared" si="5"/>
        <v>Guest</v>
      </c>
      <c r="O3711" s="1" t="s">
        <v>19</v>
      </c>
      <c r="P3711" s="9" t="str">
        <f t="shared" si="6"/>
        <v>UK</v>
      </c>
      <c r="Q3711" s="8">
        <f t="shared" si="7"/>
        <v>1.63</v>
      </c>
    </row>
    <row r="3712">
      <c r="A3712" s="1">
        <v>581492.0</v>
      </c>
      <c r="B3712" s="1" t="str">
        <f t="shared" si="1"/>
        <v>581492</v>
      </c>
      <c r="C3712" s="1" t="str">
        <f t="shared" si="2"/>
        <v>Sale</v>
      </c>
      <c r="D3712" s="1">
        <v>21314.0</v>
      </c>
      <c r="E3712" s="1" t="str">
        <f>IFERROR(__xludf.DUMMYFUNCTION("IF(LEN(D3712)&gt;4, IFERROR(REGEXEXTRACT(TO_TEXT(D3712),""\d+""),""""),"""")"),"21314")</f>
        <v>21314</v>
      </c>
      <c r="F3712" s="6" t="str">
        <f t="shared" si="3"/>
        <v>Product</v>
      </c>
      <c r="G3712" s="1" t="s">
        <v>254</v>
      </c>
      <c r="H3712" s="6" t="str">
        <f>IFERROR(__xludf.DUMMYFUNCTION("IF(REGEXMATCH(LOWER(G3712), ""^(\?)+\s*(missing)?\s*(\?)*$""), """", PROPER(SUBSTITUTE(SUBSTITUTE(G3712, ""?"", """"), ""*"", """")))"),"Small Glass Heart Trinket Pot")</f>
        <v>Small Glass Heart Trinket Pot</v>
      </c>
      <c r="I3712" s="3">
        <v>2.0</v>
      </c>
      <c r="J3712" s="7">
        <v>40886.41875</v>
      </c>
      <c r="K3712" s="8" t="str">
        <f t="shared" si="4"/>
        <v>2011-12</v>
      </c>
      <c r="L3712" s="5">
        <v>4.13</v>
      </c>
      <c r="M3712" s="10"/>
      <c r="N3712" s="1" t="str">
        <f t="shared" si="5"/>
        <v>Guest</v>
      </c>
      <c r="O3712" s="1" t="s">
        <v>19</v>
      </c>
      <c r="P3712" s="9" t="str">
        <f t="shared" si="6"/>
        <v>UK</v>
      </c>
      <c r="Q3712" s="8">
        <f t="shared" si="7"/>
        <v>8.26</v>
      </c>
    </row>
    <row r="3713">
      <c r="A3713" s="1">
        <v>581492.0</v>
      </c>
      <c r="B3713" s="1" t="str">
        <f t="shared" si="1"/>
        <v>581492</v>
      </c>
      <c r="C3713" s="1" t="str">
        <f t="shared" si="2"/>
        <v>Sale</v>
      </c>
      <c r="D3713" s="1">
        <v>21328.0</v>
      </c>
      <c r="E3713" s="1" t="str">
        <f>IFERROR(__xludf.DUMMYFUNCTION("IF(LEN(D3713)&gt;4, IFERROR(REGEXEXTRACT(TO_TEXT(D3713),""\d+""),""""),"""")"),"21328")</f>
        <v>21328</v>
      </c>
      <c r="F3713" s="6" t="str">
        <f t="shared" si="3"/>
        <v>Product</v>
      </c>
      <c r="G3713" s="1" t="s">
        <v>280</v>
      </c>
      <c r="H3713" s="6" t="str">
        <f>IFERROR(__xludf.DUMMYFUNCTION("IF(REGEXMATCH(LOWER(G3713), ""^(\?)+\s*(missing)?\s*(\?)*$""), """", PROPER(SUBSTITUTE(SUBSTITUTE(G3713, ""?"", """"), ""*"", """")))"),"Balloons Writing Set")</f>
        <v>Balloons Writing Set</v>
      </c>
      <c r="I3713" s="3">
        <v>2.0</v>
      </c>
      <c r="J3713" s="7">
        <v>40886.41875</v>
      </c>
      <c r="K3713" s="8" t="str">
        <f t="shared" si="4"/>
        <v>2011-12</v>
      </c>
      <c r="L3713" s="5">
        <v>3.29</v>
      </c>
      <c r="M3713" s="10"/>
      <c r="N3713" s="1" t="str">
        <f t="shared" si="5"/>
        <v>Guest</v>
      </c>
      <c r="O3713" s="1" t="s">
        <v>19</v>
      </c>
      <c r="P3713" s="9" t="str">
        <f t="shared" si="6"/>
        <v>UK</v>
      </c>
      <c r="Q3713" s="8">
        <f t="shared" si="7"/>
        <v>6.58</v>
      </c>
    </row>
    <row r="3714">
      <c r="A3714" s="1">
        <v>581492.0</v>
      </c>
      <c r="B3714" s="1" t="str">
        <f t="shared" si="1"/>
        <v>581492</v>
      </c>
      <c r="C3714" s="1" t="str">
        <f t="shared" si="2"/>
        <v>Sale</v>
      </c>
      <c r="D3714" s="1">
        <v>21329.0</v>
      </c>
      <c r="E3714" s="1" t="str">
        <f>IFERROR(__xludf.DUMMYFUNCTION("IF(LEN(D3714)&gt;4, IFERROR(REGEXEXTRACT(TO_TEXT(D3714),""\d+""),""""),"""")"),"21329")</f>
        <v>21329</v>
      </c>
      <c r="F3714" s="6" t="str">
        <f t="shared" si="3"/>
        <v>Product</v>
      </c>
      <c r="G3714" s="1" t="s">
        <v>609</v>
      </c>
      <c r="H3714" s="6" t="str">
        <f>IFERROR(__xludf.DUMMYFUNCTION("IF(REGEXMATCH(LOWER(G3714), ""^(\?)+\s*(missing)?\s*(\?)*$""), """", PROPER(SUBSTITUTE(SUBSTITUTE(G3714, ""?"", """"), ""*"", """")))"),"Dinosaurs Writing Set")</f>
        <v>Dinosaurs Writing Set</v>
      </c>
      <c r="I3714" s="3">
        <v>2.0</v>
      </c>
      <c r="J3714" s="7">
        <v>40886.41875</v>
      </c>
      <c r="K3714" s="8" t="str">
        <f t="shared" si="4"/>
        <v>2011-12</v>
      </c>
      <c r="L3714" s="5">
        <v>3.29</v>
      </c>
      <c r="M3714" s="10"/>
      <c r="N3714" s="1" t="str">
        <f t="shared" si="5"/>
        <v>Guest</v>
      </c>
      <c r="O3714" s="1" t="s">
        <v>19</v>
      </c>
      <c r="P3714" s="9" t="str">
        <f t="shared" si="6"/>
        <v>UK</v>
      </c>
      <c r="Q3714" s="8">
        <f t="shared" si="7"/>
        <v>6.58</v>
      </c>
    </row>
    <row r="3715">
      <c r="A3715" s="1">
        <v>581492.0</v>
      </c>
      <c r="B3715" s="1" t="str">
        <f t="shared" si="1"/>
        <v>581492</v>
      </c>
      <c r="C3715" s="1" t="str">
        <f t="shared" si="2"/>
        <v>Sale</v>
      </c>
      <c r="D3715" s="1">
        <v>21356.0</v>
      </c>
      <c r="E3715" s="1" t="str">
        <f>IFERROR(__xludf.DUMMYFUNCTION("IF(LEN(D3715)&gt;4, IFERROR(REGEXEXTRACT(TO_TEXT(D3715),""\d+""),""""),"""")"),"21356")</f>
        <v>21356</v>
      </c>
      <c r="F3715" s="6" t="str">
        <f t="shared" si="3"/>
        <v>Product</v>
      </c>
      <c r="G3715" s="1" t="s">
        <v>1751</v>
      </c>
      <c r="H3715" s="6" t="str">
        <f>IFERROR(__xludf.DUMMYFUNCTION("IF(REGEXMATCH(LOWER(G3715), ""^(\?)+\s*(missing)?\s*(\?)*$""), """", PROPER(SUBSTITUTE(SUBSTITUTE(G3715, ""?"", """"), ""*"", """")))"),"Toast Its - Fairy Flower")</f>
        <v>Toast Its - Fairy Flower</v>
      </c>
      <c r="I3715" s="3">
        <v>16.0</v>
      </c>
      <c r="J3715" s="7">
        <v>40886.41875</v>
      </c>
      <c r="K3715" s="8" t="str">
        <f t="shared" si="4"/>
        <v>2011-12</v>
      </c>
      <c r="L3715" s="5">
        <v>0.83</v>
      </c>
      <c r="M3715" s="10"/>
      <c r="N3715" s="1" t="str">
        <f t="shared" si="5"/>
        <v>Guest</v>
      </c>
      <c r="O3715" s="1" t="s">
        <v>19</v>
      </c>
      <c r="P3715" s="9" t="str">
        <f t="shared" si="6"/>
        <v>UK</v>
      </c>
      <c r="Q3715" s="8">
        <f t="shared" si="7"/>
        <v>13.28</v>
      </c>
    </row>
    <row r="3716">
      <c r="A3716" s="1">
        <v>581492.0</v>
      </c>
      <c r="B3716" s="1" t="str">
        <f t="shared" si="1"/>
        <v>581492</v>
      </c>
      <c r="C3716" s="1" t="str">
        <f t="shared" si="2"/>
        <v>Sale</v>
      </c>
      <c r="D3716" s="1">
        <v>21378.0</v>
      </c>
      <c r="E3716" s="1" t="str">
        <f>IFERROR(__xludf.DUMMYFUNCTION("IF(LEN(D3716)&gt;4, IFERROR(REGEXEXTRACT(TO_TEXT(D3716),""\d+""),""""),"""")"),"21378")</f>
        <v>21378</v>
      </c>
      <c r="F3716" s="6" t="str">
        <f t="shared" si="3"/>
        <v>Product</v>
      </c>
      <c r="G3716" s="1" t="s">
        <v>1174</v>
      </c>
      <c r="H3716" s="6" t="str">
        <f>IFERROR(__xludf.DUMMYFUNCTION("IF(REGEXMATCH(LOWER(G3716), ""^(\?)+\s*(missing)?\s*(\?)*$""), """", PROPER(SUBSTITUTE(SUBSTITUTE(G3716, ""?"", """"), ""*"", """")))"),"Small Tall Camphor Wood Toadstool")</f>
        <v>Small Tall Camphor Wood Toadstool</v>
      </c>
      <c r="I3716" s="3">
        <v>2.0</v>
      </c>
      <c r="J3716" s="7">
        <v>40886.41875</v>
      </c>
      <c r="K3716" s="8" t="str">
        <f t="shared" si="4"/>
        <v>2011-12</v>
      </c>
      <c r="L3716" s="5">
        <v>3.29</v>
      </c>
      <c r="M3716" s="10"/>
      <c r="N3716" s="1" t="str">
        <f t="shared" si="5"/>
        <v>Guest</v>
      </c>
      <c r="O3716" s="1" t="s">
        <v>19</v>
      </c>
      <c r="P3716" s="9" t="str">
        <f t="shared" si="6"/>
        <v>UK</v>
      </c>
      <c r="Q3716" s="8">
        <f t="shared" si="7"/>
        <v>6.58</v>
      </c>
    </row>
    <row r="3717">
      <c r="A3717" s="1">
        <v>581492.0</v>
      </c>
      <c r="B3717" s="1" t="str">
        <f t="shared" si="1"/>
        <v>581492</v>
      </c>
      <c r="C3717" s="1" t="str">
        <f t="shared" si="2"/>
        <v>Sale</v>
      </c>
      <c r="D3717" s="1">
        <v>21379.0</v>
      </c>
      <c r="E3717" s="1" t="str">
        <f>IFERROR(__xludf.DUMMYFUNCTION("IF(LEN(D3717)&gt;4, IFERROR(REGEXEXTRACT(TO_TEXT(D3717),""\d+""),""""),"""")"),"21379")</f>
        <v>21379</v>
      </c>
      <c r="F3717" s="6" t="str">
        <f t="shared" si="3"/>
        <v>Product</v>
      </c>
      <c r="G3717" s="1" t="s">
        <v>1175</v>
      </c>
      <c r="H3717" s="6" t="str">
        <f>IFERROR(__xludf.DUMMYFUNCTION("IF(REGEXMATCH(LOWER(G3717), ""^(\?)+\s*(missing)?\s*(\?)*$""), """", PROPER(SUBSTITUTE(SUBSTITUTE(G3717, ""?"", """"), ""*"", """")))"),"Camphor Wood Portobello Mushroom")</f>
        <v>Camphor Wood Portobello Mushroom</v>
      </c>
      <c r="I3717" s="3">
        <v>1.0</v>
      </c>
      <c r="J3717" s="7">
        <v>40886.41875</v>
      </c>
      <c r="K3717" s="8" t="str">
        <f t="shared" si="4"/>
        <v>2011-12</v>
      </c>
      <c r="L3717" s="5">
        <v>2.46</v>
      </c>
      <c r="M3717" s="10"/>
      <c r="N3717" s="1" t="str">
        <f t="shared" si="5"/>
        <v>Guest</v>
      </c>
      <c r="O3717" s="1" t="s">
        <v>19</v>
      </c>
      <c r="P3717" s="9" t="str">
        <f t="shared" si="6"/>
        <v>UK</v>
      </c>
      <c r="Q3717" s="8">
        <f t="shared" si="7"/>
        <v>2.46</v>
      </c>
    </row>
    <row r="3718">
      <c r="A3718" s="1">
        <v>581492.0</v>
      </c>
      <c r="B3718" s="1" t="str">
        <f t="shared" si="1"/>
        <v>581492</v>
      </c>
      <c r="C3718" s="1" t="str">
        <f t="shared" si="2"/>
        <v>Sale</v>
      </c>
      <c r="D3718" s="1">
        <v>21383.0</v>
      </c>
      <c r="E3718" s="1" t="str">
        <f>IFERROR(__xludf.DUMMYFUNCTION("IF(LEN(D3718)&gt;4, IFERROR(REGEXEXTRACT(TO_TEXT(D3718),""\d+""),""""),"""")"),"21383")</f>
        <v>21383</v>
      </c>
      <c r="F3718" s="6" t="str">
        <f t="shared" si="3"/>
        <v>Product</v>
      </c>
      <c r="G3718" s="1" t="s">
        <v>1752</v>
      </c>
      <c r="H3718" s="6" t="str">
        <f>IFERROR(__xludf.DUMMYFUNCTION("IF(REGEXMATCH(LOWER(G3718), ""^(\?)+\s*(missing)?\s*(\?)*$""), """", PROPER(SUBSTITUTE(SUBSTITUTE(G3718, ""?"", """"), ""*"", """")))"),"Pack Of 12 Sticky Bunnies")</f>
        <v>Pack Of 12 Sticky Bunnies</v>
      </c>
      <c r="I3718" s="3">
        <v>1.0</v>
      </c>
      <c r="J3718" s="7">
        <v>40886.41875</v>
      </c>
      <c r="K3718" s="8" t="str">
        <f t="shared" si="4"/>
        <v>2011-12</v>
      </c>
      <c r="L3718" s="5">
        <v>1.25</v>
      </c>
      <c r="M3718" s="10"/>
      <c r="N3718" s="1" t="str">
        <f t="shared" si="5"/>
        <v>Guest</v>
      </c>
      <c r="O3718" s="1" t="s">
        <v>19</v>
      </c>
      <c r="P3718" s="9" t="str">
        <f t="shared" si="6"/>
        <v>UK</v>
      </c>
      <c r="Q3718" s="8">
        <f t="shared" si="7"/>
        <v>1.25</v>
      </c>
    </row>
    <row r="3719">
      <c r="A3719" s="1">
        <v>581492.0</v>
      </c>
      <c r="B3719" s="1" t="str">
        <f t="shared" si="1"/>
        <v>581492</v>
      </c>
      <c r="C3719" s="1" t="str">
        <f t="shared" si="2"/>
        <v>Sale</v>
      </c>
      <c r="D3719" s="1">
        <v>21402.0</v>
      </c>
      <c r="E3719" s="1" t="str">
        <f>IFERROR(__xludf.DUMMYFUNCTION("IF(LEN(D3719)&gt;4, IFERROR(REGEXEXTRACT(TO_TEXT(D3719),""\d+""),""""),"""")"),"21402")</f>
        <v>21402</v>
      </c>
      <c r="F3719" s="6" t="str">
        <f t="shared" si="3"/>
        <v>Product</v>
      </c>
      <c r="G3719" s="1" t="s">
        <v>1753</v>
      </c>
      <c r="H3719" s="6" t="str">
        <f>IFERROR(__xludf.DUMMYFUNCTION("IF(REGEXMATCH(LOWER(G3719), ""^(\?)+\s*(missing)?\s*(\?)*$""), """", PROPER(SUBSTITUTE(SUBSTITUTE(G3719, ""?"", """"), ""*"", """")))"),"Red Egg Spoon")</f>
        <v>Red Egg Spoon</v>
      </c>
      <c r="I3719" s="3">
        <v>1.0</v>
      </c>
      <c r="J3719" s="7">
        <v>40886.41875</v>
      </c>
      <c r="K3719" s="8" t="str">
        <f t="shared" si="4"/>
        <v>2011-12</v>
      </c>
      <c r="L3719" s="5">
        <v>0.42</v>
      </c>
      <c r="M3719" s="10"/>
      <c r="N3719" s="1" t="str">
        <f t="shared" si="5"/>
        <v>Guest</v>
      </c>
      <c r="O3719" s="1" t="s">
        <v>19</v>
      </c>
      <c r="P3719" s="9" t="str">
        <f t="shared" si="6"/>
        <v>UK</v>
      </c>
      <c r="Q3719" s="8">
        <f t="shared" si="7"/>
        <v>0.42</v>
      </c>
    </row>
    <row r="3720">
      <c r="A3720" s="1">
        <v>581492.0</v>
      </c>
      <c r="B3720" s="1" t="str">
        <f t="shared" si="1"/>
        <v>581492</v>
      </c>
      <c r="C3720" s="1" t="str">
        <f t="shared" si="2"/>
        <v>Sale</v>
      </c>
      <c r="D3720" s="1">
        <v>21408.0</v>
      </c>
      <c r="E3720" s="1" t="str">
        <f>IFERROR(__xludf.DUMMYFUNCTION("IF(LEN(D3720)&gt;4, IFERROR(REGEXEXTRACT(TO_TEXT(D3720),""\d+""),""""),"""")"),"21408")</f>
        <v>21408</v>
      </c>
      <c r="F3720" s="6" t="str">
        <f t="shared" si="3"/>
        <v>Product</v>
      </c>
      <c r="G3720" s="1" t="s">
        <v>1754</v>
      </c>
      <c r="H3720" s="6" t="str">
        <f>IFERROR(__xludf.DUMMYFUNCTION("IF(REGEXMATCH(LOWER(G3720), ""^(\?)+\s*(missing)?\s*(\?)*$""), """", PROPER(SUBSTITUTE(SUBSTITUTE(G3720, ""?"", """"), ""*"", """")))"),"Spotty Pink Duck Doorstop")</f>
        <v>Spotty Pink Duck Doorstop</v>
      </c>
      <c r="I3720" s="3">
        <v>2.0</v>
      </c>
      <c r="J3720" s="7">
        <v>40886.41875</v>
      </c>
      <c r="K3720" s="8" t="str">
        <f t="shared" si="4"/>
        <v>2011-12</v>
      </c>
      <c r="L3720" s="5">
        <v>8.29</v>
      </c>
      <c r="M3720" s="10"/>
      <c r="N3720" s="1" t="str">
        <f t="shared" si="5"/>
        <v>Guest</v>
      </c>
      <c r="O3720" s="1" t="s">
        <v>19</v>
      </c>
      <c r="P3720" s="9" t="str">
        <f t="shared" si="6"/>
        <v>UK</v>
      </c>
      <c r="Q3720" s="8">
        <f t="shared" si="7"/>
        <v>16.58</v>
      </c>
    </row>
    <row r="3721">
      <c r="A3721" s="1">
        <v>581492.0</v>
      </c>
      <c r="B3721" s="1" t="str">
        <f t="shared" si="1"/>
        <v>581492</v>
      </c>
      <c r="C3721" s="1" t="str">
        <f t="shared" si="2"/>
        <v>Sale</v>
      </c>
      <c r="D3721" s="1">
        <v>21411.0</v>
      </c>
      <c r="E3721" s="1" t="str">
        <f>IFERROR(__xludf.DUMMYFUNCTION("IF(LEN(D3721)&gt;4, IFERROR(REGEXEXTRACT(TO_TEXT(D3721),""\d+""),""""),"""")"),"21411")</f>
        <v>21411</v>
      </c>
      <c r="F3721" s="6" t="str">
        <f t="shared" si="3"/>
        <v>Product</v>
      </c>
      <c r="G3721" s="1" t="s">
        <v>188</v>
      </c>
      <c r="H3721" s="6" t="str">
        <f>IFERROR(__xludf.DUMMYFUNCTION("IF(REGEXMATCH(LOWER(G3721), ""^(\?)+\s*(missing)?\s*(\?)*$""), """", PROPER(SUBSTITUTE(SUBSTITUTE(G3721, ""?"", """"), ""*"", """")))"),"Gingham Heart Doorstop Red")</f>
        <v>Gingham Heart Doorstop Red</v>
      </c>
      <c r="I3721" s="3">
        <v>1.0</v>
      </c>
      <c r="J3721" s="7">
        <v>40886.41875</v>
      </c>
      <c r="K3721" s="8" t="str">
        <f t="shared" si="4"/>
        <v>2011-12</v>
      </c>
      <c r="L3721" s="5">
        <v>8.29</v>
      </c>
      <c r="M3721" s="10"/>
      <c r="N3721" s="1" t="str">
        <f t="shared" si="5"/>
        <v>Guest</v>
      </c>
      <c r="O3721" s="1" t="s">
        <v>19</v>
      </c>
      <c r="P3721" s="9" t="str">
        <f t="shared" si="6"/>
        <v>UK</v>
      </c>
      <c r="Q3721" s="8">
        <f t="shared" si="7"/>
        <v>8.29</v>
      </c>
    </row>
    <row r="3722">
      <c r="A3722" s="1">
        <v>581492.0</v>
      </c>
      <c r="B3722" s="1" t="str">
        <f t="shared" si="1"/>
        <v>581492</v>
      </c>
      <c r="C3722" s="1" t="str">
        <f t="shared" si="2"/>
        <v>Sale</v>
      </c>
      <c r="D3722" s="1">
        <v>21467.0</v>
      </c>
      <c r="E3722" s="1" t="str">
        <f>IFERROR(__xludf.DUMMYFUNCTION("IF(LEN(D3722)&gt;4, IFERROR(REGEXEXTRACT(TO_TEXT(D3722),""\d+""),""""),"""")"),"21467")</f>
        <v>21467</v>
      </c>
      <c r="F3722" s="6" t="str">
        <f t="shared" si="3"/>
        <v>Product</v>
      </c>
      <c r="G3722" s="1" t="s">
        <v>1033</v>
      </c>
      <c r="H3722" s="6" t="str">
        <f>IFERROR(__xludf.DUMMYFUNCTION("IF(REGEXMATCH(LOWER(G3722), ""^(\?)+\s*(missing)?\s*(\?)*$""), """", PROPER(SUBSTITUTE(SUBSTITUTE(G3722, ""?"", """"), ""*"", """")))"),"Cherry Crochet Food Cover")</f>
        <v>Cherry Crochet Food Cover</v>
      </c>
      <c r="I3722" s="3">
        <v>1.0</v>
      </c>
      <c r="J3722" s="7">
        <v>40886.41875</v>
      </c>
      <c r="K3722" s="8" t="str">
        <f t="shared" si="4"/>
        <v>2011-12</v>
      </c>
      <c r="L3722" s="5">
        <v>7.46</v>
      </c>
      <c r="M3722" s="10"/>
      <c r="N3722" s="1" t="str">
        <f t="shared" si="5"/>
        <v>Guest</v>
      </c>
      <c r="O3722" s="1" t="s">
        <v>19</v>
      </c>
      <c r="P3722" s="9" t="str">
        <f t="shared" si="6"/>
        <v>UK</v>
      </c>
      <c r="Q3722" s="8">
        <f t="shared" si="7"/>
        <v>7.46</v>
      </c>
    </row>
    <row r="3723">
      <c r="A3723" s="1">
        <v>581492.0</v>
      </c>
      <c r="B3723" s="1" t="str">
        <f t="shared" si="1"/>
        <v>581492</v>
      </c>
      <c r="C3723" s="1" t="str">
        <f t="shared" si="2"/>
        <v>Sale</v>
      </c>
      <c r="D3723" s="1">
        <v>21471.0</v>
      </c>
      <c r="E3723" s="1" t="str">
        <f>IFERROR(__xludf.DUMMYFUNCTION("IF(LEN(D3723)&gt;4, IFERROR(REGEXEXTRACT(TO_TEXT(D3723),""\d+""),""""),"""")"),"21471")</f>
        <v>21471</v>
      </c>
      <c r="F3723" s="6" t="str">
        <f t="shared" si="3"/>
        <v>Product</v>
      </c>
      <c r="G3723" s="1" t="s">
        <v>1755</v>
      </c>
      <c r="H3723" s="6" t="str">
        <f>IFERROR(__xludf.DUMMYFUNCTION("IF(REGEXMATCH(LOWER(G3723), ""^(\?)+\s*(missing)?\s*(\?)*$""), """", PROPER(SUBSTITUTE(SUBSTITUTE(G3723, ""?"", """"), ""*"", """")))"),"Strawberry Raffia Food Cover")</f>
        <v>Strawberry Raffia Food Cover</v>
      </c>
      <c r="I3723" s="3">
        <v>2.0</v>
      </c>
      <c r="J3723" s="7">
        <v>40886.41875</v>
      </c>
      <c r="K3723" s="8" t="str">
        <f t="shared" si="4"/>
        <v>2011-12</v>
      </c>
      <c r="L3723" s="5">
        <v>3.29</v>
      </c>
      <c r="M3723" s="10"/>
      <c r="N3723" s="1" t="str">
        <f t="shared" si="5"/>
        <v>Guest</v>
      </c>
      <c r="O3723" s="1" t="s">
        <v>19</v>
      </c>
      <c r="P3723" s="9" t="str">
        <f t="shared" si="6"/>
        <v>UK</v>
      </c>
      <c r="Q3723" s="8">
        <f t="shared" si="7"/>
        <v>6.58</v>
      </c>
    </row>
    <row r="3724">
      <c r="A3724" s="1">
        <v>581492.0</v>
      </c>
      <c r="B3724" s="1" t="str">
        <f t="shared" si="1"/>
        <v>581492</v>
      </c>
      <c r="C3724" s="1" t="str">
        <f t="shared" si="2"/>
        <v>Sale</v>
      </c>
      <c r="D3724" s="1">
        <v>21479.0</v>
      </c>
      <c r="E3724" s="1" t="str">
        <f>IFERROR(__xludf.DUMMYFUNCTION("IF(LEN(D3724)&gt;4, IFERROR(REGEXEXTRACT(TO_TEXT(D3724),""\d+""),""""),"""")"),"21479")</f>
        <v>21479</v>
      </c>
      <c r="F3724" s="6" t="str">
        <f t="shared" si="3"/>
        <v>Product</v>
      </c>
      <c r="G3724" s="1" t="s">
        <v>269</v>
      </c>
      <c r="H3724" s="6" t="str">
        <f>IFERROR(__xludf.DUMMYFUNCTION("IF(REGEXMATCH(LOWER(G3724), ""^(\?)+\s*(missing)?\s*(\?)*$""), """", PROPER(SUBSTITUTE(SUBSTITUTE(G3724, ""?"", """"), ""*"", """")))"),"White Skull Hot Water Bottle")</f>
        <v>White Skull Hot Water Bottle</v>
      </c>
      <c r="I3724" s="3">
        <v>2.0</v>
      </c>
      <c r="J3724" s="7">
        <v>40886.41875</v>
      </c>
      <c r="K3724" s="8" t="str">
        <f t="shared" si="4"/>
        <v>2011-12</v>
      </c>
      <c r="L3724" s="5">
        <v>8.29</v>
      </c>
      <c r="M3724" s="10"/>
      <c r="N3724" s="1" t="str">
        <f t="shared" si="5"/>
        <v>Guest</v>
      </c>
      <c r="O3724" s="1" t="s">
        <v>19</v>
      </c>
      <c r="P3724" s="9" t="str">
        <f t="shared" si="6"/>
        <v>UK</v>
      </c>
      <c r="Q3724" s="8">
        <f t="shared" si="7"/>
        <v>16.58</v>
      </c>
    </row>
    <row r="3725">
      <c r="A3725" s="1">
        <v>581492.0</v>
      </c>
      <c r="B3725" s="1" t="str">
        <f t="shared" si="1"/>
        <v>581492</v>
      </c>
      <c r="C3725" s="1" t="str">
        <f t="shared" si="2"/>
        <v>Sale</v>
      </c>
      <c r="D3725" s="1">
        <v>21481.0</v>
      </c>
      <c r="E3725" s="1" t="str">
        <f>IFERROR(__xludf.DUMMYFUNCTION("IF(LEN(D3725)&gt;4, IFERROR(REGEXEXTRACT(TO_TEXT(D3725),""\d+""),""""),"""")"),"21481")</f>
        <v>21481</v>
      </c>
      <c r="F3725" s="6" t="str">
        <f t="shared" si="3"/>
        <v>Product</v>
      </c>
      <c r="G3725" s="1" t="s">
        <v>519</v>
      </c>
      <c r="H3725" s="6" t="str">
        <f>IFERROR(__xludf.DUMMYFUNCTION("IF(REGEXMATCH(LOWER(G3725), ""^(\?)+\s*(missing)?\s*(\?)*$""), """", PROPER(SUBSTITUTE(SUBSTITUTE(G3725, ""?"", """"), ""*"", """")))"),"Fawn Blue Hot Water Bottle")</f>
        <v>Fawn Blue Hot Water Bottle</v>
      </c>
      <c r="I3725" s="3">
        <v>3.0</v>
      </c>
      <c r="J3725" s="7">
        <v>40886.41875</v>
      </c>
      <c r="K3725" s="8" t="str">
        <f t="shared" si="4"/>
        <v>2011-12</v>
      </c>
      <c r="L3725" s="5">
        <v>7.46</v>
      </c>
      <c r="M3725" s="10"/>
      <c r="N3725" s="1" t="str">
        <f t="shared" si="5"/>
        <v>Guest</v>
      </c>
      <c r="O3725" s="1" t="s">
        <v>19</v>
      </c>
      <c r="P3725" s="9" t="str">
        <f t="shared" si="6"/>
        <v>UK</v>
      </c>
      <c r="Q3725" s="8">
        <f t="shared" si="7"/>
        <v>22.38</v>
      </c>
    </row>
    <row r="3726">
      <c r="A3726" s="1">
        <v>581492.0</v>
      </c>
      <c r="B3726" s="1" t="str">
        <f t="shared" si="1"/>
        <v>581492</v>
      </c>
      <c r="C3726" s="1" t="str">
        <f t="shared" si="2"/>
        <v>Sale</v>
      </c>
      <c r="D3726" s="1">
        <v>21484.0</v>
      </c>
      <c r="E3726" s="1" t="str">
        <f>IFERROR(__xludf.DUMMYFUNCTION("IF(LEN(D3726)&gt;4, IFERROR(REGEXEXTRACT(TO_TEXT(D3726),""\d+""),""""),"""")"),"21484")</f>
        <v>21484</v>
      </c>
      <c r="F3726" s="6" t="str">
        <f t="shared" si="3"/>
        <v>Product</v>
      </c>
      <c r="G3726" s="1" t="s">
        <v>232</v>
      </c>
      <c r="H3726" s="6" t="str">
        <f>IFERROR(__xludf.DUMMYFUNCTION("IF(REGEXMATCH(LOWER(G3726), ""^(\?)+\s*(missing)?\s*(\?)*$""), """", PROPER(SUBSTITUTE(SUBSTITUTE(G3726, ""?"", """"), ""*"", """")))"),"Chick Grey Hot Water Bottle")</f>
        <v>Chick Grey Hot Water Bottle</v>
      </c>
      <c r="I3726" s="3">
        <v>1.0</v>
      </c>
      <c r="J3726" s="7">
        <v>40886.41875</v>
      </c>
      <c r="K3726" s="8" t="str">
        <f t="shared" si="4"/>
        <v>2011-12</v>
      </c>
      <c r="L3726" s="5">
        <v>8.29</v>
      </c>
      <c r="M3726" s="10"/>
      <c r="N3726" s="1" t="str">
        <f t="shared" si="5"/>
        <v>Guest</v>
      </c>
      <c r="O3726" s="1" t="s">
        <v>19</v>
      </c>
      <c r="P3726" s="9" t="str">
        <f t="shared" si="6"/>
        <v>UK</v>
      </c>
      <c r="Q3726" s="8">
        <f t="shared" si="7"/>
        <v>8.29</v>
      </c>
    </row>
    <row r="3727">
      <c r="A3727" s="1">
        <v>581492.0</v>
      </c>
      <c r="B3727" s="1" t="str">
        <f t="shared" si="1"/>
        <v>581492</v>
      </c>
      <c r="C3727" s="1" t="str">
        <f t="shared" si="2"/>
        <v>Sale</v>
      </c>
      <c r="D3727" s="1">
        <v>21485.0</v>
      </c>
      <c r="E3727" s="1" t="str">
        <f>IFERROR(__xludf.DUMMYFUNCTION("IF(LEN(D3727)&gt;4, IFERROR(REGEXEXTRACT(TO_TEXT(D3727),""\d+""),""""),"""")"),"21485")</f>
        <v>21485</v>
      </c>
      <c r="F3727" s="6" t="str">
        <f t="shared" si="3"/>
        <v>Product</v>
      </c>
      <c r="G3727" s="1" t="s">
        <v>223</v>
      </c>
      <c r="H3727" s="6" t="str">
        <f>IFERROR(__xludf.DUMMYFUNCTION("IF(REGEXMATCH(LOWER(G3727), ""^(\?)+\s*(missing)?\s*(\?)*$""), """", PROPER(SUBSTITUTE(SUBSTITUTE(G3727, ""?"", """"), ""*"", """")))"),"Retrospot Heart Hot Water Bottle")</f>
        <v>Retrospot Heart Hot Water Bottle</v>
      </c>
      <c r="I3727" s="3">
        <v>1.0</v>
      </c>
      <c r="J3727" s="7">
        <v>40886.41875</v>
      </c>
      <c r="K3727" s="8" t="str">
        <f t="shared" si="4"/>
        <v>2011-12</v>
      </c>
      <c r="L3727" s="5">
        <v>10.79</v>
      </c>
      <c r="M3727" s="10"/>
      <c r="N3727" s="1" t="str">
        <f t="shared" si="5"/>
        <v>Guest</v>
      </c>
      <c r="O3727" s="1" t="s">
        <v>19</v>
      </c>
      <c r="P3727" s="9" t="str">
        <f t="shared" si="6"/>
        <v>UK</v>
      </c>
      <c r="Q3727" s="8">
        <f t="shared" si="7"/>
        <v>10.79</v>
      </c>
    </row>
    <row r="3728">
      <c r="A3728" s="1">
        <v>581492.0</v>
      </c>
      <c r="B3728" s="1" t="str">
        <f t="shared" si="1"/>
        <v>581492</v>
      </c>
      <c r="C3728" s="1" t="str">
        <f t="shared" si="2"/>
        <v>Sale</v>
      </c>
      <c r="D3728" s="1">
        <v>21494.0</v>
      </c>
      <c r="E3728" s="1" t="str">
        <f>IFERROR(__xludf.DUMMYFUNCTION("IF(LEN(D3728)&gt;4, IFERROR(REGEXEXTRACT(TO_TEXT(D3728),""\d+""),""""),"""")"),"21494")</f>
        <v>21494</v>
      </c>
      <c r="F3728" s="6" t="str">
        <f t="shared" si="3"/>
        <v>Product</v>
      </c>
      <c r="G3728" s="1" t="s">
        <v>508</v>
      </c>
      <c r="H3728" s="6" t="str">
        <f>IFERROR(__xludf.DUMMYFUNCTION("IF(REGEXMATCH(LOWER(G3728), ""^(\?)+\s*(missing)?\s*(\?)*$""), """", PROPER(SUBSTITUTE(SUBSTITUTE(G3728, ""?"", """"), ""*"", """")))"),"Rotating Leaves T-Light Holder")</f>
        <v>Rotating Leaves T-Light Holder</v>
      </c>
      <c r="I3728" s="3">
        <v>11.0</v>
      </c>
      <c r="J3728" s="7">
        <v>40886.41875</v>
      </c>
      <c r="K3728" s="8" t="str">
        <f t="shared" si="4"/>
        <v>2011-12</v>
      </c>
      <c r="L3728" s="5">
        <v>2.46</v>
      </c>
      <c r="M3728" s="10"/>
      <c r="N3728" s="1" t="str">
        <f t="shared" si="5"/>
        <v>Guest</v>
      </c>
      <c r="O3728" s="1" t="s">
        <v>19</v>
      </c>
      <c r="P3728" s="9" t="str">
        <f t="shared" si="6"/>
        <v>UK</v>
      </c>
      <c r="Q3728" s="8">
        <f t="shared" si="7"/>
        <v>27.06</v>
      </c>
    </row>
    <row r="3729">
      <c r="A3729" s="1">
        <v>581492.0</v>
      </c>
      <c r="B3729" s="1" t="str">
        <f t="shared" si="1"/>
        <v>581492</v>
      </c>
      <c r="C3729" s="1" t="str">
        <f t="shared" si="2"/>
        <v>Sale</v>
      </c>
      <c r="D3729" s="1">
        <v>21506.0</v>
      </c>
      <c r="E3729" s="1" t="str">
        <f>IFERROR(__xludf.DUMMYFUNCTION("IF(LEN(D3729)&gt;4, IFERROR(REGEXEXTRACT(TO_TEXT(D3729),""\d+""),""""),"""")"),"21506")</f>
        <v>21506</v>
      </c>
      <c r="F3729" s="6" t="str">
        <f t="shared" si="3"/>
        <v>Product</v>
      </c>
      <c r="G3729" s="1" t="s">
        <v>245</v>
      </c>
      <c r="H3729" s="6" t="str">
        <f>IFERROR(__xludf.DUMMYFUNCTION("IF(REGEXMATCH(LOWER(G3729), ""^(\?)+\s*(missing)?\s*(\?)*$""), """", PROPER(SUBSTITUTE(SUBSTITUTE(G3729, ""?"", """"), ""*"", """")))"),"Fancy Font Birthday Card,")</f>
        <v>Fancy Font Birthday Card,</v>
      </c>
      <c r="I3729" s="3">
        <v>3.0</v>
      </c>
      <c r="J3729" s="7">
        <v>40886.41875</v>
      </c>
      <c r="K3729" s="8" t="str">
        <f t="shared" si="4"/>
        <v>2011-12</v>
      </c>
      <c r="L3729" s="5">
        <v>0.83</v>
      </c>
      <c r="M3729" s="10"/>
      <c r="N3729" s="1" t="str">
        <f t="shared" si="5"/>
        <v>Guest</v>
      </c>
      <c r="O3729" s="1" t="s">
        <v>19</v>
      </c>
      <c r="P3729" s="9" t="str">
        <f t="shared" si="6"/>
        <v>UK</v>
      </c>
      <c r="Q3729" s="8">
        <f t="shared" si="7"/>
        <v>2.49</v>
      </c>
    </row>
    <row r="3730">
      <c r="A3730" s="1">
        <v>581492.0</v>
      </c>
      <c r="B3730" s="1" t="str">
        <f t="shared" si="1"/>
        <v>581492</v>
      </c>
      <c r="C3730" s="1" t="str">
        <f t="shared" si="2"/>
        <v>Sale</v>
      </c>
      <c r="D3730" s="1">
        <v>21507.0</v>
      </c>
      <c r="E3730" s="1" t="str">
        <f>IFERROR(__xludf.DUMMYFUNCTION("IF(LEN(D3730)&gt;4, IFERROR(REGEXEXTRACT(TO_TEXT(D3730),""\d+""),""""),"""")"),"21507")</f>
        <v>21507</v>
      </c>
      <c r="F3730" s="6" t="str">
        <f t="shared" si="3"/>
        <v>Product</v>
      </c>
      <c r="G3730" s="1" t="s">
        <v>1756</v>
      </c>
      <c r="H3730" s="6" t="str">
        <f>IFERROR(__xludf.DUMMYFUNCTION("IF(REGEXMATCH(LOWER(G3730), ""^(\?)+\s*(missing)?\s*(\?)*$""), """", PROPER(SUBSTITUTE(SUBSTITUTE(G3730, ""?"", """"), ""*"", """")))"),"Elephant Birthday Card")</f>
        <v>Elephant Birthday Card</v>
      </c>
      <c r="I3730" s="3">
        <v>1.0</v>
      </c>
      <c r="J3730" s="7">
        <v>40886.41875</v>
      </c>
      <c r="K3730" s="8" t="str">
        <f t="shared" si="4"/>
        <v>2011-12</v>
      </c>
      <c r="L3730" s="5">
        <v>0.83</v>
      </c>
      <c r="M3730" s="10"/>
      <c r="N3730" s="1" t="str">
        <f t="shared" si="5"/>
        <v>Guest</v>
      </c>
      <c r="O3730" s="1" t="s">
        <v>19</v>
      </c>
      <c r="P3730" s="9" t="str">
        <f t="shared" si="6"/>
        <v>UK</v>
      </c>
      <c r="Q3730" s="8">
        <f t="shared" si="7"/>
        <v>0.83</v>
      </c>
    </row>
    <row r="3731">
      <c r="A3731" s="1">
        <v>581492.0</v>
      </c>
      <c r="B3731" s="1" t="str">
        <f t="shared" si="1"/>
        <v>581492</v>
      </c>
      <c r="C3731" s="1" t="str">
        <f t="shared" si="2"/>
        <v>Sale</v>
      </c>
      <c r="D3731" s="1">
        <v>21508.0</v>
      </c>
      <c r="E3731" s="1" t="str">
        <f>IFERROR(__xludf.DUMMYFUNCTION("IF(LEN(D3731)&gt;4, IFERROR(REGEXEXTRACT(TO_TEXT(D3731),""\d+""),""""),"""")"),"21508")</f>
        <v>21508</v>
      </c>
      <c r="F3731" s="6" t="str">
        <f t="shared" si="3"/>
        <v>Product</v>
      </c>
      <c r="G3731" s="1" t="s">
        <v>958</v>
      </c>
      <c r="H3731" s="6" t="str">
        <f>IFERROR(__xludf.DUMMYFUNCTION("IF(REGEXMATCH(LOWER(G3731), ""^(\?)+\s*(missing)?\s*(\?)*$""), """", PROPER(SUBSTITUTE(SUBSTITUTE(G3731, ""?"", """"), ""*"", """")))"),"Vintage Kid Dolly Card")</f>
        <v>Vintage Kid Dolly Card</v>
      </c>
      <c r="I3731" s="3">
        <v>1.0</v>
      </c>
      <c r="J3731" s="7">
        <v>40886.41875</v>
      </c>
      <c r="K3731" s="8" t="str">
        <f t="shared" si="4"/>
        <v>2011-12</v>
      </c>
      <c r="L3731" s="5">
        <v>0.83</v>
      </c>
      <c r="M3731" s="10"/>
      <c r="N3731" s="1" t="str">
        <f t="shared" si="5"/>
        <v>Guest</v>
      </c>
      <c r="O3731" s="1" t="s">
        <v>19</v>
      </c>
      <c r="P3731" s="9" t="str">
        <f t="shared" si="6"/>
        <v>UK</v>
      </c>
      <c r="Q3731" s="8">
        <f t="shared" si="7"/>
        <v>0.83</v>
      </c>
    </row>
    <row r="3732">
      <c r="A3732" s="1">
        <v>581492.0</v>
      </c>
      <c r="B3732" s="1" t="str">
        <f t="shared" si="1"/>
        <v>581492</v>
      </c>
      <c r="C3732" s="1" t="str">
        <f t="shared" si="2"/>
        <v>Sale</v>
      </c>
      <c r="D3732" s="1">
        <v>21509.0</v>
      </c>
      <c r="E3732" s="1" t="str">
        <f>IFERROR(__xludf.DUMMYFUNCTION("IF(LEN(D3732)&gt;4, IFERROR(REGEXEXTRACT(TO_TEXT(D3732),""\d+""),""""),"""")"),"21509")</f>
        <v>21509</v>
      </c>
      <c r="F3732" s="6" t="str">
        <f t="shared" si="3"/>
        <v>Product</v>
      </c>
      <c r="G3732" s="1" t="s">
        <v>740</v>
      </c>
      <c r="H3732" s="6" t="str">
        <f>IFERROR(__xludf.DUMMYFUNCTION("IF(REGEXMATCH(LOWER(G3732), ""^(\?)+\s*(missing)?\s*(\?)*$""), """", PROPER(SUBSTITUTE(SUBSTITUTE(G3732, ""?"", """"), ""*"", """")))"),"Cowboys And Indians Birthday Card")</f>
        <v>Cowboys And Indians Birthday Card</v>
      </c>
      <c r="I3732" s="3">
        <v>2.0</v>
      </c>
      <c r="J3732" s="7">
        <v>40886.41875</v>
      </c>
      <c r="K3732" s="8" t="str">
        <f t="shared" si="4"/>
        <v>2011-12</v>
      </c>
      <c r="L3732" s="5">
        <v>0.83</v>
      </c>
      <c r="M3732" s="10"/>
      <c r="N3732" s="1" t="str">
        <f t="shared" si="5"/>
        <v>Guest</v>
      </c>
      <c r="O3732" s="1" t="s">
        <v>19</v>
      </c>
      <c r="P3732" s="9" t="str">
        <f t="shared" si="6"/>
        <v>UK</v>
      </c>
      <c r="Q3732" s="8">
        <f t="shared" si="7"/>
        <v>1.66</v>
      </c>
    </row>
    <row r="3733">
      <c r="A3733" s="1">
        <v>581492.0</v>
      </c>
      <c r="B3733" s="1" t="str">
        <f t="shared" si="1"/>
        <v>581492</v>
      </c>
      <c r="C3733" s="1" t="str">
        <f t="shared" si="2"/>
        <v>Sale</v>
      </c>
      <c r="D3733" s="1">
        <v>21528.0</v>
      </c>
      <c r="E3733" s="1" t="str">
        <f>IFERROR(__xludf.DUMMYFUNCTION("IF(LEN(D3733)&gt;4, IFERROR(REGEXEXTRACT(TO_TEXT(D3733),""\d+""),""""),"""")"),"21528")</f>
        <v>21528</v>
      </c>
      <c r="F3733" s="6" t="str">
        <f t="shared" si="3"/>
        <v>Product</v>
      </c>
      <c r="G3733" s="1" t="s">
        <v>1757</v>
      </c>
      <c r="H3733" s="6" t="str">
        <f>IFERROR(__xludf.DUMMYFUNCTION("IF(REGEXMATCH(LOWER(G3733), ""^(\?)+\s*(missing)?\s*(\?)*$""), """", PROPER(SUBSTITUTE(SUBSTITUTE(G3733, ""?"", """"), ""*"", """")))"),"Dairy Maid Traditional Teapot")</f>
        <v>Dairy Maid Traditional Teapot</v>
      </c>
      <c r="I3733" s="3">
        <v>1.0</v>
      </c>
      <c r="J3733" s="7">
        <v>40886.41875</v>
      </c>
      <c r="K3733" s="8" t="str">
        <f t="shared" si="4"/>
        <v>2011-12</v>
      </c>
      <c r="L3733" s="5">
        <v>13.29</v>
      </c>
      <c r="M3733" s="10"/>
      <c r="N3733" s="1" t="str">
        <f t="shared" si="5"/>
        <v>Guest</v>
      </c>
      <c r="O3733" s="1" t="s">
        <v>19</v>
      </c>
      <c r="P3733" s="9" t="str">
        <f t="shared" si="6"/>
        <v>UK</v>
      </c>
      <c r="Q3733" s="8">
        <f t="shared" si="7"/>
        <v>13.29</v>
      </c>
    </row>
    <row r="3734">
      <c r="A3734" s="1">
        <v>581492.0</v>
      </c>
      <c r="B3734" s="1" t="str">
        <f t="shared" si="1"/>
        <v>581492</v>
      </c>
      <c r="C3734" s="1" t="str">
        <f t="shared" si="2"/>
        <v>Sale</v>
      </c>
      <c r="D3734" s="1">
        <v>21544.0</v>
      </c>
      <c r="E3734" s="1" t="str">
        <f>IFERROR(__xludf.DUMMYFUNCTION("IF(LEN(D3734)&gt;4, IFERROR(REGEXEXTRACT(TO_TEXT(D3734),""\d+""),""""),"""")"),"21544")</f>
        <v>21544</v>
      </c>
      <c r="F3734" s="6" t="str">
        <f t="shared" si="3"/>
        <v>Product</v>
      </c>
      <c r="G3734" s="1" t="s">
        <v>365</v>
      </c>
      <c r="H3734" s="6" t="str">
        <f>IFERROR(__xludf.DUMMYFUNCTION("IF(REGEXMATCH(LOWER(G3734), ""^(\?)+\s*(missing)?\s*(\?)*$""), """", PROPER(SUBSTITUTE(SUBSTITUTE(G3734, ""?"", """"), ""*"", """")))"),"Skulls Water Transfer Tattoos")</f>
        <v>Skulls Water Transfer Tattoos</v>
      </c>
      <c r="I3734" s="3">
        <v>2.0</v>
      </c>
      <c r="J3734" s="7">
        <v>40886.41875</v>
      </c>
      <c r="K3734" s="8" t="str">
        <f t="shared" si="4"/>
        <v>2011-12</v>
      </c>
      <c r="L3734" s="5">
        <v>1.63</v>
      </c>
      <c r="M3734" s="10"/>
      <c r="N3734" s="1" t="str">
        <f t="shared" si="5"/>
        <v>Guest</v>
      </c>
      <c r="O3734" s="1" t="s">
        <v>19</v>
      </c>
      <c r="P3734" s="9" t="str">
        <f t="shared" si="6"/>
        <v>UK</v>
      </c>
      <c r="Q3734" s="8">
        <f t="shared" si="7"/>
        <v>3.26</v>
      </c>
    </row>
    <row r="3735">
      <c r="A3735" s="1">
        <v>581492.0</v>
      </c>
      <c r="B3735" s="1" t="str">
        <f t="shared" si="1"/>
        <v>581492</v>
      </c>
      <c r="C3735" s="1" t="str">
        <f t="shared" si="2"/>
        <v>Sale</v>
      </c>
      <c r="D3735" s="1">
        <v>21558.0</v>
      </c>
      <c r="E3735" s="1" t="str">
        <f>IFERROR(__xludf.DUMMYFUNCTION("IF(LEN(D3735)&gt;4, IFERROR(REGEXEXTRACT(TO_TEXT(D3735),""\d+""),""""),"""")"),"21558")</f>
        <v>21558</v>
      </c>
      <c r="F3735" s="6" t="str">
        <f t="shared" si="3"/>
        <v>Product</v>
      </c>
      <c r="G3735" s="1" t="s">
        <v>810</v>
      </c>
      <c r="H3735" s="6" t="str">
        <f>IFERROR(__xludf.DUMMYFUNCTION("IF(REGEXMATCH(LOWER(G3735), ""^(\?)+\s*(missing)?\s*(\?)*$""), """", PROPER(SUBSTITUTE(SUBSTITUTE(G3735, ""?"", """"), ""*"", """")))"),"Skull Lunch Box With Cutlery")</f>
        <v>Skull Lunch Box With Cutlery</v>
      </c>
      <c r="I3735" s="3">
        <v>1.0</v>
      </c>
      <c r="J3735" s="7">
        <v>40886.41875</v>
      </c>
      <c r="K3735" s="8" t="str">
        <f t="shared" si="4"/>
        <v>2011-12</v>
      </c>
      <c r="L3735" s="5">
        <v>4.96</v>
      </c>
      <c r="M3735" s="10"/>
      <c r="N3735" s="1" t="str">
        <f t="shared" si="5"/>
        <v>Guest</v>
      </c>
      <c r="O3735" s="1" t="s">
        <v>19</v>
      </c>
      <c r="P3735" s="9" t="str">
        <f t="shared" si="6"/>
        <v>UK</v>
      </c>
      <c r="Q3735" s="8">
        <f t="shared" si="7"/>
        <v>4.96</v>
      </c>
    </row>
    <row r="3736">
      <c r="A3736" s="1">
        <v>581492.0</v>
      </c>
      <c r="B3736" s="1" t="str">
        <f t="shared" si="1"/>
        <v>581492</v>
      </c>
      <c r="C3736" s="1" t="str">
        <f t="shared" si="2"/>
        <v>Sale</v>
      </c>
      <c r="D3736" s="1">
        <v>21559.0</v>
      </c>
      <c r="E3736" s="1" t="str">
        <f>IFERROR(__xludf.DUMMYFUNCTION("IF(LEN(D3736)&gt;4, IFERROR(REGEXEXTRACT(TO_TEXT(D3736),""\d+""),""""),"""")"),"21559")</f>
        <v>21559</v>
      </c>
      <c r="F3736" s="6" t="str">
        <f t="shared" si="3"/>
        <v>Product</v>
      </c>
      <c r="G3736" s="1" t="s">
        <v>95</v>
      </c>
      <c r="H3736" s="6" t="str">
        <f>IFERROR(__xludf.DUMMYFUNCTION("IF(REGEXMATCH(LOWER(G3736), ""^(\?)+\s*(missing)?\s*(\?)*$""), """", PROPER(SUBSTITUTE(SUBSTITUTE(G3736, ""?"", """"), ""*"", """")))"),"Strawberry Lunch Box With Cutlery")</f>
        <v>Strawberry Lunch Box With Cutlery</v>
      </c>
      <c r="I3736" s="3">
        <v>1.0</v>
      </c>
      <c r="J3736" s="7">
        <v>40886.41875</v>
      </c>
      <c r="K3736" s="8" t="str">
        <f t="shared" si="4"/>
        <v>2011-12</v>
      </c>
      <c r="L3736" s="5">
        <v>4.96</v>
      </c>
      <c r="M3736" s="10"/>
      <c r="N3736" s="1" t="str">
        <f t="shared" si="5"/>
        <v>Guest</v>
      </c>
      <c r="O3736" s="1" t="s">
        <v>19</v>
      </c>
      <c r="P3736" s="9" t="str">
        <f t="shared" si="6"/>
        <v>UK</v>
      </c>
      <c r="Q3736" s="8">
        <f t="shared" si="7"/>
        <v>4.96</v>
      </c>
    </row>
    <row r="3737">
      <c r="A3737" s="1">
        <v>581492.0</v>
      </c>
      <c r="B3737" s="1" t="str">
        <f t="shared" si="1"/>
        <v>581492</v>
      </c>
      <c r="C3737" s="1" t="str">
        <f t="shared" si="2"/>
        <v>Sale</v>
      </c>
      <c r="D3737" s="1">
        <v>21615.0</v>
      </c>
      <c r="E3737" s="1" t="str">
        <f>IFERROR(__xludf.DUMMYFUNCTION("IF(LEN(D3737)&gt;4, IFERROR(REGEXEXTRACT(TO_TEXT(D3737),""\d+""),""""),"""")"),"21615")</f>
        <v>21615</v>
      </c>
      <c r="F3737" s="6" t="str">
        <f t="shared" si="3"/>
        <v>Product</v>
      </c>
      <c r="G3737" s="1" t="s">
        <v>1758</v>
      </c>
      <c r="H3737" s="6" t="str">
        <f>IFERROR(__xludf.DUMMYFUNCTION("IF(REGEXMATCH(LOWER(G3737), ""^(\?)+\s*(missing)?\s*(\?)*$""), """", PROPER(SUBSTITUTE(SUBSTITUTE(G3737, ""?"", """"), ""*"", """")))"),"4 Lavender Botanical Dinner Candles")</f>
        <v>4 Lavender Botanical Dinner Candles</v>
      </c>
      <c r="I3737" s="3">
        <v>2.0</v>
      </c>
      <c r="J3737" s="7">
        <v>40886.41875</v>
      </c>
      <c r="K3737" s="8" t="str">
        <f t="shared" si="4"/>
        <v>2011-12</v>
      </c>
      <c r="L3737" s="5">
        <v>3.29</v>
      </c>
      <c r="M3737" s="10"/>
      <c r="N3737" s="1" t="str">
        <f t="shared" si="5"/>
        <v>Guest</v>
      </c>
      <c r="O3737" s="1" t="s">
        <v>19</v>
      </c>
      <c r="P3737" s="9" t="str">
        <f t="shared" si="6"/>
        <v>UK</v>
      </c>
      <c r="Q3737" s="8">
        <f t="shared" si="7"/>
        <v>6.58</v>
      </c>
    </row>
    <row r="3738">
      <c r="A3738" s="1">
        <v>581492.0</v>
      </c>
      <c r="B3738" s="1" t="str">
        <f t="shared" si="1"/>
        <v>581492</v>
      </c>
      <c r="C3738" s="1" t="str">
        <f t="shared" si="2"/>
        <v>Sale</v>
      </c>
      <c r="D3738" s="1">
        <v>21616.0</v>
      </c>
      <c r="E3738" s="1" t="str">
        <f>IFERROR(__xludf.DUMMYFUNCTION("IF(LEN(D3738)&gt;4, IFERROR(REGEXEXTRACT(TO_TEXT(D3738),""\d+""),""""),"""")"),"21616")</f>
        <v>21616</v>
      </c>
      <c r="F3738" s="6" t="str">
        <f t="shared" si="3"/>
        <v>Product</v>
      </c>
      <c r="G3738" s="1" t="s">
        <v>1759</v>
      </c>
      <c r="H3738" s="6" t="str">
        <f>IFERROR(__xludf.DUMMYFUNCTION("IF(REGEXMATCH(LOWER(G3738), ""^(\?)+\s*(missing)?\s*(\?)*$""), """", PROPER(SUBSTITUTE(SUBSTITUTE(G3738, ""?"", """"), ""*"", """")))"),"4 Pear Botanical Dinner Candles")</f>
        <v>4 Pear Botanical Dinner Candles</v>
      </c>
      <c r="I3738" s="3">
        <v>6.0</v>
      </c>
      <c r="J3738" s="7">
        <v>40886.41875</v>
      </c>
      <c r="K3738" s="8" t="str">
        <f t="shared" si="4"/>
        <v>2011-12</v>
      </c>
      <c r="L3738" s="5">
        <v>3.29</v>
      </c>
      <c r="M3738" s="10"/>
      <c r="N3738" s="1" t="str">
        <f t="shared" si="5"/>
        <v>Guest</v>
      </c>
      <c r="O3738" s="1" t="s">
        <v>19</v>
      </c>
      <c r="P3738" s="9" t="str">
        <f t="shared" si="6"/>
        <v>UK</v>
      </c>
      <c r="Q3738" s="8">
        <f t="shared" si="7"/>
        <v>19.74</v>
      </c>
    </row>
    <row r="3739">
      <c r="A3739" s="1">
        <v>581492.0</v>
      </c>
      <c r="B3739" s="1" t="str">
        <f t="shared" si="1"/>
        <v>581492</v>
      </c>
      <c r="C3739" s="1" t="str">
        <f t="shared" si="2"/>
        <v>Sale</v>
      </c>
      <c r="D3739" s="1">
        <v>21620.0</v>
      </c>
      <c r="E3739" s="1" t="str">
        <f>IFERROR(__xludf.DUMMYFUNCTION("IF(LEN(D3739)&gt;4, IFERROR(REGEXEXTRACT(TO_TEXT(D3739),""\d+""),""""),"""")"),"21620")</f>
        <v>21620</v>
      </c>
      <c r="F3739" s="6" t="str">
        <f t="shared" si="3"/>
        <v>Product</v>
      </c>
      <c r="G3739" s="1" t="s">
        <v>1760</v>
      </c>
      <c r="H3739" s="6" t="str">
        <f>IFERROR(__xludf.DUMMYFUNCTION("IF(REGEXMATCH(LOWER(G3739), ""^(\?)+\s*(missing)?\s*(\?)*$""), """", PROPER(SUBSTITUTE(SUBSTITUTE(G3739, ""?"", """"), ""*"", """")))"),"Set Of 4 Rose Botanical Candles")</f>
        <v>Set Of 4 Rose Botanical Candles</v>
      </c>
      <c r="I3739" s="3">
        <v>5.0</v>
      </c>
      <c r="J3739" s="7">
        <v>40886.41875</v>
      </c>
      <c r="K3739" s="8" t="str">
        <f t="shared" si="4"/>
        <v>2011-12</v>
      </c>
      <c r="L3739" s="5">
        <v>3.29</v>
      </c>
      <c r="M3739" s="10"/>
      <c r="N3739" s="1" t="str">
        <f t="shared" si="5"/>
        <v>Guest</v>
      </c>
      <c r="O3739" s="1" t="s">
        <v>19</v>
      </c>
      <c r="P3739" s="9" t="str">
        <f t="shared" si="6"/>
        <v>UK</v>
      </c>
      <c r="Q3739" s="8">
        <f t="shared" si="7"/>
        <v>16.45</v>
      </c>
    </row>
    <row r="3740">
      <c r="A3740" s="1">
        <v>581492.0</v>
      </c>
      <c r="B3740" s="1" t="str">
        <f t="shared" si="1"/>
        <v>581492</v>
      </c>
      <c r="C3740" s="1" t="str">
        <f t="shared" si="2"/>
        <v>Sale</v>
      </c>
      <c r="D3740" s="1">
        <v>21642.0</v>
      </c>
      <c r="E3740" s="1" t="str">
        <f>IFERROR(__xludf.DUMMYFUNCTION("IF(LEN(D3740)&gt;4, IFERROR(REGEXEXTRACT(TO_TEXT(D3740),""\d+""),""""),"""")"),"21642")</f>
        <v>21642</v>
      </c>
      <c r="F3740" s="6" t="str">
        <f t="shared" si="3"/>
        <v>Product</v>
      </c>
      <c r="G3740" s="1" t="s">
        <v>1479</v>
      </c>
      <c r="H3740" s="6" t="str">
        <f>IFERROR(__xludf.DUMMYFUNCTION("IF(REGEXMATCH(LOWER(G3740), ""^(\?)+\s*(missing)?\s*(\?)*$""), """", PROPER(SUBSTITUTE(SUBSTITUTE(G3740, ""?"", """"), ""*"", """")))"),"Assorted Tutti Frutti Pen")</f>
        <v>Assorted Tutti Frutti Pen</v>
      </c>
      <c r="I3740" s="3">
        <v>4.0</v>
      </c>
      <c r="J3740" s="7">
        <v>40886.41875</v>
      </c>
      <c r="K3740" s="8" t="str">
        <f t="shared" si="4"/>
        <v>2011-12</v>
      </c>
      <c r="L3740" s="5">
        <v>1.63</v>
      </c>
      <c r="M3740" s="10"/>
      <c r="N3740" s="1" t="str">
        <f t="shared" si="5"/>
        <v>Guest</v>
      </c>
      <c r="O3740" s="1" t="s">
        <v>19</v>
      </c>
      <c r="P3740" s="9" t="str">
        <f t="shared" si="6"/>
        <v>UK</v>
      </c>
      <c r="Q3740" s="8">
        <f t="shared" si="7"/>
        <v>6.52</v>
      </c>
    </row>
    <row r="3741">
      <c r="A3741" s="1">
        <v>581492.0</v>
      </c>
      <c r="B3741" s="1" t="str">
        <f t="shared" si="1"/>
        <v>581492</v>
      </c>
      <c r="C3741" s="1" t="str">
        <f t="shared" si="2"/>
        <v>Sale</v>
      </c>
      <c r="D3741" s="1">
        <v>21648.0</v>
      </c>
      <c r="E3741" s="1" t="str">
        <f>IFERROR(__xludf.DUMMYFUNCTION("IF(LEN(D3741)&gt;4, IFERROR(REGEXEXTRACT(TO_TEXT(D3741),""\d+""),""""),"""")"),"21648")</f>
        <v>21648</v>
      </c>
      <c r="F3741" s="6" t="str">
        <f t="shared" si="3"/>
        <v>Product</v>
      </c>
      <c r="G3741" s="1" t="s">
        <v>1284</v>
      </c>
      <c r="H3741" s="6" t="str">
        <f>IFERROR(__xludf.DUMMYFUNCTION("IF(REGEXMATCH(LOWER(G3741), ""^(\?)+\s*(missing)?\s*(\?)*$""), """", PROPER(SUBSTITUTE(SUBSTITUTE(G3741, ""?"", """"), ""*"", """")))"),"Assorted Tutti Frutti Small Purse")</f>
        <v>Assorted Tutti Frutti Small Purse</v>
      </c>
      <c r="I3741" s="3">
        <v>2.0</v>
      </c>
      <c r="J3741" s="7">
        <v>40886.41875</v>
      </c>
      <c r="K3741" s="8" t="str">
        <f t="shared" si="4"/>
        <v>2011-12</v>
      </c>
      <c r="L3741" s="5">
        <v>2.46</v>
      </c>
      <c r="M3741" s="10"/>
      <c r="N3741" s="1" t="str">
        <f t="shared" si="5"/>
        <v>Guest</v>
      </c>
      <c r="O3741" s="1" t="s">
        <v>19</v>
      </c>
      <c r="P3741" s="9" t="str">
        <f t="shared" si="6"/>
        <v>UK</v>
      </c>
      <c r="Q3741" s="8">
        <f t="shared" si="7"/>
        <v>4.92</v>
      </c>
    </row>
    <row r="3742">
      <c r="A3742" s="1">
        <v>581492.0</v>
      </c>
      <c r="B3742" s="1" t="str">
        <f t="shared" si="1"/>
        <v>581492</v>
      </c>
      <c r="C3742" s="1" t="str">
        <f t="shared" si="2"/>
        <v>Sale</v>
      </c>
      <c r="D3742" s="1">
        <v>21650.0</v>
      </c>
      <c r="E3742" s="1" t="str">
        <f>IFERROR(__xludf.DUMMYFUNCTION("IF(LEN(D3742)&gt;4, IFERROR(REGEXEXTRACT(TO_TEXT(D3742),""\d+""),""""),"""")"),"21650")</f>
        <v>21650</v>
      </c>
      <c r="F3742" s="6" t="str">
        <f t="shared" si="3"/>
        <v>Product</v>
      </c>
      <c r="G3742" s="1" t="s">
        <v>1761</v>
      </c>
      <c r="H3742" s="6" t="str">
        <f>IFERROR(__xludf.DUMMYFUNCTION("IF(REGEXMATCH(LOWER(G3742), ""^(\?)+\s*(missing)?\s*(\?)*$""), """", PROPER(SUBSTITUTE(SUBSTITUTE(G3742, ""?"", """"), ""*"", """")))"),"Assorted Tutti Frutti Bracelet")</f>
        <v>Assorted Tutti Frutti Bracelet</v>
      </c>
      <c r="I3742" s="3">
        <v>14.0</v>
      </c>
      <c r="J3742" s="7">
        <v>40886.41875</v>
      </c>
      <c r="K3742" s="8" t="str">
        <f t="shared" si="4"/>
        <v>2011-12</v>
      </c>
      <c r="L3742" s="5">
        <v>0.83</v>
      </c>
      <c r="M3742" s="10"/>
      <c r="N3742" s="1" t="str">
        <f t="shared" si="5"/>
        <v>Guest</v>
      </c>
      <c r="O3742" s="1" t="s">
        <v>19</v>
      </c>
      <c r="P3742" s="9" t="str">
        <f t="shared" si="6"/>
        <v>UK</v>
      </c>
      <c r="Q3742" s="8">
        <f t="shared" si="7"/>
        <v>11.62</v>
      </c>
    </row>
    <row r="3743">
      <c r="A3743" s="1">
        <v>581492.0</v>
      </c>
      <c r="B3743" s="1" t="str">
        <f t="shared" si="1"/>
        <v>581492</v>
      </c>
      <c r="C3743" s="1" t="str">
        <f t="shared" si="2"/>
        <v>Sale</v>
      </c>
      <c r="D3743" s="1">
        <v>21675.0</v>
      </c>
      <c r="E3743" s="1" t="str">
        <f>IFERROR(__xludf.DUMMYFUNCTION("IF(LEN(D3743)&gt;4, IFERROR(REGEXEXTRACT(TO_TEXT(D3743),""\d+""),""""),"""")"),"21675")</f>
        <v>21675</v>
      </c>
      <c r="F3743" s="6" t="str">
        <f t="shared" si="3"/>
        <v>Product</v>
      </c>
      <c r="G3743" s="1" t="s">
        <v>1143</v>
      </c>
      <c r="H3743" s="6" t="str">
        <f>IFERROR(__xludf.DUMMYFUNCTION("IF(REGEXMATCH(LOWER(G3743), ""^(\?)+\s*(missing)?\s*(\?)*$""), """", PROPER(SUBSTITUTE(SUBSTITUTE(G3743, ""?"", """"), ""*"", """")))"),"Butterflies Stickers")</f>
        <v>Butterflies Stickers</v>
      </c>
      <c r="I3743" s="3">
        <v>2.0</v>
      </c>
      <c r="J3743" s="7">
        <v>40886.41875</v>
      </c>
      <c r="K3743" s="8" t="str">
        <f t="shared" si="4"/>
        <v>2011-12</v>
      </c>
      <c r="L3743" s="5">
        <v>1.63</v>
      </c>
      <c r="M3743" s="10"/>
      <c r="N3743" s="1" t="str">
        <f t="shared" si="5"/>
        <v>Guest</v>
      </c>
      <c r="O3743" s="1" t="s">
        <v>19</v>
      </c>
      <c r="P3743" s="9" t="str">
        <f t="shared" si="6"/>
        <v>UK</v>
      </c>
      <c r="Q3743" s="8">
        <f t="shared" si="7"/>
        <v>3.26</v>
      </c>
    </row>
    <row r="3744">
      <c r="A3744" s="1">
        <v>581492.0</v>
      </c>
      <c r="B3744" s="1" t="str">
        <f t="shared" si="1"/>
        <v>581492</v>
      </c>
      <c r="C3744" s="1" t="str">
        <f t="shared" si="2"/>
        <v>Sale</v>
      </c>
      <c r="D3744" s="1">
        <v>21677.0</v>
      </c>
      <c r="E3744" s="1" t="str">
        <f>IFERROR(__xludf.DUMMYFUNCTION("IF(LEN(D3744)&gt;4, IFERROR(REGEXEXTRACT(TO_TEXT(D3744),""\d+""),""""),"""")"),"21677")</f>
        <v>21677</v>
      </c>
      <c r="F3744" s="6" t="str">
        <f t="shared" si="3"/>
        <v>Product</v>
      </c>
      <c r="G3744" s="1" t="s">
        <v>1762</v>
      </c>
      <c r="H3744" s="6" t="str">
        <f>IFERROR(__xludf.DUMMYFUNCTION("IF(REGEXMATCH(LOWER(G3744), ""^(\?)+\s*(missing)?\s*(\?)*$""), """", PROPER(SUBSTITUTE(SUBSTITUTE(G3744, ""?"", """"), ""*"", """")))"),"Hearts Stickers")</f>
        <v>Hearts Stickers</v>
      </c>
      <c r="I3744" s="3">
        <v>1.0</v>
      </c>
      <c r="J3744" s="7">
        <v>40886.41875</v>
      </c>
      <c r="K3744" s="8" t="str">
        <f t="shared" si="4"/>
        <v>2011-12</v>
      </c>
      <c r="L3744" s="5">
        <v>1.63</v>
      </c>
      <c r="M3744" s="10"/>
      <c r="N3744" s="1" t="str">
        <f t="shared" si="5"/>
        <v>Guest</v>
      </c>
      <c r="O3744" s="1" t="s">
        <v>19</v>
      </c>
      <c r="P3744" s="9" t="str">
        <f t="shared" si="6"/>
        <v>UK</v>
      </c>
      <c r="Q3744" s="8">
        <f t="shared" si="7"/>
        <v>1.63</v>
      </c>
    </row>
    <row r="3745">
      <c r="A3745" s="1">
        <v>581492.0</v>
      </c>
      <c r="B3745" s="1" t="str">
        <f t="shared" si="1"/>
        <v>581492</v>
      </c>
      <c r="C3745" s="1" t="str">
        <f t="shared" si="2"/>
        <v>Sale</v>
      </c>
      <c r="D3745" s="1">
        <v>21678.0</v>
      </c>
      <c r="E3745" s="1" t="str">
        <f>IFERROR(__xludf.DUMMYFUNCTION("IF(LEN(D3745)&gt;4, IFERROR(REGEXEXTRACT(TO_TEXT(D3745),""\d+""),""""),"""")"),"21678")</f>
        <v>21678</v>
      </c>
      <c r="F3745" s="6" t="str">
        <f t="shared" si="3"/>
        <v>Product</v>
      </c>
      <c r="G3745" s="1" t="s">
        <v>412</v>
      </c>
      <c r="H3745" s="6" t="str">
        <f>IFERROR(__xludf.DUMMYFUNCTION("IF(REGEXMATCH(LOWER(G3745), ""^(\?)+\s*(missing)?\s*(\?)*$""), """", PROPER(SUBSTITUTE(SUBSTITUTE(G3745, ""?"", """"), ""*"", """")))"),"Paisley Pattern Stickers")</f>
        <v>Paisley Pattern Stickers</v>
      </c>
      <c r="I3745" s="3">
        <v>2.0</v>
      </c>
      <c r="J3745" s="7">
        <v>40886.41875</v>
      </c>
      <c r="K3745" s="8" t="str">
        <f t="shared" si="4"/>
        <v>2011-12</v>
      </c>
      <c r="L3745" s="5">
        <v>1.63</v>
      </c>
      <c r="M3745" s="10"/>
      <c r="N3745" s="1" t="str">
        <f t="shared" si="5"/>
        <v>Guest</v>
      </c>
      <c r="O3745" s="1" t="s">
        <v>19</v>
      </c>
      <c r="P3745" s="9" t="str">
        <f t="shared" si="6"/>
        <v>UK</v>
      </c>
      <c r="Q3745" s="8">
        <f t="shared" si="7"/>
        <v>3.26</v>
      </c>
    </row>
    <row r="3746">
      <c r="A3746" s="1">
        <v>581492.0</v>
      </c>
      <c r="B3746" s="1" t="str">
        <f t="shared" si="1"/>
        <v>581492</v>
      </c>
      <c r="C3746" s="1" t="str">
        <f t="shared" si="2"/>
        <v>Sale</v>
      </c>
      <c r="D3746" s="1">
        <v>21680.0</v>
      </c>
      <c r="E3746" s="1" t="str">
        <f>IFERROR(__xludf.DUMMYFUNCTION("IF(LEN(D3746)&gt;4, IFERROR(REGEXEXTRACT(TO_TEXT(D3746),""\d+""),""""),"""")"),"21680")</f>
        <v>21680</v>
      </c>
      <c r="F3746" s="6" t="str">
        <f t="shared" si="3"/>
        <v>Product</v>
      </c>
      <c r="G3746" s="1" t="s">
        <v>1269</v>
      </c>
      <c r="H3746" s="6" t="str">
        <f>IFERROR(__xludf.DUMMYFUNCTION("IF(REGEXMATCH(LOWER(G3746), ""^(\?)+\s*(missing)?\s*(\?)*$""), """", PROPER(SUBSTITUTE(SUBSTITUTE(G3746, ""?"", """"), ""*"", """")))"),"Woodland Stickers")</f>
        <v>Woodland Stickers</v>
      </c>
      <c r="I3746" s="3">
        <v>1.0</v>
      </c>
      <c r="J3746" s="7">
        <v>40886.41875</v>
      </c>
      <c r="K3746" s="8" t="str">
        <f t="shared" si="4"/>
        <v>2011-12</v>
      </c>
      <c r="L3746" s="5">
        <v>1.63</v>
      </c>
      <c r="M3746" s="10"/>
      <c r="N3746" s="1" t="str">
        <f t="shared" si="5"/>
        <v>Guest</v>
      </c>
      <c r="O3746" s="1" t="s">
        <v>19</v>
      </c>
      <c r="P3746" s="9" t="str">
        <f t="shared" si="6"/>
        <v>UK</v>
      </c>
      <c r="Q3746" s="8">
        <f t="shared" si="7"/>
        <v>1.63</v>
      </c>
    </row>
    <row r="3747">
      <c r="A3747" s="1">
        <v>581492.0</v>
      </c>
      <c r="B3747" s="1" t="str">
        <f t="shared" si="1"/>
        <v>581492</v>
      </c>
      <c r="C3747" s="1" t="str">
        <f t="shared" si="2"/>
        <v>Sale</v>
      </c>
      <c r="D3747" s="1">
        <v>21703.0</v>
      </c>
      <c r="E3747" s="1" t="str">
        <f>IFERROR(__xludf.DUMMYFUNCTION("IF(LEN(D3747)&gt;4, IFERROR(REGEXEXTRACT(TO_TEXT(D3747),""\d+""),""""),"""")"),"21703")</f>
        <v>21703</v>
      </c>
      <c r="F3747" s="6" t="str">
        <f t="shared" si="3"/>
        <v>Product</v>
      </c>
      <c r="G3747" s="1" t="s">
        <v>962</v>
      </c>
      <c r="H3747" s="6" t="str">
        <f>IFERROR(__xludf.DUMMYFUNCTION("IF(REGEXMATCH(LOWER(G3747), ""^(\?)+\s*(missing)?\s*(\?)*$""), """", PROPER(SUBSTITUTE(SUBSTITUTE(G3747, ""?"", """"), ""*"", """")))"),"Bag 125G Swirly Marbles")</f>
        <v>Bag 125G Swirly Marbles</v>
      </c>
      <c r="I3747" s="3">
        <v>1.0</v>
      </c>
      <c r="J3747" s="7">
        <v>40886.41875</v>
      </c>
      <c r="K3747" s="8" t="str">
        <f t="shared" si="4"/>
        <v>2011-12</v>
      </c>
      <c r="L3747" s="5">
        <v>0.83</v>
      </c>
      <c r="M3747" s="10"/>
      <c r="N3747" s="1" t="str">
        <f t="shared" si="5"/>
        <v>Guest</v>
      </c>
      <c r="O3747" s="1" t="s">
        <v>19</v>
      </c>
      <c r="P3747" s="9" t="str">
        <f t="shared" si="6"/>
        <v>UK</v>
      </c>
      <c r="Q3747" s="8">
        <f t="shared" si="7"/>
        <v>0.83</v>
      </c>
    </row>
    <row r="3748">
      <c r="A3748" s="1">
        <v>581492.0</v>
      </c>
      <c r="B3748" s="1" t="str">
        <f t="shared" si="1"/>
        <v>581492</v>
      </c>
      <c r="C3748" s="1" t="str">
        <f t="shared" si="2"/>
        <v>Sale</v>
      </c>
      <c r="D3748" s="1">
        <v>21704.0</v>
      </c>
      <c r="E3748" s="1" t="str">
        <f>IFERROR(__xludf.DUMMYFUNCTION("IF(LEN(D3748)&gt;4, IFERROR(REGEXEXTRACT(TO_TEXT(D3748),""\d+""),""""),"""")"),"21704")</f>
        <v>21704</v>
      </c>
      <c r="F3748" s="6" t="str">
        <f t="shared" si="3"/>
        <v>Product</v>
      </c>
      <c r="G3748" s="1" t="s">
        <v>1537</v>
      </c>
      <c r="H3748" s="6" t="str">
        <f>IFERROR(__xludf.DUMMYFUNCTION("IF(REGEXMATCH(LOWER(G3748), ""^(\?)+\s*(missing)?\s*(\?)*$""), """", PROPER(SUBSTITUTE(SUBSTITUTE(G3748, ""?"", """"), ""*"", """")))"),"Bag 250G Swirly Marbles")</f>
        <v>Bag 250G Swirly Marbles</v>
      </c>
      <c r="I3748" s="3">
        <v>1.0</v>
      </c>
      <c r="J3748" s="7">
        <v>40886.41875</v>
      </c>
      <c r="K3748" s="8" t="str">
        <f t="shared" si="4"/>
        <v>2011-12</v>
      </c>
      <c r="L3748" s="5">
        <v>1.63</v>
      </c>
      <c r="M3748" s="10"/>
      <c r="N3748" s="1" t="str">
        <f t="shared" si="5"/>
        <v>Guest</v>
      </c>
      <c r="O3748" s="1" t="s">
        <v>19</v>
      </c>
      <c r="P3748" s="9" t="str">
        <f t="shared" si="6"/>
        <v>UK</v>
      </c>
      <c r="Q3748" s="8">
        <f t="shared" si="7"/>
        <v>1.63</v>
      </c>
    </row>
    <row r="3749">
      <c r="A3749" s="1">
        <v>581492.0</v>
      </c>
      <c r="B3749" s="1" t="str">
        <f t="shared" si="1"/>
        <v>581492</v>
      </c>
      <c r="C3749" s="1" t="str">
        <f t="shared" si="2"/>
        <v>Sale</v>
      </c>
      <c r="D3749" s="1">
        <v>21716.0</v>
      </c>
      <c r="E3749" s="1" t="str">
        <f>IFERROR(__xludf.DUMMYFUNCTION("IF(LEN(D3749)&gt;4, IFERROR(REGEXEXTRACT(TO_TEXT(D3749),""\d+""),""""),"""")"),"21716")</f>
        <v>21716</v>
      </c>
      <c r="F3749" s="6" t="str">
        <f t="shared" si="3"/>
        <v>Product</v>
      </c>
      <c r="G3749" s="1" t="s">
        <v>513</v>
      </c>
      <c r="H3749" s="6" t="str">
        <f>IFERROR(__xludf.DUMMYFUNCTION("IF(REGEXMATCH(LOWER(G3749), ""^(\?)+\s*(missing)?\s*(\?)*$""), """", PROPER(SUBSTITUTE(SUBSTITUTE(G3749, ""?"", """"), ""*"", """")))"),"Boys Vintage Tin Seaside Bucket")</f>
        <v>Boys Vintage Tin Seaside Bucket</v>
      </c>
      <c r="I3749" s="3">
        <v>1.0</v>
      </c>
      <c r="J3749" s="7">
        <v>40886.41875</v>
      </c>
      <c r="K3749" s="8" t="str">
        <f t="shared" si="4"/>
        <v>2011-12</v>
      </c>
      <c r="L3749" s="5">
        <v>4.96</v>
      </c>
      <c r="M3749" s="10"/>
      <c r="N3749" s="1" t="str">
        <f t="shared" si="5"/>
        <v>Guest</v>
      </c>
      <c r="O3749" s="1" t="s">
        <v>19</v>
      </c>
      <c r="P3749" s="9" t="str">
        <f t="shared" si="6"/>
        <v>UK</v>
      </c>
      <c r="Q3749" s="8">
        <f t="shared" si="7"/>
        <v>4.96</v>
      </c>
    </row>
    <row r="3750">
      <c r="A3750" s="1">
        <v>581492.0</v>
      </c>
      <c r="B3750" s="1" t="str">
        <f t="shared" si="1"/>
        <v>581492</v>
      </c>
      <c r="C3750" s="1" t="str">
        <f t="shared" si="2"/>
        <v>Sale</v>
      </c>
      <c r="D3750" s="1">
        <v>21718.0</v>
      </c>
      <c r="E3750" s="1" t="str">
        <f>IFERROR(__xludf.DUMMYFUNCTION("IF(LEN(D3750)&gt;4, IFERROR(REGEXEXTRACT(TO_TEXT(D3750),""\d+""),""""),"""")"),"21718")</f>
        <v>21718</v>
      </c>
      <c r="F3750" s="6" t="str">
        <f t="shared" si="3"/>
        <v>Product</v>
      </c>
      <c r="G3750" s="1" t="s">
        <v>512</v>
      </c>
      <c r="H3750" s="6" t="str">
        <f>IFERROR(__xludf.DUMMYFUNCTION("IF(REGEXMATCH(LOWER(G3750), ""^(\?)+\s*(missing)?\s*(\?)*$""), """", PROPER(SUBSTITUTE(SUBSTITUTE(G3750, ""?"", """"), ""*"", """")))"),"Red Metal Beach Spade")</f>
        <v>Red Metal Beach Spade</v>
      </c>
      <c r="I3750" s="3">
        <v>1.0</v>
      </c>
      <c r="J3750" s="7">
        <v>40886.41875</v>
      </c>
      <c r="K3750" s="8" t="str">
        <f t="shared" si="4"/>
        <v>2011-12</v>
      </c>
      <c r="L3750" s="5">
        <v>2.46</v>
      </c>
      <c r="M3750" s="10"/>
      <c r="N3750" s="1" t="str">
        <f t="shared" si="5"/>
        <v>Guest</v>
      </c>
      <c r="O3750" s="1" t="s">
        <v>19</v>
      </c>
      <c r="P3750" s="9" t="str">
        <f t="shared" si="6"/>
        <v>UK</v>
      </c>
      <c r="Q3750" s="8">
        <f t="shared" si="7"/>
        <v>2.46</v>
      </c>
    </row>
    <row r="3751">
      <c r="A3751" s="1">
        <v>581492.0</v>
      </c>
      <c r="B3751" s="1" t="str">
        <f t="shared" si="1"/>
        <v>581492</v>
      </c>
      <c r="C3751" s="1" t="str">
        <f t="shared" si="2"/>
        <v>Sale</v>
      </c>
      <c r="D3751" s="1">
        <v>21724.0</v>
      </c>
      <c r="E3751" s="1" t="str">
        <f>IFERROR(__xludf.DUMMYFUNCTION("IF(LEN(D3751)&gt;4, IFERROR(REGEXEXTRACT(TO_TEXT(D3751),""\d+""),""""),"""")"),"21724")</f>
        <v>21724</v>
      </c>
      <c r="F3751" s="6" t="str">
        <f t="shared" si="3"/>
        <v>Product</v>
      </c>
      <c r="G3751" s="1" t="s">
        <v>52</v>
      </c>
      <c r="H3751" s="6" t="str">
        <f>IFERROR(__xludf.DUMMYFUNCTION("IF(REGEXMATCH(LOWER(G3751), ""^(\?)+\s*(missing)?\s*(\?)*$""), """", PROPER(SUBSTITUTE(SUBSTITUTE(G3751, ""?"", """"), ""*"", """")))"),"Panda And Bunnies Sticker Sheet")</f>
        <v>Panda And Bunnies Sticker Sheet</v>
      </c>
      <c r="I3751" s="3">
        <v>1.0</v>
      </c>
      <c r="J3751" s="7">
        <v>40886.41875</v>
      </c>
      <c r="K3751" s="8" t="str">
        <f t="shared" si="4"/>
        <v>2011-12</v>
      </c>
      <c r="L3751" s="5">
        <v>1.63</v>
      </c>
      <c r="M3751" s="10"/>
      <c r="N3751" s="1" t="str">
        <f t="shared" si="5"/>
        <v>Guest</v>
      </c>
      <c r="O3751" s="1" t="s">
        <v>19</v>
      </c>
      <c r="P3751" s="9" t="str">
        <f t="shared" si="6"/>
        <v>UK</v>
      </c>
      <c r="Q3751" s="8">
        <f t="shared" si="7"/>
        <v>1.63</v>
      </c>
    </row>
    <row r="3752">
      <c r="A3752" s="1">
        <v>581492.0</v>
      </c>
      <c r="B3752" s="1" t="str">
        <f t="shared" si="1"/>
        <v>581492</v>
      </c>
      <c r="C3752" s="1" t="str">
        <f t="shared" si="2"/>
        <v>Sale</v>
      </c>
      <c r="D3752" s="1">
        <v>21731.0</v>
      </c>
      <c r="E3752" s="1" t="str">
        <f>IFERROR(__xludf.DUMMYFUNCTION("IF(LEN(D3752)&gt;4, IFERROR(REGEXEXTRACT(TO_TEXT(D3752),""\d+""),""""),"""")"),"21731")</f>
        <v>21731</v>
      </c>
      <c r="F3752" s="6" t="str">
        <f t="shared" si="3"/>
        <v>Product</v>
      </c>
      <c r="G3752" s="1" t="s">
        <v>62</v>
      </c>
      <c r="H3752" s="6" t="str">
        <f>IFERROR(__xludf.DUMMYFUNCTION("IF(REGEXMATCH(LOWER(G3752), ""^(\?)+\s*(missing)?\s*(\?)*$""), """", PROPER(SUBSTITUTE(SUBSTITUTE(G3752, ""?"", """"), ""*"", """")))"),"Red Toadstool Led Night Light")</f>
        <v>Red Toadstool Led Night Light</v>
      </c>
      <c r="I3752" s="3">
        <v>6.0</v>
      </c>
      <c r="J3752" s="7">
        <v>40886.41875</v>
      </c>
      <c r="K3752" s="8" t="str">
        <f t="shared" si="4"/>
        <v>2011-12</v>
      </c>
      <c r="L3752" s="5">
        <v>3.29</v>
      </c>
      <c r="M3752" s="10"/>
      <c r="N3752" s="1" t="str">
        <f t="shared" si="5"/>
        <v>Guest</v>
      </c>
      <c r="O3752" s="1" t="s">
        <v>19</v>
      </c>
      <c r="P3752" s="9" t="str">
        <f t="shared" si="6"/>
        <v>UK</v>
      </c>
      <c r="Q3752" s="8">
        <f t="shared" si="7"/>
        <v>19.74</v>
      </c>
    </row>
    <row r="3753">
      <c r="A3753" s="1">
        <v>581492.0</v>
      </c>
      <c r="B3753" s="1" t="str">
        <f t="shared" si="1"/>
        <v>581492</v>
      </c>
      <c r="C3753" s="1" t="str">
        <f t="shared" si="2"/>
        <v>Sale</v>
      </c>
      <c r="D3753" s="1">
        <v>21739.0</v>
      </c>
      <c r="E3753" s="1" t="str">
        <f>IFERROR(__xludf.DUMMYFUNCTION("IF(LEN(D3753)&gt;4, IFERROR(REGEXEXTRACT(TO_TEXT(D3753),""\d+""),""""),"""")"),"21739")</f>
        <v>21739</v>
      </c>
      <c r="F3753" s="6" t="str">
        <f t="shared" si="3"/>
        <v>Product</v>
      </c>
      <c r="G3753" s="1" t="s">
        <v>448</v>
      </c>
      <c r="H3753" s="6" t="str">
        <f>IFERROR(__xludf.DUMMYFUNCTION("IF(REGEXMATCH(LOWER(G3753), ""^(\?)+\s*(missing)?\s*(\?)*$""), """", PROPER(SUBSTITUTE(SUBSTITUTE(G3753, ""?"", """"), ""*"", """")))"),"Cosy Slipper Shoes Small Green")</f>
        <v>Cosy Slipper Shoes Small Green</v>
      </c>
      <c r="I3753" s="3">
        <v>2.0</v>
      </c>
      <c r="J3753" s="7">
        <v>40886.41875</v>
      </c>
      <c r="K3753" s="8" t="str">
        <f t="shared" si="4"/>
        <v>2011-12</v>
      </c>
      <c r="L3753" s="5">
        <v>2.46</v>
      </c>
      <c r="M3753" s="10"/>
      <c r="N3753" s="1" t="str">
        <f t="shared" si="5"/>
        <v>Guest</v>
      </c>
      <c r="O3753" s="1" t="s">
        <v>19</v>
      </c>
      <c r="P3753" s="9" t="str">
        <f t="shared" si="6"/>
        <v>UK</v>
      </c>
      <c r="Q3753" s="8">
        <f t="shared" si="7"/>
        <v>4.92</v>
      </c>
    </row>
    <row r="3754">
      <c r="A3754" s="1">
        <v>581492.0</v>
      </c>
      <c r="B3754" s="1" t="str">
        <f t="shared" si="1"/>
        <v>581492</v>
      </c>
      <c r="C3754" s="1" t="str">
        <f t="shared" si="2"/>
        <v>Sale</v>
      </c>
      <c r="D3754" s="1">
        <v>21774.0</v>
      </c>
      <c r="E3754" s="1" t="str">
        <f>IFERROR(__xludf.DUMMYFUNCTION("IF(LEN(D3754)&gt;4, IFERROR(REGEXEXTRACT(TO_TEXT(D3754),""\d+""),""""),"""")"),"21774")</f>
        <v>21774</v>
      </c>
      <c r="F3754" s="6" t="str">
        <f t="shared" si="3"/>
        <v>Product</v>
      </c>
      <c r="G3754" s="1" t="s">
        <v>1763</v>
      </c>
      <c r="H3754" s="6" t="str">
        <f>IFERROR(__xludf.DUMMYFUNCTION("IF(REGEXMATCH(LOWER(G3754), ""^(\?)+\s*(missing)?\s*(\?)*$""), """", PROPER(SUBSTITUTE(SUBSTITUTE(G3754, ""?"", """"), ""*"", """")))"),"Decorative Cats Bathroom Bottle")</f>
        <v>Decorative Cats Bathroom Bottle</v>
      </c>
      <c r="I3754" s="3">
        <v>1.0</v>
      </c>
      <c r="J3754" s="7">
        <v>40886.41875</v>
      </c>
      <c r="K3754" s="8" t="str">
        <f t="shared" si="4"/>
        <v>2011-12</v>
      </c>
      <c r="L3754" s="5">
        <v>2.46</v>
      </c>
      <c r="M3754" s="10"/>
      <c r="N3754" s="1" t="str">
        <f t="shared" si="5"/>
        <v>Guest</v>
      </c>
      <c r="O3754" s="1" t="s">
        <v>19</v>
      </c>
      <c r="P3754" s="9" t="str">
        <f t="shared" si="6"/>
        <v>UK</v>
      </c>
      <c r="Q3754" s="8">
        <f t="shared" si="7"/>
        <v>2.46</v>
      </c>
    </row>
    <row r="3755">
      <c r="A3755" s="1">
        <v>581492.0</v>
      </c>
      <c r="B3755" s="1" t="str">
        <f t="shared" si="1"/>
        <v>581492</v>
      </c>
      <c r="C3755" s="1" t="str">
        <f t="shared" si="2"/>
        <v>Sale</v>
      </c>
      <c r="D3755" s="1">
        <v>21786.0</v>
      </c>
      <c r="E3755" s="1" t="str">
        <f>IFERROR(__xludf.DUMMYFUNCTION("IF(LEN(D3755)&gt;4, IFERROR(REGEXEXTRACT(TO_TEXT(D3755),""\d+""),""""),"""")"),"21786")</f>
        <v>21786</v>
      </c>
      <c r="F3755" s="6" t="str">
        <f t="shared" si="3"/>
        <v>Product</v>
      </c>
      <c r="G3755" s="1" t="s">
        <v>221</v>
      </c>
      <c r="H3755" s="6" t="str">
        <f>IFERROR(__xludf.DUMMYFUNCTION("IF(REGEXMATCH(LOWER(G3755), ""^(\?)+\s*(missing)?\s*(\?)*$""), """", PROPER(SUBSTITUTE(SUBSTITUTE(G3755, ""?"", """"), ""*"", """")))"),"Polkadot Rain Hat")</f>
        <v>Polkadot Rain Hat</v>
      </c>
      <c r="I3755" s="3">
        <v>3.0</v>
      </c>
      <c r="J3755" s="7">
        <v>40886.41875</v>
      </c>
      <c r="K3755" s="8" t="str">
        <f t="shared" si="4"/>
        <v>2011-12</v>
      </c>
      <c r="L3755" s="5">
        <v>0.83</v>
      </c>
      <c r="M3755" s="10"/>
      <c r="N3755" s="1" t="str">
        <f t="shared" si="5"/>
        <v>Guest</v>
      </c>
      <c r="O3755" s="1" t="s">
        <v>19</v>
      </c>
      <c r="P3755" s="9" t="str">
        <f t="shared" si="6"/>
        <v>UK</v>
      </c>
      <c r="Q3755" s="8">
        <f t="shared" si="7"/>
        <v>2.49</v>
      </c>
    </row>
    <row r="3756">
      <c r="A3756" s="1">
        <v>581492.0</v>
      </c>
      <c r="B3756" s="1" t="str">
        <f t="shared" si="1"/>
        <v>581492</v>
      </c>
      <c r="C3756" s="1" t="str">
        <f t="shared" si="2"/>
        <v>Sale</v>
      </c>
      <c r="D3756" s="1">
        <v>21787.0</v>
      </c>
      <c r="E3756" s="1" t="str">
        <f>IFERROR(__xludf.DUMMYFUNCTION("IF(LEN(D3756)&gt;4, IFERROR(REGEXEXTRACT(TO_TEXT(D3756),""\d+""),""""),"""")"),"21787")</f>
        <v>21787</v>
      </c>
      <c r="F3756" s="6" t="str">
        <f t="shared" si="3"/>
        <v>Product</v>
      </c>
      <c r="G3756" s="1" t="s">
        <v>1764</v>
      </c>
      <c r="H3756" s="6" t="str">
        <f>IFERROR(__xludf.DUMMYFUNCTION("IF(REGEXMATCH(LOWER(G3756), ""^(\?)+\s*(missing)?\s*(\?)*$""), """", PROPER(SUBSTITUTE(SUBSTITUTE(G3756, ""?"", """"), ""*"", """")))"),"Rain Poncho Retrospot")</f>
        <v>Rain Poncho Retrospot</v>
      </c>
      <c r="I3756" s="3">
        <v>2.0</v>
      </c>
      <c r="J3756" s="7">
        <v>40886.41875</v>
      </c>
      <c r="K3756" s="8" t="str">
        <f t="shared" si="4"/>
        <v>2011-12</v>
      </c>
      <c r="L3756" s="5">
        <v>1.63</v>
      </c>
      <c r="M3756" s="10"/>
      <c r="N3756" s="1" t="str">
        <f t="shared" si="5"/>
        <v>Guest</v>
      </c>
      <c r="O3756" s="1" t="s">
        <v>19</v>
      </c>
      <c r="P3756" s="9" t="str">
        <f t="shared" si="6"/>
        <v>UK</v>
      </c>
      <c r="Q3756" s="8">
        <f t="shared" si="7"/>
        <v>3.26</v>
      </c>
    </row>
    <row r="3757">
      <c r="A3757" s="1">
        <v>581492.0</v>
      </c>
      <c r="B3757" s="1" t="str">
        <f t="shared" si="1"/>
        <v>581492</v>
      </c>
      <c r="C3757" s="1" t="str">
        <f t="shared" si="2"/>
        <v>Sale</v>
      </c>
      <c r="D3757" s="1">
        <v>21790.0</v>
      </c>
      <c r="E3757" s="1" t="str">
        <f>IFERROR(__xludf.DUMMYFUNCTION("IF(LEN(D3757)&gt;4, IFERROR(REGEXEXTRACT(TO_TEXT(D3757),""\d+""),""""),"""")"),"21790")</f>
        <v>21790</v>
      </c>
      <c r="F3757" s="6" t="str">
        <f t="shared" si="3"/>
        <v>Product</v>
      </c>
      <c r="G3757" s="1" t="s">
        <v>477</v>
      </c>
      <c r="H3757" s="6" t="str">
        <f>IFERROR(__xludf.DUMMYFUNCTION("IF(REGEXMATCH(LOWER(G3757), ""^(\?)+\s*(missing)?\s*(\?)*$""), """", PROPER(SUBSTITUTE(SUBSTITUTE(G3757, ""?"", """"), ""*"", """")))"),"Vintage Snap Cards")</f>
        <v>Vintage Snap Cards</v>
      </c>
      <c r="I3757" s="3">
        <v>5.0</v>
      </c>
      <c r="J3757" s="7">
        <v>40886.41875</v>
      </c>
      <c r="K3757" s="8" t="str">
        <f t="shared" si="4"/>
        <v>2011-12</v>
      </c>
      <c r="L3757" s="5">
        <v>1.63</v>
      </c>
      <c r="M3757" s="10"/>
      <c r="N3757" s="1" t="str">
        <f t="shared" si="5"/>
        <v>Guest</v>
      </c>
      <c r="O3757" s="1" t="s">
        <v>19</v>
      </c>
      <c r="P3757" s="9" t="str">
        <f t="shared" si="6"/>
        <v>UK</v>
      </c>
      <c r="Q3757" s="8">
        <f t="shared" si="7"/>
        <v>8.15</v>
      </c>
    </row>
    <row r="3758">
      <c r="A3758" s="1">
        <v>581492.0</v>
      </c>
      <c r="B3758" s="1" t="str">
        <f t="shared" si="1"/>
        <v>581492</v>
      </c>
      <c r="C3758" s="1" t="str">
        <f t="shared" si="2"/>
        <v>Sale</v>
      </c>
      <c r="D3758" s="1">
        <v>21791.0</v>
      </c>
      <c r="E3758" s="1" t="str">
        <f>IFERROR(__xludf.DUMMYFUNCTION("IF(LEN(D3758)&gt;4, IFERROR(REGEXEXTRACT(TO_TEXT(D3758),""\d+""),""""),"""")"),"21791")</f>
        <v>21791</v>
      </c>
      <c r="F3758" s="6" t="str">
        <f t="shared" si="3"/>
        <v>Product</v>
      </c>
      <c r="G3758" s="1" t="s">
        <v>55</v>
      </c>
      <c r="H3758" s="6" t="str">
        <f>IFERROR(__xludf.DUMMYFUNCTION("IF(REGEXMATCH(LOWER(G3758), ""^(\?)+\s*(missing)?\s*(\?)*$""), """", PROPER(SUBSTITUTE(SUBSTITUTE(G3758, ""?"", """"), ""*"", """")))"),"Vintage Heads And Tails Card Game")</f>
        <v>Vintage Heads And Tails Card Game</v>
      </c>
      <c r="I3758" s="3">
        <v>1.0</v>
      </c>
      <c r="J3758" s="7">
        <v>40886.41875</v>
      </c>
      <c r="K3758" s="8" t="str">
        <f t="shared" si="4"/>
        <v>2011-12</v>
      </c>
      <c r="L3758" s="5">
        <v>2.46</v>
      </c>
      <c r="M3758" s="10"/>
      <c r="N3758" s="1" t="str">
        <f t="shared" si="5"/>
        <v>Guest</v>
      </c>
      <c r="O3758" s="1" t="s">
        <v>19</v>
      </c>
      <c r="P3758" s="9" t="str">
        <f t="shared" si="6"/>
        <v>UK</v>
      </c>
      <c r="Q3758" s="8">
        <f t="shared" si="7"/>
        <v>2.46</v>
      </c>
    </row>
    <row r="3759">
      <c r="A3759" s="1">
        <v>581492.0</v>
      </c>
      <c r="B3759" s="1" t="str">
        <f t="shared" si="1"/>
        <v>581492</v>
      </c>
      <c r="C3759" s="1" t="str">
        <f t="shared" si="2"/>
        <v>Sale</v>
      </c>
      <c r="D3759" s="1">
        <v>21808.0</v>
      </c>
      <c r="E3759" s="1" t="str">
        <f>IFERROR(__xludf.DUMMYFUNCTION("IF(LEN(D3759)&gt;4, IFERROR(REGEXEXTRACT(TO_TEXT(D3759),""\d+""),""""),"""")"),"21808")</f>
        <v>21808</v>
      </c>
      <c r="F3759" s="6" t="str">
        <f t="shared" si="3"/>
        <v>Product</v>
      </c>
      <c r="G3759" s="1" t="s">
        <v>1765</v>
      </c>
      <c r="H3759" s="6" t="str">
        <f>IFERROR(__xludf.DUMMYFUNCTION("IF(REGEXMATCH(LOWER(G3759), ""^(\?)+\s*(missing)?\s*(\?)*$""), """", PROPER(SUBSTITUTE(SUBSTITUTE(G3759, ""?"", """"), ""*"", """")))"),"Christmas Garland Stars,Trees")</f>
        <v>Christmas Garland Stars,Trees</v>
      </c>
      <c r="I3759" s="3">
        <v>3.0</v>
      </c>
      <c r="J3759" s="7">
        <v>40886.41875</v>
      </c>
      <c r="K3759" s="8" t="str">
        <f t="shared" si="4"/>
        <v>2011-12</v>
      </c>
      <c r="L3759" s="5">
        <v>3.29</v>
      </c>
      <c r="M3759" s="10"/>
      <c r="N3759" s="1" t="str">
        <f t="shared" si="5"/>
        <v>Guest</v>
      </c>
      <c r="O3759" s="1" t="s">
        <v>19</v>
      </c>
      <c r="P3759" s="9" t="str">
        <f t="shared" si="6"/>
        <v>UK</v>
      </c>
      <c r="Q3759" s="8">
        <f t="shared" si="7"/>
        <v>9.87</v>
      </c>
    </row>
    <row r="3760">
      <c r="A3760" s="1">
        <v>581492.0</v>
      </c>
      <c r="B3760" s="1" t="str">
        <f t="shared" si="1"/>
        <v>581492</v>
      </c>
      <c r="C3760" s="1" t="str">
        <f t="shared" si="2"/>
        <v>Sale</v>
      </c>
      <c r="D3760" s="1">
        <v>21810.0</v>
      </c>
      <c r="E3760" s="1" t="str">
        <f>IFERROR(__xludf.DUMMYFUNCTION("IF(LEN(D3760)&gt;4, IFERROR(REGEXEXTRACT(TO_TEXT(D3760),""\d+""),""""),"""")"),"21810")</f>
        <v>21810</v>
      </c>
      <c r="F3760" s="6" t="str">
        <f t="shared" si="3"/>
        <v>Product</v>
      </c>
      <c r="G3760" s="1" t="s">
        <v>1766</v>
      </c>
      <c r="H3760" s="6" t="str">
        <f>IFERROR(__xludf.DUMMYFUNCTION("IF(REGEXMATCH(LOWER(G3760), ""^(\?)+\s*(missing)?\s*(\?)*$""), """", PROPER(SUBSTITUTE(SUBSTITUTE(G3760, ""?"", """"), ""*"", """")))"),"Christmas Hanging Star With Bell")</f>
        <v>Christmas Hanging Star With Bell</v>
      </c>
      <c r="I3760" s="3">
        <v>25.0</v>
      </c>
      <c r="J3760" s="7">
        <v>40886.41875</v>
      </c>
      <c r="K3760" s="8" t="str">
        <f t="shared" si="4"/>
        <v>2011-12</v>
      </c>
      <c r="L3760" s="5">
        <v>0.83</v>
      </c>
      <c r="M3760" s="10"/>
      <c r="N3760" s="1" t="str">
        <f t="shared" si="5"/>
        <v>Guest</v>
      </c>
      <c r="O3760" s="1" t="s">
        <v>19</v>
      </c>
      <c r="P3760" s="9" t="str">
        <f t="shared" si="6"/>
        <v>UK</v>
      </c>
      <c r="Q3760" s="8">
        <f t="shared" si="7"/>
        <v>20.75</v>
      </c>
    </row>
    <row r="3761">
      <c r="A3761" s="1">
        <v>581492.0</v>
      </c>
      <c r="B3761" s="1" t="str">
        <f t="shared" si="1"/>
        <v>581492</v>
      </c>
      <c r="C3761" s="1" t="str">
        <f t="shared" si="2"/>
        <v>Sale</v>
      </c>
      <c r="D3761" s="1">
        <v>21812.0</v>
      </c>
      <c r="E3761" s="1" t="str">
        <f>IFERROR(__xludf.DUMMYFUNCTION("IF(LEN(D3761)&gt;4, IFERROR(REGEXEXTRACT(TO_TEXT(D3761),""\d+""),""""),"""")"),"21812")</f>
        <v>21812</v>
      </c>
      <c r="F3761" s="6" t="str">
        <f t="shared" si="3"/>
        <v>Product</v>
      </c>
      <c r="G3761" s="1" t="s">
        <v>1767</v>
      </c>
      <c r="H3761" s="6" t="str">
        <f>IFERROR(__xludf.DUMMYFUNCTION("IF(REGEXMATCH(LOWER(G3761), ""^(\?)+\s*(missing)?\s*(\?)*$""), """", PROPER(SUBSTITUTE(SUBSTITUTE(G3761, ""?"", """"), ""*"", """")))"),"Garland With Hearts And Bells")</f>
        <v>Garland With Hearts And Bells</v>
      </c>
      <c r="I3761" s="3">
        <v>7.0</v>
      </c>
      <c r="J3761" s="7">
        <v>40886.41875</v>
      </c>
      <c r="K3761" s="8" t="str">
        <f t="shared" si="4"/>
        <v>2011-12</v>
      </c>
      <c r="L3761" s="5">
        <v>3.29</v>
      </c>
      <c r="M3761" s="10"/>
      <c r="N3761" s="1" t="str">
        <f t="shared" si="5"/>
        <v>Guest</v>
      </c>
      <c r="O3761" s="1" t="s">
        <v>19</v>
      </c>
      <c r="P3761" s="9" t="str">
        <f t="shared" si="6"/>
        <v>UK</v>
      </c>
      <c r="Q3761" s="8">
        <f t="shared" si="7"/>
        <v>23.03</v>
      </c>
    </row>
    <row r="3762">
      <c r="A3762" s="1">
        <v>581492.0</v>
      </c>
      <c r="B3762" s="1" t="str">
        <f t="shared" si="1"/>
        <v>581492</v>
      </c>
      <c r="C3762" s="1" t="str">
        <f t="shared" si="2"/>
        <v>Sale</v>
      </c>
      <c r="D3762" s="1">
        <v>21813.0</v>
      </c>
      <c r="E3762" s="1" t="str">
        <f>IFERROR(__xludf.DUMMYFUNCTION("IF(LEN(D3762)&gt;4, IFERROR(REGEXEXTRACT(TO_TEXT(D3762),""\d+""),""""),"""")"),"21813")</f>
        <v>21813</v>
      </c>
      <c r="F3762" s="6" t="str">
        <f t="shared" si="3"/>
        <v>Product</v>
      </c>
      <c r="G3762" s="1" t="s">
        <v>1768</v>
      </c>
      <c r="H3762" s="6" t="str">
        <f>IFERROR(__xludf.DUMMYFUNCTION("IF(REGEXMATCH(LOWER(G3762), ""^(\?)+\s*(missing)?\s*(\?)*$""), """", PROPER(SUBSTITUTE(SUBSTITUTE(G3762, ""?"", """"), ""*"", """")))"),"Garland With Stars And Bells")</f>
        <v>Garland With Stars And Bells</v>
      </c>
      <c r="I3762" s="3">
        <v>3.0</v>
      </c>
      <c r="J3762" s="7">
        <v>40886.41875</v>
      </c>
      <c r="K3762" s="8" t="str">
        <f t="shared" si="4"/>
        <v>2011-12</v>
      </c>
      <c r="L3762" s="5">
        <v>3.29</v>
      </c>
      <c r="M3762" s="10"/>
      <c r="N3762" s="1" t="str">
        <f t="shared" si="5"/>
        <v>Guest</v>
      </c>
      <c r="O3762" s="1" t="s">
        <v>19</v>
      </c>
      <c r="P3762" s="9" t="str">
        <f t="shared" si="6"/>
        <v>UK</v>
      </c>
      <c r="Q3762" s="8">
        <f t="shared" si="7"/>
        <v>9.87</v>
      </c>
    </row>
    <row r="3763">
      <c r="A3763" s="1">
        <v>581492.0</v>
      </c>
      <c r="B3763" s="1" t="str">
        <f t="shared" si="1"/>
        <v>581492</v>
      </c>
      <c r="C3763" s="1" t="str">
        <f t="shared" si="2"/>
        <v>Sale</v>
      </c>
      <c r="D3763" s="1">
        <v>21822.0</v>
      </c>
      <c r="E3763" s="1" t="str">
        <f>IFERROR(__xludf.DUMMYFUNCTION("IF(LEN(D3763)&gt;4, IFERROR(REGEXEXTRACT(TO_TEXT(D3763),""\d+""),""""),"""")"),"21822")</f>
        <v>21822</v>
      </c>
      <c r="F3763" s="6" t="str">
        <f t="shared" si="3"/>
        <v>Product</v>
      </c>
      <c r="G3763" s="1" t="s">
        <v>1769</v>
      </c>
      <c r="H3763" s="6" t="str">
        <f>IFERROR(__xludf.DUMMYFUNCTION("IF(REGEXMATCH(LOWER(G3763), ""^(\?)+\s*(missing)?\s*(\?)*$""), """", PROPER(SUBSTITUTE(SUBSTITUTE(G3763, ""?"", """"), ""*"", """")))"),"Glitter Christmas Tree With Bells")</f>
        <v>Glitter Christmas Tree With Bells</v>
      </c>
      <c r="I3763" s="3">
        <v>12.0</v>
      </c>
      <c r="J3763" s="7">
        <v>40886.41875</v>
      </c>
      <c r="K3763" s="8" t="str">
        <f t="shared" si="4"/>
        <v>2011-12</v>
      </c>
      <c r="L3763" s="5">
        <v>1.63</v>
      </c>
      <c r="M3763" s="10"/>
      <c r="N3763" s="1" t="str">
        <f t="shared" si="5"/>
        <v>Guest</v>
      </c>
      <c r="O3763" s="1" t="s">
        <v>19</v>
      </c>
      <c r="P3763" s="9" t="str">
        <f t="shared" si="6"/>
        <v>UK</v>
      </c>
      <c r="Q3763" s="8">
        <f t="shared" si="7"/>
        <v>19.56</v>
      </c>
    </row>
    <row r="3764">
      <c r="A3764" s="1">
        <v>581492.0</v>
      </c>
      <c r="B3764" s="1" t="str">
        <f t="shared" si="1"/>
        <v>581492</v>
      </c>
      <c r="C3764" s="1" t="str">
        <f t="shared" si="2"/>
        <v>Sale</v>
      </c>
      <c r="D3764" s="1">
        <v>21828.0</v>
      </c>
      <c r="E3764" s="1" t="str">
        <f>IFERROR(__xludf.DUMMYFUNCTION("IF(LEN(D3764)&gt;4, IFERROR(REGEXEXTRACT(TO_TEXT(D3764),""\d+""),""""),"""")"),"21828")</f>
        <v>21828</v>
      </c>
      <c r="F3764" s="6" t="str">
        <f t="shared" si="3"/>
        <v>Product</v>
      </c>
      <c r="G3764" s="1" t="s">
        <v>1770</v>
      </c>
      <c r="H3764" s="6" t="str">
        <f>IFERROR(__xludf.DUMMYFUNCTION("IF(REGEXMATCH(LOWER(G3764), ""^(\?)+\s*(missing)?\s*(\?)*$""), """", PROPER(SUBSTITUTE(SUBSTITUTE(G3764, ""?"", """"), ""*"", """")))"),"Eight Piece Snake Set")</f>
        <v>Eight Piece Snake Set</v>
      </c>
      <c r="I3764" s="3">
        <v>1.0</v>
      </c>
      <c r="J3764" s="7">
        <v>40886.41875</v>
      </c>
      <c r="K3764" s="8" t="str">
        <f t="shared" si="4"/>
        <v>2011-12</v>
      </c>
      <c r="L3764" s="5">
        <v>2.46</v>
      </c>
      <c r="M3764" s="10"/>
      <c r="N3764" s="1" t="str">
        <f t="shared" si="5"/>
        <v>Guest</v>
      </c>
      <c r="O3764" s="1" t="s">
        <v>19</v>
      </c>
      <c r="P3764" s="9" t="str">
        <f t="shared" si="6"/>
        <v>UK</v>
      </c>
      <c r="Q3764" s="8">
        <f t="shared" si="7"/>
        <v>2.46</v>
      </c>
    </row>
    <row r="3765">
      <c r="A3765" s="1">
        <v>581492.0</v>
      </c>
      <c r="B3765" s="1" t="str">
        <f t="shared" si="1"/>
        <v>581492</v>
      </c>
      <c r="C3765" s="1" t="str">
        <f t="shared" si="2"/>
        <v>Sale</v>
      </c>
      <c r="D3765" s="1">
        <v>21832.0</v>
      </c>
      <c r="E3765" s="1" t="str">
        <f>IFERROR(__xludf.DUMMYFUNCTION("IF(LEN(D3765)&gt;4, IFERROR(REGEXEXTRACT(TO_TEXT(D3765),""\d+""),""""),"""")"),"21832")</f>
        <v>21832</v>
      </c>
      <c r="F3765" s="6" t="str">
        <f t="shared" si="3"/>
        <v>Product</v>
      </c>
      <c r="G3765" s="1" t="s">
        <v>151</v>
      </c>
      <c r="H3765" s="6" t="str">
        <f>IFERROR(__xludf.DUMMYFUNCTION("IF(REGEXMATCH(LOWER(G3765), ""^(\?)+\s*(missing)?\s*(\?)*$""), """", PROPER(SUBSTITUTE(SUBSTITUTE(G3765, ""?"", """"), ""*"", """")))"),"Chocolate Calculator")</f>
        <v>Chocolate Calculator</v>
      </c>
      <c r="I3765" s="3">
        <v>1.0</v>
      </c>
      <c r="J3765" s="7">
        <v>40886.41875</v>
      </c>
      <c r="K3765" s="8" t="str">
        <f t="shared" si="4"/>
        <v>2011-12</v>
      </c>
      <c r="L3765" s="5">
        <v>3.29</v>
      </c>
      <c r="M3765" s="10"/>
      <c r="N3765" s="1" t="str">
        <f t="shared" si="5"/>
        <v>Guest</v>
      </c>
      <c r="O3765" s="1" t="s">
        <v>19</v>
      </c>
      <c r="P3765" s="9" t="str">
        <f t="shared" si="6"/>
        <v>UK</v>
      </c>
      <c r="Q3765" s="8">
        <f t="shared" si="7"/>
        <v>3.29</v>
      </c>
    </row>
    <row r="3766">
      <c r="A3766" s="1">
        <v>581492.0</v>
      </c>
      <c r="B3766" s="1" t="str">
        <f t="shared" si="1"/>
        <v>581492</v>
      </c>
      <c r="C3766" s="1" t="str">
        <f t="shared" si="2"/>
        <v>Sale</v>
      </c>
      <c r="D3766" s="1">
        <v>21833.0</v>
      </c>
      <c r="E3766" s="1" t="str">
        <f>IFERROR(__xludf.DUMMYFUNCTION("IF(LEN(D3766)&gt;4, IFERROR(REGEXEXTRACT(TO_TEXT(D3766),""\d+""),""""),"""")"),"21833")</f>
        <v>21833</v>
      </c>
      <c r="F3766" s="6" t="str">
        <f t="shared" si="3"/>
        <v>Product</v>
      </c>
      <c r="G3766" s="1" t="s">
        <v>1189</v>
      </c>
      <c r="H3766" s="6" t="str">
        <f>IFERROR(__xludf.DUMMYFUNCTION("IF(REGEXMATCH(LOWER(G3766), ""^(\?)+\s*(missing)?\s*(\?)*$""), """", PROPER(SUBSTITUTE(SUBSTITUTE(G3766, ""?"", """"), ""*"", """")))"),"Camouflage Led Torch")</f>
        <v>Camouflage Led Torch</v>
      </c>
      <c r="I3766" s="3">
        <v>2.0</v>
      </c>
      <c r="J3766" s="7">
        <v>40886.41875</v>
      </c>
      <c r="K3766" s="8" t="str">
        <f t="shared" si="4"/>
        <v>2011-12</v>
      </c>
      <c r="L3766" s="5">
        <v>3.29</v>
      </c>
      <c r="M3766" s="10"/>
      <c r="N3766" s="1" t="str">
        <f t="shared" si="5"/>
        <v>Guest</v>
      </c>
      <c r="O3766" s="1" t="s">
        <v>19</v>
      </c>
      <c r="P3766" s="9" t="str">
        <f t="shared" si="6"/>
        <v>UK</v>
      </c>
      <c r="Q3766" s="8">
        <f t="shared" si="7"/>
        <v>6.58</v>
      </c>
    </row>
    <row r="3767">
      <c r="A3767" s="1">
        <v>581492.0</v>
      </c>
      <c r="B3767" s="1" t="str">
        <f t="shared" si="1"/>
        <v>581492</v>
      </c>
      <c r="C3767" s="1" t="str">
        <f t="shared" si="2"/>
        <v>Sale</v>
      </c>
      <c r="D3767" s="1">
        <v>21871.0</v>
      </c>
      <c r="E3767" s="1" t="str">
        <f>IFERROR(__xludf.DUMMYFUNCTION("IF(LEN(D3767)&gt;4, IFERROR(REGEXEXTRACT(TO_TEXT(D3767),""\d+""),""""),"""")"),"21871")</f>
        <v>21871</v>
      </c>
      <c r="F3767" s="6" t="str">
        <f t="shared" si="3"/>
        <v>Product</v>
      </c>
      <c r="G3767" s="1" t="s">
        <v>73</v>
      </c>
      <c r="H3767" s="6" t="str">
        <f>IFERROR(__xludf.DUMMYFUNCTION("IF(REGEXMATCH(LOWER(G3767), ""^(\?)+\s*(missing)?\s*(\?)*$""), """", PROPER(SUBSTITUTE(SUBSTITUTE(G3767, ""?"", """"), ""*"", """")))"),"Save The Planet Mug")</f>
        <v>Save The Planet Mug</v>
      </c>
      <c r="I3767" s="3">
        <v>1.0</v>
      </c>
      <c r="J3767" s="7">
        <v>40886.41875</v>
      </c>
      <c r="K3767" s="8" t="str">
        <f t="shared" si="4"/>
        <v>2011-12</v>
      </c>
      <c r="L3767" s="5">
        <v>3.29</v>
      </c>
      <c r="M3767" s="10"/>
      <c r="N3767" s="1" t="str">
        <f t="shared" si="5"/>
        <v>Guest</v>
      </c>
      <c r="O3767" s="1" t="s">
        <v>19</v>
      </c>
      <c r="P3767" s="9" t="str">
        <f t="shared" si="6"/>
        <v>UK</v>
      </c>
      <c r="Q3767" s="8">
        <f t="shared" si="7"/>
        <v>3.29</v>
      </c>
    </row>
    <row r="3768">
      <c r="A3768" s="1">
        <v>581492.0</v>
      </c>
      <c r="B3768" s="1" t="str">
        <f t="shared" si="1"/>
        <v>581492</v>
      </c>
      <c r="C3768" s="1" t="str">
        <f t="shared" si="2"/>
        <v>Sale</v>
      </c>
      <c r="D3768" s="1">
        <v>21874.0</v>
      </c>
      <c r="E3768" s="1" t="str">
        <f>IFERROR(__xludf.DUMMYFUNCTION("IF(LEN(D3768)&gt;4, IFERROR(REGEXEXTRACT(TO_TEXT(D3768),""\d+""),""""),"""")"),"21874")</f>
        <v>21874</v>
      </c>
      <c r="F3768" s="6" t="str">
        <f t="shared" si="3"/>
        <v>Product</v>
      </c>
      <c r="G3768" s="1" t="s">
        <v>1599</v>
      </c>
      <c r="H3768" s="6" t="str">
        <f>IFERROR(__xludf.DUMMYFUNCTION("IF(REGEXMATCH(LOWER(G3768), ""^(\?)+\s*(missing)?\s*(\?)*$""), """", PROPER(SUBSTITUTE(SUBSTITUTE(G3768, ""?"", """"), ""*"", """")))"),"Gin And Tonic Mug")</f>
        <v>Gin And Tonic Mug</v>
      </c>
      <c r="I3768" s="3">
        <v>2.0</v>
      </c>
      <c r="J3768" s="7">
        <v>40886.41875</v>
      </c>
      <c r="K3768" s="8" t="str">
        <f t="shared" si="4"/>
        <v>2011-12</v>
      </c>
      <c r="L3768" s="5">
        <v>3.29</v>
      </c>
      <c r="M3768" s="10"/>
      <c r="N3768" s="1" t="str">
        <f t="shared" si="5"/>
        <v>Guest</v>
      </c>
      <c r="O3768" s="1" t="s">
        <v>19</v>
      </c>
      <c r="P3768" s="9" t="str">
        <f t="shared" si="6"/>
        <v>UK</v>
      </c>
      <c r="Q3768" s="8">
        <f t="shared" si="7"/>
        <v>6.58</v>
      </c>
    </row>
    <row r="3769">
      <c r="A3769" s="1">
        <v>581492.0</v>
      </c>
      <c r="B3769" s="1" t="str">
        <f t="shared" si="1"/>
        <v>581492</v>
      </c>
      <c r="C3769" s="1" t="str">
        <f t="shared" si="2"/>
        <v>Sale</v>
      </c>
      <c r="D3769" s="1">
        <v>21876.0</v>
      </c>
      <c r="E3769" s="1" t="str">
        <f>IFERROR(__xludf.DUMMYFUNCTION("IF(LEN(D3769)&gt;4, IFERROR(REGEXEXTRACT(TO_TEXT(D3769),""\d+""),""""),"""")"),"21876")</f>
        <v>21876</v>
      </c>
      <c r="F3769" s="6" t="str">
        <f t="shared" si="3"/>
        <v>Product</v>
      </c>
      <c r="G3769" s="1" t="s">
        <v>1089</v>
      </c>
      <c r="H3769" s="6" t="str">
        <f>IFERROR(__xludf.DUMMYFUNCTION("IF(REGEXMATCH(LOWER(G3769), ""^(\?)+\s*(missing)?\s*(\?)*$""), """", PROPER(SUBSTITUTE(SUBSTITUTE(G3769, ""?"", """"), ""*"", """")))"),"Pottering Mug")</f>
        <v>Pottering Mug</v>
      </c>
      <c r="I3769" s="3">
        <v>4.0</v>
      </c>
      <c r="J3769" s="7">
        <v>40886.41875</v>
      </c>
      <c r="K3769" s="8" t="str">
        <f t="shared" si="4"/>
        <v>2011-12</v>
      </c>
      <c r="L3769" s="5">
        <v>3.29</v>
      </c>
      <c r="M3769" s="10"/>
      <c r="N3769" s="1" t="str">
        <f t="shared" si="5"/>
        <v>Guest</v>
      </c>
      <c r="O3769" s="1" t="s">
        <v>19</v>
      </c>
      <c r="P3769" s="9" t="str">
        <f t="shared" si="6"/>
        <v>UK</v>
      </c>
      <c r="Q3769" s="8">
        <f t="shared" si="7"/>
        <v>13.16</v>
      </c>
    </row>
    <row r="3770">
      <c r="A3770" s="1">
        <v>581492.0</v>
      </c>
      <c r="B3770" s="1" t="str">
        <f t="shared" si="1"/>
        <v>581492</v>
      </c>
      <c r="C3770" s="1" t="str">
        <f t="shared" si="2"/>
        <v>Sale</v>
      </c>
      <c r="D3770" s="1">
        <v>21879.0</v>
      </c>
      <c r="E3770" s="1" t="str">
        <f>IFERROR(__xludf.DUMMYFUNCTION("IF(LEN(D3770)&gt;4, IFERROR(REGEXEXTRACT(TO_TEXT(D3770),""\d+""),""""),"""")"),"21879")</f>
        <v>21879</v>
      </c>
      <c r="F3770" s="6" t="str">
        <f t="shared" si="3"/>
        <v>Product</v>
      </c>
      <c r="G3770" s="1" t="s">
        <v>1771</v>
      </c>
      <c r="H3770" s="6" t="str">
        <f>IFERROR(__xludf.DUMMYFUNCTION("IF(REGEXMATCH(LOWER(G3770), ""^(\?)+\s*(missing)?\s*(\?)*$""), """", PROPER(SUBSTITUTE(SUBSTITUTE(G3770, ""?"", """"), ""*"", """")))"),"Hearts Gift Tape")</f>
        <v>Hearts Gift Tape</v>
      </c>
      <c r="I3770" s="3">
        <v>1.0</v>
      </c>
      <c r="J3770" s="7">
        <v>40886.41875</v>
      </c>
      <c r="K3770" s="8" t="str">
        <f t="shared" si="4"/>
        <v>2011-12</v>
      </c>
      <c r="L3770" s="5">
        <v>1.63</v>
      </c>
      <c r="M3770" s="10"/>
      <c r="N3770" s="1" t="str">
        <f t="shared" si="5"/>
        <v>Guest</v>
      </c>
      <c r="O3770" s="1" t="s">
        <v>19</v>
      </c>
      <c r="P3770" s="9" t="str">
        <f t="shared" si="6"/>
        <v>UK</v>
      </c>
      <c r="Q3770" s="8">
        <f t="shared" si="7"/>
        <v>1.63</v>
      </c>
    </row>
    <row r="3771">
      <c r="A3771" s="1">
        <v>581492.0</v>
      </c>
      <c r="B3771" s="1" t="str">
        <f t="shared" si="1"/>
        <v>581492</v>
      </c>
      <c r="C3771" s="1" t="str">
        <f t="shared" si="2"/>
        <v>Sale</v>
      </c>
      <c r="D3771" s="1">
        <v>21889.0</v>
      </c>
      <c r="E3771" s="1" t="str">
        <f>IFERROR(__xludf.DUMMYFUNCTION("IF(LEN(D3771)&gt;4, IFERROR(REGEXEXTRACT(TO_TEXT(D3771),""\d+""),""""),"""")"),"21889")</f>
        <v>21889</v>
      </c>
      <c r="F3771" s="6" t="str">
        <f t="shared" si="3"/>
        <v>Product</v>
      </c>
      <c r="G3771" s="1" t="s">
        <v>238</v>
      </c>
      <c r="H3771" s="6" t="str">
        <f>IFERROR(__xludf.DUMMYFUNCTION("IF(REGEXMATCH(LOWER(G3771), ""^(\?)+\s*(missing)?\s*(\?)*$""), """", PROPER(SUBSTITUTE(SUBSTITUTE(G3771, ""?"", """"), ""*"", """")))"),"Wooden Box Of Dominoes")</f>
        <v>Wooden Box Of Dominoes</v>
      </c>
      <c r="I3771" s="3">
        <v>3.0</v>
      </c>
      <c r="J3771" s="7">
        <v>40886.41875</v>
      </c>
      <c r="K3771" s="8" t="str">
        <f t="shared" si="4"/>
        <v>2011-12</v>
      </c>
      <c r="L3771" s="5">
        <v>2.46</v>
      </c>
      <c r="M3771" s="10"/>
      <c r="N3771" s="1" t="str">
        <f t="shared" si="5"/>
        <v>Guest</v>
      </c>
      <c r="O3771" s="1" t="s">
        <v>19</v>
      </c>
      <c r="P3771" s="9" t="str">
        <f t="shared" si="6"/>
        <v>UK</v>
      </c>
      <c r="Q3771" s="8">
        <f t="shared" si="7"/>
        <v>7.38</v>
      </c>
    </row>
    <row r="3772">
      <c r="A3772" s="1">
        <v>581492.0</v>
      </c>
      <c r="B3772" s="1" t="str">
        <f t="shared" si="1"/>
        <v>581492</v>
      </c>
      <c r="C3772" s="1" t="str">
        <f t="shared" si="2"/>
        <v>Sale</v>
      </c>
      <c r="D3772" s="1">
        <v>21890.0</v>
      </c>
      <c r="E3772" s="1" t="str">
        <f>IFERROR(__xludf.DUMMYFUNCTION("IF(LEN(D3772)&gt;4, IFERROR(REGEXEXTRACT(TO_TEXT(D3772),""\d+""),""""),"""")"),"21890")</f>
        <v>21890</v>
      </c>
      <c r="F3772" s="6" t="str">
        <f t="shared" si="3"/>
        <v>Product</v>
      </c>
      <c r="G3772" s="1" t="s">
        <v>511</v>
      </c>
      <c r="H3772" s="6" t="str">
        <f>IFERROR(__xludf.DUMMYFUNCTION("IF(REGEXMATCH(LOWER(G3772), ""^(\?)+\s*(missing)?\s*(\?)*$""), """", PROPER(SUBSTITUTE(SUBSTITUTE(G3772, ""?"", """"), ""*"", """")))"),"S/6 Wooden Skittles In Cotton Bag")</f>
        <v>S/6 Wooden Skittles In Cotton Bag</v>
      </c>
      <c r="I3772" s="3">
        <v>1.0</v>
      </c>
      <c r="J3772" s="7">
        <v>40886.41875</v>
      </c>
      <c r="K3772" s="8" t="str">
        <f t="shared" si="4"/>
        <v>2011-12</v>
      </c>
      <c r="L3772" s="5">
        <v>5.79</v>
      </c>
      <c r="M3772" s="10"/>
      <c r="N3772" s="1" t="str">
        <f t="shared" si="5"/>
        <v>Guest</v>
      </c>
      <c r="O3772" s="1" t="s">
        <v>19</v>
      </c>
      <c r="P3772" s="9" t="str">
        <f t="shared" si="6"/>
        <v>UK</v>
      </c>
      <c r="Q3772" s="8">
        <f t="shared" si="7"/>
        <v>5.79</v>
      </c>
    </row>
    <row r="3773">
      <c r="A3773" s="1">
        <v>581492.0</v>
      </c>
      <c r="B3773" s="1" t="str">
        <f t="shared" si="1"/>
        <v>581492</v>
      </c>
      <c r="C3773" s="1" t="str">
        <f t="shared" si="2"/>
        <v>Sale</v>
      </c>
      <c r="D3773" s="1">
        <v>21892.0</v>
      </c>
      <c r="E3773" s="1" t="str">
        <f>IFERROR(__xludf.DUMMYFUNCTION("IF(LEN(D3773)&gt;4, IFERROR(REGEXEXTRACT(TO_TEXT(D3773),""\d+""),""""),"""")"),"21892")</f>
        <v>21892</v>
      </c>
      <c r="F3773" s="6" t="str">
        <f t="shared" si="3"/>
        <v>Product</v>
      </c>
      <c r="G3773" s="1" t="s">
        <v>510</v>
      </c>
      <c r="H3773" s="6" t="str">
        <f>IFERROR(__xludf.DUMMYFUNCTION("IF(REGEXMATCH(LOWER(G3773), ""^(\?)+\s*(missing)?\s*(\?)*$""), """", PROPER(SUBSTITUTE(SUBSTITUTE(G3773, ""?"", """"), ""*"", """")))"),"Traditional Wooden Catch Cup Game")</f>
        <v>Traditional Wooden Catch Cup Game</v>
      </c>
      <c r="I3773" s="3">
        <v>1.0</v>
      </c>
      <c r="J3773" s="7">
        <v>40886.41875</v>
      </c>
      <c r="K3773" s="8" t="str">
        <f t="shared" si="4"/>
        <v>2011-12</v>
      </c>
      <c r="L3773" s="5">
        <v>2.46</v>
      </c>
      <c r="M3773" s="10"/>
      <c r="N3773" s="1" t="str">
        <f t="shared" si="5"/>
        <v>Guest</v>
      </c>
      <c r="O3773" s="1" t="s">
        <v>19</v>
      </c>
      <c r="P3773" s="9" t="str">
        <f t="shared" si="6"/>
        <v>UK</v>
      </c>
      <c r="Q3773" s="8">
        <f t="shared" si="7"/>
        <v>2.46</v>
      </c>
    </row>
    <row r="3774">
      <c r="A3774" s="1">
        <v>581492.0</v>
      </c>
      <c r="B3774" s="1" t="str">
        <f t="shared" si="1"/>
        <v>581492</v>
      </c>
      <c r="C3774" s="1" t="str">
        <f t="shared" si="2"/>
        <v>Sale</v>
      </c>
      <c r="D3774" s="1">
        <v>21900.0</v>
      </c>
      <c r="E3774" s="1" t="str">
        <f>IFERROR(__xludf.DUMMYFUNCTION("IF(LEN(D3774)&gt;4, IFERROR(REGEXEXTRACT(TO_TEXT(D3774),""\d+""),""""),"""")"),"21900")</f>
        <v>21900</v>
      </c>
      <c r="F3774" s="6" t="str">
        <f t="shared" si="3"/>
        <v>Product</v>
      </c>
      <c r="G3774" s="1" t="s">
        <v>1772</v>
      </c>
      <c r="H3774" s="6" t="str">
        <f>IFERROR(__xludf.DUMMYFUNCTION("IF(REGEXMATCH(LOWER(G3774), ""^(\?)+\s*(missing)?\s*(\?)*$""), """", PROPER(SUBSTITUTE(SUBSTITUTE(G3774, ""?"", """"), ""*"", """")))"),"Key Fob , Shed")</f>
        <v>Key Fob , Shed</v>
      </c>
      <c r="I3774" s="3">
        <v>4.0</v>
      </c>
      <c r="J3774" s="7">
        <v>40886.41875</v>
      </c>
      <c r="K3774" s="8" t="str">
        <f t="shared" si="4"/>
        <v>2011-12</v>
      </c>
      <c r="L3774" s="5">
        <v>1.63</v>
      </c>
      <c r="M3774" s="10"/>
      <c r="N3774" s="1" t="str">
        <f t="shared" si="5"/>
        <v>Guest</v>
      </c>
      <c r="O3774" s="1" t="s">
        <v>19</v>
      </c>
      <c r="P3774" s="9" t="str">
        <f t="shared" si="6"/>
        <v>UK</v>
      </c>
      <c r="Q3774" s="8">
        <f t="shared" si="7"/>
        <v>6.52</v>
      </c>
    </row>
    <row r="3775">
      <c r="A3775" s="1">
        <v>581492.0</v>
      </c>
      <c r="B3775" s="1" t="str">
        <f t="shared" si="1"/>
        <v>581492</v>
      </c>
      <c r="C3775" s="1" t="str">
        <f t="shared" si="2"/>
        <v>Sale</v>
      </c>
      <c r="D3775" s="1">
        <v>21901.0</v>
      </c>
      <c r="E3775" s="1" t="str">
        <f>IFERROR(__xludf.DUMMYFUNCTION("IF(LEN(D3775)&gt;4, IFERROR(REGEXEXTRACT(TO_TEXT(D3775),""\d+""),""""),"""")"),"21901")</f>
        <v>21901</v>
      </c>
      <c r="F3775" s="6" t="str">
        <f t="shared" si="3"/>
        <v>Product</v>
      </c>
      <c r="G3775" s="1" t="s">
        <v>1415</v>
      </c>
      <c r="H3775" s="6" t="str">
        <f>IFERROR(__xludf.DUMMYFUNCTION("IF(REGEXMATCH(LOWER(G3775), ""^(\?)+\s*(missing)?\s*(\?)*$""), """", PROPER(SUBSTITUTE(SUBSTITUTE(G3775, ""?"", """"), ""*"", """")))"),"Key Fob , Back Door")</f>
        <v>Key Fob , Back Door</v>
      </c>
      <c r="I3775" s="3">
        <v>2.0</v>
      </c>
      <c r="J3775" s="7">
        <v>40886.41875</v>
      </c>
      <c r="K3775" s="8" t="str">
        <f t="shared" si="4"/>
        <v>2011-12</v>
      </c>
      <c r="L3775" s="5">
        <v>1.63</v>
      </c>
      <c r="M3775" s="10"/>
      <c r="N3775" s="1" t="str">
        <f t="shared" si="5"/>
        <v>Guest</v>
      </c>
      <c r="O3775" s="1" t="s">
        <v>19</v>
      </c>
      <c r="P3775" s="9" t="str">
        <f t="shared" si="6"/>
        <v>UK</v>
      </c>
      <c r="Q3775" s="8">
        <f t="shared" si="7"/>
        <v>3.26</v>
      </c>
    </row>
    <row r="3776">
      <c r="A3776" s="1">
        <v>581492.0</v>
      </c>
      <c r="B3776" s="1" t="str">
        <f t="shared" si="1"/>
        <v>581492</v>
      </c>
      <c r="C3776" s="1" t="str">
        <f t="shared" si="2"/>
        <v>Sale</v>
      </c>
      <c r="D3776" s="1">
        <v>21902.0</v>
      </c>
      <c r="E3776" s="1" t="str">
        <f>IFERROR(__xludf.DUMMYFUNCTION("IF(LEN(D3776)&gt;4, IFERROR(REGEXEXTRACT(TO_TEXT(D3776),""\d+""),""""),"""")"),"21902")</f>
        <v>21902</v>
      </c>
      <c r="F3776" s="6" t="str">
        <f t="shared" si="3"/>
        <v>Product</v>
      </c>
      <c r="G3776" s="1" t="s">
        <v>1773</v>
      </c>
      <c r="H3776" s="6" t="str">
        <f>IFERROR(__xludf.DUMMYFUNCTION("IF(REGEXMATCH(LOWER(G3776), ""^(\?)+\s*(missing)?\s*(\?)*$""), """", PROPER(SUBSTITUTE(SUBSTITUTE(G3776, ""?"", """"), ""*"", """")))"),"Key Fob , Front Door")</f>
        <v>Key Fob , Front Door</v>
      </c>
      <c r="I3776" s="3">
        <v>1.0</v>
      </c>
      <c r="J3776" s="7">
        <v>40886.41875</v>
      </c>
      <c r="K3776" s="8" t="str">
        <f t="shared" si="4"/>
        <v>2011-12</v>
      </c>
      <c r="L3776" s="5">
        <v>1.63</v>
      </c>
      <c r="M3776" s="10"/>
      <c r="N3776" s="1" t="str">
        <f t="shared" si="5"/>
        <v>Guest</v>
      </c>
      <c r="O3776" s="1" t="s">
        <v>19</v>
      </c>
      <c r="P3776" s="9" t="str">
        <f t="shared" si="6"/>
        <v>UK</v>
      </c>
      <c r="Q3776" s="8">
        <f t="shared" si="7"/>
        <v>1.63</v>
      </c>
    </row>
    <row r="3777">
      <c r="A3777" s="1">
        <v>581492.0</v>
      </c>
      <c r="B3777" s="1" t="str">
        <f t="shared" si="1"/>
        <v>581492</v>
      </c>
      <c r="C3777" s="1" t="str">
        <f t="shared" si="2"/>
        <v>Sale</v>
      </c>
      <c r="D3777" s="1">
        <v>21905.0</v>
      </c>
      <c r="E3777" s="1" t="str">
        <f>IFERROR(__xludf.DUMMYFUNCTION("IF(LEN(D3777)&gt;4, IFERROR(REGEXEXTRACT(TO_TEXT(D3777),""\d+""),""""),"""")"),"21905")</f>
        <v>21905</v>
      </c>
      <c r="F3777" s="6" t="str">
        <f t="shared" si="3"/>
        <v>Product</v>
      </c>
      <c r="G3777" s="1" t="s">
        <v>1190</v>
      </c>
      <c r="H3777" s="6" t="str">
        <f>IFERROR(__xludf.DUMMYFUNCTION("IF(REGEXMATCH(LOWER(G3777), ""^(\?)+\s*(missing)?\s*(\?)*$""), """", PROPER(SUBSTITUTE(SUBSTITUTE(G3777, ""?"", """"), ""*"", """")))"),"More Butter Metal Sign")</f>
        <v>More Butter Metal Sign</v>
      </c>
      <c r="I3777" s="3">
        <v>1.0</v>
      </c>
      <c r="J3777" s="7">
        <v>40886.41875</v>
      </c>
      <c r="K3777" s="8" t="str">
        <f t="shared" si="4"/>
        <v>2011-12</v>
      </c>
      <c r="L3777" s="5">
        <v>1.63</v>
      </c>
      <c r="M3777" s="10"/>
      <c r="N3777" s="1" t="str">
        <f t="shared" si="5"/>
        <v>Guest</v>
      </c>
      <c r="O3777" s="1" t="s">
        <v>19</v>
      </c>
      <c r="P3777" s="9" t="str">
        <f t="shared" si="6"/>
        <v>UK</v>
      </c>
      <c r="Q3777" s="8">
        <f t="shared" si="7"/>
        <v>1.63</v>
      </c>
    </row>
    <row r="3778">
      <c r="A3778" s="1">
        <v>581492.0</v>
      </c>
      <c r="B3778" s="1" t="str">
        <f t="shared" si="1"/>
        <v>581492</v>
      </c>
      <c r="C3778" s="1" t="str">
        <f t="shared" si="2"/>
        <v>Sale</v>
      </c>
      <c r="D3778" s="1">
        <v>21906.0</v>
      </c>
      <c r="E3778" s="1" t="str">
        <f>IFERROR(__xludf.DUMMYFUNCTION("IF(LEN(D3778)&gt;4, IFERROR(REGEXEXTRACT(TO_TEXT(D3778),""\d+""),""""),"""")"),"21906")</f>
        <v>21906</v>
      </c>
      <c r="F3778" s="6" t="str">
        <f t="shared" si="3"/>
        <v>Product</v>
      </c>
      <c r="G3778" s="1" t="s">
        <v>1774</v>
      </c>
      <c r="H3778" s="6" t="str">
        <f>IFERROR(__xludf.DUMMYFUNCTION("IF(REGEXMATCH(LOWER(G3778), ""^(\?)+\s*(missing)?\s*(\?)*$""), """", PROPER(SUBSTITUTE(SUBSTITUTE(G3778, ""?"", """"), ""*"", """")))"),"Pharmacie First Aid Tin")</f>
        <v>Pharmacie First Aid Tin</v>
      </c>
      <c r="I3778" s="3">
        <v>1.0</v>
      </c>
      <c r="J3778" s="7">
        <v>40886.41875</v>
      </c>
      <c r="K3778" s="8" t="str">
        <f t="shared" si="4"/>
        <v>2011-12</v>
      </c>
      <c r="L3778" s="5">
        <v>13.29</v>
      </c>
      <c r="M3778" s="10"/>
      <c r="N3778" s="1" t="str">
        <f t="shared" si="5"/>
        <v>Guest</v>
      </c>
      <c r="O3778" s="1" t="s">
        <v>19</v>
      </c>
      <c r="P3778" s="9" t="str">
        <f t="shared" si="6"/>
        <v>UK</v>
      </c>
      <c r="Q3778" s="8">
        <f t="shared" si="7"/>
        <v>13.29</v>
      </c>
    </row>
    <row r="3779">
      <c r="A3779" s="1">
        <v>581492.0</v>
      </c>
      <c r="B3779" s="1" t="str">
        <f t="shared" si="1"/>
        <v>581492</v>
      </c>
      <c r="C3779" s="1" t="str">
        <f t="shared" si="2"/>
        <v>Sale</v>
      </c>
      <c r="D3779" s="1">
        <v>21914.0</v>
      </c>
      <c r="E3779" s="1" t="str">
        <f>IFERROR(__xludf.DUMMYFUNCTION("IF(LEN(D3779)&gt;4, IFERROR(REGEXEXTRACT(TO_TEXT(D3779),""\d+""),""""),"""")"),"21914")</f>
        <v>21914</v>
      </c>
      <c r="F3779" s="6" t="str">
        <f t="shared" si="3"/>
        <v>Product</v>
      </c>
      <c r="G3779" s="1" t="s">
        <v>364</v>
      </c>
      <c r="H3779" s="6" t="str">
        <f>IFERROR(__xludf.DUMMYFUNCTION("IF(REGEXMATCH(LOWER(G3779), ""^(\?)+\s*(missing)?\s*(\?)*$""), """", PROPER(SUBSTITUTE(SUBSTITUTE(G3779, ""?"", """"), ""*"", """")))"),"Blue Harmonica In Box")</f>
        <v>Blue Harmonica In Box</v>
      </c>
      <c r="I3779" s="3">
        <v>2.0</v>
      </c>
      <c r="J3779" s="7">
        <v>40886.41875</v>
      </c>
      <c r="K3779" s="8" t="str">
        <f t="shared" si="4"/>
        <v>2011-12</v>
      </c>
      <c r="L3779" s="5">
        <v>2.46</v>
      </c>
      <c r="M3779" s="10"/>
      <c r="N3779" s="1" t="str">
        <f t="shared" si="5"/>
        <v>Guest</v>
      </c>
      <c r="O3779" s="1" t="s">
        <v>19</v>
      </c>
      <c r="P3779" s="9" t="str">
        <f t="shared" si="6"/>
        <v>UK</v>
      </c>
      <c r="Q3779" s="8">
        <f t="shared" si="7"/>
        <v>4.92</v>
      </c>
    </row>
    <row r="3780">
      <c r="A3780" s="1">
        <v>581492.0</v>
      </c>
      <c r="B3780" s="1" t="str">
        <f t="shared" si="1"/>
        <v>581492</v>
      </c>
      <c r="C3780" s="1" t="str">
        <f t="shared" si="2"/>
        <v>Sale</v>
      </c>
      <c r="D3780" s="1">
        <v>21916.0</v>
      </c>
      <c r="E3780" s="1" t="str">
        <f>IFERROR(__xludf.DUMMYFUNCTION("IF(LEN(D3780)&gt;4, IFERROR(REGEXEXTRACT(TO_TEXT(D3780),""\d+""),""""),"""")"),"21916")</f>
        <v>21916</v>
      </c>
      <c r="F3780" s="6" t="str">
        <f t="shared" si="3"/>
        <v>Product</v>
      </c>
      <c r="G3780" s="1" t="s">
        <v>493</v>
      </c>
      <c r="H3780" s="6" t="str">
        <f>IFERROR(__xludf.DUMMYFUNCTION("IF(REGEXMATCH(LOWER(G3780), ""^(\?)+\s*(missing)?\s*(\?)*$""), """", PROPER(SUBSTITUTE(SUBSTITUTE(G3780, ""?"", """"), ""*"", """")))"),"Set 12 Retro White Chalk Sticks")</f>
        <v>Set 12 Retro White Chalk Sticks</v>
      </c>
      <c r="I3780" s="3">
        <v>2.0</v>
      </c>
      <c r="J3780" s="7">
        <v>40886.41875</v>
      </c>
      <c r="K3780" s="8" t="str">
        <f t="shared" si="4"/>
        <v>2011-12</v>
      </c>
      <c r="L3780" s="5">
        <v>0.83</v>
      </c>
      <c r="M3780" s="10"/>
      <c r="N3780" s="1" t="str">
        <f t="shared" si="5"/>
        <v>Guest</v>
      </c>
      <c r="O3780" s="1" t="s">
        <v>19</v>
      </c>
      <c r="P3780" s="9" t="str">
        <f t="shared" si="6"/>
        <v>UK</v>
      </c>
      <c r="Q3780" s="8">
        <f t="shared" si="7"/>
        <v>1.66</v>
      </c>
    </row>
    <row r="3781">
      <c r="A3781" s="1">
        <v>581492.0</v>
      </c>
      <c r="B3781" s="1" t="str">
        <f t="shared" si="1"/>
        <v>581492</v>
      </c>
      <c r="C3781" s="1" t="str">
        <f t="shared" si="2"/>
        <v>Sale</v>
      </c>
      <c r="D3781" s="1">
        <v>21928.0</v>
      </c>
      <c r="E3781" s="1" t="str">
        <f>IFERROR(__xludf.DUMMYFUNCTION("IF(LEN(D3781)&gt;4, IFERROR(REGEXEXTRACT(TO_TEXT(D3781),""\d+""),""""),"""")"),"21928")</f>
        <v>21928</v>
      </c>
      <c r="F3781" s="6" t="str">
        <f t="shared" si="3"/>
        <v>Product</v>
      </c>
      <c r="G3781" s="1" t="s">
        <v>1177</v>
      </c>
      <c r="H3781" s="6" t="str">
        <f>IFERROR(__xludf.DUMMYFUNCTION("IF(REGEXMATCH(LOWER(G3781), ""^(\?)+\s*(missing)?\s*(\?)*$""), """", PROPER(SUBSTITUTE(SUBSTITUTE(G3781, ""?"", """"), ""*"", """")))"),"Jumbo Bag Scandinavian Blue Paisley")</f>
        <v>Jumbo Bag Scandinavian Blue Paisley</v>
      </c>
      <c r="I3781" s="3">
        <v>2.0</v>
      </c>
      <c r="J3781" s="7">
        <v>40886.41875</v>
      </c>
      <c r="K3781" s="8" t="str">
        <f t="shared" si="4"/>
        <v>2011-12</v>
      </c>
      <c r="L3781" s="5">
        <v>4.13</v>
      </c>
      <c r="M3781" s="10"/>
      <c r="N3781" s="1" t="str">
        <f t="shared" si="5"/>
        <v>Guest</v>
      </c>
      <c r="O3781" s="1" t="s">
        <v>19</v>
      </c>
      <c r="P3781" s="9" t="str">
        <f t="shared" si="6"/>
        <v>UK</v>
      </c>
      <c r="Q3781" s="8">
        <f t="shared" si="7"/>
        <v>8.26</v>
      </c>
    </row>
    <row r="3782">
      <c r="A3782" s="1">
        <v>581492.0</v>
      </c>
      <c r="B3782" s="1" t="str">
        <f t="shared" si="1"/>
        <v>581492</v>
      </c>
      <c r="C3782" s="1" t="str">
        <f t="shared" si="2"/>
        <v>Sale</v>
      </c>
      <c r="D3782" s="1">
        <v>21929.0</v>
      </c>
      <c r="E3782" s="1" t="str">
        <f>IFERROR(__xludf.DUMMYFUNCTION("IF(LEN(D3782)&gt;4, IFERROR(REGEXEXTRACT(TO_TEXT(D3782),""\d+""),""""),"""")"),"21929")</f>
        <v>21929</v>
      </c>
      <c r="F3782" s="6" t="str">
        <f t="shared" si="3"/>
        <v>Product</v>
      </c>
      <c r="G3782" s="1" t="s">
        <v>108</v>
      </c>
      <c r="H3782" s="6" t="str">
        <f>IFERROR(__xludf.DUMMYFUNCTION("IF(REGEXMATCH(LOWER(G3782), ""^(\?)+\s*(missing)?\s*(\?)*$""), """", PROPER(SUBSTITUTE(SUBSTITUTE(G3782, ""?"", """"), ""*"", """")))"),"Jumbo Bag Pink Vintage Paisley")</f>
        <v>Jumbo Bag Pink Vintage Paisley</v>
      </c>
      <c r="I3782" s="3">
        <v>1.0</v>
      </c>
      <c r="J3782" s="7">
        <v>40886.41875</v>
      </c>
      <c r="K3782" s="8" t="str">
        <f t="shared" si="4"/>
        <v>2011-12</v>
      </c>
      <c r="L3782" s="5">
        <v>4.13</v>
      </c>
      <c r="M3782" s="10"/>
      <c r="N3782" s="1" t="str">
        <f t="shared" si="5"/>
        <v>Guest</v>
      </c>
      <c r="O3782" s="1" t="s">
        <v>19</v>
      </c>
      <c r="P3782" s="9" t="str">
        <f t="shared" si="6"/>
        <v>UK</v>
      </c>
      <c r="Q3782" s="8">
        <f t="shared" si="7"/>
        <v>4.13</v>
      </c>
    </row>
    <row r="3783">
      <c r="A3783" s="1">
        <v>581492.0</v>
      </c>
      <c r="B3783" s="1" t="str">
        <f t="shared" si="1"/>
        <v>581492</v>
      </c>
      <c r="C3783" s="1" t="str">
        <f t="shared" si="2"/>
        <v>Sale</v>
      </c>
      <c r="D3783" s="1">
        <v>21930.0</v>
      </c>
      <c r="E3783" s="1" t="str">
        <f>IFERROR(__xludf.DUMMYFUNCTION("IF(LEN(D3783)&gt;4, IFERROR(REGEXEXTRACT(TO_TEXT(D3783),""\d+""),""""),"""")"),"21930")</f>
        <v>21930</v>
      </c>
      <c r="F3783" s="6" t="str">
        <f t="shared" si="3"/>
        <v>Product</v>
      </c>
      <c r="G3783" s="1" t="s">
        <v>805</v>
      </c>
      <c r="H3783" s="6" t="str">
        <f>IFERROR(__xludf.DUMMYFUNCTION("IF(REGEXMATCH(LOWER(G3783), ""^(\?)+\s*(missing)?\s*(\?)*$""), """", PROPER(SUBSTITUTE(SUBSTITUTE(G3783, ""?"", """"), ""*"", """")))"),"Jumbo Storage Bag Skulls")</f>
        <v>Jumbo Storage Bag Skulls</v>
      </c>
      <c r="I3783" s="3">
        <v>1.0</v>
      </c>
      <c r="J3783" s="7">
        <v>40886.41875</v>
      </c>
      <c r="K3783" s="8" t="str">
        <f t="shared" si="4"/>
        <v>2011-12</v>
      </c>
      <c r="L3783" s="5">
        <v>4.13</v>
      </c>
      <c r="M3783" s="10"/>
      <c r="N3783" s="1" t="str">
        <f t="shared" si="5"/>
        <v>Guest</v>
      </c>
      <c r="O3783" s="1" t="s">
        <v>19</v>
      </c>
      <c r="P3783" s="9" t="str">
        <f t="shared" si="6"/>
        <v>UK</v>
      </c>
      <c r="Q3783" s="8">
        <f t="shared" si="7"/>
        <v>4.13</v>
      </c>
    </row>
    <row r="3784">
      <c r="A3784" s="1">
        <v>581492.0</v>
      </c>
      <c r="B3784" s="1" t="str">
        <f t="shared" si="1"/>
        <v>581492</v>
      </c>
      <c r="C3784" s="1" t="str">
        <f t="shared" si="2"/>
        <v>Sale</v>
      </c>
      <c r="D3784" s="1">
        <v>21931.0</v>
      </c>
      <c r="E3784" s="1" t="str">
        <f>IFERROR(__xludf.DUMMYFUNCTION("IF(LEN(D3784)&gt;4, IFERROR(REGEXEXTRACT(TO_TEXT(D3784),""\d+""),""""),"""")"),"21931")</f>
        <v>21931</v>
      </c>
      <c r="F3784" s="6" t="str">
        <f t="shared" si="3"/>
        <v>Product</v>
      </c>
      <c r="G3784" s="1" t="s">
        <v>107</v>
      </c>
      <c r="H3784" s="6" t="str">
        <f>IFERROR(__xludf.DUMMYFUNCTION("IF(REGEXMATCH(LOWER(G3784), ""^(\?)+\s*(missing)?\s*(\?)*$""), """", PROPER(SUBSTITUTE(SUBSTITUTE(G3784, ""?"", """"), ""*"", """")))"),"Jumbo Storage Bag Suki")</f>
        <v>Jumbo Storage Bag Suki</v>
      </c>
      <c r="I3784" s="3">
        <v>1.0</v>
      </c>
      <c r="J3784" s="7">
        <v>40886.41875</v>
      </c>
      <c r="K3784" s="8" t="str">
        <f t="shared" si="4"/>
        <v>2011-12</v>
      </c>
      <c r="L3784" s="5">
        <v>4.13</v>
      </c>
      <c r="M3784" s="10"/>
      <c r="N3784" s="1" t="str">
        <f t="shared" si="5"/>
        <v>Guest</v>
      </c>
      <c r="O3784" s="1" t="s">
        <v>19</v>
      </c>
      <c r="P3784" s="9" t="str">
        <f t="shared" si="6"/>
        <v>UK</v>
      </c>
      <c r="Q3784" s="8">
        <f t="shared" si="7"/>
        <v>4.13</v>
      </c>
    </row>
    <row r="3785">
      <c r="A3785" s="1">
        <v>581492.0</v>
      </c>
      <c r="B3785" s="1" t="str">
        <f t="shared" si="1"/>
        <v>581492</v>
      </c>
      <c r="C3785" s="1" t="str">
        <f t="shared" si="2"/>
        <v>Sale</v>
      </c>
      <c r="D3785" s="1">
        <v>21932.0</v>
      </c>
      <c r="E3785" s="1" t="str">
        <f>IFERROR(__xludf.DUMMYFUNCTION("IF(LEN(D3785)&gt;4, IFERROR(REGEXEXTRACT(TO_TEXT(D3785),""\d+""),""""),"""")"),"21932")</f>
        <v>21932</v>
      </c>
      <c r="F3785" s="6" t="str">
        <f t="shared" si="3"/>
        <v>Product</v>
      </c>
      <c r="G3785" s="1" t="s">
        <v>1775</v>
      </c>
      <c r="H3785" s="6" t="str">
        <f>IFERROR(__xludf.DUMMYFUNCTION("IF(REGEXMATCH(LOWER(G3785), ""^(\?)+\s*(missing)?\s*(\?)*$""), """", PROPER(SUBSTITUTE(SUBSTITUTE(G3785, ""?"", """"), ""*"", """")))"),"Scandinavian Paisley Picnic Bag")</f>
        <v>Scandinavian Paisley Picnic Bag</v>
      </c>
      <c r="I3785" s="3">
        <v>1.0</v>
      </c>
      <c r="J3785" s="7">
        <v>40886.41875</v>
      </c>
      <c r="K3785" s="8" t="str">
        <f t="shared" si="4"/>
        <v>2011-12</v>
      </c>
      <c r="L3785" s="5">
        <v>2.46</v>
      </c>
      <c r="M3785" s="10"/>
      <c r="N3785" s="1" t="str">
        <f t="shared" si="5"/>
        <v>Guest</v>
      </c>
      <c r="O3785" s="1" t="s">
        <v>19</v>
      </c>
      <c r="P3785" s="9" t="str">
        <f t="shared" si="6"/>
        <v>UK</v>
      </c>
      <c r="Q3785" s="8">
        <f t="shared" si="7"/>
        <v>2.46</v>
      </c>
    </row>
    <row r="3786">
      <c r="A3786" s="1">
        <v>581492.0</v>
      </c>
      <c r="B3786" s="1" t="str">
        <f t="shared" si="1"/>
        <v>581492</v>
      </c>
      <c r="C3786" s="1" t="str">
        <f t="shared" si="2"/>
        <v>Sale</v>
      </c>
      <c r="D3786" s="1">
        <v>21934.0</v>
      </c>
      <c r="E3786" s="1" t="str">
        <f>IFERROR(__xludf.DUMMYFUNCTION("IF(LEN(D3786)&gt;4, IFERROR(REGEXEXTRACT(TO_TEXT(D3786),""\d+""),""""),"""")"),"21934")</f>
        <v>21934</v>
      </c>
      <c r="F3786" s="6" t="str">
        <f t="shared" si="3"/>
        <v>Product</v>
      </c>
      <c r="G3786" s="1" t="s">
        <v>120</v>
      </c>
      <c r="H3786" s="6" t="str">
        <f>IFERROR(__xludf.DUMMYFUNCTION("IF(REGEXMATCH(LOWER(G3786), ""^(\?)+\s*(missing)?\s*(\?)*$""), """", PROPER(SUBSTITUTE(SUBSTITUTE(G3786, ""?"", """"), ""*"", """")))"),"Skull Shoulder Bag")</f>
        <v>Skull Shoulder Bag</v>
      </c>
      <c r="I3786" s="3">
        <v>3.0</v>
      </c>
      <c r="J3786" s="7">
        <v>40886.41875</v>
      </c>
      <c r="K3786" s="8" t="str">
        <f t="shared" si="4"/>
        <v>2011-12</v>
      </c>
      <c r="L3786" s="5">
        <v>1.63</v>
      </c>
      <c r="M3786" s="10"/>
      <c r="N3786" s="1" t="str">
        <f t="shared" si="5"/>
        <v>Guest</v>
      </c>
      <c r="O3786" s="1" t="s">
        <v>19</v>
      </c>
      <c r="P3786" s="9" t="str">
        <f t="shared" si="6"/>
        <v>UK</v>
      </c>
      <c r="Q3786" s="8">
        <f t="shared" si="7"/>
        <v>4.89</v>
      </c>
    </row>
    <row r="3787">
      <c r="A3787" s="1">
        <v>581492.0</v>
      </c>
      <c r="B3787" s="1" t="str">
        <f t="shared" si="1"/>
        <v>581492</v>
      </c>
      <c r="C3787" s="1" t="str">
        <f t="shared" si="2"/>
        <v>Sale</v>
      </c>
      <c r="D3787" s="1">
        <v>21935.0</v>
      </c>
      <c r="E3787" s="1" t="str">
        <f>IFERROR(__xludf.DUMMYFUNCTION("IF(LEN(D3787)&gt;4, IFERROR(REGEXEXTRACT(TO_TEXT(D3787),""\d+""),""""),"""")"),"21935")</f>
        <v>21935</v>
      </c>
      <c r="F3787" s="6" t="str">
        <f t="shared" si="3"/>
        <v>Product</v>
      </c>
      <c r="G3787" s="1" t="s">
        <v>1776</v>
      </c>
      <c r="H3787" s="6" t="str">
        <f>IFERROR(__xludf.DUMMYFUNCTION("IF(REGEXMATCH(LOWER(G3787), ""^(\?)+\s*(missing)?\s*(\?)*$""), """", PROPER(SUBSTITUTE(SUBSTITUTE(G3787, ""?"", """"), ""*"", """")))"),"Suki Shoulder Bag")</f>
        <v>Suki Shoulder Bag</v>
      </c>
      <c r="I3787" s="3">
        <v>9.0</v>
      </c>
      <c r="J3787" s="7">
        <v>40886.41875</v>
      </c>
      <c r="K3787" s="8" t="str">
        <f t="shared" si="4"/>
        <v>2011-12</v>
      </c>
      <c r="L3787" s="5">
        <v>1.63</v>
      </c>
      <c r="M3787" s="10"/>
      <c r="N3787" s="1" t="str">
        <f t="shared" si="5"/>
        <v>Guest</v>
      </c>
      <c r="O3787" s="1" t="s">
        <v>19</v>
      </c>
      <c r="P3787" s="9" t="str">
        <f t="shared" si="6"/>
        <v>UK</v>
      </c>
      <c r="Q3787" s="8">
        <f t="shared" si="7"/>
        <v>14.67</v>
      </c>
    </row>
    <row r="3788">
      <c r="A3788" s="1">
        <v>581492.0</v>
      </c>
      <c r="B3788" s="1" t="str">
        <f t="shared" si="1"/>
        <v>581492</v>
      </c>
      <c r="C3788" s="1" t="str">
        <f t="shared" si="2"/>
        <v>Sale</v>
      </c>
      <c r="D3788" s="1">
        <v>21936.0</v>
      </c>
      <c r="E3788" s="1" t="str">
        <f>IFERROR(__xludf.DUMMYFUNCTION("IF(LEN(D3788)&gt;4, IFERROR(REGEXEXTRACT(TO_TEXT(D3788),""\d+""),""""),"""")"),"21936")</f>
        <v>21936</v>
      </c>
      <c r="F3788" s="6" t="str">
        <f t="shared" si="3"/>
        <v>Product</v>
      </c>
      <c r="G3788" s="1" t="s">
        <v>806</v>
      </c>
      <c r="H3788" s="6" t="str">
        <f>IFERROR(__xludf.DUMMYFUNCTION("IF(REGEXMATCH(LOWER(G3788), ""^(\?)+\s*(missing)?\s*(\?)*$""), """", PROPER(SUBSTITUTE(SUBSTITUTE(G3788, ""?"", """"), ""*"", """")))"),"Red Retrospot Picnic Bag")</f>
        <v>Red Retrospot Picnic Bag</v>
      </c>
      <c r="I3788" s="3">
        <v>1.0</v>
      </c>
      <c r="J3788" s="7">
        <v>40886.41875</v>
      </c>
      <c r="K3788" s="8" t="str">
        <f t="shared" si="4"/>
        <v>2011-12</v>
      </c>
      <c r="L3788" s="5">
        <v>5.79</v>
      </c>
      <c r="M3788" s="10"/>
      <c r="N3788" s="1" t="str">
        <f t="shared" si="5"/>
        <v>Guest</v>
      </c>
      <c r="O3788" s="1" t="s">
        <v>19</v>
      </c>
      <c r="P3788" s="9" t="str">
        <f t="shared" si="6"/>
        <v>UK</v>
      </c>
      <c r="Q3788" s="8">
        <f t="shared" si="7"/>
        <v>5.79</v>
      </c>
    </row>
    <row r="3789">
      <c r="A3789" s="1">
        <v>581492.0</v>
      </c>
      <c r="B3789" s="1" t="str">
        <f t="shared" si="1"/>
        <v>581492</v>
      </c>
      <c r="C3789" s="1" t="str">
        <f t="shared" si="2"/>
        <v>Sale</v>
      </c>
      <c r="D3789" s="1">
        <v>21942.0</v>
      </c>
      <c r="E3789" s="1" t="str">
        <f>IFERROR(__xludf.DUMMYFUNCTION("IF(LEN(D3789)&gt;4, IFERROR(REGEXEXTRACT(TO_TEXT(D3789),""\d+""),""""),"""")"),"21942")</f>
        <v>21942</v>
      </c>
      <c r="F3789" s="6" t="str">
        <f t="shared" si="3"/>
        <v>Product</v>
      </c>
      <c r="G3789" s="1" t="s">
        <v>1777</v>
      </c>
      <c r="H3789" s="6" t="str">
        <f>IFERROR(__xludf.DUMMYFUNCTION("IF(REGEXMATCH(LOWER(G3789), ""^(\?)+\s*(missing)?\s*(\?)*$""), """", PROPER(SUBSTITUTE(SUBSTITUTE(G3789, ""?"", """"), ""*"", """")))"),"Skulls Design Flannel")</f>
        <v>Skulls Design Flannel</v>
      </c>
      <c r="I3789" s="3">
        <v>2.0</v>
      </c>
      <c r="J3789" s="7">
        <v>40886.41875</v>
      </c>
      <c r="K3789" s="8" t="str">
        <f t="shared" si="4"/>
        <v>2011-12</v>
      </c>
      <c r="L3789" s="5">
        <v>1.63</v>
      </c>
      <c r="M3789" s="10"/>
      <c r="N3789" s="1" t="str">
        <f t="shared" si="5"/>
        <v>Guest</v>
      </c>
      <c r="O3789" s="1" t="s">
        <v>19</v>
      </c>
      <c r="P3789" s="9" t="str">
        <f t="shared" si="6"/>
        <v>UK</v>
      </c>
      <c r="Q3789" s="8">
        <f t="shared" si="7"/>
        <v>3.26</v>
      </c>
    </row>
    <row r="3790">
      <c r="A3790" s="1">
        <v>581492.0</v>
      </c>
      <c r="B3790" s="1" t="str">
        <f t="shared" si="1"/>
        <v>581492</v>
      </c>
      <c r="C3790" s="1" t="str">
        <f t="shared" si="2"/>
        <v>Sale</v>
      </c>
      <c r="D3790" s="1">
        <v>21945.0</v>
      </c>
      <c r="E3790" s="1" t="str">
        <f>IFERROR(__xludf.DUMMYFUNCTION("IF(LEN(D3790)&gt;4, IFERROR(REGEXEXTRACT(TO_TEXT(D3790),""\d+""),""""),"""")"),"21945")</f>
        <v>21945</v>
      </c>
      <c r="F3790" s="6" t="str">
        <f t="shared" si="3"/>
        <v>Product</v>
      </c>
      <c r="G3790" s="1" t="s">
        <v>1378</v>
      </c>
      <c r="H3790" s="6" t="str">
        <f>IFERROR(__xludf.DUMMYFUNCTION("IF(REGEXMATCH(LOWER(G3790), ""^(\?)+\s*(missing)?\s*(\?)*$""), """", PROPER(SUBSTITUTE(SUBSTITUTE(G3790, ""?"", """"), ""*"", """")))"),"Strawberries Design Flannel")</f>
        <v>Strawberries Design Flannel</v>
      </c>
      <c r="I3790" s="3">
        <v>2.0</v>
      </c>
      <c r="J3790" s="7">
        <v>40886.41875</v>
      </c>
      <c r="K3790" s="8" t="str">
        <f t="shared" si="4"/>
        <v>2011-12</v>
      </c>
      <c r="L3790" s="5">
        <v>1.63</v>
      </c>
      <c r="M3790" s="10"/>
      <c r="N3790" s="1" t="str">
        <f t="shared" si="5"/>
        <v>Guest</v>
      </c>
      <c r="O3790" s="1" t="s">
        <v>19</v>
      </c>
      <c r="P3790" s="9" t="str">
        <f t="shared" si="6"/>
        <v>UK</v>
      </c>
      <c r="Q3790" s="8">
        <f t="shared" si="7"/>
        <v>3.26</v>
      </c>
    </row>
    <row r="3791">
      <c r="A3791" s="1">
        <v>581492.0</v>
      </c>
      <c r="B3791" s="1" t="str">
        <f t="shared" si="1"/>
        <v>581492</v>
      </c>
      <c r="C3791" s="1" t="str">
        <f t="shared" si="2"/>
        <v>Sale</v>
      </c>
      <c r="D3791" s="1">
        <v>21947.0</v>
      </c>
      <c r="E3791" s="1" t="str">
        <f>IFERROR(__xludf.DUMMYFUNCTION("IF(LEN(D3791)&gt;4, IFERROR(REGEXEXTRACT(TO_TEXT(D3791),""\d+""),""""),"""")"),"21947")</f>
        <v>21947</v>
      </c>
      <c r="F3791" s="6" t="str">
        <f t="shared" si="3"/>
        <v>Product</v>
      </c>
      <c r="G3791" s="1" t="s">
        <v>1778</v>
      </c>
      <c r="H3791" s="6" t="str">
        <f>IFERROR(__xludf.DUMMYFUNCTION("IF(REGEXMATCH(LOWER(G3791), ""^(\?)+\s*(missing)?\s*(\?)*$""), """", PROPER(SUBSTITUTE(SUBSTITUTE(G3791, ""?"", """"), ""*"", """")))"),"Set Of 6 Heart Chopsticks")</f>
        <v>Set Of 6 Heart Chopsticks</v>
      </c>
      <c r="I3791" s="3">
        <v>1.0</v>
      </c>
      <c r="J3791" s="7">
        <v>40886.41875</v>
      </c>
      <c r="K3791" s="8" t="str">
        <f t="shared" si="4"/>
        <v>2011-12</v>
      </c>
      <c r="L3791" s="5">
        <v>2.46</v>
      </c>
      <c r="M3791" s="10"/>
      <c r="N3791" s="1" t="str">
        <f t="shared" si="5"/>
        <v>Guest</v>
      </c>
      <c r="O3791" s="1" t="s">
        <v>19</v>
      </c>
      <c r="P3791" s="9" t="str">
        <f t="shared" si="6"/>
        <v>UK</v>
      </c>
      <c r="Q3791" s="8">
        <f t="shared" si="7"/>
        <v>2.46</v>
      </c>
    </row>
    <row r="3792">
      <c r="A3792" s="1">
        <v>581492.0</v>
      </c>
      <c r="B3792" s="1" t="str">
        <f t="shared" si="1"/>
        <v>581492</v>
      </c>
      <c r="C3792" s="1" t="str">
        <f t="shared" si="2"/>
        <v>Sale</v>
      </c>
      <c r="D3792" s="1">
        <v>21949.0</v>
      </c>
      <c r="E3792" s="1" t="str">
        <f>IFERROR(__xludf.DUMMYFUNCTION("IF(LEN(D3792)&gt;4, IFERROR(REGEXEXTRACT(TO_TEXT(D3792),""\d+""),""""),"""")"),"21949")</f>
        <v>21949</v>
      </c>
      <c r="F3792" s="6" t="str">
        <f t="shared" si="3"/>
        <v>Product</v>
      </c>
      <c r="G3792" s="1" t="s">
        <v>1145</v>
      </c>
      <c r="H3792" s="6" t="str">
        <f>IFERROR(__xludf.DUMMYFUNCTION("IF(REGEXMATCH(LOWER(G3792), ""^(\?)+\s*(missing)?\s*(\?)*$""), """", PROPER(SUBSTITUTE(SUBSTITUTE(G3792, ""?"", """"), ""*"", """")))"),"Set Of 6 Strawberry Chopsticks")</f>
        <v>Set Of 6 Strawberry Chopsticks</v>
      </c>
      <c r="I3792" s="3">
        <v>2.0</v>
      </c>
      <c r="J3792" s="7">
        <v>40886.41875</v>
      </c>
      <c r="K3792" s="8" t="str">
        <f t="shared" si="4"/>
        <v>2011-12</v>
      </c>
      <c r="L3792" s="5">
        <v>2.46</v>
      </c>
      <c r="M3792" s="10"/>
      <c r="N3792" s="1" t="str">
        <f t="shared" si="5"/>
        <v>Guest</v>
      </c>
      <c r="O3792" s="1" t="s">
        <v>19</v>
      </c>
      <c r="P3792" s="9" t="str">
        <f t="shared" si="6"/>
        <v>UK</v>
      </c>
      <c r="Q3792" s="8">
        <f t="shared" si="7"/>
        <v>4.92</v>
      </c>
    </row>
    <row r="3793">
      <c r="A3793" s="1">
        <v>581492.0</v>
      </c>
      <c r="B3793" s="1" t="str">
        <f t="shared" si="1"/>
        <v>581492</v>
      </c>
      <c r="C3793" s="1" t="str">
        <f t="shared" si="2"/>
        <v>Sale</v>
      </c>
      <c r="D3793" s="1">
        <v>21967.0</v>
      </c>
      <c r="E3793" s="1" t="str">
        <f>IFERROR(__xludf.DUMMYFUNCTION("IF(LEN(D3793)&gt;4, IFERROR(REGEXEXTRACT(TO_TEXT(D3793),""\d+""),""""),"""")"),"21967")</f>
        <v>21967</v>
      </c>
      <c r="F3793" s="6" t="str">
        <f t="shared" si="3"/>
        <v>Product</v>
      </c>
      <c r="G3793" s="1" t="s">
        <v>1779</v>
      </c>
      <c r="H3793" s="6" t="str">
        <f>IFERROR(__xludf.DUMMYFUNCTION("IF(REGEXMATCH(LOWER(G3793), ""^(\?)+\s*(missing)?\s*(\?)*$""), """", PROPER(SUBSTITUTE(SUBSTITUTE(G3793, ""?"", """"), ""*"", """")))"),"Pack Of 12 Skull Tissues")</f>
        <v>Pack Of 12 Skull Tissues</v>
      </c>
      <c r="I3793" s="3">
        <v>1.0</v>
      </c>
      <c r="J3793" s="7">
        <v>40886.41875</v>
      </c>
      <c r="K3793" s="8" t="str">
        <f t="shared" si="4"/>
        <v>2011-12</v>
      </c>
      <c r="L3793" s="5">
        <v>0.83</v>
      </c>
      <c r="M3793" s="10"/>
      <c r="N3793" s="1" t="str">
        <f t="shared" si="5"/>
        <v>Guest</v>
      </c>
      <c r="O3793" s="1" t="s">
        <v>19</v>
      </c>
      <c r="P3793" s="9" t="str">
        <f t="shared" si="6"/>
        <v>UK</v>
      </c>
      <c r="Q3793" s="8">
        <f t="shared" si="7"/>
        <v>0.83</v>
      </c>
    </row>
    <row r="3794">
      <c r="A3794" s="1">
        <v>581492.0</v>
      </c>
      <c r="B3794" s="1" t="str">
        <f t="shared" si="1"/>
        <v>581492</v>
      </c>
      <c r="C3794" s="1" t="str">
        <f t="shared" si="2"/>
        <v>Sale</v>
      </c>
      <c r="D3794" s="1">
        <v>21976.0</v>
      </c>
      <c r="E3794" s="1" t="str">
        <f>IFERROR(__xludf.DUMMYFUNCTION("IF(LEN(D3794)&gt;4, IFERROR(REGEXEXTRACT(TO_TEXT(D3794),""\d+""),""""),"""")"),"21976")</f>
        <v>21976</v>
      </c>
      <c r="F3794" s="6" t="str">
        <f t="shared" si="3"/>
        <v>Product</v>
      </c>
      <c r="G3794" s="1" t="s">
        <v>490</v>
      </c>
      <c r="H3794" s="6" t="str">
        <f>IFERROR(__xludf.DUMMYFUNCTION("IF(REGEXMATCH(LOWER(G3794), ""^(\?)+\s*(missing)?\s*(\?)*$""), """", PROPER(SUBSTITUTE(SUBSTITUTE(G3794, ""?"", """"), ""*"", """")))"),"Pack Of 60 Mushroom Cake Cases")</f>
        <v>Pack Of 60 Mushroom Cake Cases</v>
      </c>
      <c r="I3794" s="3">
        <v>3.0</v>
      </c>
      <c r="J3794" s="7">
        <v>40886.41875</v>
      </c>
      <c r="K3794" s="8" t="str">
        <f t="shared" si="4"/>
        <v>2011-12</v>
      </c>
      <c r="L3794" s="5">
        <v>1.25</v>
      </c>
      <c r="M3794" s="10"/>
      <c r="N3794" s="1" t="str">
        <f t="shared" si="5"/>
        <v>Guest</v>
      </c>
      <c r="O3794" s="1" t="s">
        <v>19</v>
      </c>
      <c r="P3794" s="9" t="str">
        <f t="shared" si="6"/>
        <v>UK</v>
      </c>
      <c r="Q3794" s="8">
        <f t="shared" si="7"/>
        <v>3.75</v>
      </c>
    </row>
    <row r="3795">
      <c r="A3795" s="1">
        <v>581492.0</v>
      </c>
      <c r="B3795" s="1" t="str">
        <f t="shared" si="1"/>
        <v>581492</v>
      </c>
      <c r="C3795" s="1" t="str">
        <f t="shared" si="2"/>
        <v>Sale</v>
      </c>
      <c r="D3795" s="1">
        <v>21977.0</v>
      </c>
      <c r="E3795" s="1" t="str">
        <f>IFERROR(__xludf.DUMMYFUNCTION("IF(LEN(D3795)&gt;4, IFERROR(REGEXEXTRACT(TO_TEXT(D3795),""\d+""),""""),"""")"),"21977")</f>
        <v>21977</v>
      </c>
      <c r="F3795" s="6" t="str">
        <f t="shared" si="3"/>
        <v>Product</v>
      </c>
      <c r="G3795" s="1" t="s">
        <v>99</v>
      </c>
      <c r="H3795" s="6" t="str">
        <f>IFERROR(__xludf.DUMMYFUNCTION("IF(REGEXMATCH(LOWER(G3795), ""^(\?)+\s*(missing)?\s*(\?)*$""), """", PROPER(SUBSTITUTE(SUBSTITUTE(G3795, ""?"", """"), ""*"", """")))"),"Pack Of 60 Pink Paisley Cake Cases")</f>
        <v>Pack Of 60 Pink Paisley Cake Cases</v>
      </c>
      <c r="I3795" s="3">
        <v>2.0</v>
      </c>
      <c r="J3795" s="7">
        <v>40886.41875</v>
      </c>
      <c r="K3795" s="8" t="str">
        <f t="shared" si="4"/>
        <v>2011-12</v>
      </c>
      <c r="L3795" s="5">
        <v>1.25</v>
      </c>
      <c r="M3795" s="10"/>
      <c r="N3795" s="1" t="str">
        <f t="shared" si="5"/>
        <v>Guest</v>
      </c>
      <c r="O3795" s="1" t="s">
        <v>19</v>
      </c>
      <c r="P3795" s="9" t="str">
        <f t="shared" si="6"/>
        <v>UK</v>
      </c>
      <c r="Q3795" s="8">
        <f t="shared" si="7"/>
        <v>2.5</v>
      </c>
    </row>
    <row r="3796">
      <c r="A3796" s="1">
        <v>581492.0</v>
      </c>
      <c r="B3796" s="1" t="str">
        <f t="shared" si="1"/>
        <v>581492</v>
      </c>
      <c r="C3796" s="1" t="str">
        <f t="shared" si="2"/>
        <v>Sale</v>
      </c>
      <c r="D3796" s="1">
        <v>21980.0</v>
      </c>
      <c r="E3796" s="1" t="str">
        <f>IFERROR(__xludf.DUMMYFUNCTION("IF(LEN(D3796)&gt;4, IFERROR(REGEXEXTRACT(TO_TEXT(D3796),""\d+""),""""),"""")"),"21980")</f>
        <v>21980</v>
      </c>
      <c r="F3796" s="6" t="str">
        <f t="shared" si="3"/>
        <v>Product</v>
      </c>
      <c r="G3796" s="1" t="s">
        <v>231</v>
      </c>
      <c r="H3796" s="6" t="str">
        <f>IFERROR(__xludf.DUMMYFUNCTION("IF(REGEXMATCH(LOWER(G3796), ""^(\?)+\s*(missing)?\s*(\?)*$""), """", PROPER(SUBSTITUTE(SUBSTITUTE(G3796, ""?"", """"), ""*"", """")))"),"Pack Of 12 Red Retrospot Tissues")</f>
        <v>Pack Of 12 Red Retrospot Tissues</v>
      </c>
      <c r="I3796" s="3">
        <v>2.0</v>
      </c>
      <c r="J3796" s="7">
        <v>40886.41875</v>
      </c>
      <c r="K3796" s="8" t="str">
        <f t="shared" si="4"/>
        <v>2011-12</v>
      </c>
      <c r="L3796" s="5">
        <v>0.83</v>
      </c>
      <c r="M3796" s="10"/>
      <c r="N3796" s="1" t="str">
        <f t="shared" si="5"/>
        <v>Guest</v>
      </c>
      <c r="O3796" s="1" t="s">
        <v>19</v>
      </c>
      <c r="P3796" s="9" t="str">
        <f t="shared" si="6"/>
        <v>UK</v>
      </c>
      <c r="Q3796" s="8">
        <f t="shared" si="7"/>
        <v>1.66</v>
      </c>
    </row>
    <row r="3797">
      <c r="A3797" s="1">
        <v>581492.0</v>
      </c>
      <c r="B3797" s="1" t="str">
        <f t="shared" si="1"/>
        <v>581492</v>
      </c>
      <c r="C3797" s="1" t="str">
        <f t="shared" si="2"/>
        <v>Sale</v>
      </c>
      <c r="D3797" s="1">
        <v>21981.0</v>
      </c>
      <c r="E3797" s="1" t="str">
        <f>IFERROR(__xludf.DUMMYFUNCTION("IF(LEN(D3797)&gt;4, IFERROR(REGEXEXTRACT(TO_TEXT(D3797),""\d+""),""""),"""")"),"21981")</f>
        <v>21981</v>
      </c>
      <c r="F3797" s="6" t="str">
        <f t="shared" si="3"/>
        <v>Product</v>
      </c>
      <c r="G3797" s="1" t="s">
        <v>1780</v>
      </c>
      <c r="H3797" s="6" t="str">
        <f>IFERROR(__xludf.DUMMYFUNCTION("IF(REGEXMATCH(LOWER(G3797), ""^(\?)+\s*(missing)?\s*(\?)*$""), """", PROPER(SUBSTITUTE(SUBSTITUTE(G3797, ""?"", """"), ""*"", """")))"),"Pack Of 12 Woodland Tissues")</f>
        <v>Pack Of 12 Woodland Tissues</v>
      </c>
      <c r="I3797" s="3">
        <v>4.0</v>
      </c>
      <c r="J3797" s="7">
        <v>40886.41875</v>
      </c>
      <c r="K3797" s="8" t="str">
        <f t="shared" si="4"/>
        <v>2011-12</v>
      </c>
      <c r="L3797" s="5">
        <v>0.83</v>
      </c>
      <c r="M3797" s="10"/>
      <c r="N3797" s="1" t="str">
        <f t="shared" si="5"/>
        <v>Guest</v>
      </c>
      <c r="O3797" s="1" t="s">
        <v>19</v>
      </c>
      <c r="P3797" s="9" t="str">
        <f t="shared" si="6"/>
        <v>UK</v>
      </c>
      <c r="Q3797" s="8">
        <f t="shared" si="7"/>
        <v>3.32</v>
      </c>
    </row>
    <row r="3798">
      <c r="A3798" s="1">
        <v>581492.0</v>
      </c>
      <c r="B3798" s="1" t="str">
        <f t="shared" si="1"/>
        <v>581492</v>
      </c>
      <c r="C3798" s="1" t="str">
        <f t="shared" si="2"/>
        <v>Sale</v>
      </c>
      <c r="D3798" s="1">
        <v>21982.0</v>
      </c>
      <c r="E3798" s="1" t="str">
        <f>IFERROR(__xludf.DUMMYFUNCTION("IF(LEN(D3798)&gt;4, IFERROR(REGEXEXTRACT(TO_TEXT(D3798),""\d+""),""""),"""")"),"21982")</f>
        <v>21982</v>
      </c>
      <c r="F3798" s="6" t="str">
        <f t="shared" si="3"/>
        <v>Product</v>
      </c>
      <c r="G3798" s="1" t="s">
        <v>859</v>
      </c>
      <c r="H3798" s="6" t="str">
        <f>IFERROR(__xludf.DUMMYFUNCTION("IF(REGEXMATCH(LOWER(G3798), ""^(\?)+\s*(missing)?\s*(\?)*$""), """", PROPER(SUBSTITUTE(SUBSTITUTE(G3798, ""?"", """"), ""*"", """")))"),"Pack Of 12 Suki Tissues")</f>
        <v>Pack Of 12 Suki Tissues</v>
      </c>
      <c r="I3798" s="3">
        <v>2.0</v>
      </c>
      <c r="J3798" s="7">
        <v>40886.41875</v>
      </c>
      <c r="K3798" s="8" t="str">
        <f t="shared" si="4"/>
        <v>2011-12</v>
      </c>
      <c r="L3798" s="5">
        <v>0.83</v>
      </c>
      <c r="M3798" s="10"/>
      <c r="N3798" s="1" t="str">
        <f t="shared" si="5"/>
        <v>Guest</v>
      </c>
      <c r="O3798" s="1" t="s">
        <v>19</v>
      </c>
      <c r="P3798" s="9" t="str">
        <f t="shared" si="6"/>
        <v>UK</v>
      </c>
      <c r="Q3798" s="8">
        <f t="shared" si="7"/>
        <v>1.66</v>
      </c>
    </row>
    <row r="3799">
      <c r="A3799" s="1">
        <v>581492.0</v>
      </c>
      <c r="B3799" s="1" t="str">
        <f t="shared" si="1"/>
        <v>581492</v>
      </c>
      <c r="C3799" s="1" t="str">
        <f t="shared" si="2"/>
        <v>Sale</v>
      </c>
      <c r="D3799" s="1">
        <v>21983.0</v>
      </c>
      <c r="E3799" s="1" t="str">
        <f>IFERROR(__xludf.DUMMYFUNCTION("IF(LEN(D3799)&gt;4, IFERROR(REGEXEXTRACT(TO_TEXT(D3799),""\d+""),""""),"""")"),"21983")</f>
        <v>21983</v>
      </c>
      <c r="F3799" s="6" t="str">
        <f t="shared" si="3"/>
        <v>Product</v>
      </c>
      <c r="G3799" s="1" t="s">
        <v>230</v>
      </c>
      <c r="H3799" s="6" t="str">
        <f>IFERROR(__xludf.DUMMYFUNCTION("IF(REGEXMATCH(LOWER(G3799), ""^(\?)+\s*(missing)?\s*(\?)*$""), """", PROPER(SUBSTITUTE(SUBSTITUTE(G3799, ""?"", """"), ""*"", """")))"),"Pack Of 12 Blue Paisley Tissues")</f>
        <v>Pack Of 12 Blue Paisley Tissues</v>
      </c>
      <c r="I3799" s="3">
        <v>1.0</v>
      </c>
      <c r="J3799" s="7">
        <v>40886.41875</v>
      </c>
      <c r="K3799" s="8" t="str">
        <f t="shared" si="4"/>
        <v>2011-12</v>
      </c>
      <c r="L3799" s="5">
        <v>0.83</v>
      </c>
      <c r="M3799" s="10"/>
      <c r="N3799" s="1" t="str">
        <f t="shared" si="5"/>
        <v>Guest</v>
      </c>
      <c r="O3799" s="1" t="s">
        <v>19</v>
      </c>
      <c r="P3799" s="9" t="str">
        <f t="shared" si="6"/>
        <v>UK</v>
      </c>
      <c r="Q3799" s="8">
        <f t="shared" si="7"/>
        <v>0.83</v>
      </c>
    </row>
    <row r="3800">
      <c r="A3800" s="1">
        <v>581492.0</v>
      </c>
      <c r="B3800" s="1" t="str">
        <f t="shared" si="1"/>
        <v>581492</v>
      </c>
      <c r="C3800" s="1" t="str">
        <f t="shared" si="2"/>
        <v>Sale</v>
      </c>
      <c r="D3800" s="1">
        <v>21984.0</v>
      </c>
      <c r="E3800" s="1" t="str">
        <f>IFERROR(__xludf.DUMMYFUNCTION("IF(LEN(D3800)&gt;4, IFERROR(REGEXEXTRACT(TO_TEXT(D3800),""\d+""),""""),"""")"),"21984")</f>
        <v>21984</v>
      </c>
      <c r="F3800" s="6" t="str">
        <f t="shared" si="3"/>
        <v>Product</v>
      </c>
      <c r="G3800" s="1" t="s">
        <v>229</v>
      </c>
      <c r="H3800" s="6" t="str">
        <f>IFERROR(__xludf.DUMMYFUNCTION("IF(REGEXMATCH(LOWER(G3800), ""^(\?)+\s*(missing)?\s*(\?)*$""), """", PROPER(SUBSTITUTE(SUBSTITUTE(G3800, ""?"", """"), ""*"", """")))"),"Pack Of 12 Pink Paisley Tissues")</f>
        <v>Pack Of 12 Pink Paisley Tissues</v>
      </c>
      <c r="I3800" s="3">
        <v>1.0</v>
      </c>
      <c r="J3800" s="7">
        <v>40886.41875</v>
      </c>
      <c r="K3800" s="8" t="str">
        <f t="shared" si="4"/>
        <v>2011-12</v>
      </c>
      <c r="L3800" s="5">
        <v>0.83</v>
      </c>
      <c r="M3800" s="10"/>
      <c r="N3800" s="1" t="str">
        <f t="shared" si="5"/>
        <v>Guest</v>
      </c>
      <c r="O3800" s="1" t="s">
        <v>19</v>
      </c>
      <c r="P3800" s="9" t="str">
        <f t="shared" si="6"/>
        <v>UK</v>
      </c>
      <c r="Q3800" s="8">
        <f t="shared" si="7"/>
        <v>0.83</v>
      </c>
    </row>
    <row r="3801">
      <c r="A3801" s="1">
        <v>581492.0</v>
      </c>
      <c r="B3801" s="1" t="str">
        <f t="shared" si="1"/>
        <v>581492</v>
      </c>
      <c r="C3801" s="1" t="str">
        <f t="shared" si="2"/>
        <v>Sale</v>
      </c>
      <c r="D3801" s="1">
        <v>21986.0</v>
      </c>
      <c r="E3801" s="1" t="str">
        <f>IFERROR(__xludf.DUMMYFUNCTION("IF(LEN(D3801)&gt;4, IFERROR(REGEXEXTRACT(TO_TEXT(D3801),""\d+""),""""),"""")"),"21986")</f>
        <v>21986</v>
      </c>
      <c r="F3801" s="6" t="str">
        <f t="shared" si="3"/>
        <v>Product</v>
      </c>
      <c r="G3801" s="1" t="s">
        <v>483</v>
      </c>
      <c r="H3801" s="6" t="str">
        <f>IFERROR(__xludf.DUMMYFUNCTION("IF(REGEXMATCH(LOWER(G3801), ""^(\?)+\s*(missing)?\s*(\?)*$""), """", PROPER(SUBSTITUTE(SUBSTITUTE(G3801, ""?"", """"), ""*"", """")))"),"Pack Of 12 Pink Polkadot Tissues")</f>
        <v>Pack Of 12 Pink Polkadot Tissues</v>
      </c>
      <c r="I3801" s="3">
        <v>3.0</v>
      </c>
      <c r="J3801" s="7">
        <v>40886.41875</v>
      </c>
      <c r="K3801" s="8" t="str">
        <f t="shared" si="4"/>
        <v>2011-12</v>
      </c>
      <c r="L3801" s="5">
        <v>0.83</v>
      </c>
      <c r="M3801" s="10"/>
      <c r="N3801" s="1" t="str">
        <f t="shared" si="5"/>
        <v>Guest</v>
      </c>
      <c r="O3801" s="1" t="s">
        <v>19</v>
      </c>
      <c r="P3801" s="9" t="str">
        <f t="shared" si="6"/>
        <v>UK</v>
      </c>
      <c r="Q3801" s="8">
        <f t="shared" si="7"/>
        <v>2.49</v>
      </c>
    </row>
    <row r="3802">
      <c r="A3802" s="1">
        <v>581492.0</v>
      </c>
      <c r="B3802" s="1" t="str">
        <f t="shared" si="1"/>
        <v>581492</v>
      </c>
      <c r="C3802" s="1" t="str">
        <f t="shared" si="2"/>
        <v>Sale</v>
      </c>
      <c r="D3802" s="1">
        <v>21989.0</v>
      </c>
      <c r="E3802" s="1" t="str">
        <f>IFERROR(__xludf.DUMMYFUNCTION("IF(LEN(D3802)&gt;4, IFERROR(REGEXEXTRACT(TO_TEXT(D3802),""\d+""),""""),"""")"),"21989")</f>
        <v>21989</v>
      </c>
      <c r="F3802" s="6" t="str">
        <f t="shared" si="3"/>
        <v>Product</v>
      </c>
      <c r="G3802" s="1" t="s">
        <v>1113</v>
      </c>
      <c r="H3802" s="6" t="str">
        <f>IFERROR(__xludf.DUMMYFUNCTION("IF(REGEXMATCH(LOWER(G3802), ""^(\?)+\s*(missing)?\s*(\?)*$""), """", PROPER(SUBSTITUTE(SUBSTITUTE(G3802, ""?"", """"), ""*"", """")))"),"Pack Of 20 Skull Paper Napkins")</f>
        <v>Pack Of 20 Skull Paper Napkins</v>
      </c>
      <c r="I3802" s="3">
        <v>2.0</v>
      </c>
      <c r="J3802" s="7">
        <v>40886.41875</v>
      </c>
      <c r="K3802" s="8" t="str">
        <f t="shared" si="4"/>
        <v>2011-12</v>
      </c>
      <c r="L3802" s="5">
        <v>1.63</v>
      </c>
      <c r="M3802" s="10"/>
      <c r="N3802" s="1" t="str">
        <f t="shared" si="5"/>
        <v>Guest</v>
      </c>
      <c r="O3802" s="1" t="s">
        <v>19</v>
      </c>
      <c r="P3802" s="9" t="str">
        <f t="shared" si="6"/>
        <v>UK</v>
      </c>
      <c r="Q3802" s="8">
        <f t="shared" si="7"/>
        <v>3.26</v>
      </c>
    </row>
    <row r="3803">
      <c r="A3803" s="1">
        <v>581492.0</v>
      </c>
      <c r="B3803" s="1" t="str">
        <f t="shared" si="1"/>
        <v>581492</v>
      </c>
      <c r="C3803" s="1" t="str">
        <f t="shared" si="2"/>
        <v>Sale</v>
      </c>
      <c r="D3803" s="1">
        <v>21990.0</v>
      </c>
      <c r="E3803" s="1" t="str">
        <f>IFERROR(__xludf.DUMMYFUNCTION("IF(LEN(D3803)&gt;4, IFERROR(REGEXEXTRACT(TO_TEXT(D3803),""\d+""),""""),"""")"),"21990")</f>
        <v>21990</v>
      </c>
      <c r="F3803" s="6" t="str">
        <f t="shared" si="3"/>
        <v>Product</v>
      </c>
      <c r="G3803" s="1" t="s">
        <v>1781</v>
      </c>
      <c r="H3803" s="6" t="str">
        <f>IFERROR(__xludf.DUMMYFUNCTION("IF(REGEXMATCH(LOWER(G3803), ""^(\?)+\s*(missing)?\s*(\?)*$""), """", PROPER(SUBSTITUTE(SUBSTITUTE(G3803, ""?"", """"), ""*"", """")))"),"Modern Floral Stationery Set")</f>
        <v>Modern Floral Stationery Set</v>
      </c>
      <c r="I3803" s="3">
        <v>8.0</v>
      </c>
      <c r="J3803" s="7">
        <v>40886.41875</v>
      </c>
      <c r="K3803" s="8" t="str">
        <f t="shared" si="4"/>
        <v>2011-12</v>
      </c>
      <c r="L3803" s="5">
        <v>2.46</v>
      </c>
      <c r="M3803" s="10"/>
      <c r="N3803" s="1" t="str">
        <f t="shared" si="5"/>
        <v>Guest</v>
      </c>
      <c r="O3803" s="1" t="s">
        <v>19</v>
      </c>
      <c r="P3803" s="9" t="str">
        <f t="shared" si="6"/>
        <v>UK</v>
      </c>
      <c r="Q3803" s="8">
        <f t="shared" si="7"/>
        <v>19.68</v>
      </c>
    </row>
    <row r="3804">
      <c r="A3804" s="1">
        <v>581492.0</v>
      </c>
      <c r="B3804" s="1" t="str">
        <f t="shared" si="1"/>
        <v>581492</v>
      </c>
      <c r="C3804" s="1" t="str">
        <f t="shared" si="2"/>
        <v>Sale</v>
      </c>
      <c r="D3804" s="1">
        <v>21993.0</v>
      </c>
      <c r="E3804" s="1" t="str">
        <f>IFERROR(__xludf.DUMMYFUNCTION("IF(LEN(D3804)&gt;4, IFERROR(REGEXEXTRACT(TO_TEXT(D3804),""\d+""),""""),"""")"),"21993")</f>
        <v>21993</v>
      </c>
      <c r="F3804" s="6" t="str">
        <f t="shared" si="3"/>
        <v>Product</v>
      </c>
      <c r="G3804" s="1" t="s">
        <v>1192</v>
      </c>
      <c r="H3804" s="6" t="str">
        <f>IFERROR(__xludf.DUMMYFUNCTION("IF(REGEXMATCH(LOWER(G3804), ""^(\?)+\s*(missing)?\s*(\?)*$""), """", PROPER(SUBSTITUTE(SUBSTITUTE(G3804, ""?"", """"), ""*"", """")))"),"Floral Folk Stationery Set")</f>
        <v>Floral Folk Stationery Set</v>
      </c>
      <c r="I3804" s="3">
        <v>8.0</v>
      </c>
      <c r="J3804" s="7">
        <v>40886.41875</v>
      </c>
      <c r="K3804" s="8" t="str">
        <f t="shared" si="4"/>
        <v>2011-12</v>
      </c>
      <c r="L3804" s="5">
        <v>2.46</v>
      </c>
      <c r="M3804" s="10"/>
      <c r="N3804" s="1" t="str">
        <f t="shared" si="5"/>
        <v>Guest</v>
      </c>
      <c r="O3804" s="1" t="s">
        <v>19</v>
      </c>
      <c r="P3804" s="9" t="str">
        <f t="shared" si="6"/>
        <v>UK</v>
      </c>
      <c r="Q3804" s="8">
        <f t="shared" si="7"/>
        <v>19.68</v>
      </c>
    </row>
    <row r="3805">
      <c r="A3805" s="1">
        <v>581492.0</v>
      </c>
      <c r="B3805" s="1" t="str">
        <f t="shared" si="1"/>
        <v>581492</v>
      </c>
      <c r="C3805" s="1" t="str">
        <f t="shared" si="2"/>
        <v>Sale</v>
      </c>
      <c r="D3805" s="1">
        <v>22024.0</v>
      </c>
      <c r="E3805" s="1" t="str">
        <f>IFERROR(__xludf.DUMMYFUNCTION("IF(LEN(D3805)&gt;4, IFERROR(REGEXEXTRACT(TO_TEXT(D3805),""\d+""),""""),"""")"),"22024")</f>
        <v>22024</v>
      </c>
      <c r="F3805" s="6" t="str">
        <f t="shared" si="3"/>
        <v>Product</v>
      </c>
      <c r="G3805" s="1" t="s">
        <v>641</v>
      </c>
      <c r="H3805" s="6" t="str">
        <f>IFERROR(__xludf.DUMMYFUNCTION("IF(REGEXMATCH(LOWER(G3805), ""^(\?)+\s*(missing)?\s*(\?)*$""), """", PROPER(SUBSTITUTE(SUBSTITUTE(G3805, ""?"", """"), ""*"", """")))"),"Rainy Ladies Birthday Card")</f>
        <v>Rainy Ladies Birthday Card</v>
      </c>
      <c r="I3805" s="3">
        <v>3.0</v>
      </c>
      <c r="J3805" s="7">
        <v>40886.41875</v>
      </c>
      <c r="K3805" s="8" t="str">
        <f t="shared" si="4"/>
        <v>2011-12</v>
      </c>
      <c r="L3805" s="5">
        <v>0.83</v>
      </c>
      <c r="M3805" s="10"/>
      <c r="N3805" s="1" t="str">
        <f t="shared" si="5"/>
        <v>Guest</v>
      </c>
      <c r="O3805" s="1" t="s">
        <v>19</v>
      </c>
      <c r="P3805" s="9" t="str">
        <f t="shared" si="6"/>
        <v>UK</v>
      </c>
      <c r="Q3805" s="8">
        <f t="shared" si="7"/>
        <v>2.49</v>
      </c>
    </row>
    <row r="3806">
      <c r="A3806" s="1">
        <v>581492.0</v>
      </c>
      <c r="B3806" s="1" t="str">
        <f t="shared" si="1"/>
        <v>581492</v>
      </c>
      <c r="C3806" s="1" t="str">
        <f t="shared" si="2"/>
        <v>Sale</v>
      </c>
      <c r="D3806" s="1">
        <v>22025.0</v>
      </c>
      <c r="E3806" s="1" t="str">
        <f>IFERROR(__xludf.DUMMYFUNCTION("IF(LEN(D3806)&gt;4, IFERROR(REGEXEXTRACT(TO_TEXT(D3806),""\d+""),""""),"""")"),"22025")</f>
        <v>22025</v>
      </c>
      <c r="F3806" s="6" t="str">
        <f t="shared" si="3"/>
        <v>Product</v>
      </c>
      <c r="G3806" s="1" t="s">
        <v>1782</v>
      </c>
      <c r="H3806" s="6" t="str">
        <f>IFERROR(__xludf.DUMMYFUNCTION("IF(REGEXMATCH(LOWER(G3806), ""^(\?)+\s*(missing)?\s*(\?)*$""), """", PROPER(SUBSTITUTE(SUBSTITUTE(G3806, ""?"", """"), ""*"", """")))"),"Ring Of Roses Birthday Card")</f>
        <v>Ring Of Roses Birthday Card</v>
      </c>
      <c r="I3806" s="3">
        <v>3.0</v>
      </c>
      <c r="J3806" s="7">
        <v>40886.41875</v>
      </c>
      <c r="K3806" s="8" t="str">
        <f t="shared" si="4"/>
        <v>2011-12</v>
      </c>
      <c r="L3806" s="5">
        <v>0.83</v>
      </c>
      <c r="M3806" s="10"/>
      <c r="N3806" s="1" t="str">
        <f t="shared" si="5"/>
        <v>Guest</v>
      </c>
      <c r="O3806" s="1" t="s">
        <v>19</v>
      </c>
      <c r="P3806" s="9" t="str">
        <f t="shared" si="6"/>
        <v>UK</v>
      </c>
      <c r="Q3806" s="8">
        <f t="shared" si="7"/>
        <v>2.49</v>
      </c>
    </row>
    <row r="3807">
      <c r="A3807" s="1">
        <v>581492.0</v>
      </c>
      <c r="B3807" s="1" t="str">
        <f t="shared" si="1"/>
        <v>581492</v>
      </c>
      <c r="C3807" s="1" t="str">
        <f t="shared" si="2"/>
        <v>Sale</v>
      </c>
      <c r="D3807" s="1">
        <v>22026.0</v>
      </c>
      <c r="E3807" s="1" t="str">
        <f>IFERROR(__xludf.DUMMYFUNCTION("IF(LEN(D3807)&gt;4, IFERROR(REGEXEXTRACT(TO_TEXT(D3807),""\d+""),""""),"""")"),"22026")</f>
        <v>22026</v>
      </c>
      <c r="F3807" s="6" t="str">
        <f t="shared" si="3"/>
        <v>Product</v>
      </c>
      <c r="G3807" s="1" t="s">
        <v>1783</v>
      </c>
      <c r="H3807" s="6" t="str">
        <f>IFERROR(__xludf.DUMMYFUNCTION("IF(REGEXMATCH(LOWER(G3807), ""^(\?)+\s*(missing)?\s*(\?)*$""), """", PROPER(SUBSTITUTE(SUBSTITUTE(G3807, ""?"", """"), ""*"", """")))"),"Banquet Birthday Card")</f>
        <v>Banquet Birthday Card</v>
      </c>
      <c r="I3807" s="3">
        <v>4.0</v>
      </c>
      <c r="J3807" s="7">
        <v>40886.41875</v>
      </c>
      <c r="K3807" s="8" t="str">
        <f t="shared" si="4"/>
        <v>2011-12</v>
      </c>
      <c r="L3807" s="5">
        <v>0.83</v>
      </c>
      <c r="M3807" s="10"/>
      <c r="N3807" s="1" t="str">
        <f t="shared" si="5"/>
        <v>Guest</v>
      </c>
      <c r="O3807" s="1" t="s">
        <v>19</v>
      </c>
      <c r="P3807" s="9" t="str">
        <f t="shared" si="6"/>
        <v>UK</v>
      </c>
      <c r="Q3807" s="8">
        <f t="shared" si="7"/>
        <v>3.32</v>
      </c>
    </row>
    <row r="3808">
      <c r="A3808" s="1">
        <v>581492.0</v>
      </c>
      <c r="B3808" s="1" t="str">
        <f t="shared" si="1"/>
        <v>581492</v>
      </c>
      <c r="C3808" s="1" t="str">
        <f t="shared" si="2"/>
        <v>Sale</v>
      </c>
      <c r="D3808" s="1">
        <v>22027.0</v>
      </c>
      <c r="E3808" s="1" t="str">
        <f>IFERROR(__xludf.DUMMYFUNCTION("IF(LEN(D3808)&gt;4, IFERROR(REGEXEXTRACT(TO_TEXT(D3808),""\d+""),""""),"""")"),"22027")</f>
        <v>22027</v>
      </c>
      <c r="F3808" s="6" t="str">
        <f t="shared" si="3"/>
        <v>Product</v>
      </c>
      <c r="G3808" s="1" t="s">
        <v>896</v>
      </c>
      <c r="H3808" s="6" t="str">
        <f>IFERROR(__xludf.DUMMYFUNCTION("IF(REGEXMATCH(LOWER(G3808), ""^(\?)+\s*(missing)?\s*(\?)*$""), """", PROPER(SUBSTITUTE(SUBSTITUTE(G3808, ""?"", """"), ""*"", """")))"),"Tea Party Birthday Card")</f>
        <v>Tea Party Birthday Card</v>
      </c>
      <c r="I3808" s="3">
        <v>2.0</v>
      </c>
      <c r="J3808" s="7">
        <v>40886.41875</v>
      </c>
      <c r="K3808" s="8" t="str">
        <f t="shared" si="4"/>
        <v>2011-12</v>
      </c>
      <c r="L3808" s="5">
        <v>0.83</v>
      </c>
      <c r="M3808" s="10"/>
      <c r="N3808" s="1" t="str">
        <f t="shared" si="5"/>
        <v>Guest</v>
      </c>
      <c r="O3808" s="1" t="s">
        <v>19</v>
      </c>
      <c r="P3808" s="9" t="str">
        <f t="shared" si="6"/>
        <v>UK</v>
      </c>
      <c r="Q3808" s="8">
        <f t="shared" si="7"/>
        <v>1.66</v>
      </c>
    </row>
    <row r="3809">
      <c r="A3809" s="1">
        <v>581492.0</v>
      </c>
      <c r="B3809" s="1" t="str">
        <f t="shared" si="1"/>
        <v>581492</v>
      </c>
      <c r="C3809" s="1" t="str">
        <f t="shared" si="2"/>
        <v>Sale</v>
      </c>
      <c r="D3809" s="1">
        <v>22028.0</v>
      </c>
      <c r="E3809" s="1" t="str">
        <f>IFERROR(__xludf.DUMMYFUNCTION("IF(LEN(D3809)&gt;4, IFERROR(REGEXEXTRACT(TO_TEXT(D3809),""\d+""),""""),"""")"),"22028")</f>
        <v>22028</v>
      </c>
      <c r="F3809" s="6" t="str">
        <f t="shared" si="3"/>
        <v>Product</v>
      </c>
      <c r="G3809" s="1" t="s">
        <v>1784</v>
      </c>
      <c r="H3809" s="6" t="str">
        <f>IFERROR(__xludf.DUMMYFUNCTION("IF(REGEXMATCH(LOWER(G3809), ""^(\?)+\s*(missing)?\s*(\?)*$""), """", PROPER(SUBSTITUTE(SUBSTITUTE(G3809, ""?"", """"), ""*"", """")))"),"Penny Farthing Birthday Card")</f>
        <v>Penny Farthing Birthday Card</v>
      </c>
      <c r="I3809" s="3">
        <v>1.0</v>
      </c>
      <c r="J3809" s="7">
        <v>40886.41875</v>
      </c>
      <c r="K3809" s="8" t="str">
        <f t="shared" si="4"/>
        <v>2011-12</v>
      </c>
      <c r="L3809" s="5">
        <v>0.83</v>
      </c>
      <c r="M3809" s="10"/>
      <c r="N3809" s="1" t="str">
        <f t="shared" si="5"/>
        <v>Guest</v>
      </c>
      <c r="O3809" s="1" t="s">
        <v>19</v>
      </c>
      <c r="P3809" s="9" t="str">
        <f t="shared" si="6"/>
        <v>UK</v>
      </c>
      <c r="Q3809" s="8">
        <f t="shared" si="7"/>
        <v>0.83</v>
      </c>
    </row>
    <row r="3810">
      <c r="A3810" s="1">
        <v>581492.0</v>
      </c>
      <c r="B3810" s="1" t="str">
        <f t="shared" si="1"/>
        <v>581492</v>
      </c>
      <c r="C3810" s="1" t="str">
        <f t="shared" si="2"/>
        <v>Sale</v>
      </c>
      <c r="D3810" s="1">
        <v>22029.0</v>
      </c>
      <c r="E3810" s="1" t="str">
        <f>IFERROR(__xludf.DUMMYFUNCTION("IF(LEN(D3810)&gt;4, IFERROR(REGEXEXTRACT(TO_TEXT(D3810),""\d+""),""""),"""")"),"22029")</f>
        <v>22029</v>
      </c>
      <c r="F3810" s="6" t="str">
        <f t="shared" si="3"/>
        <v>Product</v>
      </c>
      <c r="G3810" s="1" t="s">
        <v>900</v>
      </c>
      <c r="H3810" s="6" t="str">
        <f>IFERROR(__xludf.DUMMYFUNCTION("IF(REGEXMATCH(LOWER(G3810), ""^(\?)+\s*(missing)?\s*(\?)*$""), """", PROPER(SUBSTITUTE(SUBSTITUTE(G3810, ""?"", """"), ""*"", """")))"),"Spaceboy Birthday Card")</f>
        <v>Spaceboy Birthday Card</v>
      </c>
      <c r="I3810" s="3">
        <v>4.0</v>
      </c>
      <c r="J3810" s="7">
        <v>40886.41875</v>
      </c>
      <c r="K3810" s="8" t="str">
        <f t="shared" si="4"/>
        <v>2011-12</v>
      </c>
      <c r="L3810" s="5">
        <v>0.83</v>
      </c>
      <c r="M3810" s="10"/>
      <c r="N3810" s="1" t="str">
        <f t="shared" si="5"/>
        <v>Guest</v>
      </c>
      <c r="O3810" s="1" t="s">
        <v>19</v>
      </c>
      <c r="P3810" s="9" t="str">
        <f t="shared" si="6"/>
        <v>UK</v>
      </c>
      <c r="Q3810" s="8">
        <f t="shared" si="7"/>
        <v>3.32</v>
      </c>
    </row>
    <row r="3811">
      <c r="A3811" s="1">
        <v>581492.0</v>
      </c>
      <c r="B3811" s="1" t="str">
        <f t="shared" si="1"/>
        <v>581492</v>
      </c>
      <c r="C3811" s="1" t="str">
        <f t="shared" si="2"/>
        <v>Sale</v>
      </c>
      <c r="D3811" s="1">
        <v>22031.0</v>
      </c>
      <c r="E3811" s="1" t="str">
        <f>IFERROR(__xludf.DUMMYFUNCTION("IF(LEN(D3811)&gt;4, IFERROR(REGEXEXTRACT(TO_TEXT(D3811),""\d+""),""""),"""")"),"22031")</f>
        <v>22031</v>
      </c>
      <c r="F3811" s="6" t="str">
        <f t="shared" si="3"/>
        <v>Product</v>
      </c>
      <c r="G3811" s="1" t="s">
        <v>1785</v>
      </c>
      <c r="H3811" s="6" t="str">
        <f>IFERROR(__xludf.DUMMYFUNCTION("IF(REGEXMATCH(LOWER(G3811), ""^(\?)+\s*(missing)?\s*(\?)*$""), """", PROPER(SUBSTITUTE(SUBSTITUTE(G3811, ""?"", """"), ""*"", """")))"),"Botanical Lavender Birthday Card")</f>
        <v>Botanical Lavender Birthday Card</v>
      </c>
      <c r="I3811" s="3">
        <v>1.0</v>
      </c>
      <c r="J3811" s="7">
        <v>40886.41875</v>
      </c>
      <c r="K3811" s="8" t="str">
        <f t="shared" si="4"/>
        <v>2011-12</v>
      </c>
      <c r="L3811" s="5">
        <v>0.83</v>
      </c>
      <c r="M3811" s="10"/>
      <c r="N3811" s="1" t="str">
        <f t="shared" si="5"/>
        <v>Guest</v>
      </c>
      <c r="O3811" s="1" t="s">
        <v>19</v>
      </c>
      <c r="P3811" s="9" t="str">
        <f t="shared" si="6"/>
        <v>UK</v>
      </c>
      <c r="Q3811" s="8">
        <f t="shared" si="7"/>
        <v>0.83</v>
      </c>
    </row>
    <row r="3812">
      <c r="A3812" s="1">
        <v>581492.0</v>
      </c>
      <c r="B3812" s="1" t="str">
        <f t="shared" si="1"/>
        <v>581492</v>
      </c>
      <c r="C3812" s="1" t="str">
        <f t="shared" si="2"/>
        <v>Sale</v>
      </c>
      <c r="D3812" s="1">
        <v>22037.0</v>
      </c>
      <c r="E3812" s="1" t="str">
        <f>IFERROR(__xludf.DUMMYFUNCTION("IF(LEN(D3812)&gt;4, IFERROR(REGEXEXTRACT(TO_TEXT(D3812),""\d+""),""""),"""")"),"22037")</f>
        <v>22037</v>
      </c>
      <c r="F3812" s="6" t="str">
        <f t="shared" si="3"/>
        <v>Product</v>
      </c>
      <c r="G3812" s="1" t="s">
        <v>1313</v>
      </c>
      <c r="H3812" s="6" t="str">
        <f>IFERROR(__xludf.DUMMYFUNCTION("IF(REGEXMATCH(LOWER(G3812), ""^(\?)+\s*(missing)?\s*(\?)*$""), """", PROPER(SUBSTITUTE(SUBSTITUTE(G3812, ""?"", """"), ""*"", """")))"),"Robot Birthday Card")</f>
        <v>Robot Birthday Card</v>
      </c>
      <c r="I3812" s="3">
        <v>4.0</v>
      </c>
      <c r="J3812" s="7">
        <v>40886.41875</v>
      </c>
      <c r="K3812" s="8" t="str">
        <f t="shared" si="4"/>
        <v>2011-12</v>
      </c>
      <c r="L3812" s="5">
        <v>0.83</v>
      </c>
      <c r="M3812" s="10"/>
      <c r="N3812" s="1" t="str">
        <f t="shared" si="5"/>
        <v>Guest</v>
      </c>
      <c r="O3812" s="1" t="s">
        <v>19</v>
      </c>
      <c r="P3812" s="9" t="str">
        <f t="shared" si="6"/>
        <v>UK</v>
      </c>
      <c r="Q3812" s="8">
        <f t="shared" si="7"/>
        <v>3.32</v>
      </c>
    </row>
    <row r="3813">
      <c r="A3813" s="1">
        <v>581492.0</v>
      </c>
      <c r="B3813" s="1" t="str">
        <f t="shared" si="1"/>
        <v>581492</v>
      </c>
      <c r="C3813" s="1" t="str">
        <f t="shared" si="2"/>
        <v>Sale</v>
      </c>
      <c r="D3813" s="1">
        <v>22064.0</v>
      </c>
      <c r="E3813" s="1" t="str">
        <f>IFERROR(__xludf.DUMMYFUNCTION("IF(LEN(D3813)&gt;4, IFERROR(REGEXEXTRACT(TO_TEXT(D3813),""\d+""),""""),"""")"),"22064")</f>
        <v>22064</v>
      </c>
      <c r="F3813" s="6" t="str">
        <f t="shared" si="3"/>
        <v>Product</v>
      </c>
      <c r="G3813" s="1" t="s">
        <v>265</v>
      </c>
      <c r="H3813" s="6" t="str">
        <f>IFERROR(__xludf.DUMMYFUNCTION("IF(REGEXMATCH(LOWER(G3813), ""^(\?)+\s*(missing)?\s*(\?)*$""), """", PROPER(SUBSTITUTE(SUBSTITUTE(G3813, ""?"", """"), ""*"", """")))"),"Pink Doughnut Trinket Pot")</f>
        <v>Pink Doughnut Trinket Pot</v>
      </c>
      <c r="I3813" s="3">
        <v>1.0</v>
      </c>
      <c r="J3813" s="7">
        <v>40886.41875</v>
      </c>
      <c r="K3813" s="8" t="str">
        <f t="shared" si="4"/>
        <v>2011-12</v>
      </c>
      <c r="L3813" s="5">
        <v>3.29</v>
      </c>
      <c r="M3813" s="10"/>
      <c r="N3813" s="1" t="str">
        <f t="shared" si="5"/>
        <v>Guest</v>
      </c>
      <c r="O3813" s="1" t="s">
        <v>19</v>
      </c>
      <c r="P3813" s="9" t="str">
        <f t="shared" si="6"/>
        <v>UK</v>
      </c>
      <c r="Q3813" s="8">
        <f t="shared" si="7"/>
        <v>3.29</v>
      </c>
    </row>
    <row r="3814">
      <c r="A3814" s="1">
        <v>581492.0</v>
      </c>
      <c r="B3814" s="1" t="str">
        <f t="shared" si="1"/>
        <v>581492</v>
      </c>
      <c r="C3814" s="1" t="str">
        <f t="shared" si="2"/>
        <v>Sale</v>
      </c>
      <c r="D3814" s="1">
        <v>22065.0</v>
      </c>
      <c r="E3814" s="1" t="str">
        <f>IFERROR(__xludf.DUMMYFUNCTION("IF(LEN(D3814)&gt;4, IFERROR(REGEXEXTRACT(TO_TEXT(D3814),""\d+""),""""),"""")"),"22065")</f>
        <v>22065</v>
      </c>
      <c r="F3814" s="6" t="str">
        <f t="shared" si="3"/>
        <v>Product</v>
      </c>
      <c r="G3814" s="1" t="s">
        <v>1786</v>
      </c>
      <c r="H3814" s="6" t="str">
        <f>IFERROR(__xludf.DUMMYFUNCTION("IF(REGEXMATCH(LOWER(G3814), ""^(\?)+\s*(missing)?\s*(\?)*$""), """", PROPER(SUBSTITUTE(SUBSTITUTE(G3814, ""?"", """"), ""*"", """")))"),"Christmas Pudding Trinket Pot")</f>
        <v>Christmas Pudding Trinket Pot</v>
      </c>
      <c r="I3814" s="3">
        <v>2.0</v>
      </c>
      <c r="J3814" s="7">
        <v>40886.41875</v>
      </c>
      <c r="K3814" s="8" t="str">
        <f t="shared" si="4"/>
        <v>2011-12</v>
      </c>
      <c r="L3814" s="5">
        <v>1.63</v>
      </c>
      <c r="M3814" s="10"/>
      <c r="N3814" s="1" t="str">
        <f t="shared" si="5"/>
        <v>Guest</v>
      </c>
      <c r="O3814" s="1" t="s">
        <v>19</v>
      </c>
      <c r="P3814" s="9" t="str">
        <f t="shared" si="6"/>
        <v>UK</v>
      </c>
      <c r="Q3814" s="8">
        <f t="shared" si="7"/>
        <v>3.26</v>
      </c>
    </row>
    <row r="3815">
      <c r="A3815" s="1">
        <v>581492.0</v>
      </c>
      <c r="B3815" s="1" t="str">
        <f t="shared" si="1"/>
        <v>581492</v>
      </c>
      <c r="C3815" s="1" t="str">
        <f t="shared" si="2"/>
        <v>Sale</v>
      </c>
      <c r="D3815" s="1">
        <v>22068.0</v>
      </c>
      <c r="E3815" s="1" t="str">
        <f>IFERROR(__xludf.DUMMYFUNCTION("IF(LEN(D3815)&gt;4, IFERROR(REGEXEXTRACT(TO_TEXT(D3815),""\d+""),""""),"""")"),"22068")</f>
        <v>22068</v>
      </c>
      <c r="F3815" s="6" t="str">
        <f t="shared" si="3"/>
        <v>Product</v>
      </c>
      <c r="G3815" s="1" t="s">
        <v>310</v>
      </c>
      <c r="H3815" s="6" t="str">
        <f>IFERROR(__xludf.DUMMYFUNCTION("IF(REGEXMATCH(LOWER(G3815), ""^(\?)+\s*(missing)?\s*(\?)*$""), """", PROPER(SUBSTITUTE(SUBSTITUTE(G3815, ""?"", """"), ""*"", """")))"),"Black Pirate Treasure Chest")</f>
        <v>Black Pirate Treasure Chest</v>
      </c>
      <c r="I3815" s="3">
        <v>1.0</v>
      </c>
      <c r="J3815" s="7">
        <v>40886.41875</v>
      </c>
      <c r="K3815" s="8" t="str">
        <f t="shared" si="4"/>
        <v>2011-12</v>
      </c>
      <c r="L3815" s="5">
        <v>3.29</v>
      </c>
      <c r="M3815" s="10"/>
      <c r="N3815" s="1" t="str">
        <f t="shared" si="5"/>
        <v>Guest</v>
      </c>
      <c r="O3815" s="1" t="s">
        <v>19</v>
      </c>
      <c r="P3815" s="9" t="str">
        <f t="shared" si="6"/>
        <v>UK</v>
      </c>
      <c r="Q3815" s="8">
        <f t="shared" si="7"/>
        <v>3.29</v>
      </c>
    </row>
    <row r="3816">
      <c r="A3816" s="1">
        <v>581492.0</v>
      </c>
      <c r="B3816" s="1" t="str">
        <f t="shared" si="1"/>
        <v>581492</v>
      </c>
      <c r="C3816" s="1" t="str">
        <f t="shared" si="2"/>
        <v>Sale</v>
      </c>
      <c r="D3816" s="1">
        <v>22070.0</v>
      </c>
      <c r="E3816" s="1" t="str">
        <f>IFERROR(__xludf.DUMMYFUNCTION("IF(LEN(D3816)&gt;4, IFERROR(REGEXEXTRACT(TO_TEXT(D3816),""\d+""),""""),"""")"),"22070")</f>
        <v>22070</v>
      </c>
      <c r="F3816" s="6" t="str">
        <f t="shared" si="3"/>
        <v>Product</v>
      </c>
      <c r="G3816" s="1" t="s">
        <v>1787</v>
      </c>
      <c r="H3816" s="6" t="str">
        <f>IFERROR(__xludf.DUMMYFUNCTION("IF(REGEXMATCH(LOWER(G3816), ""^(\?)+\s*(missing)?\s*(\?)*$""), """", PROPER(SUBSTITUTE(SUBSTITUTE(G3816, ""?"", """"), ""*"", """")))"),"Small Red Retrospot Mug In Box")</f>
        <v>Small Red Retrospot Mug In Box</v>
      </c>
      <c r="I3816" s="3">
        <v>3.0</v>
      </c>
      <c r="J3816" s="7">
        <v>40886.41875</v>
      </c>
      <c r="K3816" s="8" t="str">
        <f t="shared" si="4"/>
        <v>2011-12</v>
      </c>
      <c r="L3816" s="5">
        <v>7.46</v>
      </c>
      <c r="M3816" s="10"/>
      <c r="N3816" s="1" t="str">
        <f t="shared" si="5"/>
        <v>Guest</v>
      </c>
      <c r="O3816" s="1" t="s">
        <v>19</v>
      </c>
      <c r="P3816" s="9" t="str">
        <f t="shared" si="6"/>
        <v>UK</v>
      </c>
      <c r="Q3816" s="8">
        <f t="shared" si="7"/>
        <v>22.38</v>
      </c>
    </row>
    <row r="3817">
      <c r="A3817" s="1">
        <v>581492.0</v>
      </c>
      <c r="B3817" s="1" t="str">
        <f t="shared" si="1"/>
        <v>581492</v>
      </c>
      <c r="C3817" s="1" t="str">
        <f t="shared" si="2"/>
        <v>Sale</v>
      </c>
      <c r="D3817" s="1">
        <v>22071.0</v>
      </c>
      <c r="E3817" s="1" t="str">
        <f>IFERROR(__xludf.DUMMYFUNCTION("IF(LEN(D3817)&gt;4, IFERROR(REGEXEXTRACT(TO_TEXT(D3817),""\d+""),""""),"""")"),"22071")</f>
        <v>22071</v>
      </c>
      <c r="F3817" s="6" t="str">
        <f t="shared" si="3"/>
        <v>Product</v>
      </c>
      <c r="G3817" s="1" t="s">
        <v>1788</v>
      </c>
      <c r="H3817" s="6" t="str">
        <f>IFERROR(__xludf.DUMMYFUNCTION("IF(REGEXMATCH(LOWER(G3817), ""^(\?)+\s*(missing)?\s*(\?)*$""), """", PROPER(SUBSTITUTE(SUBSTITUTE(G3817, ""?"", """"), ""*"", """")))"),"Small White Retrospot Mug In Box")</f>
        <v>Small White Retrospot Mug In Box</v>
      </c>
      <c r="I3817" s="3">
        <v>1.0</v>
      </c>
      <c r="J3817" s="7">
        <v>40886.41875</v>
      </c>
      <c r="K3817" s="8" t="str">
        <f t="shared" si="4"/>
        <v>2011-12</v>
      </c>
      <c r="L3817" s="5">
        <v>7.46</v>
      </c>
      <c r="M3817" s="10"/>
      <c r="N3817" s="1" t="str">
        <f t="shared" si="5"/>
        <v>Guest</v>
      </c>
      <c r="O3817" s="1" t="s">
        <v>19</v>
      </c>
      <c r="P3817" s="9" t="str">
        <f t="shared" si="6"/>
        <v>UK</v>
      </c>
      <c r="Q3817" s="8">
        <f t="shared" si="7"/>
        <v>7.46</v>
      </c>
    </row>
    <row r="3818">
      <c r="A3818" s="1">
        <v>581492.0</v>
      </c>
      <c r="B3818" s="1" t="str">
        <f t="shared" si="1"/>
        <v>581492</v>
      </c>
      <c r="C3818" s="1" t="str">
        <f t="shared" si="2"/>
        <v>Sale</v>
      </c>
      <c r="D3818" s="1">
        <v>22074.0</v>
      </c>
      <c r="E3818" s="1" t="str">
        <f>IFERROR(__xludf.DUMMYFUNCTION("IF(LEN(D3818)&gt;4, IFERROR(REGEXEXTRACT(TO_TEXT(D3818),""\d+""),""""),"""")"),"22074")</f>
        <v>22074</v>
      </c>
      <c r="F3818" s="6" t="str">
        <f t="shared" si="3"/>
        <v>Product</v>
      </c>
      <c r="G3818" s="1" t="s">
        <v>422</v>
      </c>
      <c r="H3818" s="6" t="str">
        <f>IFERROR(__xludf.DUMMYFUNCTION("IF(REGEXMATCH(LOWER(G3818), ""^(\?)+\s*(missing)?\s*(\?)*$""), """", PROPER(SUBSTITUTE(SUBSTITUTE(G3818, ""?"", """"), ""*"", """")))"),"6 Ribbons Shimmering Pinks")</f>
        <v>6 Ribbons Shimmering Pinks</v>
      </c>
      <c r="I3818" s="3">
        <v>1.0</v>
      </c>
      <c r="J3818" s="7">
        <v>40886.41875</v>
      </c>
      <c r="K3818" s="8" t="str">
        <f t="shared" si="4"/>
        <v>2011-12</v>
      </c>
      <c r="L3818" s="5">
        <v>1.25</v>
      </c>
      <c r="M3818" s="10"/>
      <c r="N3818" s="1" t="str">
        <f t="shared" si="5"/>
        <v>Guest</v>
      </c>
      <c r="O3818" s="1" t="s">
        <v>19</v>
      </c>
      <c r="P3818" s="9" t="str">
        <f t="shared" si="6"/>
        <v>UK</v>
      </c>
      <c r="Q3818" s="8">
        <f t="shared" si="7"/>
        <v>1.25</v>
      </c>
    </row>
    <row r="3819">
      <c r="A3819" s="1">
        <v>581492.0</v>
      </c>
      <c r="B3819" s="1" t="str">
        <f t="shared" si="1"/>
        <v>581492</v>
      </c>
      <c r="C3819" s="1" t="str">
        <f t="shared" si="2"/>
        <v>Sale</v>
      </c>
      <c r="D3819" s="1">
        <v>22075.0</v>
      </c>
      <c r="E3819" s="1" t="str">
        <f>IFERROR(__xludf.DUMMYFUNCTION("IF(LEN(D3819)&gt;4, IFERROR(REGEXEXTRACT(TO_TEXT(D3819),""\d+""),""""),"""")"),"22075")</f>
        <v>22075</v>
      </c>
      <c r="F3819" s="6" t="str">
        <f t="shared" si="3"/>
        <v>Product</v>
      </c>
      <c r="G3819" s="1" t="s">
        <v>419</v>
      </c>
      <c r="H3819" s="6" t="str">
        <f>IFERROR(__xludf.DUMMYFUNCTION("IF(REGEXMATCH(LOWER(G3819), ""^(\?)+\s*(missing)?\s*(\?)*$""), """", PROPER(SUBSTITUTE(SUBSTITUTE(G3819, ""?"", """"), ""*"", """")))"),"6 Ribbons Elegant Christmas")</f>
        <v>6 Ribbons Elegant Christmas</v>
      </c>
      <c r="I3819" s="3">
        <v>8.0</v>
      </c>
      <c r="J3819" s="7">
        <v>40886.41875</v>
      </c>
      <c r="K3819" s="8" t="str">
        <f t="shared" si="4"/>
        <v>2011-12</v>
      </c>
      <c r="L3819" s="5">
        <v>1.63</v>
      </c>
      <c r="M3819" s="10"/>
      <c r="N3819" s="1" t="str">
        <f t="shared" si="5"/>
        <v>Guest</v>
      </c>
      <c r="O3819" s="1" t="s">
        <v>19</v>
      </c>
      <c r="P3819" s="9" t="str">
        <f t="shared" si="6"/>
        <v>UK</v>
      </c>
      <c r="Q3819" s="8">
        <f t="shared" si="7"/>
        <v>13.04</v>
      </c>
    </row>
    <row r="3820">
      <c r="A3820" s="1">
        <v>581492.0</v>
      </c>
      <c r="B3820" s="1" t="str">
        <f t="shared" si="1"/>
        <v>581492</v>
      </c>
      <c r="C3820" s="1" t="str">
        <f t="shared" si="2"/>
        <v>Sale</v>
      </c>
      <c r="D3820" s="1">
        <v>22076.0</v>
      </c>
      <c r="E3820" s="1" t="str">
        <f>IFERROR(__xludf.DUMMYFUNCTION("IF(LEN(D3820)&gt;4, IFERROR(REGEXEXTRACT(TO_TEXT(D3820),""\d+""),""""),"""")"),"22076")</f>
        <v>22076</v>
      </c>
      <c r="F3820" s="6" t="str">
        <f t="shared" si="3"/>
        <v>Product</v>
      </c>
      <c r="G3820" s="1" t="s">
        <v>1789</v>
      </c>
      <c r="H3820" s="6" t="str">
        <f>IFERROR(__xludf.DUMMYFUNCTION("IF(REGEXMATCH(LOWER(G3820), ""^(\?)+\s*(missing)?\s*(\?)*$""), """", PROPER(SUBSTITUTE(SUBSTITUTE(G3820, ""?"", """"), ""*"", """")))"),"6 Ribbons Empire")</f>
        <v>6 Ribbons Empire</v>
      </c>
      <c r="I3820" s="3">
        <v>4.0</v>
      </c>
      <c r="J3820" s="7">
        <v>40886.41875</v>
      </c>
      <c r="K3820" s="8" t="str">
        <f t="shared" si="4"/>
        <v>2011-12</v>
      </c>
      <c r="L3820" s="5">
        <v>1.25</v>
      </c>
      <c r="M3820" s="10"/>
      <c r="N3820" s="1" t="str">
        <f t="shared" si="5"/>
        <v>Guest</v>
      </c>
      <c r="O3820" s="1" t="s">
        <v>19</v>
      </c>
      <c r="P3820" s="9" t="str">
        <f t="shared" si="6"/>
        <v>UK</v>
      </c>
      <c r="Q3820" s="8">
        <f t="shared" si="7"/>
        <v>5</v>
      </c>
    </row>
    <row r="3821">
      <c r="A3821" s="1">
        <v>581492.0</v>
      </c>
      <c r="B3821" s="1" t="str">
        <f t="shared" si="1"/>
        <v>581492</v>
      </c>
      <c r="C3821" s="1" t="str">
        <f t="shared" si="2"/>
        <v>Sale</v>
      </c>
      <c r="D3821" s="1">
        <v>22083.0</v>
      </c>
      <c r="E3821" s="1" t="str">
        <f>IFERROR(__xludf.DUMMYFUNCTION("IF(LEN(D3821)&gt;4, IFERROR(REGEXEXTRACT(TO_TEXT(D3821),""\d+""),""""),"""")"),"22083")</f>
        <v>22083</v>
      </c>
      <c r="F3821" s="6" t="str">
        <f t="shared" si="3"/>
        <v>Product</v>
      </c>
      <c r="G3821" s="1" t="s">
        <v>128</v>
      </c>
      <c r="H3821" s="6" t="str">
        <f>IFERROR(__xludf.DUMMYFUNCTION("IF(REGEXMATCH(LOWER(G3821), ""^(\?)+\s*(missing)?\s*(\?)*$""), """", PROPER(SUBSTITUTE(SUBSTITUTE(G3821, ""?"", """"), ""*"", """")))"),"Paper Chain Kit Retrospot")</f>
        <v>Paper Chain Kit Retrospot</v>
      </c>
      <c r="I3821" s="3">
        <v>1.0</v>
      </c>
      <c r="J3821" s="7">
        <v>40886.41875</v>
      </c>
      <c r="K3821" s="8" t="str">
        <f t="shared" si="4"/>
        <v>2011-12</v>
      </c>
      <c r="L3821" s="5">
        <v>5.79</v>
      </c>
      <c r="M3821" s="10"/>
      <c r="N3821" s="1" t="str">
        <f t="shared" si="5"/>
        <v>Guest</v>
      </c>
      <c r="O3821" s="1" t="s">
        <v>19</v>
      </c>
      <c r="P3821" s="9" t="str">
        <f t="shared" si="6"/>
        <v>UK</v>
      </c>
      <c r="Q3821" s="8">
        <f t="shared" si="7"/>
        <v>5.79</v>
      </c>
    </row>
    <row r="3822">
      <c r="A3822" s="1">
        <v>581492.0</v>
      </c>
      <c r="B3822" s="1" t="str">
        <f t="shared" si="1"/>
        <v>581492</v>
      </c>
      <c r="C3822" s="1" t="str">
        <f t="shared" si="2"/>
        <v>Sale</v>
      </c>
      <c r="D3822" s="1">
        <v>22085.0</v>
      </c>
      <c r="E3822" s="1" t="str">
        <f>IFERROR(__xludf.DUMMYFUNCTION("IF(LEN(D3822)&gt;4, IFERROR(REGEXEXTRACT(TO_TEXT(D3822),""\d+""),""""),"""")"),"22085")</f>
        <v>22085</v>
      </c>
      <c r="F3822" s="6" t="str">
        <f t="shared" si="3"/>
        <v>Product</v>
      </c>
      <c r="G3822" s="1" t="s">
        <v>1290</v>
      </c>
      <c r="H3822" s="6" t="str">
        <f>IFERROR(__xludf.DUMMYFUNCTION("IF(REGEXMATCH(LOWER(G3822), ""^(\?)+\s*(missing)?\s*(\?)*$""), """", PROPER(SUBSTITUTE(SUBSTITUTE(G3822, ""?"", """"), ""*"", """")))"),"Paper Chain Kit Skulls")</f>
        <v>Paper Chain Kit Skulls</v>
      </c>
      <c r="I3822" s="3">
        <v>1.0</v>
      </c>
      <c r="J3822" s="7">
        <v>40886.41875</v>
      </c>
      <c r="K3822" s="8" t="str">
        <f t="shared" si="4"/>
        <v>2011-12</v>
      </c>
      <c r="L3822" s="5">
        <v>5.79</v>
      </c>
      <c r="M3822" s="10"/>
      <c r="N3822" s="1" t="str">
        <f t="shared" si="5"/>
        <v>Guest</v>
      </c>
      <c r="O3822" s="1" t="s">
        <v>19</v>
      </c>
      <c r="P3822" s="9" t="str">
        <f t="shared" si="6"/>
        <v>UK</v>
      </c>
      <c r="Q3822" s="8">
        <f t="shared" si="7"/>
        <v>5.79</v>
      </c>
    </row>
    <row r="3823">
      <c r="A3823" s="1">
        <v>581492.0</v>
      </c>
      <c r="B3823" s="1" t="str">
        <f t="shared" si="1"/>
        <v>581492</v>
      </c>
      <c r="C3823" s="1" t="str">
        <f t="shared" si="2"/>
        <v>Sale</v>
      </c>
      <c r="D3823" s="1">
        <v>22086.0</v>
      </c>
      <c r="E3823" s="1" t="str">
        <f>IFERROR(__xludf.DUMMYFUNCTION("IF(LEN(D3823)&gt;4, IFERROR(REGEXEXTRACT(TO_TEXT(D3823),""\d+""),""""),"""")"),"22086")</f>
        <v>22086</v>
      </c>
      <c r="F3823" s="6" t="str">
        <f t="shared" si="3"/>
        <v>Product</v>
      </c>
      <c r="G3823" s="1" t="s">
        <v>70</v>
      </c>
      <c r="H3823" s="6" t="str">
        <f>IFERROR(__xludf.DUMMYFUNCTION("IF(REGEXMATCH(LOWER(G3823), ""^(\?)+\s*(missing)?\s*(\?)*$""), """", PROPER(SUBSTITUTE(SUBSTITUTE(G3823, ""?"", """"), ""*"", """")))"),"Paper Chain Kit 50'S Christmas")</f>
        <v>Paper Chain Kit 50'S Christmas</v>
      </c>
      <c r="I3823" s="3">
        <v>38.0</v>
      </c>
      <c r="J3823" s="7">
        <v>40886.41875</v>
      </c>
      <c r="K3823" s="8" t="str">
        <f t="shared" si="4"/>
        <v>2011-12</v>
      </c>
      <c r="L3823" s="5">
        <v>5.79</v>
      </c>
      <c r="M3823" s="10"/>
      <c r="N3823" s="1" t="str">
        <f t="shared" si="5"/>
        <v>Guest</v>
      </c>
      <c r="O3823" s="1" t="s">
        <v>19</v>
      </c>
      <c r="P3823" s="9" t="str">
        <f t="shared" si="6"/>
        <v>UK</v>
      </c>
      <c r="Q3823" s="8">
        <f t="shared" si="7"/>
        <v>220.02</v>
      </c>
    </row>
    <row r="3824">
      <c r="A3824" s="1">
        <v>581492.0</v>
      </c>
      <c r="B3824" s="1" t="str">
        <f t="shared" si="1"/>
        <v>581492</v>
      </c>
      <c r="C3824" s="1" t="str">
        <f t="shared" si="2"/>
        <v>Sale</v>
      </c>
      <c r="D3824" s="1">
        <v>22091.0</v>
      </c>
      <c r="E3824" s="1" t="str">
        <f>IFERROR(__xludf.DUMMYFUNCTION("IF(LEN(D3824)&gt;4, IFERROR(REGEXEXTRACT(TO_TEXT(D3824),""\d+""),""""),"""")"),"22091")</f>
        <v>22091</v>
      </c>
      <c r="F3824" s="6" t="str">
        <f t="shared" si="3"/>
        <v>Product</v>
      </c>
      <c r="G3824" s="1" t="s">
        <v>749</v>
      </c>
      <c r="H3824" s="6" t="str">
        <f>IFERROR(__xludf.DUMMYFUNCTION("IF(REGEXMATCH(LOWER(G3824), ""^(\?)+\s*(missing)?\s*(\?)*$""), """", PROPER(SUBSTITUTE(SUBSTITUTE(G3824, ""?"", """"), ""*"", """")))"),"Empire Tissue Box")</f>
        <v>Empire Tissue Box</v>
      </c>
      <c r="I3824" s="3">
        <v>1.0</v>
      </c>
      <c r="J3824" s="7">
        <v>40886.41875</v>
      </c>
      <c r="K3824" s="8" t="str">
        <f t="shared" si="4"/>
        <v>2011-12</v>
      </c>
      <c r="L3824" s="5">
        <v>2.46</v>
      </c>
      <c r="M3824" s="10"/>
      <c r="N3824" s="1" t="str">
        <f t="shared" si="5"/>
        <v>Guest</v>
      </c>
      <c r="O3824" s="1" t="s">
        <v>19</v>
      </c>
      <c r="P3824" s="9" t="str">
        <f t="shared" si="6"/>
        <v>UK</v>
      </c>
      <c r="Q3824" s="8">
        <f t="shared" si="7"/>
        <v>2.46</v>
      </c>
    </row>
    <row r="3825">
      <c r="A3825" s="1">
        <v>581492.0</v>
      </c>
      <c r="B3825" s="1" t="str">
        <f t="shared" si="1"/>
        <v>581492</v>
      </c>
      <c r="C3825" s="1" t="str">
        <f t="shared" si="2"/>
        <v>Sale</v>
      </c>
      <c r="D3825" s="1">
        <v>22099.0</v>
      </c>
      <c r="E3825" s="1" t="str">
        <f>IFERROR(__xludf.DUMMYFUNCTION("IF(LEN(D3825)&gt;4, IFERROR(REGEXEXTRACT(TO_TEXT(D3825),""\d+""),""""),"""")"),"22099")</f>
        <v>22099</v>
      </c>
      <c r="F3825" s="6" t="str">
        <f t="shared" si="3"/>
        <v>Product</v>
      </c>
      <c r="G3825" s="1" t="s">
        <v>660</v>
      </c>
      <c r="H3825" s="6" t="str">
        <f>IFERROR(__xludf.DUMMYFUNCTION("IF(REGEXMATCH(LOWER(G3825), ""^(\?)+\s*(missing)?\s*(\?)*$""), """", PROPER(SUBSTITUTE(SUBSTITUTE(G3825, ""?"", """"), ""*"", """")))"),"Caravan Square Tissue Box")</f>
        <v>Caravan Square Tissue Box</v>
      </c>
      <c r="I3825" s="3">
        <v>3.0</v>
      </c>
      <c r="J3825" s="7">
        <v>40886.41875</v>
      </c>
      <c r="K3825" s="8" t="str">
        <f t="shared" si="4"/>
        <v>2011-12</v>
      </c>
      <c r="L3825" s="5">
        <v>2.46</v>
      </c>
      <c r="M3825" s="10"/>
      <c r="N3825" s="1" t="str">
        <f t="shared" si="5"/>
        <v>Guest</v>
      </c>
      <c r="O3825" s="1" t="s">
        <v>19</v>
      </c>
      <c r="P3825" s="9" t="str">
        <f t="shared" si="6"/>
        <v>UK</v>
      </c>
      <c r="Q3825" s="8">
        <f t="shared" si="7"/>
        <v>7.38</v>
      </c>
    </row>
    <row r="3826">
      <c r="A3826" s="1">
        <v>581492.0</v>
      </c>
      <c r="B3826" s="1" t="str">
        <f t="shared" si="1"/>
        <v>581492</v>
      </c>
      <c r="C3826" s="1" t="str">
        <f t="shared" si="2"/>
        <v>Sale</v>
      </c>
      <c r="D3826" s="1">
        <v>22104.0</v>
      </c>
      <c r="E3826" s="1" t="str">
        <f>IFERROR(__xludf.DUMMYFUNCTION("IF(LEN(D3826)&gt;4, IFERROR(REGEXEXTRACT(TO_TEXT(D3826),""\d+""),""""),"""")"),"22104")</f>
        <v>22104</v>
      </c>
      <c r="F3826" s="6" t="str">
        <f t="shared" si="3"/>
        <v>Product</v>
      </c>
      <c r="G3826" s="1" t="s">
        <v>1790</v>
      </c>
      <c r="H3826" s="6" t="str">
        <f>IFERROR(__xludf.DUMMYFUNCTION("IF(REGEXMATCH(LOWER(G3826), ""^(\?)+\s*(missing)?\s*(\?)*$""), """", PROPER(SUBSTITUTE(SUBSTITUTE(G3826, ""?"", """"), ""*"", """")))"),"Mirror Mosaic Candle Plate")</f>
        <v>Mirror Mosaic Candle Plate</v>
      </c>
      <c r="I3826" s="3">
        <v>4.0</v>
      </c>
      <c r="J3826" s="7">
        <v>40886.41875</v>
      </c>
      <c r="K3826" s="8" t="str">
        <f t="shared" si="4"/>
        <v>2011-12</v>
      </c>
      <c r="L3826" s="5">
        <v>1.63</v>
      </c>
      <c r="M3826" s="10"/>
      <c r="N3826" s="1" t="str">
        <f t="shared" si="5"/>
        <v>Guest</v>
      </c>
      <c r="O3826" s="1" t="s">
        <v>19</v>
      </c>
      <c r="P3826" s="9" t="str">
        <f t="shared" si="6"/>
        <v>UK</v>
      </c>
      <c r="Q3826" s="8">
        <f t="shared" si="7"/>
        <v>6.52</v>
      </c>
    </row>
    <row r="3827">
      <c r="A3827" s="1">
        <v>581492.0</v>
      </c>
      <c r="B3827" s="1" t="str">
        <f t="shared" si="1"/>
        <v>581492</v>
      </c>
      <c r="C3827" s="1" t="str">
        <f t="shared" si="2"/>
        <v>Sale</v>
      </c>
      <c r="D3827" s="1">
        <v>22106.0</v>
      </c>
      <c r="E3827" s="1" t="str">
        <f>IFERROR(__xludf.DUMMYFUNCTION("IF(LEN(D3827)&gt;4, IFERROR(REGEXEXTRACT(TO_TEXT(D3827),""\d+""),""""),"""")"),"22106")</f>
        <v>22106</v>
      </c>
      <c r="F3827" s="6" t="str">
        <f t="shared" si="3"/>
        <v>Product</v>
      </c>
      <c r="G3827" s="1" t="s">
        <v>1791</v>
      </c>
      <c r="H3827" s="6" t="str">
        <f>IFERROR(__xludf.DUMMYFUNCTION("IF(REGEXMATCH(LOWER(G3827), ""^(\?)+\s*(missing)?\s*(\?)*$""), """", PROPER(SUBSTITUTE(SUBSTITUTE(G3827, ""?"", """"), ""*"", """")))"),"Mirror Mosaic Hurricane Lamp")</f>
        <v>Mirror Mosaic Hurricane Lamp</v>
      </c>
      <c r="I3827" s="3">
        <v>1.0</v>
      </c>
      <c r="J3827" s="7">
        <v>40886.41875</v>
      </c>
      <c r="K3827" s="8" t="str">
        <f t="shared" si="4"/>
        <v>2011-12</v>
      </c>
      <c r="L3827" s="5">
        <v>4.96</v>
      </c>
      <c r="M3827" s="10"/>
      <c r="N3827" s="1" t="str">
        <f t="shared" si="5"/>
        <v>Guest</v>
      </c>
      <c r="O3827" s="1" t="s">
        <v>19</v>
      </c>
      <c r="P3827" s="9" t="str">
        <f t="shared" si="6"/>
        <v>UK</v>
      </c>
      <c r="Q3827" s="8">
        <f t="shared" si="7"/>
        <v>4.96</v>
      </c>
    </row>
    <row r="3828">
      <c r="A3828" s="1">
        <v>581492.0</v>
      </c>
      <c r="B3828" s="1" t="str">
        <f t="shared" si="1"/>
        <v>581492</v>
      </c>
      <c r="C3828" s="1" t="str">
        <f t="shared" si="2"/>
        <v>Sale</v>
      </c>
      <c r="D3828" s="1">
        <v>22107.0</v>
      </c>
      <c r="E3828" s="1" t="str">
        <f>IFERROR(__xludf.DUMMYFUNCTION("IF(LEN(D3828)&gt;4, IFERROR(REGEXEXTRACT(TO_TEXT(D3828),""\d+""),""""),"""")"),"22107")</f>
        <v>22107</v>
      </c>
      <c r="F3828" s="6" t="str">
        <f t="shared" si="3"/>
        <v>Product</v>
      </c>
      <c r="G3828" s="1" t="s">
        <v>654</v>
      </c>
      <c r="H3828" s="6" t="str">
        <f>IFERROR(__xludf.DUMMYFUNCTION("IF(REGEXMATCH(LOWER(G3828), ""^(\?)+\s*(missing)?\s*(\?)*$""), """", PROPER(SUBSTITUTE(SUBSTITUTE(G3828, ""?"", """"), ""*"", """")))"),"Pizza Plate In Box")</f>
        <v>Pizza Plate In Box</v>
      </c>
      <c r="I3828" s="3">
        <v>10.0</v>
      </c>
      <c r="J3828" s="7">
        <v>40886.41875</v>
      </c>
      <c r="K3828" s="8" t="str">
        <f t="shared" si="4"/>
        <v>2011-12</v>
      </c>
      <c r="L3828" s="5">
        <v>3.29</v>
      </c>
      <c r="M3828" s="10"/>
      <c r="N3828" s="1" t="str">
        <f t="shared" si="5"/>
        <v>Guest</v>
      </c>
      <c r="O3828" s="1" t="s">
        <v>19</v>
      </c>
      <c r="P3828" s="9" t="str">
        <f t="shared" si="6"/>
        <v>UK</v>
      </c>
      <c r="Q3828" s="8">
        <f t="shared" si="7"/>
        <v>32.9</v>
      </c>
    </row>
    <row r="3829">
      <c r="A3829" s="1">
        <v>581492.0</v>
      </c>
      <c r="B3829" s="1" t="str">
        <f t="shared" si="1"/>
        <v>581492</v>
      </c>
      <c r="C3829" s="1" t="str">
        <f t="shared" si="2"/>
        <v>Sale</v>
      </c>
      <c r="D3829" s="1">
        <v>22108.0</v>
      </c>
      <c r="E3829" s="1" t="str">
        <f>IFERROR(__xludf.DUMMYFUNCTION("IF(LEN(D3829)&gt;4, IFERROR(REGEXEXTRACT(TO_TEXT(D3829),""\d+""),""""),"""")"),"22108")</f>
        <v>22108</v>
      </c>
      <c r="F3829" s="6" t="str">
        <f t="shared" si="3"/>
        <v>Product</v>
      </c>
      <c r="G3829" s="1" t="s">
        <v>1573</v>
      </c>
      <c r="H3829" s="6" t="str">
        <f>IFERROR(__xludf.DUMMYFUNCTION("IF(REGEXMATCH(LOWER(G3829), ""^(\?)+\s*(missing)?\s*(\?)*$""), """", PROPER(SUBSTITUTE(SUBSTITUTE(G3829, ""?"", """"), ""*"", """")))"),"Ping! Microwave Plate")</f>
        <v>Ping! Microwave Plate</v>
      </c>
      <c r="I3829" s="3">
        <v>2.0</v>
      </c>
      <c r="J3829" s="7">
        <v>40886.41875</v>
      </c>
      <c r="K3829" s="8" t="str">
        <f t="shared" si="4"/>
        <v>2011-12</v>
      </c>
      <c r="L3829" s="5">
        <v>3.29</v>
      </c>
      <c r="M3829" s="10"/>
      <c r="N3829" s="1" t="str">
        <f t="shared" si="5"/>
        <v>Guest</v>
      </c>
      <c r="O3829" s="1" t="s">
        <v>19</v>
      </c>
      <c r="P3829" s="9" t="str">
        <f t="shared" si="6"/>
        <v>UK</v>
      </c>
      <c r="Q3829" s="8">
        <f t="shared" si="7"/>
        <v>6.58</v>
      </c>
    </row>
    <row r="3830">
      <c r="A3830" s="1">
        <v>581492.0</v>
      </c>
      <c r="B3830" s="1" t="str">
        <f t="shared" si="1"/>
        <v>581492</v>
      </c>
      <c r="C3830" s="1" t="str">
        <f t="shared" si="2"/>
        <v>Sale</v>
      </c>
      <c r="D3830" s="1">
        <v>22109.0</v>
      </c>
      <c r="E3830" s="1" t="str">
        <f>IFERROR(__xludf.DUMMYFUNCTION("IF(LEN(D3830)&gt;4, IFERROR(REGEXEXTRACT(TO_TEXT(D3830),""\d+""),""""),"""")"),"22109")</f>
        <v>22109</v>
      </c>
      <c r="F3830" s="6" t="str">
        <f t="shared" si="3"/>
        <v>Product</v>
      </c>
      <c r="G3830" s="1" t="s">
        <v>408</v>
      </c>
      <c r="H3830" s="6" t="str">
        <f>IFERROR(__xludf.DUMMYFUNCTION("IF(REGEXMATCH(LOWER(G3830), ""^(\?)+\s*(missing)?\s*(\?)*$""), """", PROPER(SUBSTITUTE(SUBSTITUTE(G3830, ""?"", """"), ""*"", """")))"),"Full English Breakfast Plate")</f>
        <v>Full English Breakfast Plate</v>
      </c>
      <c r="I3830" s="3">
        <v>2.0</v>
      </c>
      <c r="J3830" s="7">
        <v>40886.41875</v>
      </c>
      <c r="K3830" s="8" t="str">
        <f t="shared" si="4"/>
        <v>2011-12</v>
      </c>
      <c r="L3830" s="5">
        <v>7.46</v>
      </c>
      <c r="M3830" s="10"/>
      <c r="N3830" s="1" t="str">
        <f t="shared" si="5"/>
        <v>Guest</v>
      </c>
      <c r="O3830" s="1" t="s">
        <v>19</v>
      </c>
      <c r="P3830" s="9" t="str">
        <f t="shared" si="6"/>
        <v>UK</v>
      </c>
      <c r="Q3830" s="8">
        <f t="shared" si="7"/>
        <v>14.92</v>
      </c>
    </row>
    <row r="3831">
      <c r="A3831" s="1">
        <v>581492.0</v>
      </c>
      <c r="B3831" s="1" t="str">
        <f t="shared" si="1"/>
        <v>581492</v>
      </c>
      <c r="C3831" s="1" t="str">
        <f t="shared" si="2"/>
        <v>Sale</v>
      </c>
      <c r="D3831" s="1">
        <v>22110.0</v>
      </c>
      <c r="E3831" s="1" t="str">
        <f>IFERROR(__xludf.DUMMYFUNCTION("IF(LEN(D3831)&gt;4, IFERROR(REGEXEXTRACT(TO_TEXT(D3831),""\d+""),""""),"""")"),"22110")</f>
        <v>22110</v>
      </c>
      <c r="F3831" s="6" t="str">
        <f t="shared" si="3"/>
        <v>Product</v>
      </c>
      <c r="G3831" s="1" t="s">
        <v>271</v>
      </c>
      <c r="H3831" s="6" t="str">
        <f>IFERROR(__xludf.DUMMYFUNCTION("IF(REGEXMATCH(LOWER(G3831), ""^(\?)+\s*(missing)?\s*(\?)*$""), """", PROPER(SUBSTITUTE(SUBSTITUTE(G3831, ""?"", """"), ""*"", """")))"),"Bird House Hot Water Bottle")</f>
        <v>Bird House Hot Water Bottle</v>
      </c>
      <c r="I3831" s="3">
        <v>3.0</v>
      </c>
      <c r="J3831" s="7">
        <v>40886.41875</v>
      </c>
      <c r="K3831" s="8" t="str">
        <f t="shared" si="4"/>
        <v>2011-12</v>
      </c>
      <c r="L3831" s="5">
        <v>5.79</v>
      </c>
      <c r="M3831" s="10"/>
      <c r="N3831" s="1" t="str">
        <f t="shared" si="5"/>
        <v>Guest</v>
      </c>
      <c r="O3831" s="1" t="s">
        <v>19</v>
      </c>
      <c r="P3831" s="9" t="str">
        <f t="shared" si="6"/>
        <v>UK</v>
      </c>
      <c r="Q3831" s="8">
        <f t="shared" si="7"/>
        <v>17.37</v>
      </c>
    </row>
    <row r="3832">
      <c r="A3832" s="1">
        <v>581492.0</v>
      </c>
      <c r="B3832" s="1" t="str">
        <f t="shared" si="1"/>
        <v>581492</v>
      </c>
      <c r="C3832" s="1" t="str">
        <f t="shared" si="2"/>
        <v>Sale</v>
      </c>
      <c r="D3832" s="1">
        <v>22111.0</v>
      </c>
      <c r="E3832" s="1" t="str">
        <f>IFERROR(__xludf.DUMMYFUNCTION("IF(LEN(D3832)&gt;4, IFERROR(REGEXEXTRACT(TO_TEXT(D3832),""\d+""),""""),"""")"),"22111")</f>
        <v>22111</v>
      </c>
      <c r="F3832" s="6" t="str">
        <f t="shared" si="3"/>
        <v>Product</v>
      </c>
      <c r="G3832" s="1" t="s">
        <v>270</v>
      </c>
      <c r="H3832" s="6" t="str">
        <f>IFERROR(__xludf.DUMMYFUNCTION("IF(REGEXMATCH(LOWER(G3832), ""^(\?)+\s*(missing)?\s*(\?)*$""), """", PROPER(SUBSTITUTE(SUBSTITUTE(G3832, ""?"", """"), ""*"", """")))"),"Scottie Dog Hot Water Bottle")</f>
        <v>Scottie Dog Hot Water Bottle</v>
      </c>
      <c r="I3832" s="3">
        <v>1.0</v>
      </c>
      <c r="J3832" s="7">
        <v>40886.41875</v>
      </c>
      <c r="K3832" s="8" t="str">
        <f t="shared" si="4"/>
        <v>2011-12</v>
      </c>
      <c r="L3832" s="5">
        <v>10.79</v>
      </c>
      <c r="M3832" s="10"/>
      <c r="N3832" s="1" t="str">
        <f t="shared" si="5"/>
        <v>Guest</v>
      </c>
      <c r="O3832" s="1" t="s">
        <v>19</v>
      </c>
      <c r="P3832" s="9" t="str">
        <f t="shared" si="6"/>
        <v>UK</v>
      </c>
      <c r="Q3832" s="8">
        <f t="shared" si="7"/>
        <v>10.79</v>
      </c>
    </row>
    <row r="3833">
      <c r="A3833" s="1">
        <v>581492.0</v>
      </c>
      <c r="B3833" s="1" t="str">
        <f t="shared" si="1"/>
        <v>581492</v>
      </c>
      <c r="C3833" s="1" t="str">
        <f t="shared" si="2"/>
        <v>Sale</v>
      </c>
      <c r="D3833" s="1">
        <v>22112.0</v>
      </c>
      <c r="E3833" s="1" t="str">
        <f>IFERROR(__xludf.DUMMYFUNCTION("IF(LEN(D3833)&gt;4, IFERROR(REGEXEXTRACT(TO_TEXT(D3833),""\d+""),""""),"""")"),"22112")</f>
        <v>22112</v>
      </c>
      <c r="F3833" s="6" t="str">
        <f t="shared" si="3"/>
        <v>Product</v>
      </c>
      <c r="G3833" s="1" t="s">
        <v>268</v>
      </c>
      <c r="H3833" s="6" t="str">
        <f>IFERROR(__xludf.DUMMYFUNCTION("IF(REGEXMATCH(LOWER(G3833), ""^(\?)+\s*(missing)?\s*(\?)*$""), """", PROPER(SUBSTITUTE(SUBSTITUTE(G3833, ""?"", """"), ""*"", """")))"),"Chocolate Hot Water Bottle")</f>
        <v>Chocolate Hot Water Bottle</v>
      </c>
      <c r="I3833" s="3">
        <v>1.0</v>
      </c>
      <c r="J3833" s="7">
        <v>40886.41875</v>
      </c>
      <c r="K3833" s="8" t="str">
        <f t="shared" si="4"/>
        <v>2011-12</v>
      </c>
      <c r="L3833" s="5">
        <v>10.79</v>
      </c>
      <c r="M3833" s="10"/>
      <c r="N3833" s="1" t="str">
        <f t="shared" si="5"/>
        <v>Guest</v>
      </c>
      <c r="O3833" s="1" t="s">
        <v>19</v>
      </c>
      <c r="P3833" s="9" t="str">
        <f t="shared" si="6"/>
        <v>UK</v>
      </c>
      <c r="Q3833" s="8">
        <f t="shared" si="7"/>
        <v>10.79</v>
      </c>
    </row>
    <row r="3834">
      <c r="A3834" s="1">
        <v>581492.0</v>
      </c>
      <c r="B3834" s="1" t="str">
        <f t="shared" si="1"/>
        <v>581492</v>
      </c>
      <c r="C3834" s="1" t="str">
        <f t="shared" si="2"/>
        <v>Sale</v>
      </c>
      <c r="D3834" s="1">
        <v>22114.0</v>
      </c>
      <c r="E3834" s="1" t="str">
        <f>IFERROR(__xludf.DUMMYFUNCTION("IF(LEN(D3834)&gt;4, IFERROR(REGEXEXTRACT(TO_TEXT(D3834),""\d+""),""""),"""")"),"22114")</f>
        <v>22114</v>
      </c>
      <c r="F3834" s="6" t="str">
        <f t="shared" si="3"/>
        <v>Product</v>
      </c>
      <c r="G3834" s="1" t="s">
        <v>82</v>
      </c>
      <c r="H3834" s="6" t="str">
        <f>IFERROR(__xludf.DUMMYFUNCTION("IF(REGEXMATCH(LOWER(G3834), ""^(\?)+\s*(missing)?\s*(\?)*$""), """", PROPER(SUBSTITUTE(SUBSTITUTE(G3834, ""?"", """"), ""*"", """")))"),"Hot Water Bottle Tea And Sympathy")</f>
        <v>Hot Water Bottle Tea And Sympathy</v>
      </c>
      <c r="I3834" s="3">
        <v>4.0</v>
      </c>
      <c r="J3834" s="7">
        <v>40886.41875</v>
      </c>
      <c r="K3834" s="8" t="str">
        <f t="shared" si="4"/>
        <v>2011-12</v>
      </c>
      <c r="L3834" s="5">
        <v>8.29</v>
      </c>
      <c r="M3834" s="10"/>
      <c r="N3834" s="1" t="str">
        <f t="shared" si="5"/>
        <v>Guest</v>
      </c>
      <c r="O3834" s="1" t="s">
        <v>19</v>
      </c>
      <c r="P3834" s="9" t="str">
        <f t="shared" si="6"/>
        <v>UK</v>
      </c>
      <c r="Q3834" s="8">
        <f t="shared" si="7"/>
        <v>33.16</v>
      </c>
    </row>
    <row r="3835">
      <c r="A3835" s="1">
        <v>581492.0</v>
      </c>
      <c r="B3835" s="1" t="str">
        <f t="shared" si="1"/>
        <v>581492</v>
      </c>
      <c r="C3835" s="1" t="str">
        <f t="shared" si="2"/>
        <v>Sale</v>
      </c>
      <c r="D3835" s="1">
        <v>22116.0</v>
      </c>
      <c r="E3835" s="1" t="str">
        <f>IFERROR(__xludf.DUMMYFUNCTION("IF(LEN(D3835)&gt;4, IFERROR(REGEXEXTRACT(TO_TEXT(D3835),""\d+""),""""),"""")"),"22116")</f>
        <v>22116</v>
      </c>
      <c r="F3835" s="6" t="str">
        <f t="shared" si="3"/>
        <v>Product</v>
      </c>
      <c r="G3835" s="1" t="s">
        <v>1079</v>
      </c>
      <c r="H3835" s="6" t="str">
        <f>IFERROR(__xludf.DUMMYFUNCTION("IF(REGEXMATCH(LOWER(G3835), ""^(\?)+\s*(missing)?\s*(\?)*$""), """", PROPER(SUBSTITUTE(SUBSTITUTE(G3835, ""?"", """"), ""*"", """")))"),"Metal Sign His Dinner Is Served")</f>
        <v>Metal Sign His Dinner Is Served</v>
      </c>
      <c r="I3835" s="3">
        <v>2.0</v>
      </c>
      <c r="J3835" s="7">
        <v>40886.41875</v>
      </c>
      <c r="K3835" s="8" t="str">
        <f t="shared" si="4"/>
        <v>2011-12</v>
      </c>
      <c r="L3835" s="5">
        <v>1.63</v>
      </c>
      <c r="M3835" s="10"/>
      <c r="N3835" s="1" t="str">
        <f t="shared" si="5"/>
        <v>Guest</v>
      </c>
      <c r="O3835" s="1" t="s">
        <v>19</v>
      </c>
      <c r="P3835" s="9" t="str">
        <f t="shared" si="6"/>
        <v>UK</v>
      </c>
      <c r="Q3835" s="8">
        <f t="shared" si="7"/>
        <v>3.26</v>
      </c>
    </row>
    <row r="3836">
      <c r="A3836" s="1">
        <v>581492.0</v>
      </c>
      <c r="B3836" s="1" t="str">
        <f t="shared" si="1"/>
        <v>581492</v>
      </c>
      <c r="C3836" s="1" t="str">
        <f t="shared" si="2"/>
        <v>Sale</v>
      </c>
      <c r="D3836" s="1">
        <v>22121.0</v>
      </c>
      <c r="E3836" s="1" t="str">
        <f>IFERROR(__xludf.DUMMYFUNCTION("IF(LEN(D3836)&gt;4, IFERROR(REGEXEXTRACT(TO_TEXT(D3836),""\d+""),""""),"""")"),"22121")</f>
        <v>22121</v>
      </c>
      <c r="F3836" s="6" t="str">
        <f t="shared" si="3"/>
        <v>Product</v>
      </c>
      <c r="G3836" s="1" t="s">
        <v>1531</v>
      </c>
      <c r="H3836" s="6" t="str">
        <f>IFERROR(__xludf.DUMMYFUNCTION("IF(REGEXMATCH(LOWER(G3836), ""^(\?)+\s*(missing)?\s*(\?)*$""), """", PROPER(SUBSTITUTE(SUBSTITUTE(G3836, ""?"", """"), ""*"", """")))"),"Noel Wooden Block Letters")</f>
        <v>Noel Wooden Block Letters</v>
      </c>
      <c r="I3836" s="3">
        <v>1.0</v>
      </c>
      <c r="J3836" s="7">
        <v>40886.41875</v>
      </c>
      <c r="K3836" s="8" t="str">
        <f t="shared" si="4"/>
        <v>2011-12</v>
      </c>
      <c r="L3836" s="5">
        <v>11.63</v>
      </c>
      <c r="M3836" s="10"/>
      <c r="N3836" s="1" t="str">
        <f t="shared" si="5"/>
        <v>Guest</v>
      </c>
      <c r="O3836" s="1" t="s">
        <v>19</v>
      </c>
      <c r="P3836" s="9" t="str">
        <f t="shared" si="6"/>
        <v>UK</v>
      </c>
      <c r="Q3836" s="8">
        <f t="shared" si="7"/>
        <v>11.63</v>
      </c>
    </row>
    <row r="3837">
      <c r="A3837" s="1">
        <v>581492.0</v>
      </c>
      <c r="B3837" s="1" t="str">
        <f t="shared" si="1"/>
        <v>581492</v>
      </c>
      <c r="C3837" s="1" t="str">
        <f t="shared" si="2"/>
        <v>Sale</v>
      </c>
      <c r="D3837" s="1">
        <v>22123.0</v>
      </c>
      <c r="E3837" s="1" t="str">
        <f>IFERROR(__xludf.DUMMYFUNCTION("IF(LEN(D3837)&gt;4, IFERROR(REGEXEXTRACT(TO_TEXT(D3837),""\d+""),""""),"""")"),"22123")</f>
        <v>22123</v>
      </c>
      <c r="F3837" s="6" t="str">
        <f t="shared" si="3"/>
        <v>Product</v>
      </c>
      <c r="G3837" s="1" t="s">
        <v>1193</v>
      </c>
      <c r="H3837" s="6" t="str">
        <f>IFERROR(__xludf.DUMMYFUNCTION("IF(REGEXMATCH(LOWER(G3837), ""^(\?)+\s*(missing)?\s*(\?)*$""), """", PROPER(SUBSTITUTE(SUBSTITUTE(G3837, ""?"", """"), ""*"", """")))"),"Ping Microwave Apron")</f>
        <v>Ping Microwave Apron</v>
      </c>
      <c r="I3837" s="3">
        <v>1.0</v>
      </c>
      <c r="J3837" s="7">
        <v>40886.41875</v>
      </c>
      <c r="K3837" s="8" t="str">
        <f t="shared" si="4"/>
        <v>2011-12</v>
      </c>
      <c r="L3837" s="5">
        <v>4.13</v>
      </c>
      <c r="M3837" s="10"/>
      <c r="N3837" s="1" t="str">
        <f t="shared" si="5"/>
        <v>Guest</v>
      </c>
      <c r="O3837" s="1" t="s">
        <v>19</v>
      </c>
      <c r="P3837" s="9" t="str">
        <f t="shared" si="6"/>
        <v>UK</v>
      </c>
      <c r="Q3837" s="8">
        <f t="shared" si="7"/>
        <v>4.13</v>
      </c>
    </row>
    <row r="3838">
      <c r="A3838" s="1">
        <v>581492.0</v>
      </c>
      <c r="B3838" s="1" t="str">
        <f t="shared" si="1"/>
        <v>581492</v>
      </c>
      <c r="C3838" s="1" t="str">
        <f t="shared" si="2"/>
        <v>Sale</v>
      </c>
      <c r="D3838" s="1">
        <v>22124.0</v>
      </c>
      <c r="E3838" s="1" t="str">
        <f>IFERROR(__xludf.DUMMYFUNCTION("IF(LEN(D3838)&gt;4, IFERROR(REGEXEXTRACT(TO_TEXT(D3838),""\d+""),""""),"""")"),"22124")</f>
        <v>22124</v>
      </c>
      <c r="F3838" s="6" t="str">
        <f t="shared" si="3"/>
        <v>Product</v>
      </c>
      <c r="G3838" s="1" t="s">
        <v>1792</v>
      </c>
      <c r="H3838" s="6" t="str">
        <f>IFERROR(__xludf.DUMMYFUNCTION("IF(REGEXMATCH(LOWER(G3838), ""^(\?)+\s*(missing)?\s*(\?)*$""), """", PROPER(SUBSTITUTE(SUBSTITUTE(G3838, ""?"", """"), ""*"", """")))"),"Set Of 2 Tea Towels Ping Microwave")</f>
        <v>Set Of 2 Tea Towels Ping Microwave</v>
      </c>
      <c r="I3838" s="3">
        <v>1.0</v>
      </c>
      <c r="J3838" s="7">
        <v>40886.41875</v>
      </c>
      <c r="K3838" s="8" t="str">
        <f t="shared" si="4"/>
        <v>2011-12</v>
      </c>
      <c r="L3838" s="5">
        <v>2.46</v>
      </c>
      <c r="M3838" s="10"/>
      <c r="N3838" s="1" t="str">
        <f t="shared" si="5"/>
        <v>Guest</v>
      </c>
      <c r="O3838" s="1" t="s">
        <v>19</v>
      </c>
      <c r="P3838" s="9" t="str">
        <f t="shared" si="6"/>
        <v>UK</v>
      </c>
      <c r="Q3838" s="8">
        <f t="shared" si="7"/>
        <v>2.46</v>
      </c>
    </row>
    <row r="3839">
      <c r="A3839" s="1">
        <v>581492.0</v>
      </c>
      <c r="B3839" s="1" t="str">
        <f t="shared" si="1"/>
        <v>581492</v>
      </c>
      <c r="C3839" s="1" t="str">
        <f t="shared" si="2"/>
        <v>Sale</v>
      </c>
      <c r="D3839" s="1">
        <v>22129.0</v>
      </c>
      <c r="E3839" s="1" t="str">
        <f>IFERROR(__xludf.DUMMYFUNCTION("IF(LEN(D3839)&gt;4, IFERROR(REGEXEXTRACT(TO_TEXT(D3839),""\d+""),""""),"""")"),"22129")</f>
        <v>22129</v>
      </c>
      <c r="F3839" s="6" t="str">
        <f t="shared" si="3"/>
        <v>Product</v>
      </c>
      <c r="G3839" s="1" t="s">
        <v>1793</v>
      </c>
      <c r="H3839" s="6" t="str">
        <f>IFERROR(__xludf.DUMMYFUNCTION("IF(REGEXMATCH(LOWER(G3839), ""^(\?)+\s*(missing)?\s*(\?)*$""), """", PROPER(SUBSTITUTE(SUBSTITUTE(G3839, ""?"", """"), ""*"", """")))"),"Party Cones Candy Decoration")</f>
        <v>Party Cones Candy Decoration</v>
      </c>
      <c r="I3839" s="3">
        <v>3.0</v>
      </c>
      <c r="J3839" s="7">
        <v>40886.41875</v>
      </c>
      <c r="K3839" s="8" t="str">
        <f t="shared" si="4"/>
        <v>2011-12</v>
      </c>
      <c r="L3839" s="5">
        <v>2.46</v>
      </c>
      <c r="M3839" s="10"/>
      <c r="N3839" s="1" t="str">
        <f t="shared" si="5"/>
        <v>Guest</v>
      </c>
      <c r="O3839" s="1" t="s">
        <v>19</v>
      </c>
      <c r="P3839" s="9" t="str">
        <f t="shared" si="6"/>
        <v>UK</v>
      </c>
      <c r="Q3839" s="8">
        <f t="shared" si="7"/>
        <v>7.38</v>
      </c>
    </row>
    <row r="3840">
      <c r="A3840" s="1">
        <v>581492.0</v>
      </c>
      <c r="B3840" s="1" t="str">
        <f t="shared" si="1"/>
        <v>581492</v>
      </c>
      <c r="C3840" s="1" t="str">
        <f t="shared" si="2"/>
        <v>Sale</v>
      </c>
      <c r="D3840" s="1">
        <v>22134.0</v>
      </c>
      <c r="E3840" s="1" t="str">
        <f>IFERROR(__xludf.DUMMYFUNCTION("IF(LEN(D3840)&gt;4, IFERROR(REGEXEXTRACT(TO_TEXT(D3840),""\d+""),""""),"""")"),"22134")</f>
        <v>22134</v>
      </c>
      <c r="F3840" s="6" t="str">
        <f t="shared" si="3"/>
        <v>Product</v>
      </c>
      <c r="G3840" s="1" t="s">
        <v>1794</v>
      </c>
      <c r="H3840" s="6" t="str">
        <f>IFERROR(__xludf.DUMMYFUNCTION("IF(REGEXMATCH(LOWER(G3840), ""^(\?)+\s*(missing)?\s*(\?)*$""), """", PROPER(SUBSTITUTE(SUBSTITUTE(G3840, ""?"", """"), ""*"", """")))"),"Mini Ladle Love Heart Red")</f>
        <v>Mini Ladle Love Heart Red</v>
      </c>
      <c r="I3840" s="3">
        <v>1.0</v>
      </c>
      <c r="J3840" s="7">
        <v>40886.41875</v>
      </c>
      <c r="K3840" s="8" t="str">
        <f t="shared" si="4"/>
        <v>2011-12</v>
      </c>
      <c r="L3840" s="5">
        <v>0.83</v>
      </c>
      <c r="M3840" s="10"/>
      <c r="N3840" s="1" t="str">
        <f t="shared" si="5"/>
        <v>Guest</v>
      </c>
      <c r="O3840" s="1" t="s">
        <v>19</v>
      </c>
      <c r="P3840" s="9" t="str">
        <f t="shared" si="6"/>
        <v>UK</v>
      </c>
      <c r="Q3840" s="8">
        <f t="shared" si="7"/>
        <v>0.83</v>
      </c>
    </row>
    <row r="3841">
      <c r="A3841" s="1">
        <v>581492.0</v>
      </c>
      <c r="B3841" s="1" t="str">
        <f t="shared" si="1"/>
        <v>581492</v>
      </c>
      <c r="C3841" s="1" t="str">
        <f t="shared" si="2"/>
        <v>Sale</v>
      </c>
      <c r="D3841" s="1">
        <v>15036.0</v>
      </c>
      <c r="E3841" s="1" t="str">
        <f>IFERROR(__xludf.DUMMYFUNCTION("IF(LEN(D3841)&gt;4, IFERROR(REGEXEXTRACT(TO_TEXT(D3841),""\d+""),""""),"""")"),"15036")</f>
        <v>15036</v>
      </c>
      <c r="F3841" s="6" t="str">
        <f t="shared" si="3"/>
        <v>Product</v>
      </c>
      <c r="G3841" s="1" t="s">
        <v>692</v>
      </c>
      <c r="H3841" s="6" t="str">
        <f>IFERROR(__xludf.DUMMYFUNCTION("IF(REGEXMATCH(LOWER(G3841), ""^(\?)+\s*(missing)?\s*(\?)*$""), """", PROPER(SUBSTITUTE(SUBSTITUTE(G3841, ""?"", """"), ""*"", """")))"),"Assorted Colours Silk Fan")</f>
        <v>Assorted Colours Silk Fan</v>
      </c>
      <c r="I3841" s="3">
        <v>1.0</v>
      </c>
      <c r="J3841" s="7">
        <v>40886.41875</v>
      </c>
      <c r="K3841" s="8" t="str">
        <f t="shared" si="4"/>
        <v>2011-12</v>
      </c>
      <c r="L3841" s="5">
        <v>1.63</v>
      </c>
      <c r="M3841" s="10"/>
      <c r="N3841" s="1" t="str">
        <f t="shared" si="5"/>
        <v>Guest</v>
      </c>
      <c r="O3841" s="1" t="s">
        <v>19</v>
      </c>
      <c r="P3841" s="9" t="str">
        <f t="shared" si="6"/>
        <v>UK</v>
      </c>
      <c r="Q3841" s="8">
        <f t="shared" si="7"/>
        <v>1.63</v>
      </c>
    </row>
    <row r="3842">
      <c r="A3842" s="1">
        <v>581492.0</v>
      </c>
      <c r="B3842" s="1" t="str">
        <f t="shared" si="1"/>
        <v>581492</v>
      </c>
      <c r="C3842" s="1" t="str">
        <f t="shared" si="2"/>
        <v>Sale</v>
      </c>
      <c r="D3842" s="1">
        <v>15039.0</v>
      </c>
      <c r="E3842" s="1" t="str">
        <f>IFERROR(__xludf.DUMMYFUNCTION("IF(LEN(D3842)&gt;4, IFERROR(REGEXEXTRACT(TO_TEXT(D3842),""\d+""),""""),"""")"),"15039")</f>
        <v>15039</v>
      </c>
      <c r="F3842" s="6" t="str">
        <f t="shared" si="3"/>
        <v>Product</v>
      </c>
      <c r="G3842" s="1" t="s">
        <v>1795</v>
      </c>
      <c r="H3842" s="6" t="str">
        <f>IFERROR(__xludf.DUMMYFUNCTION("IF(REGEXMATCH(LOWER(G3842), ""^(\?)+\s*(missing)?\s*(\?)*$""), """", PROPER(SUBSTITUTE(SUBSTITUTE(G3842, ""?"", """"), ""*"", """")))"),"Sandalwood Fan")</f>
        <v>Sandalwood Fan</v>
      </c>
      <c r="I3842" s="3">
        <v>1.0</v>
      </c>
      <c r="J3842" s="7">
        <v>40886.41875</v>
      </c>
      <c r="K3842" s="8" t="str">
        <f t="shared" si="4"/>
        <v>2011-12</v>
      </c>
      <c r="L3842" s="5">
        <v>1.63</v>
      </c>
      <c r="M3842" s="10"/>
      <c r="N3842" s="1" t="str">
        <f t="shared" si="5"/>
        <v>Guest</v>
      </c>
      <c r="O3842" s="1" t="s">
        <v>19</v>
      </c>
      <c r="P3842" s="9" t="str">
        <f t="shared" si="6"/>
        <v>UK</v>
      </c>
      <c r="Q3842" s="8">
        <f t="shared" si="7"/>
        <v>1.63</v>
      </c>
    </row>
    <row r="3843">
      <c r="A3843" s="1">
        <v>581492.0</v>
      </c>
      <c r="B3843" s="1" t="str">
        <f t="shared" si="1"/>
        <v>581492</v>
      </c>
      <c r="C3843" s="1" t="str">
        <f t="shared" si="2"/>
        <v>Sale</v>
      </c>
      <c r="D3843" s="1" t="s">
        <v>1796</v>
      </c>
      <c r="E3843" s="1" t="str">
        <f>IFERROR(__xludf.DUMMYFUNCTION("IF(LEN(D3843)&gt;4, IFERROR(REGEXEXTRACT(TO_TEXT(D3843),""\d+""),""""),"""")"),"15058")</f>
        <v>15058</v>
      </c>
      <c r="F3843" s="6" t="str">
        <f t="shared" si="3"/>
        <v>Product</v>
      </c>
      <c r="G3843" s="1" t="s">
        <v>1797</v>
      </c>
      <c r="H3843" s="6" t="str">
        <f>IFERROR(__xludf.DUMMYFUNCTION("IF(REGEXMATCH(LOWER(G3843), ""^(\?)+\s*(missing)?\s*(\?)*$""), """", PROPER(SUBSTITUTE(SUBSTITUTE(G3843, ""?"", """"), ""*"", """")))"),"Ice Cream Design Garden Parasol")</f>
        <v>Ice Cream Design Garden Parasol</v>
      </c>
      <c r="I3843" s="3">
        <v>1.0</v>
      </c>
      <c r="J3843" s="7">
        <v>40886.41875</v>
      </c>
      <c r="K3843" s="8" t="str">
        <f t="shared" si="4"/>
        <v>2011-12</v>
      </c>
      <c r="L3843" s="5">
        <v>10.79</v>
      </c>
      <c r="M3843" s="10"/>
      <c r="N3843" s="1" t="str">
        <f t="shared" si="5"/>
        <v>Guest</v>
      </c>
      <c r="O3843" s="1" t="s">
        <v>19</v>
      </c>
      <c r="P3843" s="9" t="str">
        <f t="shared" si="6"/>
        <v>UK</v>
      </c>
      <c r="Q3843" s="8">
        <f t="shared" si="7"/>
        <v>10.79</v>
      </c>
    </row>
    <row r="3844">
      <c r="A3844" s="1">
        <v>581492.0</v>
      </c>
      <c r="B3844" s="1" t="str">
        <f t="shared" si="1"/>
        <v>581492</v>
      </c>
      <c r="C3844" s="1" t="str">
        <f t="shared" si="2"/>
        <v>Sale</v>
      </c>
      <c r="D3844" s="1">
        <v>16218.0</v>
      </c>
      <c r="E3844" s="1" t="str">
        <f>IFERROR(__xludf.DUMMYFUNCTION("IF(LEN(D3844)&gt;4, IFERROR(REGEXEXTRACT(TO_TEXT(D3844),""\d+""),""""),"""")"),"16218")</f>
        <v>16218</v>
      </c>
      <c r="F3844" s="6" t="str">
        <f t="shared" si="3"/>
        <v>Product</v>
      </c>
      <c r="G3844" s="1" t="s">
        <v>1798</v>
      </c>
      <c r="H3844" s="6" t="str">
        <f>IFERROR(__xludf.DUMMYFUNCTION("IF(REGEXMATCH(LOWER(G3844), ""^(\?)+\s*(missing)?\s*(\?)*$""), """", PROPER(SUBSTITUTE(SUBSTITUTE(G3844, ""?"", """"), ""*"", """")))"),"Cartoon Pencil Sharpeners")</f>
        <v>Cartoon Pencil Sharpeners</v>
      </c>
      <c r="I3844" s="3">
        <v>5.0</v>
      </c>
      <c r="J3844" s="7">
        <v>40886.41875</v>
      </c>
      <c r="K3844" s="8" t="str">
        <f t="shared" si="4"/>
        <v>2011-12</v>
      </c>
      <c r="L3844" s="5">
        <v>0.42</v>
      </c>
      <c r="M3844" s="10"/>
      <c r="N3844" s="1" t="str">
        <f t="shared" si="5"/>
        <v>Guest</v>
      </c>
      <c r="O3844" s="1" t="s">
        <v>19</v>
      </c>
      <c r="P3844" s="9" t="str">
        <f t="shared" si="6"/>
        <v>UK</v>
      </c>
      <c r="Q3844" s="8">
        <f t="shared" si="7"/>
        <v>2.1</v>
      </c>
    </row>
    <row r="3845">
      <c r="A3845" s="1">
        <v>581492.0</v>
      </c>
      <c r="B3845" s="1" t="str">
        <f t="shared" si="1"/>
        <v>581492</v>
      </c>
      <c r="C3845" s="1" t="str">
        <f t="shared" si="2"/>
        <v>Sale</v>
      </c>
      <c r="D3845" s="1">
        <v>16225.0</v>
      </c>
      <c r="E3845" s="1" t="str">
        <f>IFERROR(__xludf.DUMMYFUNCTION("IF(LEN(D3845)&gt;4, IFERROR(REGEXEXTRACT(TO_TEXT(D3845),""\d+""),""""),"""")"),"16225")</f>
        <v>16225</v>
      </c>
      <c r="F3845" s="6" t="str">
        <f t="shared" si="3"/>
        <v>Product</v>
      </c>
      <c r="G3845" s="1" t="s">
        <v>1579</v>
      </c>
      <c r="H3845" s="6" t="str">
        <f>IFERROR(__xludf.DUMMYFUNCTION("IF(REGEXMATCH(LOWER(G3845), ""^(\?)+\s*(missing)?\s*(\?)*$""), """", PROPER(SUBSTITUTE(SUBSTITUTE(G3845, ""?"", """"), ""*"", """")))"),"Rattle Snake Eggs")</f>
        <v>Rattle Snake Eggs</v>
      </c>
      <c r="I3845" s="3">
        <v>1.0</v>
      </c>
      <c r="J3845" s="7">
        <v>40886.41875</v>
      </c>
      <c r="K3845" s="8" t="str">
        <f t="shared" si="4"/>
        <v>2011-12</v>
      </c>
      <c r="L3845" s="5">
        <v>3.29</v>
      </c>
      <c r="M3845" s="10"/>
      <c r="N3845" s="1" t="str">
        <f t="shared" si="5"/>
        <v>Guest</v>
      </c>
      <c r="O3845" s="1" t="s">
        <v>19</v>
      </c>
      <c r="P3845" s="9" t="str">
        <f t="shared" si="6"/>
        <v>UK</v>
      </c>
      <c r="Q3845" s="8">
        <f t="shared" si="7"/>
        <v>3.29</v>
      </c>
    </row>
    <row r="3846">
      <c r="A3846" s="1">
        <v>581492.0</v>
      </c>
      <c r="B3846" s="1" t="str">
        <f t="shared" si="1"/>
        <v>581492</v>
      </c>
      <c r="C3846" s="1" t="str">
        <f t="shared" si="2"/>
        <v>Sale</v>
      </c>
      <c r="D3846" s="1">
        <v>16235.0</v>
      </c>
      <c r="E3846" s="1" t="str">
        <f>IFERROR(__xludf.DUMMYFUNCTION("IF(LEN(D3846)&gt;4, IFERROR(REGEXEXTRACT(TO_TEXT(D3846),""\d+""),""""),"""")"),"16235")</f>
        <v>16235</v>
      </c>
      <c r="F3846" s="6" t="str">
        <f t="shared" si="3"/>
        <v>Product</v>
      </c>
      <c r="G3846" s="1" t="s">
        <v>693</v>
      </c>
      <c r="H3846" s="6" t="str">
        <f>IFERROR(__xludf.DUMMYFUNCTION("IF(REGEXMATCH(LOWER(G3846), ""^(\?)+\s*(missing)?\s*(\?)*$""), """", PROPER(SUBSTITUTE(SUBSTITUTE(G3846, ""?"", """"), ""*"", """")))"),"Recycled Pencil With Rabbit Eraser")</f>
        <v>Recycled Pencil With Rabbit Eraser</v>
      </c>
      <c r="I3846" s="3">
        <v>3.0</v>
      </c>
      <c r="J3846" s="7">
        <v>40886.41875</v>
      </c>
      <c r="K3846" s="8" t="str">
        <f t="shared" si="4"/>
        <v>2011-12</v>
      </c>
      <c r="L3846" s="5">
        <v>0.42</v>
      </c>
      <c r="M3846" s="10"/>
      <c r="N3846" s="1" t="str">
        <f t="shared" si="5"/>
        <v>Guest</v>
      </c>
      <c r="O3846" s="1" t="s">
        <v>19</v>
      </c>
      <c r="P3846" s="9" t="str">
        <f t="shared" si="6"/>
        <v>UK</v>
      </c>
      <c r="Q3846" s="8">
        <f t="shared" si="7"/>
        <v>1.26</v>
      </c>
    </row>
    <row r="3847">
      <c r="A3847" s="1">
        <v>581492.0</v>
      </c>
      <c r="B3847" s="1" t="str">
        <f t="shared" si="1"/>
        <v>581492</v>
      </c>
      <c r="C3847" s="1" t="str">
        <f t="shared" si="2"/>
        <v>Sale</v>
      </c>
      <c r="D3847" s="1">
        <v>16237.0</v>
      </c>
      <c r="E3847" s="1" t="str">
        <f>IFERROR(__xludf.DUMMYFUNCTION("IF(LEN(D3847)&gt;4, IFERROR(REGEXEXTRACT(TO_TEXT(D3847),""\d+""),""""),"""")"),"16237")</f>
        <v>16237</v>
      </c>
      <c r="F3847" s="6" t="str">
        <f t="shared" si="3"/>
        <v>Product</v>
      </c>
      <c r="G3847" s="1" t="s">
        <v>383</v>
      </c>
      <c r="H3847" s="6" t="str">
        <f>IFERROR(__xludf.DUMMYFUNCTION("IF(REGEXMATCH(LOWER(G3847), ""^(\?)+\s*(missing)?\s*(\?)*$""), """", PROPER(SUBSTITUTE(SUBSTITUTE(G3847, ""?"", """"), ""*"", """")))"),"Sleeping Cat Erasers")</f>
        <v>Sleeping Cat Erasers</v>
      </c>
      <c r="I3847" s="3">
        <v>1.0</v>
      </c>
      <c r="J3847" s="7">
        <v>40886.41875</v>
      </c>
      <c r="K3847" s="8" t="str">
        <f t="shared" si="4"/>
        <v>2011-12</v>
      </c>
      <c r="L3847" s="5">
        <v>0.42</v>
      </c>
      <c r="M3847" s="10"/>
      <c r="N3847" s="1" t="str">
        <f t="shared" si="5"/>
        <v>Guest</v>
      </c>
      <c r="O3847" s="1" t="s">
        <v>19</v>
      </c>
      <c r="P3847" s="9" t="str">
        <f t="shared" si="6"/>
        <v>UK</v>
      </c>
      <c r="Q3847" s="8">
        <f t="shared" si="7"/>
        <v>0.42</v>
      </c>
    </row>
    <row r="3848">
      <c r="A3848" s="1">
        <v>581492.0</v>
      </c>
      <c r="B3848" s="1" t="str">
        <f t="shared" si="1"/>
        <v>581492</v>
      </c>
      <c r="C3848" s="1" t="str">
        <f t="shared" si="2"/>
        <v>Sale</v>
      </c>
      <c r="D3848" s="1">
        <v>17038.0</v>
      </c>
      <c r="E3848" s="1" t="str">
        <f>IFERROR(__xludf.DUMMYFUNCTION("IF(LEN(D3848)&gt;4, IFERROR(REGEXEXTRACT(TO_TEXT(D3848),""\d+""),""""),"""")"),"17038")</f>
        <v>17038</v>
      </c>
      <c r="F3848" s="6" t="str">
        <f t="shared" si="3"/>
        <v>Product</v>
      </c>
      <c r="G3848" s="1" t="s">
        <v>1799</v>
      </c>
      <c r="H3848" s="6" t="str">
        <f>IFERROR(__xludf.DUMMYFUNCTION("IF(REGEXMATCH(LOWER(G3848), ""^(\?)+\s*(missing)?\s*(\?)*$""), """", PROPER(SUBSTITUTE(SUBSTITUTE(G3848, ""?"", """"), ""*"", """")))"),"Porcelain Budah Incense Holder")</f>
        <v>Porcelain Budah Incense Holder</v>
      </c>
      <c r="I3848" s="3">
        <v>1.0</v>
      </c>
      <c r="J3848" s="7">
        <v>40886.41875</v>
      </c>
      <c r="K3848" s="8" t="str">
        <f t="shared" si="4"/>
        <v>2011-12</v>
      </c>
      <c r="L3848" s="5">
        <v>0.83</v>
      </c>
      <c r="M3848" s="10"/>
      <c r="N3848" s="1" t="str">
        <f t="shared" si="5"/>
        <v>Guest</v>
      </c>
      <c r="O3848" s="1" t="s">
        <v>19</v>
      </c>
      <c r="P3848" s="9" t="str">
        <f t="shared" si="6"/>
        <v>UK</v>
      </c>
      <c r="Q3848" s="8">
        <f t="shared" si="7"/>
        <v>0.83</v>
      </c>
    </row>
    <row r="3849">
      <c r="A3849" s="1">
        <v>581492.0</v>
      </c>
      <c r="B3849" s="1" t="str">
        <f t="shared" si="1"/>
        <v>581492</v>
      </c>
      <c r="C3849" s="1" t="str">
        <f t="shared" si="2"/>
        <v>Sale</v>
      </c>
      <c r="D3849" s="1" t="s">
        <v>1506</v>
      </c>
      <c r="E3849" s="1" t="str">
        <f>IFERROR(__xludf.DUMMYFUNCTION("IF(LEN(D3849)&gt;4, IFERROR(REGEXEXTRACT(TO_TEXT(D3849),""\d+""),""""),"""")"),"17084")</f>
        <v>17084</v>
      </c>
      <c r="F3849" s="6" t="str">
        <f t="shared" si="3"/>
        <v>Product</v>
      </c>
      <c r="G3849" s="1" t="s">
        <v>1507</v>
      </c>
      <c r="H3849" s="6" t="str">
        <f>IFERROR(__xludf.DUMMYFUNCTION("IF(REGEXMATCH(LOWER(G3849), ""^(\?)+\s*(missing)?\s*(\?)*$""), """", PROPER(SUBSTITUTE(SUBSTITUTE(G3849, ""?"", """"), ""*"", """")))"),"Fairy Dreams Incense")</f>
        <v>Fairy Dreams Incense</v>
      </c>
      <c r="I3849" s="3">
        <v>1.0</v>
      </c>
      <c r="J3849" s="7">
        <v>40886.41875</v>
      </c>
      <c r="K3849" s="8" t="str">
        <f t="shared" si="4"/>
        <v>2011-12</v>
      </c>
      <c r="L3849" s="5">
        <v>0.42</v>
      </c>
      <c r="M3849" s="10"/>
      <c r="N3849" s="1" t="str">
        <f t="shared" si="5"/>
        <v>Guest</v>
      </c>
      <c r="O3849" s="1" t="s">
        <v>19</v>
      </c>
      <c r="P3849" s="9" t="str">
        <f t="shared" si="6"/>
        <v>UK</v>
      </c>
      <c r="Q3849" s="8">
        <f t="shared" si="7"/>
        <v>0.42</v>
      </c>
    </row>
    <row r="3850">
      <c r="A3850" s="1">
        <v>581492.0</v>
      </c>
      <c r="B3850" s="1" t="str">
        <f t="shared" si="1"/>
        <v>581492</v>
      </c>
      <c r="C3850" s="1" t="str">
        <f t="shared" si="2"/>
        <v>Sale</v>
      </c>
      <c r="D3850" s="1">
        <v>20659.0</v>
      </c>
      <c r="E3850" s="1" t="str">
        <f>IFERROR(__xludf.DUMMYFUNCTION("IF(LEN(D3850)&gt;4, IFERROR(REGEXEXTRACT(TO_TEXT(D3850),""\d+""),""""),"""")"),"20659")</f>
        <v>20659</v>
      </c>
      <c r="F3850" s="6" t="str">
        <f t="shared" si="3"/>
        <v>Product</v>
      </c>
      <c r="G3850" s="1" t="s">
        <v>1800</v>
      </c>
      <c r="H3850" s="6" t="str">
        <f>IFERROR(__xludf.DUMMYFUNCTION("IF(REGEXMATCH(LOWER(G3850), ""^(\?)+\s*(missing)?\s*(\?)*$""), """", PROPER(SUBSTITUTE(SUBSTITUTE(G3850, ""?"", """"), ""*"", """")))"),"Economy Luggage Tag")</f>
        <v>Economy Luggage Tag</v>
      </c>
      <c r="I3850" s="3">
        <v>7.0</v>
      </c>
      <c r="J3850" s="7">
        <v>40886.41875</v>
      </c>
      <c r="K3850" s="8" t="str">
        <f t="shared" si="4"/>
        <v>2011-12</v>
      </c>
      <c r="L3850" s="5">
        <v>2.46</v>
      </c>
      <c r="M3850" s="10"/>
      <c r="N3850" s="1" t="str">
        <f t="shared" si="5"/>
        <v>Guest</v>
      </c>
      <c r="O3850" s="1" t="s">
        <v>19</v>
      </c>
      <c r="P3850" s="9" t="str">
        <f t="shared" si="6"/>
        <v>UK</v>
      </c>
      <c r="Q3850" s="8">
        <f t="shared" si="7"/>
        <v>17.22</v>
      </c>
    </row>
    <row r="3851">
      <c r="A3851" s="1">
        <v>581492.0</v>
      </c>
      <c r="B3851" s="1" t="str">
        <f t="shared" si="1"/>
        <v>581492</v>
      </c>
      <c r="C3851" s="1" t="str">
        <f t="shared" si="2"/>
        <v>Sale</v>
      </c>
      <c r="D3851" s="1">
        <v>20665.0</v>
      </c>
      <c r="E3851" s="1" t="str">
        <f>IFERROR(__xludf.DUMMYFUNCTION("IF(LEN(D3851)&gt;4, IFERROR(REGEXEXTRACT(TO_TEXT(D3851),""\d+""),""""),"""")"),"20665")</f>
        <v>20665</v>
      </c>
      <c r="F3851" s="6" t="str">
        <f t="shared" si="3"/>
        <v>Product</v>
      </c>
      <c r="G3851" s="1" t="s">
        <v>1246</v>
      </c>
      <c r="H3851" s="6" t="str">
        <f>IFERROR(__xludf.DUMMYFUNCTION("IF(REGEXMATCH(LOWER(G3851), ""^(\?)+\s*(missing)?\s*(\?)*$""), """", PROPER(SUBSTITUTE(SUBSTITUTE(G3851, ""?"", """"), ""*"", """")))"),"Red Retrospot Purse")</f>
        <v>Red Retrospot Purse</v>
      </c>
      <c r="I3851" s="3">
        <v>2.0</v>
      </c>
      <c r="J3851" s="7">
        <v>40886.41875</v>
      </c>
      <c r="K3851" s="8" t="str">
        <f t="shared" si="4"/>
        <v>2011-12</v>
      </c>
      <c r="L3851" s="5">
        <v>5.79</v>
      </c>
      <c r="M3851" s="10"/>
      <c r="N3851" s="1" t="str">
        <f t="shared" si="5"/>
        <v>Guest</v>
      </c>
      <c r="O3851" s="1" t="s">
        <v>19</v>
      </c>
      <c r="P3851" s="9" t="str">
        <f t="shared" si="6"/>
        <v>UK</v>
      </c>
      <c r="Q3851" s="8">
        <f t="shared" si="7"/>
        <v>11.58</v>
      </c>
    </row>
    <row r="3852">
      <c r="A3852" s="1">
        <v>581492.0</v>
      </c>
      <c r="B3852" s="1" t="str">
        <f t="shared" si="1"/>
        <v>581492</v>
      </c>
      <c r="C3852" s="1" t="str">
        <f t="shared" si="2"/>
        <v>Sale</v>
      </c>
      <c r="D3852" s="1">
        <v>20668.0</v>
      </c>
      <c r="E3852" s="1" t="str">
        <f>IFERROR(__xludf.DUMMYFUNCTION("IF(LEN(D3852)&gt;4, IFERROR(REGEXEXTRACT(TO_TEXT(D3852),""\d+""),""""),"""")"),"20668")</f>
        <v>20668</v>
      </c>
      <c r="F3852" s="6" t="str">
        <f t="shared" si="3"/>
        <v>Product</v>
      </c>
      <c r="G3852" s="1" t="s">
        <v>216</v>
      </c>
      <c r="H3852" s="6" t="str">
        <f>IFERROR(__xludf.DUMMYFUNCTION("IF(REGEXMATCH(LOWER(G3852), ""^(\?)+\s*(missing)?\s*(\?)*$""), """", PROPER(SUBSTITUTE(SUBSTITUTE(G3852, ""?"", """"), ""*"", """")))"),"Disco Ball Christmas Decoration")</f>
        <v>Disco Ball Christmas Decoration</v>
      </c>
      <c r="I3852" s="3">
        <v>1.0</v>
      </c>
      <c r="J3852" s="7">
        <v>40886.41875</v>
      </c>
      <c r="K3852" s="8" t="str">
        <f t="shared" si="4"/>
        <v>2011-12</v>
      </c>
      <c r="L3852" s="5">
        <v>0.42</v>
      </c>
      <c r="M3852" s="10"/>
      <c r="N3852" s="1" t="str">
        <f t="shared" si="5"/>
        <v>Guest</v>
      </c>
      <c r="O3852" s="1" t="s">
        <v>19</v>
      </c>
      <c r="P3852" s="9" t="str">
        <f t="shared" si="6"/>
        <v>UK</v>
      </c>
      <c r="Q3852" s="8">
        <f t="shared" si="7"/>
        <v>0.42</v>
      </c>
    </row>
    <row r="3853">
      <c r="A3853" s="1">
        <v>581492.0</v>
      </c>
      <c r="B3853" s="1" t="str">
        <f t="shared" si="1"/>
        <v>581492</v>
      </c>
      <c r="C3853" s="1" t="str">
        <f t="shared" si="2"/>
        <v>Sale</v>
      </c>
      <c r="D3853" s="1">
        <v>20718.0</v>
      </c>
      <c r="E3853" s="1" t="str">
        <f>IFERROR(__xludf.DUMMYFUNCTION("IF(LEN(D3853)&gt;4, IFERROR(REGEXEXTRACT(TO_TEXT(D3853),""\d+""),""""),"""")"),"20718")</f>
        <v>20718</v>
      </c>
      <c r="F3853" s="6" t="str">
        <f t="shared" si="3"/>
        <v>Product</v>
      </c>
      <c r="G3853" s="1" t="s">
        <v>699</v>
      </c>
      <c r="H3853" s="6" t="str">
        <f>IFERROR(__xludf.DUMMYFUNCTION("IF(REGEXMATCH(LOWER(G3853), ""^(\?)+\s*(missing)?\s*(\?)*$""), """", PROPER(SUBSTITUTE(SUBSTITUTE(G3853, ""?"", """"), ""*"", """")))"),"Red Retrospot Shopper Bag")</f>
        <v>Red Retrospot Shopper Bag</v>
      </c>
      <c r="I3853" s="3">
        <v>1.0</v>
      </c>
      <c r="J3853" s="7">
        <v>40886.41875</v>
      </c>
      <c r="K3853" s="8" t="str">
        <f t="shared" si="4"/>
        <v>2011-12</v>
      </c>
      <c r="L3853" s="5">
        <v>2.46</v>
      </c>
      <c r="M3853" s="10"/>
      <c r="N3853" s="1" t="str">
        <f t="shared" si="5"/>
        <v>Guest</v>
      </c>
      <c r="O3853" s="1" t="s">
        <v>19</v>
      </c>
      <c r="P3853" s="9" t="str">
        <f t="shared" si="6"/>
        <v>UK</v>
      </c>
      <c r="Q3853" s="8">
        <f t="shared" si="7"/>
        <v>2.46</v>
      </c>
    </row>
    <row r="3854">
      <c r="A3854" s="1">
        <v>581492.0</v>
      </c>
      <c r="B3854" s="1" t="str">
        <f t="shared" si="1"/>
        <v>581492</v>
      </c>
      <c r="C3854" s="1" t="str">
        <f t="shared" si="2"/>
        <v>Sale</v>
      </c>
      <c r="D3854" s="1">
        <v>20719.0</v>
      </c>
      <c r="E3854" s="1" t="str">
        <f>IFERROR(__xludf.DUMMYFUNCTION("IF(LEN(D3854)&gt;4, IFERROR(REGEXEXTRACT(TO_TEXT(D3854),""\d+""),""""),"""")"),"20719")</f>
        <v>20719</v>
      </c>
      <c r="F3854" s="6" t="str">
        <f t="shared" si="3"/>
        <v>Product</v>
      </c>
      <c r="G3854" s="1" t="s">
        <v>700</v>
      </c>
      <c r="H3854" s="6" t="str">
        <f>IFERROR(__xludf.DUMMYFUNCTION("IF(REGEXMATCH(LOWER(G3854), ""^(\?)+\s*(missing)?\s*(\?)*$""), """", PROPER(SUBSTITUTE(SUBSTITUTE(G3854, ""?"", """"), ""*"", """")))"),"Woodland Charlotte Bag")</f>
        <v>Woodland Charlotte Bag</v>
      </c>
      <c r="I3854" s="3">
        <v>7.0</v>
      </c>
      <c r="J3854" s="7">
        <v>40886.41875</v>
      </c>
      <c r="K3854" s="8" t="str">
        <f t="shared" si="4"/>
        <v>2011-12</v>
      </c>
      <c r="L3854" s="5">
        <v>1.63</v>
      </c>
      <c r="M3854" s="10"/>
      <c r="N3854" s="1" t="str">
        <f t="shared" si="5"/>
        <v>Guest</v>
      </c>
      <c r="O3854" s="1" t="s">
        <v>19</v>
      </c>
      <c r="P3854" s="9" t="str">
        <f t="shared" si="6"/>
        <v>UK</v>
      </c>
      <c r="Q3854" s="8">
        <f t="shared" si="7"/>
        <v>11.41</v>
      </c>
    </row>
    <row r="3855">
      <c r="A3855" s="1">
        <v>581492.0</v>
      </c>
      <c r="B3855" s="1" t="str">
        <f t="shared" si="1"/>
        <v>581492</v>
      </c>
      <c r="C3855" s="1" t="str">
        <f t="shared" si="2"/>
        <v>Sale</v>
      </c>
      <c r="D3855" s="1">
        <v>20723.0</v>
      </c>
      <c r="E3855" s="1" t="str">
        <f>IFERROR(__xludf.DUMMYFUNCTION("IF(LEN(D3855)&gt;4, IFERROR(REGEXEXTRACT(TO_TEXT(D3855),""\d+""),""""),"""")"),"20723")</f>
        <v>20723</v>
      </c>
      <c r="F3855" s="6" t="str">
        <f t="shared" si="3"/>
        <v>Product</v>
      </c>
      <c r="G3855" s="1" t="s">
        <v>88</v>
      </c>
      <c r="H3855" s="6" t="str">
        <f>IFERROR(__xludf.DUMMYFUNCTION("IF(REGEXMATCH(LOWER(G3855), ""^(\?)+\s*(missing)?\s*(\?)*$""), """", PROPER(SUBSTITUTE(SUBSTITUTE(G3855, ""?"", """"), ""*"", """")))"),"Strawberry Charlotte Bag")</f>
        <v>Strawberry Charlotte Bag</v>
      </c>
      <c r="I3855" s="3">
        <v>2.0</v>
      </c>
      <c r="J3855" s="7">
        <v>40886.41875</v>
      </c>
      <c r="K3855" s="8" t="str">
        <f t="shared" si="4"/>
        <v>2011-12</v>
      </c>
      <c r="L3855" s="5">
        <v>1.63</v>
      </c>
      <c r="M3855" s="10"/>
      <c r="N3855" s="1" t="str">
        <f t="shared" si="5"/>
        <v>Guest</v>
      </c>
      <c r="O3855" s="1" t="s">
        <v>19</v>
      </c>
      <c r="P3855" s="9" t="str">
        <f t="shared" si="6"/>
        <v>UK</v>
      </c>
      <c r="Q3855" s="8">
        <f t="shared" si="7"/>
        <v>3.26</v>
      </c>
    </row>
    <row r="3856">
      <c r="A3856" s="1">
        <v>581492.0</v>
      </c>
      <c r="B3856" s="1" t="str">
        <f t="shared" si="1"/>
        <v>581492</v>
      </c>
      <c r="C3856" s="1" t="str">
        <f t="shared" si="2"/>
        <v>Sale</v>
      </c>
      <c r="D3856" s="1">
        <v>20724.0</v>
      </c>
      <c r="E3856" s="1" t="str">
        <f>IFERROR(__xludf.DUMMYFUNCTION("IF(LEN(D3856)&gt;4, IFERROR(REGEXEXTRACT(TO_TEXT(D3856),""\d+""),""""),"""")"),"20724")</f>
        <v>20724</v>
      </c>
      <c r="F3856" s="6" t="str">
        <f t="shared" si="3"/>
        <v>Product</v>
      </c>
      <c r="G3856" s="1" t="s">
        <v>701</v>
      </c>
      <c r="H3856" s="6" t="str">
        <f>IFERROR(__xludf.DUMMYFUNCTION("IF(REGEXMATCH(LOWER(G3856), ""^(\?)+\s*(missing)?\s*(\?)*$""), """", PROPER(SUBSTITUTE(SUBSTITUTE(G3856, ""?"", """"), ""*"", """")))"),"Red Retrospot Charlotte Bag")</f>
        <v>Red Retrospot Charlotte Bag</v>
      </c>
      <c r="I3856" s="3">
        <v>4.0</v>
      </c>
      <c r="J3856" s="7">
        <v>40886.41875</v>
      </c>
      <c r="K3856" s="8" t="str">
        <f t="shared" si="4"/>
        <v>2011-12</v>
      </c>
      <c r="L3856" s="5">
        <v>1.63</v>
      </c>
      <c r="M3856" s="10"/>
      <c r="N3856" s="1" t="str">
        <f t="shared" si="5"/>
        <v>Guest</v>
      </c>
      <c r="O3856" s="1" t="s">
        <v>19</v>
      </c>
      <c r="P3856" s="9" t="str">
        <f t="shared" si="6"/>
        <v>UK</v>
      </c>
      <c r="Q3856" s="8">
        <f t="shared" si="7"/>
        <v>6.52</v>
      </c>
    </row>
    <row r="3857">
      <c r="A3857" s="1">
        <v>581492.0</v>
      </c>
      <c r="B3857" s="1" t="str">
        <f t="shared" si="1"/>
        <v>581492</v>
      </c>
      <c r="C3857" s="1" t="str">
        <f t="shared" si="2"/>
        <v>Sale</v>
      </c>
      <c r="D3857" s="1">
        <v>20725.0</v>
      </c>
      <c r="E3857" s="1" t="str">
        <f>IFERROR(__xludf.DUMMYFUNCTION("IF(LEN(D3857)&gt;4, IFERROR(REGEXEXTRACT(TO_TEXT(D3857),""\d+""),""""),"""")"),"20725")</f>
        <v>20725</v>
      </c>
      <c r="F3857" s="6" t="str">
        <f t="shared" si="3"/>
        <v>Product</v>
      </c>
      <c r="G3857" s="1" t="s">
        <v>94</v>
      </c>
      <c r="H3857" s="6" t="str">
        <f>IFERROR(__xludf.DUMMYFUNCTION("IF(REGEXMATCH(LOWER(G3857), ""^(\?)+\s*(missing)?\s*(\?)*$""), """", PROPER(SUBSTITUTE(SUBSTITUTE(G3857, ""?"", """"), ""*"", """")))"),"Lunch Bag Red Retrospot")</f>
        <v>Lunch Bag Red Retrospot</v>
      </c>
      <c r="I3857" s="3">
        <v>1.0</v>
      </c>
      <c r="J3857" s="7">
        <v>40886.41875</v>
      </c>
      <c r="K3857" s="8" t="str">
        <f t="shared" si="4"/>
        <v>2011-12</v>
      </c>
      <c r="L3857" s="5">
        <v>4.13</v>
      </c>
      <c r="M3857" s="10"/>
      <c r="N3857" s="1" t="str">
        <f t="shared" si="5"/>
        <v>Guest</v>
      </c>
      <c r="O3857" s="1" t="s">
        <v>19</v>
      </c>
      <c r="P3857" s="9" t="str">
        <f t="shared" si="6"/>
        <v>UK</v>
      </c>
      <c r="Q3857" s="8">
        <f t="shared" si="7"/>
        <v>4.13</v>
      </c>
    </row>
    <row r="3858">
      <c r="A3858" s="1">
        <v>581492.0</v>
      </c>
      <c r="B3858" s="1" t="str">
        <f t="shared" si="1"/>
        <v>581492</v>
      </c>
      <c r="C3858" s="1" t="str">
        <f t="shared" si="2"/>
        <v>Sale</v>
      </c>
      <c r="D3858" s="1">
        <v>20726.0</v>
      </c>
      <c r="E3858" s="1" t="str">
        <f>IFERROR(__xludf.DUMMYFUNCTION("IF(LEN(D3858)&gt;4, IFERROR(REGEXEXTRACT(TO_TEXT(D3858),""\d+""),""""),"""")"),"20726")</f>
        <v>20726</v>
      </c>
      <c r="F3858" s="6" t="str">
        <f t="shared" si="3"/>
        <v>Product</v>
      </c>
      <c r="G3858" s="1" t="s">
        <v>321</v>
      </c>
      <c r="H3858" s="6" t="str">
        <f>IFERROR(__xludf.DUMMYFUNCTION("IF(REGEXMATCH(LOWER(G3858), ""^(\?)+\s*(missing)?\s*(\?)*$""), """", PROPER(SUBSTITUTE(SUBSTITUTE(G3858, ""?"", """"), ""*"", """")))"),"Lunch Bag Woodland")</f>
        <v>Lunch Bag Woodland</v>
      </c>
      <c r="I3858" s="3">
        <v>1.0</v>
      </c>
      <c r="J3858" s="7">
        <v>40886.41875</v>
      </c>
      <c r="K3858" s="8" t="str">
        <f t="shared" si="4"/>
        <v>2011-12</v>
      </c>
      <c r="L3858" s="5">
        <v>4.13</v>
      </c>
      <c r="M3858" s="10"/>
      <c r="N3858" s="1" t="str">
        <f t="shared" si="5"/>
        <v>Guest</v>
      </c>
      <c r="O3858" s="1" t="s">
        <v>19</v>
      </c>
      <c r="P3858" s="9" t="str">
        <f t="shared" si="6"/>
        <v>UK</v>
      </c>
      <c r="Q3858" s="8">
        <f t="shared" si="7"/>
        <v>4.13</v>
      </c>
    </row>
    <row r="3859">
      <c r="A3859" s="1">
        <v>581492.0</v>
      </c>
      <c r="B3859" s="1" t="str">
        <f t="shared" si="1"/>
        <v>581492</v>
      </c>
      <c r="C3859" s="1" t="str">
        <f t="shared" si="2"/>
        <v>Sale</v>
      </c>
      <c r="D3859" s="1">
        <v>22135.0</v>
      </c>
      <c r="E3859" s="1" t="str">
        <f>IFERROR(__xludf.DUMMYFUNCTION("IF(LEN(D3859)&gt;4, IFERROR(REGEXEXTRACT(TO_TEXT(D3859),""\d+""),""""),"""")"),"22135")</f>
        <v>22135</v>
      </c>
      <c r="F3859" s="6" t="str">
        <f t="shared" si="3"/>
        <v>Product</v>
      </c>
      <c r="G3859" s="1" t="s">
        <v>1801</v>
      </c>
      <c r="H3859" s="6" t="str">
        <f>IFERROR(__xludf.DUMMYFUNCTION("IF(REGEXMATCH(LOWER(G3859), ""^(\?)+\s*(missing)?\s*(\?)*$""), """", PROPER(SUBSTITUTE(SUBSTITUTE(G3859, ""?"", """"), ""*"", """")))"),"Mini Ladle Love Heart Pink")</f>
        <v>Mini Ladle Love Heart Pink</v>
      </c>
      <c r="I3859" s="3">
        <v>6.0</v>
      </c>
      <c r="J3859" s="7">
        <v>40886.41875</v>
      </c>
      <c r="K3859" s="8" t="str">
        <f t="shared" si="4"/>
        <v>2011-12</v>
      </c>
      <c r="L3859" s="5">
        <v>0.83</v>
      </c>
      <c r="M3859" s="10"/>
      <c r="N3859" s="1" t="str">
        <f t="shared" si="5"/>
        <v>Guest</v>
      </c>
      <c r="O3859" s="1" t="s">
        <v>19</v>
      </c>
      <c r="P3859" s="9" t="str">
        <f t="shared" si="6"/>
        <v>UK</v>
      </c>
      <c r="Q3859" s="8">
        <f t="shared" si="7"/>
        <v>4.98</v>
      </c>
    </row>
    <row r="3860">
      <c r="A3860" s="1">
        <v>581492.0</v>
      </c>
      <c r="B3860" s="1" t="str">
        <f t="shared" si="1"/>
        <v>581492</v>
      </c>
      <c r="C3860" s="1" t="str">
        <f t="shared" si="2"/>
        <v>Sale</v>
      </c>
      <c r="D3860" s="1">
        <v>22138.0</v>
      </c>
      <c r="E3860" s="1" t="str">
        <f>IFERROR(__xludf.DUMMYFUNCTION("IF(LEN(D3860)&gt;4, IFERROR(REGEXEXTRACT(TO_TEXT(D3860),""\d+""),""""),"""")"),"22138")</f>
        <v>22138</v>
      </c>
      <c r="F3860" s="6" t="str">
        <f t="shared" si="3"/>
        <v>Product</v>
      </c>
      <c r="G3860" s="1" t="s">
        <v>735</v>
      </c>
      <c r="H3860" s="6" t="str">
        <f>IFERROR(__xludf.DUMMYFUNCTION("IF(REGEXMATCH(LOWER(G3860), ""^(\?)+\s*(missing)?\s*(\?)*$""), """", PROPER(SUBSTITUTE(SUBSTITUTE(G3860, ""?"", """"), ""*"", """")))"),"Baking Set 9 Piece Retrospot")</f>
        <v>Baking Set 9 Piece Retrospot</v>
      </c>
      <c r="I3860" s="3">
        <v>1.0</v>
      </c>
      <c r="J3860" s="7">
        <v>40886.41875</v>
      </c>
      <c r="K3860" s="8" t="str">
        <f t="shared" si="4"/>
        <v>2011-12</v>
      </c>
      <c r="L3860" s="5">
        <v>10.79</v>
      </c>
      <c r="M3860" s="10"/>
      <c r="N3860" s="1" t="str">
        <f t="shared" si="5"/>
        <v>Guest</v>
      </c>
      <c r="O3860" s="1" t="s">
        <v>19</v>
      </c>
      <c r="P3860" s="9" t="str">
        <f t="shared" si="6"/>
        <v>UK</v>
      </c>
      <c r="Q3860" s="8">
        <f t="shared" si="7"/>
        <v>10.79</v>
      </c>
    </row>
    <row r="3861">
      <c r="A3861" s="1">
        <v>581492.0</v>
      </c>
      <c r="B3861" s="1" t="str">
        <f t="shared" si="1"/>
        <v>581492</v>
      </c>
      <c r="C3861" s="1" t="str">
        <f t="shared" si="2"/>
        <v>Sale</v>
      </c>
      <c r="D3861" s="1">
        <v>22141.0</v>
      </c>
      <c r="E3861" s="1" t="str">
        <f>IFERROR(__xludf.DUMMYFUNCTION("IF(LEN(D3861)&gt;4, IFERROR(REGEXEXTRACT(TO_TEXT(D3861),""\d+""),""""),"""")"),"22141")</f>
        <v>22141</v>
      </c>
      <c r="F3861" s="6" t="str">
        <f t="shared" si="3"/>
        <v>Product</v>
      </c>
      <c r="G3861" s="1" t="s">
        <v>446</v>
      </c>
      <c r="H3861" s="6" t="str">
        <f>IFERROR(__xludf.DUMMYFUNCTION("IF(REGEXMATCH(LOWER(G3861), ""^(\?)+\s*(missing)?\s*(\?)*$""), """", PROPER(SUBSTITUTE(SUBSTITUTE(G3861, ""?"", """"), ""*"", """")))"),"Christmas Craft Tree Top Angel")</f>
        <v>Christmas Craft Tree Top Angel</v>
      </c>
      <c r="I3861" s="3">
        <v>2.0</v>
      </c>
      <c r="J3861" s="7">
        <v>40886.41875</v>
      </c>
      <c r="K3861" s="8" t="str">
        <f t="shared" si="4"/>
        <v>2011-12</v>
      </c>
      <c r="L3861" s="5">
        <v>4.13</v>
      </c>
      <c r="M3861" s="10"/>
      <c r="N3861" s="1" t="str">
        <f t="shared" si="5"/>
        <v>Guest</v>
      </c>
      <c r="O3861" s="1" t="s">
        <v>19</v>
      </c>
      <c r="P3861" s="9" t="str">
        <f t="shared" si="6"/>
        <v>UK</v>
      </c>
      <c r="Q3861" s="8">
        <f t="shared" si="7"/>
        <v>8.26</v>
      </c>
    </row>
    <row r="3862">
      <c r="A3862" s="1">
        <v>581492.0</v>
      </c>
      <c r="B3862" s="1" t="str">
        <f t="shared" si="1"/>
        <v>581492</v>
      </c>
      <c r="C3862" s="1" t="str">
        <f t="shared" si="2"/>
        <v>Sale</v>
      </c>
      <c r="D3862" s="1">
        <v>22150.0</v>
      </c>
      <c r="E3862" s="1" t="str">
        <f>IFERROR(__xludf.DUMMYFUNCTION("IF(LEN(D3862)&gt;4, IFERROR(REGEXEXTRACT(TO_TEXT(D3862),""\d+""),""""),"""")"),"22150")</f>
        <v>22150</v>
      </c>
      <c r="F3862" s="6" t="str">
        <f t="shared" si="3"/>
        <v>Product</v>
      </c>
      <c r="G3862" s="1" t="s">
        <v>235</v>
      </c>
      <c r="H3862" s="6" t="str">
        <f>IFERROR(__xludf.DUMMYFUNCTION("IF(REGEXMATCH(LOWER(G3862), ""^(\?)+\s*(missing)?\s*(\?)*$""), """", PROPER(SUBSTITUTE(SUBSTITUTE(G3862, ""?"", """"), ""*"", """")))"),"3 Stripey Mice Feltcraft")</f>
        <v>3 Stripey Mice Feltcraft</v>
      </c>
      <c r="I3862" s="3">
        <v>2.0</v>
      </c>
      <c r="J3862" s="7">
        <v>40886.41875</v>
      </c>
      <c r="K3862" s="8" t="str">
        <f t="shared" si="4"/>
        <v>2011-12</v>
      </c>
      <c r="L3862" s="5">
        <v>4.13</v>
      </c>
      <c r="M3862" s="10"/>
      <c r="N3862" s="1" t="str">
        <f t="shared" si="5"/>
        <v>Guest</v>
      </c>
      <c r="O3862" s="1" t="s">
        <v>19</v>
      </c>
      <c r="P3862" s="9" t="str">
        <f t="shared" si="6"/>
        <v>UK</v>
      </c>
      <c r="Q3862" s="8">
        <f t="shared" si="7"/>
        <v>8.26</v>
      </c>
    </row>
    <row r="3863">
      <c r="A3863" s="1">
        <v>581492.0</v>
      </c>
      <c r="B3863" s="1" t="str">
        <f t="shared" si="1"/>
        <v>581492</v>
      </c>
      <c r="C3863" s="1" t="str">
        <f t="shared" si="2"/>
        <v>Sale</v>
      </c>
      <c r="D3863" s="1">
        <v>22153.0</v>
      </c>
      <c r="E3863" s="1" t="str">
        <f>IFERROR(__xludf.DUMMYFUNCTION("IF(LEN(D3863)&gt;4, IFERROR(REGEXEXTRACT(TO_TEXT(D3863),""\d+""),""""),"""")"),"22153")</f>
        <v>22153</v>
      </c>
      <c r="F3863" s="6" t="str">
        <f t="shared" si="3"/>
        <v>Product</v>
      </c>
      <c r="G3863" s="1" t="s">
        <v>427</v>
      </c>
      <c r="H3863" s="6" t="str">
        <f>IFERROR(__xludf.DUMMYFUNCTION("IF(REGEXMATCH(LOWER(G3863), ""^(\?)+\s*(missing)?\s*(\?)*$""), """", PROPER(SUBSTITUTE(SUBSTITUTE(G3863, ""?"", """"), ""*"", """")))"),"Angel Decoration Stars On Dress")</f>
        <v>Angel Decoration Stars On Dress</v>
      </c>
      <c r="I3863" s="3">
        <v>2.0</v>
      </c>
      <c r="J3863" s="7">
        <v>40886.41875</v>
      </c>
      <c r="K3863" s="8" t="str">
        <f t="shared" si="4"/>
        <v>2011-12</v>
      </c>
      <c r="L3863" s="5">
        <v>0.83</v>
      </c>
      <c r="M3863" s="10"/>
      <c r="N3863" s="1" t="str">
        <f t="shared" si="5"/>
        <v>Guest</v>
      </c>
      <c r="O3863" s="1" t="s">
        <v>19</v>
      </c>
      <c r="P3863" s="9" t="str">
        <f t="shared" si="6"/>
        <v>UK</v>
      </c>
      <c r="Q3863" s="8">
        <f t="shared" si="7"/>
        <v>1.66</v>
      </c>
    </row>
    <row r="3864">
      <c r="A3864" s="1">
        <v>581492.0</v>
      </c>
      <c r="B3864" s="1" t="str">
        <f t="shared" si="1"/>
        <v>581492</v>
      </c>
      <c r="C3864" s="1" t="str">
        <f t="shared" si="2"/>
        <v>Sale</v>
      </c>
      <c r="D3864" s="1">
        <v>22154.0</v>
      </c>
      <c r="E3864" s="1" t="str">
        <f>IFERROR(__xludf.DUMMYFUNCTION("IF(LEN(D3864)&gt;4, IFERROR(REGEXEXTRACT(TO_TEXT(D3864),""\d+""),""""),"""")"),"22154")</f>
        <v>22154</v>
      </c>
      <c r="F3864" s="6" t="str">
        <f t="shared" si="3"/>
        <v>Product</v>
      </c>
      <c r="G3864" s="1" t="s">
        <v>1802</v>
      </c>
      <c r="H3864" s="6" t="str">
        <f>IFERROR(__xludf.DUMMYFUNCTION("IF(REGEXMATCH(LOWER(G3864), ""^(\?)+\s*(missing)?\s*(\?)*$""), """", PROPER(SUBSTITUTE(SUBSTITUTE(G3864, ""?"", """"), ""*"", """")))"),"Angel Decoration 3 Buttons")</f>
        <v>Angel Decoration 3 Buttons</v>
      </c>
      <c r="I3864" s="3">
        <v>3.0</v>
      </c>
      <c r="J3864" s="7">
        <v>40886.41875</v>
      </c>
      <c r="K3864" s="8" t="str">
        <f t="shared" si="4"/>
        <v>2011-12</v>
      </c>
      <c r="L3864" s="5">
        <v>0.83</v>
      </c>
      <c r="M3864" s="10"/>
      <c r="N3864" s="1" t="str">
        <f t="shared" si="5"/>
        <v>Guest</v>
      </c>
      <c r="O3864" s="1" t="s">
        <v>19</v>
      </c>
      <c r="P3864" s="9" t="str">
        <f t="shared" si="6"/>
        <v>UK</v>
      </c>
      <c r="Q3864" s="8">
        <f t="shared" si="7"/>
        <v>2.49</v>
      </c>
    </row>
    <row r="3865">
      <c r="A3865" s="1">
        <v>581492.0</v>
      </c>
      <c r="B3865" s="1" t="str">
        <f t="shared" si="1"/>
        <v>581492</v>
      </c>
      <c r="C3865" s="1" t="str">
        <f t="shared" si="2"/>
        <v>Sale</v>
      </c>
      <c r="D3865" s="1">
        <v>22155.0</v>
      </c>
      <c r="E3865" s="1" t="str">
        <f>IFERROR(__xludf.DUMMYFUNCTION("IF(LEN(D3865)&gt;4, IFERROR(REGEXEXTRACT(TO_TEXT(D3865),""\d+""),""""),"""")"),"22155")</f>
        <v>22155</v>
      </c>
      <c r="F3865" s="6" t="str">
        <f t="shared" si="3"/>
        <v>Product</v>
      </c>
      <c r="G3865" s="1" t="s">
        <v>1803</v>
      </c>
      <c r="H3865" s="6" t="str">
        <f>IFERROR(__xludf.DUMMYFUNCTION("IF(REGEXMATCH(LOWER(G3865), ""^(\?)+\s*(missing)?\s*(\?)*$""), """", PROPER(SUBSTITUTE(SUBSTITUTE(G3865, ""?"", """"), ""*"", """")))"),"Star Decoration Rustic")</f>
        <v>Star Decoration Rustic</v>
      </c>
      <c r="I3865" s="3">
        <v>7.0</v>
      </c>
      <c r="J3865" s="7">
        <v>40886.41875</v>
      </c>
      <c r="K3865" s="8" t="str">
        <f t="shared" si="4"/>
        <v>2011-12</v>
      </c>
      <c r="L3865" s="5">
        <v>0.83</v>
      </c>
      <c r="M3865" s="10"/>
      <c r="N3865" s="1" t="str">
        <f t="shared" si="5"/>
        <v>Guest</v>
      </c>
      <c r="O3865" s="1" t="s">
        <v>19</v>
      </c>
      <c r="P3865" s="9" t="str">
        <f t="shared" si="6"/>
        <v>UK</v>
      </c>
      <c r="Q3865" s="8">
        <f t="shared" si="7"/>
        <v>5.81</v>
      </c>
    </row>
    <row r="3866">
      <c r="A3866" s="1">
        <v>581492.0</v>
      </c>
      <c r="B3866" s="1" t="str">
        <f t="shared" si="1"/>
        <v>581492</v>
      </c>
      <c r="C3866" s="1" t="str">
        <f t="shared" si="2"/>
        <v>Sale</v>
      </c>
      <c r="D3866" s="1">
        <v>22156.0</v>
      </c>
      <c r="E3866" s="1" t="str">
        <f>IFERROR(__xludf.DUMMYFUNCTION("IF(LEN(D3866)&gt;4, IFERROR(REGEXEXTRACT(TO_TEXT(D3866),""\d+""),""""),"""")"),"22156")</f>
        <v>22156</v>
      </c>
      <c r="F3866" s="6" t="str">
        <f t="shared" si="3"/>
        <v>Product</v>
      </c>
      <c r="G3866" s="1" t="s">
        <v>1804</v>
      </c>
      <c r="H3866" s="6" t="str">
        <f>IFERROR(__xludf.DUMMYFUNCTION("IF(REGEXMATCH(LOWER(G3866), ""^(\?)+\s*(missing)?\s*(\?)*$""), """", PROPER(SUBSTITUTE(SUBSTITUTE(G3866, ""?"", """"), ""*"", """")))"),"Heart Decoration With Pearls")</f>
        <v>Heart Decoration With Pearls</v>
      </c>
      <c r="I3866" s="3">
        <v>4.0</v>
      </c>
      <c r="J3866" s="7">
        <v>40886.41875</v>
      </c>
      <c r="K3866" s="8" t="str">
        <f t="shared" si="4"/>
        <v>2011-12</v>
      </c>
      <c r="L3866" s="5">
        <v>1.63</v>
      </c>
      <c r="M3866" s="10"/>
      <c r="N3866" s="1" t="str">
        <f t="shared" si="5"/>
        <v>Guest</v>
      </c>
      <c r="O3866" s="1" t="s">
        <v>19</v>
      </c>
      <c r="P3866" s="9" t="str">
        <f t="shared" si="6"/>
        <v>UK</v>
      </c>
      <c r="Q3866" s="8">
        <f t="shared" si="7"/>
        <v>6.52</v>
      </c>
    </row>
    <row r="3867">
      <c r="A3867" s="1">
        <v>581492.0</v>
      </c>
      <c r="B3867" s="1" t="str">
        <f t="shared" si="1"/>
        <v>581492</v>
      </c>
      <c r="C3867" s="1" t="str">
        <f t="shared" si="2"/>
        <v>Sale</v>
      </c>
      <c r="D3867" s="1">
        <v>22163.0</v>
      </c>
      <c r="E3867" s="1" t="str">
        <f>IFERROR(__xludf.DUMMYFUNCTION("IF(LEN(D3867)&gt;4, IFERROR(REGEXEXTRACT(TO_TEXT(D3867),""\d+""),""""),"""")"),"22163")</f>
        <v>22163</v>
      </c>
      <c r="F3867" s="6" t="str">
        <f t="shared" si="3"/>
        <v>Product</v>
      </c>
      <c r="G3867" s="1" t="s">
        <v>1805</v>
      </c>
      <c r="H3867" s="6" t="str">
        <f>IFERROR(__xludf.DUMMYFUNCTION("IF(REGEXMATCH(LOWER(G3867), ""^(\?)+\s*(missing)?\s*(\?)*$""), """", PROPER(SUBSTITUTE(SUBSTITUTE(G3867, ""?"", """"), ""*"", """")))"),"Heart String Memo Holder Hanging")</f>
        <v>Heart String Memo Holder Hanging</v>
      </c>
      <c r="I3867" s="3">
        <v>9.0</v>
      </c>
      <c r="J3867" s="7">
        <v>40886.41875</v>
      </c>
      <c r="K3867" s="8" t="str">
        <f t="shared" si="4"/>
        <v>2011-12</v>
      </c>
      <c r="L3867" s="5">
        <v>1.63</v>
      </c>
      <c r="M3867" s="10"/>
      <c r="N3867" s="1" t="str">
        <f t="shared" si="5"/>
        <v>Guest</v>
      </c>
      <c r="O3867" s="1" t="s">
        <v>19</v>
      </c>
      <c r="P3867" s="9" t="str">
        <f t="shared" si="6"/>
        <v>UK</v>
      </c>
      <c r="Q3867" s="8">
        <f t="shared" si="7"/>
        <v>14.67</v>
      </c>
    </row>
    <row r="3868">
      <c r="A3868" s="1">
        <v>581492.0</v>
      </c>
      <c r="B3868" s="1" t="str">
        <f t="shared" si="1"/>
        <v>581492</v>
      </c>
      <c r="C3868" s="1" t="str">
        <f t="shared" si="2"/>
        <v>Sale</v>
      </c>
      <c r="D3868" s="1">
        <v>22165.0</v>
      </c>
      <c r="E3868" s="1" t="str">
        <f>IFERROR(__xludf.DUMMYFUNCTION("IF(LEN(D3868)&gt;4, IFERROR(REGEXEXTRACT(TO_TEXT(D3868),""\d+""),""""),"""")"),"22165")</f>
        <v>22165</v>
      </c>
      <c r="F3868" s="6" t="str">
        <f t="shared" si="3"/>
        <v>Product</v>
      </c>
      <c r="G3868" s="1" t="s">
        <v>1544</v>
      </c>
      <c r="H3868" s="6" t="str">
        <f>IFERROR(__xludf.DUMMYFUNCTION("IF(REGEXMATCH(LOWER(G3868), ""^(\?)+\s*(missing)?\s*(\?)*$""), """", PROPER(SUBSTITUTE(SUBSTITUTE(G3868, ""?"", """"), ""*"", """")))"),"Diamante Heart Shaped Wall Mirror,")</f>
        <v>Diamante Heart Shaped Wall Mirror,</v>
      </c>
      <c r="I3868" s="3">
        <v>1.0</v>
      </c>
      <c r="J3868" s="7">
        <v>40886.41875</v>
      </c>
      <c r="K3868" s="8" t="str">
        <f t="shared" si="4"/>
        <v>2011-12</v>
      </c>
      <c r="L3868" s="5">
        <v>10.79</v>
      </c>
      <c r="M3868" s="10"/>
      <c r="N3868" s="1" t="str">
        <f t="shared" si="5"/>
        <v>Guest</v>
      </c>
      <c r="O3868" s="1" t="s">
        <v>19</v>
      </c>
      <c r="P3868" s="9" t="str">
        <f t="shared" si="6"/>
        <v>UK</v>
      </c>
      <c r="Q3868" s="8">
        <f t="shared" si="7"/>
        <v>10.79</v>
      </c>
    </row>
    <row r="3869">
      <c r="A3869" s="1">
        <v>581492.0</v>
      </c>
      <c r="B3869" s="1" t="str">
        <f t="shared" si="1"/>
        <v>581492</v>
      </c>
      <c r="C3869" s="1" t="str">
        <f t="shared" si="2"/>
        <v>Sale</v>
      </c>
      <c r="D3869" s="1">
        <v>22167.0</v>
      </c>
      <c r="E3869" s="1" t="str">
        <f>IFERROR(__xludf.DUMMYFUNCTION("IF(LEN(D3869)&gt;4, IFERROR(REGEXEXTRACT(TO_TEXT(D3869),""\d+""),""""),"""")"),"22167")</f>
        <v>22167</v>
      </c>
      <c r="F3869" s="6" t="str">
        <f t="shared" si="3"/>
        <v>Product</v>
      </c>
      <c r="G3869" s="1" t="s">
        <v>1582</v>
      </c>
      <c r="H3869" s="6" t="str">
        <f>IFERROR(__xludf.DUMMYFUNCTION("IF(REGEXMATCH(LOWER(G3869), ""^(\?)+\s*(missing)?\s*(\?)*$""), """", PROPER(SUBSTITUTE(SUBSTITUTE(G3869, ""?"", """"), ""*"", """")))"),"Oval Wall Mirror Diamante")</f>
        <v>Oval Wall Mirror Diamante</v>
      </c>
      <c r="I3869" s="3">
        <v>1.0</v>
      </c>
      <c r="J3869" s="7">
        <v>40886.41875</v>
      </c>
      <c r="K3869" s="8" t="str">
        <f t="shared" si="4"/>
        <v>2011-12</v>
      </c>
      <c r="L3869" s="5">
        <v>8.29</v>
      </c>
      <c r="M3869" s="10"/>
      <c r="N3869" s="1" t="str">
        <f t="shared" si="5"/>
        <v>Guest</v>
      </c>
      <c r="O3869" s="1" t="s">
        <v>19</v>
      </c>
      <c r="P3869" s="9" t="str">
        <f t="shared" si="6"/>
        <v>UK</v>
      </c>
      <c r="Q3869" s="8">
        <f t="shared" si="7"/>
        <v>8.29</v>
      </c>
    </row>
    <row r="3870">
      <c r="A3870" s="1">
        <v>581492.0</v>
      </c>
      <c r="B3870" s="1" t="str">
        <f t="shared" si="1"/>
        <v>581492</v>
      </c>
      <c r="C3870" s="1" t="str">
        <f t="shared" si="2"/>
        <v>Sale</v>
      </c>
      <c r="D3870" s="1">
        <v>22170.0</v>
      </c>
      <c r="E3870" s="1" t="str">
        <f>IFERROR(__xludf.DUMMYFUNCTION("IF(LEN(D3870)&gt;4, IFERROR(REGEXEXTRACT(TO_TEXT(D3870),""\d+""),""""),"""")"),"22170")</f>
        <v>22170</v>
      </c>
      <c r="F3870" s="6" t="str">
        <f t="shared" si="3"/>
        <v>Product</v>
      </c>
      <c r="G3870" s="1" t="s">
        <v>978</v>
      </c>
      <c r="H3870" s="6" t="str">
        <f>IFERROR(__xludf.DUMMYFUNCTION("IF(REGEXMATCH(LOWER(G3870), ""^(\?)+\s*(missing)?\s*(\?)*$""), """", PROPER(SUBSTITUTE(SUBSTITUTE(G3870, ""?"", """"), ""*"", """")))"),"Picture Frame Wood Triple Portrait")</f>
        <v>Picture Frame Wood Triple Portrait</v>
      </c>
      <c r="I3870" s="3">
        <v>1.0</v>
      </c>
      <c r="J3870" s="7">
        <v>40886.41875</v>
      </c>
      <c r="K3870" s="8" t="str">
        <f t="shared" si="4"/>
        <v>2011-12</v>
      </c>
      <c r="L3870" s="5">
        <v>13.29</v>
      </c>
      <c r="M3870" s="10"/>
      <c r="N3870" s="1" t="str">
        <f t="shared" si="5"/>
        <v>Guest</v>
      </c>
      <c r="O3870" s="1" t="s">
        <v>19</v>
      </c>
      <c r="P3870" s="9" t="str">
        <f t="shared" si="6"/>
        <v>UK</v>
      </c>
      <c r="Q3870" s="8">
        <f t="shared" si="7"/>
        <v>13.29</v>
      </c>
    </row>
    <row r="3871">
      <c r="A3871" s="1">
        <v>581492.0</v>
      </c>
      <c r="B3871" s="1" t="str">
        <f t="shared" si="1"/>
        <v>581492</v>
      </c>
      <c r="C3871" s="1" t="str">
        <f t="shared" si="2"/>
        <v>Sale</v>
      </c>
      <c r="D3871" s="1">
        <v>22173.0</v>
      </c>
      <c r="E3871" s="1" t="str">
        <f>IFERROR(__xludf.DUMMYFUNCTION("IF(LEN(D3871)&gt;4, IFERROR(REGEXEXTRACT(TO_TEXT(D3871),""\d+""),""""),"""")"),"22173")</f>
        <v>22173</v>
      </c>
      <c r="F3871" s="6" t="str">
        <f t="shared" si="3"/>
        <v>Product</v>
      </c>
      <c r="G3871" s="1" t="s">
        <v>717</v>
      </c>
      <c r="H3871" s="6" t="str">
        <f>IFERROR(__xludf.DUMMYFUNCTION("IF(REGEXMATCH(LOWER(G3871), ""^(\?)+\s*(missing)?\s*(\?)*$""), """", PROPER(SUBSTITUTE(SUBSTITUTE(G3871, ""?"", """"), ""*"", """")))"),"Metal 4 Hook Hanger French Chateau")</f>
        <v>Metal 4 Hook Hanger French Chateau</v>
      </c>
      <c r="I3871" s="3">
        <v>2.0</v>
      </c>
      <c r="J3871" s="7">
        <v>40886.41875</v>
      </c>
      <c r="K3871" s="8" t="str">
        <f t="shared" si="4"/>
        <v>2011-12</v>
      </c>
      <c r="L3871" s="5">
        <v>5.79</v>
      </c>
      <c r="M3871" s="10"/>
      <c r="N3871" s="1" t="str">
        <f t="shared" si="5"/>
        <v>Guest</v>
      </c>
      <c r="O3871" s="1" t="s">
        <v>19</v>
      </c>
      <c r="P3871" s="9" t="str">
        <f t="shared" si="6"/>
        <v>UK</v>
      </c>
      <c r="Q3871" s="8">
        <f t="shared" si="7"/>
        <v>11.58</v>
      </c>
    </row>
    <row r="3872">
      <c r="A3872" s="1">
        <v>581492.0</v>
      </c>
      <c r="B3872" s="1" t="str">
        <f t="shared" si="1"/>
        <v>581492</v>
      </c>
      <c r="C3872" s="1" t="str">
        <f t="shared" si="2"/>
        <v>Sale</v>
      </c>
      <c r="D3872" s="1">
        <v>22174.0</v>
      </c>
      <c r="E3872" s="1" t="str">
        <f>IFERROR(__xludf.DUMMYFUNCTION("IF(LEN(D3872)&gt;4, IFERROR(REGEXEXTRACT(TO_TEXT(D3872),""\d+""),""""),"""")"),"22174")</f>
        <v>22174</v>
      </c>
      <c r="F3872" s="6" t="str">
        <f t="shared" si="3"/>
        <v>Product</v>
      </c>
      <c r="G3872" s="1" t="s">
        <v>226</v>
      </c>
      <c r="H3872" s="6" t="str">
        <f>IFERROR(__xludf.DUMMYFUNCTION("IF(REGEXMATCH(LOWER(G3872), ""^(\?)+\s*(missing)?\s*(\?)*$""), """", PROPER(SUBSTITUTE(SUBSTITUTE(G3872, ""?"", """"), ""*"", """")))"),"Photo Cube")</f>
        <v>Photo Cube</v>
      </c>
      <c r="I3872" s="3">
        <v>7.0</v>
      </c>
      <c r="J3872" s="7">
        <v>40886.41875</v>
      </c>
      <c r="K3872" s="8" t="str">
        <f t="shared" si="4"/>
        <v>2011-12</v>
      </c>
      <c r="L3872" s="5">
        <v>3.29</v>
      </c>
      <c r="M3872" s="10"/>
      <c r="N3872" s="1" t="str">
        <f t="shared" si="5"/>
        <v>Guest</v>
      </c>
      <c r="O3872" s="1" t="s">
        <v>19</v>
      </c>
      <c r="P3872" s="9" t="str">
        <f t="shared" si="6"/>
        <v>UK</v>
      </c>
      <c r="Q3872" s="8">
        <f t="shared" si="7"/>
        <v>23.03</v>
      </c>
    </row>
    <row r="3873">
      <c r="A3873" s="1">
        <v>581492.0</v>
      </c>
      <c r="B3873" s="1" t="str">
        <f t="shared" si="1"/>
        <v>581492</v>
      </c>
      <c r="C3873" s="1" t="str">
        <f t="shared" si="2"/>
        <v>Sale</v>
      </c>
      <c r="D3873" s="1">
        <v>22178.0</v>
      </c>
      <c r="E3873" s="1" t="str">
        <f>IFERROR(__xludf.DUMMYFUNCTION("IF(LEN(D3873)&gt;4, IFERROR(REGEXEXTRACT(TO_TEXT(D3873),""\d+""),""""),"""")"),"22178")</f>
        <v>22178</v>
      </c>
      <c r="F3873" s="6" t="str">
        <f t="shared" si="3"/>
        <v>Product</v>
      </c>
      <c r="G3873" s="1" t="s">
        <v>369</v>
      </c>
      <c r="H3873" s="6" t="str">
        <f>IFERROR(__xludf.DUMMYFUNCTION("IF(REGEXMATCH(LOWER(G3873), ""^(\?)+\s*(missing)?\s*(\?)*$""), """", PROPER(SUBSTITUTE(SUBSTITUTE(G3873, ""?"", """"), ""*"", """")))"),"Victorian Glass Hanging T-Light")</f>
        <v>Victorian Glass Hanging T-Light</v>
      </c>
      <c r="I3873" s="3">
        <v>5.0</v>
      </c>
      <c r="J3873" s="7">
        <v>40886.41875</v>
      </c>
      <c r="K3873" s="8" t="str">
        <f t="shared" si="4"/>
        <v>2011-12</v>
      </c>
      <c r="L3873" s="5">
        <v>2.46</v>
      </c>
      <c r="M3873" s="10"/>
      <c r="N3873" s="1" t="str">
        <f t="shared" si="5"/>
        <v>Guest</v>
      </c>
      <c r="O3873" s="1" t="s">
        <v>19</v>
      </c>
      <c r="P3873" s="9" t="str">
        <f t="shared" si="6"/>
        <v>UK</v>
      </c>
      <c r="Q3873" s="8">
        <f t="shared" si="7"/>
        <v>12.3</v>
      </c>
    </row>
    <row r="3874">
      <c r="A3874" s="1">
        <v>581492.0</v>
      </c>
      <c r="B3874" s="1" t="str">
        <f t="shared" si="1"/>
        <v>581492</v>
      </c>
      <c r="C3874" s="1" t="str">
        <f t="shared" si="2"/>
        <v>Sale</v>
      </c>
      <c r="D3874" s="1">
        <v>22186.0</v>
      </c>
      <c r="E3874" s="1" t="str">
        <f>IFERROR(__xludf.DUMMYFUNCTION("IF(LEN(D3874)&gt;4, IFERROR(REGEXEXTRACT(TO_TEXT(D3874),""\d+""),""""),"""")"),"22186")</f>
        <v>22186</v>
      </c>
      <c r="F3874" s="6" t="str">
        <f t="shared" si="3"/>
        <v>Product</v>
      </c>
      <c r="G3874" s="1" t="s">
        <v>471</v>
      </c>
      <c r="H3874" s="6" t="str">
        <f>IFERROR(__xludf.DUMMYFUNCTION("IF(REGEXMATCH(LOWER(G3874), ""^(\?)+\s*(missing)?\s*(\?)*$""), """", PROPER(SUBSTITUTE(SUBSTITUTE(G3874, ""?"", """"), ""*"", """")))"),"Red Star Card Holder")</f>
        <v>Red Star Card Holder</v>
      </c>
      <c r="I3874" s="3">
        <v>2.0</v>
      </c>
      <c r="J3874" s="7">
        <v>40886.41875</v>
      </c>
      <c r="K3874" s="8" t="str">
        <f t="shared" si="4"/>
        <v>2011-12</v>
      </c>
      <c r="L3874" s="5">
        <v>5.79</v>
      </c>
      <c r="M3874" s="10"/>
      <c r="N3874" s="1" t="str">
        <f t="shared" si="5"/>
        <v>Guest</v>
      </c>
      <c r="O3874" s="1" t="s">
        <v>19</v>
      </c>
      <c r="P3874" s="9" t="str">
        <f t="shared" si="6"/>
        <v>UK</v>
      </c>
      <c r="Q3874" s="8">
        <f t="shared" si="7"/>
        <v>11.58</v>
      </c>
    </row>
    <row r="3875">
      <c r="A3875" s="1">
        <v>581492.0</v>
      </c>
      <c r="B3875" s="1" t="str">
        <f t="shared" si="1"/>
        <v>581492</v>
      </c>
      <c r="C3875" s="1" t="str">
        <f t="shared" si="2"/>
        <v>Sale</v>
      </c>
      <c r="D3875" s="1">
        <v>22190.0</v>
      </c>
      <c r="E3875" s="1" t="str">
        <f>IFERROR(__xludf.DUMMYFUNCTION("IF(LEN(D3875)&gt;4, IFERROR(REGEXEXTRACT(TO_TEXT(D3875),""\d+""),""""),"""")"),"22190")</f>
        <v>22190</v>
      </c>
      <c r="F3875" s="6" t="str">
        <f t="shared" si="3"/>
        <v>Product</v>
      </c>
      <c r="G3875" s="1" t="s">
        <v>1567</v>
      </c>
      <c r="H3875" s="6" t="str">
        <f>IFERROR(__xludf.DUMMYFUNCTION("IF(REGEXMATCH(LOWER(G3875), ""^(\?)+\s*(missing)?\s*(\?)*$""), """", PROPER(SUBSTITUTE(SUBSTITUTE(G3875, ""?"", """"), ""*"", """")))"),"Local Cafe Mug")</f>
        <v>Local Cafe Mug</v>
      </c>
      <c r="I3875" s="3">
        <v>3.0</v>
      </c>
      <c r="J3875" s="7">
        <v>40886.41875</v>
      </c>
      <c r="K3875" s="8" t="str">
        <f t="shared" si="4"/>
        <v>2011-12</v>
      </c>
      <c r="L3875" s="5">
        <v>2.46</v>
      </c>
      <c r="M3875" s="10"/>
      <c r="N3875" s="1" t="str">
        <f t="shared" si="5"/>
        <v>Guest</v>
      </c>
      <c r="O3875" s="1" t="s">
        <v>19</v>
      </c>
      <c r="P3875" s="9" t="str">
        <f t="shared" si="6"/>
        <v>UK</v>
      </c>
      <c r="Q3875" s="8">
        <f t="shared" si="7"/>
        <v>7.38</v>
      </c>
    </row>
    <row r="3876">
      <c r="A3876" s="1">
        <v>581492.0</v>
      </c>
      <c r="B3876" s="1" t="str">
        <f t="shared" si="1"/>
        <v>581492</v>
      </c>
      <c r="C3876" s="1" t="str">
        <f t="shared" si="2"/>
        <v>Sale</v>
      </c>
      <c r="D3876" s="1">
        <v>22193.0</v>
      </c>
      <c r="E3876" s="1" t="str">
        <f>IFERROR(__xludf.DUMMYFUNCTION("IF(LEN(D3876)&gt;4, IFERROR(REGEXEXTRACT(TO_TEXT(D3876),""\d+""),""""),"""")"),"22193")</f>
        <v>22193</v>
      </c>
      <c r="F3876" s="6" t="str">
        <f t="shared" si="3"/>
        <v>Product</v>
      </c>
      <c r="G3876" s="1" t="s">
        <v>205</v>
      </c>
      <c r="H3876" s="6" t="str">
        <f>IFERROR(__xludf.DUMMYFUNCTION("IF(REGEXMATCH(LOWER(G3876), ""^(\?)+\s*(missing)?\s*(\?)*$""), """", PROPER(SUBSTITUTE(SUBSTITUTE(G3876, ""?"", """"), ""*"", """")))"),"Red Diner Wall Clock")</f>
        <v>Red Diner Wall Clock</v>
      </c>
      <c r="I3876" s="3">
        <v>1.0</v>
      </c>
      <c r="J3876" s="7">
        <v>40886.41875</v>
      </c>
      <c r="K3876" s="8" t="str">
        <f t="shared" si="4"/>
        <v>2011-12</v>
      </c>
      <c r="L3876" s="5">
        <v>16.63</v>
      </c>
      <c r="M3876" s="10"/>
      <c r="N3876" s="1" t="str">
        <f t="shared" si="5"/>
        <v>Guest</v>
      </c>
      <c r="O3876" s="1" t="s">
        <v>19</v>
      </c>
      <c r="P3876" s="9" t="str">
        <f t="shared" si="6"/>
        <v>UK</v>
      </c>
      <c r="Q3876" s="8">
        <f t="shared" si="7"/>
        <v>16.63</v>
      </c>
    </row>
    <row r="3877">
      <c r="A3877" s="1">
        <v>581492.0</v>
      </c>
      <c r="B3877" s="1" t="str">
        <f t="shared" si="1"/>
        <v>581492</v>
      </c>
      <c r="C3877" s="1" t="str">
        <f t="shared" si="2"/>
        <v>Sale</v>
      </c>
      <c r="D3877" s="1">
        <v>22195.0</v>
      </c>
      <c r="E3877" s="1" t="str">
        <f>IFERROR(__xludf.DUMMYFUNCTION("IF(LEN(D3877)&gt;4, IFERROR(REGEXEXTRACT(TO_TEXT(D3877),""\d+""),""""),"""")"),"22195")</f>
        <v>22195</v>
      </c>
      <c r="F3877" s="6" t="str">
        <f t="shared" si="3"/>
        <v>Product</v>
      </c>
      <c r="G3877" s="1" t="s">
        <v>208</v>
      </c>
      <c r="H3877" s="6" t="str">
        <f>IFERROR(__xludf.DUMMYFUNCTION("IF(REGEXMATCH(LOWER(G3877), ""^(\?)+\s*(missing)?\s*(\?)*$""), """", PROPER(SUBSTITUTE(SUBSTITUTE(G3877, ""?"", """"), ""*"", """")))"),"Large Heart Measuring Spoons")</f>
        <v>Large Heart Measuring Spoons</v>
      </c>
      <c r="I3877" s="3">
        <v>1.0</v>
      </c>
      <c r="J3877" s="7">
        <v>40886.41875</v>
      </c>
      <c r="K3877" s="8" t="str">
        <f t="shared" si="4"/>
        <v>2011-12</v>
      </c>
      <c r="L3877" s="5">
        <v>3.29</v>
      </c>
      <c r="M3877" s="10"/>
      <c r="N3877" s="1" t="str">
        <f t="shared" si="5"/>
        <v>Guest</v>
      </c>
      <c r="O3877" s="1" t="s">
        <v>19</v>
      </c>
      <c r="P3877" s="9" t="str">
        <f t="shared" si="6"/>
        <v>UK</v>
      </c>
      <c r="Q3877" s="8">
        <f t="shared" si="7"/>
        <v>3.29</v>
      </c>
    </row>
    <row r="3878">
      <c r="A3878" s="1">
        <v>581492.0</v>
      </c>
      <c r="B3878" s="1" t="str">
        <f t="shared" si="1"/>
        <v>581492</v>
      </c>
      <c r="C3878" s="1" t="str">
        <f t="shared" si="2"/>
        <v>Sale</v>
      </c>
      <c r="D3878" s="1">
        <v>22196.0</v>
      </c>
      <c r="E3878" s="1" t="str">
        <f>IFERROR(__xludf.DUMMYFUNCTION("IF(LEN(D3878)&gt;4, IFERROR(REGEXEXTRACT(TO_TEXT(D3878),""\d+""),""""),"""")"),"22196")</f>
        <v>22196</v>
      </c>
      <c r="F3878" s="6" t="str">
        <f t="shared" si="3"/>
        <v>Product</v>
      </c>
      <c r="G3878" s="1" t="s">
        <v>209</v>
      </c>
      <c r="H3878" s="6" t="str">
        <f>IFERROR(__xludf.DUMMYFUNCTION("IF(REGEXMATCH(LOWER(G3878), ""^(\?)+\s*(missing)?\s*(\?)*$""), """", PROPER(SUBSTITUTE(SUBSTITUTE(G3878, ""?"", """"), ""*"", """")))"),"Small Heart Measuring Spoons")</f>
        <v>Small Heart Measuring Spoons</v>
      </c>
      <c r="I3878" s="3">
        <v>11.0</v>
      </c>
      <c r="J3878" s="7">
        <v>40886.41875</v>
      </c>
      <c r="K3878" s="8" t="str">
        <f t="shared" si="4"/>
        <v>2011-12</v>
      </c>
      <c r="L3878" s="5">
        <v>1.63</v>
      </c>
      <c r="M3878" s="10"/>
      <c r="N3878" s="1" t="str">
        <f t="shared" si="5"/>
        <v>Guest</v>
      </c>
      <c r="O3878" s="1" t="s">
        <v>19</v>
      </c>
      <c r="P3878" s="9" t="str">
        <f t="shared" si="6"/>
        <v>UK</v>
      </c>
      <c r="Q3878" s="8">
        <f t="shared" si="7"/>
        <v>17.93</v>
      </c>
    </row>
    <row r="3879">
      <c r="A3879" s="1">
        <v>581492.0</v>
      </c>
      <c r="B3879" s="1" t="str">
        <f t="shared" si="1"/>
        <v>581492</v>
      </c>
      <c r="C3879" s="1" t="str">
        <f t="shared" si="2"/>
        <v>Sale</v>
      </c>
      <c r="D3879" s="1">
        <v>22197.0</v>
      </c>
      <c r="E3879" s="1" t="str">
        <f>IFERROR(__xludf.DUMMYFUNCTION("IF(LEN(D3879)&gt;4, IFERROR(REGEXEXTRACT(TO_TEXT(D3879),""\d+""),""""),"""")"),"22197")</f>
        <v>22197</v>
      </c>
      <c r="F3879" s="6" t="str">
        <f t="shared" si="3"/>
        <v>Product</v>
      </c>
      <c r="G3879" s="1" t="s">
        <v>1440</v>
      </c>
      <c r="H3879" s="6" t="str">
        <f>IFERROR(__xludf.DUMMYFUNCTION("IF(REGEXMATCH(LOWER(G3879), ""^(\?)+\s*(missing)?\s*(\?)*$""), """", PROPER(SUBSTITUTE(SUBSTITUTE(G3879, ""?"", """"), ""*"", """")))"),"Popcorn Holder")</f>
        <v>Popcorn Holder</v>
      </c>
      <c r="I3879" s="3">
        <v>34.0</v>
      </c>
      <c r="J3879" s="7">
        <v>40886.41875</v>
      </c>
      <c r="K3879" s="8" t="str">
        <f t="shared" si="4"/>
        <v>2011-12</v>
      </c>
      <c r="L3879" s="5">
        <v>1.63</v>
      </c>
      <c r="M3879" s="10"/>
      <c r="N3879" s="1" t="str">
        <f t="shared" si="5"/>
        <v>Guest</v>
      </c>
      <c r="O3879" s="1" t="s">
        <v>19</v>
      </c>
      <c r="P3879" s="9" t="str">
        <f t="shared" si="6"/>
        <v>UK</v>
      </c>
      <c r="Q3879" s="8">
        <f t="shared" si="7"/>
        <v>55.42</v>
      </c>
    </row>
    <row r="3880">
      <c r="A3880" s="1">
        <v>581492.0</v>
      </c>
      <c r="B3880" s="1" t="str">
        <f t="shared" si="1"/>
        <v>581492</v>
      </c>
      <c r="C3880" s="1" t="str">
        <f t="shared" si="2"/>
        <v>Sale</v>
      </c>
      <c r="D3880" s="1">
        <v>22199.0</v>
      </c>
      <c r="E3880" s="1" t="str">
        <f>IFERROR(__xludf.DUMMYFUNCTION("IF(LEN(D3880)&gt;4, IFERROR(REGEXEXTRACT(TO_TEXT(D3880),""\d+""),""""),"""")"),"22199")</f>
        <v>22199</v>
      </c>
      <c r="F3880" s="6" t="str">
        <f t="shared" si="3"/>
        <v>Product</v>
      </c>
      <c r="G3880" s="1" t="s">
        <v>1806</v>
      </c>
      <c r="H3880" s="6" t="str">
        <f>IFERROR(__xludf.DUMMYFUNCTION("IF(REGEXMATCH(LOWER(G3880), ""^(\?)+\s*(missing)?\s*(\?)*$""), """", PROPER(SUBSTITUTE(SUBSTITUTE(G3880, ""?"", """"), ""*"", """")))"),"Frying Pan Red Retrospot")</f>
        <v>Frying Pan Red Retrospot</v>
      </c>
      <c r="I3880" s="3">
        <v>1.0</v>
      </c>
      <c r="J3880" s="7">
        <v>40886.41875</v>
      </c>
      <c r="K3880" s="8" t="str">
        <f t="shared" si="4"/>
        <v>2011-12</v>
      </c>
      <c r="L3880" s="5">
        <v>8.29</v>
      </c>
      <c r="M3880" s="10"/>
      <c r="N3880" s="1" t="str">
        <f t="shared" si="5"/>
        <v>Guest</v>
      </c>
      <c r="O3880" s="1" t="s">
        <v>19</v>
      </c>
      <c r="P3880" s="9" t="str">
        <f t="shared" si="6"/>
        <v>UK</v>
      </c>
      <c r="Q3880" s="8">
        <f t="shared" si="7"/>
        <v>8.29</v>
      </c>
    </row>
    <row r="3881">
      <c r="A3881" s="1">
        <v>581492.0</v>
      </c>
      <c r="B3881" s="1" t="str">
        <f t="shared" si="1"/>
        <v>581492</v>
      </c>
      <c r="C3881" s="1" t="str">
        <f t="shared" si="2"/>
        <v>Sale</v>
      </c>
      <c r="D3881" s="1">
        <v>22209.0</v>
      </c>
      <c r="E3881" s="1" t="str">
        <f>IFERROR(__xludf.DUMMYFUNCTION("IF(LEN(D3881)&gt;4, IFERROR(REGEXEXTRACT(TO_TEXT(D3881),""\d+""),""""),"""")"),"22209")</f>
        <v>22209</v>
      </c>
      <c r="F3881" s="6" t="str">
        <f t="shared" si="3"/>
        <v>Product</v>
      </c>
      <c r="G3881" s="1" t="s">
        <v>1536</v>
      </c>
      <c r="H3881" s="6" t="str">
        <f>IFERROR(__xludf.DUMMYFUNCTION("IF(REGEXMATCH(LOWER(G3881), ""^(\?)+\s*(missing)?\s*(\?)*$""), """", PROPER(SUBSTITUTE(SUBSTITUTE(G3881, ""?"", """"), ""*"", """")))"),"Wood Stamp Set Happy Birthday")</f>
        <v>Wood Stamp Set Happy Birthday</v>
      </c>
      <c r="I3881" s="3">
        <v>1.0</v>
      </c>
      <c r="J3881" s="7">
        <v>40886.41875</v>
      </c>
      <c r="K3881" s="8" t="str">
        <f t="shared" si="4"/>
        <v>2011-12</v>
      </c>
      <c r="L3881" s="5">
        <v>3.29</v>
      </c>
      <c r="M3881" s="10"/>
      <c r="N3881" s="1" t="str">
        <f t="shared" si="5"/>
        <v>Guest</v>
      </c>
      <c r="O3881" s="1" t="s">
        <v>19</v>
      </c>
      <c r="P3881" s="9" t="str">
        <f t="shared" si="6"/>
        <v>UK</v>
      </c>
      <c r="Q3881" s="8">
        <f t="shared" si="7"/>
        <v>3.29</v>
      </c>
    </row>
    <row r="3882">
      <c r="A3882" s="1">
        <v>581492.0</v>
      </c>
      <c r="B3882" s="1" t="str">
        <f t="shared" si="1"/>
        <v>581492</v>
      </c>
      <c r="C3882" s="1" t="str">
        <f t="shared" si="2"/>
        <v>Sale</v>
      </c>
      <c r="D3882" s="1">
        <v>22212.0</v>
      </c>
      <c r="E3882" s="1" t="str">
        <f>IFERROR(__xludf.DUMMYFUNCTION("IF(LEN(D3882)&gt;4, IFERROR(REGEXEXTRACT(TO_TEXT(D3882),""\d+""),""""),"""")"),"22212")</f>
        <v>22212</v>
      </c>
      <c r="F3882" s="6" t="str">
        <f t="shared" si="3"/>
        <v>Product</v>
      </c>
      <c r="G3882" s="1" t="s">
        <v>933</v>
      </c>
      <c r="H3882" s="6" t="str">
        <f>IFERROR(__xludf.DUMMYFUNCTION("IF(REGEXMATCH(LOWER(G3882), ""^(\?)+\s*(missing)?\s*(\?)*$""), """", PROPER(SUBSTITUTE(SUBSTITUTE(G3882, ""?"", """"), ""*"", """")))"),"Four Hook White Lovebirds")</f>
        <v>Four Hook White Lovebirds</v>
      </c>
      <c r="I3882" s="3">
        <v>1.0</v>
      </c>
      <c r="J3882" s="7">
        <v>40886.41875</v>
      </c>
      <c r="K3882" s="8" t="str">
        <f t="shared" si="4"/>
        <v>2011-12</v>
      </c>
      <c r="L3882" s="5">
        <v>4.13</v>
      </c>
      <c r="M3882" s="10"/>
      <c r="N3882" s="1" t="str">
        <f t="shared" si="5"/>
        <v>Guest</v>
      </c>
      <c r="O3882" s="1" t="s">
        <v>19</v>
      </c>
      <c r="P3882" s="9" t="str">
        <f t="shared" si="6"/>
        <v>UK</v>
      </c>
      <c r="Q3882" s="8">
        <f t="shared" si="7"/>
        <v>4.13</v>
      </c>
    </row>
    <row r="3883">
      <c r="A3883" s="1">
        <v>581492.0</v>
      </c>
      <c r="B3883" s="1" t="str">
        <f t="shared" si="1"/>
        <v>581492</v>
      </c>
      <c r="C3883" s="1" t="str">
        <f t="shared" si="2"/>
        <v>Sale</v>
      </c>
      <c r="D3883" s="1">
        <v>22219.0</v>
      </c>
      <c r="E3883" s="1" t="str">
        <f>IFERROR(__xludf.DUMMYFUNCTION("IF(LEN(D3883)&gt;4, IFERROR(REGEXEXTRACT(TO_TEXT(D3883),""\d+""),""""),"""")"),"22219")</f>
        <v>22219</v>
      </c>
      <c r="F3883" s="6" t="str">
        <f t="shared" si="3"/>
        <v>Product</v>
      </c>
      <c r="G3883" s="1" t="s">
        <v>377</v>
      </c>
      <c r="H3883" s="6" t="str">
        <f>IFERROR(__xludf.DUMMYFUNCTION("IF(REGEXMATCH(LOWER(G3883), ""^(\?)+\s*(missing)?\s*(\?)*$""), """", PROPER(SUBSTITUTE(SUBSTITUTE(G3883, ""?"", """"), ""*"", """")))"),"Lovebird Hanging Decoration White")</f>
        <v>Lovebird Hanging Decoration White</v>
      </c>
      <c r="I3883" s="3">
        <v>4.0</v>
      </c>
      <c r="J3883" s="7">
        <v>40886.41875</v>
      </c>
      <c r="K3883" s="8" t="str">
        <f t="shared" si="4"/>
        <v>2011-12</v>
      </c>
      <c r="L3883" s="5">
        <v>1.63</v>
      </c>
      <c r="M3883" s="10"/>
      <c r="N3883" s="1" t="str">
        <f t="shared" si="5"/>
        <v>Guest</v>
      </c>
      <c r="O3883" s="1" t="s">
        <v>19</v>
      </c>
      <c r="P3883" s="9" t="str">
        <f t="shared" si="6"/>
        <v>UK</v>
      </c>
      <c r="Q3883" s="8">
        <f t="shared" si="7"/>
        <v>6.52</v>
      </c>
    </row>
    <row r="3884">
      <c r="A3884" s="1">
        <v>581492.0</v>
      </c>
      <c r="B3884" s="1" t="str">
        <f t="shared" si="1"/>
        <v>581492</v>
      </c>
      <c r="C3884" s="1" t="str">
        <f t="shared" si="2"/>
        <v>Sale</v>
      </c>
      <c r="D3884" s="1">
        <v>22224.0</v>
      </c>
      <c r="E3884" s="1" t="str">
        <f>IFERROR(__xludf.DUMMYFUNCTION("IF(LEN(D3884)&gt;4, IFERROR(REGEXEXTRACT(TO_TEXT(D3884),""\d+""),""""),"""")"),"22224")</f>
        <v>22224</v>
      </c>
      <c r="F3884" s="6" t="str">
        <f t="shared" si="3"/>
        <v>Product</v>
      </c>
      <c r="G3884" s="1" t="s">
        <v>169</v>
      </c>
      <c r="H3884" s="6" t="str">
        <f>IFERROR(__xludf.DUMMYFUNCTION("IF(REGEXMATCH(LOWER(G3884), ""^(\?)+\s*(missing)?\s*(\?)*$""), """", PROPER(SUBSTITUTE(SUBSTITUTE(G3884, ""?"", """"), ""*"", """")))"),"White Lovebird Lantern")</f>
        <v>White Lovebird Lantern</v>
      </c>
      <c r="I3884" s="3">
        <v>4.0</v>
      </c>
      <c r="J3884" s="7">
        <v>40886.41875</v>
      </c>
      <c r="K3884" s="8" t="str">
        <f t="shared" si="4"/>
        <v>2011-12</v>
      </c>
      <c r="L3884" s="5">
        <v>5.79</v>
      </c>
      <c r="M3884" s="10"/>
      <c r="N3884" s="1" t="str">
        <f t="shared" si="5"/>
        <v>Guest</v>
      </c>
      <c r="O3884" s="1" t="s">
        <v>19</v>
      </c>
      <c r="P3884" s="9" t="str">
        <f t="shared" si="6"/>
        <v>UK</v>
      </c>
      <c r="Q3884" s="8">
        <f t="shared" si="7"/>
        <v>23.16</v>
      </c>
    </row>
    <row r="3885">
      <c r="A3885" s="1">
        <v>581492.0</v>
      </c>
      <c r="B3885" s="1" t="str">
        <f t="shared" si="1"/>
        <v>581492</v>
      </c>
      <c r="C3885" s="1" t="str">
        <f t="shared" si="2"/>
        <v>Sale</v>
      </c>
      <c r="D3885" s="1">
        <v>22227.0</v>
      </c>
      <c r="E3885" s="1" t="str">
        <f>IFERROR(__xludf.DUMMYFUNCTION("IF(LEN(D3885)&gt;4, IFERROR(REGEXEXTRACT(TO_TEXT(D3885),""\d+""),""""),"""")"),"22227")</f>
        <v>22227</v>
      </c>
      <c r="F3885" s="6" t="str">
        <f t="shared" si="3"/>
        <v>Product</v>
      </c>
      <c r="G3885" s="1" t="s">
        <v>791</v>
      </c>
      <c r="H3885" s="6" t="str">
        <f>IFERROR(__xludf.DUMMYFUNCTION("IF(REGEXMATCH(LOWER(G3885), ""^(\?)+\s*(missing)?\s*(\?)*$""), """", PROPER(SUBSTITUTE(SUBSTITUTE(G3885, ""?"", """"), ""*"", """")))"),"Hanging Heart Mirror Decoration")</f>
        <v>Hanging Heart Mirror Decoration</v>
      </c>
      <c r="I3885" s="3">
        <v>1.0</v>
      </c>
      <c r="J3885" s="7">
        <v>40886.41875</v>
      </c>
      <c r="K3885" s="8" t="str">
        <f t="shared" si="4"/>
        <v>2011-12</v>
      </c>
      <c r="L3885" s="5">
        <v>1.25</v>
      </c>
      <c r="M3885" s="10"/>
      <c r="N3885" s="1" t="str">
        <f t="shared" si="5"/>
        <v>Guest</v>
      </c>
      <c r="O3885" s="1" t="s">
        <v>19</v>
      </c>
      <c r="P3885" s="9" t="str">
        <f t="shared" si="6"/>
        <v>UK</v>
      </c>
      <c r="Q3885" s="8">
        <f t="shared" si="7"/>
        <v>1.25</v>
      </c>
    </row>
    <row r="3886">
      <c r="A3886" s="1">
        <v>581492.0</v>
      </c>
      <c r="B3886" s="1" t="str">
        <f t="shared" si="1"/>
        <v>581492</v>
      </c>
      <c r="C3886" s="1" t="str">
        <f t="shared" si="2"/>
        <v>Sale</v>
      </c>
      <c r="D3886" s="1">
        <v>22260.0</v>
      </c>
      <c r="E3886" s="1" t="str">
        <f>IFERROR(__xludf.DUMMYFUNCTION("IF(LEN(D3886)&gt;4, IFERROR(REGEXEXTRACT(TO_TEXT(D3886),""\d+""),""""),"""")"),"22260")</f>
        <v>22260</v>
      </c>
      <c r="F3886" s="6" t="str">
        <f t="shared" si="3"/>
        <v>Product</v>
      </c>
      <c r="G3886" s="1" t="s">
        <v>1807</v>
      </c>
      <c r="H3886" s="6" t="str">
        <f>IFERROR(__xludf.DUMMYFUNCTION("IF(REGEXMATCH(LOWER(G3886), ""^(\?)+\s*(missing)?\s*(\?)*$""), """", PROPER(SUBSTITUTE(SUBSTITUTE(G3886, ""?"", """"), ""*"", """")))"),"Felt Egg Cosy Blue Rabbit")</f>
        <v>Felt Egg Cosy Blue Rabbit</v>
      </c>
      <c r="I3886" s="3">
        <v>2.0</v>
      </c>
      <c r="J3886" s="7">
        <v>40886.41875</v>
      </c>
      <c r="K3886" s="8" t="str">
        <f t="shared" si="4"/>
        <v>2011-12</v>
      </c>
      <c r="L3886" s="5">
        <v>1.63</v>
      </c>
      <c r="M3886" s="10"/>
      <c r="N3886" s="1" t="str">
        <f t="shared" si="5"/>
        <v>Guest</v>
      </c>
      <c r="O3886" s="1" t="s">
        <v>19</v>
      </c>
      <c r="P3886" s="9" t="str">
        <f t="shared" si="6"/>
        <v>UK</v>
      </c>
      <c r="Q3886" s="8">
        <f t="shared" si="7"/>
        <v>3.26</v>
      </c>
    </row>
    <row r="3887">
      <c r="A3887" s="1">
        <v>581492.0</v>
      </c>
      <c r="B3887" s="1" t="str">
        <f t="shared" si="1"/>
        <v>581492</v>
      </c>
      <c r="C3887" s="1" t="str">
        <f t="shared" si="2"/>
        <v>Sale</v>
      </c>
      <c r="D3887" s="1">
        <v>22261.0</v>
      </c>
      <c r="E3887" s="1" t="str">
        <f>IFERROR(__xludf.DUMMYFUNCTION("IF(LEN(D3887)&gt;4, IFERROR(REGEXEXTRACT(TO_TEXT(D3887),""\d+""),""""),"""")"),"22261")</f>
        <v>22261</v>
      </c>
      <c r="F3887" s="6" t="str">
        <f t="shared" si="3"/>
        <v>Product</v>
      </c>
      <c r="G3887" s="1" t="s">
        <v>132</v>
      </c>
      <c r="H3887" s="6" t="str">
        <f>IFERROR(__xludf.DUMMYFUNCTION("IF(REGEXMATCH(LOWER(G3887), ""^(\?)+\s*(missing)?\s*(\?)*$""), """", PROPER(SUBSTITUTE(SUBSTITUTE(G3887, ""?"", """"), ""*"", """")))"),"Felt Egg Cosy White Rabbit")</f>
        <v>Felt Egg Cosy White Rabbit</v>
      </c>
      <c r="I3887" s="3">
        <v>1.0</v>
      </c>
      <c r="J3887" s="7">
        <v>40886.41875</v>
      </c>
      <c r="K3887" s="8" t="str">
        <f t="shared" si="4"/>
        <v>2011-12</v>
      </c>
      <c r="L3887" s="5">
        <v>1.63</v>
      </c>
      <c r="M3887" s="10"/>
      <c r="N3887" s="1" t="str">
        <f t="shared" si="5"/>
        <v>Guest</v>
      </c>
      <c r="O3887" s="1" t="s">
        <v>19</v>
      </c>
      <c r="P3887" s="9" t="str">
        <f t="shared" si="6"/>
        <v>UK</v>
      </c>
      <c r="Q3887" s="8">
        <f t="shared" si="7"/>
        <v>1.63</v>
      </c>
    </row>
    <row r="3888">
      <c r="A3888" s="1">
        <v>581492.0</v>
      </c>
      <c r="B3888" s="1" t="str">
        <f t="shared" si="1"/>
        <v>581492</v>
      </c>
      <c r="C3888" s="1" t="str">
        <f t="shared" si="2"/>
        <v>Sale</v>
      </c>
      <c r="D3888" s="1">
        <v>22264.0</v>
      </c>
      <c r="E3888" s="1" t="str">
        <f>IFERROR(__xludf.DUMMYFUNCTION("IF(LEN(D3888)&gt;4, IFERROR(REGEXEXTRACT(TO_TEXT(D3888),""\d+""),""""),"""")"),"22264")</f>
        <v>22264</v>
      </c>
      <c r="F3888" s="6" t="str">
        <f t="shared" si="3"/>
        <v>Product</v>
      </c>
      <c r="G3888" s="1" t="s">
        <v>1808</v>
      </c>
      <c r="H3888" s="6" t="str">
        <f>IFERROR(__xludf.DUMMYFUNCTION("IF(REGEXMATCH(LOWER(G3888), ""^(\?)+\s*(missing)?\s*(\?)*$""), """", PROPER(SUBSTITUTE(SUBSTITUTE(G3888, ""?"", """"), ""*"", """")))"),"Felt Farm Animal White Bunny")</f>
        <v>Felt Farm Animal White Bunny</v>
      </c>
      <c r="I3888" s="3">
        <v>1.0</v>
      </c>
      <c r="J3888" s="7">
        <v>40886.41875</v>
      </c>
      <c r="K3888" s="8" t="str">
        <f t="shared" si="4"/>
        <v>2011-12</v>
      </c>
      <c r="L3888" s="5">
        <v>1.63</v>
      </c>
      <c r="M3888" s="10"/>
      <c r="N3888" s="1" t="str">
        <f t="shared" si="5"/>
        <v>Guest</v>
      </c>
      <c r="O3888" s="1" t="s">
        <v>19</v>
      </c>
      <c r="P3888" s="9" t="str">
        <f t="shared" si="6"/>
        <v>UK</v>
      </c>
      <c r="Q3888" s="8">
        <f t="shared" si="7"/>
        <v>1.63</v>
      </c>
    </row>
    <row r="3889">
      <c r="A3889" s="1">
        <v>581492.0</v>
      </c>
      <c r="B3889" s="1" t="str">
        <f t="shared" si="1"/>
        <v>581492</v>
      </c>
      <c r="C3889" s="1" t="str">
        <f t="shared" si="2"/>
        <v>Sale</v>
      </c>
      <c r="D3889" s="1">
        <v>22273.0</v>
      </c>
      <c r="E3889" s="1" t="str">
        <f>IFERROR(__xludf.DUMMYFUNCTION("IF(LEN(D3889)&gt;4, IFERROR(REGEXEXTRACT(TO_TEXT(D3889),""\d+""),""""),"""")"),"22273")</f>
        <v>22273</v>
      </c>
      <c r="F3889" s="6" t="str">
        <f t="shared" si="3"/>
        <v>Product</v>
      </c>
      <c r="G3889" s="1" t="s">
        <v>438</v>
      </c>
      <c r="H3889" s="6" t="str">
        <f>IFERROR(__xludf.DUMMYFUNCTION("IF(REGEXMATCH(LOWER(G3889), ""^(\?)+\s*(missing)?\s*(\?)*$""), """", PROPER(SUBSTITUTE(SUBSTITUTE(G3889, ""?"", """"), ""*"", """")))"),"Feltcraft Doll Molly")</f>
        <v>Feltcraft Doll Molly</v>
      </c>
      <c r="I3889" s="3">
        <v>2.0</v>
      </c>
      <c r="J3889" s="7">
        <v>40886.41875</v>
      </c>
      <c r="K3889" s="8" t="str">
        <f t="shared" si="4"/>
        <v>2011-12</v>
      </c>
      <c r="L3889" s="5">
        <v>5.79</v>
      </c>
      <c r="M3889" s="10"/>
      <c r="N3889" s="1" t="str">
        <f t="shared" si="5"/>
        <v>Guest</v>
      </c>
      <c r="O3889" s="1" t="s">
        <v>19</v>
      </c>
      <c r="P3889" s="9" t="str">
        <f t="shared" si="6"/>
        <v>UK</v>
      </c>
      <c r="Q3889" s="8">
        <f t="shared" si="7"/>
        <v>11.58</v>
      </c>
    </row>
    <row r="3890">
      <c r="A3890" s="1">
        <v>581492.0</v>
      </c>
      <c r="B3890" s="1" t="str">
        <f t="shared" si="1"/>
        <v>581492</v>
      </c>
      <c r="C3890" s="1" t="str">
        <f t="shared" si="2"/>
        <v>Sale</v>
      </c>
      <c r="D3890" s="1">
        <v>22277.0</v>
      </c>
      <c r="E3890" s="1" t="str">
        <f>IFERROR(__xludf.DUMMYFUNCTION("IF(LEN(D3890)&gt;4, IFERROR(REGEXEXTRACT(TO_TEXT(D3890),""\d+""),""""),"""")"),"22277")</f>
        <v>22277</v>
      </c>
      <c r="F3890" s="6" t="str">
        <f t="shared" si="3"/>
        <v>Product</v>
      </c>
      <c r="G3890" s="1" t="s">
        <v>1809</v>
      </c>
      <c r="H3890" s="6" t="str">
        <f>IFERROR(__xludf.DUMMYFUNCTION("IF(REGEXMATCH(LOWER(G3890), ""^(\?)+\s*(missing)?\s*(\?)*$""), """", PROPER(SUBSTITUTE(SUBSTITUTE(G3890, ""?"", """"), ""*"", """")))"),"Cosmetic Bag Vintage Rose Paisley")</f>
        <v>Cosmetic Bag Vintage Rose Paisley</v>
      </c>
      <c r="I3890" s="3">
        <v>1.0</v>
      </c>
      <c r="J3890" s="7">
        <v>40886.41875</v>
      </c>
      <c r="K3890" s="8" t="str">
        <f t="shared" si="4"/>
        <v>2011-12</v>
      </c>
      <c r="L3890" s="5">
        <v>4.13</v>
      </c>
      <c r="M3890" s="10"/>
      <c r="N3890" s="1" t="str">
        <f t="shared" si="5"/>
        <v>Guest</v>
      </c>
      <c r="O3890" s="1" t="s">
        <v>19</v>
      </c>
      <c r="P3890" s="9" t="str">
        <f t="shared" si="6"/>
        <v>UK</v>
      </c>
      <c r="Q3890" s="8">
        <f t="shared" si="7"/>
        <v>4.13</v>
      </c>
    </row>
    <row r="3891">
      <c r="A3891" s="1">
        <v>581492.0</v>
      </c>
      <c r="B3891" s="1" t="str">
        <f t="shared" si="1"/>
        <v>581492</v>
      </c>
      <c r="C3891" s="1" t="str">
        <f t="shared" si="2"/>
        <v>Sale</v>
      </c>
      <c r="D3891" s="1">
        <v>22279.0</v>
      </c>
      <c r="E3891" s="1" t="str">
        <f>IFERROR(__xludf.DUMMYFUNCTION("IF(LEN(D3891)&gt;4, IFERROR(REGEXEXTRACT(TO_TEXT(D3891),""\d+""),""""),"""")"),"22279")</f>
        <v>22279</v>
      </c>
      <c r="F3891" s="6" t="str">
        <f t="shared" si="3"/>
        <v>Product</v>
      </c>
      <c r="G3891" s="1" t="s">
        <v>1810</v>
      </c>
      <c r="H3891" s="6" t="str">
        <f>IFERROR(__xludf.DUMMYFUNCTION("IF(REGEXMATCH(LOWER(G3891), ""^(\?)+\s*(missing)?\s*(\?)*$""), """", PROPER(SUBSTITUTE(SUBSTITUTE(G3891, ""?"", """"), ""*"", """")))"),"Pocket Bag Blue Paisley Red Spot")</f>
        <v>Pocket Bag Blue Paisley Red Spot</v>
      </c>
      <c r="I3891" s="3">
        <v>5.0</v>
      </c>
      <c r="J3891" s="7">
        <v>40886.41875</v>
      </c>
      <c r="K3891" s="8" t="str">
        <f t="shared" si="4"/>
        <v>2011-12</v>
      </c>
      <c r="L3891" s="5">
        <v>2.46</v>
      </c>
      <c r="M3891" s="10"/>
      <c r="N3891" s="1" t="str">
        <f t="shared" si="5"/>
        <v>Guest</v>
      </c>
      <c r="O3891" s="1" t="s">
        <v>19</v>
      </c>
      <c r="P3891" s="9" t="str">
        <f t="shared" si="6"/>
        <v>UK</v>
      </c>
      <c r="Q3891" s="8">
        <f t="shared" si="7"/>
        <v>12.3</v>
      </c>
    </row>
    <row r="3892">
      <c r="A3892" s="1">
        <v>581492.0</v>
      </c>
      <c r="B3892" s="1" t="str">
        <f t="shared" si="1"/>
        <v>581492</v>
      </c>
      <c r="C3892" s="1" t="str">
        <f t="shared" si="2"/>
        <v>Sale</v>
      </c>
      <c r="D3892" s="1">
        <v>22280.0</v>
      </c>
      <c r="E3892" s="1" t="str">
        <f>IFERROR(__xludf.DUMMYFUNCTION("IF(LEN(D3892)&gt;4, IFERROR(REGEXEXTRACT(TO_TEXT(D3892),""\d+""),""""),"""")"),"22280")</f>
        <v>22280</v>
      </c>
      <c r="F3892" s="6" t="str">
        <f t="shared" si="3"/>
        <v>Product</v>
      </c>
      <c r="G3892" s="1" t="s">
        <v>1381</v>
      </c>
      <c r="H3892" s="6" t="str">
        <f>IFERROR(__xludf.DUMMYFUNCTION("IF(REGEXMATCH(LOWER(G3892), ""^(\?)+\s*(missing)?\s*(\?)*$""), """", PROPER(SUBSTITUTE(SUBSTITUTE(G3892, ""?"", """"), ""*"", """")))"),"Pocket Bag Pink Paisely Brown Spot")</f>
        <v>Pocket Bag Pink Paisely Brown Spot</v>
      </c>
      <c r="I3892" s="3">
        <v>4.0</v>
      </c>
      <c r="J3892" s="7">
        <v>40886.41875</v>
      </c>
      <c r="K3892" s="8" t="str">
        <f t="shared" si="4"/>
        <v>2011-12</v>
      </c>
      <c r="L3892" s="5">
        <v>2.46</v>
      </c>
      <c r="M3892" s="10"/>
      <c r="N3892" s="1" t="str">
        <f t="shared" si="5"/>
        <v>Guest</v>
      </c>
      <c r="O3892" s="1" t="s">
        <v>19</v>
      </c>
      <c r="P3892" s="9" t="str">
        <f t="shared" si="6"/>
        <v>UK</v>
      </c>
      <c r="Q3892" s="8">
        <f t="shared" si="7"/>
        <v>9.84</v>
      </c>
    </row>
    <row r="3893">
      <c r="A3893" s="1">
        <v>581492.0</v>
      </c>
      <c r="B3893" s="1" t="str">
        <f t="shared" si="1"/>
        <v>581492</v>
      </c>
      <c r="C3893" s="1" t="str">
        <f t="shared" si="2"/>
        <v>Sale</v>
      </c>
      <c r="D3893" s="1">
        <v>22300.0</v>
      </c>
      <c r="E3893" s="1" t="str">
        <f>IFERROR(__xludf.DUMMYFUNCTION("IF(LEN(D3893)&gt;4, IFERROR(REGEXEXTRACT(TO_TEXT(D3893),""\d+""),""""),"""")"),"22300")</f>
        <v>22300</v>
      </c>
      <c r="F3893" s="6" t="str">
        <f t="shared" si="3"/>
        <v>Product</v>
      </c>
      <c r="G3893" s="1" t="s">
        <v>825</v>
      </c>
      <c r="H3893" s="6" t="str">
        <f>IFERROR(__xludf.DUMMYFUNCTION("IF(REGEXMATCH(LOWER(G3893), ""^(\?)+\s*(missing)?\s*(\?)*$""), """", PROPER(SUBSTITUTE(SUBSTITUTE(G3893, ""?"", """"), ""*"", """")))"),"Coffee Mug Dog + Ball Design")</f>
        <v>Coffee Mug Dog + Ball Design</v>
      </c>
      <c r="I3893" s="3">
        <v>1.0</v>
      </c>
      <c r="J3893" s="7">
        <v>40886.41875</v>
      </c>
      <c r="K3893" s="8" t="str">
        <f t="shared" si="4"/>
        <v>2011-12</v>
      </c>
      <c r="L3893" s="5">
        <v>4.96</v>
      </c>
      <c r="M3893" s="10"/>
      <c r="N3893" s="1" t="str">
        <f t="shared" si="5"/>
        <v>Guest</v>
      </c>
      <c r="O3893" s="1" t="s">
        <v>19</v>
      </c>
      <c r="P3893" s="9" t="str">
        <f t="shared" si="6"/>
        <v>UK</v>
      </c>
      <c r="Q3893" s="8">
        <f t="shared" si="7"/>
        <v>4.96</v>
      </c>
    </row>
    <row r="3894">
      <c r="A3894" s="1">
        <v>581492.0</v>
      </c>
      <c r="B3894" s="1" t="str">
        <f t="shared" si="1"/>
        <v>581492</v>
      </c>
      <c r="C3894" s="1" t="str">
        <f t="shared" si="2"/>
        <v>Sale</v>
      </c>
      <c r="D3894" s="1">
        <v>22301.0</v>
      </c>
      <c r="E3894" s="1" t="str">
        <f>IFERROR(__xludf.DUMMYFUNCTION("IF(LEN(D3894)&gt;4, IFERROR(REGEXEXTRACT(TO_TEXT(D3894),""\d+""),""""),"""")"),"22301")</f>
        <v>22301</v>
      </c>
      <c r="F3894" s="6" t="str">
        <f t="shared" si="3"/>
        <v>Product</v>
      </c>
      <c r="G3894" s="1" t="s">
        <v>827</v>
      </c>
      <c r="H3894" s="6" t="str">
        <f>IFERROR(__xludf.DUMMYFUNCTION("IF(REGEXMATCH(LOWER(G3894), ""^(\?)+\s*(missing)?\s*(\?)*$""), """", PROPER(SUBSTITUTE(SUBSTITUTE(G3894, ""?"", """"), ""*"", """")))"),"Coffee Mug Cat + Bird Design")</f>
        <v>Coffee Mug Cat + Bird Design</v>
      </c>
      <c r="I3894" s="3">
        <v>1.0</v>
      </c>
      <c r="J3894" s="7">
        <v>40886.41875</v>
      </c>
      <c r="K3894" s="8" t="str">
        <f t="shared" si="4"/>
        <v>2011-12</v>
      </c>
      <c r="L3894" s="5">
        <v>4.96</v>
      </c>
      <c r="M3894" s="10"/>
      <c r="N3894" s="1" t="str">
        <f t="shared" si="5"/>
        <v>Guest</v>
      </c>
      <c r="O3894" s="1" t="s">
        <v>19</v>
      </c>
      <c r="P3894" s="9" t="str">
        <f t="shared" si="6"/>
        <v>UK</v>
      </c>
      <c r="Q3894" s="8">
        <f t="shared" si="7"/>
        <v>4.96</v>
      </c>
    </row>
    <row r="3895">
      <c r="A3895" s="1">
        <v>581492.0</v>
      </c>
      <c r="B3895" s="1" t="str">
        <f t="shared" si="1"/>
        <v>581492</v>
      </c>
      <c r="C3895" s="1" t="str">
        <f t="shared" si="2"/>
        <v>Sale</v>
      </c>
      <c r="D3895" s="1">
        <v>22307.0</v>
      </c>
      <c r="E3895" s="1" t="str">
        <f>IFERROR(__xludf.DUMMYFUNCTION("IF(LEN(D3895)&gt;4, IFERROR(REGEXEXTRACT(TO_TEXT(D3895),""\d+""),""""),"""")"),"22307")</f>
        <v>22307</v>
      </c>
      <c r="F3895" s="6" t="str">
        <f t="shared" si="3"/>
        <v>Product</v>
      </c>
      <c r="G3895" s="1" t="s">
        <v>1811</v>
      </c>
      <c r="H3895" s="6" t="str">
        <f>IFERROR(__xludf.DUMMYFUNCTION("IF(REGEXMATCH(LOWER(G3895), ""^(\?)+\s*(missing)?\s*(\?)*$""), """", PROPER(SUBSTITUTE(SUBSTITUTE(G3895, ""?"", """"), ""*"", """")))"),"Gold Mug Bone China Tree Of Life")</f>
        <v>Gold Mug Bone China Tree Of Life</v>
      </c>
      <c r="I3895" s="3">
        <v>1.0</v>
      </c>
      <c r="J3895" s="7">
        <v>40886.41875</v>
      </c>
      <c r="K3895" s="8" t="str">
        <f t="shared" si="4"/>
        <v>2011-12</v>
      </c>
      <c r="L3895" s="5">
        <v>8.29</v>
      </c>
      <c r="M3895" s="10"/>
      <c r="N3895" s="1" t="str">
        <f t="shared" si="5"/>
        <v>Guest</v>
      </c>
      <c r="O3895" s="1" t="s">
        <v>19</v>
      </c>
      <c r="P3895" s="9" t="str">
        <f t="shared" si="6"/>
        <v>UK</v>
      </c>
      <c r="Q3895" s="8">
        <f t="shared" si="7"/>
        <v>8.29</v>
      </c>
    </row>
    <row r="3896">
      <c r="A3896" s="1">
        <v>581492.0</v>
      </c>
      <c r="B3896" s="1" t="str">
        <f t="shared" si="1"/>
        <v>581492</v>
      </c>
      <c r="C3896" s="1" t="str">
        <f t="shared" si="2"/>
        <v>Sale</v>
      </c>
      <c r="D3896" s="1">
        <v>22308.0</v>
      </c>
      <c r="E3896" s="1" t="str">
        <f>IFERROR(__xludf.DUMMYFUNCTION("IF(LEN(D3896)&gt;4, IFERROR(REGEXEXTRACT(TO_TEXT(D3896),""\d+""),""""),"""")"),"22308")</f>
        <v>22308</v>
      </c>
      <c r="F3896" s="6" t="str">
        <f t="shared" si="3"/>
        <v>Product</v>
      </c>
      <c r="G3896" s="1" t="s">
        <v>906</v>
      </c>
      <c r="H3896" s="6" t="str">
        <f>IFERROR(__xludf.DUMMYFUNCTION("IF(REGEXMATCH(LOWER(G3896), ""^(\?)+\s*(missing)?\s*(\?)*$""), """", PROPER(SUBSTITUTE(SUBSTITUTE(G3896, ""?"", """"), ""*"", """")))"),"Tea Cosy Blue Stripe")</f>
        <v>Tea Cosy Blue Stripe</v>
      </c>
      <c r="I3896" s="3">
        <v>2.0</v>
      </c>
      <c r="J3896" s="7">
        <v>40886.41875</v>
      </c>
      <c r="K3896" s="8" t="str">
        <f t="shared" si="4"/>
        <v>2011-12</v>
      </c>
      <c r="L3896" s="5">
        <v>4.96</v>
      </c>
      <c r="M3896" s="10"/>
      <c r="N3896" s="1" t="str">
        <f t="shared" si="5"/>
        <v>Guest</v>
      </c>
      <c r="O3896" s="1" t="s">
        <v>19</v>
      </c>
      <c r="P3896" s="9" t="str">
        <f t="shared" si="6"/>
        <v>UK</v>
      </c>
      <c r="Q3896" s="8">
        <f t="shared" si="7"/>
        <v>9.92</v>
      </c>
    </row>
    <row r="3897">
      <c r="A3897" s="1">
        <v>581492.0</v>
      </c>
      <c r="B3897" s="1" t="str">
        <f t="shared" si="1"/>
        <v>581492</v>
      </c>
      <c r="C3897" s="1" t="str">
        <f t="shared" si="2"/>
        <v>Sale</v>
      </c>
      <c r="D3897" s="1">
        <v>22309.0</v>
      </c>
      <c r="E3897" s="1" t="str">
        <f>IFERROR(__xludf.DUMMYFUNCTION("IF(LEN(D3897)&gt;4, IFERROR(REGEXEXTRACT(TO_TEXT(D3897),""\d+""),""""),"""")"),"22309")</f>
        <v>22309</v>
      </c>
      <c r="F3897" s="6" t="str">
        <f t="shared" si="3"/>
        <v>Product</v>
      </c>
      <c r="G3897" s="1" t="s">
        <v>905</v>
      </c>
      <c r="H3897" s="6" t="str">
        <f>IFERROR(__xludf.DUMMYFUNCTION("IF(REGEXMATCH(LOWER(G3897), ""^(\?)+\s*(missing)?\s*(\?)*$""), """", PROPER(SUBSTITUTE(SUBSTITUTE(G3897, ""?"", """"), ""*"", """")))"),"Tea Cosy Red Stripe")</f>
        <v>Tea Cosy Red Stripe</v>
      </c>
      <c r="I3897" s="3">
        <v>2.0</v>
      </c>
      <c r="J3897" s="7">
        <v>40886.41875</v>
      </c>
      <c r="K3897" s="8" t="str">
        <f t="shared" si="4"/>
        <v>2011-12</v>
      </c>
      <c r="L3897" s="5">
        <v>4.96</v>
      </c>
      <c r="M3897" s="10"/>
      <c r="N3897" s="1" t="str">
        <f t="shared" si="5"/>
        <v>Guest</v>
      </c>
      <c r="O3897" s="1" t="s">
        <v>19</v>
      </c>
      <c r="P3897" s="9" t="str">
        <f t="shared" si="6"/>
        <v>UK</v>
      </c>
      <c r="Q3897" s="8">
        <f t="shared" si="7"/>
        <v>9.92</v>
      </c>
    </row>
    <row r="3898">
      <c r="A3898" s="1">
        <v>581492.0</v>
      </c>
      <c r="B3898" s="1" t="str">
        <f t="shared" si="1"/>
        <v>581492</v>
      </c>
      <c r="C3898" s="1" t="str">
        <f t="shared" si="2"/>
        <v>Sale</v>
      </c>
      <c r="D3898" s="1">
        <v>22324.0</v>
      </c>
      <c r="E3898" s="1" t="str">
        <f>IFERROR(__xludf.DUMMYFUNCTION("IF(LEN(D3898)&gt;4, IFERROR(REGEXEXTRACT(TO_TEXT(D3898),""\d+""),""""),"""")"),"22324")</f>
        <v>22324</v>
      </c>
      <c r="F3898" s="6" t="str">
        <f t="shared" si="3"/>
        <v>Product</v>
      </c>
      <c r="G3898" s="1" t="s">
        <v>1812</v>
      </c>
      <c r="H3898" s="6" t="str">
        <f>IFERROR(__xludf.DUMMYFUNCTION("IF(REGEXMATCH(LOWER(G3898), ""^(\?)+\s*(missing)?\s*(\?)*$""), """", PROPER(SUBSTITUTE(SUBSTITUTE(G3898, ""?"", """"), ""*"", """")))"),"Blue Polkadot Kids Bag")</f>
        <v>Blue Polkadot Kids Bag</v>
      </c>
      <c r="I3898" s="3">
        <v>2.0</v>
      </c>
      <c r="J3898" s="7">
        <v>40886.41875</v>
      </c>
      <c r="K3898" s="8" t="str">
        <f t="shared" si="4"/>
        <v>2011-12</v>
      </c>
      <c r="L3898" s="5">
        <v>4.13</v>
      </c>
      <c r="M3898" s="10"/>
      <c r="N3898" s="1" t="str">
        <f t="shared" si="5"/>
        <v>Guest</v>
      </c>
      <c r="O3898" s="1" t="s">
        <v>19</v>
      </c>
      <c r="P3898" s="9" t="str">
        <f t="shared" si="6"/>
        <v>UK</v>
      </c>
      <c r="Q3898" s="8">
        <f t="shared" si="7"/>
        <v>8.26</v>
      </c>
    </row>
    <row r="3899">
      <c r="A3899" s="1">
        <v>581492.0</v>
      </c>
      <c r="B3899" s="1" t="str">
        <f t="shared" si="1"/>
        <v>581492</v>
      </c>
      <c r="C3899" s="1" t="str">
        <f t="shared" si="2"/>
        <v>Sale</v>
      </c>
      <c r="D3899" s="1">
        <v>22326.0</v>
      </c>
      <c r="E3899" s="1" t="str">
        <f>IFERROR(__xludf.DUMMYFUNCTION("IF(LEN(D3899)&gt;4, IFERROR(REGEXEXTRACT(TO_TEXT(D3899),""\d+""),""""),"""")"),"22326")</f>
        <v>22326</v>
      </c>
      <c r="F3899" s="6" t="str">
        <f t="shared" si="3"/>
        <v>Product</v>
      </c>
      <c r="G3899" s="1" t="s">
        <v>57</v>
      </c>
      <c r="H3899" s="6" t="str">
        <f>IFERROR(__xludf.DUMMYFUNCTION("IF(REGEXMATCH(LOWER(G3899), ""^(\?)+\s*(missing)?\s*(\?)*$""), """", PROPER(SUBSTITUTE(SUBSTITUTE(G3899, ""?"", """"), ""*"", """")))"),"Round Snack Boxes Set Of4 Woodland")</f>
        <v>Round Snack Boxes Set Of4 Woodland</v>
      </c>
      <c r="I3899" s="3">
        <v>3.0</v>
      </c>
      <c r="J3899" s="7">
        <v>40886.41875</v>
      </c>
      <c r="K3899" s="8" t="str">
        <f t="shared" si="4"/>
        <v>2011-12</v>
      </c>
      <c r="L3899" s="5">
        <v>5.79</v>
      </c>
      <c r="M3899" s="10"/>
      <c r="N3899" s="1" t="str">
        <f t="shared" si="5"/>
        <v>Guest</v>
      </c>
      <c r="O3899" s="1" t="s">
        <v>19</v>
      </c>
      <c r="P3899" s="9" t="str">
        <f t="shared" si="6"/>
        <v>UK</v>
      </c>
      <c r="Q3899" s="8">
        <f t="shared" si="7"/>
        <v>17.37</v>
      </c>
    </row>
    <row r="3900">
      <c r="A3900" s="1">
        <v>581492.0</v>
      </c>
      <c r="B3900" s="1" t="str">
        <f t="shared" si="1"/>
        <v>581492</v>
      </c>
      <c r="C3900" s="1" t="str">
        <f t="shared" si="2"/>
        <v>Sale</v>
      </c>
      <c r="D3900" s="1">
        <v>22327.0</v>
      </c>
      <c r="E3900" s="1" t="str">
        <f>IFERROR(__xludf.DUMMYFUNCTION("IF(LEN(D3900)&gt;4, IFERROR(REGEXEXTRACT(TO_TEXT(D3900),""\d+""),""""),"""")"),"22327")</f>
        <v>22327</v>
      </c>
      <c r="F3900" s="6" t="str">
        <f t="shared" si="3"/>
        <v>Product</v>
      </c>
      <c r="G3900" s="1" t="s">
        <v>432</v>
      </c>
      <c r="H3900" s="6" t="str">
        <f>IFERROR(__xludf.DUMMYFUNCTION("IF(REGEXMATCH(LOWER(G3900), ""^(\?)+\s*(missing)?\s*(\?)*$""), """", PROPER(SUBSTITUTE(SUBSTITUTE(G3900, ""?"", """"), ""*"", """")))"),"Round Snack Boxes Set Of 4 Skulls")</f>
        <v>Round Snack Boxes Set Of 4 Skulls</v>
      </c>
      <c r="I3900" s="3">
        <v>2.0</v>
      </c>
      <c r="J3900" s="7">
        <v>40886.41875</v>
      </c>
      <c r="K3900" s="8" t="str">
        <f t="shared" si="4"/>
        <v>2011-12</v>
      </c>
      <c r="L3900" s="5">
        <v>5.79</v>
      </c>
      <c r="M3900" s="10"/>
      <c r="N3900" s="1" t="str">
        <f t="shared" si="5"/>
        <v>Guest</v>
      </c>
      <c r="O3900" s="1" t="s">
        <v>19</v>
      </c>
      <c r="P3900" s="9" t="str">
        <f t="shared" si="6"/>
        <v>UK</v>
      </c>
      <c r="Q3900" s="8">
        <f t="shared" si="7"/>
        <v>11.58</v>
      </c>
    </row>
    <row r="3901">
      <c r="A3901" s="1">
        <v>581492.0</v>
      </c>
      <c r="B3901" s="1" t="str">
        <f t="shared" si="1"/>
        <v>581492</v>
      </c>
      <c r="C3901" s="1" t="str">
        <f t="shared" si="2"/>
        <v>Sale</v>
      </c>
      <c r="D3901" s="1">
        <v>22329.0</v>
      </c>
      <c r="E3901" s="1" t="str">
        <f>IFERROR(__xludf.DUMMYFUNCTION("IF(LEN(D3901)&gt;4, IFERROR(REGEXEXTRACT(TO_TEXT(D3901),""\d+""),""""),"""")"),"22329")</f>
        <v>22329</v>
      </c>
      <c r="F3901" s="6" t="str">
        <f t="shared" si="3"/>
        <v>Product</v>
      </c>
      <c r="G3901" s="1" t="s">
        <v>977</v>
      </c>
      <c r="H3901" s="6" t="str">
        <f>IFERROR(__xludf.DUMMYFUNCTION("IF(REGEXMATCH(LOWER(G3901), ""^(\?)+\s*(missing)?\s*(\?)*$""), """", PROPER(SUBSTITUTE(SUBSTITUTE(G3901, ""?"", """"), ""*"", """")))"),"Round Container Set Of 5 Retrospot")</f>
        <v>Round Container Set Of 5 Retrospot</v>
      </c>
      <c r="I3901" s="3">
        <v>2.0</v>
      </c>
      <c r="J3901" s="7">
        <v>40886.41875</v>
      </c>
      <c r="K3901" s="8" t="str">
        <f t="shared" si="4"/>
        <v>2011-12</v>
      </c>
      <c r="L3901" s="5">
        <v>3.29</v>
      </c>
      <c r="M3901" s="10"/>
      <c r="N3901" s="1" t="str">
        <f t="shared" si="5"/>
        <v>Guest</v>
      </c>
      <c r="O3901" s="1" t="s">
        <v>19</v>
      </c>
      <c r="P3901" s="9" t="str">
        <f t="shared" si="6"/>
        <v>UK</v>
      </c>
      <c r="Q3901" s="8">
        <f t="shared" si="7"/>
        <v>6.58</v>
      </c>
    </row>
    <row r="3902">
      <c r="A3902" s="1">
        <v>581492.0</v>
      </c>
      <c r="B3902" s="1" t="str">
        <f t="shared" si="1"/>
        <v>581492</v>
      </c>
      <c r="C3902" s="1" t="str">
        <f t="shared" si="2"/>
        <v>Sale</v>
      </c>
      <c r="D3902" s="1">
        <v>22338.0</v>
      </c>
      <c r="E3902" s="1" t="str">
        <f>IFERROR(__xludf.DUMMYFUNCTION("IF(LEN(D3902)&gt;4, IFERROR(REGEXEXTRACT(TO_TEXT(D3902),""\d+""),""""),"""")"),"22338")</f>
        <v>22338</v>
      </c>
      <c r="F3902" s="6" t="str">
        <f t="shared" si="3"/>
        <v>Product</v>
      </c>
      <c r="G3902" s="1" t="s">
        <v>243</v>
      </c>
      <c r="H3902" s="6" t="str">
        <f>IFERROR(__xludf.DUMMYFUNCTION("IF(REGEXMATCH(LOWER(G3902), ""^(\?)+\s*(missing)?\s*(\?)*$""), """", PROPER(SUBSTITUTE(SUBSTITUTE(G3902, ""?"", """"), ""*"", """")))"),"Star Decoration Painted Zinc")</f>
        <v>Star Decoration Painted Zinc</v>
      </c>
      <c r="I3902" s="3">
        <v>4.0</v>
      </c>
      <c r="J3902" s="7">
        <v>40886.41875</v>
      </c>
      <c r="K3902" s="8" t="str">
        <f t="shared" si="4"/>
        <v>2011-12</v>
      </c>
      <c r="L3902" s="5">
        <v>0.63</v>
      </c>
      <c r="M3902" s="10"/>
      <c r="N3902" s="1" t="str">
        <f t="shared" si="5"/>
        <v>Guest</v>
      </c>
      <c r="O3902" s="1" t="s">
        <v>19</v>
      </c>
      <c r="P3902" s="9" t="str">
        <f t="shared" si="6"/>
        <v>UK</v>
      </c>
      <c r="Q3902" s="8">
        <f t="shared" si="7"/>
        <v>2.52</v>
      </c>
    </row>
    <row r="3903">
      <c r="A3903" s="1">
        <v>581492.0</v>
      </c>
      <c r="B3903" s="1" t="str">
        <f t="shared" si="1"/>
        <v>581492</v>
      </c>
      <c r="C3903" s="1" t="str">
        <f t="shared" si="2"/>
        <v>Sale</v>
      </c>
      <c r="D3903" s="1">
        <v>22340.0</v>
      </c>
      <c r="E3903" s="1" t="str">
        <f>IFERROR(__xludf.DUMMYFUNCTION("IF(LEN(D3903)&gt;4, IFERROR(REGEXEXTRACT(TO_TEXT(D3903),""\d+""),""""),"""")"),"22340")</f>
        <v>22340</v>
      </c>
      <c r="F3903" s="6" t="str">
        <f t="shared" si="3"/>
        <v>Product</v>
      </c>
      <c r="G3903" s="1" t="s">
        <v>1813</v>
      </c>
      <c r="H3903" s="6" t="str">
        <f>IFERROR(__xludf.DUMMYFUNCTION("IF(REGEXMATCH(LOWER(G3903), ""^(\?)+\s*(missing)?\s*(\?)*$""), """", PROPER(SUBSTITUTE(SUBSTITUTE(G3903, ""?"", """"), ""*"", """")))"),"Noel Garland Painted Zinc")</f>
        <v>Noel Garland Painted Zinc</v>
      </c>
      <c r="I3903" s="3">
        <v>17.0</v>
      </c>
      <c r="J3903" s="7">
        <v>40886.41875</v>
      </c>
      <c r="K3903" s="8" t="str">
        <f t="shared" si="4"/>
        <v>2011-12</v>
      </c>
      <c r="L3903" s="5">
        <v>0.83</v>
      </c>
      <c r="M3903" s="10"/>
      <c r="N3903" s="1" t="str">
        <f t="shared" si="5"/>
        <v>Guest</v>
      </c>
      <c r="O3903" s="1" t="s">
        <v>19</v>
      </c>
      <c r="P3903" s="9" t="str">
        <f t="shared" si="6"/>
        <v>UK</v>
      </c>
      <c r="Q3903" s="8">
        <f t="shared" si="7"/>
        <v>14.11</v>
      </c>
    </row>
    <row r="3904">
      <c r="A3904" s="1">
        <v>581492.0</v>
      </c>
      <c r="B3904" s="1" t="str">
        <f t="shared" si="1"/>
        <v>581492</v>
      </c>
      <c r="C3904" s="1" t="str">
        <f t="shared" si="2"/>
        <v>Sale</v>
      </c>
      <c r="D3904" s="1">
        <v>22342.0</v>
      </c>
      <c r="E3904" s="1" t="str">
        <f>IFERROR(__xludf.DUMMYFUNCTION("IF(LEN(D3904)&gt;4, IFERROR(REGEXEXTRACT(TO_TEXT(D3904),""\d+""),""""),"""")"),"22342")</f>
        <v>22342</v>
      </c>
      <c r="F3904" s="6" t="str">
        <f t="shared" si="3"/>
        <v>Product</v>
      </c>
      <c r="G3904" s="1" t="s">
        <v>1814</v>
      </c>
      <c r="H3904" s="6" t="str">
        <f>IFERROR(__xludf.DUMMYFUNCTION("IF(REGEXMATCH(LOWER(G3904), ""^(\?)+\s*(missing)?\s*(\?)*$""), """", PROPER(SUBSTITUTE(SUBSTITUTE(G3904, ""?"", """"), ""*"", """")))"),"Home Garland Painted Zinc")</f>
        <v>Home Garland Painted Zinc</v>
      </c>
      <c r="I3904" s="3">
        <v>7.0</v>
      </c>
      <c r="J3904" s="7">
        <v>40886.41875</v>
      </c>
      <c r="K3904" s="8" t="str">
        <f t="shared" si="4"/>
        <v>2011-12</v>
      </c>
      <c r="L3904" s="5">
        <v>3.29</v>
      </c>
      <c r="M3904" s="10"/>
      <c r="N3904" s="1" t="str">
        <f t="shared" si="5"/>
        <v>Guest</v>
      </c>
      <c r="O3904" s="1" t="s">
        <v>19</v>
      </c>
      <c r="P3904" s="9" t="str">
        <f t="shared" si="6"/>
        <v>UK</v>
      </c>
      <c r="Q3904" s="8">
        <f t="shared" si="7"/>
        <v>23.03</v>
      </c>
    </row>
    <row r="3905">
      <c r="A3905" s="1">
        <v>581492.0</v>
      </c>
      <c r="B3905" s="1" t="str">
        <f t="shared" si="1"/>
        <v>581492</v>
      </c>
      <c r="C3905" s="1" t="str">
        <f t="shared" si="2"/>
        <v>Sale</v>
      </c>
      <c r="D3905" s="1">
        <v>22348.0</v>
      </c>
      <c r="E3905" s="1" t="str">
        <f>IFERROR(__xludf.DUMMYFUNCTION("IF(LEN(D3905)&gt;4, IFERROR(REGEXEXTRACT(TO_TEXT(D3905),""\d+""),""""),"""")"),"22348")</f>
        <v>22348</v>
      </c>
      <c r="F3905" s="6" t="str">
        <f t="shared" si="3"/>
        <v>Product</v>
      </c>
      <c r="G3905" s="1" t="s">
        <v>1256</v>
      </c>
      <c r="H3905" s="6" t="str">
        <f>IFERROR(__xludf.DUMMYFUNCTION("IF(REGEXMATCH(LOWER(G3905), ""^(\?)+\s*(missing)?\s*(\?)*$""), """", PROPER(SUBSTITUTE(SUBSTITUTE(G3905, ""?"", """"), ""*"", """")))"),"Tea Bag Plate Red Retrospot")</f>
        <v>Tea Bag Plate Red Retrospot</v>
      </c>
      <c r="I3905" s="3">
        <v>3.0</v>
      </c>
      <c r="J3905" s="7">
        <v>40886.41875</v>
      </c>
      <c r="K3905" s="8" t="str">
        <f t="shared" si="4"/>
        <v>2011-12</v>
      </c>
      <c r="L3905" s="5">
        <v>1.63</v>
      </c>
      <c r="M3905" s="10"/>
      <c r="N3905" s="1" t="str">
        <f t="shared" si="5"/>
        <v>Guest</v>
      </c>
      <c r="O3905" s="1" t="s">
        <v>19</v>
      </c>
      <c r="P3905" s="9" t="str">
        <f t="shared" si="6"/>
        <v>UK</v>
      </c>
      <c r="Q3905" s="8">
        <f t="shared" si="7"/>
        <v>4.89</v>
      </c>
    </row>
    <row r="3906">
      <c r="A3906" s="1">
        <v>581492.0</v>
      </c>
      <c r="B3906" s="1" t="str">
        <f t="shared" si="1"/>
        <v>581492</v>
      </c>
      <c r="C3906" s="1" t="str">
        <f t="shared" si="2"/>
        <v>Sale</v>
      </c>
      <c r="D3906" s="1">
        <v>22355.0</v>
      </c>
      <c r="E3906" s="1" t="str">
        <f>IFERROR(__xludf.DUMMYFUNCTION("IF(LEN(D3906)&gt;4, IFERROR(REGEXEXTRACT(TO_TEXT(D3906),""\d+""),""""),"""")"),"22355")</f>
        <v>22355</v>
      </c>
      <c r="F3906" s="6" t="str">
        <f t="shared" si="3"/>
        <v>Product</v>
      </c>
      <c r="G3906" s="1" t="s">
        <v>1169</v>
      </c>
      <c r="H3906" s="6" t="str">
        <f>IFERROR(__xludf.DUMMYFUNCTION("IF(REGEXMATCH(LOWER(G3906), ""^(\?)+\s*(missing)?\s*(\?)*$""), """", PROPER(SUBSTITUTE(SUBSTITUTE(G3906, ""?"", """"), ""*"", """")))"),"Charlotte Bag Suki Design")</f>
        <v>Charlotte Bag Suki Design</v>
      </c>
      <c r="I3906" s="3">
        <v>3.0</v>
      </c>
      <c r="J3906" s="7">
        <v>40886.41875</v>
      </c>
      <c r="K3906" s="8" t="str">
        <f t="shared" si="4"/>
        <v>2011-12</v>
      </c>
      <c r="L3906" s="5">
        <v>1.63</v>
      </c>
      <c r="M3906" s="10"/>
      <c r="N3906" s="1" t="str">
        <f t="shared" si="5"/>
        <v>Guest</v>
      </c>
      <c r="O3906" s="1" t="s">
        <v>19</v>
      </c>
      <c r="P3906" s="9" t="str">
        <f t="shared" si="6"/>
        <v>UK</v>
      </c>
      <c r="Q3906" s="8">
        <f t="shared" si="7"/>
        <v>4.89</v>
      </c>
    </row>
    <row r="3907">
      <c r="A3907" s="1">
        <v>581492.0</v>
      </c>
      <c r="B3907" s="1" t="str">
        <f t="shared" si="1"/>
        <v>581492</v>
      </c>
      <c r="C3907" s="1" t="str">
        <f t="shared" si="2"/>
        <v>Sale</v>
      </c>
      <c r="D3907" s="1">
        <v>22356.0</v>
      </c>
      <c r="E3907" s="1" t="str">
        <f>IFERROR(__xludf.DUMMYFUNCTION("IF(LEN(D3907)&gt;4, IFERROR(REGEXEXTRACT(TO_TEXT(D3907),""\d+""),""""),"""")"),"22356")</f>
        <v>22356</v>
      </c>
      <c r="F3907" s="6" t="str">
        <f t="shared" si="3"/>
        <v>Product</v>
      </c>
      <c r="G3907" s="1" t="s">
        <v>808</v>
      </c>
      <c r="H3907" s="6" t="str">
        <f>IFERROR(__xludf.DUMMYFUNCTION("IF(REGEXMATCH(LOWER(G3907), ""^(\?)+\s*(missing)?\s*(\?)*$""), """", PROPER(SUBSTITUTE(SUBSTITUTE(G3907, ""?"", """"), ""*"", """")))"),"Charlotte Bag Pink Polkadot")</f>
        <v>Charlotte Bag Pink Polkadot</v>
      </c>
      <c r="I3907" s="3">
        <v>1.0</v>
      </c>
      <c r="J3907" s="7">
        <v>40886.41875</v>
      </c>
      <c r="K3907" s="8" t="str">
        <f t="shared" si="4"/>
        <v>2011-12</v>
      </c>
      <c r="L3907" s="5">
        <v>1.63</v>
      </c>
      <c r="M3907" s="10"/>
      <c r="N3907" s="1" t="str">
        <f t="shared" si="5"/>
        <v>Guest</v>
      </c>
      <c r="O3907" s="1" t="s">
        <v>19</v>
      </c>
      <c r="P3907" s="9" t="str">
        <f t="shared" si="6"/>
        <v>UK</v>
      </c>
      <c r="Q3907" s="8">
        <f t="shared" si="7"/>
        <v>1.63</v>
      </c>
    </row>
    <row r="3908">
      <c r="A3908" s="1">
        <v>581492.0</v>
      </c>
      <c r="B3908" s="1" t="str">
        <f t="shared" si="1"/>
        <v>581492</v>
      </c>
      <c r="C3908" s="1" t="str">
        <f t="shared" si="2"/>
        <v>Sale</v>
      </c>
      <c r="D3908" s="1">
        <v>22357.0</v>
      </c>
      <c r="E3908" s="1" t="str">
        <f>IFERROR(__xludf.DUMMYFUNCTION("IF(LEN(D3908)&gt;4, IFERROR(REGEXEXTRACT(TO_TEXT(D3908),""\d+""),""""),"""")"),"22357")</f>
        <v>22357</v>
      </c>
      <c r="F3908" s="6" t="str">
        <f t="shared" si="3"/>
        <v>Product</v>
      </c>
      <c r="G3908" s="1" t="s">
        <v>517</v>
      </c>
      <c r="H3908" s="6" t="str">
        <f>IFERROR(__xludf.DUMMYFUNCTION("IF(REGEXMATCH(LOWER(G3908), ""^(\?)+\s*(missing)?\s*(\?)*$""), """", PROPER(SUBSTITUTE(SUBSTITUTE(G3908, ""?"", """"), ""*"", """")))"),"Kings Choice Biscuit Tin")</f>
        <v>Kings Choice Biscuit Tin</v>
      </c>
      <c r="I3908" s="3">
        <v>2.0</v>
      </c>
      <c r="J3908" s="7">
        <v>40886.41875</v>
      </c>
      <c r="K3908" s="8" t="str">
        <f t="shared" si="4"/>
        <v>2011-12</v>
      </c>
      <c r="L3908" s="5">
        <v>4.13</v>
      </c>
      <c r="M3908" s="10"/>
      <c r="N3908" s="1" t="str">
        <f t="shared" si="5"/>
        <v>Guest</v>
      </c>
      <c r="O3908" s="1" t="s">
        <v>19</v>
      </c>
      <c r="P3908" s="9" t="str">
        <f t="shared" si="6"/>
        <v>UK</v>
      </c>
      <c r="Q3908" s="8">
        <f t="shared" si="7"/>
        <v>8.26</v>
      </c>
    </row>
    <row r="3909">
      <c r="A3909" s="1">
        <v>581492.0</v>
      </c>
      <c r="B3909" s="1" t="str">
        <f t="shared" si="1"/>
        <v>581492</v>
      </c>
      <c r="C3909" s="1" t="str">
        <f t="shared" si="2"/>
        <v>Sale</v>
      </c>
      <c r="D3909" s="1">
        <v>22358.0</v>
      </c>
      <c r="E3909" s="1" t="str">
        <f>IFERROR(__xludf.DUMMYFUNCTION("IF(LEN(D3909)&gt;4, IFERROR(REGEXEXTRACT(TO_TEXT(D3909),""\d+""),""""),"""")"),"22358")</f>
        <v>22358</v>
      </c>
      <c r="F3909" s="6" t="str">
        <f t="shared" si="3"/>
        <v>Product</v>
      </c>
      <c r="G3909" s="1" t="s">
        <v>516</v>
      </c>
      <c r="H3909" s="6" t="str">
        <f>IFERROR(__xludf.DUMMYFUNCTION("IF(REGEXMATCH(LOWER(G3909), ""^(\?)+\s*(missing)?\s*(\?)*$""), """", PROPER(SUBSTITUTE(SUBSTITUTE(G3909, ""?"", """"), ""*"", """")))"),"Kings Choice Tea Caddy")</f>
        <v>Kings Choice Tea Caddy</v>
      </c>
      <c r="I3909" s="3">
        <v>1.0</v>
      </c>
      <c r="J3909" s="7">
        <v>40886.41875</v>
      </c>
      <c r="K3909" s="8" t="str">
        <f t="shared" si="4"/>
        <v>2011-12</v>
      </c>
      <c r="L3909" s="5">
        <v>5.79</v>
      </c>
      <c r="M3909" s="10"/>
      <c r="N3909" s="1" t="str">
        <f t="shared" si="5"/>
        <v>Guest</v>
      </c>
      <c r="O3909" s="1" t="s">
        <v>19</v>
      </c>
      <c r="P3909" s="9" t="str">
        <f t="shared" si="6"/>
        <v>UK</v>
      </c>
      <c r="Q3909" s="8">
        <f t="shared" si="7"/>
        <v>5.79</v>
      </c>
    </row>
    <row r="3910">
      <c r="A3910" s="1">
        <v>581492.0</v>
      </c>
      <c r="B3910" s="1" t="str">
        <f t="shared" si="1"/>
        <v>581492</v>
      </c>
      <c r="C3910" s="1" t="str">
        <f t="shared" si="2"/>
        <v>Sale</v>
      </c>
      <c r="D3910" s="1">
        <v>22361.0</v>
      </c>
      <c r="E3910" s="1" t="str">
        <f>IFERROR(__xludf.DUMMYFUNCTION("IF(LEN(D3910)&gt;4, IFERROR(REGEXEXTRACT(TO_TEXT(D3910),""\d+""),""""),"""")"),"22361")</f>
        <v>22361</v>
      </c>
      <c r="F3910" s="6" t="str">
        <f t="shared" si="3"/>
        <v>Product</v>
      </c>
      <c r="G3910" s="1" t="s">
        <v>913</v>
      </c>
      <c r="H3910" s="6" t="str">
        <f>IFERROR(__xludf.DUMMYFUNCTION("IF(REGEXMATCH(LOWER(G3910), ""^(\?)+\s*(missing)?\s*(\?)*$""), """", PROPER(SUBSTITUTE(SUBSTITUTE(G3910, ""?"", """"), ""*"", """")))"),"Glass Jar Daisy Fresh Cotton Wool")</f>
        <v>Glass Jar Daisy Fresh Cotton Wool</v>
      </c>
      <c r="I3910" s="3">
        <v>2.0</v>
      </c>
      <c r="J3910" s="7">
        <v>40886.41875</v>
      </c>
      <c r="K3910" s="8" t="str">
        <f t="shared" si="4"/>
        <v>2011-12</v>
      </c>
      <c r="L3910" s="5">
        <v>5.79</v>
      </c>
      <c r="M3910" s="10"/>
      <c r="N3910" s="1" t="str">
        <f t="shared" si="5"/>
        <v>Guest</v>
      </c>
      <c r="O3910" s="1" t="s">
        <v>19</v>
      </c>
      <c r="P3910" s="9" t="str">
        <f t="shared" si="6"/>
        <v>UK</v>
      </c>
      <c r="Q3910" s="8">
        <f t="shared" si="7"/>
        <v>11.58</v>
      </c>
    </row>
    <row r="3911">
      <c r="A3911" s="1">
        <v>581492.0</v>
      </c>
      <c r="B3911" s="1" t="str">
        <f t="shared" si="1"/>
        <v>581492</v>
      </c>
      <c r="C3911" s="1" t="str">
        <f t="shared" si="2"/>
        <v>Sale</v>
      </c>
      <c r="D3911" s="1">
        <v>22362.0</v>
      </c>
      <c r="E3911" s="1" t="str">
        <f>IFERROR(__xludf.DUMMYFUNCTION("IF(LEN(D3911)&gt;4, IFERROR(REGEXEXTRACT(TO_TEXT(D3911),""\d+""),""""),"""")"),"22362")</f>
        <v>22362</v>
      </c>
      <c r="F3911" s="6" t="str">
        <f t="shared" si="3"/>
        <v>Product</v>
      </c>
      <c r="G3911" s="1" t="s">
        <v>912</v>
      </c>
      <c r="H3911" s="6" t="str">
        <f>IFERROR(__xludf.DUMMYFUNCTION("IF(REGEXMATCH(LOWER(G3911), ""^(\?)+\s*(missing)?\s*(\?)*$""), """", PROPER(SUBSTITUTE(SUBSTITUTE(G3911, ""?"", """"), ""*"", """")))"),"Glass Jar Peacock Bath Salts")</f>
        <v>Glass Jar Peacock Bath Salts</v>
      </c>
      <c r="I3911" s="3">
        <v>2.0</v>
      </c>
      <c r="J3911" s="7">
        <v>40886.41875</v>
      </c>
      <c r="K3911" s="8" t="str">
        <f t="shared" si="4"/>
        <v>2011-12</v>
      </c>
      <c r="L3911" s="5">
        <v>5.79</v>
      </c>
      <c r="M3911" s="10"/>
      <c r="N3911" s="1" t="str">
        <f t="shared" si="5"/>
        <v>Guest</v>
      </c>
      <c r="O3911" s="1" t="s">
        <v>19</v>
      </c>
      <c r="P3911" s="9" t="str">
        <f t="shared" si="6"/>
        <v>UK</v>
      </c>
      <c r="Q3911" s="8">
        <f t="shared" si="7"/>
        <v>11.58</v>
      </c>
    </row>
    <row r="3912">
      <c r="A3912" s="1">
        <v>581492.0</v>
      </c>
      <c r="B3912" s="1" t="str">
        <f t="shared" si="1"/>
        <v>581492</v>
      </c>
      <c r="C3912" s="1" t="str">
        <f t="shared" si="2"/>
        <v>Sale</v>
      </c>
      <c r="D3912" s="1">
        <v>22367.0</v>
      </c>
      <c r="E3912" s="1" t="str">
        <f>IFERROR(__xludf.DUMMYFUNCTION("IF(LEN(D3912)&gt;4, IFERROR(REGEXEXTRACT(TO_TEXT(D3912),""\d+""),""""),"""")"),"22367")</f>
        <v>22367</v>
      </c>
      <c r="F3912" s="6" t="str">
        <f t="shared" si="3"/>
        <v>Product</v>
      </c>
      <c r="G3912" s="1" t="s">
        <v>488</v>
      </c>
      <c r="H3912" s="6" t="str">
        <f>IFERROR(__xludf.DUMMYFUNCTION("IF(REGEXMATCH(LOWER(G3912), ""^(\?)+\s*(missing)?\s*(\?)*$""), """", PROPER(SUBSTITUTE(SUBSTITUTE(G3912, ""?"", """"), ""*"", """")))"),"Childrens Apron Spaceboy Design")</f>
        <v>Childrens Apron Spaceboy Design</v>
      </c>
      <c r="I3912" s="3">
        <v>1.0</v>
      </c>
      <c r="J3912" s="7">
        <v>40886.41875</v>
      </c>
      <c r="K3912" s="8" t="str">
        <f t="shared" si="4"/>
        <v>2011-12</v>
      </c>
      <c r="L3912" s="5">
        <v>4.13</v>
      </c>
      <c r="M3912" s="10"/>
      <c r="N3912" s="1" t="str">
        <f t="shared" si="5"/>
        <v>Guest</v>
      </c>
      <c r="O3912" s="1" t="s">
        <v>19</v>
      </c>
      <c r="P3912" s="9" t="str">
        <f t="shared" si="6"/>
        <v>UK</v>
      </c>
      <c r="Q3912" s="8">
        <f t="shared" si="7"/>
        <v>4.13</v>
      </c>
    </row>
    <row r="3913">
      <c r="A3913" s="1">
        <v>581492.0</v>
      </c>
      <c r="B3913" s="1" t="str">
        <f t="shared" si="1"/>
        <v>581492</v>
      </c>
      <c r="C3913" s="1" t="str">
        <f t="shared" si="2"/>
        <v>Sale</v>
      </c>
      <c r="D3913" s="1">
        <v>22372.0</v>
      </c>
      <c r="E3913" s="1" t="str">
        <f>IFERROR(__xludf.DUMMYFUNCTION("IF(LEN(D3913)&gt;4, IFERROR(REGEXEXTRACT(TO_TEXT(D3913),""\d+""),""""),"""")"),"22372")</f>
        <v>22372</v>
      </c>
      <c r="F3913" s="6" t="str">
        <f t="shared" si="3"/>
        <v>Product</v>
      </c>
      <c r="G3913" s="1" t="s">
        <v>633</v>
      </c>
      <c r="H3913" s="6" t="str">
        <f>IFERROR(__xludf.DUMMYFUNCTION("IF(REGEXMATCH(LOWER(G3913), ""^(\?)+\s*(missing)?\s*(\?)*$""), """", PROPER(SUBSTITUTE(SUBSTITUTE(G3913, ""?"", """"), ""*"", """")))"),"Airline Bag Vintage World Champion")</f>
        <v>Airline Bag Vintage World Champion</v>
      </c>
      <c r="I3913" s="3">
        <v>1.0</v>
      </c>
      <c r="J3913" s="7">
        <v>40886.41875</v>
      </c>
      <c r="K3913" s="8" t="str">
        <f t="shared" si="4"/>
        <v>2011-12</v>
      </c>
      <c r="L3913" s="5">
        <v>8.29</v>
      </c>
      <c r="M3913" s="10"/>
      <c r="N3913" s="1" t="str">
        <f t="shared" si="5"/>
        <v>Guest</v>
      </c>
      <c r="O3913" s="1" t="s">
        <v>19</v>
      </c>
      <c r="P3913" s="9" t="str">
        <f t="shared" si="6"/>
        <v>UK</v>
      </c>
      <c r="Q3913" s="8">
        <f t="shared" si="7"/>
        <v>8.29</v>
      </c>
    </row>
    <row r="3914">
      <c r="A3914" s="1">
        <v>581492.0</v>
      </c>
      <c r="B3914" s="1" t="str">
        <f t="shared" si="1"/>
        <v>581492</v>
      </c>
      <c r="C3914" s="1" t="str">
        <f t="shared" si="2"/>
        <v>Sale</v>
      </c>
      <c r="D3914" s="1">
        <v>22374.0</v>
      </c>
      <c r="E3914" s="1" t="str">
        <f>IFERROR(__xludf.DUMMYFUNCTION("IF(LEN(D3914)&gt;4, IFERROR(REGEXEXTRACT(TO_TEXT(D3914),""\d+""),""""),"""")"),"22374")</f>
        <v>22374</v>
      </c>
      <c r="F3914" s="6" t="str">
        <f t="shared" si="3"/>
        <v>Product</v>
      </c>
      <c r="G3914" s="1" t="s">
        <v>841</v>
      </c>
      <c r="H3914" s="6" t="str">
        <f>IFERROR(__xludf.DUMMYFUNCTION("IF(REGEXMATCH(LOWER(G3914), ""^(\?)+\s*(missing)?\s*(\?)*$""), """", PROPER(SUBSTITUTE(SUBSTITUTE(G3914, ""?"", """"), ""*"", """")))"),"Airline Bag Vintage Jet Set Red")</f>
        <v>Airline Bag Vintage Jet Set Red</v>
      </c>
      <c r="I3914" s="3">
        <v>1.0</v>
      </c>
      <c r="J3914" s="7">
        <v>40886.41875</v>
      </c>
      <c r="K3914" s="8" t="str">
        <f t="shared" si="4"/>
        <v>2011-12</v>
      </c>
      <c r="L3914" s="5">
        <v>8.29</v>
      </c>
      <c r="M3914" s="10"/>
      <c r="N3914" s="1" t="str">
        <f t="shared" si="5"/>
        <v>Guest</v>
      </c>
      <c r="O3914" s="1" t="s">
        <v>19</v>
      </c>
      <c r="P3914" s="9" t="str">
        <f t="shared" si="6"/>
        <v>UK</v>
      </c>
      <c r="Q3914" s="8">
        <f t="shared" si="7"/>
        <v>8.29</v>
      </c>
    </row>
    <row r="3915">
      <c r="A3915" s="1">
        <v>581492.0</v>
      </c>
      <c r="B3915" s="1" t="str">
        <f t="shared" si="1"/>
        <v>581492</v>
      </c>
      <c r="C3915" s="1" t="str">
        <f t="shared" si="2"/>
        <v>Sale</v>
      </c>
      <c r="D3915" s="1" t="s">
        <v>201</v>
      </c>
      <c r="E3915" s="1" t="str">
        <f>IFERROR(__xludf.DUMMYFUNCTION("IF(LEN(D3915)&gt;4, IFERROR(REGEXEXTRACT(TO_TEXT(D3915),""\d+""),""""),"""")"),"85014")</f>
        <v>85014</v>
      </c>
      <c r="F3915" s="6" t="str">
        <f t="shared" si="3"/>
        <v>Product</v>
      </c>
      <c r="G3915" s="1" t="s">
        <v>202</v>
      </c>
      <c r="H3915" s="6" t="str">
        <f>IFERROR(__xludf.DUMMYFUNCTION("IF(REGEXMATCH(LOWER(G3915), ""^(\?)+\s*(missing)?\s*(\?)*$""), """", PROPER(SUBSTITUTE(SUBSTITUTE(G3915, ""?"", """"), ""*"", """")))"),"Red Retrospot Umbrella")</f>
        <v>Red Retrospot Umbrella</v>
      </c>
      <c r="I3915" s="3">
        <v>1.0</v>
      </c>
      <c r="J3915" s="7">
        <v>40886.41875</v>
      </c>
      <c r="K3915" s="8" t="str">
        <f t="shared" si="4"/>
        <v>2011-12</v>
      </c>
      <c r="L3915" s="5">
        <v>12.46</v>
      </c>
      <c r="M3915" s="10"/>
      <c r="N3915" s="1" t="str">
        <f t="shared" si="5"/>
        <v>Guest</v>
      </c>
      <c r="O3915" s="1" t="s">
        <v>19</v>
      </c>
      <c r="P3915" s="9" t="str">
        <f t="shared" si="6"/>
        <v>UK</v>
      </c>
      <c r="Q3915" s="8">
        <f t="shared" si="7"/>
        <v>12.46</v>
      </c>
    </row>
    <row r="3916">
      <c r="A3916" s="1">
        <v>581492.0</v>
      </c>
      <c r="B3916" s="1" t="str">
        <f t="shared" si="1"/>
        <v>581492</v>
      </c>
      <c r="C3916" s="1" t="str">
        <f t="shared" si="2"/>
        <v>Sale</v>
      </c>
      <c r="D3916" s="1" t="s">
        <v>1815</v>
      </c>
      <c r="E3916" s="1" t="str">
        <f>IFERROR(__xludf.DUMMYFUNCTION("IF(LEN(D3916)&gt;4, IFERROR(REGEXEXTRACT(TO_TEXT(D3916),""\d+""),""""),"""")"),"85032")</f>
        <v>85032</v>
      </c>
      <c r="F3916" s="6" t="str">
        <f t="shared" si="3"/>
        <v>Product</v>
      </c>
      <c r="G3916" s="1" t="s">
        <v>1816</v>
      </c>
      <c r="H3916" s="6" t="str">
        <f>IFERROR(__xludf.DUMMYFUNCTION("IF(REGEXMATCH(LOWER(G3916), ""^(\?)+\s*(missing)?\s*(\?)*$""), """", PROPER(SUBSTITUTE(SUBSTITUTE(G3916, ""?"", """"), ""*"", """")))"),"Curious Images Gift Wrap Set")</f>
        <v>Curious Images Gift Wrap Set</v>
      </c>
      <c r="I3916" s="3">
        <v>1.0</v>
      </c>
      <c r="J3916" s="7">
        <v>40886.41875</v>
      </c>
      <c r="K3916" s="8" t="str">
        <f t="shared" si="4"/>
        <v>2011-12</v>
      </c>
      <c r="L3916" s="5">
        <v>1.63</v>
      </c>
      <c r="M3916" s="10"/>
      <c r="N3916" s="1" t="str">
        <f t="shared" si="5"/>
        <v>Guest</v>
      </c>
      <c r="O3916" s="1" t="s">
        <v>19</v>
      </c>
      <c r="P3916" s="9" t="str">
        <f t="shared" si="6"/>
        <v>UK</v>
      </c>
      <c r="Q3916" s="8">
        <f t="shared" si="7"/>
        <v>1.63</v>
      </c>
    </row>
    <row r="3917">
      <c r="A3917" s="1">
        <v>581492.0</v>
      </c>
      <c r="B3917" s="1" t="str">
        <f t="shared" si="1"/>
        <v>581492</v>
      </c>
      <c r="C3917" s="1" t="str">
        <f t="shared" si="2"/>
        <v>Sale</v>
      </c>
      <c r="D3917" s="1">
        <v>85038.0</v>
      </c>
      <c r="E3917" s="1" t="str">
        <f>IFERROR(__xludf.DUMMYFUNCTION("IF(LEN(D3917)&gt;4, IFERROR(REGEXEXTRACT(TO_TEXT(D3917),""\d+""),""""),"""")"),"85038")</f>
        <v>85038</v>
      </c>
      <c r="F3917" s="6" t="str">
        <f t="shared" si="3"/>
        <v>Product</v>
      </c>
      <c r="G3917" s="1" t="s">
        <v>1817</v>
      </c>
      <c r="H3917" s="6" t="str">
        <f>IFERROR(__xludf.DUMMYFUNCTION("IF(REGEXMATCH(LOWER(G3917), ""^(\?)+\s*(missing)?\s*(\?)*$""), """", PROPER(SUBSTITUTE(SUBSTITUTE(G3917, ""?"", """"), ""*"", """")))"),"6 Chocolate Love Heart T-Lights")</f>
        <v>6 Chocolate Love Heart T-Lights</v>
      </c>
      <c r="I3917" s="3">
        <v>1.0</v>
      </c>
      <c r="J3917" s="7">
        <v>40886.41875</v>
      </c>
      <c r="K3917" s="8" t="str">
        <f t="shared" si="4"/>
        <v>2011-12</v>
      </c>
      <c r="L3917" s="5">
        <v>4.13</v>
      </c>
      <c r="M3917" s="10"/>
      <c r="N3917" s="1" t="str">
        <f t="shared" si="5"/>
        <v>Guest</v>
      </c>
      <c r="O3917" s="1" t="s">
        <v>19</v>
      </c>
      <c r="P3917" s="9" t="str">
        <f t="shared" si="6"/>
        <v>UK</v>
      </c>
      <c r="Q3917" s="8">
        <f t="shared" si="7"/>
        <v>4.13</v>
      </c>
    </row>
    <row r="3918">
      <c r="A3918" s="1">
        <v>581492.0</v>
      </c>
      <c r="B3918" s="1" t="str">
        <f t="shared" si="1"/>
        <v>581492</v>
      </c>
      <c r="C3918" s="1" t="str">
        <f t="shared" si="2"/>
        <v>Sale</v>
      </c>
      <c r="D3918" s="1" t="s">
        <v>1362</v>
      </c>
      <c r="E3918" s="1" t="str">
        <f>IFERROR(__xludf.DUMMYFUNCTION("IF(LEN(D3918)&gt;4, IFERROR(REGEXEXTRACT(TO_TEXT(D3918),""\d+""),""""),"""")"),"85039")</f>
        <v>85039</v>
      </c>
      <c r="F3918" s="6" t="str">
        <f t="shared" si="3"/>
        <v>Product</v>
      </c>
      <c r="G3918" s="1" t="s">
        <v>1363</v>
      </c>
      <c r="H3918" s="6" t="str">
        <f>IFERROR(__xludf.DUMMYFUNCTION("IF(REGEXMATCH(LOWER(G3918), ""^(\?)+\s*(missing)?\s*(\?)*$""), """", PROPER(SUBSTITUTE(SUBSTITUTE(G3918, ""?"", """"), ""*"", """")))"),"Set/4 Red Mini Rose Candle In Bowl")</f>
        <v>Set/4 Red Mini Rose Candle In Bowl</v>
      </c>
      <c r="I3918" s="3">
        <v>5.0</v>
      </c>
      <c r="J3918" s="7">
        <v>40886.41875</v>
      </c>
      <c r="K3918" s="8" t="str">
        <f t="shared" si="4"/>
        <v>2011-12</v>
      </c>
      <c r="L3918" s="5">
        <v>1.63</v>
      </c>
      <c r="M3918" s="10"/>
      <c r="N3918" s="1" t="str">
        <f t="shared" si="5"/>
        <v>Guest</v>
      </c>
      <c r="O3918" s="1" t="s">
        <v>19</v>
      </c>
      <c r="P3918" s="9" t="str">
        <f t="shared" si="6"/>
        <v>UK</v>
      </c>
      <c r="Q3918" s="8">
        <f t="shared" si="7"/>
        <v>8.15</v>
      </c>
    </row>
    <row r="3919">
      <c r="A3919" s="1">
        <v>581492.0</v>
      </c>
      <c r="B3919" s="1" t="str">
        <f t="shared" si="1"/>
        <v>581492</v>
      </c>
      <c r="C3919" s="1" t="str">
        <f t="shared" si="2"/>
        <v>Sale</v>
      </c>
      <c r="D3919" s="1" t="s">
        <v>1818</v>
      </c>
      <c r="E3919" s="1" t="str">
        <f>IFERROR(__xludf.DUMMYFUNCTION("IF(LEN(D3919)&gt;4, IFERROR(REGEXEXTRACT(TO_TEXT(D3919),""\d+""),""""),"""")"),"85039")</f>
        <v>85039</v>
      </c>
      <c r="F3919" s="6" t="str">
        <f t="shared" si="3"/>
        <v>Product</v>
      </c>
      <c r="G3919" s="1" t="s">
        <v>1819</v>
      </c>
      <c r="H3919" s="6" t="str">
        <f>IFERROR(__xludf.DUMMYFUNCTION("IF(REGEXMATCH(LOWER(G3919), ""^(\?)+\s*(missing)?\s*(\?)*$""), """", PROPER(SUBSTITUTE(SUBSTITUTE(G3919, ""?"", """"), ""*"", """")))"),"S/4 Ivory Mini Rose Candle In Bowl")</f>
        <v>S/4 Ivory Mini Rose Candle In Bowl</v>
      </c>
      <c r="I3919" s="3">
        <v>4.0</v>
      </c>
      <c r="J3919" s="7">
        <v>40886.41875</v>
      </c>
      <c r="K3919" s="8" t="str">
        <f t="shared" si="4"/>
        <v>2011-12</v>
      </c>
      <c r="L3919" s="5">
        <v>1.63</v>
      </c>
      <c r="M3919" s="10"/>
      <c r="N3919" s="1" t="str">
        <f t="shared" si="5"/>
        <v>Guest</v>
      </c>
      <c r="O3919" s="1" t="s">
        <v>19</v>
      </c>
      <c r="P3919" s="9" t="str">
        <f t="shared" si="6"/>
        <v>UK</v>
      </c>
      <c r="Q3919" s="8">
        <f t="shared" si="7"/>
        <v>6.52</v>
      </c>
    </row>
    <row r="3920">
      <c r="A3920" s="1">
        <v>581492.0</v>
      </c>
      <c r="B3920" s="1" t="str">
        <f t="shared" si="1"/>
        <v>581492</v>
      </c>
      <c r="C3920" s="1" t="str">
        <f t="shared" si="2"/>
        <v>Sale</v>
      </c>
      <c r="D3920" s="1" t="s">
        <v>1364</v>
      </c>
      <c r="E3920" s="1" t="str">
        <f>IFERROR(__xludf.DUMMYFUNCTION("IF(LEN(D3920)&gt;4, IFERROR(REGEXEXTRACT(TO_TEXT(D3920),""\d+""),""""),"""")"),"85040")</f>
        <v>85040</v>
      </c>
      <c r="F3920" s="6" t="str">
        <f t="shared" si="3"/>
        <v>Product</v>
      </c>
      <c r="G3920" s="1" t="s">
        <v>1365</v>
      </c>
      <c r="H3920" s="6" t="str">
        <f>IFERROR(__xludf.DUMMYFUNCTION("IF(REGEXMATCH(LOWER(G3920), ""^(\?)+\s*(missing)?\s*(\?)*$""), """", PROPER(SUBSTITUTE(SUBSTITUTE(G3920, ""?"", """"), ""*"", """")))"),"S/4 Pink Flower Candles In Bowl")</f>
        <v>S/4 Pink Flower Candles In Bowl</v>
      </c>
      <c r="I3920" s="3">
        <v>1.0</v>
      </c>
      <c r="J3920" s="7">
        <v>40886.41875</v>
      </c>
      <c r="K3920" s="8" t="str">
        <f t="shared" si="4"/>
        <v>2011-12</v>
      </c>
      <c r="L3920" s="5">
        <v>3.29</v>
      </c>
      <c r="M3920" s="10"/>
      <c r="N3920" s="1" t="str">
        <f t="shared" si="5"/>
        <v>Guest</v>
      </c>
      <c r="O3920" s="1" t="s">
        <v>19</v>
      </c>
      <c r="P3920" s="9" t="str">
        <f t="shared" si="6"/>
        <v>UK</v>
      </c>
      <c r="Q3920" s="8">
        <f t="shared" si="7"/>
        <v>3.29</v>
      </c>
    </row>
    <row r="3921">
      <c r="A3921" s="1">
        <v>581492.0</v>
      </c>
      <c r="B3921" s="1" t="str">
        <f t="shared" si="1"/>
        <v>581492</v>
      </c>
      <c r="C3921" s="1" t="str">
        <f t="shared" si="2"/>
        <v>Sale</v>
      </c>
      <c r="D3921" s="1">
        <v>85048.0</v>
      </c>
      <c r="E3921" s="1" t="str">
        <f>IFERROR(__xludf.DUMMYFUNCTION("IF(LEN(D3921)&gt;4, IFERROR(REGEXEXTRACT(TO_TEXT(D3921),""\d+""),""""),"""")"),"85048")</f>
        <v>85048</v>
      </c>
      <c r="F3921" s="6" t="str">
        <f t="shared" si="3"/>
        <v>Product</v>
      </c>
      <c r="G3921" s="1" t="s">
        <v>1481</v>
      </c>
      <c r="H3921" s="6" t="str">
        <f>IFERROR(__xludf.DUMMYFUNCTION("IF(REGEXMATCH(LOWER(G3921), ""^(\?)+\s*(missing)?\s*(\?)*$""), """", PROPER(SUBSTITUTE(SUBSTITUTE(G3921, ""?"", """"), ""*"", """")))"),"15Cm Christmas Glass Ball 20 Lights")</f>
        <v>15Cm Christmas Glass Ball 20 Lights</v>
      </c>
      <c r="I3921" s="3">
        <v>2.0</v>
      </c>
      <c r="J3921" s="7">
        <v>40886.41875</v>
      </c>
      <c r="K3921" s="8" t="str">
        <f t="shared" si="4"/>
        <v>2011-12</v>
      </c>
      <c r="L3921" s="5">
        <v>16.63</v>
      </c>
      <c r="M3921" s="10"/>
      <c r="N3921" s="1" t="str">
        <f t="shared" si="5"/>
        <v>Guest</v>
      </c>
      <c r="O3921" s="1" t="s">
        <v>19</v>
      </c>
      <c r="P3921" s="9" t="str">
        <f t="shared" si="6"/>
        <v>UK</v>
      </c>
      <c r="Q3921" s="8">
        <f t="shared" si="7"/>
        <v>33.26</v>
      </c>
    </row>
    <row r="3922">
      <c r="A3922" s="1">
        <v>581492.0</v>
      </c>
      <c r="B3922" s="1" t="str">
        <f t="shared" si="1"/>
        <v>581492</v>
      </c>
      <c r="C3922" s="1" t="str">
        <f t="shared" si="2"/>
        <v>Sale</v>
      </c>
      <c r="D3922" s="1" t="s">
        <v>340</v>
      </c>
      <c r="E3922" s="1" t="str">
        <f>IFERROR(__xludf.DUMMYFUNCTION("IF(LEN(D3922)&gt;4, IFERROR(REGEXEXTRACT(TO_TEXT(D3922),""\d+""),""""),"""")"),"85049")</f>
        <v>85049</v>
      </c>
      <c r="F3922" s="6" t="str">
        <f t="shared" si="3"/>
        <v>Product</v>
      </c>
      <c r="G3922" s="1" t="s">
        <v>341</v>
      </c>
      <c r="H3922" s="6" t="str">
        <f>IFERROR(__xludf.DUMMYFUNCTION("IF(REGEXMATCH(LOWER(G3922), ""^(\?)+\s*(missing)?\s*(\?)*$""), """", PROPER(SUBSTITUTE(SUBSTITUTE(G3922, ""?"", """"), ""*"", """")))"),"Romantic Pinks Ribbons")</f>
        <v>Romantic Pinks Ribbons</v>
      </c>
      <c r="I3922" s="3">
        <v>1.0</v>
      </c>
      <c r="J3922" s="7">
        <v>40886.41875</v>
      </c>
      <c r="K3922" s="8" t="str">
        <f t="shared" si="4"/>
        <v>2011-12</v>
      </c>
      <c r="L3922" s="5">
        <v>2.46</v>
      </c>
      <c r="M3922" s="10"/>
      <c r="N3922" s="1" t="str">
        <f t="shared" si="5"/>
        <v>Guest</v>
      </c>
      <c r="O3922" s="1" t="s">
        <v>19</v>
      </c>
      <c r="P3922" s="9" t="str">
        <f t="shared" si="6"/>
        <v>UK</v>
      </c>
      <c r="Q3922" s="8">
        <f t="shared" si="7"/>
        <v>2.46</v>
      </c>
    </row>
    <row r="3923">
      <c r="A3923" s="1">
        <v>581492.0</v>
      </c>
      <c r="B3923" s="1" t="str">
        <f t="shared" si="1"/>
        <v>581492</v>
      </c>
      <c r="C3923" s="1" t="str">
        <f t="shared" si="2"/>
        <v>Sale</v>
      </c>
      <c r="D3923" s="1" t="s">
        <v>344</v>
      </c>
      <c r="E3923" s="1" t="str">
        <f>IFERROR(__xludf.DUMMYFUNCTION("IF(LEN(D3923)&gt;4, IFERROR(REGEXEXTRACT(TO_TEXT(D3923),""\d+""),""""),"""")"),"85049")</f>
        <v>85049</v>
      </c>
      <c r="F3923" s="6" t="str">
        <f t="shared" si="3"/>
        <v>Product</v>
      </c>
      <c r="G3923" s="1" t="s">
        <v>345</v>
      </c>
      <c r="H3923" s="6" t="str">
        <f>IFERROR(__xludf.DUMMYFUNCTION("IF(REGEXMATCH(LOWER(G3923), ""^(\?)+\s*(missing)?\s*(\?)*$""), """", PROPER(SUBSTITUTE(SUBSTITUTE(G3923, ""?"", """"), ""*"", """")))"),"Chocolate Box Ribbons")</f>
        <v>Chocolate Box Ribbons</v>
      </c>
      <c r="I3923" s="3">
        <v>1.0</v>
      </c>
      <c r="J3923" s="7">
        <v>40886.41875</v>
      </c>
      <c r="K3923" s="8" t="str">
        <f t="shared" si="4"/>
        <v>2011-12</v>
      </c>
      <c r="L3923" s="5">
        <v>2.46</v>
      </c>
      <c r="M3923" s="10"/>
      <c r="N3923" s="1" t="str">
        <f t="shared" si="5"/>
        <v>Guest</v>
      </c>
      <c r="O3923" s="1" t="s">
        <v>19</v>
      </c>
      <c r="P3923" s="9" t="str">
        <f t="shared" si="6"/>
        <v>UK</v>
      </c>
      <c r="Q3923" s="8">
        <f t="shared" si="7"/>
        <v>2.46</v>
      </c>
    </row>
    <row r="3924">
      <c r="A3924" s="1">
        <v>581492.0</v>
      </c>
      <c r="B3924" s="1" t="str">
        <f t="shared" si="1"/>
        <v>581492</v>
      </c>
      <c r="C3924" s="1" t="str">
        <f t="shared" si="2"/>
        <v>Sale</v>
      </c>
      <c r="D3924" s="1" t="s">
        <v>505</v>
      </c>
      <c r="E3924" s="1" t="str">
        <f>IFERROR(__xludf.DUMMYFUNCTION("IF(LEN(D3924)&gt;4, IFERROR(REGEXEXTRACT(TO_TEXT(D3924),""\d+""),""""),"""")"),"85049")</f>
        <v>85049</v>
      </c>
      <c r="F3924" s="6" t="str">
        <f t="shared" si="3"/>
        <v>Product</v>
      </c>
      <c r="G3924" s="1" t="s">
        <v>506</v>
      </c>
      <c r="H3924" s="6" t="str">
        <f>IFERROR(__xludf.DUMMYFUNCTION("IF(REGEXMATCH(LOWER(G3924), ""^(\?)+\s*(missing)?\s*(\?)*$""), """", PROPER(SUBSTITUTE(SUBSTITUTE(G3924, ""?"", """"), ""*"", """")))"),"Urban Black Ribbons")</f>
        <v>Urban Black Ribbons</v>
      </c>
      <c r="I3924" s="3">
        <v>2.0</v>
      </c>
      <c r="J3924" s="7">
        <v>40886.41875</v>
      </c>
      <c r="K3924" s="8" t="str">
        <f t="shared" si="4"/>
        <v>2011-12</v>
      </c>
      <c r="L3924" s="5">
        <v>0.83</v>
      </c>
      <c r="M3924" s="10"/>
      <c r="N3924" s="1" t="str">
        <f t="shared" si="5"/>
        <v>Guest</v>
      </c>
      <c r="O3924" s="1" t="s">
        <v>19</v>
      </c>
      <c r="P3924" s="9" t="str">
        <f t="shared" si="6"/>
        <v>UK</v>
      </c>
      <c r="Q3924" s="8">
        <f t="shared" si="7"/>
        <v>1.66</v>
      </c>
    </row>
    <row r="3925">
      <c r="A3925" s="1">
        <v>581492.0</v>
      </c>
      <c r="B3925" s="1" t="str">
        <f t="shared" si="1"/>
        <v>581492</v>
      </c>
      <c r="C3925" s="1" t="str">
        <f t="shared" si="2"/>
        <v>Sale</v>
      </c>
      <c r="D3925" s="1">
        <v>85053.0</v>
      </c>
      <c r="E3925" s="1" t="str">
        <f>IFERROR(__xludf.DUMMYFUNCTION("IF(LEN(D3925)&gt;4, IFERROR(REGEXEXTRACT(TO_TEXT(D3925),""\d+""),""""),"""")"),"85053")</f>
        <v>85053</v>
      </c>
      <c r="F3925" s="6" t="str">
        <f t="shared" si="3"/>
        <v>Product</v>
      </c>
      <c r="G3925" s="1" t="s">
        <v>922</v>
      </c>
      <c r="H3925" s="6" t="str">
        <f>IFERROR(__xludf.DUMMYFUNCTION("IF(REGEXMATCH(LOWER(G3925), ""^(\?)+\s*(missing)?\s*(\?)*$""), """", PROPER(SUBSTITUTE(SUBSTITUTE(G3925, ""?"", """"), ""*"", """")))"),"French Enamel Candleholder")</f>
        <v>French Enamel Candleholder</v>
      </c>
      <c r="I3925" s="3">
        <v>1.0</v>
      </c>
      <c r="J3925" s="7">
        <v>40886.41875</v>
      </c>
      <c r="K3925" s="8" t="str">
        <f t="shared" si="4"/>
        <v>2011-12</v>
      </c>
      <c r="L3925" s="5">
        <v>4.13</v>
      </c>
      <c r="M3925" s="10"/>
      <c r="N3925" s="1" t="str">
        <f t="shared" si="5"/>
        <v>Guest</v>
      </c>
      <c r="O3925" s="1" t="s">
        <v>19</v>
      </c>
      <c r="P3925" s="9" t="str">
        <f t="shared" si="6"/>
        <v>UK</v>
      </c>
      <c r="Q3925" s="8">
        <f t="shared" si="7"/>
        <v>4.13</v>
      </c>
    </row>
    <row r="3926">
      <c r="A3926" s="1">
        <v>581492.0</v>
      </c>
      <c r="B3926" s="1" t="str">
        <f t="shared" si="1"/>
        <v>581492</v>
      </c>
      <c r="C3926" s="1" t="str">
        <f t="shared" si="2"/>
        <v>Sale</v>
      </c>
      <c r="D3926" s="1">
        <v>85059.0</v>
      </c>
      <c r="E3926" s="1" t="str">
        <f>IFERROR(__xludf.DUMMYFUNCTION("IF(LEN(D3926)&gt;4, IFERROR(REGEXEXTRACT(TO_TEXT(D3926),""\d+""),""""),"""")"),"85059")</f>
        <v>85059</v>
      </c>
      <c r="F3926" s="6" t="str">
        <f t="shared" si="3"/>
        <v>Product</v>
      </c>
      <c r="G3926" s="1" t="s">
        <v>1231</v>
      </c>
      <c r="H3926" s="6" t="str">
        <f>IFERROR(__xludf.DUMMYFUNCTION("IF(REGEXMATCH(LOWER(G3926), ""^(\?)+\s*(missing)?\s*(\?)*$""), """", PROPER(SUBSTITUTE(SUBSTITUTE(G3926, ""?"", """"), ""*"", """")))"),"French Enamel Water Basin")</f>
        <v>French Enamel Water Basin</v>
      </c>
      <c r="I3926" s="3">
        <v>1.0</v>
      </c>
      <c r="J3926" s="7">
        <v>40886.41875</v>
      </c>
      <c r="K3926" s="8" t="str">
        <f t="shared" si="4"/>
        <v>2011-12</v>
      </c>
      <c r="L3926" s="5">
        <v>7.46</v>
      </c>
      <c r="M3926" s="10"/>
      <c r="N3926" s="1" t="str">
        <f t="shared" si="5"/>
        <v>Guest</v>
      </c>
      <c r="O3926" s="1" t="s">
        <v>19</v>
      </c>
      <c r="P3926" s="9" t="str">
        <f t="shared" si="6"/>
        <v>UK</v>
      </c>
      <c r="Q3926" s="8">
        <f t="shared" si="7"/>
        <v>7.46</v>
      </c>
    </row>
    <row r="3927">
      <c r="A3927" s="1">
        <v>581492.0</v>
      </c>
      <c r="B3927" s="1" t="str">
        <f t="shared" si="1"/>
        <v>581492</v>
      </c>
      <c r="C3927" s="1" t="str">
        <f t="shared" si="2"/>
        <v>Sale</v>
      </c>
      <c r="D3927" s="1">
        <v>85066.0</v>
      </c>
      <c r="E3927" s="1" t="str">
        <f>IFERROR(__xludf.DUMMYFUNCTION("IF(LEN(D3927)&gt;4, IFERROR(REGEXEXTRACT(TO_TEXT(D3927),""\d+""),""""),"""")"),"85066")</f>
        <v>85066</v>
      </c>
      <c r="F3927" s="6" t="str">
        <f t="shared" si="3"/>
        <v>Product</v>
      </c>
      <c r="G3927" s="1" t="s">
        <v>879</v>
      </c>
      <c r="H3927" s="6" t="str">
        <f>IFERROR(__xludf.DUMMYFUNCTION("IF(REGEXMATCH(LOWER(G3927), ""^(\?)+\s*(missing)?\s*(\?)*$""), """", PROPER(SUBSTITUTE(SUBSTITUTE(G3927, ""?"", """"), ""*"", """")))"),"Cream Sweetheart Mini Chest")</f>
        <v>Cream Sweetheart Mini Chest</v>
      </c>
      <c r="I3927" s="3">
        <v>1.0</v>
      </c>
      <c r="J3927" s="7">
        <v>40886.41875</v>
      </c>
      <c r="K3927" s="8" t="str">
        <f t="shared" si="4"/>
        <v>2011-12</v>
      </c>
      <c r="L3927" s="5">
        <v>24.96</v>
      </c>
      <c r="M3927" s="10"/>
      <c r="N3927" s="1" t="str">
        <f t="shared" si="5"/>
        <v>Guest</v>
      </c>
      <c r="O3927" s="1" t="s">
        <v>19</v>
      </c>
      <c r="P3927" s="9" t="str">
        <f t="shared" si="6"/>
        <v>UK</v>
      </c>
      <c r="Q3927" s="8">
        <f t="shared" si="7"/>
        <v>24.96</v>
      </c>
    </row>
    <row r="3928">
      <c r="A3928" s="1">
        <v>581492.0</v>
      </c>
      <c r="B3928" s="1" t="str">
        <f t="shared" si="1"/>
        <v>581492</v>
      </c>
      <c r="C3928" s="1" t="str">
        <f t="shared" si="2"/>
        <v>Sale</v>
      </c>
      <c r="D3928" s="1">
        <v>85094.0</v>
      </c>
      <c r="E3928" s="1" t="str">
        <f>IFERROR(__xludf.DUMMYFUNCTION("IF(LEN(D3928)&gt;4, IFERROR(REGEXEXTRACT(TO_TEXT(D3928),""\d+""),""""),"""")"),"85094")</f>
        <v>85094</v>
      </c>
      <c r="F3928" s="6" t="str">
        <f t="shared" si="3"/>
        <v>Product</v>
      </c>
      <c r="G3928" s="1" t="s">
        <v>1820</v>
      </c>
      <c r="H3928" s="6" t="str">
        <f>IFERROR(__xludf.DUMMYFUNCTION("IF(REGEXMATCH(LOWER(G3928), ""^(\?)+\s*(missing)?\s*(\?)*$""), """", PROPER(SUBSTITUTE(SUBSTITUTE(G3928, ""?"", """"), ""*"", """")))"),"Candy Spot Egg Warmer Rabbit")</f>
        <v>Candy Spot Egg Warmer Rabbit</v>
      </c>
      <c r="I3928" s="3">
        <v>2.0</v>
      </c>
      <c r="J3928" s="7">
        <v>40886.41875</v>
      </c>
      <c r="K3928" s="8" t="str">
        <f t="shared" si="4"/>
        <v>2011-12</v>
      </c>
      <c r="L3928" s="5">
        <v>0.83</v>
      </c>
      <c r="M3928" s="10"/>
      <c r="N3928" s="1" t="str">
        <f t="shared" si="5"/>
        <v>Guest</v>
      </c>
      <c r="O3928" s="1" t="s">
        <v>19</v>
      </c>
      <c r="P3928" s="9" t="str">
        <f t="shared" si="6"/>
        <v>UK</v>
      </c>
      <c r="Q3928" s="8">
        <f t="shared" si="7"/>
        <v>1.66</v>
      </c>
    </row>
    <row r="3929">
      <c r="A3929" s="1">
        <v>581492.0</v>
      </c>
      <c r="B3929" s="1" t="str">
        <f t="shared" si="1"/>
        <v>581492</v>
      </c>
      <c r="C3929" s="1" t="str">
        <f t="shared" si="2"/>
        <v>Sale</v>
      </c>
      <c r="D3929" s="1" t="s">
        <v>85</v>
      </c>
      <c r="E3929" s="1" t="str">
        <f>IFERROR(__xludf.DUMMYFUNCTION("IF(LEN(D3929)&gt;4, IFERROR(REGEXEXTRACT(TO_TEXT(D3929),""\d+""),""""),"""")"),"85099")</f>
        <v>85099</v>
      </c>
      <c r="F3929" s="6" t="str">
        <f t="shared" si="3"/>
        <v>Product</v>
      </c>
      <c r="G3929" s="1" t="s">
        <v>86</v>
      </c>
      <c r="H3929" s="6" t="str">
        <f>IFERROR(__xludf.DUMMYFUNCTION("IF(REGEXMATCH(LOWER(G3929), ""^(\?)+\s*(missing)?\s*(\?)*$""), """", PROPER(SUBSTITUTE(SUBSTITUTE(G3929, ""?"", """"), ""*"", """")))"),"Jumbo Bag Baroque Black White")</f>
        <v>Jumbo Bag Baroque Black White</v>
      </c>
      <c r="I3929" s="3">
        <v>7.0</v>
      </c>
      <c r="J3929" s="7">
        <v>40886.41875</v>
      </c>
      <c r="K3929" s="8" t="str">
        <f t="shared" si="4"/>
        <v>2011-12</v>
      </c>
      <c r="L3929" s="5">
        <v>4.13</v>
      </c>
      <c r="M3929" s="10"/>
      <c r="N3929" s="1" t="str">
        <f t="shared" si="5"/>
        <v>Guest</v>
      </c>
      <c r="O3929" s="1" t="s">
        <v>19</v>
      </c>
      <c r="P3929" s="9" t="str">
        <f t="shared" si="6"/>
        <v>UK</v>
      </c>
      <c r="Q3929" s="8">
        <f t="shared" si="7"/>
        <v>28.91</v>
      </c>
    </row>
    <row r="3930">
      <c r="A3930" s="1">
        <v>581492.0</v>
      </c>
      <c r="B3930" s="1" t="str">
        <f t="shared" si="1"/>
        <v>581492</v>
      </c>
      <c r="C3930" s="1" t="str">
        <f t="shared" si="2"/>
        <v>Sale</v>
      </c>
      <c r="D3930" s="1" t="s">
        <v>1821</v>
      </c>
      <c r="E3930" s="1" t="str">
        <f>IFERROR(__xludf.DUMMYFUNCTION("IF(LEN(D3930)&gt;4, IFERROR(REGEXEXTRACT(TO_TEXT(D3930),""\d+""),""""),"""")"),"85114")</f>
        <v>85114</v>
      </c>
      <c r="F3930" s="6" t="str">
        <f t="shared" si="3"/>
        <v>Product</v>
      </c>
      <c r="G3930" s="1" t="s">
        <v>1822</v>
      </c>
      <c r="H3930" s="6" t="str">
        <f>IFERROR(__xludf.DUMMYFUNCTION("IF(REGEXMATCH(LOWER(G3930), ""^(\?)+\s*(missing)?\s*(\?)*$""), """", PROPER(SUBSTITUTE(SUBSTITUTE(G3930, ""?"", """"), ""*"", """")))"),"Red Enchanted Forest Placemat")</f>
        <v>Red Enchanted Forest Placemat</v>
      </c>
      <c r="I3930" s="3">
        <v>1.0</v>
      </c>
      <c r="J3930" s="7">
        <v>40886.41875</v>
      </c>
      <c r="K3930" s="8" t="str">
        <f t="shared" si="4"/>
        <v>2011-12</v>
      </c>
      <c r="L3930" s="5">
        <v>3.29</v>
      </c>
      <c r="M3930" s="10"/>
      <c r="N3930" s="1" t="str">
        <f t="shared" si="5"/>
        <v>Guest</v>
      </c>
      <c r="O3930" s="1" t="s">
        <v>19</v>
      </c>
      <c r="P3930" s="9" t="str">
        <f t="shared" si="6"/>
        <v>UK</v>
      </c>
      <c r="Q3930" s="8">
        <f t="shared" si="7"/>
        <v>3.29</v>
      </c>
    </row>
    <row r="3931">
      <c r="A3931" s="1">
        <v>581492.0</v>
      </c>
      <c r="B3931" s="1" t="str">
        <f t="shared" si="1"/>
        <v>581492</v>
      </c>
      <c r="C3931" s="1" t="str">
        <f t="shared" si="2"/>
        <v>Sale</v>
      </c>
      <c r="D3931" s="1" t="s">
        <v>17</v>
      </c>
      <c r="E3931" s="1" t="str">
        <f>IFERROR(__xludf.DUMMYFUNCTION("IF(LEN(D3931)&gt;4, IFERROR(REGEXEXTRACT(TO_TEXT(D3931),""\d+""),""""),"""")"),"85123")</f>
        <v>85123</v>
      </c>
      <c r="F3931" s="6" t="str">
        <f t="shared" si="3"/>
        <v>Product</v>
      </c>
      <c r="G3931" s="1" t="s">
        <v>1823</v>
      </c>
      <c r="H3931" s="6" t="str">
        <f>IFERROR(__xludf.DUMMYFUNCTION("IF(REGEXMATCH(LOWER(G3931), ""^(\?)+\s*(missing)?\s*(\?)*$""), """", PROPER(SUBSTITUTE(SUBSTITUTE(G3931, ""?"", """"), ""*"", """")))"),"Cream Hanging Heart T-Light Holder")</f>
        <v>Cream Hanging Heart T-Light Holder</v>
      </c>
      <c r="I3931" s="3">
        <v>3.0</v>
      </c>
      <c r="J3931" s="7">
        <v>40886.41875</v>
      </c>
      <c r="K3931" s="8" t="str">
        <f t="shared" si="4"/>
        <v>2011-12</v>
      </c>
      <c r="L3931" s="5">
        <v>5.79</v>
      </c>
      <c r="M3931" s="10"/>
      <c r="N3931" s="1" t="str">
        <f t="shared" si="5"/>
        <v>Guest</v>
      </c>
      <c r="O3931" s="1" t="s">
        <v>19</v>
      </c>
      <c r="P3931" s="9" t="str">
        <f t="shared" si="6"/>
        <v>UK</v>
      </c>
      <c r="Q3931" s="8">
        <f t="shared" si="7"/>
        <v>17.37</v>
      </c>
    </row>
    <row r="3932">
      <c r="A3932" s="1">
        <v>581492.0</v>
      </c>
      <c r="B3932" s="1" t="str">
        <f t="shared" si="1"/>
        <v>581492</v>
      </c>
      <c r="C3932" s="1" t="str">
        <f t="shared" si="2"/>
        <v>Sale</v>
      </c>
      <c r="D3932" s="1" t="s">
        <v>1824</v>
      </c>
      <c r="E3932" s="1" t="str">
        <f>IFERROR(__xludf.DUMMYFUNCTION("IF(LEN(D3932)&gt;4, IFERROR(REGEXEXTRACT(TO_TEXT(D3932),""\d+""),""""),"""")"),"85131")</f>
        <v>85131</v>
      </c>
      <c r="F3932" s="6" t="str">
        <f t="shared" si="3"/>
        <v>Product</v>
      </c>
      <c r="G3932" s="1" t="s">
        <v>1825</v>
      </c>
      <c r="H3932" s="6" t="str">
        <f>IFERROR(__xludf.DUMMYFUNCTION("IF(REGEXMATCH(LOWER(G3932), ""^(\?)+\s*(missing)?\s*(\?)*$""), """", PROPER(SUBSTITUTE(SUBSTITUTE(G3932, ""?"", """"), ""*"", """")))"),"Beaded Crystal Heart Green On Stick")</f>
        <v>Beaded Crystal Heart Green On Stick</v>
      </c>
      <c r="I3932" s="3">
        <v>1.0</v>
      </c>
      <c r="J3932" s="7">
        <v>40886.41875</v>
      </c>
      <c r="K3932" s="8" t="str">
        <f t="shared" si="4"/>
        <v>2011-12</v>
      </c>
      <c r="L3932" s="5">
        <v>0.83</v>
      </c>
      <c r="M3932" s="10"/>
      <c r="N3932" s="1" t="str">
        <f t="shared" si="5"/>
        <v>Guest</v>
      </c>
      <c r="O3932" s="1" t="s">
        <v>19</v>
      </c>
      <c r="P3932" s="9" t="str">
        <f t="shared" si="6"/>
        <v>UK</v>
      </c>
      <c r="Q3932" s="8">
        <f t="shared" si="7"/>
        <v>0.83</v>
      </c>
    </row>
    <row r="3933">
      <c r="A3933" s="1">
        <v>581492.0</v>
      </c>
      <c r="B3933" s="1" t="str">
        <f t="shared" si="1"/>
        <v>581492</v>
      </c>
      <c r="C3933" s="1" t="str">
        <f t="shared" si="2"/>
        <v>Sale</v>
      </c>
      <c r="D3933" s="1" t="s">
        <v>1826</v>
      </c>
      <c r="E3933" s="1" t="str">
        <f>IFERROR(__xludf.DUMMYFUNCTION("IF(LEN(D3933)&gt;4, IFERROR(REGEXEXTRACT(TO_TEXT(D3933),""\d+""),""""),"""")"),"85131")</f>
        <v>85131</v>
      </c>
      <c r="F3933" s="6" t="str">
        <f t="shared" si="3"/>
        <v>Product</v>
      </c>
      <c r="G3933" s="1" t="s">
        <v>1827</v>
      </c>
      <c r="H3933" s="6" t="str">
        <f>IFERROR(__xludf.DUMMYFUNCTION("IF(REGEXMATCH(LOWER(G3933), ""^(\?)+\s*(missing)?\s*(\?)*$""), """", PROPER(SUBSTITUTE(SUBSTITUTE(G3933, ""?"", """"), ""*"", """")))"),"Beaded Crystal Heart Pink On Stick")</f>
        <v>Beaded Crystal Heart Pink On Stick</v>
      </c>
      <c r="I3933" s="3">
        <v>2.0</v>
      </c>
      <c r="J3933" s="7">
        <v>40886.41875</v>
      </c>
      <c r="K3933" s="8" t="str">
        <f t="shared" si="4"/>
        <v>2011-12</v>
      </c>
      <c r="L3933" s="5">
        <v>0.83</v>
      </c>
      <c r="M3933" s="10"/>
      <c r="N3933" s="1" t="str">
        <f t="shared" si="5"/>
        <v>Guest</v>
      </c>
      <c r="O3933" s="1" t="s">
        <v>19</v>
      </c>
      <c r="P3933" s="9" t="str">
        <f t="shared" si="6"/>
        <v>UK</v>
      </c>
      <c r="Q3933" s="8">
        <f t="shared" si="7"/>
        <v>1.66</v>
      </c>
    </row>
    <row r="3934">
      <c r="A3934" s="1">
        <v>581492.0</v>
      </c>
      <c r="B3934" s="1" t="str">
        <f t="shared" si="1"/>
        <v>581492</v>
      </c>
      <c r="C3934" s="1" t="str">
        <f t="shared" si="2"/>
        <v>Sale</v>
      </c>
      <c r="D3934" s="1">
        <v>85152.0</v>
      </c>
      <c r="E3934" s="1" t="str">
        <f>IFERROR(__xludf.DUMMYFUNCTION("IF(LEN(D3934)&gt;4, IFERROR(REGEXEXTRACT(TO_TEXT(D3934),""\d+""),""""),"""")"),"85152")</f>
        <v>85152</v>
      </c>
      <c r="F3934" s="6" t="str">
        <f t="shared" si="3"/>
        <v>Product</v>
      </c>
      <c r="G3934" s="1" t="s">
        <v>251</v>
      </c>
      <c r="H3934" s="6" t="str">
        <f>IFERROR(__xludf.DUMMYFUNCTION("IF(REGEXMATCH(LOWER(G3934), ""^(\?)+\s*(missing)?\s*(\?)*$""), """", PROPER(SUBSTITUTE(SUBSTITUTE(G3934, ""?"", """"), ""*"", """")))"),"Hand Over The Chocolate Sign")</f>
        <v>Hand Over The Chocolate Sign</v>
      </c>
      <c r="I3934" s="3">
        <v>1.0</v>
      </c>
      <c r="J3934" s="7">
        <v>40886.41875</v>
      </c>
      <c r="K3934" s="8" t="str">
        <f t="shared" si="4"/>
        <v>2011-12</v>
      </c>
      <c r="L3934" s="5">
        <v>4.13</v>
      </c>
      <c r="M3934" s="10"/>
      <c r="N3934" s="1" t="str">
        <f t="shared" si="5"/>
        <v>Guest</v>
      </c>
      <c r="O3934" s="1" t="s">
        <v>19</v>
      </c>
      <c r="P3934" s="9" t="str">
        <f t="shared" si="6"/>
        <v>UK</v>
      </c>
      <c r="Q3934" s="8">
        <f t="shared" si="7"/>
        <v>4.13</v>
      </c>
    </row>
    <row r="3935">
      <c r="A3935" s="1">
        <v>581492.0</v>
      </c>
      <c r="B3935" s="1" t="str">
        <f t="shared" si="1"/>
        <v>581492</v>
      </c>
      <c r="C3935" s="1" t="str">
        <f t="shared" si="2"/>
        <v>Sale</v>
      </c>
      <c r="D3935" s="1" t="s">
        <v>1828</v>
      </c>
      <c r="E3935" s="1" t="str">
        <f>IFERROR(__xludf.DUMMYFUNCTION("IF(LEN(D3935)&gt;4, IFERROR(REGEXEXTRACT(TO_TEXT(D3935),""\d+""),""""),"""")"),"85168")</f>
        <v>85168</v>
      </c>
      <c r="F3935" s="6" t="str">
        <f t="shared" si="3"/>
        <v>Product</v>
      </c>
      <c r="G3935" s="1" t="s">
        <v>1829</v>
      </c>
      <c r="H3935" s="6" t="str">
        <f>IFERROR(__xludf.DUMMYFUNCTION("IF(REGEXMATCH(LOWER(G3935), ""^(\?)+\s*(missing)?\s*(\?)*$""), """", PROPER(SUBSTITUTE(SUBSTITUTE(G3935, ""?"", """"), ""*"", """")))"),"Black Baroque Carriage Clock")</f>
        <v>Black Baroque Carriage Clock</v>
      </c>
      <c r="I3935" s="3">
        <v>3.0</v>
      </c>
      <c r="J3935" s="7">
        <v>40886.41875</v>
      </c>
      <c r="K3935" s="8" t="str">
        <f t="shared" si="4"/>
        <v>2011-12</v>
      </c>
      <c r="L3935" s="5">
        <v>8.29</v>
      </c>
      <c r="M3935" s="10"/>
      <c r="N3935" s="1" t="str">
        <f t="shared" si="5"/>
        <v>Guest</v>
      </c>
      <c r="O3935" s="1" t="s">
        <v>19</v>
      </c>
      <c r="P3935" s="9" t="str">
        <f t="shared" si="6"/>
        <v>UK</v>
      </c>
      <c r="Q3935" s="8">
        <f t="shared" si="7"/>
        <v>24.87</v>
      </c>
    </row>
    <row r="3936">
      <c r="A3936" s="1">
        <v>581492.0</v>
      </c>
      <c r="B3936" s="1" t="str">
        <f t="shared" si="1"/>
        <v>581492</v>
      </c>
      <c r="C3936" s="1" t="str">
        <f t="shared" si="2"/>
        <v>Sale</v>
      </c>
      <c r="D3936" s="1" t="s">
        <v>1529</v>
      </c>
      <c r="E3936" s="1" t="str">
        <f>IFERROR(__xludf.DUMMYFUNCTION("IF(LEN(D3936)&gt;4, IFERROR(REGEXEXTRACT(TO_TEXT(D3936),""\d+""),""""),"""")"),"85169")</f>
        <v>85169</v>
      </c>
      <c r="F3936" s="6" t="str">
        <f t="shared" si="3"/>
        <v>Product</v>
      </c>
      <c r="G3936" s="1" t="s">
        <v>1530</v>
      </c>
      <c r="H3936" s="6" t="str">
        <f>IFERROR(__xludf.DUMMYFUNCTION("IF(REGEXMATCH(LOWER(G3936), ""^(\?)+\s*(missing)?\s*(\?)*$""), """", PROPER(SUBSTITUTE(SUBSTITUTE(G3936, ""?"", """"), ""*"", """")))"),"Eau De Nil Love Bird Candle")</f>
        <v>Eau De Nil Love Bird Candle</v>
      </c>
      <c r="I3936" s="3">
        <v>1.0</v>
      </c>
      <c r="J3936" s="7">
        <v>40886.41875</v>
      </c>
      <c r="K3936" s="8" t="str">
        <f t="shared" si="4"/>
        <v>2011-12</v>
      </c>
      <c r="L3936" s="5">
        <v>2.46</v>
      </c>
      <c r="M3936" s="10"/>
      <c r="N3936" s="1" t="str">
        <f t="shared" si="5"/>
        <v>Guest</v>
      </c>
      <c r="O3936" s="1" t="s">
        <v>19</v>
      </c>
      <c r="P3936" s="9" t="str">
        <f t="shared" si="6"/>
        <v>UK</v>
      </c>
      <c r="Q3936" s="8">
        <f t="shared" si="7"/>
        <v>2.46</v>
      </c>
    </row>
    <row r="3937">
      <c r="A3937" s="1">
        <v>581492.0</v>
      </c>
      <c r="B3937" s="1" t="str">
        <f t="shared" si="1"/>
        <v>581492</v>
      </c>
      <c r="C3937" s="1" t="str">
        <f t="shared" si="2"/>
        <v>Sale</v>
      </c>
      <c r="D3937" s="1" t="s">
        <v>1830</v>
      </c>
      <c r="E3937" s="1" t="str">
        <f>IFERROR(__xludf.DUMMYFUNCTION("IF(LEN(D3937)&gt;4, IFERROR(REGEXEXTRACT(TO_TEXT(D3937),""\d+""),""""),"""")"),"85170")</f>
        <v>85170</v>
      </c>
      <c r="F3937" s="6" t="str">
        <f t="shared" si="3"/>
        <v>Product</v>
      </c>
      <c r="G3937" s="1" t="s">
        <v>1831</v>
      </c>
      <c r="H3937" s="6" t="str">
        <f>IFERROR(__xludf.DUMMYFUNCTION("IF(REGEXMATCH(LOWER(G3937), ""^(\?)+\s*(missing)?\s*(\?)*$""), """", PROPER(SUBSTITUTE(SUBSTITUTE(G3937, ""?"", """"), ""*"", """")))"),"Set/6 Eau De Nil Bird T-Lights")</f>
        <v>Set/6 Eau De Nil Bird T-Lights</v>
      </c>
      <c r="I3937" s="3">
        <v>1.0</v>
      </c>
      <c r="J3937" s="7">
        <v>40886.41875</v>
      </c>
      <c r="K3937" s="8" t="str">
        <f t="shared" si="4"/>
        <v>2011-12</v>
      </c>
      <c r="L3937" s="5">
        <v>4.13</v>
      </c>
      <c r="M3937" s="10"/>
      <c r="N3937" s="1" t="str">
        <f t="shared" si="5"/>
        <v>Guest</v>
      </c>
      <c r="O3937" s="1" t="s">
        <v>19</v>
      </c>
      <c r="P3937" s="9" t="str">
        <f t="shared" si="6"/>
        <v>UK</v>
      </c>
      <c r="Q3937" s="8">
        <f t="shared" si="7"/>
        <v>4.13</v>
      </c>
    </row>
    <row r="3938">
      <c r="A3938" s="1">
        <v>581492.0</v>
      </c>
      <c r="B3938" s="1" t="str">
        <f t="shared" si="1"/>
        <v>581492</v>
      </c>
      <c r="C3938" s="1" t="str">
        <f t="shared" si="2"/>
        <v>Sale</v>
      </c>
      <c r="D3938" s="1">
        <v>85173.0</v>
      </c>
      <c r="E3938" s="1" t="str">
        <f>IFERROR(__xludf.DUMMYFUNCTION("IF(LEN(D3938)&gt;4, IFERROR(REGEXEXTRACT(TO_TEXT(D3938),""\d+""),""""),"""")"),"85173")</f>
        <v>85173</v>
      </c>
      <c r="F3938" s="6" t="str">
        <f t="shared" si="3"/>
        <v>Product</v>
      </c>
      <c r="G3938" s="1" t="s">
        <v>1832</v>
      </c>
      <c r="H3938" s="6" t="str">
        <f>IFERROR(__xludf.DUMMYFUNCTION("IF(REGEXMATCH(LOWER(G3938), ""^(\?)+\s*(missing)?\s*(\?)*$""), """", PROPER(SUBSTITUTE(SUBSTITUTE(G3938, ""?"", """"), ""*"", """")))"),"Set/6 Frog Prince T-Light Candles")</f>
        <v>Set/6 Frog Prince T-Light Candles</v>
      </c>
      <c r="I3938" s="3">
        <v>1.0</v>
      </c>
      <c r="J3938" s="7">
        <v>40886.41875</v>
      </c>
      <c r="K3938" s="8" t="str">
        <f t="shared" si="4"/>
        <v>2011-12</v>
      </c>
      <c r="L3938" s="5">
        <v>4.96</v>
      </c>
      <c r="M3938" s="10"/>
      <c r="N3938" s="1" t="str">
        <f t="shared" si="5"/>
        <v>Guest</v>
      </c>
      <c r="O3938" s="1" t="s">
        <v>19</v>
      </c>
      <c r="P3938" s="9" t="str">
        <f t="shared" si="6"/>
        <v>UK</v>
      </c>
      <c r="Q3938" s="8">
        <f t="shared" si="7"/>
        <v>4.96</v>
      </c>
    </row>
    <row r="3939">
      <c r="A3939" s="1">
        <v>581492.0</v>
      </c>
      <c r="B3939" s="1" t="str">
        <f t="shared" si="1"/>
        <v>581492</v>
      </c>
      <c r="C3939" s="1" t="str">
        <f t="shared" si="2"/>
        <v>Sale</v>
      </c>
      <c r="D3939" s="1">
        <v>85177.0</v>
      </c>
      <c r="E3939" s="1" t="str">
        <f>IFERROR(__xludf.DUMMYFUNCTION("IF(LEN(D3939)&gt;4, IFERROR(REGEXEXTRACT(TO_TEXT(D3939),""\d+""),""""),"""")"),"85177")</f>
        <v>85177</v>
      </c>
      <c r="F3939" s="6" t="str">
        <f t="shared" si="3"/>
        <v>Product</v>
      </c>
      <c r="G3939" s="1" t="s">
        <v>1833</v>
      </c>
      <c r="H3939" s="6" t="str">
        <f>IFERROR(__xludf.DUMMYFUNCTION("IF(REGEXMATCH(LOWER(G3939), ""^(\?)+\s*(missing)?\s*(\?)*$""), """", PROPER(SUBSTITUTE(SUBSTITUTE(G3939, ""?"", """"), ""*"", """")))"),"Basket Of Flowers Sewing Kit")</f>
        <v>Basket Of Flowers Sewing Kit</v>
      </c>
      <c r="I3939" s="3">
        <v>1.0</v>
      </c>
      <c r="J3939" s="7">
        <v>40886.41875</v>
      </c>
      <c r="K3939" s="8" t="str">
        <f t="shared" si="4"/>
        <v>2011-12</v>
      </c>
      <c r="L3939" s="5">
        <v>1.63</v>
      </c>
      <c r="M3939" s="10"/>
      <c r="N3939" s="1" t="str">
        <f t="shared" si="5"/>
        <v>Guest</v>
      </c>
      <c r="O3939" s="1" t="s">
        <v>19</v>
      </c>
      <c r="P3939" s="9" t="str">
        <f t="shared" si="6"/>
        <v>UK</v>
      </c>
      <c r="Q3939" s="8">
        <f t="shared" si="7"/>
        <v>1.63</v>
      </c>
    </row>
    <row r="3940">
      <c r="A3940" s="1">
        <v>581492.0</v>
      </c>
      <c r="B3940" s="1" t="str">
        <f t="shared" si="1"/>
        <v>581492</v>
      </c>
      <c r="C3940" s="1" t="str">
        <f t="shared" si="2"/>
        <v>Sale</v>
      </c>
      <c r="D3940" s="1">
        <v>85178.0</v>
      </c>
      <c r="E3940" s="1" t="str">
        <f>IFERROR(__xludf.DUMMYFUNCTION("IF(LEN(D3940)&gt;4, IFERROR(REGEXEXTRACT(TO_TEXT(D3940),""\d+""),""""),"""")"),"85178")</f>
        <v>85178</v>
      </c>
      <c r="F3940" s="6" t="str">
        <f t="shared" si="3"/>
        <v>Product</v>
      </c>
      <c r="G3940" s="1" t="s">
        <v>1834</v>
      </c>
      <c r="H3940" s="6" t="str">
        <f>IFERROR(__xludf.DUMMYFUNCTION("IF(REGEXMATCH(LOWER(G3940), ""^(\?)+\s*(missing)?\s*(\?)*$""), """", PROPER(SUBSTITUTE(SUBSTITUTE(G3940, ""?"", """"), ""*"", """")))"),"Victorian Sewing Kit")</f>
        <v>Victorian Sewing Kit</v>
      </c>
      <c r="I3940" s="3">
        <v>1.0</v>
      </c>
      <c r="J3940" s="7">
        <v>40886.41875</v>
      </c>
      <c r="K3940" s="8" t="str">
        <f t="shared" si="4"/>
        <v>2011-12</v>
      </c>
      <c r="L3940" s="5">
        <v>2.46</v>
      </c>
      <c r="M3940" s="10"/>
      <c r="N3940" s="1" t="str">
        <f t="shared" si="5"/>
        <v>Guest</v>
      </c>
      <c r="O3940" s="1" t="s">
        <v>19</v>
      </c>
      <c r="P3940" s="9" t="str">
        <f t="shared" si="6"/>
        <v>UK</v>
      </c>
      <c r="Q3940" s="8">
        <f t="shared" si="7"/>
        <v>2.46</v>
      </c>
    </row>
    <row r="3941">
      <c r="A3941" s="1">
        <v>581492.0</v>
      </c>
      <c r="B3941" s="1" t="str">
        <f t="shared" si="1"/>
        <v>581492</v>
      </c>
      <c r="C3941" s="1" t="str">
        <f t="shared" si="2"/>
        <v>Sale</v>
      </c>
      <c r="D3941" s="1" t="s">
        <v>1835</v>
      </c>
      <c r="E3941" s="1" t="str">
        <f>IFERROR(__xludf.DUMMYFUNCTION("IF(LEN(D3941)&gt;4, IFERROR(REGEXEXTRACT(TO_TEXT(D3941),""\d+""),""""),"""")"),"85179")</f>
        <v>85179</v>
      </c>
      <c r="F3941" s="6" t="str">
        <f t="shared" si="3"/>
        <v>Product</v>
      </c>
      <c r="G3941" s="1" t="s">
        <v>1836</v>
      </c>
      <c r="H3941" s="6" t="str">
        <f>IFERROR(__xludf.DUMMYFUNCTION("IF(REGEXMATCH(LOWER(G3941), ""^(\?)+\s*(missing)?\s*(\?)*$""), """", PROPER(SUBSTITUTE(SUBSTITUTE(G3941, ""?"", """"), ""*"", """")))"),"Green Bitty Light Chain")</f>
        <v>Green Bitty Light Chain</v>
      </c>
      <c r="I3941" s="3">
        <v>4.0</v>
      </c>
      <c r="J3941" s="7">
        <v>40886.41875</v>
      </c>
      <c r="K3941" s="8" t="str">
        <f t="shared" si="4"/>
        <v>2011-12</v>
      </c>
      <c r="L3941" s="5">
        <v>2.46</v>
      </c>
      <c r="M3941" s="10"/>
      <c r="N3941" s="1" t="str">
        <f t="shared" si="5"/>
        <v>Guest</v>
      </c>
      <c r="O3941" s="1" t="s">
        <v>19</v>
      </c>
      <c r="P3941" s="9" t="str">
        <f t="shared" si="6"/>
        <v>UK</v>
      </c>
      <c r="Q3941" s="8">
        <f t="shared" si="7"/>
        <v>9.84</v>
      </c>
    </row>
    <row r="3942">
      <c r="A3942" s="1">
        <v>581492.0</v>
      </c>
      <c r="B3942" s="1" t="str">
        <f t="shared" si="1"/>
        <v>581492</v>
      </c>
      <c r="C3942" s="1" t="str">
        <f t="shared" si="2"/>
        <v>Sale</v>
      </c>
      <c r="D3942" s="1" t="s">
        <v>1837</v>
      </c>
      <c r="E3942" s="1" t="str">
        <f>IFERROR(__xludf.DUMMYFUNCTION("IF(LEN(D3942)&gt;4, IFERROR(REGEXEXTRACT(TO_TEXT(D3942),""\d+""),""""),"""")"),"85199")</f>
        <v>85199</v>
      </c>
      <c r="F3942" s="6" t="str">
        <f t="shared" si="3"/>
        <v>Product</v>
      </c>
      <c r="G3942" s="1" t="s">
        <v>1838</v>
      </c>
      <c r="H3942" s="6" t="str">
        <f>IFERROR(__xludf.DUMMYFUNCTION("IF(REGEXMATCH(LOWER(G3942), ""^(\?)+\s*(missing)?\s*(\?)*$""), """", PROPER(SUBSTITUTE(SUBSTITUTE(G3942, ""?"", """"), ""*"", """")))"),"Small Hanging Ivory/Red Wood Bird")</f>
        <v>Small Hanging Ivory/Red Wood Bird</v>
      </c>
      <c r="I3942" s="3">
        <v>9.0</v>
      </c>
      <c r="J3942" s="7">
        <v>40886.41875</v>
      </c>
      <c r="K3942" s="8" t="str">
        <f t="shared" si="4"/>
        <v>2011-12</v>
      </c>
      <c r="L3942" s="5">
        <v>0.83</v>
      </c>
      <c r="M3942" s="10"/>
      <c r="N3942" s="1" t="str">
        <f t="shared" si="5"/>
        <v>Guest</v>
      </c>
      <c r="O3942" s="1" t="s">
        <v>19</v>
      </c>
      <c r="P3942" s="9" t="str">
        <f t="shared" si="6"/>
        <v>UK</v>
      </c>
      <c r="Q3942" s="8">
        <f t="shared" si="7"/>
        <v>7.47</v>
      </c>
    </row>
    <row r="3943">
      <c r="A3943" s="1">
        <v>581492.0</v>
      </c>
      <c r="B3943" s="1" t="str">
        <f t="shared" si="1"/>
        <v>581492</v>
      </c>
      <c r="C3943" s="1" t="str">
        <f t="shared" si="2"/>
        <v>Sale</v>
      </c>
      <c r="D3943" s="1">
        <v>85227.0</v>
      </c>
      <c r="E3943" s="1" t="str">
        <f>IFERROR(__xludf.DUMMYFUNCTION("IF(LEN(D3943)&gt;4, IFERROR(REGEXEXTRACT(TO_TEXT(D3943),""\d+""),""""),"""")"),"85227")</f>
        <v>85227</v>
      </c>
      <c r="F3943" s="6" t="str">
        <f t="shared" si="3"/>
        <v>Product</v>
      </c>
      <c r="G3943" s="1" t="s">
        <v>1018</v>
      </c>
      <c r="H3943" s="6" t="str">
        <f>IFERROR(__xludf.DUMMYFUNCTION("IF(REGEXMATCH(LOWER(G3943), ""^(\?)+\s*(missing)?\s*(\?)*$""), """", PROPER(SUBSTITUTE(SUBSTITUTE(G3943, ""?"", """"), ""*"", """")))"),"Set Of 6 3D Kit Cards For Kids")</f>
        <v>Set Of 6 3D Kit Cards For Kids</v>
      </c>
      <c r="I3943" s="3">
        <v>3.0</v>
      </c>
      <c r="J3943" s="7">
        <v>40886.41875</v>
      </c>
      <c r="K3943" s="8" t="str">
        <f t="shared" si="4"/>
        <v>2011-12</v>
      </c>
      <c r="L3943" s="5">
        <v>1.63</v>
      </c>
      <c r="M3943" s="10"/>
      <c r="N3943" s="1" t="str">
        <f t="shared" si="5"/>
        <v>Guest</v>
      </c>
      <c r="O3943" s="1" t="s">
        <v>19</v>
      </c>
      <c r="P3943" s="9" t="str">
        <f t="shared" si="6"/>
        <v>UK</v>
      </c>
      <c r="Q3943" s="8">
        <f t="shared" si="7"/>
        <v>4.89</v>
      </c>
    </row>
    <row r="3944">
      <c r="A3944" s="1">
        <v>581492.0</v>
      </c>
      <c r="B3944" s="1" t="str">
        <f t="shared" si="1"/>
        <v>581492</v>
      </c>
      <c r="C3944" s="1" t="str">
        <f t="shared" si="2"/>
        <v>Sale</v>
      </c>
      <c r="D3944" s="1" t="s">
        <v>1839</v>
      </c>
      <c r="E3944" s="1" t="str">
        <f>IFERROR(__xludf.DUMMYFUNCTION("IF(LEN(D3944)&gt;4, IFERROR(REGEXEXTRACT(TO_TEXT(D3944),""\d+""),""""),"""")"),"90003")</f>
        <v>90003</v>
      </c>
      <c r="F3944" s="6" t="str">
        <f t="shared" si="3"/>
        <v>Product</v>
      </c>
      <c r="G3944" s="1" t="s">
        <v>1840</v>
      </c>
      <c r="H3944" s="6" t="str">
        <f>IFERROR(__xludf.DUMMYFUNCTION("IF(REGEXMATCH(LOWER(G3944), ""^(\?)+\s*(missing)?\s*(\?)*$""), """", PROPER(SUBSTITUTE(SUBSTITUTE(G3944, ""?"", """"), ""*"", """")))"),"Midnight Blue Pair Heart Hair Slide")</f>
        <v>Midnight Blue Pair Heart Hair Slide</v>
      </c>
      <c r="I3944" s="3">
        <v>1.0</v>
      </c>
      <c r="J3944" s="7">
        <v>40886.41875</v>
      </c>
      <c r="K3944" s="8" t="str">
        <f t="shared" si="4"/>
        <v>2011-12</v>
      </c>
      <c r="L3944" s="5">
        <v>3.73</v>
      </c>
      <c r="M3944" s="10"/>
      <c r="N3944" s="1" t="str">
        <f t="shared" si="5"/>
        <v>Guest</v>
      </c>
      <c r="O3944" s="1" t="s">
        <v>19</v>
      </c>
      <c r="P3944" s="9" t="str">
        <f t="shared" si="6"/>
        <v>UK</v>
      </c>
      <c r="Q3944" s="8">
        <f t="shared" si="7"/>
        <v>3.73</v>
      </c>
    </row>
    <row r="3945">
      <c r="A3945" s="1">
        <v>581492.0</v>
      </c>
      <c r="B3945" s="1" t="str">
        <f t="shared" si="1"/>
        <v>581492</v>
      </c>
      <c r="C3945" s="1" t="str">
        <f t="shared" si="2"/>
        <v>Sale</v>
      </c>
      <c r="D3945" s="1" t="s">
        <v>1841</v>
      </c>
      <c r="E3945" s="1" t="str">
        <f>IFERROR(__xludf.DUMMYFUNCTION("IF(LEN(D3945)&gt;4, IFERROR(REGEXEXTRACT(TO_TEXT(D3945),""\d+""),""""),"""")"),"90003")</f>
        <v>90003</v>
      </c>
      <c r="F3945" s="6" t="str">
        <f t="shared" si="3"/>
        <v>Product</v>
      </c>
      <c r="G3945" s="1" t="s">
        <v>1842</v>
      </c>
      <c r="H3945" s="6" t="str">
        <f>IFERROR(__xludf.DUMMYFUNCTION("IF(REGEXMATCH(LOWER(G3945), ""^(\?)+\s*(missing)?\s*(\?)*$""), """", PROPER(SUBSTITUTE(SUBSTITUTE(G3945, ""?"", """"), ""*"", """")))"),"Green Pair Heart Hair Slides")</f>
        <v>Green Pair Heart Hair Slides</v>
      </c>
      <c r="I3945" s="3">
        <v>2.0</v>
      </c>
      <c r="J3945" s="7">
        <v>40886.41875</v>
      </c>
      <c r="K3945" s="8" t="str">
        <f t="shared" si="4"/>
        <v>2011-12</v>
      </c>
      <c r="L3945" s="5">
        <v>3.73</v>
      </c>
      <c r="M3945" s="10"/>
      <c r="N3945" s="1" t="str">
        <f t="shared" si="5"/>
        <v>Guest</v>
      </c>
      <c r="O3945" s="1" t="s">
        <v>19</v>
      </c>
      <c r="P3945" s="9" t="str">
        <f t="shared" si="6"/>
        <v>UK</v>
      </c>
      <c r="Q3945" s="8">
        <f t="shared" si="7"/>
        <v>7.46</v>
      </c>
    </row>
    <row r="3946">
      <c r="A3946" s="1">
        <v>581492.0</v>
      </c>
      <c r="B3946" s="1" t="str">
        <f t="shared" si="1"/>
        <v>581492</v>
      </c>
      <c r="C3946" s="1" t="str">
        <f t="shared" si="2"/>
        <v>Sale</v>
      </c>
      <c r="D3946" s="1" t="s">
        <v>1843</v>
      </c>
      <c r="E3946" s="1" t="str">
        <f>IFERROR(__xludf.DUMMYFUNCTION("IF(LEN(D3946)&gt;4, IFERROR(REGEXEXTRACT(TO_TEXT(D3946),""\d+""),""""),"""")"),"90010")</f>
        <v>90010</v>
      </c>
      <c r="F3946" s="6" t="str">
        <f t="shared" si="3"/>
        <v>Product</v>
      </c>
      <c r="G3946" s="1" t="s">
        <v>1844</v>
      </c>
      <c r="H3946" s="6" t="str">
        <f>IFERROR(__xludf.DUMMYFUNCTION("IF(REGEXMATCH(LOWER(G3946), ""^(\?)+\s*(missing)?\s*(\?)*$""), """", PROPER(SUBSTITUTE(SUBSTITUTE(G3946, ""?"", """"), ""*"", """")))"),"Midnight Blue Glass/Silver Bracelet")</f>
        <v>Midnight Blue Glass/Silver Bracelet</v>
      </c>
      <c r="I3946" s="3">
        <v>1.0</v>
      </c>
      <c r="J3946" s="7">
        <v>40886.41875</v>
      </c>
      <c r="K3946" s="8" t="str">
        <f t="shared" si="4"/>
        <v>2011-12</v>
      </c>
      <c r="L3946" s="5">
        <v>9.57</v>
      </c>
      <c r="M3946" s="10"/>
      <c r="N3946" s="1" t="str">
        <f t="shared" si="5"/>
        <v>Guest</v>
      </c>
      <c r="O3946" s="1" t="s">
        <v>19</v>
      </c>
      <c r="P3946" s="9" t="str">
        <f t="shared" si="6"/>
        <v>UK</v>
      </c>
      <c r="Q3946" s="8">
        <f t="shared" si="7"/>
        <v>9.57</v>
      </c>
    </row>
    <row r="3947">
      <c r="A3947" s="1">
        <v>581492.0</v>
      </c>
      <c r="B3947" s="1" t="str">
        <f t="shared" si="1"/>
        <v>581492</v>
      </c>
      <c r="C3947" s="1" t="str">
        <f t="shared" si="2"/>
        <v>Sale</v>
      </c>
      <c r="D3947" s="1" t="s">
        <v>1234</v>
      </c>
      <c r="E3947" s="1" t="str">
        <f>IFERROR(__xludf.DUMMYFUNCTION("IF(LEN(D3947)&gt;4, IFERROR(REGEXEXTRACT(TO_TEXT(D3947),""\d+""),""""),"""")"),"90013")</f>
        <v>90013</v>
      </c>
      <c r="F3947" s="6" t="str">
        <f t="shared" si="3"/>
        <v>Product</v>
      </c>
      <c r="G3947" s="1" t="s">
        <v>1235</v>
      </c>
      <c r="H3947" s="6" t="str">
        <f>IFERROR(__xludf.DUMMYFUNCTION("IF(REGEXMATCH(LOWER(G3947), ""^(\?)+\s*(missing)?\s*(\?)*$""), """", PROPER(SUBSTITUTE(SUBSTITUTE(G3947, ""?"", """"), ""*"", """")))"),"Midnight Blue Vintage Earrings")</f>
        <v>Midnight Blue Vintage Earrings</v>
      </c>
      <c r="I3947" s="3">
        <v>3.0</v>
      </c>
      <c r="J3947" s="7">
        <v>40886.41875</v>
      </c>
      <c r="K3947" s="8" t="str">
        <f t="shared" si="4"/>
        <v>2011-12</v>
      </c>
      <c r="L3947" s="5">
        <v>3.73</v>
      </c>
      <c r="M3947" s="10"/>
      <c r="N3947" s="1" t="str">
        <f t="shared" si="5"/>
        <v>Guest</v>
      </c>
      <c r="O3947" s="1" t="s">
        <v>19</v>
      </c>
      <c r="P3947" s="9" t="str">
        <f t="shared" si="6"/>
        <v>UK</v>
      </c>
      <c r="Q3947" s="8">
        <f t="shared" si="7"/>
        <v>11.19</v>
      </c>
    </row>
    <row r="3948">
      <c r="A3948" s="1">
        <v>581492.0</v>
      </c>
      <c r="B3948" s="1" t="str">
        <f t="shared" si="1"/>
        <v>581492</v>
      </c>
      <c r="C3948" s="1" t="str">
        <f t="shared" si="2"/>
        <v>Sale</v>
      </c>
      <c r="D3948" s="1" t="s">
        <v>1845</v>
      </c>
      <c r="E3948" s="1" t="str">
        <f>IFERROR(__xludf.DUMMYFUNCTION("IF(LEN(D3948)&gt;4, IFERROR(REGEXEXTRACT(TO_TEXT(D3948),""\d+""),""""),"""")"),"90013")</f>
        <v>90013</v>
      </c>
      <c r="F3948" s="6" t="str">
        <f t="shared" si="3"/>
        <v>Product</v>
      </c>
      <c r="G3948" s="1" t="s">
        <v>1846</v>
      </c>
      <c r="H3948" s="6" t="str">
        <f>IFERROR(__xludf.DUMMYFUNCTION("IF(REGEXMATCH(LOWER(G3948), ""^(\?)+\s*(missing)?\s*(\?)*$""), """", PROPER(SUBSTITUTE(SUBSTITUTE(G3948, ""?"", """"), ""*"", """")))"),"Green Vintage Earrings")</f>
        <v>Green Vintage Earrings</v>
      </c>
      <c r="I3948" s="3">
        <v>2.0</v>
      </c>
      <c r="J3948" s="7">
        <v>40886.41875</v>
      </c>
      <c r="K3948" s="8" t="str">
        <f t="shared" si="4"/>
        <v>2011-12</v>
      </c>
      <c r="L3948" s="5">
        <v>4.15</v>
      </c>
      <c r="M3948" s="10"/>
      <c r="N3948" s="1" t="str">
        <f t="shared" si="5"/>
        <v>Guest</v>
      </c>
      <c r="O3948" s="1" t="s">
        <v>19</v>
      </c>
      <c r="P3948" s="9" t="str">
        <f t="shared" si="6"/>
        <v>UK</v>
      </c>
      <c r="Q3948" s="8">
        <f t="shared" si="7"/>
        <v>8.3</v>
      </c>
    </row>
    <row r="3949">
      <c r="A3949" s="1">
        <v>581492.0</v>
      </c>
      <c r="B3949" s="1" t="str">
        <f t="shared" si="1"/>
        <v>581492</v>
      </c>
      <c r="C3949" s="1" t="str">
        <f t="shared" si="2"/>
        <v>Sale</v>
      </c>
      <c r="D3949" s="1" t="s">
        <v>1847</v>
      </c>
      <c r="E3949" s="1" t="str">
        <f>IFERROR(__xludf.DUMMYFUNCTION("IF(LEN(D3949)&gt;4, IFERROR(REGEXEXTRACT(TO_TEXT(D3949),""\d+""),""""),"""")"),"90014")</f>
        <v>90014</v>
      </c>
      <c r="F3949" s="6" t="str">
        <f t="shared" si="3"/>
        <v>Product</v>
      </c>
      <c r="G3949" s="1" t="s">
        <v>1848</v>
      </c>
      <c r="H3949" s="6" t="str">
        <f>IFERROR(__xludf.DUMMYFUNCTION("IF(REGEXMATCH(LOWER(G3949), ""^(\?)+\s*(missing)?\s*(\?)*$""), """", PROPER(SUBSTITUTE(SUBSTITUTE(G3949, ""?"", """"), ""*"", """")))"),"Silver M.O.P. Orbit Necklace")</f>
        <v>Silver M.O.P. Orbit Necklace</v>
      </c>
      <c r="I3949" s="3">
        <v>1.0</v>
      </c>
      <c r="J3949" s="7">
        <v>40886.41875</v>
      </c>
      <c r="K3949" s="8" t="str">
        <f t="shared" si="4"/>
        <v>2011-12</v>
      </c>
      <c r="L3949" s="5">
        <v>10.4</v>
      </c>
      <c r="M3949" s="10"/>
      <c r="N3949" s="1" t="str">
        <f t="shared" si="5"/>
        <v>Guest</v>
      </c>
      <c r="O3949" s="1" t="s">
        <v>19</v>
      </c>
      <c r="P3949" s="9" t="str">
        <f t="shared" si="6"/>
        <v>UK</v>
      </c>
      <c r="Q3949" s="8">
        <f t="shared" si="7"/>
        <v>10.4</v>
      </c>
    </row>
    <row r="3950">
      <c r="A3950" s="1">
        <v>581492.0</v>
      </c>
      <c r="B3950" s="1" t="str">
        <f t="shared" si="1"/>
        <v>581492</v>
      </c>
      <c r="C3950" s="1" t="str">
        <f t="shared" si="2"/>
        <v>Sale</v>
      </c>
      <c r="D3950" s="1" t="s">
        <v>1849</v>
      </c>
      <c r="E3950" s="1" t="str">
        <f>IFERROR(__xludf.DUMMYFUNCTION("IF(LEN(D3950)&gt;4, IFERROR(REGEXEXTRACT(TO_TEXT(D3950),""\d+""),""""),"""")"),"90016")</f>
        <v>90016</v>
      </c>
      <c r="F3950" s="6" t="str">
        <f t="shared" si="3"/>
        <v>Product</v>
      </c>
      <c r="G3950" s="1" t="s">
        <v>1850</v>
      </c>
      <c r="H3950" s="6" t="str">
        <f>IFERROR(__xludf.DUMMYFUNCTION("IF(REGEXMATCH(LOWER(G3950), ""^(\?)+\s*(missing)?\s*(\?)*$""), """", PROPER(SUBSTITUTE(SUBSTITUTE(G3950, ""?"", """"), ""*"", """")))"),"Gold/M.O.P Pendant Orbit Necklace")</f>
        <v>Gold/M.O.P Pendant Orbit Necklace</v>
      </c>
      <c r="I3950" s="3">
        <v>1.0</v>
      </c>
      <c r="J3950" s="7">
        <v>40886.41875</v>
      </c>
      <c r="K3950" s="8" t="str">
        <f t="shared" si="4"/>
        <v>2011-12</v>
      </c>
      <c r="L3950" s="5">
        <v>8.32</v>
      </c>
      <c r="M3950" s="10"/>
      <c r="N3950" s="1" t="str">
        <f t="shared" si="5"/>
        <v>Guest</v>
      </c>
      <c r="O3950" s="1" t="s">
        <v>19</v>
      </c>
      <c r="P3950" s="9" t="str">
        <f t="shared" si="6"/>
        <v>UK</v>
      </c>
      <c r="Q3950" s="8">
        <f t="shared" si="7"/>
        <v>8.32</v>
      </c>
    </row>
    <row r="3951">
      <c r="A3951" s="1">
        <v>581492.0</v>
      </c>
      <c r="B3951" s="1" t="str">
        <f t="shared" si="1"/>
        <v>581492</v>
      </c>
      <c r="C3951" s="1" t="str">
        <f t="shared" si="2"/>
        <v>Sale</v>
      </c>
      <c r="D3951" s="1" t="s">
        <v>1851</v>
      </c>
      <c r="E3951" s="1" t="str">
        <f>IFERROR(__xludf.DUMMYFUNCTION("IF(LEN(D3951)&gt;4, IFERROR(REGEXEXTRACT(TO_TEXT(D3951),""\d+""),""""),"""")"),"90018")</f>
        <v>90018</v>
      </c>
      <c r="F3951" s="6" t="str">
        <f t="shared" si="3"/>
        <v>Product</v>
      </c>
      <c r="G3951" s="1" t="s">
        <v>1852</v>
      </c>
      <c r="H3951" s="6" t="str">
        <f>IFERROR(__xludf.DUMMYFUNCTION("IF(REGEXMATCH(LOWER(G3951), ""^(\?)+\s*(missing)?\s*(\?)*$""), """", PROPER(SUBSTITUTE(SUBSTITUTE(G3951, ""?"", """"), ""*"", """")))"),"Gold M.O.P Orbit Drop Earrings")</f>
        <v>Gold M.O.P Orbit Drop Earrings</v>
      </c>
      <c r="I3951" s="3">
        <v>1.0</v>
      </c>
      <c r="J3951" s="7">
        <v>40886.41875</v>
      </c>
      <c r="K3951" s="8" t="str">
        <f t="shared" si="4"/>
        <v>2011-12</v>
      </c>
      <c r="L3951" s="5">
        <v>4.15</v>
      </c>
      <c r="M3951" s="10"/>
      <c r="N3951" s="1" t="str">
        <f t="shared" si="5"/>
        <v>Guest</v>
      </c>
      <c r="O3951" s="1" t="s">
        <v>19</v>
      </c>
      <c r="P3951" s="9" t="str">
        <f t="shared" si="6"/>
        <v>UK</v>
      </c>
      <c r="Q3951" s="8">
        <f t="shared" si="7"/>
        <v>4.15</v>
      </c>
    </row>
    <row r="3952">
      <c r="A3952" s="1">
        <v>581492.0</v>
      </c>
      <c r="B3952" s="1" t="str">
        <f t="shared" si="1"/>
        <v>581492</v>
      </c>
      <c r="C3952" s="1" t="str">
        <f t="shared" si="2"/>
        <v>Sale</v>
      </c>
      <c r="D3952" s="1" t="s">
        <v>1853</v>
      </c>
      <c r="E3952" s="1" t="str">
        <f>IFERROR(__xludf.DUMMYFUNCTION("IF(LEN(D3952)&gt;4, IFERROR(REGEXEXTRACT(TO_TEXT(D3952),""\d+""),""""),"""")"),"90019")</f>
        <v>90019</v>
      </c>
      <c r="F3952" s="6" t="str">
        <f t="shared" si="3"/>
        <v>Product</v>
      </c>
      <c r="G3952" s="1" t="s">
        <v>1854</v>
      </c>
      <c r="H3952" s="6" t="str">
        <f>IFERROR(__xludf.DUMMYFUNCTION("IF(REGEXMATCH(LOWER(G3952), ""^(\?)+\s*(missing)?\s*(\?)*$""), """", PROPER(SUBSTITUTE(SUBSTITUTE(G3952, ""?"", """"), ""*"", """")))"),"Gold M.O.P Orbit Bracelet")</f>
        <v>Gold M.O.P Orbit Bracelet</v>
      </c>
      <c r="I3952" s="3">
        <v>1.0</v>
      </c>
      <c r="J3952" s="7">
        <v>40886.41875</v>
      </c>
      <c r="K3952" s="8" t="str">
        <f t="shared" si="4"/>
        <v>2011-12</v>
      </c>
      <c r="L3952" s="5">
        <v>5.4</v>
      </c>
      <c r="M3952" s="10"/>
      <c r="N3952" s="1" t="str">
        <f t="shared" si="5"/>
        <v>Guest</v>
      </c>
      <c r="O3952" s="1" t="s">
        <v>19</v>
      </c>
      <c r="P3952" s="9" t="str">
        <f t="shared" si="6"/>
        <v>UK</v>
      </c>
      <c r="Q3952" s="8">
        <f t="shared" si="7"/>
        <v>5.4</v>
      </c>
    </row>
    <row r="3953">
      <c r="A3953" s="1">
        <v>581492.0</v>
      </c>
      <c r="B3953" s="1" t="str">
        <f t="shared" si="1"/>
        <v>581492</v>
      </c>
      <c r="C3953" s="1" t="str">
        <f t="shared" si="2"/>
        <v>Sale</v>
      </c>
      <c r="D3953" s="1" t="s">
        <v>1855</v>
      </c>
      <c r="E3953" s="1" t="str">
        <f>IFERROR(__xludf.DUMMYFUNCTION("IF(LEN(D3953)&gt;4, IFERROR(REGEXEXTRACT(TO_TEXT(D3953),""\d+""),""""),"""")"),"90027")</f>
        <v>90027</v>
      </c>
      <c r="F3953" s="6" t="str">
        <f t="shared" si="3"/>
        <v>Product</v>
      </c>
      <c r="G3953" s="1" t="s">
        <v>1856</v>
      </c>
      <c r="H3953" s="6" t="str">
        <f>IFERROR(__xludf.DUMMYFUNCTION("IF(REGEXMATCH(LOWER(G3953), ""^(\?)+\s*(missing)?\s*(\?)*$""), """", PROPER(SUBSTITUTE(SUBSTITUTE(G3953, ""?"", """"), ""*"", """")))"),"Glass Bead Hoop Earrings Amethyst")</f>
        <v>Glass Bead Hoop Earrings Amethyst</v>
      </c>
      <c r="I3953" s="3">
        <v>1.0</v>
      </c>
      <c r="J3953" s="7">
        <v>40886.41875</v>
      </c>
      <c r="K3953" s="8" t="str">
        <f t="shared" si="4"/>
        <v>2011-12</v>
      </c>
      <c r="L3953" s="5">
        <v>3.32</v>
      </c>
      <c r="M3953" s="10"/>
      <c r="N3953" s="1" t="str">
        <f t="shared" si="5"/>
        <v>Guest</v>
      </c>
      <c r="O3953" s="1" t="s">
        <v>19</v>
      </c>
      <c r="P3953" s="9" t="str">
        <f t="shared" si="6"/>
        <v>UK</v>
      </c>
      <c r="Q3953" s="8">
        <f t="shared" si="7"/>
        <v>3.32</v>
      </c>
    </row>
    <row r="3954">
      <c r="A3954" s="1">
        <v>581492.0</v>
      </c>
      <c r="B3954" s="1" t="str">
        <f t="shared" si="1"/>
        <v>581492</v>
      </c>
      <c r="C3954" s="1" t="str">
        <f t="shared" si="2"/>
        <v>Sale</v>
      </c>
      <c r="D3954" s="1" t="s">
        <v>1857</v>
      </c>
      <c r="E3954" s="1" t="str">
        <f>IFERROR(__xludf.DUMMYFUNCTION("IF(LEN(D3954)&gt;4, IFERROR(REGEXEXTRACT(TO_TEXT(D3954),""\d+""),""""),"""")"),"90030")</f>
        <v>90030</v>
      </c>
      <c r="F3954" s="6" t="str">
        <f t="shared" si="3"/>
        <v>Product</v>
      </c>
      <c r="G3954" s="1" t="s">
        <v>1858</v>
      </c>
      <c r="H3954" s="6" t="str">
        <f>IFERROR(__xludf.DUMMYFUNCTION("IF(REGEXMATCH(LOWER(G3954), ""^(\?)+\s*(missing)?\s*(\?)*$""), """", PROPER(SUBSTITUTE(SUBSTITUTE(G3954, ""?"", """"), ""*"", """")))"),"Red Kukui Coconut Seed Necklace")</f>
        <v>Red Kukui Coconut Seed Necklace</v>
      </c>
      <c r="I3954" s="3">
        <v>1.0</v>
      </c>
      <c r="J3954" s="7">
        <v>40886.41875</v>
      </c>
      <c r="K3954" s="8" t="str">
        <f t="shared" si="4"/>
        <v>2011-12</v>
      </c>
      <c r="L3954" s="5">
        <v>5.82</v>
      </c>
      <c r="M3954" s="10"/>
      <c r="N3954" s="1" t="str">
        <f t="shared" si="5"/>
        <v>Guest</v>
      </c>
      <c r="O3954" s="1" t="s">
        <v>19</v>
      </c>
      <c r="P3954" s="9" t="str">
        <f t="shared" si="6"/>
        <v>UK</v>
      </c>
      <c r="Q3954" s="8">
        <f t="shared" si="7"/>
        <v>5.82</v>
      </c>
    </row>
    <row r="3955">
      <c r="A3955" s="1">
        <v>581492.0</v>
      </c>
      <c r="B3955" s="1" t="str">
        <f t="shared" si="1"/>
        <v>581492</v>
      </c>
      <c r="C3955" s="1" t="str">
        <f t="shared" si="2"/>
        <v>Sale</v>
      </c>
      <c r="D3955" s="1">
        <v>90055.0</v>
      </c>
      <c r="E3955" s="1" t="str">
        <f>IFERROR(__xludf.DUMMYFUNCTION("IF(LEN(D3955)&gt;4, IFERROR(REGEXEXTRACT(TO_TEXT(D3955),""\d+""),""""),"""")"),"90055")</f>
        <v>90055</v>
      </c>
      <c r="F3955" s="6" t="str">
        <f t="shared" si="3"/>
        <v>Product</v>
      </c>
      <c r="G3955" s="1" t="s">
        <v>1859</v>
      </c>
      <c r="H3955" s="6" t="str">
        <f>IFERROR(__xludf.DUMMYFUNCTION("IF(REGEXMATCH(LOWER(G3955), ""^(\?)+\s*(missing)?\s*(\?)*$""), """", PROPER(SUBSTITUTE(SUBSTITUTE(G3955, ""?"", """"), ""*"", """")))"),"Cracked Glaze Earrings Brown")</f>
        <v>Cracked Glaze Earrings Brown</v>
      </c>
      <c r="I3955" s="3">
        <v>1.0</v>
      </c>
      <c r="J3955" s="7">
        <v>40886.41875</v>
      </c>
      <c r="K3955" s="8" t="str">
        <f t="shared" si="4"/>
        <v>2011-12</v>
      </c>
      <c r="L3955" s="5">
        <v>2.48</v>
      </c>
      <c r="M3955" s="10"/>
      <c r="N3955" s="1" t="str">
        <f t="shared" si="5"/>
        <v>Guest</v>
      </c>
      <c r="O3955" s="1" t="s">
        <v>19</v>
      </c>
      <c r="P3955" s="9" t="str">
        <f t="shared" si="6"/>
        <v>UK</v>
      </c>
      <c r="Q3955" s="8">
        <f t="shared" si="7"/>
        <v>2.48</v>
      </c>
    </row>
    <row r="3956">
      <c r="A3956" s="1">
        <v>581492.0</v>
      </c>
      <c r="B3956" s="1" t="str">
        <f t="shared" si="1"/>
        <v>581492</v>
      </c>
      <c r="C3956" s="1" t="str">
        <f t="shared" si="2"/>
        <v>Sale</v>
      </c>
      <c r="D3956" s="1" t="s">
        <v>1860</v>
      </c>
      <c r="E3956" s="1" t="str">
        <f>IFERROR(__xludf.DUMMYFUNCTION("IF(LEN(D3956)&gt;4, IFERROR(REGEXEXTRACT(TO_TEXT(D3956),""\d+""),""""),"""")"),"90059")</f>
        <v>90059</v>
      </c>
      <c r="F3956" s="6" t="str">
        <f t="shared" si="3"/>
        <v>Product</v>
      </c>
      <c r="G3956" s="1" t="s">
        <v>1861</v>
      </c>
      <c r="H3956" s="6" t="str">
        <f>IFERROR(__xludf.DUMMYFUNCTION("IF(REGEXMATCH(LOWER(G3956), ""^(\?)+\s*(missing)?\s*(\?)*$""), """", PROPER(SUBSTITUTE(SUBSTITUTE(G3956, ""?"", """"), ""*"", """")))"),"Diamante Hair Grip Pack/2 Crystal")</f>
        <v>Diamante Hair Grip Pack/2 Crystal</v>
      </c>
      <c r="I3956" s="3">
        <v>1.0</v>
      </c>
      <c r="J3956" s="7">
        <v>40886.41875</v>
      </c>
      <c r="K3956" s="8" t="str">
        <f t="shared" si="4"/>
        <v>2011-12</v>
      </c>
      <c r="L3956" s="5">
        <v>1.65</v>
      </c>
      <c r="M3956" s="10"/>
      <c r="N3956" s="1" t="str">
        <f t="shared" si="5"/>
        <v>Guest</v>
      </c>
      <c r="O3956" s="1" t="s">
        <v>19</v>
      </c>
      <c r="P3956" s="9" t="str">
        <f t="shared" si="6"/>
        <v>UK</v>
      </c>
      <c r="Q3956" s="8">
        <f t="shared" si="7"/>
        <v>1.65</v>
      </c>
    </row>
    <row r="3957">
      <c r="A3957" s="1">
        <v>581492.0</v>
      </c>
      <c r="B3957" s="1" t="str">
        <f t="shared" si="1"/>
        <v>581492</v>
      </c>
      <c r="C3957" s="1" t="str">
        <f t="shared" si="2"/>
        <v>Sale</v>
      </c>
      <c r="D3957" s="1" t="s">
        <v>1862</v>
      </c>
      <c r="E3957" s="1" t="str">
        <f>IFERROR(__xludf.DUMMYFUNCTION("IF(LEN(D3957)&gt;4, IFERROR(REGEXEXTRACT(TO_TEXT(D3957),""\d+""),""""),"""")"),"90059")</f>
        <v>90059</v>
      </c>
      <c r="F3957" s="6" t="str">
        <f t="shared" si="3"/>
        <v>Product</v>
      </c>
      <c r="G3957" s="1" t="s">
        <v>1863</v>
      </c>
      <c r="H3957" s="6" t="str">
        <f>IFERROR(__xludf.DUMMYFUNCTION("IF(REGEXMATCH(LOWER(G3957), ""^(\?)+\s*(missing)?\s*(\?)*$""), """", PROPER(SUBSTITUTE(SUBSTITUTE(G3957, ""?"", """"), ""*"", """")))"),"Diamante Hair Grip Pack/2 Peridot")</f>
        <v>Diamante Hair Grip Pack/2 Peridot</v>
      </c>
      <c r="I3957" s="3">
        <v>2.0</v>
      </c>
      <c r="J3957" s="7">
        <v>40886.41875</v>
      </c>
      <c r="K3957" s="8" t="str">
        <f t="shared" si="4"/>
        <v>2011-12</v>
      </c>
      <c r="L3957" s="5">
        <v>1.65</v>
      </c>
      <c r="M3957" s="10"/>
      <c r="N3957" s="1" t="str">
        <f t="shared" si="5"/>
        <v>Guest</v>
      </c>
      <c r="O3957" s="1" t="s">
        <v>19</v>
      </c>
      <c r="P3957" s="9" t="str">
        <f t="shared" si="6"/>
        <v>UK</v>
      </c>
      <c r="Q3957" s="8">
        <f t="shared" si="7"/>
        <v>3.3</v>
      </c>
    </row>
    <row r="3958">
      <c r="A3958" s="1">
        <v>581492.0</v>
      </c>
      <c r="B3958" s="1" t="str">
        <f t="shared" si="1"/>
        <v>581492</v>
      </c>
      <c r="C3958" s="1" t="str">
        <f t="shared" si="2"/>
        <v>Sale</v>
      </c>
      <c r="D3958" s="1" t="s">
        <v>566</v>
      </c>
      <c r="E3958" s="1" t="str">
        <f>IFERROR(__xludf.DUMMYFUNCTION("IF(LEN(D3958)&gt;4, IFERROR(REGEXEXTRACT(TO_TEXT(D3958),""\d+""),""""),"""")"),"90059")</f>
        <v>90059</v>
      </c>
      <c r="F3958" s="6" t="str">
        <f t="shared" si="3"/>
        <v>Product</v>
      </c>
      <c r="G3958" s="1" t="s">
        <v>567</v>
      </c>
      <c r="H3958" s="6" t="str">
        <f>IFERROR(__xludf.DUMMYFUNCTION("IF(REGEXMATCH(LOWER(G3958), ""^(\?)+\s*(missing)?\s*(\?)*$""), """", PROPER(SUBSTITUTE(SUBSTITUTE(G3958, ""?"", """"), ""*"", """")))"),"Diamante Hair Grip Pack/2 Ruby")</f>
        <v>Diamante Hair Grip Pack/2 Ruby</v>
      </c>
      <c r="I3958" s="3">
        <v>1.0</v>
      </c>
      <c r="J3958" s="7">
        <v>40886.41875</v>
      </c>
      <c r="K3958" s="8" t="str">
        <f t="shared" si="4"/>
        <v>2011-12</v>
      </c>
      <c r="L3958" s="5">
        <v>1.65</v>
      </c>
      <c r="M3958" s="10"/>
      <c r="N3958" s="1" t="str">
        <f t="shared" si="5"/>
        <v>Guest</v>
      </c>
      <c r="O3958" s="1" t="s">
        <v>19</v>
      </c>
      <c r="P3958" s="9" t="str">
        <f t="shared" si="6"/>
        <v>UK</v>
      </c>
      <c r="Q3958" s="8">
        <f t="shared" si="7"/>
        <v>1.65</v>
      </c>
    </row>
    <row r="3959">
      <c r="A3959" s="1">
        <v>581492.0</v>
      </c>
      <c r="B3959" s="1" t="str">
        <f t="shared" si="1"/>
        <v>581492</v>
      </c>
      <c r="C3959" s="1" t="str">
        <f t="shared" si="2"/>
        <v>Sale</v>
      </c>
      <c r="D3959" s="1" t="s">
        <v>1864</v>
      </c>
      <c r="E3959" s="1" t="str">
        <f>IFERROR(__xludf.DUMMYFUNCTION("IF(LEN(D3959)&gt;4, IFERROR(REGEXEXTRACT(TO_TEXT(D3959),""\d+""),""""),"""")"),"90059")</f>
        <v>90059</v>
      </c>
      <c r="F3959" s="6" t="str">
        <f t="shared" si="3"/>
        <v>Product</v>
      </c>
      <c r="G3959" s="1" t="s">
        <v>1865</v>
      </c>
      <c r="H3959" s="6" t="str">
        <f>IFERROR(__xludf.DUMMYFUNCTION("IF(REGEXMATCH(LOWER(G3959), ""^(\?)+\s*(missing)?\s*(\?)*$""), """", PROPER(SUBSTITUTE(SUBSTITUTE(G3959, ""?"", """"), ""*"", """")))"),"Diamante Hair Grip Pack/2 Lt Rose")</f>
        <v>Diamante Hair Grip Pack/2 Lt Rose</v>
      </c>
      <c r="I3959" s="3">
        <v>1.0</v>
      </c>
      <c r="J3959" s="7">
        <v>40886.41875</v>
      </c>
      <c r="K3959" s="8" t="str">
        <f t="shared" si="4"/>
        <v>2011-12</v>
      </c>
      <c r="L3959" s="5">
        <v>1.65</v>
      </c>
      <c r="M3959" s="10"/>
      <c r="N3959" s="1" t="str">
        <f t="shared" si="5"/>
        <v>Guest</v>
      </c>
      <c r="O3959" s="1" t="s">
        <v>19</v>
      </c>
      <c r="P3959" s="9" t="str">
        <f t="shared" si="6"/>
        <v>UK</v>
      </c>
      <c r="Q3959" s="8">
        <f t="shared" si="7"/>
        <v>1.65</v>
      </c>
    </row>
    <row r="3960">
      <c r="A3960" s="1">
        <v>581492.0</v>
      </c>
      <c r="B3960" s="1" t="str">
        <f t="shared" si="1"/>
        <v>581492</v>
      </c>
      <c r="C3960" s="1" t="str">
        <f t="shared" si="2"/>
        <v>Sale</v>
      </c>
      <c r="D3960" s="1">
        <v>90072.0</v>
      </c>
      <c r="E3960" s="1" t="str">
        <f>IFERROR(__xludf.DUMMYFUNCTION("IF(LEN(D3960)&gt;4, IFERROR(REGEXEXTRACT(TO_TEXT(D3960),""\d+""),""""),"""")"),"90072")</f>
        <v>90072</v>
      </c>
      <c r="F3960" s="6" t="str">
        <f t="shared" si="3"/>
        <v>Product</v>
      </c>
      <c r="G3960" s="1" t="s">
        <v>1866</v>
      </c>
      <c r="H3960" s="6" t="str">
        <f>IFERROR(__xludf.DUMMYFUNCTION("IF(REGEXMATCH(LOWER(G3960), ""^(\?)+\s*(missing)?\s*(\?)*$""), """", PROPER(SUBSTITUTE(SUBSTITUTE(G3960, ""?"", """"), ""*"", """")))"),"Ruby Drop Chandelier Earrings")</f>
        <v>Ruby Drop Chandelier Earrings</v>
      </c>
      <c r="I3960" s="3">
        <v>1.0</v>
      </c>
      <c r="J3960" s="7">
        <v>40886.41875</v>
      </c>
      <c r="K3960" s="8" t="str">
        <f t="shared" si="4"/>
        <v>2011-12</v>
      </c>
      <c r="L3960" s="5">
        <v>4.15</v>
      </c>
      <c r="M3960" s="10"/>
      <c r="N3960" s="1" t="str">
        <f t="shared" si="5"/>
        <v>Guest</v>
      </c>
      <c r="O3960" s="1" t="s">
        <v>19</v>
      </c>
      <c r="P3960" s="9" t="str">
        <f t="shared" si="6"/>
        <v>UK</v>
      </c>
      <c r="Q3960" s="8">
        <f t="shared" si="7"/>
        <v>4.15</v>
      </c>
    </row>
    <row r="3961">
      <c r="A3961" s="1">
        <v>581492.0</v>
      </c>
      <c r="B3961" s="1" t="str">
        <f t="shared" si="1"/>
        <v>581492</v>
      </c>
      <c r="C3961" s="1" t="str">
        <f t="shared" si="2"/>
        <v>Sale</v>
      </c>
      <c r="D3961" s="1">
        <v>90086.0</v>
      </c>
      <c r="E3961" s="1" t="str">
        <f>IFERROR(__xludf.DUMMYFUNCTION("IF(LEN(D3961)&gt;4, IFERROR(REGEXEXTRACT(TO_TEXT(D3961),""\d+""),""""),"""")"),"90086")</f>
        <v>90086</v>
      </c>
      <c r="F3961" s="6" t="str">
        <f t="shared" si="3"/>
        <v>Product</v>
      </c>
      <c r="G3961" s="1" t="s">
        <v>1238</v>
      </c>
      <c r="H3961" s="6" t="str">
        <f>IFERROR(__xludf.DUMMYFUNCTION("IF(REGEXMATCH(LOWER(G3961), ""^(\?)+\s*(missing)?\s*(\?)*$""), """", PROPER(SUBSTITUTE(SUBSTITUTE(G3961, ""?"", """"), ""*"", """")))"),"Crystal Frog Phone Charm")</f>
        <v>Crystal Frog Phone Charm</v>
      </c>
      <c r="I3961" s="3">
        <v>1.0</v>
      </c>
      <c r="J3961" s="7">
        <v>40886.41875</v>
      </c>
      <c r="K3961" s="8" t="str">
        <f t="shared" si="4"/>
        <v>2011-12</v>
      </c>
      <c r="L3961" s="5">
        <v>1.63</v>
      </c>
      <c r="M3961" s="10"/>
      <c r="N3961" s="1" t="str">
        <f t="shared" si="5"/>
        <v>Guest</v>
      </c>
      <c r="O3961" s="1" t="s">
        <v>19</v>
      </c>
      <c r="P3961" s="9" t="str">
        <f t="shared" si="6"/>
        <v>UK</v>
      </c>
      <c r="Q3961" s="8">
        <f t="shared" si="7"/>
        <v>1.63</v>
      </c>
    </row>
    <row r="3962">
      <c r="A3962" s="1">
        <v>581492.0</v>
      </c>
      <c r="B3962" s="1" t="str">
        <f t="shared" si="1"/>
        <v>581492</v>
      </c>
      <c r="C3962" s="1" t="str">
        <f t="shared" si="2"/>
        <v>Sale</v>
      </c>
      <c r="D3962" s="1" t="s">
        <v>1867</v>
      </c>
      <c r="E3962" s="1" t="str">
        <f>IFERROR(__xludf.DUMMYFUNCTION("IF(LEN(D3962)&gt;4, IFERROR(REGEXEXTRACT(TO_TEXT(D3962),""\d+""),""""),"""")"),"90120")</f>
        <v>90120</v>
      </c>
      <c r="F3962" s="6" t="str">
        <f t="shared" si="3"/>
        <v>Product</v>
      </c>
      <c r="G3962" s="1" t="s">
        <v>1868</v>
      </c>
      <c r="H3962" s="6" t="str">
        <f>IFERROR(__xludf.DUMMYFUNCTION("IF(REGEXMATCH(LOWER(G3962), ""^(\?)+\s*(missing)?\s*(\?)*$""), """", PROPER(SUBSTITUTE(SUBSTITUTE(G3962, ""?"", """"), ""*"", """")))"),"Blue Murano Twist Bracelet")</f>
        <v>Blue Murano Twist Bracelet</v>
      </c>
      <c r="I3962" s="3">
        <v>2.0</v>
      </c>
      <c r="J3962" s="7">
        <v>40886.41875</v>
      </c>
      <c r="K3962" s="8" t="str">
        <f t="shared" si="4"/>
        <v>2011-12</v>
      </c>
      <c r="L3962" s="5">
        <v>4.15</v>
      </c>
      <c r="M3962" s="10"/>
      <c r="N3962" s="1" t="str">
        <f t="shared" si="5"/>
        <v>Guest</v>
      </c>
      <c r="O3962" s="1" t="s">
        <v>19</v>
      </c>
      <c r="P3962" s="9" t="str">
        <f t="shared" si="6"/>
        <v>UK</v>
      </c>
      <c r="Q3962" s="8">
        <f t="shared" si="7"/>
        <v>8.3</v>
      </c>
    </row>
    <row r="3963">
      <c r="A3963" s="1">
        <v>581492.0</v>
      </c>
      <c r="B3963" s="1" t="str">
        <f t="shared" si="1"/>
        <v>581492</v>
      </c>
      <c r="C3963" s="1" t="str">
        <f t="shared" si="2"/>
        <v>Sale</v>
      </c>
      <c r="D3963" s="1" t="s">
        <v>1869</v>
      </c>
      <c r="E3963" s="1" t="str">
        <f>IFERROR(__xludf.DUMMYFUNCTION("IF(LEN(D3963)&gt;4, IFERROR(REGEXEXTRACT(TO_TEXT(D3963),""\d+""),""""),"""")"),"90120")</f>
        <v>90120</v>
      </c>
      <c r="F3963" s="6" t="str">
        <f t="shared" si="3"/>
        <v>Product</v>
      </c>
      <c r="G3963" s="1" t="s">
        <v>1870</v>
      </c>
      <c r="H3963" s="6" t="str">
        <f>IFERROR(__xludf.DUMMYFUNCTION("IF(REGEXMATCH(LOWER(G3963), ""^(\?)+\s*(missing)?\s*(\?)*$""), """", PROPER(SUBSTITUTE(SUBSTITUTE(G3963, ""?"", """"), ""*"", """")))"),"Green Murano Twist Bracelet")</f>
        <v>Green Murano Twist Bracelet</v>
      </c>
      <c r="I3963" s="3">
        <v>1.0</v>
      </c>
      <c r="J3963" s="7">
        <v>40886.41875</v>
      </c>
      <c r="K3963" s="8" t="str">
        <f t="shared" si="4"/>
        <v>2011-12</v>
      </c>
      <c r="L3963" s="5">
        <v>4.15</v>
      </c>
      <c r="M3963" s="10"/>
      <c r="N3963" s="1" t="str">
        <f t="shared" si="5"/>
        <v>Guest</v>
      </c>
      <c r="O3963" s="1" t="s">
        <v>19</v>
      </c>
      <c r="P3963" s="9" t="str">
        <f t="shared" si="6"/>
        <v>UK</v>
      </c>
      <c r="Q3963" s="8">
        <f t="shared" si="7"/>
        <v>4.15</v>
      </c>
    </row>
    <row r="3964">
      <c r="A3964" s="1">
        <v>581492.0</v>
      </c>
      <c r="B3964" s="1" t="str">
        <f t="shared" si="1"/>
        <v>581492</v>
      </c>
      <c r="C3964" s="1" t="str">
        <f t="shared" si="2"/>
        <v>Sale</v>
      </c>
      <c r="D3964" s="1" t="s">
        <v>1871</v>
      </c>
      <c r="E3964" s="1" t="str">
        <f>IFERROR(__xludf.DUMMYFUNCTION("IF(LEN(D3964)&gt;4, IFERROR(REGEXEXTRACT(TO_TEXT(D3964),""\d+""),""""),"""")"),"90130")</f>
        <v>90130</v>
      </c>
      <c r="F3964" s="6" t="str">
        <f t="shared" si="3"/>
        <v>Product</v>
      </c>
      <c r="G3964" s="1" t="s">
        <v>1872</v>
      </c>
      <c r="H3964" s="6" t="str">
        <f>IFERROR(__xludf.DUMMYFUNCTION("IF(REGEXMATCH(LOWER(G3964), ""^(\?)+\s*(missing)?\s*(\?)*$""), """", PROPER(SUBSTITUTE(SUBSTITUTE(G3964, ""?"", """"), ""*"", """")))"),"Turq Stone/Crystal Earrings")</f>
        <v>Turq Stone/Crystal Earrings</v>
      </c>
      <c r="I3964" s="3">
        <v>1.0</v>
      </c>
      <c r="J3964" s="7">
        <v>40886.41875</v>
      </c>
      <c r="K3964" s="8" t="str">
        <f t="shared" si="4"/>
        <v>2011-12</v>
      </c>
      <c r="L3964" s="5">
        <v>2.9</v>
      </c>
      <c r="M3964" s="10"/>
      <c r="N3964" s="1" t="str">
        <f t="shared" si="5"/>
        <v>Guest</v>
      </c>
      <c r="O3964" s="1" t="s">
        <v>19</v>
      </c>
      <c r="P3964" s="9" t="str">
        <f t="shared" si="6"/>
        <v>UK</v>
      </c>
      <c r="Q3964" s="8">
        <f t="shared" si="7"/>
        <v>2.9</v>
      </c>
    </row>
    <row r="3965">
      <c r="A3965" s="1">
        <v>581492.0</v>
      </c>
      <c r="B3965" s="1" t="str">
        <f t="shared" si="1"/>
        <v>581492</v>
      </c>
      <c r="C3965" s="1" t="str">
        <f t="shared" si="2"/>
        <v>Sale</v>
      </c>
      <c r="D3965" s="1" t="s">
        <v>1873</v>
      </c>
      <c r="E3965" s="1" t="str">
        <f>IFERROR(__xludf.DUMMYFUNCTION("IF(LEN(D3965)&gt;4, IFERROR(REGEXEXTRACT(TO_TEXT(D3965),""\d+""),""""),"""")"),"90130")</f>
        <v>90130</v>
      </c>
      <c r="F3965" s="6" t="str">
        <f t="shared" si="3"/>
        <v>Product</v>
      </c>
      <c r="G3965" s="1" t="s">
        <v>1874</v>
      </c>
      <c r="H3965" s="6" t="str">
        <f>IFERROR(__xludf.DUMMYFUNCTION("IF(REGEXMATCH(LOWER(G3965), ""^(\?)+\s*(missing)?\s*(\?)*$""), """", PROPER(SUBSTITUTE(SUBSTITUTE(G3965, ""?"", """"), ""*"", """")))"),"Green Stone/Crystal Earrings")</f>
        <v>Green Stone/Crystal Earrings</v>
      </c>
      <c r="I3965" s="3">
        <v>1.0</v>
      </c>
      <c r="J3965" s="7">
        <v>40886.41875</v>
      </c>
      <c r="K3965" s="8" t="str">
        <f t="shared" si="4"/>
        <v>2011-12</v>
      </c>
      <c r="L3965" s="5">
        <v>2.9</v>
      </c>
      <c r="M3965" s="10"/>
      <c r="N3965" s="1" t="str">
        <f t="shared" si="5"/>
        <v>Guest</v>
      </c>
      <c r="O3965" s="1" t="s">
        <v>19</v>
      </c>
      <c r="P3965" s="9" t="str">
        <f t="shared" si="6"/>
        <v>UK</v>
      </c>
      <c r="Q3965" s="8">
        <f t="shared" si="7"/>
        <v>2.9</v>
      </c>
    </row>
    <row r="3966">
      <c r="A3966" s="1">
        <v>581492.0</v>
      </c>
      <c r="B3966" s="1" t="str">
        <f t="shared" si="1"/>
        <v>581492</v>
      </c>
      <c r="C3966" s="1" t="str">
        <f t="shared" si="2"/>
        <v>Sale</v>
      </c>
      <c r="D3966" s="1">
        <v>90134.0</v>
      </c>
      <c r="E3966" s="1" t="str">
        <f>IFERROR(__xludf.DUMMYFUNCTION("IF(LEN(D3966)&gt;4, IFERROR(REGEXEXTRACT(TO_TEXT(D3966),""\d+""),""""),"""")"),"90134")</f>
        <v>90134</v>
      </c>
      <c r="F3966" s="6" t="str">
        <f t="shared" si="3"/>
        <v>Product</v>
      </c>
      <c r="G3966" s="1" t="s">
        <v>1875</v>
      </c>
      <c r="H3966" s="6" t="str">
        <f>IFERROR(__xludf.DUMMYFUNCTION("IF(REGEXMATCH(LOWER(G3966), ""^(\?)+\s*(missing)?\s*(\?)*$""), """", PROPER(SUBSTITUTE(SUBSTITUTE(G3966, ""?"", """"), ""*"", """")))"),"Old Rose Combo Bead Necklace")</f>
        <v>Old Rose Combo Bead Necklace</v>
      </c>
      <c r="I3966" s="3">
        <v>1.0</v>
      </c>
      <c r="J3966" s="7">
        <v>40886.41875</v>
      </c>
      <c r="K3966" s="8" t="str">
        <f t="shared" si="4"/>
        <v>2011-12</v>
      </c>
      <c r="L3966" s="5">
        <v>2.9</v>
      </c>
      <c r="M3966" s="10"/>
      <c r="N3966" s="1" t="str">
        <f t="shared" si="5"/>
        <v>Guest</v>
      </c>
      <c r="O3966" s="1" t="s">
        <v>19</v>
      </c>
      <c r="P3966" s="9" t="str">
        <f t="shared" si="6"/>
        <v>UK</v>
      </c>
      <c r="Q3966" s="8">
        <f t="shared" si="7"/>
        <v>2.9</v>
      </c>
    </row>
    <row r="3967">
      <c r="A3967" s="1">
        <v>581492.0</v>
      </c>
      <c r="B3967" s="1" t="str">
        <f t="shared" si="1"/>
        <v>581492</v>
      </c>
      <c r="C3967" s="1" t="str">
        <f t="shared" si="2"/>
        <v>Sale</v>
      </c>
      <c r="D3967" s="1">
        <v>90138.0</v>
      </c>
      <c r="E3967" s="1" t="str">
        <f>IFERROR(__xludf.DUMMYFUNCTION("IF(LEN(D3967)&gt;4, IFERROR(REGEXEXTRACT(TO_TEXT(D3967),""\d+""),""""),"""")"),"90138")</f>
        <v>90138</v>
      </c>
      <c r="F3967" s="6" t="str">
        <f t="shared" si="3"/>
        <v>Product</v>
      </c>
      <c r="G3967" s="1" t="s">
        <v>1876</v>
      </c>
      <c r="H3967" s="6" t="str">
        <f>IFERROR(__xludf.DUMMYFUNCTION("IF(REGEXMATCH(LOWER(G3967), ""^(\?)+\s*(missing)?\s*(\?)*$""), """", PROPER(SUBSTITUTE(SUBSTITUTE(G3967, ""?"", """"), ""*"", """")))"),"White/Pink Mini Crystals Necklace")</f>
        <v>White/Pink Mini Crystals Necklace</v>
      </c>
      <c r="I3967" s="3">
        <v>1.0</v>
      </c>
      <c r="J3967" s="7">
        <v>40886.41875</v>
      </c>
      <c r="K3967" s="8" t="str">
        <f t="shared" si="4"/>
        <v>2011-12</v>
      </c>
      <c r="L3967" s="5">
        <v>5.4</v>
      </c>
      <c r="M3967" s="10"/>
      <c r="N3967" s="1" t="str">
        <f t="shared" si="5"/>
        <v>Guest</v>
      </c>
      <c r="O3967" s="1" t="s">
        <v>19</v>
      </c>
      <c r="P3967" s="9" t="str">
        <f t="shared" si="6"/>
        <v>UK</v>
      </c>
      <c r="Q3967" s="8">
        <f t="shared" si="7"/>
        <v>5.4</v>
      </c>
    </row>
    <row r="3968">
      <c r="A3968" s="1">
        <v>581492.0</v>
      </c>
      <c r="B3968" s="1" t="str">
        <f t="shared" si="1"/>
        <v>581492</v>
      </c>
      <c r="C3968" s="1" t="str">
        <f t="shared" si="2"/>
        <v>Sale</v>
      </c>
      <c r="D3968" s="1" t="s">
        <v>1877</v>
      </c>
      <c r="E3968" s="1" t="str">
        <f>IFERROR(__xludf.DUMMYFUNCTION("IF(LEN(D3968)&gt;4, IFERROR(REGEXEXTRACT(TO_TEXT(D3968),""\d+""),""""),"""")"),"90141")</f>
        <v>90141</v>
      </c>
      <c r="F3968" s="6" t="str">
        <f t="shared" si="3"/>
        <v>Product</v>
      </c>
      <c r="G3968" s="1" t="s">
        <v>1878</v>
      </c>
      <c r="H3968" s="6" t="str">
        <f>IFERROR(__xludf.DUMMYFUNCTION("IF(REGEXMATCH(LOWER(G3968), ""^(\?)+\s*(missing)?\s*(\?)*$""), """", PROPER(SUBSTITUTE(SUBSTITUTE(G3968, ""?"", """"), ""*"", """")))"),"Ivory Pendant Triple Shell Necklace")</f>
        <v>Ivory Pendant Triple Shell Necklace</v>
      </c>
      <c r="I3968" s="3">
        <v>1.0</v>
      </c>
      <c r="J3968" s="7">
        <v>40886.41875</v>
      </c>
      <c r="K3968" s="8" t="str">
        <f t="shared" si="4"/>
        <v>2011-12</v>
      </c>
      <c r="L3968" s="5">
        <v>4.98</v>
      </c>
      <c r="M3968" s="10"/>
      <c r="N3968" s="1" t="str">
        <f t="shared" si="5"/>
        <v>Guest</v>
      </c>
      <c r="O3968" s="1" t="s">
        <v>19</v>
      </c>
      <c r="P3968" s="9" t="str">
        <f t="shared" si="6"/>
        <v>UK</v>
      </c>
      <c r="Q3968" s="8">
        <f t="shared" si="7"/>
        <v>4.98</v>
      </c>
    </row>
    <row r="3969">
      <c r="A3969" s="1">
        <v>581492.0</v>
      </c>
      <c r="B3969" s="1" t="str">
        <f t="shared" si="1"/>
        <v>581492</v>
      </c>
      <c r="C3969" s="1" t="str">
        <f t="shared" si="2"/>
        <v>Sale</v>
      </c>
      <c r="D3969" s="1">
        <v>90145.0</v>
      </c>
      <c r="E3969" s="1" t="str">
        <f>IFERROR(__xludf.DUMMYFUNCTION("IF(LEN(D3969)&gt;4, IFERROR(REGEXEXTRACT(TO_TEXT(D3969),""\d+""),""""),"""")"),"90145")</f>
        <v>90145</v>
      </c>
      <c r="F3969" s="6" t="str">
        <f t="shared" si="3"/>
        <v>Product</v>
      </c>
      <c r="G3969" s="1" t="s">
        <v>1879</v>
      </c>
      <c r="H3969" s="6" t="str">
        <f>IFERROR(__xludf.DUMMYFUNCTION("IF(REGEXMATCH(LOWER(G3969), ""^(\?)+\s*(missing)?\s*(\?)*$""), """", PROPER(SUBSTITUTE(SUBSTITUTE(G3969, ""?"", """"), ""*"", """")))"),"Silver Hoop Earrings With Flower")</f>
        <v>Silver Hoop Earrings With Flower</v>
      </c>
      <c r="I3969" s="3">
        <v>1.0</v>
      </c>
      <c r="J3969" s="7">
        <v>40886.41875</v>
      </c>
      <c r="K3969" s="8" t="str">
        <f t="shared" si="4"/>
        <v>2011-12</v>
      </c>
      <c r="L3969" s="5">
        <v>6.23</v>
      </c>
      <c r="M3969" s="10"/>
      <c r="N3969" s="1" t="str">
        <f t="shared" si="5"/>
        <v>Guest</v>
      </c>
      <c r="O3969" s="1" t="s">
        <v>19</v>
      </c>
      <c r="P3969" s="9" t="str">
        <f t="shared" si="6"/>
        <v>UK</v>
      </c>
      <c r="Q3969" s="8">
        <f t="shared" si="7"/>
        <v>6.23</v>
      </c>
    </row>
    <row r="3970">
      <c r="A3970" s="1">
        <v>581492.0</v>
      </c>
      <c r="B3970" s="1" t="str">
        <f t="shared" si="1"/>
        <v>581492</v>
      </c>
      <c r="C3970" s="1" t="str">
        <f t="shared" si="2"/>
        <v>Sale</v>
      </c>
      <c r="D3970" s="1">
        <v>90155.0</v>
      </c>
      <c r="E3970" s="1" t="str">
        <f>IFERROR(__xludf.DUMMYFUNCTION("IF(LEN(D3970)&gt;4, IFERROR(REGEXEXTRACT(TO_TEXT(D3970),""\d+""),""""),"""")"),"90155")</f>
        <v>90155</v>
      </c>
      <c r="F3970" s="6" t="str">
        <f t="shared" si="3"/>
        <v>Product</v>
      </c>
      <c r="G3970" s="1" t="s">
        <v>1880</v>
      </c>
      <c r="H3970" s="6" t="str">
        <f>IFERROR(__xludf.DUMMYFUNCTION("IF(REGEXMATCH(LOWER(G3970), ""^(\?)+\s*(missing)?\s*(\?)*$""), """", PROPER(SUBSTITUTE(SUBSTITUTE(G3970, ""?"", """"), ""*"", """")))"),"Resin Necklace W Pastel Beads")</f>
        <v>Resin Necklace W Pastel Beads</v>
      </c>
      <c r="I3970" s="3">
        <v>1.0</v>
      </c>
      <c r="J3970" s="7">
        <v>40886.41875</v>
      </c>
      <c r="K3970" s="8" t="str">
        <f t="shared" si="4"/>
        <v>2011-12</v>
      </c>
      <c r="L3970" s="5">
        <v>7.48</v>
      </c>
      <c r="M3970" s="10"/>
      <c r="N3970" s="1" t="str">
        <f t="shared" si="5"/>
        <v>Guest</v>
      </c>
      <c r="O3970" s="1" t="s">
        <v>19</v>
      </c>
      <c r="P3970" s="9" t="str">
        <f t="shared" si="6"/>
        <v>UK</v>
      </c>
      <c r="Q3970" s="8">
        <f t="shared" si="7"/>
        <v>7.48</v>
      </c>
    </row>
    <row r="3971">
      <c r="A3971" s="1">
        <v>581492.0</v>
      </c>
      <c r="B3971" s="1" t="str">
        <f t="shared" si="1"/>
        <v>581492</v>
      </c>
      <c r="C3971" s="1" t="str">
        <f t="shared" si="2"/>
        <v>Sale</v>
      </c>
      <c r="D3971" s="1" t="s">
        <v>1881</v>
      </c>
      <c r="E3971" s="1" t="str">
        <f>IFERROR(__xludf.DUMMYFUNCTION("IF(LEN(D3971)&gt;4, IFERROR(REGEXEXTRACT(TO_TEXT(D3971),""\d+""),""""),"""")"),"90161")</f>
        <v>90161</v>
      </c>
      <c r="F3971" s="6" t="str">
        <f t="shared" si="3"/>
        <v>Product</v>
      </c>
      <c r="G3971" s="1" t="s">
        <v>1882</v>
      </c>
      <c r="H3971" s="6" t="str">
        <f>IFERROR(__xludf.DUMMYFUNCTION("IF(REGEXMATCH(LOWER(G3971), ""^(\?)+\s*(missing)?\s*(\?)*$""), """", PROPER(SUBSTITUTE(SUBSTITUTE(G3971, ""?"", """"), ""*"", """")))"),"Ant Copper Pink Boudicca Bracelet")</f>
        <v>Ant Copper Pink Boudicca Bracelet</v>
      </c>
      <c r="I3971" s="3">
        <v>1.0</v>
      </c>
      <c r="J3971" s="7">
        <v>40886.41875</v>
      </c>
      <c r="K3971" s="8" t="str">
        <f t="shared" si="4"/>
        <v>2011-12</v>
      </c>
      <c r="L3971" s="5">
        <v>4.98</v>
      </c>
      <c r="M3971" s="10"/>
      <c r="N3971" s="1" t="str">
        <f t="shared" si="5"/>
        <v>Guest</v>
      </c>
      <c r="O3971" s="1" t="s">
        <v>19</v>
      </c>
      <c r="P3971" s="9" t="str">
        <f t="shared" si="6"/>
        <v>UK</v>
      </c>
      <c r="Q3971" s="8">
        <f t="shared" si="7"/>
        <v>4.98</v>
      </c>
    </row>
    <row r="3972">
      <c r="A3972" s="1">
        <v>581492.0</v>
      </c>
      <c r="B3972" s="1" t="str">
        <f t="shared" si="1"/>
        <v>581492</v>
      </c>
      <c r="C3972" s="1" t="str">
        <f t="shared" si="2"/>
        <v>Sale</v>
      </c>
      <c r="D3972" s="1" t="s">
        <v>1883</v>
      </c>
      <c r="E3972" s="1" t="str">
        <f>IFERROR(__xludf.DUMMYFUNCTION("IF(LEN(D3972)&gt;4, IFERROR(REGEXEXTRACT(TO_TEXT(D3972),""\d+""),""""),"""")"),"90163")</f>
        <v>90163</v>
      </c>
      <c r="F3972" s="6" t="str">
        <f t="shared" si="3"/>
        <v>Product</v>
      </c>
      <c r="G3972" s="1" t="s">
        <v>1884</v>
      </c>
      <c r="H3972" s="6" t="str">
        <f>IFERROR(__xludf.DUMMYFUNCTION("IF(REGEXMATCH(LOWER(G3972), ""^(\?)+\s*(missing)?\s*(\?)*$""), """", PROPER(SUBSTITUTE(SUBSTITUTE(G3972, ""?"", """"), ""*"", """")))"),"Pink Rosebud &amp; Pearl Necklace")</f>
        <v>Pink Rosebud &amp; Pearl Necklace</v>
      </c>
      <c r="I3972" s="3">
        <v>2.0</v>
      </c>
      <c r="J3972" s="7">
        <v>40886.41875</v>
      </c>
      <c r="K3972" s="8" t="str">
        <f t="shared" si="4"/>
        <v>2011-12</v>
      </c>
      <c r="L3972" s="5">
        <v>7.48</v>
      </c>
      <c r="M3972" s="10"/>
      <c r="N3972" s="1" t="str">
        <f t="shared" si="5"/>
        <v>Guest</v>
      </c>
      <c r="O3972" s="1" t="s">
        <v>19</v>
      </c>
      <c r="P3972" s="9" t="str">
        <f t="shared" si="6"/>
        <v>UK</v>
      </c>
      <c r="Q3972" s="8">
        <f t="shared" si="7"/>
        <v>14.96</v>
      </c>
    </row>
    <row r="3973">
      <c r="A3973" s="1">
        <v>581492.0</v>
      </c>
      <c r="B3973" s="1" t="str">
        <f t="shared" si="1"/>
        <v>581492</v>
      </c>
      <c r="C3973" s="1" t="str">
        <f t="shared" si="2"/>
        <v>Sale</v>
      </c>
      <c r="D3973" s="1" t="s">
        <v>1885</v>
      </c>
      <c r="E3973" s="1" t="str">
        <f>IFERROR(__xludf.DUMMYFUNCTION("IF(LEN(D3973)&gt;4, IFERROR(REGEXEXTRACT(TO_TEXT(D3973),""\d+""),""""),"""")"),"90165")</f>
        <v>90165</v>
      </c>
      <c r="F3973" s="6" t="str">
        <f t="shared" si="3"/>
        <v>Product</v>
      </c>
      <c r="G3973" s="1" t="s">
        <v>1886</v>
      </c>
      <c r="H3973" s="6" t="str">
        <f>IFERROR(__xludf.DUMMYFUNCTION("IF(REGEXMATCH(LOWER(G3973), ""^(\?)+\s*(missing)?\s*(\?)*$""), """", PROPER(SUBSTITUTE(SUBSTITUTE(G3973, ""?"", """"), ""*"", """")))"),"White Rosebud Pearl Earrings")</f>
        <v>White Rosebud Pearl Earrings</v>
      </c>
      <c r="I3973" s="3">
        <v>1.0</v>
      </c>
      <c r="J3973" s="7">
        <v>40886.41875</v>
      </c>
      <c r="K3973" s="8" t="str">
        <f t="shared" si="4"/>
        <v>2011-12</v>
      </c>
      <c r="L3973" s="5">
        <v>2.48</v>
      </c>
      <c r="M3973" s="10"/>
      <c r="N3973" s="1" t="str">
        <f t="shared" si="5"/>
        <v>Guest</v>
      </c>
      <c r="O3973" s="1" t="s">
        <v>19</v>
      </c>
      <c r="P3973" s="9" t="str">
        <f t="shared" si="6"/>
        <v>UK</v>
      </c>
      <c r="Q3973" s="8">
        <f t="shared" si="7"/>
        <v>2.48</v>
      </c>
    </row>
    <row r="3974">
      <c r="A3974" s="1">
        <v>581492.0</v>
      </c>
      <c r="B3974" s="1" t="str">
        <f t="shared" si="1"/>
        <v>581492</v>
      </c>
      <c r="C3974" s="1" t="str">
        <f t="shared" si="2"/>
        <v>Sale</v>
      </c>
      <c r="D3974" s="1">
        <v>90168.0</v>
      </c>
      <c r="E3974" s="1" t="str">
        <f>IFERROR(__xludf.DUMMYFUNCTION("IF(LEN(D3974)&gt;4, IFERROR(REGEXEXTRACT(TO_TEXT(D3974),""\d+""),""""),"""")"),"90168")</f>
        <v>90168</v>
      </c>
      <c r="F3974" s="6" t="str">
        <f t="shared" si="3"/>
        <v>Product</v>
      </c>
      <c r="G3974" s="1" t="s">
        <v>1887</v>
      </c>
      <c r="H3974" s="6" t="str">
        <f>IFERROR(__xludf.DUMMYFUNCTION("IF(REGEXMATCH(LOWER(G3974), ""^(\?)+\s*(missing)?\s*(\?)*$""), """", PROPER(SUBSTITUTE(SUBSTITUTE(G3974, ""?"", """"), ""*"", """")))"),"2 Daisies Hair Comb")</f>
        <v>2 Daisies Hair Comb</v>
      </c>
      <c r="I3974" s="3">
        <v>1.0</v>
      </c>
      <c r="J3974" s="7">
        <v>40886.41875</v>
      </c>
      <c r="K3974" s="8" t="str">
        <f t="shared" si="4"/>
        <v>2011-12</v>
      </c>
      <c r="L3974" s="5">
        <v>2.9</v>
      </c>
      <c r="M3974" s="10"/>
      <c r="N3974" s="1" t="str">
        <f t="shared" si="5"/>
        <v>Guest</v>
      </c>
      <c r="O3974" s="1" t="s">
        <v>19</v>
      </c>
      <c r="P3974" s="9" t="str">
        <f t="shared" si="6"/>
        <v>UK</v>
      </c>
      <c r="Q3974" s="8">
        <f t="shared" si="7"/>
        <v>2.9</v>
      </c>
    </row>
    <row r="3975">
      <c r="A3975" s="1">
        <v>581492.0</v>
      </c>
      <c r="B3975" s="1" t="str">
        <f t="shared" si="1"/>
        <v>581492</v>
      </c>
      <c r="C3975" s="1" t="str">
        <f t="shared" si="2"/>
        <v>Sale</v>
      </c>
      <c r="D3975" s="1">
        <v>90169.0</v>
      </c>
      <c r="E3975" s="1" t="str">
        <f>IFERROR(__xludf.DUMMYFUNCTION("IF(LEN(D3975)&gt;4, IFERROR(REGEXEXTRACT(TO_TEXT(D3975),""\d+""),""""),"""")"),"90169")</f>
        <v>90169</v>
      </c>
      <c r="F3975" s="6" t="str">
        <f t="shared" si="3"/>
        <v>Product</v>
      </c>
      <c r="G3975" s="1" t="s">
        <v>1888</v>
      </c>
      <c r="H3975" s="6" t="str">
        <f>IFERROR(__xludf.DUMMYFUNCTION("IF(REGEXMATCH(LOWER(G3975), ""^(\?)+\s*(missing)?\s*(\?)*$""), """", PROPER(SUBSTITUTE(SUBSTITUTE(G3975, ""?"", """"), ""*"", """")))"),"Daisy Hair Comb")</f>
        <v>Daisy Hair Comb</v>
      </c>
      <c r="I3975" s="3">
        <v>1.0</v>
      </c>
      <c r="J3975" s="7">
        <v>40886.41875</v>
      </c>
      <c r="K3975" s="8" t="str">
        <f t="shared" si="4"/>
        <v>2011-12</v>
      </c>
      <c r="L3975" s="5">
        <v>2.48</v>
      </c>
      <c r="M3975" s="10"/>
      <c r="N3975" s="1" t="str">
        <f t="shared" si="5"/>
        <v>Guest</v>
      </c>
      <c r="O3975" s="1" t="s">
        <v>19</v>
      </c>
      <c r="P3975" s="9" t="str">
        <f t="shared" si="6"/>
        <v>UK</v>
      </c>
      <c r="Q3975" s="8">
        <f t="shared" si="7"/>
        <v>2.48</v>
      </c>
    </row>
    <row r="3976">
      <c r="A3976" s="1">
        <v>581492.0</v>
      </c>
      <c r="B3976" s="1" t="str">
        <f t="shared" si="1"/>
        <v>581492</v>
      </c>
      <c r="C3976" s="1" t="str">
        <f t="shared" si="2"/>
        <v>Sale</v>
      </c>
      <c r="D3976" s="1">
        <v>90170.0</v>
      </c>
      <c r="E3976" s="1" t="str">
        <f>IFERROR(__xludf.DUMMYFUNCTION("IF(LEN(D3976)&gt;4, IFERROR(REGEXEXTRACT(TO_TEXT(D3976),""\d+""),""""),"""")"),"90170")</f>
        <v>90170</v>
      </c>
      <c r="F3976" s="6" t="str">
        <f t="shared" si="3"/>
        <v>Product</v>
      </c>
      <c r="G3976" s="1" t="s">
        <v>1889</v>
      </c>
      <c r="H3976" s="6" t="str">
        <f>IFERROR(__xludf.DUMMYFUNCTION("IF(REGEXMATCH(LOWER(G3976), ""^(\?)+\s*(missing)?\s*(\?)*$""), """", PROPER(SUBSTITUTE(SUBSTITUTE(G3976, ""?"", """"), ""*"", """")))"),"Daisy Hair Band")</f>
        <v>Daisy Hair Band</v>
      </c>
      <c r="I3976" s="3">
        <v>1.0</v>
      </c>
      <c r="J3976" s="7">
        <v>40886.41875</v>
      </c>
      <c r="K3976" s="8" t="str">
        <f t="shared" si="4"/>
        <v>2011-12</v>
      </c>
      <c r="L3976" s="5">
        <v>1.65</v>
      </c>
      <c r="M3976" s="10"/>
      <c r="N3976" s="1" t="str">
        <f t="shared" si="5"/>
        <v>Guest</v>
      </c>
      <c r="O3976" s="1" t="s">
        <v>19</v>
      </c>
      <c r="P3976" s="9" t="str">
        <f t="shared" si="6"/>
        <v>UK</v>
      </c>
      <c r="Q3976" s="8">
        <f t="shared" si="7"/>
        <v>1.65</v>
      </c>
    </row>
    <row r="3977">
      <c r="A3977" s="1">
        <v>581492.0</v>
      </c>
      <c r="B3977" s="1" t="str">
        <f t="shared" si="1"/>
        <v>581492</v>
      </c>
      <c r="C3977" s="1" t="str">
        <f t="shared" si="2"/>
        <v>Sale</v>
      </c>
      <c r="D3977" s="1">
        <v>90174.0</v>
      </c>
      <c r="E3977" s="1" t="str">
        <f>IFERROR(__xludf.DUMMYFUNCTION("IF(LEN(D3977)&gt;4, IFERROR(REGEXEXTRACT(TO_TEXT(D3977),""\d+""),""""),"""")"),"90174")</f>
        <v>90174</v>
      </c>
      <c r="F3977" s="6" t="str">
        <f t="shared" si="3"/>
        <v>Product</v>
      </c>
      <c r="G3977" s="1" t="s">
        <v>1890</v>
      </c>
      <c r="H3977" s="6" t="str">
        <f>IFERROR(__xludf.DUMMYFUNCTION("IF(REGEXMATCH(LOWER(G3977), ""^(\?)+\s*(missing)?\s*(\?)*$""), """", PROPER(SUBSTITUTE(SUBSTITUTE(G3977, ""?"", """"), ""*"", """")))"),"Butterfly Hair Band")</f>
        <v>Butterfly Hair Band</v>
      </c>
      <c r="I3977" s="3">
        <v>2.0</v>
      </c>
      <c r="J3977" s="7">
        <v>40886.41875</v>
      </c>
      <c r="K3977" s="8" t="str">
        <f t="shared" si="4"/>
        <v>2011-12</v>
      </c>
      <c r="L3977" s="5">
        <v>2.48</v>
      </c>
      <c r="M3977" s="10"/>
      <c r="N3977" s="1" t="str">
        <f t="shared" si="5"/>
        <v>Guest</v>
      </c>
      <c r="O3977" s="1" t="s">
        <v>19</v>
      </c>
      <c r="P3977" s="9" t="str">
        <f t="shared" si="6"/>
        <v>UK</v>
      </c>
      <c r="Q3977" s="8">
        <f t="shared" si="7"/>
        <v>4.96</v>
      </c>
    </row>
    <row r="3978">
      <c r="A3978" s="1">
        <v>581492.0</v>
      </c>
      <c r="B3978" s="1" t="str">
        <f t="shared" si="1"/>
        <v>581492</v>
      </c>
      <c r="C3978" s="1" t="str">
        <f t="shared" si="2"/>
        <v>Sale</v>
      </c>
      <c r="D3978" s="1" t="s">
        <v>1891</v>
      </c>
      <c r="E3978" s="1" t="str">
        <f>IFERROR(__xludf.DUMMYFUNCTION("IF(LEN(D3978)&gt;4, IFERROR(REGEXEXTRACT(TO_TEXT(D3978),""\d+""),""""),"""")"),"90175")</f>
        <v>90175</v>
      </c>
      <c r="F3978" s="6" t="str">
        <f t="shared" si="3"/>
        <v>Product</v>
      </c>
      <c r="G3978" s="1" t="s">
        <v>1892</v>
      </c>
      <c r="H3978" s="6" t="str">
        <f>IFERROR(__xludf.DUMMYFUNCTION("IF(REGEXMATCH(LOWER(G3978), ""^(\?)+\s*(missing)?\s*(\?)*$""), """", PROPER(SUBSTITUTE(SUBSTITUTE(G3978, ""?"", """"), ""*"", """")))"),"White Glass Chunky Charm Bracelet")</f>
        <v>White Glass Chunky Charm Bracelet</v>
      </c>
      <c r="I3978" s="3">
        <v>2.0</v>
      </c>
      <c r="J3978" s="7">
        <v>40886.41875</v>
      </c>
      <c r="K3978" s="8" t="str">
        <f t="shared" si="4"/>
        <v>2011-12</v>
      </c>
      <c r="L3978" s="5">
        <v>9.15</v>
      </c>
      <c r="M3978" s="10"/>
      <c r="N3978" s="1" t="str">
        <f t="shared" si="5"/>
        <v>Guest</v>
      </c>
      <c r="O3978" s="1" t="s">
        <v>19</v>
      </c>
      <c r="P3978" s="9" t="str">
        <f t="shared" si="6"/>
        <v>UK</v>
      </c>
      <c r="Q3978" s="8">
        <f t="shared" si="7"/>
        <v>18.3</v>
      </c>
    </row>
    <row r="3979">
      <c r="A3979" s="1">
        <v>581492.0</v>
      </c>
      <c r="B3979" s="1" t="str">
        <f t="shared" si="1"/>
        <v>581492</v>
      </c>
      <c r="C3979" s="1" t="str">
        <f t="shared" si="2"/>
        <v>Sale</v>
      </c>
      <c r="D3979" s="1" t="s">
        <v>1893</v>
      </c>
      <c r="E3979" s="1" t="str">
        <f>IFERROR(__xludf.DUMMYFUNCTION("IF(LEN(D3979)&gt;4, IFERROR(REGEXEXTRACT(TO_TEXT(D3979),""\d+""),""""),"""")"),"90175")</f>
        <v>90175</v>
      </c>
      <c r="F3979" s="6" t="str">
        <f t="shared" si="3"/>
        <v>Product</v>
      </c>
      <c r="G3979" s="1" t="s">
        <v>1894</v>
      </c>
      <c r="H3979" s="6" t="str">
        <f>IFERROR(__xludf.DUMMYFUNCTION("IF(REGEXMATCH(LOWER(G3979), ""^(\?)+\s*(missing)?\s*(\?)*$""), """", PROPER(SUBSTITUTE(SUBSTITUTE(G3979, ""?"", """"), ""*"", """")))"),"Tigris Eye Chunky Charm Bracelet")</f>
        <v>Tigris Eye Chunky Charm Bracelet</v>
      </c>
      <c r="I3979" s="3">
        <v>1.0</v>
      </c>
      <c r="J3979" s="7">
        <v>40886.41875</v>
      </c>
      <c r="K3979" s="8" t="str">
        <f t="shared" si="4"/>
        <v>2011-12</v>
      </c>
      <c r="L3979" s="5">
        <v>9.15</v>
      </c>
      <c r="M3979" s="10"/>
      <c r="N3979" s="1" t="str">
        <f t="shared" si="5"/>
        <v>Guest</v>
      </c>
      <c r="O3979" s="1" t="s">
        <v>19</v>
      </c>
      <c r="P3979" s="9" t="str">
        <f t="shared" si="6"/>
        <v>UK</v>
      </c>
      <c r="Q3979" s="8">
        <f t="shared" si="7"/>
        <v>9.15</v>
      </c>
    </row>
    <row r="3980">
      <c r="A3980" s="1">
        <v>581492.0</v>
      </c>
      <c r="B3980" s="1" t="str">
        <f t="shared" si="1"/>
        <v>581492</v>
      </c>
      <c r="C3980" s="1" t="str">
        <f t="shared" si="2"/>
        <v>Sale</v>
      </c>
      <c r="D3980" s="1" t="s">
        <v>1895</v>
      </c>
      <c r="E3980" s="1" t="str">
        <f>IFERROR(__xludf.DUMMYFUNCTION("IF(LEN(D3980)&gt;4, IFERROR(REGEXEXTRACT(TO_TEXT(D3980),""\d+""),""""),"""")"),"90177")</f>
        <v>90177</v>
      </c>
      <c r="F3980" s="6" t="str">
        <f t="shared" si="3"/>
        <v>Product</v>
      </c>
      <c r="G3980" s="1" t="s">
        <v>1896</v>
      </c>
      <c r="H3980" s="6" t="str">
        <f>IFERROR(__xludf.DUMMYFUNCTION("IF(REGEXMATCH(LOWER(G3980), ""^(\?)+\s*(missing)?\s*(\?)*$""), """", PROPER(SUBSTITUTE(SUBSTITUTE(G3980, ""?"", """"), ""*"", """")))"),"Classic Diamante Earrings Jet")</f>
        <v>Classic Diamante Earrings Jet</v>
      </c>
      <c r="I3980" s="3">
        <v>1.0</v>
      </c>
      <c r="J3980" s="7">
        <v>40886.41875</v>
      </c>
      <c r="K3980" s="8" t="str">
        <f t="shared" si="4"/>
        <v>2011-12</v>
      </c>
      <c r="L3980" s="5">
        <v>2.9</v>
      </c>
      <c r="M3980" s="10"/>
      <c r="N3980" s="1" t="str">
        <f t="shared" si="5"/>
        <v>Guest</v>
      </c>
      <c r="O3980" s="1" t="s">
        <v>19</v>
      </c>
      <c r="P3980" s="9" t="str">
        <f t="shared" si="6"/>
        <v>UK</v>
      </c>
      <c r="Q3980" s="8">
        <f t="shared" si="7"/>
        <v>2.9</v>
      </c>
    </row>
    <row r="3981">
      <c r="A3981" s="1">
        <v>581492.0</v>
      </c>
      <c r="B3981" s="1" t="str">
        <f t="shared" si="1"/>
        <v>581492</v>
      </c>
      <c r="C3981" s="1" t="str">
        <f t="shared" si="2"/>
        <v>Sale</v>
      </c>
      <c r="D3981" s="1" t="s">
        <v>1897</v>
      </c>
      <c r="E3981" s="1" t="str">
        <f>IFERROR(__xludf.DUMMYFUNCTION("IF(LEN(D3981)&gt;4, IFERROR(REGEXEXTRACT(TO_TEXT(D3981),""\d+""),""""),"""")"),"90177")</f>
        <v>90177</v>
      </c>
      <c r="F3981" s="6" t="str">
        <f t="shared" si="3"/>
        <v>Product</v>
      </c>
      <c r="G3981" s="1" t="s">
        <v>1898</v>
      </c>
      <c r="H3981" s="6" t="str">
        <f>IFERROR(__xludf.DUMMYFUNCTION("IF(REGEXMATCH(LOWER(G3981), ""^(\?)+\s*(missing)?\s*(\?)*$""), """", PROPER(SUBSTITUTE(SUBSTITUTE(G3981, ""?"", """"), ""*"", """")))"),"Drop Diamante Earrings Crystal")</f>
        <v>Drop Diamante Earrings Crystal</v>
      </c>
      <c r="I3981" s="3">
        <v>1.0</v>
      </c>
      <c r="J3981" s="7">
        <v>40886.41875</v>
      </c>
      <c r="K3981" s="8" t="str">
        <f t="shared" si="4"/>
        <v>2011-12</v>
      </c>
      <c r="L3981" s="5">
        <v>2.9</v>
      </c>
      <c r="M3981" s="10"/>
      <c r="N3981" s="1" t="str">
        <f t="shared" si="5"/>
        <v>Guest</v>
      </c>
      <c r="O3981" s="1" t="s">
        <v>19</v>
      </c>
      <c r="P3981" s="9" t="str">
        <f t="shared" si="6"/>
        <v>UK</v>
      </c>
      <c r="Q3981" s="8">
        <f t="shared" si="7"/>
        <v>2.9</v>
      </c>
    </row>
    <row r="3982">
      <c r="A3982" s="1">
        <v>581492.0</v>
      </c>
      <c r="B3982" s="1" t="str">
        <f t="shared" si="1"/>
        <v>581492</v>
      </c>
      <c r="C3982" s="1" t="str">
        <f t="shared" si="2"/>
        <v>Sale</v>
      </c>
      <c r="D3982" s="1" t="s">
        <v>1899</v>
      </c>
      <c r="E3982" s="1" t="str">
        <f>IFERROR(__xludf.DUMMYFUNCTION("IF(LEN(D3982)&gt;4, IFERROR(REGEXEXTRACT(TO_TEXT(D3982),""\d+""),""""),"""")"),"90181")</f>
        <v>90181</v>
      </c>
      <c r="F3982" s="6" t="str">
        <f t="shared" si="3"/>
        <v>Product</v>
      </c>
      <c r="G3982" s="1" t="s">
        <v>1900</v>
      </c>
      <c r="H3982" s="6" t="str">
        <f>IFERROR(__xludf.DUMMYFUNCTION("IF(REGEXMATCH(LOWER(G3982), ""^(\?)+\s*(missing)?\s*(\?)*$""), """", PROPER(SUBSTITUTE(SUBSTITUTE(G3982, ""?"", """"), ""*"", """")))"),"Amethyst Glass/Shell/Pearl Necklace")</f>
        <v>Amethyst Glass/Shell/Pearl Necklace</v>
      </c>
      <c r="I3982" s="3">
        <v>1.0</v>
      </c>
      <c r="J3982" s="7">
        <v>40886.41875</v>
      </c>
      <c r="K3982" s="8" t="str">
        <f t="shared" si="4"/>
        <v>2011-12</v>
      </c>
      <c r="L3982" s="5">
        <v>9.15</v>
      </c>
      <c r="M3982" s="10"/>
      <c r="N3982" s="1" t="str">
        <f t="shared" si="5"/>
        <v>Guest</v>
      </c>
      <c r="O3982" s="1" t="s">
        <v>19</v>
      </c>
      <c r="P3982" s="9" t="str">
        <f t="shared" si="6"/>
        <v>UK</v>
      </c>
      <c r="Q3982" s="8">
        <f t="shared" si="7"/>
        <v>9.15</v>
      </c>
    </row>
    <row r="3983">
      <c r="A3983" s="1">
        <v>581492.0</v>
      </c>
      <c r="B3983" s="1" t="str">
        <f t="shared" si="1"/>
        <v>581492</v>
      </c>
      <c r="C3983" s="1" t="str">
        <f t="shared" si="2"/>
        <v>Sale</v>
      </c>
      <c r="D3983" s="1" t="s">
        <v>1901</v>
      </c>
      <c r="E3983" s="1" t="str">
        <f>IFERROR(__xludf.DUMMYFUNCTION("IF(LEN(D3983)&gt;4, IFERROR(REGEXEXTRACT(TO_TEXT(D3983),""\d+""),""""),"""")"),"90182")</f>
        <v>90182</v>
      </c>
      <c r="F3983" s="6" t="str">
        <f t="shared" si="3"/>
        <v>Product</v>
      </c>
      <c r="G3983" s="1" t="s">
        <v>1902</v>
      </c>
      <c r="H3983" s="6" t="str">
        <f>IFERROR(__xludf.DUMMYFUNCTION("IF(REGEXMATCH(LOWER(G3983), ""^(\?)+\s*(missing)?\s*(\?)*$""), """", PROPER(SUBSTITUTE(SUBSTITUTE(G3983, ""?"", """"), ""*"", """")))"),"Black 3 Bead Drop Earrings")</f>
        <v>Black 3 Bead Drop Earrings</v>
      </c>
      <c r="I3983" s="3">
        <v>1.0</v>
      </c>
      <c r="J3983" s="7">
        <v>40886.41875</v>
      </c>
      <c r="K3983" s="8" t="str">
        <f t="shared" si="4"/>
        <v>2011-12</v>
      </c>
      <c r="L3983" s="5">
        <v>2.9</v>
      </c>
      <c r="M3983" s="10"/>
      <c r="N3983" s="1" t="str">
        <f t="shared" si="5"/>
        <v>Guest</v>
      </c>
      <c r="O3983" s="1" t="s">
        <v>19</v>
      </c>
      <c r="P3983" s="9" t="str">
        <f t="shared" si="6"/>
        <v>UK</v>
      </c>
      <c r="Q3983" s="8">
        <f t="shared" si="7"/>
        <v>2.9</v>
      </c>
    </row>
    <row r="3984">
      <c r="A3984" s="1">
        <v>581492.0</v>
      </c>
      <c r="B3984" s="1" t="str">
        <f t="shared" si="1"/>
        <v>581492</v>
      </c>
      <c r="C3984" s="1" t="str">
        <f t="shared" si="2"/>
        <v>Sale</v>
      </c>
      <c r="D3984" s="1" t="s">
        <v>1903</v>
      </c>
      <c r="E3984" s="1" t="str">
        <f>IFERROR(__xludf.DUMMYFUNCTION("IF(LEN(D3984)&gt;4, IFERROR(REGEXEXTRACT(TO_TEXT(D3984),""\d+""),""""),"""")"),"90183")</f>
        <v>90183</v>
      </c>
      <c r="F3984" s="6" t="str">
        <f t="shared" si="3"/>
        <v>Product</v>
      </c>
      <c r="G3984" s="1" t="s">
        <v>1904</v>
      </c>
      <c r="H3984" s="6" t="str">
        <f>IFERROR(__xludf.DUMMYFUNCTION("IF(REGEXMATCH(LOWER(G3984), ""^(\?)+\s*(missing)?\s*(\?)*$""), """", PROPER(SUBSTITUTE(SUBSTITUTE(G3984, ""?"", """"), ""*"", """")))"),"Amber Drop Earrings W Long Beads")</f>
        <v>Amber Drop Earrings W Long Beads</v>
      </c>
      <c r="I3984" s="3">
        <v>2.0</v>
      </c>
      <c r="J3984" s="7">
        <v>40886.41875</v>
      </c>
      <c r="K3984" s="8" t="str">
        <f t="shared" si="4"/>
        <v>2011-12</v>
      </c>
      <c r="L3984" s="5">
        <v>2.9</v>
      </c>
      <c r="M3984" s="10"/>
      <c r="N3984" s="1" t="str">
        <f t="shared" si="5"/>
        <v>Guest</v>
      </c>
      <c r="O3984" s="1" t="s">
        <v>19</v>
      </c>
      <c r="P3984" s="9" t="str">
        <f t="shared" si="6"/>
        <v>UK</v>
      </c>
      <c r="Q3984" s="8">
        <f t="shared" si="7"/>
        <v>5.8</v>
      </c>
    </row>
    <row r="3985">
      <c r="A3985" s="1">
        <v>581492.0</v>
      </c>
      <c r="B3985" s="1" t="str">
        <f t="shared" si="1"/>
        <v>581492</v>
      </c>
      <c r="C3985" s="1" t="str">
        <f t="shared" si="2"/>
        <v>Sale</v>
      </c>
      <c r="D3985" s="1" t="s">
        <v>1905</v>
      </c>
      <c r="E3985" s="1" t="str">
        <f>IFERROR(__xludf.DUMMYFUNCTION("IF(LEN(D3985)&gt;4, IFERROR(REGEXEXTRACT(TO_TEXT(D3985),""\d+""),""""),"""")"),"90183")</f>
        <v>90183</v>
      </c>
      <c r="F3985" s="6" t="str">
        <f t="shared" si="3"/>
        <v>Product</v>
      </c>
      <c r="G3985" s="1" t="s">
        <v>1906</v>
      </c>
      <c r="H3985" s="6" t="str">
        <f>IFERROR(__xludf.DUMMYFUNCTION("IF(REGEXMATCH(LOWER(G3985), ""^(\?)+\s*(missing)?\s*(\?)*$""), """", PROPER(SUBSTITUTE(SUBSTITUTE(G3985, ""?"", """"), ""*"", """")))"),"Black Drop Earrings W Long Beads")</f>
        <v>Black Drop Earrings W Long Beads</v>
      </c>
      <c r="I3985" s="3">
        <v>1.0</v>
      </c>
      <c r="J3985" s="7">
        <v>40886.41875</v>
      </c>
      <c r="K3985" s="8" t="str">
        <f t="shared" si="4"/>
        <v>2011-12</v>
      </c>
      <c r="L3985" s="5">
        <v>2.9</v>
      </c>
      <c r="M3985" s="10"/>
      <c r="N3985" s="1" t="str">
        <f t="shared" si="5"/>
        <v>Guest</v>
      </c>
      <c r="O3985" s="1" t="s">
        <v>19</v>
      </c>
      <c r="P3985" s="9" t="str">
        <f t="shared" si="6"/>
        <v>UK</v>
      </c>
      <c r="Q3985" s="8">
        <f t="shared" si="7"/>
        <v>2.9</v>
      </c>
    </row>
    <row r="3986">
      <c r="A3986" s="1">
        <v>581492.0</v>
      </c>
      <c r="B3986" s="1" t="str">
        <f t="shared" si="1"/>
        <v>581492</v>
      </c>
      <c r="C3986" s="1" t="str">
        <f t="shared" si="2"/>
        <v>Sale</v>
      </c>
      <c r="D3986" s="1" t="s">
        <v>1907</v>
      </c>
      <c r="E3986" s="1" t="str">
        <f>IFERROR(__xludf.DUMMYFUNCTION("IF(LEN(D3986)&gt;4, IFERROR(REGEXEXTRACT(TO_TEXT(D3986),""\d+""),""""),"""")"),"90184")</f>
        <v>90184</v>
      </c>
      <c r="F3986" s="6" t="str">
        <f t="shared" si="3"/>
        <v>Product</v>
      </c>
      <c r="G3986" s="1" t="s">
        <v>1908</v>
      </c>
      <c r="H3986" s="6" t="str">
        <f>IFERROR(__xludf.DUMMYFUNCTION("IF(REGEXMATCH(LOWER(G3986), ""^(\?)+\s*(missing)?\s*(\?)*$""), """", PROPER(SUBSTITUTE(SUBSTITUTE(G3986, ""?"", """"), ""*"", """")))"),"Black Chunky Bead Bracelet W Strap")</f>
        <v>Black Chunky Bead Bracelet W Strap</v>
      </c>
      <c r="I3986" s="3">
        <v>1.0</v>
      </c>
      <c r="J3986" s="7">
        <v>40886.41875</v>
      </c>
      <c r="K3986" s="8" t="str">
        <f t="shared" si="4"/>
        <v>2011-12</v>
      </c>
      <c r="L3986" s="5">
        <v>9.15</v>
      </c>
      <c r="M3986" s="10"/>
      <c r="N3986" s="1" t="str">
        <f t="shared" si="5"/>
        <v>Guest</v>
      </c>
      <c r="O3986" s="1" t="s">
        <v>19</v>
      </c>
      <c r="P3986" s="9" t="str">
        <f t="shared" si="6"/>
        <v>UK</v>
      </c>
      <c r="Q3986" s="8">
        <f t="shared" si="7"/>
        <v>9.15</v>
      </c>
    </row>
    <row r="3987">
      <c r="A3987" s="1">
        <v>581492.0</v>
      </c>
      <c r="B3987" s="1" t="str">
        <f t="shared" si="1"/>
        <v>581492</v>
      </c>
      <c r="C3987" s="1" t="str">
        <f t="shared" si="2"/>
        <v>Sale</v>
      </c>
      <c r="D3987" s="1" t="s">
        <v>1909</v>
      </c>
      <c r="E3987" s="1" t="str">
        <f>IFERROR(__xludf.DUMMYFUNCTION("IF(LEN(D3987)&gt;4, IFERROR(REGEXEXTRACT(TO_TEXT(D3987),""\d+""),""""),"""")"),"90185")</f>
        <v>90185</v>
      </c>
      <c r="F3987" s="6" t="str">
        <f t="shared" si="3"/>
        <v>Product</v>
      </c>
      <c r="G3987" s="1" t="s">
        <v>1910</v>
      </c>
      <c r="H3987" s="6" t="str">
        <f>IFERROR(__xludf.DUMMYFUNCTION("IF(REGEXMATCH(LOWER(G3987), ""^(\?)+\s*(missing)?\s*(\?)*$""), """", PROPER(SUBSTITUTE(SUBSTITUTE(G3987, ""?"", """"), ""*"", """")))"),"Amethyst Diamante Expandable Ring")</f>
        <v>Amethyst Diamante Expandable Ring</v>
      </c>
      <c r="I3987" s="3">
        <v>1.0</v>
      </c>
      <c r="J3987" s="7">
        <v>40886.41875</v>
      </c>
      <c r="K3987" s="8" t="str">
        <f t="shared" si="4"/>
        <v>2011-12</v>
      </c>
      <c r="L3987" s="5">
        <v>4.15</v>
      </c>
      <c r="M3987" s="10"/>
      <c r="N3987" s="1" t="str">
        <f t="shared" si="5"/>
        <v>Guest</v>
      </c>
      <c r="O3987" s="1" t="s">
        <v>19</v>
      </c>
      <c r="P3987" s="9" t="str">
        <f t="shared" si="6"/>
        <v>UK</v>
      </c>
      <c r="Q3987" s="8">
        <f t="shared" si="7"/>
        <v>4.15</v>
      </c>
    </row>
    <row r="3988">
      <c r="A3988" s="1">
        <v>581492.0</v>
      </c>
      <c r="B3988" s="1" t="str">
        <f t="shared" si="1"/>
        <v>581492</v>
      </c>
      <c r="C3988" s="1" t="str">
        <f t="shared" si="2"/>
        <v>Sale</v>
      </c>
      <c r="D3988" s="1">
        <v>90188.0</v>
      </c>
      <c r="E3988" s="1" t="str">
        <f>IFERROR(__xludf.DUMMYFUNCTION("IF(LEN(D3988)&gt;4, IFERROR(REGEXEXTRACT(TO_TEXT(D3988),""\d+""),""""),"""")"),"90188")</f>
        <v>90188</v>
      </c>
      <c r="F3988" s="6" t="str">
        <f t="shared" si="3"/>
        <v>Product</v>
      </c>
      <c r="G3988" s="1" t="s">
        <v>1911</v>
      </c>
      <c r="H3988" s="6" t="str">
        <f>IFERROR(__xludf.DUMMYFUNCTION("IF(REGEXMATCH(LOWER(G3988), ""^(\?)+\s*(missing)?\s*(\?)*$""), """", PROPER(SUBSTITUTE(SUBSTITUTE(G3988, ""?"", """"), ""*"", """")))"),"Drop Earrings W Flower &amp; Leaf")</f>
        <v>Drop Earrings W Flower &amp; Leaf</v>
      </c>
      <c r="I3988" s="3">
        <v>2.0</v>
      </c>
      <c r="J3988" s="7">
        <v>40886.41875</v>
      </c>
      <c r="K3988" s="8" t="str">
        <f t="shared" si="4"/>
        <v>2011-12</v>
      </c>
      <c r="L3988" s="5">
        <v>2.48</v>
      </c>
      <c r="M3988" s="10"/>
      <c r="N3988" s="1" t="str">
        <f t="shared" si="5"/>
        <v>Guest</v>
      </c>
      <c r="O3988" s="1" t="s">
        <v>19</v>
      </c>
      <c r="P3988" s="9" t="str">
        <f t="shared" si="6"/>
        <v>UK</v>
      </c>
      <c r="Q3988" s="8">
        <f t="shared" si="7"/>
        <v>4.96</v>
      </c>
    </row>
    <row r="3989">
      <c r="A3989" s="1">
        <v>581492.0</v>
      </c>
      <c r="B3989" s="1" t="str">
        <f t="shared" si="1"/>
        <v>581492</v>
      </c>
      <c r="C3989" s="1" t="str">
        <f t="shared" si="2"/>
        <v>Sale</v>
      </c>
      <c r="D3989" s="1">
        <v>90191.0</v>
      </c>
      <c r="E3989" s="1" t="str">
        <f>IFERROR(__xludf.DUMMYFUNCTION("IF(LEN(D3989)&gt;4, IFERROR(REGEXEXTRACT(TO_TEXT(D3989),""\d+""),""""),"""")"),"90191")</f>
        <v>90191</v>
      </c>
      <c r="F3989" s="6" t="str">
        <f t="shared" si="3"/>
        <v>Product</v>
      </c>
      <c r="G3989" s="1" t="s">
        <v>1912</v>
      </c>
      <c r="H3989" s="6" t="str">
        <f>IFERROR(__xludf.DUMMYFUNCTION("IF(REGEXMATCH(LOWER(G3989), ""^(\?)+\s*(missing)?\s*(\?)*$""), """", PROPER(SUBSTITUTE(SUBSTITUTE(G3989, ""?"", """"), ""*"", """")))"),"Silver Lariat 40Cm")</f>
        <v>Silver Lariat 40Cm</v>
      </c>
      <c r="I3989" s="3">
        <v>2.0</v>
      </c>
      <c r="J3989" s="7">
        <v>40886.41875</v>
      </c>
      <c r="K3989" s="8" t="str">
        <f t="shared" si="4"/>
        <v>2011-12</v>
      </c>
      <c r="L3989" s="5">
        <v>12.48</v>
      </c>
      <c r="M3989" s="10"/>
      <c r="N3989" s="1" t="str">
        <f t="shared" si="5"/>
        <v>Guest</v>
      </c>
      <c r="O3989" s="1" t="s">
        <v>19</v>
      </c>
      <c r="P3989" s="9" t="str">
        <f t="shared" si="6"/>
        <v>UK</v>
      </c>
      <c r="Q3989" s="8">
        <f t="shared" si="7"/>
        <v>24.96</v>
      </c>
    </row>
    <row r="3990">
      <c r="A3990" s="1">
        <v>581492.0</v>
      </c>
      <c r="B3990" s="1" t="str">
        <f t="shared" si="1"/>
        <v>581492</v>
      </c>
      <c r="C3990" s="1" t="str">
        <f t="shared" si="2"/>
        <v>Sale</v>
      </c>
      <c r="D3990" s="1">
        <v>90192.0</v>
      </c>
      <c r="E3990" s="1" t="str">
        <f>IFERROR(__xludf.DUMMYFUNCTION("IF(LEN(D3990)&gt;4, IFERROR(REGEXEXTRACT(TO_TEXT(D3990),""\d+""),""""),"""")"),"90192")</f>
        <v>90192</v>
      </c>
      <c r="F3990" s="6" t="str">
        <f t="shared" si="3"/>
        <v>Product</v>
      </c>
      <c r="G3990" s="1" t="s">
        <v>1913</v>
      </c>
      <c r="H3990" s="6" t="str">
        <f>IFERROR(__xludf.DUMMYFUNCTION("IF(REGEXMATCH(LOWER(G3990), ""^(\?)+\s*(missing)?\s*(\?)*$""), """", PROPER(SUBSTITUTE(SUBSTITUTE(G3990, ""?"", """"), ""*"", """")))"),"Jade Drop Earrings W Filigree")</f>
        <v>Jade Drop Earrings W Filigree</v>
      </c>
      <c r="I3990" s="3">
        <v>1.0</v>
      </c>
      <c r="J3990" s="7">
        <v>40886.41875</v>
      </c>
      <c r="K3990" s="8" t="str">
        <f t="shared" si="4"/>
        <v>2011-12</v>
      </c>
      <c r="L3990" s="5">
        <v>4.98</v>
      </c>
      <c r="M3990" s="10"/>
      <c r="N3990" s="1" t="str">
        <f t="shared" si="5"/>
        <v>Guest</v>
      </c>
      <c r="O3990" s="1" t="s">
        <v>19</v>
      </c>
      <c r="P3990" s="9" t="str">
        <f t="shared" si="6"/>
        <v>UK</v>
      </c>
      <c r="Q3990" s="8">
        <f t="shared" si="7"/>
        <v>4.98</v>
      </c>
    </row>
    <row r="3991">
      <c r="A3991" s="1">
        <v>581492.0</v>
      </c>
      <c r="B3991" s="1" t="str">
        <f t="shared" si="1"/>
        <v>581492</v>
      </c>
      <c r="C3991" s="1" t="str">
        <f t="shared" si="2"/>
        <v>Sale</v>
      </c>
      <c r="D3991" s="1" t="s">
        <v>1914</v>
      </c>
      <c r="E3991" s="1" t="str">
        <f>IFERROR(__xludf.DUMMYFUNCTION("IF(LEN(D3991)&gt;4, IFERROR(REGEXEXTRACT(TO_TEXT(D3991),""\d+""),""""),"""")"),"90198")</f>
        <v>90198</v>
      </c>
      <c r="F3991" s="6" t="str">
        <f t="shared" si="3"/>
        <v>Product</v>
      </c>
      <c r="G3991" s="1" t="s">
        <v>1915</v>
      </c>
      <c r="H3991" s="6" t="str">
        <f>IFERROR(__xludf.DUMMYFUNCTION("IF(REGEXMATCH(LOWER(G3991), ""^(\?)+\s*(missing)?\s*(\?)*$""), """", PROPER(SUBSTITUTE(SUBSTITUTE(G3991, ""?"", """"), ""*"", """")))"),"Vintage Rose Bead Bracelet Raspberr")</f>
        <v>Vintage Rose Bead Bracelet Raspberr</v>
      </c>
      <c r="I3991" s="3">
        <v>2.0</v>
      </c>
      <c r="J3991" s="7">
        <v>40886.41875</v>
      </c>
      <c r="K3991" s="8" t="str">
        <f t="shared" si="4"/>
        <v>2011-12</v>
      </c>
      <c r="L3991" s="5">
        <v>4.15</v>
      </c>
      <c r="M3991" s="10"/>
      <c r="N3991" s="1" t="str">
        <f t="shared" si="5"/>
        <v>Guest</v>
      </c>
      <c r="O3991" s="1" t="s">
        <v>19</v>
      </c>
      <c r="P3991" s="9" t="str">
        <f t="shared" si="6"/>
        <v>UK</v>
      </c>
      <c r="Q3991" s="8">
        <f t="shared" si="7"/>
        <v>8.3</v>
      </c>
    </row>
    <row r="3992">
      <c r="A3992" s="1">
        <v>581492.0</v>
      </c>
      <c r="B3992" s="1" t="str">
        <f t="shared" si="1"/>
        <v>581492</v>
      </c>
      <c r="C3992" s="1" t="str">
        <f t="shared" si="2"/>
        <v>Sale</v>
      </c>
      <c r="D3992" s="1" t="s">
        <v>574</v>
      </c>
      <c r="E3992" s="1" t="str">
        <f>IFERROR(__xludf.DUMMYFUNCTION("IF(LEN(D3992)&gt;4, IFERROR(REGEXEXTRACT(TO_TEXT(D3992),""\d+""),""""),"""")"),"90200")</f>
        <v>90200</v>
      </c>
      <c r="F3992" s="6" t="str">
        <f t="shared" si="3"/>
        <v>Product</v>
      </c>
      <c r="G3992" s="1" t="s">
        <v>575</v>
      </c>
      <c r="H3992" s="6" t="str">
        <f>IFERROR(__xludf.DUMMYFUNCTION("IF(REGEXMATCH(LOWER(G3992), ""^(\?)+\s*(missing)?\s*(\?)*$""), """", PROPER(SUBSTITUTE(SUBSTITUTE(G3992, ""?"", """"), ""*"", """")))"),"Purple Sweetheart Bracelet")</f>
        <v>Purple Sweetheart Bracelet</v>
      </c>
      <c r="I3992" s="3">
        <v>1.0</v>
      </c>
      <c r="J3992" s="7">
        <v>40886.41875</v>
      </c>
      <c r="K3992" s="8" t="str">
        <f t="shared" si="4"/>
        <v>2011-12</v>
      </c>
      <c r="L3992" s="5">
        <v>4.15</v>
      </c>
      <c r="M3992" s="10"/>
      <c r="N3992" s="1" t="str">
        <f t="shared" si="5"/>
        <v>Guest</v>
      </c>
      <c r="O3992" s="1" t="s">
        <v>19</v>
      </c>
      <c r="P3992" s="9" t="str">
        <f t="shared" si="6"/>
        <v>UK</v>
      </c>
      <c r="Q3992" s="8">
        <f t="shared" si="7"/>
        <v>4.15</v>
      </c>
    </row>
    <row r="3993">
      <c r="A3993" s="1">
        <v>581492.0</v>
      </c>
      <c r="B3993" s="1" t="str">
        <f t="shared" si="1"/>
        <v>581492</v>
      </c>
      <c r="C3993" s="1" t="str">
        <f t="shared" si="2"/>
        <v>Sale</v>
      </c>
      <c r="D3993" s="1" t="s">
        <v>1916</v>
      </c>
      <c r="E3993" s="1" t="str">
        <f>IFERROR(__xludf.DUMMYFUNCTION("IF(LEN(D3993)&gt;4, IFERROR(REGEXEXTRACT(TO_TEXT(D3993),""\d+""),""""),"""")"),"90201")</f>
        <v>90201</v>
      </c>
      <c r="F3993" s="6" t="str">
        <f t="shared" si="3"/>
        <v>Product</v>
      </c>
      <c r="G3993" s="1" t="s">
        <v>1917</v>
      </c>
      <c r="H3993" s="6" t="str">
        <f>IFERROR(__xludf.DUMMYFUNCTION("IF(REGEXMATCH(LOWER(G3993), ""^(\?)+\s*(missing)?\s*(\?)*$""), """", PROPER(SUBSTITUTE(SUBSTITUTE(G3993, ""?"", """"), ""*"", """")))"),"Purple Enamel Flower Ring")</f>
        <v>Purple Enamel Flower Ring</v>
      </c>
      <c r="I3993" s="3">
        <v>2.0</v>
      </c>
      <c r="J3993" s="7">
        <v>40886.41875</v>
      </c>
      <c r="K3993" s="8" t="str">
        <f t="shared" si="4"/>
        <v>2011-12</v>
      </c>
      <c r="L3993" s="5">
        <v>2.9</v>
      </c>
      <c r="M3993" s="10"/>
      <c r="N3993" s="1" t="str">
        <f t="shared" si="5"/>
        <v>Guest</v>
      </c>
      <c r="O3993" s="1" t="s">
        <v>19</v>
      </c>
      <c r="P3993" s="9" t="str">
        <f t="shared" si="6"/>
        <v>UK</v>
      </c>
      <c r="Q3993" s="8">
        <f t="shared" si="7"/>
        <v>5.8</v>
      </c>
    </row>
    <row r="3994">
      <c r="A3994" s="1">
        <v>581492.0</v>
      </c>
      <c r="B3994" s="1" t="str">
        <f t="shared" si="1"/>
        <v>581492</v>
      </c>
      <c r="C3994" s="1" t="str">
        <f t="shared" si="2"/>
        <v>Sale</v>
      </c>
      <c r="D3994" s="1" t="s">
        <v>1918</v>
      </c>
      <c r="E3994" s="1" t="str">
        <f>IFERROR(__xludf.DUMMYFUNCTION("IF(LEN(D3994)&gt;4, IFERROR(REGEXEXTRACT(TO_TEXT(D3994),""\d+""),""""),"""")"),"90201")</f>
        <v>90201</v>
      </c>
      <c r="F3994" s="6" t="str">
        <f t="shared" si="3"/>
        <v>Product</v>
      </c>
      <c r="G3994" s="1" t="s">
        <v>1919</v>
      </c>
      <c r="H3994" s="6" t="str">
        <f>IFERROR(__xludf.DUMMYFUNCTION("IF(REGEXMATCH(LOWER(G3994), ""^(\?)+\s*(missing)?\s*(\?)*$""), """", PROPER(SUBSTITUTE(SUBSTITUTE(G3994, ""?"", """"), ""*"", """")))"),"Black Enamel Flower Ring")</f>
        <v>Black Enamel Flower Ring</v>
      </c>
      <c r="I3994" s="3">
        <v>1.0</v>
      </c>
      <c r="J3994" s="7">
        <v>40886.41875</v>
      </c>
      <c r="K3994" s="8" t="str">
        <f t="shared" si="4"/>
        <v>2011-12</v>
      </c>
      <c r="L3994" s="5">
        <v>2.9</v>
      </c>
      <c r="M3994" s="10"/>
      <c r="N3994" s="1" t="str">
        <f t="shared" si="5"/>
        <v>Guest</v>
      </c>
      <c r="O3994" s="1" t="s">
        <v>19</v>
      </c>
      <c r="P3994" s="9" t="str">
        <f t="shared" si="6"/>
        <v>UK</v>
      </c>
      <c r="Q3994" s="8">
        <f t="shared" si="7"/>
        <v>2.9</v>
      </c>
    </row>
    <row r="3995">
      <c r="A3995" s="1">
        <v>581492.0</v>
      </c>
      <c r="B3995" s="1" t="str">
        <f t="shared" si="1"/>
        <v>581492</v>
      </c>
      <c r="C3995" s="1" t="str">
        <f t="shared" si="2"/>
        <v>Sale</v>
      </c>
      <c r="D3995" s="1" t="s">
        <v>1920</v>
      </c>
      <c r="E3995" s="1" t="str">
        <f>IFERROR(__xludf.DUMMYFUNCTION("IF(LEN(D3995)&gt;4, IFERROR(REGEXEXTRACT(TO_TEXT(D3995),""\d+""),""""),"""")"),"90201")</f>
        <v>90201</v>
      </c>
      <c r="F3995" s="6" t="str">
        <f t="shared" si="3"/>
        <v>Product</v>
      </c>
      <c r="G3995" s="1" t="s">
        <v>1921</v>
      </c>
      <c r="H3995" s="6" t="str">
        <f>IFERROR(__xludf.DUMMYFUNCTION("IF(REGEXMATCH(LOWER(G3995), ""^(\?)+\s*(missing)?\s*(\?)*$""), """", PROPER(SUBSTITUTE(SUBSTITUTE(G3995, ""?"", """"), ""*"", """")))"),"Red Enamel Flower Ring")</f>
        <v>Red Enamel Flower Ring</v>
      </c>
      <c r="I3995" s="3">
        <v>1.0</v>
      </c>
      <c r="J3995" s="7">
        <v>40886.41875</v>
      </c>
      <c r="K3995" s="8" t="str">
        <f t="shared" si="4"/>
        <v>2011-12</v>
      </c>
      <c r="L3995" s="5">
        <v>2.9</v>
      </c>
      <c r="M3995" s="10"/>
      <c r="N3995" s="1" t="str">
        <f t="shared" si="5"/>
        <v>Guest</v>
      </c>
      <c r="O3995" s="1" t="s">
        <v>19</v>
      </c>
      <c r="P3995" s="9" t="str">
        <f t="shared" si="6"/>
        <v>UK</v>
      </c>
      <c r="Q3995" s="8">
        <f t="shared" si="7"/>
        <v>2.9</v>
      </c>
    </row>
    <row r="3996">
      <c r="A3996" s="1">
        <v>581492.0</v>
      </c>
      <c r="B3996" s="1" t="str">
        <f t="shared" si="1"/>
        <v>581492</v>
      </c>
      <c r="C3996" s="1" t="str">
        <f t="shared" si="2"/>
        <v>Sale</v>
      </c>
      <c r="D3996" s="1" t="s">
        <v>1922</v>
      </c>
      <c r="E3996" s="1" t="str">
        <f>IFERROR(__xludf.DUMMYFUNCTION("IF(LEN(D3996)&gt;4, IFERROR(REGEXEXTRACT(TO_TEXT(D3996),""\d+""),""""),"""")"),"90201")</f>
        <v>90201</v>
      </c>
      <c r="F3996" s="6" t="str">
        <f t="shared" si="3"/>
        <v>Product</v>
      </c>
      <c r="G3996" s="1" t="s">
        <v>1923</v>
      </c>
      <c r="H3996" s="6" t="str">
        <f>IFERROR(__xludf.DUMMYFUNCTION("IF(REGEXMATCH(LOWER(G3996), ""^(\?)+\s*(missing)?\s*(\?)*$""), """", PROPER(SUBSTITUTE(SUBSTITUTE(G3996, ""?"", """"), ""*"", """")))"),"Green Enamel Flower Ring")</f>
        <v>Green Enamel Flower Ring</v>
      </c>
      <c r="I3996" s="3">
        <v>1.0</v>
      </c>
      <c r="J3996" s="7">
        <v>40886.41875</v>
      </c>
      <c r="K3996" s="8" t="str">
        <f t="shared" si="4"/>
        <v>2011-12</v>
      </c>
      <c r="L3996" s="5">
        <v>2.9</v>
      </c>
      <c r="M3996" s="10"/>
      <c r="N3996" s="1" t="str">
        <f t="shared" si="5"/>
        <v>Guest</v>
      </c>
      <c r="O3996" s="1" t="s">
        <v>19</v>
      </c>
      <c r="P3996" s="9" t="str">
        <f t="shared" si="6"/>
        <v>UK</v>
      </c>
      <c r="Q3996" s="8">
        <f t="shared" si="7"/>
        <v>2.9</v>
      </c>
    </row>
    <row r="3997">
      <c r="A3997" s="1">
        <v>581492.0</v>
      </c>
      <c r="B3997" s="1" t="str">
        <f t="shared" si="1"/>
        <v>581492</v>
      </c>
      <c r="C3997" s="1" t="str">
        <f t="shared" si="2"/>
        <v>Sale</v>
      </c>
      <c r="D3997" s="1" t="s">
        <v>1924</v>
      </c>
      <c r="E3997" s="1" t="str">
        <f>IFERROR(__xludf.DUMMYFUNCTION("IF(LEN(D3997)&gt;4, IFERROR(REGEXEXTRACT(TO_TEXT(D3997),""\d+""),""""),"""")"),"90202")</f>
        <v>90202</v>
      </c>
      <c r="F3997" s="6" t="str">
        <f t="shared" si="3"/>
        <v>Product</v>
      </c>
      <c r="G3997" s="1" t="s">
        <v>1925</v>
      </c>
      <c r="H3997" s="6" t="str">
        <f>IFERROR(__xludf.DUMMYFUNCTION("IF(REGEXMATCH(LOWER(G3997), ""^(\?)+\s*(missing)?\s*(\?)*$""), """", PROPER(SUBSTITUTE(SUBSTITUTE(G3997, ""?"", """"), ""*"", """")))"),"Green Enamel Flower Hair Tie")</f>
        <v>Green Enamel Flower Hair Tie</v>
      </c>
      <c r="I3997" s="3">
        <v>1.0</v>
      </c>
      <c r="J3997" s="7">
        <v>40886.41875</v>
      </c>
      <c r="K3997" s="8" t="str">
        <f t="shared" si="4"/>
        <v>2011-12</v>
      </c>
      <c r="L3997" s="5">
        <v>2.9</v>
      </c>
      <c r="M3997" s="10"/>
      <c r="N3997" s="1" t="str">
        <f t="shared" si="5"/>
        <v>Guest</v>
      </c>
      <c r="O3997" s="1" t="s">
        <v>19</v>
      </c>
      <c r="P3997" s="9" t="str">
        <f t="shared" si="6"/>
        <v>UK</v>
      </c>
      <c r="Q3997" s="8">
        <f t="shared" si="7"/>
        <v>2.9</v>
      </c>
    </row>
    <row r="3998">
      <c r="A3998" s="1">
        <v>581492.0</v>
      </c>
      <c r="B3998" s="1" t="str">
        <f t="shared" si="1"/>
        <v>581492</v>
      </c>
      <c r="C3998" s="1" t="str">
        <f t="shared" si="2"/>
        <v>Sale</v>
      </c>
      <c r="D3998" s="1" t="s">
        <v>1926</v>
      </c>
      <c r="E3998" s="1" t="str">
        <f>IFERROR(__xludf.DUMMYFUNCTION("IF(LEN(D3998)&gt;4, IFERROR(REGEXEXTRACT(TO_TEXT(D3998),""\d+""),""""),"""")"),"90202")</f>
        <v>90202</v>
      </c>
      <c r="F3998" s="6" t="str">
        <f t="shared" si="3"/>
        <v>Product</v>
      </c>
      <c r="G3998" s="1" t="s">
        <v>1927</v>
      </c>
      <c r="H3998" s="6" t="str">
        <f>IFERROR(__xludf.DUMMYFUNCTION("IF(REGEXMATCH(LOWER(G3998), ""^(\?)+\s*(missing)?\s*(\?)*$""), """", PROPER(SUBSTITUTE(SUBSTITUTE(G3998, ""?"", """"), ""*"", """")))"),"Pink Enamel Flower Hair Tie")</f>
        <v>Pink Enamel Flower Hair Tie</v>
      </c>
      <c r="I3998" s="3">
        <v>1.0</v>
      </c>
      <c r="J3998" s="7">
        <v>40886.41875</v>
      </c>
      <c r="K3998" s="8" t="str">
        <f t="shared" si="4"/>
        <v>2011-12</v>
      </c>
      <c r="L3998" s="5">
        <v>2.9</v>
      </c>
      <c r="M3998" s="10"/>
      <c r="N3998" s="1" t="str">
        <f t="shared" si="5"/>
        <v>Guest</v>
      </c>
      <c r="O3998" s="1" t="s">
        <v>19</v>
      </c>
      <c r="P3998" s="9" t="str">
        <f t="shared" si="6"/>
        <v>UK</v>
      </c>
      <c r="Q3998" s="8">
        <f t="shared" si="7"/>
        <v>2.9</v>
      </c>
    </row>
    <row r="3999">
      <c r="A3999" s="1">
        <v>581492.0</v>
      </c>
      <c r="B3999" s="1" t="str">
        <f t="shared" si="1"/>
        <v>581492</v>
      </c>
      <c r="C3999" s="1" t="str">
        <f t="shared" si="2"/>
        <v>Sale</v>
      </c>
      <c r="D3999" s="1" t="s">
        <v>1928</v>
      </c>
      <c r="E3999" s="1" t="str">
        <f>IFERROR(__xludf.DUMMYFUNCTION("IF(LEN(D3999)&gt;4, IFERROR(REGEXEXTRACT(TO_TEXT(D3999),""\d+""),""""),"""")"),"90206")</f>
        <v>90206</v>
      </c>
      <c r="F3999" s="6" t="str">
        <f t="shared" si="3"/>
        <v>Product</v>
      </c>
      <c r="G3999" s="1" t="s">
        <v>1929</v>
      </c>
      <c r="H3999" s="6" t="str">
        <f>IFERROR(__xludf.DUMMYFUNCTION("IF(REGEXMATCH(LOWER(G3999), ""^(\?)+\s*(missing)?\s*(\?)*$""), """", PROPER(SUBSTITUTE(SUBSTITUTE(G3999, ""?"", """"), ""*"", """")))"),"Crystal Diamante Star Brooch")</f>
        <v>Crystal Diamante Star Brooch</v>
      </c>
      <c r="I3999" s="3">
        <v>1.0</v>
      </c>
      <c r="J3999" s="7">
        <v>40886.41875</v>
      </c>
      <c r="K3999" s="8" t="str">
        <f t="shared" si="4"/>
        <v>2011-12</v>
      </c>
      <c r="L3999" s="5">
        <v>4.98</v>
      </c>
      <c r="M3999" s="10"/>
      <c r="N3999" s="1" t="str">
        <f t="shared" si="5"/>
        <v>Guest</v>
      </c>
      <c r="O3999" s="1" t="s">
        <v>19</v>
      </c>
      <c r="P3999" s="9" t="str">
        <f t="shared" si="6"/>
        <v>UK</v>
      </c>
      <c r="Q3999" s="8">
        <f t="shared" si="7"/>
        <v>4.98</v>
      </c>
    </row>
    <row r="4000">
      <c r="A4000" s="1">
        <v>581492.0</v>
      </c>
      <c r="B4000" s="1" t="str">
        <f t="shared" si="1"/>
        <v>581492</v>
      </c>
      <c r="C4000" s="1" t="str">
        <f t="shared" si="2"/>
        <v>Sale</v>
      </c>
      <c r="D4000" s="1">
        <v>90208.0</v>
      </c>
      <c r="E4000" s="1" t="str">
        <f>IFERROR(__xludf.DUMMYFUNCTION("IF(LEN(D4000)&gt;4, IFERROR(REGEXEXTRACT(TO_TEXT(D4000),""\d+""),""""),"""")"),"90208")</f>
        <v>90208</v>
      </c>
      <c r="F4000" s="6" t="str">
        <f t="shared" si="3"/>
        <v>Product</v>
      </c>
      <c r="G4000" s="1" t="s">
        <v>1930</v>
      </c>
      <c r="H4000" s="6" t="str">
        <f>IFERROR(__xludf.DUMMYFUNCTION("IF(REGEXMATCH(LOWER(G4000), ""^(\?)+\s*(missing)?\s*(\?)*$""), """", PROPER(SUBSTITUTE(SUBSTITUTE(G4000, ""?"", """"), ""*"", """")))"),"Pair Of Pink Flower Cluster Slide")</f>
        <v>Pair Of Pink Flower Cluster Slide</v>
      </c>
      <c r="I4000" s="3">
        <v>1.0</v>
      </c>
      <c r="J4000" s="7">
        <v>40886.41875</v>
      </c>
      <c r="K4000" s="8" t="str">
        <f t="shared" si="4"/>
        <v>2011-12</v>
      </c>
      <c r="L4000" s="5">
        <v>2.48</v>
      </c>
      <c r="M4000" s="10"/>
      <c r="N4000" s="1" t="str">
        <f t="shared" si="5"/>
        <v>Guest</v>
      </c>
      <c r="O4000" s="1" t="s">
        <v>19</v>
      </c>
      <c r="P4000" s="9" t="str">
        <f t="shared" si="6"/>
        <v>UK</v>
      </c>
      <c r="Q4000" s="8">
        <f t="shared" si="7"/>
        <v>2.48</v>
      </c>
    </row>
    <row r="4001">
      <c r="A4001" s="1">
        <v>581492.0</v>
      </c>
      <c r="B4001" s="1" t="str">
        <f t="shared" si="1"/>
        <v>581492</v>
      </c>
      <c r="C4001" s="1" t="str">
        <f t="shared" si="2"/>
        <v>Sale</v>
      </c>
      <c r="D4001" s="1" t="s">
        <v>1931</v>
      </c>
      <c r="E4001" s="1" t="str">
        <f>IFERROR(__xludf.DUMMYFUNCTION("IF(LEN(D4001)&gt;4, IFERROR(REGEXEXTRACT(TO_TEXT(D4001),""\d+""),""""),"""")"),"90210")</f>
        <v>90210</v>
      </c>
      <c r="F4001" s="6" t="str">
        <f t="shared" si="3"/>
        <v>Product</v>
      </c>
      <c r="G4001" s="1" t="s">
        <v>1932</v>
      </c>
      <c r="H4001" s="6" t="str">
        <f>IFERROR(__xludf.DUMMYFUNCTION("IF(REGEXMATCH(LOWER(G4001), ""^(\?)+\s*(missing)?\s*(\?)*$""), """", PROPER(SUBSTITUTE(SUBSTITUTE(G4001, ""?"", """"), ""*"", """")))"),"Grey Acrylic Faceted Bangle")</f>
        <v>Grey Acrylic Faceted Bangle</v>
      </c>
      <c r="I4001" s="3">
        <v>1.0</v>
      </c>
      <c r="J4001" s="7">
        <v>40886.41875</v>
      </c>
      <c r="K4001" s="8" t="str">
        <f t="shared" si="4"/>
        <v>2011-12</v>
      </c>
      <c r="L4001" s="5">
        <v>2.9</v>
      </c>
      <c r="M4001" s="10"/>
      <c r="N4001" s="1" t="str">
        <f t="shared" si="5"/>
        <v>Guest</v>
      </c>
      <c r="O4001" s="1" t="s">
        <v>19</v>
      </c>
      <c r="P4001" s="9" t="str">
        <f t="shared" si="6"/>
        <v>UK</v>
      </c>
      <c r="Q4001" s="8">
        <f t="shared" si="7"/>
        <v>2.9</v>
      </c>
    </row>
    <row r="4002">
      <c r="A4002" s="1">
        <v>581492.0</v>
      </c>
      <c r="B4002" s="1" t="str">
        <f t="shared" si="1"/>
        <v>581492</v>
      </c>
      <c r="C4002" s="1" t="str">
        <f t="shared" si="2"/>
        <v>Sale</v>
      </c>
      <c r="D4002" s="1" t="s">
        <v>1241</v>
      </c>
      <c r="E4002" s="1" t="str">
        <f>IFERROR(__xludf.DUMMYFUNCTION("IF(LEN(D4002)&gt;4, IFERROR(REGEXEXTRACT(TO_TEXT(D4002),""\d+""),""""),"""")"),"")</f>
        <v/>
      </c>
      <c r="F4002" s="6" t="str">
        <f t="shared" si="3"/>
        <v>Shipping</v>
      </c>
      <c r="G4002" s="1" t="s">
        <v>1242</v>
      </c>
      <c r="H4002" s="6" t="str">
        <f>IFERROR(__xludf.DUMMYFUNCTION("IF(REGEXMATCH(LOWER(G4002), ""^(\?)+\s*(missing)?\s*(\?)*$""), """", PROPER(SUBSTITUTE(SUBSTITUTE(G4002, ""?"", """"), ""*"", """")))"),"Dotcom Postage")</f>
        <v>Dotcom Postage</v>
      </c>
      <c r="I4002" s="3">
        <v>1.0</v>
      </c>
      <c r="J4002" s="7">
        <v>40886.41875</v>
      </c>
      <c r="K4002" s="8" t="str">
        <f t="shared" si="4"/>
        <v>2011-12</v>
      </c>
      <c r="L4002" s="5">
        <v>933.17</v>
      </c>
      <c r="M4002" s="10"/>
      <c r="N4002" s="1" t="str">
        <f t="shared" si="5"/>
        <v>Guest</v>
      </c>
      <c r="O4002" s="1" t="s">
        <v>19</v>
      </c>
      <c r="P4002" s="9" t="str">
        <f t="shared" si="6"/>
        <v>UK</v>
      </c>
      <c r="Q4002" s="8">
        <f t="shared" si="7"/>
        <v>933.17</v>
      </c>
    </row>
    <row r="4003">
      <c r="A4003" s="1">
        <v>581492.0</v>
      </c>
      <c r="B4003" s="1" t="str">
        <f t="shared" si="1"/>
        <v>581492</v>
      </c>
      <c r="C4003" s="1" t="str">
        <f t="shared" si="2"/>
        <v>Sale</v>
      </c>
      <c r="D4003" s="1">
        <v>22378.0</v>
      </c>
      <c r="E4003" s="1" t="str">
        <f>IFERROR(__xludf.DUMMYFUNCTION("IF(LEN(D4003)&gt;4, IFERROR(REGEXEXTRACT(TO_TEXT(D4003),""\d+""),""""),"""")"),"22378")</f>
        <v>22378</v>
      </c>
      <c r="F4003" s="6" t="str">
        <f t="shared" si="3"/>
        <v>Product</v>
      </c>
      <c r="G4003" s="1" t="s">
        <v>1078</v>
      </c>
      <c r="H4003" s="6" t="str">
        <f>IFERROR(__xludf.DUMMYFUNCTION("IF(REGEXMATCH(LOWER(G4003), ""^(\?)+\s*(missing)?\s*(\?)*$""), """", PROPER(SUBSTITUTE(SUBSTITUTE(G4003, ""?"", """"), ""*"", """")))"),"Wall Tidy Retrospot")</f>
        <v>Wall Tidy Retrospot</v>
      </c>
      <c r="I4003" s="3">
        <v>2.0</v>
      </c>
      <c r="J4003" s="7">
        <v>40886.41875</v>
      </c>
      <c r="K4003" s="8" t="str">
        <f t="shared" si="4"/>
        <v>2011-12</v>
      </c>
      <c r="L4003" s="5">
        <v>4.13</v>
      </c>
      <c r="M4003" s="10"/>
      <c r="N4003" s="1" t="str">
        <f t="shared" si="5"/>
        <v>Guest</v>
      </c>
      <c r="O4003" s="1" t="s">
        <v>19</v>
      </c>
      <c r="P4003" s="9" t="str">
        <f t="shared" si="6"/>
        <v>UK</v>
      </c>
      <c r="Q4003" s="8">
        <f t="shared" si="7"/>
        <v>8.26</v>
      </c>
    </row>
    <row r="4004">
      <c r="A4004" s="1">
        <v>581492.0</v>
      </c>
      <c r="B4004" s="1" t="str">
        <f t="shared" si="1"/>
        <v>581492</v>
      </c>
      <c r="C4004" s="1" t="str">
        <f t="shared" si="2"/>
        <v>Sale</v>
      </c>
      <c r="D4004" s="1">
        <v>22379.0</v>
      </c>
      <c r="E4004" s="1" t="str">
        <f>IFERROR(__xludf.DUMMYFUNCTION("IF(LEN(D4004)&gt;4, IFERROR(REGEXEXTRACT(TO_TEXT(D4004),""\d+""),""""),"""")"),"22379")</f>
        <v>22379</v>
      </c>
      <c r="F4004" s="6" t="str">
        <f t="shared" si="3"/>
        <v>Product</v>
      </c>
      <c r="G4004" s="1" t="s">
        <v>152</v>
      </c>
      <c r="H4004" s="6" t="str">
        <f>IFERROR(__xludf.DUMMYFUNCTION("IF(REGEXMATCH(LOWER(G4004), ""^(\?)+\s*(missing)?\s*(\?)*$""), """", PROPER(SUBSTITUTE(SUBSTITUTE(G4004, ""?"", """"), ""*"", """")))"),"Recycling Bag Retrospot")</f>
        <v>Recycling Bag Retrospot</v>
      </c>
      <c r="I4004" s="3">
        <v>1.0</v>
      </c>
      <c r="J4004" s="7">
        <v>40886.41875</v>
      </c>
      <c r="K4004" s="8" t="str">
        <f t="shared" si="4"/>
        <v>2011-12</v>
      </c>
      <c r="L4004" s="5">
        <v>4.13</v>
      </c>
      <c r="M4004" s="10"/>
      <c r="N4004" s="1" t="str">
        <f t="shared" si="5"/>
        <v>Guest</v>
      </c>
      <c r="O4004" s="1" t="s">
        <v>19</v>
      </c>
      <c r="P4004" s="9" t="str">
        <f t="shared" si="6"/>
        <v>UK</v>
      </c>
      <c r="Q4004" s="8">
        <f t="shared" si="7"/>
        <v>4.13</v>
      </c>
    </row>
    <row r="4005">
      <c r="A4005" s="1">
        <v>581492.0</v>
      </c>
      <c r="B4005" s="1" t="str">
        <f t="shared" si="1"/>
        <v>581492</v>
      </c>
      <c r="C4005" s="1" t="str">
        <f t="shared" si="2"/>
        <v>Sale</v>
      </c>
      <c r="D4005" s="1">
        <v>22380.0</v>
      </c>
      <c r="E4005" s="1" t="str">
        <f>IFERROR(__xludf.DUMMYFUNCTION("IF(LEN(D4005)&gt;4, IFERROR(REGEXEXTRACT(TO_TEXT(D4005),""\d+""),""""),"""")"),"22380")</f>
        <v>22380</v>
      </c>
      <c r="F4005" s="6" t="str">
        <f t="shared" si="3"/>
        <v>Product</v>
      </c>
      <c r="G4005" s="1" t="s">
        <v>1588</v>
      </c>
      <c r="H4005" s="6" t="str">
        <f>IFERROR(__xludf.DUMMYFUNCTION("IF(REGEXMATCH(LOWER(G4005), ""^(\?)+\s*(missing)?\s*(\?)*$""), """", PROPER(SUBSTITUTE(SUBSTITUTE(G4005, ""?"", """"), ""*"", """")))"),"Toy Tidy Spaceboy")</f>
        <v>Toy Tidy Spaceboy</v>
      </c>
      <c r="I4005" s="3">
        <v>2.0</v>
      </c>
      <c r="J4005" s="7">
        <v>40886.41875</v>
      </c>
      <c r="K4005" s="8" t="str">
        <f t="shared" si="4"/>
        <v>2011-12</v>
      </c>
      <c r="L4005" s="5">
        <v>4.13</v>
      </c>
      <c r="M4005" s="10"/>
      <c r="N4005" s="1" t="str">
        <f t="shared" si="5"/>
        <v>Guest</v>
      </c>
      <c r="O4005" s="1" t="s">
        <v>19</v>
      </c>
      <c r="P4005" s="9" t="str">
        <f t="shared" si="6"/>
        <v>UK</v>
      </c>
      <c r="Q4005" s="8">
        <f t="shared" si="7"/>
        <v>8.26</v>
      </c>
    </row>
    <row r="4006">
      <c r="A4006" s="1">
        <v>581492.0</v>
      </c>
      <c r="B4006" s="1" t="str">
        <f t="shared" si="1"/>
        <v>581492</v>
      </c>
      <c r="C4006" s="1" t="str">
        <f t="shared" si="2"/>
        <v>Sale</v>
      </c>
      <c r="D4006" s="1">
        <v>22396.0</v>
      </c>
      <c r="E4006" s="1" t="str">
        <f>IFERROR(__xludf.DUMMYFUNCTION("IF(LEN(D4006)&gt;4, IFERROR(REGEXEXTRACT(TO_TEXT(D4006),""\d+""),""""),"""")"),"22396")</f>
        <v>22396</v>
      </c>
      <c r="F4006" s="6" t="str">
        <f t="shared" si="3"/>
        <v>Product</v>
      </c>
      <c r="G4006" s="1" t="s">
        <v>1933</v>
      </c>
      <c r="H4006" s="6" t="str">
        <f>IFERROR(__xludf.DUMMYFUNCTION("IF(REGEXMATCH(LOWER(G4006), ""^(\?)+\s*(missing)?\s*(\?)*$""), """", PROPER(SUBSTITUTE(SUBSTITUTE(G4006, ""?"", """"), ""*"", """")))"),"Magnets Pack Of 4 Retro Photo")</f>
        <v>Magnets Pack Of 4 Retro Photo</v>
      </c>
      <c r="I4006" s="3">
        <v>1.0</v>
      </c>
      <c r="J4006" s="7">
        <v>40886.41875</v>
      </c>
      <c r="K4006" s="8" t="str">
        <f t="shared" si="4"/>
        <v>2011-12</v>
      </c>
      <c r="L4006" s="5">
        <v>2.46</v>
      </c>
      <c r="M4006" s="10"/>
      <c r="N4006" s="1" t="str">
        <f t="shared" si="5"/>
        <v>Guest</v>
      </c>
      <c r="O4006" s="1" t="s">
        <v>19</v>
      </c>
      <c r="P4006" s="9" t="str">
        <f t="shared" si="6"/>
        <v>UK</v>
      </c>
      <c r="Q4006" s="8">
        <f t="shared" si="7"/>
        <v>2.46</v>
      </c>
    </row>
    <row r="4007">
      <c r="A4007" s="1">
        <v>581492.0</v>
      </c>
      <c r="B4007" s="1" t="str">
        <f t="shared" si="1"/>
        <v>581492</v>
      </c>
      <c r="C4007" s="1" t="str">
        <f t="shared" si="2"/>
        <v>Sale</v>
      </c>
      <c r="D4007" s="1">
        <v>22411.0</v>
      </c>
      <c r="E4007" s="1" t="str">
        <f>IFERROR(__xludf.DUMMYFUNCTION("IF(LEN(D4007)&gt;4, IFERROR(REGEXEXTRACT(TO_TEXT(D4007),""\d+""),""""),"""")"),"22411")</f>
        <v>22411</v>
      </c>
      <c r="F4007" s="6" t="str">
        <f t="shared" si="3"/>
        <v>Product</v>
      </c>
      <c r="G4007" s="1" t="s">
        <v>112</v>
      </c>
      <c r="H4007" s="6" t="str">
        <f>IFERROR(__xludf.DUMMYFUNCTION("IF(REGEXMATCH(LOWER(G4007), ""^(\?)+\s*(missing)?\s*(\?)*$""), """", PROPER(SUBSTITUTE(SUBSTITUTE(G4007, ""?"", """"), ""*"", """")))"),"Jumbo Shopper Vintage Red Paisley")</f>
        <v>Jumbo Shopper Vintage Red Paisley</v>
      </c>
      <c r="I4007" s="3">
        <v>1.0</v>
      </c>
      <c r="J4007" s="7">
        <v>40886.41875</v>
      </c>
      <c r="K4007" s="8" t="str">
        <f t="shared" si="4"/>
        <v>2011-12</v>
      </c>
      <c r="L4007" s="5">
        <v>4.13</v>
      </c>
      <c r="M4007" s="10"/>
      <c r="N4007" s="1" t="str">
        <f t="shared" si="5"/>
        <v>Guest</v>
      </c>
      <c r="O4007" s="1" t="s">
        <v>19</v>
      </c>
      <c r="P4007" s="9" t="str">
        <f t="shared" si="6"/>
        <v>UK</v>
      </c>
      <c r="Q4007" s="8">
        <f t="shared" si="7"/>
        <v>4.13</v>
      </c>
    </row>
    <row r="4008">
      <c r="A4008" s="1">
        <v>581492.0</v>
      </c>
      <c r="B4008" s="1" t="str">
        <f t="shared" si="1"/>
        <v>581492</v>
      </c>
      <c r="C4008" s="1" t="str">
        <f t="shared" si="2"/>
        <v>Sale</v>
      </c>
      <c r="D4008" s="1">
        <v>22418.0</v>
      </c>
      <c r="E4008" s="1" t="str">
        <f>IFERROR(__xludf.DUMMYFUNCTION("IF(LEN(D4008)&gt;4, IFERROR(REGEXEXTRACT(TO_TEXT(D4008),""\d+""),""""),"""")"),"22418")</f>
        <v>22418</v>
      </c>
      <c r="F4008" s="6" t="str">
        <f t="shared" si="3"/>
        <v>Product</v>
      </c>
      <c r="G4008" s="1" t="s">
        <v>368</v>
      </c>
      <c r="H4008" s="6" t="str">
        <f>IFERROR(__xludf.DUMMYFUNCTION("IF(REGEXMATCH(LOWER(G4008), ""^(\?)+\s*(missing)?\s*(\?)*$""), """", PROPER(SUBSTITUTE(SUBSTITUTE(G4008, ""?"", """"), ""*"", """")))"),"10 Colour Spaceboy Pen")</f>
        <v>10 Colour Spaceboy Pen</v>
      </c>
      <c r="I4008" s="3">
        <v>3.0</v>
      </c>
      <c r="J4008" s="7">
        <v>40886.41875</v>
      </c>
      <c r="K4008" s="8" t="str">
        <f t="shared" si="4"/>
        <v>2011-12</v>
      </c>
      <c r="L4008" s="5">
        <v>1.63</v>
      </c>
      <c r="M4008" s="10"/>
      <c r="N4008" s="1" t="str">
        <f t="shared" si="5"/>
        <v>Guest</v>
      </c>
      <c r="O4008" s="1" t="s">
        <v>19</v>
      </c>
      <c r="P4008" s="9" t="str">
        <f t="shared" si="6"/>
        <v>UK</v>
      </c>
      <c r="Q4008" s="8">
        <f t="shared" si="7"/>
        <v>4.89</v>
      </c>
    </row>
    <row r="4009">
      <c r="A4009" s="1">
        <v>581492.0</v>
      </c>
      <c r="B4009" s="1" t="str">
        <f t="shared" si="1"/>
        <v>581492</v>
      </c>
      <c r="C4009" s="1" t="str">
        <f t="shared" si="2"/>
        <v>Sale</v>
      </c>
      <c r="D4009" s="1">
        <v>22419.0</v>
      </c>
      <c r="E4009" s="1" t="str">
        <f>IFERROR(__xludf.DUMMYFUNCTION("IF(LEN(D4009)&gt;4, IFERROR(REGEXEXTRACT(TO_TEXT(D4009),""\d+""),""""),"""")"),"22419")</f>
        <v>22419</v>
      </c>
      <c r="F4009" s="6" t="str">
        <f t="shared" si="3"/>
        <v>Product</v>
      </c>
      <c r="G4009" s="1" t="s">
        <v>724</v>
      </c>
      <c r="H4009" s="6" t="str">
        <f>IFERROR(__xludf.DUMMYFUNCTION("IF(REGEXMATCH(LOWER(G4009), ""^(\?)+\s*(missing)?\s*(\?)*$""), """", PROPER(SUBSTITUTE(SUBSTITUTE(G4009, ""?"", """"), ""*"", """")))"),"Lipstick Pen Red")</f>
        <v>Lipstick Pen Red</v>
      </c>
      <c r="I4009" s="3">
        <v>3.0</v>
      </c>
      <c r="J4009" s="7">
        <v>40886.41875</v>
      </c>
      <c r="K4009" s="8" t="str">
        <f t="shared" si="4"/>
        <v>2011-12</v>
      </c>
      <c r="L4009" s="5">
        <v>0.83</v>
      </c>
      <c r="M4009" s="10"/>
      <c r="N4009" s="1" t="str">
        <f t="shared" si="5"/>
        <v>Guest</v>
      </c>
      <c r="O4009" s="1" t="s">
        <v>19</v>
      </c>
      <c r="P4009" s="9" t="str">
        <f t="shared" si="6"/>
        <v>UK</v>
      </c>
      <c r="Q4009" s="8">
        <f t="shared" si="7"/>
        <v>2.49</v>
      </c>
    </row>
    <row r="4010">
      <c r="A4010" s="1">
        <v>581492.0</v>
      </c>
      <c r="B4010" s="1" t="str">
        <f t="shared" si="1"/>
        <v>581492</v>
      </c>
      <c r="C4010" s="1" t="str">
        <f t="shared" si="2"/>
        <v>Sale</v>
      </c>
      <c r="D4010" s="1">
        <v>22420.0</v>
      </c>
      <c r="E4010" s="1" t="str">
        <f>IFERROR(__xludf.DUMMYFUNCTION("IF(LEN(D4010)&gt;4, IFERROR(REGEXEXTRACT(TO_TEXT(D4010),""\d+""),""""),"""")"),"22420")</f>
        <v>22420</v>
      </c>
      <c r="F4010" s="6" t="str">
        <f t="shared" si="3"/>
        <v>Product</v>
      </c>
      <c r="G4010" s="1" t="s">
        <v>725</v>
      </c>
      <c r="H4010" s="6" t="str">
        <f>IFERROR(__xludf.DUMMYFUNCTION("IF(REGEXMATCH(LOWER(G4010), ""^(\?)+\s*(missing)?\s*(\?)*$""), """", PROPER(SUBSTITUTE(SUBSTITUTE(G4010, ""?"", """"), ""*"", """")))"),"Lipstick Pen Baby Pink")</f>
        <v>Lipstick Pen Baby Pink</v>
      </c>
      <c r="I4010" s="3">
        <v>1.0</v>
      </c>
      <c r="J4010" s="7">
        <v>40886.41875</v>
      </c>
      <c r="K4010" s="8" t="str">
        <f t="shared" si="4"/>
        <v>2011-12</v>
      </c>
      <c r="L4010" s="5">
        <v>0.83</v>
      </c>
      <c r="M4010" s="10"/>
      <c r="N4010" s="1" t="str">
        <f t="shared" si="5"/>
        <v>Guest</v>
      </c>
      <c r="O4010" s="1" t="s">
        <v>19</v>
      </c>
      <c r="P4010" s="9" t="str">
        <f t="shared" si="6"/>
        <v>UK</v>
      </c>
      <c r="Q4010" s="8">
        <f t="shared" si="7"/>
        <v>0.83</v>
      </c>
    </row>
    <row r="4011">
      <c r="A4011" s="1">
        <v>581492.0</v>
      </c>
      <c r="B4011" s="1" t="str">
        <f t="shared" si="1"/>
        <v>581492</v>
      </c>
      <c r="C4011" s="1" t="str">
        <f t="shared" si="2"/>
        <v>Sale</v>
      </c>
      <c r="D4011" s="1">
        <v>22421.0</v>
      </c>
      <c r="E4011" s="1" t="str">
        <f>IFERROR(__xludf.DUMMYFUNCTION("IF(LEN(D4011)&gt;4, IFERROR(REGEXEXTRACT(TO_TEXT(D4011),""\d+""),""""),"""")"),"22421")</f>
        <v>22421</v>
      </c>
      <c r="F4011" s="6" t="str">
        <f t="shared" si="3"/>
        <v>Product</v>
      </c>
      <c r="G4011" s="1" t="s">
        <v>723</v>
      </c>
      <c r="H4011" s="6" t="str">
        <f>IFERROR(__xludf.DUMMYFUNCTION("IF(REGEXMATCH(LOWER(G4011), ""^(\?)+\s*(missing)?\s*(\?)*$""), """", PROPER(SUBSTITUTE(SUBSTITUTE(G4011, ""?"", """"), ""*"", """")))"),"Lipstick Pen Fuschia")</f>
        <v>Lipstick Pen Fuschia</v>
      </c>
      <c r="I4011" s="3">
        <v>2.0</v>
      </c>
      <c r="J4011" s="7">
        <v>40886.41875</v>
      </c>
      <c r="K4011" s="8" t="str">
        <f t="shared" si="4"/>
        <v>2011-12</v>
      </c>
      <c r="L4011" s="5">
        <v>0.83</v>
      </c>
      <c r="M4011" s="10"/>
      <c r="N4011" s="1" t="str">
        <f t="shared" si="5"/>
        <v>Guest</v>
      </c>
      <c r="O4011" s="1" t="s">
        <v>19</v>
      </c>
      <c r="P4011" s="9" t="str">
        <f t="shared" si="6"/>
        <v>UK</v>
      </c>
      <c r="Q4011" s="8">
        <f t="shared" si="7"/>
        <v>1.66</v>
      </c>
    </row>
    <row r="4012">
      <c r="A4012" s="1">
        <v>581492.0</v>
      </c>
      <c r="B4012" s="1" t="str">
        <f t="shared" si="1"/>
        <v>581492</v>
      </c>
      <c r="C4012" s="1" t="str">
        <f t="shared" si="2"/>
        <v>Sale</v>
      </c>
      <c r="D4012" s="1">
        <v>22422.0</v>
      </c>
      <c r="E4012" s="1" t="str">
        <f>IFERROR(__xludf.DUMMYFUNCTION("IF(LEN(D4012)&gt;4, IFERROR(REGEXEXTRACT(TO_TEXT(D4012),""\d+""),""""),"""")"),"22422")</f>
        <v>22422</v>
      </c>
      <c r="F4012" s="6" t="str">
        <f t="shared" si="3"/>
        <v>Product</v>
      </c>
      <c r="G4012" s="1" t="s">
        <v>1934</v>
      </c>
      <c r="H4012" s="6" t="str">
        <f>IFERROR(__xludf.DUMMYFUNCTION("IF(REGEXMATCH(LOWER(G4012), ""^(\?)+\s*(missing)?\s*(\?)*$""), """", PROPER(SUBSTITUTE(SUBSTITUTE(G4012, ""?"", """"), ""*"", """")))"),"Toothpaste Tube Pen")</f>
        <v>Toothpaste Tube Pen</v>
      </c>
      <c r="I4012" s="3">
        <v>4.0</v>
      </c>
      <c r="J4012" s="7">
        <v>40886.41875</v>
      </c>
      <c r="K4012" s="8" t="str">
        <f t="shared" si="4"/>
        <v>2011-12</v>
      </c>
      <c r="L4012" s="5">
        <v>1.25</v>
      </c>
      <c r="M4012" s="10"/>
      <c r="N4012" s="1" t="str">
        <f t="shared" si="5"/>
        <v>Guest</v>
      </c>
      <c r="O4012" s="1" t="s">
        <v>19</v>
      </c>
      <c r="P4012" s="9" t="str">
        <f t="shared" si="6"/>
        <v>UK</v>
      </c>
      <c r="Q4012" s="8">
        <f t="shared" si="7"/>
        <v>5</v>
      </c>
    </row>
    <row r="4013">
      <c r="A4013" s="1">
        <v>581492.0</v>
      </c>
      <c r="B4013" s="1" t="str">
        <f t="shared" si="1"/>
        <v>581492</v>
      </c>
      <c r="C4013" s="1" t="str">
        <f t="shared" si="2"/>
        <v>Sale</v>
      </c>
      <c r="D4013" s="1">
        <v>22437.0</v>
      </c>
      <c r="E4013" s="1" t="str">
        <f>IFERROR(__xludf.DUMMYFUNCTION("IF(LEN(D4013)&gt;4, IFERROR(REGEXEXTRACT(TO_TEXT(D4013),""\d+""),""""),"""")"),"22437")</f>
        <v>22437</v>
      </c>
      <c r="F4013" s="6" t="str">
        <f t="shared" si="3"/>
        <v>Product</v>
      </c>
      <c r="G4013" s="1" t="s">
        <v>1114</v>
      </c>
      <c r="H4013" s="6" t="str">
        <f>IFERROR(__xludf.DUMMYFUNCTION("IF(REGEXMATCH(LOWER(G4013), ""^(\?)+\s*(missing)?\s*(\?)*$""), """", PROPER(SUBSTITUTE(SUBSTITUTE(G4013, ""?"", """"), ""*"", """")))"),"Set Of 9 Black Skull Balloons")</f>
        <v>Set Of 9 Black Skull Balloons</v>
      </c>
      <c r="I4013" s="3">
        <v>1.0</v>
      </c>
      <c r="J4013" s="7">
        <v>40886.41875</v>
      </c>
      <c r="K4013" s="8" t="str">
        <f t="shared" si="4"/>
        <v>2011-12</v>
      </c>
      <c r="L4013" s="5">
        <v>1.63</v>
      </c>
      <c r="M4013" s="10"/>
      <c r="N4013" s="1" t="str">
        <f t="shared" si="5"/>
        <v>Guest</v>
      </c>
      <c r="O4013" s="1" t="s">
        <v>19</v>
      </c>
      <c r="P4013" s="9" t="str">
        <f t="shared" si="6"/>
        <v>UK</v>
      </c>
      <c r="Q4013" s="8">
        <f t="shared" si="7"/>
        <v>1.63</v>
      </c>
    </row>
    <row r="4014">
      <c r="A4014" s="1">
        <v>581492.0</v>
      </c>
      <c r="B4014" s="1" t="str">
        <f t="shared" si="1"/>
        <v>581492</v>
      </c>
      <c r="C4014" s="1" t="str">
        <f t="shared" si="2"/>
        <v>Sale</v>
      </c>
      <c r="D4014" s="1">
        <v>22441.0</v>
      </c>
      <c r="E4014" s="1" t="str">
        <f>IFERROR(__xludf.DUMMYFUNCTION("IF(LEN(D4014)&gt;4, IFERROR(REGEXEXTRACT(TO_TEXT(D4014),""\d+""),""""),"""")"),"22441")</f>
        <v>22441</v>
      </c>
      <c r="F4014" s="6" t="str">
        <f t="shared" si="3"/>
        <v>Product</v>
      </c>
      <c r="G4014" s="1" t="s">
        <v>301</v>
      </c>
      <c r="H4014" s="6" t="str">
        <f>IFERROR(__xludf.DUMMYFUNCTION("IF(REGEXMATCH(LOWER(G4014), ""^(\?)+\s*(missing)?\s*(\?)*$""), """", PROPER(SUBSTITUTE(SUBSTITUTE(G4014, ""?"", """"), ""*"", """")))"),"Grow Your Own Basil In Enamel Mug")</f>
        <v>Grow Your Own Basil In Enamel Mug</v>
      </c>
      <c r="I4014" s="3">
        <v>1.0</v>
      </c>
      <c r="J4014" s="7">
        <v>40886.41875</v>
      </c>
      <c r="K4014" s="8" t="str">
        <f t="shared" si="4"/>
        <v>2011-12</v>
      </c>
      <c r="L4014" s="5">
        <v>4.13</v>
      </c>
      <c r="M4014" s="10"/>
      <c r="N4014" s="1" t="str">
        <f t="shared" si="5"/>
        <v>Guest</v>
      </c>
      <c r="O4014" s="1" t="s">
        <v>19</v>
      </c>
      <c r="P4014" s="9" t="str">
        <f t="shared" si="6"/>
        <v>UK</v>
      </c>
      <c r="Q4014" s="8">
        <f t="shared" si="7"/>
        <v>4.13</v>
      </c>
    </row>
    <row r="4015">
      <c r="A4015" s="1">
        <v>581492.0</v>
      </c>
      <c r="B4015" s="1" t="str">
        <f t="shared" si="1"/>
        <v>581492</v>
      </c>
      <c r="C4015" s="1" t="str">
        <f t="shared" si="2"/>
        <v>Sale</v>
      </c>
      <c r="D4015" s="1">
        <v>22446.0</v>
      </c>
      <c r="E4015" s="1" t="str">
        <f>IFERROR(__xludf.DUMMYFUNCTION("IF(LEN(D4015)&gt;4, IFERROR(REGEXEXTRACT(TO_TEXT(D4015),""\d+""),""""),"""")"),"22446")</f>
        <v>22446</v>
      </c>
      <c r="F4015" s="6" t="str">
        <f t="shared" si="3"/>
        <v>Product</v>
      </c>
      <c r="G4015" s="1" t="s">
        <v>1447</v>
      </c>
      <c r="H4015" s="6" t="str">
        <f>IFERROR(__xludf.DUMMYFUNCTION("IF(REGEXMATCH(LOWER(G4015), ""^(\?)+\s*(missing)?\s*(\?)*$""), """", PROPER(SUBSTITUTE(SUBSTITUTE(G4015, ""?"", """"), ""*"", """")))"),"Pin Cushion Babushka Pink")</f>
        <v>Pin Cushion Babushka Pink</v>
      </c>
      <c r="I4015" s="3">
        <v>7.0</v>
      </c>
      <c r="J4015" s="7">
        <v>40886.41875</v>
      </c>
      <c r="K4015" s="8" t="str">
        <f t="shared" si="4"/>
        <v>2011-12</v>
      </c>
      <c r="L4015" s="5">
        <v>2.46</v>
      </c>
      <c r="M4015" s="10"/>
      <c r="N4015" s="1" t="str">
        <f t="shared" si="5"/>
        <v>Guest</v>
      </c>
      <c r="O4015" s="1" t="s">
        <v>19</v>
      </c>
      <c r="P4015" s="9" t="str">
        <f t="shared" si="6"/>
        <v>UK</v>
      </c>
      <c r="Q4015" s="8">
        <f t="shared" si="7"/>
        <v>17.22</v>
      </c>
    </row>
    <row r="4016">
      <c r="A4016" s="1">
        <v>581492.0</v>
      </c>
      <c r="B4016" s="1" t="str">
        <f t="shared" si="1"/>
        <v>581492</v>
      </c>
      <c r="C4016" s="1" t="str">
        <f t="shared" si="2"/>
        <v>Sale</v>
      </c>
      <c r="D4016" s="1">
        <v>22457.0</v>
      </c>
      <c r="E4016" s="1" t="str">
        <f>IFERROR(__xludf.DUMMYFUNCTION("IF(LEN(D4016)&gt;4, IFERROR(REGEXEXTRACT(TO_TEXT(D4016),""\d+""),""""),"""")"),"22457")</f>
        <v>22457</v>
      </c>
      <c r="F4016" s="6" t="str">
        <f t="shared" si="3"/>
        <v>Product</v>
      </c>
      <c r="G4016" s="1" t="s">
        <v>166</v>
      </c>
      <c r="H4016" s="6" t="str">
        <f>IFERROR(__xludf.DUMMYFUNCTION("IF(REGEXMATCH(LOWER(G4016), ""^(\?)+\s*(missing)?\s*(\?)*$""), """", PROPER(SUBSTITUTE(SUBSTITUTE(G4016, ""?"", """"), ""*"", """")))"),"Natural Slate Heart Chalkboard")</f>
        <v>Natural Slate Heart Chalkboard</v>
      </c>
      <c r="I4016" s="3">
        <v>1.0</v>
      </c>
      <c r="J4016" s="7">
        <v>40886.41875</v>
      </c>
      <c r="K4016" s="8" t="str">
        <f t="shared" si="4"/>
        <v>2011-12</v>
      </c>
      <c r="L4016" s="5">
        <v>5.79</v>
      </c>
      <c r="M4016" s="10"/>
      <c r="N4016" s="1" t="str">
        <f t="shared" si="5"/>
        <v>Guest</v>
      </c>
      <c r="O4016" s="1" t="s">
        <v>19</v>
      </c>
      <c r="P4016" s="9" t="str">
        <f t="shared" si="6"/>
        <v>UK</v>
      </c>
      <c r="Q4016" s="8">
        <f t="shared" si="7"/>
        <v>5.79</v>
      </c>
    </row>
    <row r="4017">
      <c r="A4017" s="1">
        <v>581492.0</v>
      </c>
      <c r="B4017" s="1" t="str">
        <f t="shared" si="1"/>
        <v>581492</v>
      </c>
      <c r="C4017" s="1" t="str">
        <f t="shared" si="2"/>
        <v>Sale</v>
      </c>
      <c r="D4017" s="1">
        <v>22464.0</v>
      </c>
      <c r="E4017" s="1" t="str">
        <f>IFERROR(__xludf.DUMMYFUNCTION("IF(LEN(D4017)&gt;4, IFERROR(REGEXEXTRACT(TO_TEXT(D4017),""\d+""),""""),"""")"),"22464")</f>
        <v>22464</v>
      </c>
      <c r="F4017" s="6" t="str">
        <f t="shared" si="3"/>
        <v>Product</v>
      </c>
      <c r="G4017" s="1" t="s">
        <v>164</v>
      </c>
      <c r="H4017" s="6" t="str">
        <f>IFERROR(__xludf.DUMMYFUNCTION("IF(REGEXMATCH(LOWER(G4017), ""^(\?)+\s*(missing)?\s*(\?)*$""), """", PROPER(SUBSTITUTE(SUBSTITUTE(G4017, ""?"", """"), ""*"", """")))"),"Hanging Metal Heart Lantern")</f>
        <v>Hanging Metal Heart Lantern</v>
      </c>
      <c r="I4017" s="3">
        <v>1.0</v>
      </c>
      <c r="J4017" s="7">
        <v>40886.41875</v>
      </c>
      <c r="K4017" s="8" t="str">
        <f t="shared" si="4"/>
        <v>2011-12</v>
      </c>
      <c r="L4017" s="5">
        <v>3.29</v>
      </c>
      <c r="M4017" s="10"/>
      <c r="N4017" s="1" t="str">
        <f t="shared" si="5"/>
        <v>Guest</v>
      </c>
      <c r="O4017" s="1" t="s">
        <v>19</v>
      </c>
      <c r="P4017" s="9" t="str">
        <f t="shared" si="6"/>
        <v>UK</v>
      </c>
      <c r="Q4017" s="8">
        <f t="shared" si="7"/>
        <v>3.29</v>
      </c>
    </row>
    <row r="4018">
      <c r="A4018" s="1">
        <v>581492.0</v>
      </c>
      <c r="B4018" s="1" t="str">
        <f t="shared" si="1"/>
        <v>581492</v>
      </c>
      <c r="C4018" s="1" t="str">
        <f t="shared" si="2"/>
        <v>Sale</v>
      </c>
      <c r="D4018" s="1">
        <v>22466.0</v>
      </c>
      <c r="E4018" s="1" t="str">
        <f>IFERROR(__xludf.DUMMYFUNCTION("IF(LEN(D4018)&gt;4, IFERROR(REGEXEXTRACT(TO_TEXT(D4018),""\d+""),""""),"""")"),"22466")</f>
        <v>22466</v>
      </c>
      <c r="F4018" s="6" t="str">
        <f t="shared" si="3"/>
        <v>Product</v>
      </c>
      <c r="G4018" s="1" t="s">
        <v>1935</v>
      </c>
      <c r="H4018" s="6" t="str">
        <f>IFERROR(__xludf.DUMMYFUNCTION("IF(REGEXMATCH(LOWER(G4018), ""^(\?)+\s*(missing)?\s*(\?)*$""), """", PROPER(SUBSTITUTE(SUBSTITUTE(G4018, ""?"", """"), ""*"", """")))"),"Fairy Tale Cottage Night Light")</f>
        <v>Fairy Tale Cottage Night Light</v>
      </c>
      <c r="I4018" s="3">
        <v>1.0</v>
      </c>
      <c r="J4018" s="7">
        <v>40886.41875</v>
      </c>
      <c r="K4018" s="8" t="str">
        <f t="shared" si="4"/>
        <v>2011-12</v>
      </c>
      <c r="L4018" s="5">
        <v>4.13</v>
      </c>
      <c r="M4018" s="10"/>
      <c r="N4018" s="1" t="str">
        <f t="shared" si="5"/>
        <v>Guest</v>
      </c>
      <c r="O4018" s="1" t="s">
        <v>19</v>
      </c>
      <c r="P4018" s="9" t="str">
        <f t="shared" si="6"/>
        <v>UK</v>
      </c>
      <c r="Q4018" s="8">
        <f t="shared" si="7"/>
        <v>4.13</v>
      </c>
    </row>
    <row r="4019">
      <c r="A4019" s="1">
        <v>581492.0</v>
      </c>
      <c r="B4019" s="1" t="str">
        <f t="shared" si="1"/>
        <v>581492</v>
      </c>
      <c r="C4019" s="1" t="str">
        <f t="shared" si="2"/>
        <v>Sale</v>
      </c>
      <c r="D4019" s="1">
        <v>22467.0</v>
      </c>
      <c r="E4019" s="1" t="str">
        <f>IFERROR(__xludf.DUMMYFUNCTION("IF(LEN(D4019)&gt;4, IFERROR(REGEXEXTRACT(TO_TEXT(D4019),""\d+""),""""),"""")"),"22467")</f>
        <v>22467</v>
      </c>
      <c r="F4019" s="6" t="str">
        <f t="shared" si="3"/>
        <v>Product</v>
      </c>
      <c r="G4019" s="1" t="s">
        <v>323</v>
      </c>
      <c r="H4019" s="6" t="str">
        <f>IFERROR(__xludf.DUMMYFUNCTION("IF(REGEXMATCH(LOWER(G4019), ""^(\?)+\s*(missing)?\s*(\?)*$""), """", PROPER(SUBSTITUTE(SUBSTITUTE(G4019, ""?"", """"), ""*"", """")))"),"Gumball Coat Rack")</f>
        <v>Gumball Coat Rack</v>
      </c>
      <c r="I4019" s="3">
        <v>1.0</v>
      </c>
      <c r="J4019" s="7">
        <v>40886.41875</v>
      </c>
      <c r="K4019" s="8" t="str">
        <f t="shared" si="4"/>
        <v>2011-12</v>
      </c>
      <c r="L4019" s="5">
        <v>4.96</v>
      </c>
      <c r="M4019" s="10"/>
      <c r="N4019" s="1" t="str">
        <f t="shared" si="5"/>
        <v>Guest</v>
      </c>
      <c r="O4019" s="1" t="s">
        <v>19</v>
      </c>
      <c r="P4019" s="9" t="str">
        <f t="shared" si="6"/>
        <v>UK</v>
      </c>
      <c r="Q4019" s="8">
        <f t="shared" si="7"/>
        <v>4.96</v>
      </c>
    </row>
    <row r="4020">
      <c r="A4020" s="1">
        <v>581492.0</v>
      </c>
      <c r="B4020" s="1" t="str">
        <f t="shared" si="1"/>
        <v>581492</v>
      </c>
      <c r="C4020" s="1" t="str">
        <f t="shared" si="2"/>
        <v>Sale</v>
      </c>
      <c r="D4020" s="1">
        <v>22478.0</v>
      </c>
      <c r="E4020" s="1" t="str">
        <f>IFERROR(__xludf.DUMMYFUNCTION("IF(LEN(D4020)&gt;4, IFERROR(REGEXEXTRACT(TO_TEXT(D4020),""\d+""),""""),"""")"),"22478")</f>
        <v>22478</v>
      </c>
      <c r="F4020" s="6" t="str">
        <f t="shared" si="3"/>
        <v>Product</v>
      </c>
      <c r="G4020" s="1" t="s">
        <v>1936</v>
      </c>
      <c r="H4020" s="6" t="str">
        <f>IFERROR(__xludf.DUMMYFUNCTION("IF(REGEXMATCH(LOWER(G4020), ""^(\?)+\s*(missing)?\s*(\?)*$""), """", PROPER(SUBSTITUTE(SUBSTITUTE(G4020, ""?"", """"), ""*"", """")))"),"Birdhouse Garden Marker")</f>
        <v>Birdhouse Garden Marker</v>
      </c>
      <c r="I4020" s="3">
        <v>1.0</v>
      </c>
      <c r="J4020" s="7">
        <v>40886.41875</v>
      </c>
      <c r="K4020" s="8" t="str">
        <f t="shared" si="4"/>
        <v>2011-12</v>
      </c>
      <c r="L4020" s="5">
        <v>2.46</v>
      </c>
      <c r="M4020" s="10"/>
      <c r="N4020" s="1" t="str">
        <f t="shared" si="5"/>
        <v>Guest</v>
      </c>
      <c r="O4020" s="1" t="s">
        <v>19</v>
      </c>
      <c r="P4020" s="9" t="str">
        <f t="shared" si="6"/>
        <v>UK</v>
      </c>
      <c r="Q4020" s="8">
        <f t="shared" si="7"/>
        <v>2.46</v>
      </c>
    </row>
    <row r="4021">
      <c r="A4021" s="1">
        <v>581492.0</v>
      </c>
      <c r="B4021" s="1" t="str">
        <f t="shared" si="1"/>
        <v>581492</v>
      </c>
      <c r="C4021" s="1" t="str">
        <f t="shared" si="2"/>
        <v>Sale</v>
      </c>
      <c r="D4021" s="1">
        <v>22486.0</v>
      </c>
      <c r="E4021" s="1" t="str">
        <f>IFERROR(__xludf.DUMMYFUNCTION("IF(LEN(D4021)&gt;4, IFERROR(REGEXEXTRACT(TO_TEXT(D4021),""\d+""),""""),"""")"),"22486")</f>
        <v>22486</v>
      </c>
      <c r="F4021" s="6" t="str">
        <f t="shared" si="3"/>
        <v>Product</v>
      </c>
      <c r="G4021" s="1" t="s">
        <v>1937</v>
      </c>
      <c r="H4021" s="6" t="str">
        <f>IFERROR(__xludf.DUMMYFUNCTION("IF(REGEXMATCH(LOWER(G4021), ""^(\?)+\s*(missing)?\s*(\?)*$""), """", PROPER(SUBSTITUTE(SUBSTITUTE(G4021, ""?"", """"), ""*"", """")))"),"Plasmatronic Lamp")</f>
        <v>Plasmatronic Lamp</v>
      </c>
      <c r="I4021" s="3">
        <v>1.0</v>
      </c>
      <c r="J4021" s="7">
        <v>40886.41875</v>
      </c>
      <c r="K4021" s="8" t="str">
        <f t="shared" si="4"/>
        <v>2011-12</v>
      </c>
      <c r="L4021" s="5">
        <v>8.29</v>
      </c>
      <c r="M4021" s="10"/>
      <c r="N4021" s="1" t="str">
        <f t="shared" si="5"/>
        <v>Guest</v>
      </c>
      <c r="O4021" s="1" t="s">
        <v>19</v>
      </c>
      <c r="P4021" s="9" t="str">
        <f t="shared" si="6"/>
        <v>UK</v>
      </c>
      <c r="Q4021" s="8">
        <f t="shared" si="7"/>
        <v>8.29</v>
      </c>
    </row>
    <row r="4022">
      <c r="A4022" s="1">
        <v>581492.0</v>
      </c>
      <c r="B4022" s="1" t="str">
        <f t="shared" si="1"/>
        <v>581492</v>
      </c>
      <c r="C4022" s="1" t="str">
        <f t="shared" si="2"/>
        <v>Sale</v>
      </c>
      <c r="D4022" s="1">
        <v>22488.0</v>
      </c>
      <c r="E4022" s="1" t="str">
        <f>IFERROR(__xludf.DUMMYFUNCTION("IF(LEN(D4022)&gt;4, IFERROR(REGEXEXTRACT(TO_TEXT(D4022),""\d+""),""""),"""")"),"22488")</f>
        <v>22488</v>
      </c>
      <c r="F4022" s="6" t="str">
        <f t="shared" si="3"/>
        <v>Product</v>
      </c>
      <c r="G4022" s="1" t="s">
        <v>376</v>
      </c>
      <c r="H4022" s="6" t="str">
        <f>IFERROR(__xludf.DUMMYFUNCTION("IF(REGEXMATCH(LOWER(G4022), ""^(\?)+\s*(missing)?\s*(\?)*$""), """", PROPER(SUBSTITUTE(SUBSTITUTE(G4022, ""?"", """"), ""*"", """")))"),"Natural Slate Rectangle Chalkboard")</f>
        <v>Natural Slate Rectangle Chalkboard</v>
      </c>
      <c r="I4022" s="3">
        <v>1.0</v>
      </c>
      <c r="J4022" s="7">
        <v>40886.41875</v>
      </c>
      <c r="K4022" s="8" t="str">
        <f t="shared" si="4"/>
        <v>2011-12</v>
      </c>
      <c r="L4022" s="5">
        <v>3.29</v>
      </c>
      <c r="M4022" s="10"/>
      <c r="N4022" s="1" t="str">
        <f t="shared" si="5"/>
        <v>Guest</v>
      </c>
      <c r="O4022" s="1" t="s">
        <v>19</v>
      </c>
      <c r="P4022" s="9" t="str">
        <f t="shared" si="6"/>
        <v>UK</v>
      </c>
      <c r="Q4022" s="8">
        <f t="shared" si="7"/>
        <v>3.29</v>
      </c>
    </row>
    <row r="4023">
      <c r="A4023" s="1">
        <v>581492.0</v>
      </c>
      <c r="B4023" s="1" t="str">
        <f t="shared" si="1"/>
        <v>581492</v>
      </c>
      <c r="C4023" s="1" t="str">
        <f t="shared" si="2"/>
        <v>Sale</v>
      </c>
      <c r="D4023" s="1">
        <v>22489.0</v>
      </c>
      <c r="E4023" s="1" t="str">
        <f>IFERROR(__xludf.DUMMYFUNCTION("IF(LEN(D4023)&gt;4, IFERROR(REGEXEXTRACT(TO_TEXT(D4023),""\d+""),""""),"""")"),"22489")</f>
        <v>22489</v>
      </c>
      <c r="F4023" s="6" t="str">
        <f t="shared" si="3"/>
        <v>Product</v>
      </c>
      <c r="G4023" s="1" t="s">
        <v>1639</v>
      </c>
      <c r="H4023" s="6" t="str">
        <f>IFERROR(__xludf.DUMMYFUNCTION("IF(REGEXMATCH(LOWER(G4023), ""^(\?)+\s*(missing)?\s*(\?)*$""), """", PROPER(SUBSTITUTE(SUBSTITUTE(G4023, ""?"", """"), ""*"", """")))"),"Pack Of 12 Traditional Crayons")</f>
        <v>Pack Of 12 Traditional Crayons</v>
      </c>
      <c r="I4023" s="3">
        <v>5.0</v>
      </c>
      <c r="J4023" s="7">
        <v>40886.41875</v>
      </c>
      <c r="K4023" s="8" t="str">
        <f t="shared" si="4"/>
        <v>2011-12</v>
      </c>
      <c r="L4023" s="5">
        <v>0.83</v>
      </c>
      <c r="M4023" s="10"/>
      <c r="N4023" s="1" t="str">
        <f t="shared" si="5"/>
        <v>Guest</v>
      </c>
      <c r="O4023" s="1" t="s">
        <v>19</v>
      </c>
      <c r="P4023" s="9" t="str">
        <f t="shared" si="6"/>
        <v>UK</v>
      </c>
      <c r="Q4023" s="8">
        <f t="shared" si="7"/>
        <v>4.15</v>
      </c>
    </row>
    <row r="4024">
      <c r="A4024" s="1">
        <v>581492.0</v>
      </c>
      <c r="B4024" s="1" t="str">
        <f t="shared" si="1"/>
        <v>581492</v>
      </c>
      <c r="C4024" s="1" t="str">
        <f t="shared" si="2"/>
        <v>Sale</v>
      </c>
      <c r="D4024" s="1">
        <v>22495.0</v>
      </c>
      <c r="E4024" s="1" t="str">
        <f>IFERROR(__xludf.DUMMYFUNCTION("IF(LEN(D4024)&gt;4, IFERROR(REGEXEXTRACT(TO_TEXT(D4024),""\d+""),""""),"""")"),"22495")</f>
        <v>22495</v>
      </c>
      <c r="F4024" s="6" t="str">
        <f t="shared" si="3"/>
        <v>Product</v>
      </c>
      <c r="G4024" s="1" t="s">
        <v>869</v>
      </c>
      <c r="H4024" s="6" t="str">
        <f>IFERROR(__xludf.DUMMYFUNCTION("IF(REGEXMATCH(LOWER(G4024), ""^(\?)+\s*(missing)?\s*(\?)*$""), """", PROPER(SUBSTITUTE(SUBSTITUTE(G4024, ""?"", """"), ""*"", """")))"),"Set Of 2 Round Tins Camembert")</f>
        <v>Set Of 2 Round Tins Camembert</v>
      </c>
      <c r="I4024" s="3">
        <v>1.0</v>
      </c>
      <c r="J4024" s="7">
        <v>40886.41875</v>
      </c>
      <c r="K4024" s="8" t="str">
        <f t="shared" si="4"/>
        <v>2011-12</v>
      </c>
      <c r="L4024" s="5">
        <v>5.79</v>
      </c>
      <c r="M4024" s="10"/>
      <c r="N4024" s="1" t="str">
        <f t="shared" si="5"/>
        <v>Guest</v>
      </c>
      <c r="O4024" s="1" t="s">
        <v>19</v>
      </c>
      <c r="P4024" s="9" t="str">
        <f t="shared" si="6"/>
        <v>UK</v>
      </c>
      <c r="Q4024" s="8">
        <f t="shared" si="7"/>
        <v>5.79</v>
      </c>
    </row>
    <row r="4025">
      <c r="A4025" s="1">
        <v>581492.0</v>
      </c>
      <c r="B4025" s="1" t="str">
        <f t="shared" si="1"/>
        <v>581492</v>
      </c>
      <c r="C4025" s="1" t="str">
        <f t="shared" si="2"/>
        <v>Sale</v>
      </c>
      <c r="D4025" s="1">
        <v>22540.0</v>
      </c>
      <c r="E4025" s="1" t="str">
        <f>IFERROR(__xludf.DUMMYFUNCTION("IF(LEN(D4025)&gt;4, IFERROR(REGEXEXTRACT(TO_TEXT(D4025),""\d+""),""""),"""")"),"22540")</f>
        <v>22540</v>
      </c>
      <c r="F4025" s="6" t="str">
        <f t="shared" si="3"/>
        <v>Product</v>
      </c>
      <c r="G4025" s="1" t="s">
        <v>65</v>
      </c>
      <c r="H4025" s="6" t="str">
        <f>IFERROR(__xludf.DUMMYFUNCTION("IF(REGEXMATCH(LOWER(G4025), ""^(\?)+\s*(missing)?\s*(\?)*$""), """", PROPER(SUBSTITUTE(SUBSTITUTE(G4025, ""?"", """"), ""*"", """")))"),"Mini Jigsaw Circus Parade")</f>
        <v>Mini Jigsaw Circus Parade</v>
      </c>
      <c r="I4025" s="3">
        <v>1.0</v>
      </c>
      <c r="J4025" s="7">
        <v>40886.41875</v>
      </c>
      <c r="K4025" s="8" t="str">
        <f t="shared" si="4"/>
        <v>2011-12</v>
      </c>
      <c r="L4025" s="5">
        <v>0.83</v>
      </c>
      <c r="M4025" s="10"/>
      <c r="N4025" s="1" t="str">
        <f t="shared" si="5"/>
        <v>Guest</v>
      </c>
      <c r="O4025" s="1" t="s">
        <v>19</v>
      </c>
      <c r="P4025" s="9" t="str">
        <f t="shared" si="6"/>
        <v>UK</v>
      </c>
      <c r="Q4025" s="8">
        <f t="shared" si="7"/>
        <v>0.83</v>
      </c>
    </row>
    <row r="4026">
      <c r="A4026" s="1">
        <v>581492.0</v>
      </c>
      <c r="B4026" s="1" t="str">
        <f t="shared" si="1"/>
        <v>581492</v>
      </c>
      <c r="C4026" s="1" t="str">
        <f t="shared" si="2"/>
        <v>Sale</v>
      </c>
      <c r="D4026" s="1">
        <v>22544.0</v>
      </c>
      <c r="E4026" s="1" t="str">
        <f>IFERROR(__xludf.DUMMYFUNCTION("IF(LEN(D4026)&gt;4, IFERROR(REGEXEXTRACT(TO_TEXT(D4026),""\d+""),""""),"""")"),"22544")</f>
        <v>22544</v>
      </c>
      <c r="F4026" s="6" t="str">
        <f t="shared" si="3"/>
        <v>Product</v>
      </c>
      <c r="G4026" s="1" t="s">
        <v>66</v>
      </c>
      <c r="H4026" s="6" t="str">
        <f>IFERROR(__xludf.DUMMYFUNCTION("IF(REGEXMATCH(LOWER(G4026), ""^(\?)+\s*(missing)?\s*(\?)*$""), """", PROPER(SUBSTITUTE(SUBSTITUTE(G4026, ""?"", """"), ""*"", """")))"),"Mini Jigsaw Spaceboy")</f>
        <v>Mini Jigsaw Spaceboy</v>
      </c>
      <c r="I4026" s="3">
        <v>1.0</v>
      </c>
      <c r="J4026" s="7">
        <v>40886.41875</v>
      </c>
      <c r="K4026" s="8" t="str">
        <f t="shared" si="4"/>
        <v>2011-12</v>
      </c>
      <c r="L4026" s="5">
        <v>0.83</v>
      </c>
      <c r="M4026" s="10"/>
      <c r="N4026" s="1" t="str">
        <f t="shared" si="5"/>
        <v>Guest</v>
      </c>
      <c r="O4026" s="1" t="s">
        <v>19</v>
      </c>
      <c r="P4026" s="9" t="str">
        <f t="shared" si="6"/>
        <v>UK</v>
      </c>
      <c r="Q4026" s="8">
        <f t="shared" si="7"/>
        <v>0.83</v>
      </c>
    </row>
    <row r="4027">
      <c r="A4027" s="1">
        <v>581492.0</v>
      </c>
      <c r="B4027" s="1" t="str">
        <f t="shared" si="1"/>
        <v>581492</v>
      </c>
      <c r="C4027" s="1" t="str">
        <f t="shared" si="2"/>
        <v>Sale</v>
      </c>
      <c r="D4027" s="1">
        <v>22549.0</v>
      </c>
      <c r="E4027" s="1" t="str">
        <f>IFERROR(__xludf.DUMMYFUNCTION("IF(LEN(D4027)&gt;4, IFERROR(REGEXEXTRACT(TO_TEXT(D4027),""\d+""),""""),"""")"),"22549")</f>
        <v>22549</v>
      </c>
      <c r="F4027" s="6" t="str">
        <f t="shared" si="3"/>
        <v>Product</v>
      </c>
      <c r="G4027" s="1" t="s">
        <v>276</v>
      </c>
      <c r="H4027" s="6" t="str">
        <f>IFERROR(__xludf.DUMMYFUNCTION("IF(REGEXMATCH(LOWER(G4027), ""^(\?)+\s*(missing)?\s*(\?)*$""), """", PROPER(SUBSTITUTE(SUBSTITUTE(G4027, ""?"", """"), ""*"", """")))"),"Picture Dominoes")</f>
        <v>Picture Dominoes</v>
      </c>
      <c r="I4027" s="3">
        <v>3.0</v>
      </c>
      <c r="J4027" s="7">
        <v>40886.41875</v>
      </c>
      <c r="K4027" s="8" t="str">
        <f t="shared" si="4"/>
        <v>2011-12</v>
      </c>
      <c r="L4027" s="5">
        <v>3.29</v>
      </c>
      <c r="M4027" s="10"/>
      <c r="N4027" s="1" t="str">
        <f t="shared" si="5"/>
        <v>Guest</v>
      </c>
      <c r="O4027" s="1" t="s">
        <v>19</v>
      </c>
      <c r="P4027" s="9" t="str">
        <f t="shared" si="6"/>
        <v>UK</v>
      </c>
      <c r="Q4027" s="8">
        <f t="shared" si="7"/>
        <v>9.87</v>
      </c>
    </row>
    <row r="4028">
      <c r="A4028" s="1">
        <v>581492.0</v>
      </c>
      <c r="B4028" s="1" t="str">
        <f t="shared" si="1"/>
        <v>581492</v>
      </c>
      <c r="C4028" s="1" t="str">
        <f t="shared" si="2"/>
        <v>Sale</v>
      </c>
      <c r="D4028" s="1">
        <v>22551.0</v>
      </c>
      <c r="E4028" s="1" t="str">
        <f>IFERROR(__xludf.DUMMYFUNCTION("IF(LEN(D4028)&gt;4, IFERROR(REGEXEXTRACT(TO_TEXT(D4028),""\d+""),""""),"""")"),"22551")</f>
        <v>22551</v>
      </c>
      <c r="F4028" s="6" t="str">
        <f t="shared" si="3"/>
        <v>Product</v>
      </c>
      <c r="G4028" s="1" t="s">
        <v>498</v>
      </c>
      <c r="H4028" s="6" t="str">
        <f>IFERROR(__xludf.DUMMYFUNCTION("IF(REGEXMATCH(LOWER(G4028), ""^(\?)+\s*(missing)?\s*(\?)*$""), """", PROPER(SUBSTITUTE(SUBSTITUTE(G4028, ""?"", """"), ""*"", """")))"),"Plasters In Tin Spaceboy")</f>
        <v>Plasters In Tin Spaceboy</v>
      </c>
      <c r="I4028" s="3">
        <v>2.0</v>
      </c>
      <c r="J4028" s="7">
        <v>40886.41875</v>
      </c>
      <c r="K4028" s="8" t="str">
        <f t="shared" si="4"/>
        <v>2011-12</v>
      </c>
      <c r="L4028" s="5">
        <v>3.29</v>
      </c>
      <c r="M4028" s="10"/>
      <c r="N4028" s="1" t="str">
        <f t="shared" si="5"/>
        <v>Guest</v>
      </c>
      <c r="O4028" s="1" t="s">
        <v>19</v>
      </c>
      <c r="P4028" s="9" t="str">
        <f t="shared" si="6"/>
        <v>UK</v>
      </c>
      <c r="Q4028" s="8">
        <f t="shared" si="7"/>
        <v>6.58</v>
      </c>
    </row>
    <row r="4029">
      <c r="A4029" s="1">
        <v>581492.0</v>
      </c>
      <c r="B4029" s="1" t="str">
        <f t="shared" si="1"/>
        <v>581492</v>
      </c>
      <c r="C4029" s="1" t="str">
        <f t="shared" si="2"/>
        <v>Sale</v>
      </c>
      <c r="D4029" s="1">
        <v>22553.0</v>
      </c>
      <c r="E4029" s="1" t="str">
        <f>IFERROR(__xludf.DUMMYFUNCTION("IF(LEN(D4029)&gt;4, IFERROR(REGEXEXTRACT(TO_TEXT(D4029),""\d+""),""""),"""")"),"22553")</f>
        <v>22553</v>
      </c>
      <c r="F4029" s="6" t="str">
        <f t="shared" si="3"/>
        <v>Product</v>
      </c>
      <c r="G4029" s="1" t="s">
        <v>234</v>
      </c>
      <c r="H4029" s="6" t="str">
        <f>IFERROR(__xludf.DUMMYFUNCTION("IF(REGEXMATCH(LOWER(G4029), ""^(\?)+\s*(missing)?\s*(\?)*$""), """", PROPER(SUBSTITUTE(SUBSTITUTE(G4029, ""?"", """"), ""*"", """")))"),"Plasters In Tin Skulls")</f>
        <v>Plasters In Tin Skulls</v>
      </c>
      <c r="I4029" s="3">
        <v>2.0</v>
      </c>
      <c r="J4029" s="7">
        <v>40886.41875</v>
      </c>
      <c r="K4029" s="8" t="str">
        <f t="shared" si="4"/>
        <v>2011-12</v>
      </c>
      <c r="L4029" s="5">
        <v>3.29</v>
      </c>
      <c r="M4029" s="10"/>
      <c r="N4029" s="1" t="str">
        <f t="shared" si="5"/>
        <v>Guest</v>
      </c>
      <c r="O4029" s="1" t="s">
        <v>19</v>
      </c>
      <c r="P4029" s="9" t="str">
        <f t="shared" si="6"/>
        <v>UK</v>
      </c>
      <c r="Q4029" s="8">
        <f t="shared" si="7"/>
        <v>6.58</v>
      </c>
    </row>
    <row r="4030">
      <c r="A4030" s="1">
        <v>581492.0</v>
      </c>
      <c r="B4030" s="1" t="str">
        <f t="shared" si="1"/>
        <v>581492</v>
      </c>
      <c r="C4030" s="1" t="str">
        <f t="shared" si="2"/>
        <v>Sale</v>
      </c>
      <c r="D4030" s="1">
        <v>22554.0</v>
      </c>
      <c r="E4030" s="1" t="str">
        <f>IFERROR(__xludf.DUMMYFUNCTION("IF(LEN(D4030)&gt;4, IFERROR(REGEXEXTRACT(TO_TEXT(D4030),""\d+""),""""),"""")"),"22554")</f>
        <v>22554</v>
      </c>
      <c r="F4030" s="6" t="str">
        <f t="shared" si="3"/>
        <v>Product</v>
      </c>
      <c r="G4030" s="1" t="s">
        <v>499</v>
      </c>
      <c r="H4030" s="6" t="str">
        <f>IFERROR(__xludf.DUMMYFUNCTION("IF(REGEXMATCH(LOWER(G4030), ""^(\?)+\s*(missing)?\s*(\?)*$""), """", PROPER(SUBSTITUTE(SUBSTITUTE(G4030, ""?"", """"), ""*"", """")))"),"Plasters In Tin Woodland Animals")</f>
        <v>Plasters In Tin Woodland Animals</v>
      </c>
      <c r="I4030" s="3">
        <v>3.0</v>
      </c>
      <c r="J4030" s="7">
        <v>40886.41875</v>
      </c>
      <c r="K4030" s="8" t="str">
        <f t="shared" si="4"/>
        <v>2011-12</v>
      </c>
      <c r="L4030" s="5">
        <v>3.29</v>
      </c>
      <c r="M4030" s="10"/>
      <c r="N4030" s="1" t="str">
        <f t="shared" si="5"/>
        <v>Guest</v>
      </c>
      <c r="O4030" s="1" t="s">
        <v>19</v>
      </c>
      <c r="P4030" s="9" t="str">
        <f t="shared" si="6"/>
        <v>UK</v>
      </c>
      <c r="Q4030" s="8">
        <f t="shared" si="7"/>
        <v>9.87</v>
      </c>
    </row>
    <row r="4031">
      <c r="A4031" s="1">
        <v>581492.0</v>
      </c>
      <c r="B4031" s="1" t="str">
        <f t="shared" si="1"/>
        <v>581492</v>
      </c>
      <c r="C4031" s="1" t="str">
        <f t="shared" si="2"/>
        <v>Sale</v>
      </c>
      <c r="D4031" s="1">
        <v>22555.0</v>
      </c>
      <c r="E4031" s="1" t="str">
        <f>IFERROR(__xludf.DUMMYFUNCTION("IF(LEN(D4031)&gt;4, IFERROR(REGEXEXTRACT(TO_TEXT(D4031),""\d+""),""""),"""")"),"22555")</f>
        <v>22555</v>
      </c>
      <c r="F4031" s="6" t="str">
        <f t="shared" si="3"/>
        <v>Product</v>
      </c>
      <c r="G4031" s="1" t="s">
        <v>914</v>
      </c>
      <c r="H4031" s="6" t="str">
        <f>IFERROR(__xludf.DUMMYFUNCTION("IF(REGEXMATCH(LOWER(G4031), ""^(\?)+\s*(missing)?\s*(\?)*$""), """", PROPER(SUBSTITUTE(SUBSTITUTE(G4031, ""?"", """"), ""*"", """")))"),"Plasters In Tin Strongman")</f>
        <v>Plasters In Tin Strongman</v>
      </c>
      <c r="I4031" s="3">
        <v>3.0</v>
      </c>
      <c r="J4031" s="7">
        <v>40886.41875</v>
      </c>
      <c r="K4031" s="8" t="str">
        <f t="shared" si="4"/>
        <v>2011-12</v>
      </c>
      <c r="L4031" s="5">
        <v>3.29</v>
      </c>
      <c r="M4031" s="10"/>
      <c r="N4031" s="1" t="str">
        <f t="shared" si="5"/>
        <v>Guest</v>
      </c>
      <c r="O4031" s="1" t="s">
        <v>19</v>
      </c>
      <c r="P4031" s="9" t="str">
        <f t="shared" si="6"/>
        <v>UK</v>
      </c>
      <c r="Q4031" s="8">
        <f t="shared" si="7"/>
        <v>9.87</v>
      </c>
    </row>
    <row r="4032">
      <c r="A4032" s="1">
        <v>581492.0</v>
      </c>
      <c r="B4032" s="1" t="str">
        <f t="shared" si="1"/>
        <v>581492</v>
      </c>
      <c r="C4032" s="1" t="str">
        <f t="shared" si="2"/>
        <v>Sale</v>
      </c>
      <c r="D4032" s="1">
        <v>22557.0</v>
      </c>
      <c r="E4032" s="1" t="str">
        <f>IFERROR(__xludf.DUMMYFUNCTION("IF(LEN(D4032)&gt;4, IFERROR(REGEXEXTRACT(TO_TEXT(D4032),""\d+""),""""),"""")"),"22557")</f>
        <v>22557</v>
      </c>
      <c r="F4032" s="6" t="str">
        <f t="shared" si="3"/>
        <v>Product</v>
      </c>
      <c r="G4032" s="1" t="s">
        <v>233</v>
      </c>
      <c r="H4032" s="6" t="str">
        <f>IFERROR(__xludf.DUMMYFUNCTION("IF(REGEXMATCH(LOWER(G4032), ""^(\?)+\s*(missing)?\s*(\?)*$""), """", PROPER(SUBSTITUTE(SUBSTITUTE(G4032, ""?"", """"), ""*"", """")))"),"Plasters In Tin Vintage Paisley")</f>
        <v>Plasters In Tin Vintage Paisley</v>
      </c>
      <c r="I4032" s="3">
        <v>2.0</v>
      </c>
      <c r="J4032" s="7">
        <v>40886.41875</v>
      </c>
      <c r="K4032" s="8" t="str">
        <f t="shared" si="4"/>
        <v>2011-12</v>
      </c>
      <c r="L4032" s="5">
        <v>3.29</v>
      </c>
      <c r="M4032" s="10"/>
      <c r="N4032" s="1" t="str">
        <f t="shared" si="5"/>
        <v>Guest</v>
      </c>
      <c r="O4032" s="1" t="s">
        <v>19</v>
      </c>
      <c r="P4032" s="9" t="str">
        <f t="shared" si="6"/>
        <v>UK</v>
      </c>
      <c r="Q4032" s="8">
        <f t="shared" si="7"/>
        <v>6.58</v>
      </c>
    </row>
    <row r="4033">
      <c r="A4033" s="1">
        <v>581492.0</v>
      </c>
      <c r="B4033" s="1" t="str">
        <f t="shared" si="1"/>
        <v>581492</v>
      </c>
      <c r="C4033" s="1" t="str">
        <f t="shared" si="2"/>
        <v>Sale</v>
      </c>
      <c r="D4033" s="1">
        <v>22558.0</v>
      </c>
      <c r="E4033" s="1" t="str">
        <f>IFERROR(__xludf.DUMMYFUNCTION("IF(LEN(D4033)&gt;4, IFERROR(REGEXEXTRACT(TO_TEXT(D4033),""\d+""),""""),"""")"),"22558")</f>
        <v>22558</v>
      </c>
      <c r="F4033" s="6" t="str">
        <f t="shared" si="3"/>
        <v>Product</v>
      </c>
      <c r="G4033" s="1" t="s">
        <v>250</v>
      </c>
      <c r="H4033" s="6" t="str">
        <f>IFERROR(__xludf.DUMMYFUNCTION("IF(REGEXMATCH(LOWER(G4033), ""^(\?)+\s*(missing)?\s*(\?)*$""), """", PROPER(SUBSTITUTE(SUBSTITUTE(G4033, ""?"", """"), ""*"", """")))"),"Clothes Pegs Retrospot Pack 24")</f>
        <v>Clothes Pegs Retrospot Pack 24</v>
      </c>
      <c r="I4033" s="3">
        <v>3.0</v>
      </c>
      <c r="J4033" s="7">
        <v>40886.41875</v>
      </c>
      <c r="K4033" s="8" t="str">
        <f t="shared" si="4"/>
        <v>2011-12</v>
      </c>
      <c r="L4033" s="5">
        <v>3.29</v>
      </c>
      <c r="M4033" s="10"/>
      <c r="N4033" s="1" t="str">
        <f t="shared" si="5"/>
        <v>Guest</v>
      </c>
      <c r="O4033" s="1" t="s">
        <v>19</v>
      </c>
      <c r="P4033" s="9" t="str">
        <f t="shared" si="6"/>
        <v>UK</v>
      </c>
      <c r="Q4033" s="8">
        <f t="shared" si="7"/>
        <v>9.87</v>
      </c>
    </row>
    <row r="4034">
      <c r="A4034" s="1">
        <v>581492.0</v>
      </c>
      <c r="B4034" s="1" t="str">
        <f t="shared" si="1"/>
        <v>581492</v>
      </c>
      <c r="C4034" s="1" t="str">
        <f t="shared" si="2"/>
        <v>Sale</v>
      </c>
      <c r="D4034" s="1">
        <v>22560.0</v>
      </c>
      <c r="E4034" s="1" t="str">
        <f>IFERROR(__xludf.DUMMYFUNCTION("IF(LEN(D4034)&gt;4, IFERROR(REGEXEXTRACT(TO_TEXT(D4034),""\d+""),""""),"""")"),"22560")</f>
        <v>22560</v>
      </c>
      <c r="F4034" s="6" t="str">
        <f t="shared" si="3"/>
        <v>Product</v>
      </c>
      <c r="G4034" s="1" t="s">
        <v>761</v>
      </c>
      <c r="H4034" s="6" t="str">
        <f>IFERROR(__xludf.DUMMYFUNCTION("IF(REGEXMATCH(LOWER(G4034), ""^(\?)+\s*(missing)?\s*(\?)*$""), """", PROPER(SUBSTITUTE(SUBSTITUTE(G4034, ""?"", """"), ""*"", """")))"),"Traditional Modelling Clay")</f>
        <v>Traditional Modelling Clay</v>
      </c>
      <c r="I4034" s="3">
        <v>5.0</v>
      </c>
      <c r="J4034" s="7">
        <v>40886.41875</v>
      </c>
      <c r="K4034" s="8" t="str">
        <f t="shared" si="4"/>
        <v>2011-12</v>
      </c>
      <c r="L4034" s="5">
        <v>2.46</v>
      </c>
      <c r="M4034" s="10"/>
      <c r="N4034" s="1" t="str">
        <f t="shared" si="5"/>
        <v>Guest</v>
      </c>
      <c r="O4034" s="1" t="s">
        <v>19</v>
      </c>
      <c r="P4034" s="9" t="str">
        <f t="shared" si="6"/>
        <v>UK</v>
      </c>
      <c r="Q4034" s="8">
        <f t="shared" si="7"/>
        <v>12.3</v>
      </c>
    </row>
    <row r="4035">
      <c r="A4035" s="1">
        <v>581492.0</v>
      </c>
      <c r="B4035" s="1" t="str">
        <f t="shared" si="1"/>
        <v>581492</v>
      </c>
      <c r="C4035" s="1" t="str">
        <f t="shared" si="2"/>
        <v>Sale</v>
      </c>
      <c r="D4035" s="1">
        <v>22565.0</v>
      </c>
      <c r="E4035" s="1" t="str">
        <f>IFERROR(__xludf.DUMMYFUNCTION("IF(LEN(D4035)&gt;4, IFERROR(REGEXEXTRACT(TO_TEXT(D4035),""\d+""),""""),"""")"),"22565")</f>
        <v>22565</v>
      </c>
      <c r="F4035" s="6" t="str">
        <f t="shared" si="3"/>
        <v>Product</v>
      </c>
      <c r="G4035" s="1" t="s">
        <v>496</v>
      </c>
      <c r="H4035" s="6" t="str">
        <f>IFERROR(__xludf.DUMMYFUNCTION("IF(REGEXMATCH(LOWER(G4035), ""^(\?)+\s*(missing)?\s*(\?)*$""), """", PROPER(SUBSTITUTE(SUBSTITUTE(G4035, ""?"", """"), ""*"", """")))"),"Feltcraft Hairbands Pink And White")</f>
        <v>Feltcraft Hairbands Pink And White</v>
      </c>
      <c r="I4035" s="3">
        <v>4.0</v>
      </c>
      <c r="J4035" s="7">
        <v>40886.41875</v>
      </c>
      <c r="K4035" s="8" t="str">
        <f t="shared" si="4"/>
        <v>2011-12</v>
      </c>
      <c r="L4035" s="5">
        <v>1.63</v>
      </c>
      <c r="M4035" s="10"/>
      <c r="N4035" s="1" t="str">
        <f t="shared" si="5"/>
        <v>Guest</v>
      </c>
      <c r="O4035" s="1" t="s">
        <v>19</v>
      </c>
      <c r="P4035" s="9" t="str">
        <f t="shared" si="6"/>
        <v>UK</v>
      </c>
      <c r="Q4035" s="8">
        <f t="shared" si="7"/>
        <v>6.52</v>
      </c>
    </row>
    <row r="4036">
      <c r="A4036" s="1">
        <v>581492.0</v>
      </c>
      <c r="B4036" s="1" t="str">
        <f t="shared" si="1"/>
        <v>581492</v>
      </c>
      <c r="C4036" s="1" t="str">
        <f t="shared" si="2"/>
        <v>Sale</v>
      </c>
      <c r="D4036" s="1">
        <v>22566.0</v>
      </c>
      <c r="E4036" s="1" t="str">
        <f>IFERROR(__xludf.DUMMYFUNCTION("IF(LEN(D4036)&gt;4, IFERROR(REGEXEXTRACT(TO_TEXT(D4036),""\d+""),""""),"""")"),"22566")</f>
        <v>22566</v>
      </c>
      <c r="F4036" s="6" t="str">
        <f t="shared" si="3"/>
        <v>Product</v>
      </c>
      <c r="G4036" s="1" t="s">
        <v>495</v>
      </c>
      <c r="H4036" s="6" t="str">
        <f>IFERROR(__xludf.DUMMYFUNCTION("IF(REGEXMATCH(LOWER(G4036), ""^(\?)+\s*(missing)?\s*(\?)*$""), """", PROPER(SUBSTITUTE(SUBSTITUTE(G4036, ""?"", """"), ""*"", """")))"),"Feltcraft Hairband Pink And Purple")</f>
        <v>Feltcraft Hairband Pink And Purple</v>
      </c>
      <c r="I4036" s="3">
        <v>3.0</v>
      </c>
      <c r="J4036" s="7">
        <v>40886.41875</v>
      </c>
      <c r="K4036" s="8" t="str">
        <f t="shared" si="4"/>
        <v>2011-12</v>
      </c>
      <c r="L4036" s="5">
        <v>1.63</v>
      </c>
      <c r="M4036" s="10"/>
      <c r="N4036" s="1" t="str">
        <f t="shared" si="5"/>
        <v>Guest</v>
      </c>
      <c r="O4036" s="1" t="s">
        <v>19</v>
      </c>
      <c r="P4036" s="9" t="str">
        <f t="shared" si="6"/>
        <v>UK</v>
      </c>
      <c r="Q4036" s="8">
        <f t="shared" si="7"/>
        <v>4.89</v>
      </c>
    </row>
    <row r="4037">
      <c r="A4037" s="1">
        <v>581492.0</v>
      </c>
      <c r="B4037" s="1" t="str">
        <f t="shared" si="1"/>
        <v>581492</v>
      </c>
      <c r="C4037" s="1" t="str">
        <f t="shared" si="2"/>
        <v>Sale</v>
      </c>
      <c r="D4037" s="1">
        <v>22571.0</v>
      </c>
      <c r="E4037" s="1" t="str">
        <f>IFERROR(__xludf.DUMMYFUNCTION("IF(LEN(D4037)&gt;4, IFERROR(REGEXEXTRACT(TO_TEXT(D4037),""\d+""),""""),"""")"),"22571")</f>
        <v>22571</v>
      </c>
      <c r="F4037" s="6" t="str">
        <f t="shared" si="3"/>
        <v>Product</v>
      </c>
      <c r="G4037" s="1" t="s">
        <v>618</v>
      </c>
      <c r="H4037" s="6" t="str">
        <f>IFERROR(__xludf.DUMMYFUNCTION("IF(REGEXMATCH(LOWER(G4037), ""^(\?)+\s*(missing)?\s*(\?)*$""), """", PROPER(SUBSTITUTE(SUBSTITUTE(G4037, ""?"", """"), ""*"", """")))"),"Rocking Horse Red Christmas")</f>
        <v>Rocking Horse Red Christmas</v>
      </c>
      <c r="I4037" s="3">
        <v>4.0</v>
      </c>
      <c r="J4037" s="7">
        <v>40886.41875</v>
      </c>
      <c r="K4037" s="8" t="str">
        <f t="shared" si="4"/>
        <v>2011-12</v>
      </c>
      <c r="L4037" s="5">
        <v>1.63</v>
      </c>
      <c r="M4037" s="10"/>
      <c r="N4037" s="1" t="str">
        <f t="shared" si="5"/>
        <v>Guest</v>
      </c>
      <c r="O4037" s="1" t="s">
        <v>19</v>
      </c>
      <c r="P4037" s="9" t="str">
        <f t="shared" si="6"/>
        <v>UK</v>
      </c>
      <c r="Q4037" s="8">
        <f t="shared" si="7"/>
        <v>6.52</v>
      </c>
    </row>
    <row r="4038">
      <c r="A4038" s="1">
        <v>581492.0</v>
      </c>
      <c r="B4038" s="1" t="str">
        <f t="shared" si="1"/>
        <v>581492</v>
      </c>
      <c r="C4038" s="1" t="str">
        <f t="shared" si="2"/>
        <v>Sale</v>
      </c>
      <c r="D4038" s="1">
        <v>22573.0</v>
      </c>
      <c r="E4038" s="1" t="str">
        <f>IFERROR(__xludf.DUMMYFUNCTION("IF(LEN(D4038)&gt;4, IFERROR(REGEXEXTRACT(TO_TEXT(D4038),""\d+""),""""),"""")"),"22573")</f>
        <v>22573</v>
      </c>
      <c r="F4038" s="6" t="str">
        <f t="shared" si="3"/>
        <v>Product</v>
      </c>
      <c r="G4038" s="1" t="s">
        <v>591</v>
      </c>
      <c r="H4038" s="6" t="str">
        <f>IFERROR(__xludf.DUMMYFUNCTION("IF(REGEXMATCH(LOWER(G4038), ""^(\?)+\s*(missing)?\s*(\?)*$""), """", PROPER(SUBSTITUTE(SUBSTITUTE(G4038, ""?"", """"), ""*"", """")))"),"Star Wooden Christmas Decoration")</f>
        <v>Star Wooden Christmas Decoration</v>
      </c>
      <c r="I4038" s="3">
        <v>2.0</v>
      </c>
      <c r="J4038" s="7">
        <v>40886.41875</v>
      </c>
      <c r="K4038" s="8" t="str">
        <f t="shared" si="4"/>
        <v>2011-12</v>
      </c>
      <c r="L4038" s="5">
        <v>1.63</v>
      </c>
      <c r="M4038" s="10"/>
      <c r="N4038" s="1" t="str">
        <f t="shared" si="5"/>
        <v>Guest</v>
      </c>
      <c r="O4038" s="1" t="s">
        <v>19</v>
      </c>
      <c r="P4038" s="9" t="str">
        <f t="shared" si="6"/>
        <v>UK</v>
      </c>
      <c r="Q4038" s="8">
        <f t="shared" si="7"/>
        <v>3.26</v>
      </c>
    </row>
    <row r="4039">
      <c r="A4039" s="1">
        <v>581492.0</v>
      </c>
      <c r="B4039" s="1" t="str">
        <f t="shared" si="1"/>
        <v>581492</v>
      </c>
      <c r="C4039" s="1" t="str">
        <f t="shared" si="2"/>
        <v>Sale</v>
      </c>
      <c r="D4039" s="1">
        <v>22574.0</v>
      </c>
      <c r="E4039" s="1" t="str">
        <f>IFERROR(__xludf.DUMMYFUNCTION("IF(LEN(D4039)&gt;4, IFERROR(REGEXEXTRACT(TO_TEXT(D4039),""\d+""),""""),"""")"),"22574")</f>
        <v>22574</v>
      </c>
      <c r="F4039" s="6" t="str">
        <f t="shared" si="3"/>
        <v>Product</v>
      </c>
      <c r="G4039" s="1" t="s">
        <v>1938</v>
      </c>
      <c r="H4039" s="6" t="str">
        <f>IFERROR(__xludf.DUMMYFUNCTION("IF(REGEXMATCH(LOWER(G4039), ""^(\?)+\s*(missing)?\s*(\?)*$""), """", PROPER(SUBSTITUTE(SUBSTITUTE(G4039, ""?"", """"), ""*"", """")))"),"Heart Wooden Christmas Decoration")</f>
        <v>Heart Wooden Christmas Decoration</v>
      </c>
      <c r="I4039" s="3">
        <v>5.0</v>
      </c>
      <c r="J4039" s="7">
        <v>40886.41875</v>
      </c>
      <c r="K4039" s="8" t="str">
        <f t="shared" si="4"/>
        <v>2011-12</v>
      </c>
      <c r="L4039" s="5">
        <v>1.63</v>
      </c>
      <c r="M4039" s="10"/>
      <c r="N4039" s="1" t="str">
        <f t="shared" si="5"/>
        <v>Guest</v>
      </c>
      <c r="O4039" s="1" t="s">
        <v>19</v>
      </c>
      <c r="P4039" s="9" t="str">
        <f t="shared" si="6"/>
        <v>UK</v>
      </c>
      <c r="Q4039" s="8">
        <f t="shared" si="7"/>
        <v>8.15</v>
      </c>
    </row>
    <row r="4040">
      <c r="A4040" s="1">
        <v>581492.0</v>
      </c>
      <c r="B4040" s="1" t="str">
        <f t="shared" si="1"/>
        <v>581492</v>
      </c>
      <c r="C4040" s="1" t="str">
        <f t="shared" si="2"/>
        <v>Sale</v>
      </c>
      <c r="D4040" s="1">
        <v>22576.0</v>
      </c>
      <c r="E4040" s="1" t="str">
        <f>IFERROR(__xludf.DUMMYFUNCTION("IF(LEN(D4040)&gt;4, IFERROR(REGEXEXTRACT(TO_TEXT(D4040),""\d+""),""""),"""")"),"22576")</f>
        <v>22576</v>
      </c>
      <c r="F4040" s="6" t="str">
        <f t="shared" si="3"/>
        <v>Product</v>
      </c>
      <c r="G4040" s="1" t="s">
        <v>730</v>
      </c>
      <c r="H4040" s="6" t="str">
        <f>IFERROR(__xludf.DUMMYFUNCTION("IF(REGEXMATCH(LOWER(G4040), ""^(\?)+\s*(missing)?\s*(\?)*$""), """", PROPER(SUBSTITUTE(SUBSTITUTE(G4040, ""?"", """"), ""*"", """")))"),"Swallow Wooden Christmas Decoration")</f>
        <v>Swallow Wooden Christmas Decoration</v>
      </c>
      <c r="I4040" s="3">
        <v>3.0</v>
      </c>
      <c r="J4040" s="7">
        <v>40886.41875</v>
      </c>
      <c r="K4040" s="8" t="str">
        <f t="shared" si="4"/>
        <v>2011-12</v>
      </c>
      <c r="L4040" s="5">
        <v>1.63</v>
      </c>
      <c r="M4040" s="10"/>
      <c r="N4040" s="1" t="str">
        <f t="shared" si="5"/>
        <v>Guest</v>
      </c>
      <c r="O4040" s="1" t="s">
        <v>19</v>
      </c>
      <c r="P4040" s="9" t="str">
        <f t="shared" si="6"/>
        <v>UK</v>
      </c>
      <c r="Q4040" s="8">
        <f t="shared" si="7"/>
        <v>4.89</v>
      </c>
    </row>
    <row r="4041">
      <c r="A4041" s="1">
        <v>581492.0</v>
      </c>
      <c r="B4041" s="1" t="str">
        <f t="shared" si="1"/>
        <v>581492</v>
      </c>
      <c r="C4041" s="1" t="str">
        <f t="shared" si="2"/>
        <v>Sale</v>
      </c>
      <c r="D4041" s="1">
        <v>22577.0</v>
      </c>
      <c r="E4041" s="1" t="str">
        <f>IFERROR(__xludf.DUMMYFUNCTION("IF(LEN(D4041)&gt;4, IFERROR(REGEXEXTRACT(TO_TEXT(D4041),""\d+""),""""),"""")"),"22577")</f>
        <v>22577</v>
      </c>
      <c r="F4041" s="6" t="str">
        <f t="shared" si="3"/>
        <v>Product</v>
      </c>
      <c r="G4041" s="1" t="s">
        <v>592</v>
      </c>
      <c r="H4041" s="6" t="str">
        <f>IFERROR(__xludf.DUMMYFUNCTION("IF(REGEXMATCH(LOWER(G4041), ""^(\?)+\s*(missing)?\s*(\?)*$""), """", PROPER(SUBSTITUTE(SUBSTITUTE(G4041, ""?"", """"), ""*"", """")))"),"Wooden Heart Christmas Scandinavian")</f>
        <v>Wooden Heart Christmas Scandinavian</v>
      </c>
      <c r="I4041" s="3">
        <v>4.0</v>
      </c>
      <c r="J4041" s="7">
        <v>40886.41875</v>
      </c>
      <c r="K4041" s="8" t="str">
        <f t="shared" si="4"/>
        <v>2011-12</v>
      </c>
      <c r="L4041" s="5">
        <v>0.83</v>
      </c>
      <c r="M4041" s="10"/>
      <c r="N4041" s="1" t="str">
        <f t="shared" si="5"/>
        <v>Guest</v>
      </c>
      <c r="O4041" s="1" t="s">
        <v>19</v>
      </c>
      <c r="P4041" s="9" t="str">
        <f t="shared" si="6"/>
        <v>UK</v>
      </c>
      <c r="Q4041" s="8">
        <f t="shared" si="7"/>
        <v>3.32</v>
      </c>
    </row>
    <row r="4042">
      <c r="A4042" s="1">
        <v>581492.0</v>
      </c>
      <c r="B4042" s="1" t="str">
        <f t="shared" si="1"/>
        <v>581492</v>
      </c>
      <c r="C4042" s="1" t="str">
        <f t="shared" si="2"/>
        <v>Sale</v>
      </c>
      <c r="D4042" s="1">
        <v>22578.0</v>
      </c>
      <c r="E4042" s="1" t="str">
        <f>IFERROR(__xludf.DUMMYFUNCTION("IF(LEN(D4042)&gt;4, IFERROR(REGEXEXTRACT(TO_TEXT(D4042),""\d+""),""""),"""")"),"22578")</f>
        <v>22578</v>
      </c>
      <c r="F4042" s="6" t="str">
        <f t="shared" si="3"/>
        <v>Product</v>
      </c>
      <c r="G4042" s="1" t="s">
        <v>1939</v>
      </c>
      <c r="H4042" s="6" t="str">
        <f>IFERROR(__xludf.DUMMYFUNCTION("IF(REGEXMATCH(LOWER(G4042), ""^(\?)+\s*(missing)?\s*(\?)*$""), """", PROPER(SUBSTITUTE(SUBSTITUTE(G4042, ""?"", """"), ""*"", """")))"),"Wooden Star Christmas Scandinavian")</f>
        <v>Wooden Star Christmas Scandinavian</v>
      </c>
      <c r="I4042" s="3">
        <v>19.0</v>
      </c>
      <c r="J4042" s="7">
        <v>40886.41875</v>
      </c>
      <c r="K4042" s="8" t="str">
        <f t="shared" si="4"/>
        <v>2011-12</v>
      </c>
      <c r="L4042" s="5">
        <v>0.83</v>
      </c>
      <c r="M4042" s="10"/>
      <c r="N4042" s="1" t="str">
        <f t="shared" si="5"/>
        <v>Guest</v>
      </c>
      <c r="O4042" s="1" t="s">
        <v>19</v>
      </c>
      <c r="P4042" s="9" t="str">
        <f t="shared" si="6"/>
        <v>UK</v>
      </c>
      <c r="Q4042" s="8">
        <f t="shared" si="7"/>
        <v>15.77</v>
      </c>
    </row>
    <row r="4043">
      <c r="A4043" s="1">
        <v>581492.0</v>
      </c>
      <c r="B4043" s="1" t="str">
        <f t="shared" si="1"/>
        <v>581492</v>
      </c>
      <c r="C4043" s="1" t="str">
        <f t="shared" si="2"/>
        <v>Sale</v>
      </c>
      <c r="D4043" s="1">
        <v>22580.0</v>
      </c>
      <c r="E4043" s="1" t="str">
        <f>IFERROR(__xludf.DUMMYFUNCTION("IF(LEN(D4043)&gt;4, IFERROR(REGEXEXTRACT(TO_TEXT(D4043),""\d+""),""""),"""")"),"22580")</f>
        <v>22580</v>
      </c>
      <c r="F4043" s="6" t="str">
        <f t="shared" si="3"/>
        <v>Product</v>
      </c>
      <c r="G4043" s="1" t="s">
        <v>473</v>
      </c>
      <c r="H4043" s="6" t="str">
        <f>IFERROR(__xludf.DUMMYFUNCTION("IF(REGEXMATCH(LOWER(G4043), ""^(\?)+\s*(missing)?\s*(\?)*$""), """", PROPER(SUBSTITUTE(SUBSTITUTE(G4043, ""?"", """"), ""*"", """")))"),"Advent Calendar Gingham Sack")</f>
        <v>Advent Calendar Gingham Sack</v>
      </c>
      <c r="I4043" s="3">
        <v>9.0</v>
      </c>
      <c r="J4043" s="7">
        <v>40886.41875</v>
      </c>
      <c r="K4043" s="8" t="str">
        <f t="shared" si="4"/>
        <v>2011-12</v>
      </c>
      <c r="L4043" s="5">
        <v>4.13</v>
      </c>
      <c r="M4043" s="10"/>
      <c r="N4043" s="1" t="str">
        <f t="shared" si="5"/>
        <v>Guest</v>
      </c>
      <c r="O4043" s="1" t="s">
        <v>19</v>
      </c>
      <c r="P4043" s="9" t="str">
        <f t="shared" si="6"/>
        <v>UK</v>
      </c>
      <c r="Q4043" s="8">
        <f t="shared" si="7"/>
        <v>37.17</v>
      </c>
    </row>
    <row r="4044">
      <c r="A4044" s="1">
        <v>581492.0</v>
      </c>
      <c r="B4044" s="1" t="str">
        <f t="shared" si="1"/>
        <v>581492</v>
      </c>
      <c r="C4044" s="1" t="str">
        <f t="shared" si="2"/>
        <v>Sale</v>
      </c>
      <c r="D4044" s="1">
        <v>22581.0</v>
      </c>
      <c r="E4044" s="1" t="str">
        <f>IFERROR(__xludf.DUMMYFUNCTION("IF(LEN(D4044)&gt;4, IFERROR(REGEXEXTRACT(TO_TEXT(D4044),""\d+""),""""),"""")"),"22581")</f>
        <v>22581</v>
      </c>
      <c r="F4044" s="6" t="str">
        <f t="shared" si="3"/>
        <v>Product</v>
      </c>
      <c r="G4044" s="1" t="s">
        <v>1591</v>
      </c>
      <c r="H4044" s="6" t="str">
        <f>IFERROR(__xludf.DUMMYFUNCTION("IF(REGEXMATCH(LOWER(G4044), ""^(\?)+\s*(missing)?\s*(\?)*$""), """", PROPER(SUBSTITUTE(SUBSTITUTE(G4044, ""?"", """"), ""*"", """")))"),"Wood Stocking Christmas Scandispot")</f>
        <v>Wood Stocking Christmas Scandispot</v>
      </c>
      <c r="I4044" s="3">
        <v>11.0</v>
      </c>
      <c r="J4044" s="7">
        <v>40886.41875</v>
      </c>
      <c r="K4044" s="8" t="str">
        <f t="shared" si="4"/>
        <v>2011-12</v>
      </c>
      <c r="L4044" s="5">
        <v>0.83</v>
      </c>
      <c r="M4044" s="10"/>
      <c r="N4044" s="1" t="str">
        <f t="shared" si="5"/>
        <v>Guest</v>
      </c>
      <c r="O4044" s="1" t="s">
        <v>19</v>
      </c>
      <c r="P4044" s="9" t="str">
        <f t="shared" si="6"/>
        <v>UK</v>
      </c>
      <c r="Q4044" s="8">
        <f t="shared" si="7"/>
        <v>9.13</v>
      </c>
    </row>
    <row r="4045">
      <c r="A4045" s="1">
        <v>581492.0</v>
      </c>
      <c r="B4045" s="1" t="str">
        <f t="shared" si="1"/>
        <v>581492</v>
      </c>
      <c r="C4045" s="1" t="str">
        <f t="shared" si="2"/>
        <v>Sale</v>
      </c>
      <c r="D4045" s="1">
        <v>22585.0</v>
      </c>
      <c r="E4045" s="1" t="str">
        <f>IFERROR(__xludf.DUMMYFUNCTION("IF(LEN(D4045)&gt;4, IFERROR(REGEXEXTRACT(TO_TEXT(D4045),""\d+""),""""),"""")"),"22585")</f>
        <v>22585</v>
      </c>
      <c r="F4045" s="6" t="str">
        <f t="shared" si="3"/>
        <v>Product</v>
      </c>
      <c r="G4045" s="1" t="s">
        <v>520</v>
      </c>
      <c r="H4045" s="6" t="str">
        <f>IFERROR(__xludf.DUMMYFUNCTION("IF(REGEXMATCH(LOWER(G4045), ""^(\?)+\s*(missing)?\s*(\?)*$""), """", PROPER(SUBSTITUTE(SUBSTITUTE(G4045, ""?"", """"), ""*"", """")))"),"Pack Of 6 Birdy Gift Tags")</f>
        <v>Pack Of 6 Birdy Gift Tags</v>
      </c>
      <c r="I4045" s="3">
        <v>2.0</v>
      </c>
      <c r="J4045" s="7">
        <v>40886.41875</v>
      </c>
      <c r="K4045" s="8" t="str">
        <f t="shared" si="4"/>
        <v>2011-12</v>
      </c>
      <c r="L4045" s="5">
        <v>2.46</v>
      </c>
      <c r="M4045" s="10"/>
      <c r="N4045" s="1" t="str">
        <f t="shared" si="5"/>
        <v>Guest</v>
      </c>
      <c r="O4045" s="1" t="s">
        <v>19</v>
      </c>
      <c r="P4045" s="9" t="str">
        <f t="shared" si="6"/>
        <v>UK</v>
      </c>
      <c r="Q4045" s="8">
        <f t="shared" si="7"/>
        <v>4.92</v>
      </c>
    </row>
    <row r="4046">
      <c r="A4046" s="1">
        <v>581492.0</v>
      </c>
      <c r="B4046" s="1" t="str">
        <f t="shared" si="1"/>
        <v>581492</v>
      </c>
      <c r="C4046" s="1" t="str">
        <f t="shared" si="2"/>
        <v>Sale</v>
      </c>
      <c r="D4046" s="1">
        <v>22586.0</v>
      </c>
      <c r="E4046" s="1" t="str">
        <f>IFERROR(__xludf.DUMMYFUNCTION("IF(LEN(D4046)&gt;4, IFERROR(REGEXEXTRACT(TO_TEXT(D4046),""\d+""),""""),"""")"),"22586")</f>
        <v>22586</v>
      </c>
      <c r="F4046" s="6" t="str">
        <f t="shared" si="3"/>
        <v>Product</v>
      </c>
      <c r="G4046" s="1" t="s">
        <v>1940</v>
      </c>
      <c r="H4046" s="6" t="str">
        <f>IFERROR(__xludf.DUMMYFUNCTION("IF(REGEXMATCH(LOWER(G4046), ""^(\?)+\s*(missing)?\s*(\?)*$""), """", PROPER(SUBSTITUTE(SUBSTITUTE(G4046, ""?"", """"), ""*"", """")))"),"Feltcraft Hairband Pink And Blue")</f>
        <v>Feltcraft Hairband Pink And Blue</v>
      </c>
      <c r="I4046" s="3">
        <v>2.0</v>
      </c>
      <c r="J4046" s="7">
        <v>40886.41875</v>
      </c>
      <c r="K4046" s="8" t="str">
        <f t="shared" si="4"/>
        <v>2011-12</v>
      </c>
      <c r="L4046" s="5">
        <v>1.63</v>
      </c>
      <c r="M4046" s="10"/>
      <c r="N4046" s="1" t="str">
        <f t="shared" si="5"/>
        <v>Guest</v>
      </c>
      <c r="O4046" s="1" t="s">
        <v>19</v>
      </c>
      <c r="P4046" s="9" t="str">
        <f t="shared" si="6"/>
        <v>UK</v>
      </c>
      <c r="Q4046" s="8">
        <f t="shared" si="7"/>
        <v>3.26</v>
      </c>
    </row>
    <row r="4047">
      <c r="A4047" s="1">
        <v>581492.0</v>
      </c>
      <c r="B4047" s="1" t="str">
        <f t="shared" si="1"/>
        <v>581492</v>
      </c>
      <c r="C4047" s="1" t="str">
        <f t="shared" si="2"/>
        <v>Sale</v>
      </c>
      <c r="D4047" s="1">
        <v>22589.0</v>
      </c>
      <c r="E4047" s="1" t="str">
        <f>IFERROR(__xludf.DUMMYFUNCTION("IF(LEN(D4047)&gt;4, IFERROR(REGEXEXTRACT(TO_TEXT(D4047),""\d+""),""""),"""")"),"22589")</f>
        <v>22589</v>
      </c>
      <c r="F4047" s="6" t="str">
        <f t="shared" si="3"/>
        <v>Product</v>
      </c>
      <c r="G4047" s="1" t="s">
        <v>1941</v>
      </c>
      <c r="H4047" s="6" t="str">
        <f>IFERROR(__xludf.DUMMYFUNCTION("IF(REGEXMATCH(LOWER(G4047), ""^(\?)+\s*(missing)?\s*(\?)*$""), """", PROPER(SUBSTITUTE(SUBSTITUTE(G4047, ""?"", """"), ""*"", """")))"),"Cardholder Gingham Star")</f>
        <v>Cardholder Gingham Star</v>
      </c>
      <c r="I4047" s="3">
        <v>6.0</v>
      </c>
      <c r="J4047" s="7">
        <v>40886.41875</v>
      </c>
      <c r="K4047" s="8" t="str">
        <f t="shared" si="4"/>
        <v>2011-12</v>
      </c>
      <c r="L4047" s="5">
        <v>4.96</v>
      </c>
      <c r="M4047" s="10"/>
      <c r="N4047" s="1" t="str">
        <f t="shared" si="5"/>
        <v>Guest</v>
      </c>
      <c r="O4047" s="1" t="s">
        <v>19</v>
      </c>
      <c r="P4047" s="9" t="str">
        <f t="shared" si="6"/>
        <v>UK</v>
      </c>
      <c r="Q4047" s="8">
        <f t="shared" si="7"/>
        <v>29.76</v>
      </c>
    </row>
    <row r="4048">
      <c r="A4048" s="1">
        <v>581492.0</v>
      </c>
      <c r="B4048" s="1" t="str">
        <f t="shared" si="1"/>
        <v>581492</v>
      </c>
      <c r="C4048" s="1" t="str">
        <f t="shared" si="2"/>
        <v>Sale</v>
      </c>
      <c r="D4048" s="1">
        <v>22591.0</v>
      </c>
      <c r="E4048" s="1" t="str">
        <f>IFERROR(__xludf.DUMMYFUNCTION("IF(LEN(D4048)&gt;4, IFERROR(REGEXEXTRACT(TO_TEXT(D4048),""\d+""),""""),"""")"),"22591")</f>
        <v>22591</v>
      </c>
      <c r="F4048" s="6" t="str">
        <f t="shared" si="3"/>
        <v>Product</v>
      </c>
      <c r="G4048" s="1" t="s">
        <v>1942</v>
      </c>
      <c r="H4048" s="6" t="str">
        <f>IFERROR(__xludf.DUMMYFUNCTION("IF(REGEXMATCH(LOWER(G4048), ""^(\?)+\s*(missing)?\s*(\?)*$""), """", PROPER(SUBSTITUTE(SUBSTITUTE(G4048, ""?"", """"), ""*"", """")))"),"Cardholder Gingham Christmas Tree")</f>
        <v>Cardholder Gingham Christmas Tree</v>
      </c>
      <c r="I4048" s="3">
        <v>1.0</v>
      </c>
      <c r="J4048" s="7">
        <v>40886.41875</v>
      </c>
      <c r="K4048" s="8" t="str">
        <f t="shared" si="4"/>
        <v>2011-12</v>
      </c>
      <c r="L4048" s="5">
        <v>6.63</v>
      </c>
      <c r="M4048" s="10"/>
      <c r="N4048" s="1" t="str">
        <f t="shared" si="5"/>
        <v>Guest</v>
      </c>
      <c r="O4048" s="1" t="s">
        <v>19</v>
      </c>
      <c r="P4048" s="9" t="str">
        <f t="shared" si="6"/>
        <v>UK</v>
      </c>
      <c r="Q4048" s="8">
        <f t="shared" si="7"/>
        <v>6.63</v>
      </c>
    </row>
    <row r="4049">
      <c r="A4049" s="1">
        <v>581492.0</v>
      </c>
      <c r="B4049" s="1" t="str">
        <f t="shared" si="1"/>
        <v>581492</v>
      </c>
      <c r="C4049" s="1" t="str">
        <f t="shared" si="2"/>
        <v>Sale</v>
      </c>
      <c r="D4049" s="1">
        <v>22592.0</v>
      </c>
      <c r="E4049" s="1" t="str">
        <f>IFERROR(__xludf.DUMMYFUNCTION("IF(LEN(D4049)&gt;4, IFERROR(REGEXEXTRACT(TO_TEXT(D4049),""\d+""),""""),"""")"),"22592")</f>
        <v>22592</v>
      </c>
      <c r="F4049" s="6" t="str">
        <f t="shared" si="3"/>
        <v>Product</v>
      </c>
      <c r="G4049" s="1" t="s">
        <v>1943</v>
      </c>
      <c r="H4049" s="6" t="str">
        <f>IFERROR(__xludf.DUMMYFUNCTION("IF(REGEXMATCH(LOWER(G4049), ""^(\?)+\s*(missing)?\s*(\?)*$""), """", PROPER(SUBSTITUTE(SUBSTITUTE(G4049, ""?"", """"), ""*"", """")))"),"Cardholder Holly Wreath Metal")</f>
        <v>Cardholder Holly Wreath Metal</v>
      </c>
      <c r="I4049" s="3">
        <v>3.0</v>
      </c>
      <c r="J4049" s="7">
        <v>40886.41875</v>
      </c>
      <c r="K4049" s="8" t="str">
        <f t="shared" si="4"/>
        <v>2011-12</v>
      </c>
      <c r="L4049" s="5">
        <v>7.46</v>
      </c>
      <c r="M4049" s="10"/>
      <c r="N4049" s="1" t="str">
        <f t="shared" si="5"/>
        <v>Guest</v>
      </c>
      <c r="O4049" s="1" t="s">
        <v>19</v>
      </c>
      <c r="P4049" s="9" t="str">
        <f t="shared" si="6"/>
        <v>UK</v>
      </c>
      <c r="Q4049" s="8">
        <f t="shared" si="7"/>
        <v>22.38</v>
      </c>
    </row>
    <row r="4050">
      <c r="A4050" s="1">
        <v>581492.0</v>
      </c>
      <c r="B4050" s="1" t="str">
        <f t="shared" si="1"/>
        <v>581492</v>
      </c>
      <c r="C4050" s="1" t="str">
        <f t="shared" si="2"/>
        <v>Sale</v>
      </c>
      <c r="D4050" s="1">
        <v>22593.0</v>
      </c>
      <c r="E4050" s="1" t="str">
        <f>IFERROR(__xludf.DUMMYFUNCTION("IF(LEN(D4050)&gt;4, IFERROR(REGEXEXTRACT(TO_TEXT(D4050),""\d+""),""""),"""")"),"22593")</f>
        <v>22593</v>
      </c>
      <c r="F4050" s="6" t="str">
        <f t="shared" si="3"/>
        <v>Product</v>
      </c>
      <c r="G4050" s="1" t="s">
        <v>481</v>
      </c>
      <c r="H4050" s="6" t="str">
        <f>IFERROR(__xludf.DUMMYFUNCTION("IF(REGEXMATCH(LOWER(G4050), ""^(\?)+\s*(missing)?\s*(\?)*$""), """", PROPER(SUBSTITUTE(SUBSTITUTE(G4050, ""?"", """"), ""*"", """")))"),"Christmas Gingham Star")</f>
        <v>Christmas Gingham Star</v>
      </c>
      <c r="I4050" s="3">
        <v>2.0</v>
      </c>
      <c r="J4050" s="7">
        <v>40886.41875</v>
      </c>
      <c r="K4050" s="8" t="str">
        <f t="shared" si="4"/>
        <v>2011-12</v>
      </c>
      <c r="L4050" s="5">
        <v>1.63</v>
      </c>
      <c r="M4050" s="10"/>
      <c r="N4050" s="1" t="str">
        <f t="shared" si="5"/>
        <v>Guest</v>
      </c>
      <c r="O4050" s="1" t="s">
        <v>19</v>
      </c>
      <c r="P4050" s="9" t="str">
        <f t="shared" si="6"/>
        <v>UK</v>
      </c>
      <c r="Q4050" s="8">
        <f t="shared" si="7"/>
        <v>3.26</v>
      </c>
    </row>
    <row r="4051">
      <c r="A4051" s="1">
        <v>581492.0</v>
      </c>
      <c r="B4051" s="1" t="str">
        <f t="shared" si="1"/>
        <v>581492</v>
      </c>
      <c r="C4051" s="1" t="str">
        <f t="shared" si="2"/>
        <v>Sale</v>
      </c>
      <c r="D4051" s="1">
        <v>22594.0</v>
      </c>
      <c r="E4051" s="1" t="str">
        <f>IFERROR(__xludf.DUMMYFUNCTION("IF(LEN(D4051)&gt;4, IFERROR(REGEXEXTRACT(TO_TEXT(D4051),""\d+""),""""),"""")"),"22594")</f>
        <v>22594</v>
      </c>
      <c r="F4051" s="6" t="str">
        <f t="shared" si="3"/>
        <v>Product</v>
      </c>
      <c r="G4051" s="1" t="s">
        <v>480</v>
      </c>
      <c r="H4051" s="6" t="str">
        <f>IFERROR(__xludf.DUMMYFUNCTION("IF(REGEXMATCH(LOWER(G4051), ""^(\?)+\s*(missing)?\s*(\?)*$""), """", PROPER(SUBSTITUTE(SUBSTITUTE(G4051, ""?"", """"), ""*"", """")))"),"Christmas Gingham Tree")</f>
        <v>Christmas Gingham Tree</v>
      </c>
      <c r="I4051" s="3">
        <v>3.0</v>
      </c>
      <c r="J4051" s="7">
        <v>40886.41875</v>
      </c>
      <c r="K4051" s="8" t="str">
        <f t="shared" si="4"/>
        <v>2011-12</v>
      </c>
      <c r="L4051" s="5">
        <v>1.63</v>
      </c>
      <c r="M4051" s="10"/>
      <c r="N4051" s="1" t="str">
        <f t="shared" si="5"/>
        <v>Guest</v>
      </c>
      <c r="O4051" s="1" t="s">
        <v>19</v>
      </c>
      <c r="P4051" s="9" t="str">
        <f t="shared" si="6"/>
        <v>UK</v>
      </c>
      <c r="Q4051" s="8">
        <f t="shared" si="7"/>
        <v>4.89</v>
      </c>
    </row>
    <row r="4052">
      <c r="A4052" s="1">
        <v>581492.0</v>
      </c>
      <c r="B4052" s="1" t="str">
        <f t="shared" si="1"/>
        <v>581492</v>
      </c>
      <c r="C4052" s="1" t="str">
        <f t="shared" si="2"/>
        <v>Sale</v>
      </c>
      <c r="D4052" s="1">
        <v>22597.0</v>
      </c>
      <c r="E4052" s="1" t="str">
        <f>IFERROR(__xludf.DUMMYFUNCTION("IF(LEN(D4052)&gt;4, IFERROR(REGEXEXTRACT(TO_TEXT(D4052),""\d+""),""""),"""")"),"22597")</f>
        <v>22597</v>
      </c>
      <c r="F4052" s="6" t="str">
        <f t="shared" si="3"/>
        <v>Product</v>
      </c>
      <c r="G4052" s="1" t="s">
        <v>1412</v>
      </c>
      <c r="H4052" s="6" t="str">
        <f>IFERROR(__xludf.DUMMYFUNCTION("IF(REGEXMATCH(LOWER(G4052), ""^(\?)+\s*(missing)?\s*(\?)*$""), """", PROPER(SUBSTITUTE(SUBSTITUTE(G4052, ""?"", """"), ""*"", """")))"),"Musical Zinc Heart Decoration")</f>
        <v>Musical Zinc Heart Decoration</v>
      </c>
      <c r="I4052" s="3">
        <v>9.0</v>
      </c>
      <c r="J4052" s="7">
        <v>40886.41875</v>
      </c>
      <c r="K4052" s="8" t="str">
        <f t="shared" si="4"/>
        <v>2011-12</v>
      </c>
      <c r="L4052" s="5">
        <v>0.83</v>
      </c>
      <c r="M4052" s="10"/>
      <c r="N4052" s="1" t="str">
        <f t="shared" si="5"/>
        <v>Guest</v>
      </c>
      <c r="O4052" s="1" t="s">
        <v>19</v>
      </c>
      <c r="P4052" s="9" t="str">
        <f t="shared" si="6"/>
        <v>UK</v>
      </c>
      <c r="Q4052" s="8">
        <f t="shared" si="7"/>
        <v>7.47</v>
      </c>
    </row>
    <row r="4053">
      <c r="A4053" s="1">
        <v>581492.0</v>
      </c>
      <c r="B4053" s="1" t="str">
        <f t="shared" si="1"/>
        <v>581492</v>
      </c>
      <c r="C4053" s="1" t="str">
        <f t="shared" si="2"/>
        <v>Sale</v>
      </c>
      <c r="D4053" s="1">
        <v>22598.0</v>
      </c>
      <c r="E4053" s="1" t="str">
        <f>IFERROR(__xludf.DUMMYFUNCTION("IF(LEN(D4053)&gt;4, IFERROR(REGEXEXTRACT(TO_TEXT(D4053),""\d+""),""""),"""")"),"22598")</f>
        <v>22598</v>
      </c>
      <c r="F4053" s="6" t="str">
        <f t="shared" si="3"/>
        <v>Product</v>
      </c>
      <c r="G4053" s="1" t="s">
        <v>1411</v>
      </c>
      <c r="H4053" s="6" t="str">
        <f>IFERROR(__xludf.DUMMYFUNCTION("IF(REGEXMATCH(LOWER(G4053), ""^(\?)+\s*(missing)?\s*(\?)*$""), """", PROPER(SUBSTITUTE(SUBSTITUTE(G4053, ""?"", """"), ""*"", """")))"),"Christmas Musical Zinc Tree")</f>
        <v>Christmas Musical Zinc Tree</v>
      </c>
      <c r="I4053" s="3">
        <v>4.0</v>
      </c>
      <c r="J4053" s="7">
        <v>40886.41875</v>
      </c>
      <c r="K4053" s="8" t="str">
        <f t="shared" si="4"/>
        <v>2011-12</v>
      </c>
      <c r="L4053" s="5">
        <v>0.83</v>
      </c>
      <c r="M4053" s="10"/>
      <c r="N4053" s="1" t="str">
        <f t="shared" si="5"/>
        <v>Guest</v>
      </c>
      <c r="O4053" s="1" t="s">
        <v>19</v>
      </c>
      <c r="P4053" s="9" t="str">
        <f t="shared" si="6"/>
        <v>UK</v>
      </c>
      <c r="Q4053" s="8">
        <f t="shared" si="7"/>
        <v>3.32</v>
      </c>
    </row>
    <row r="4054">
      <c r="A4054" s="1">
        <v>581492.0</v>
      </c>
      <c r="B4054" s="1" t="str">
        <f t="shared" si="1"/>
        <v>581492</v>
      </c>
      <c r="C4054" s="1" t="str">
        <f t="shared" si="2"/>
        <v>Sale</v>
      </c>
      <c r="D4054" s="1">
        <v>22599.0</v>
      </c>
      <c r="E4054" s="1" t="str">
        <f>IFERROR(__xludf.DUMMYFUNCTION("IF(LEN(D4054)&gt;4, IFERROR(REGEXEXTRACT(TO_TEXT(D4054),""\d+""),""""),"""")"),"22599")</f>
        <v>22599</v>
      </c>
      <c r="F4054" s="6" t="str">
        <f t="shared" si="3"/>
        <v>Product</v>
      </c>
      <c r="G4054" s="1" t="s">
        <v>1410</v>
      </c>
      <c r="H4054" s="6" t="str">
        <f>IFERROR(__xludf.DUMMYFUNCTION("IF(REGEXMATCH(LOWER(G4054), ""^(\?)+\s*(missing)?\s*(\?)*$""), """", PROPER(SUBSTITUTE(SUBSTITUTE(G4054, ""?"", """"), ""*"", """")))"),"Christmas Musical Zinc Star")</f>
        <v>Christmas Musical Zinc Star</v>
      </c>
      <c r="I4054" s="3">
        <v>5.0</v>
      </c>
      <c r="J4054" s="7">
        <v>40886.41875</v>
      </c>
      <c r="K4054" s="8" t="str">
        <f t="shared" si="4"/>
        <v>2011-12</v>
      </c>
      <c r="L4054" s="5">
        <v>0.83</v>
      </c>
      <c r="M4054" s="10"/>
      <c r="N4054" s="1" t="str">
        <f t="shared" si="5"/>
        <v>Guest</v>
      </c>
      <c r="O4054" s="1" t="s">
        <v>19</v>
      </c>
      <c r="P4054" s="9" t="str">
        <f t="shared" si="6"/>
        <v>UK</v>
      </c>
      <c r="Q4054" s="8">
        <f t="shared" si="7"/>
        <v>4.15</v>
      </c>
    </row>
    <row r="4055">
      <c r="A4055" s="1">
        <v>581492.0</v>
      </c>
      <c r="B4055" s="1" t="str">
        <f t="shared" si="1"/>
        <v>581492</v>
      </c>
      <c r="C4055" s="1" t="str">
        <f t="shared" si="2"/>
        <v>Sale</v>
      </c>
      <c r="D4055" s="1">
        <v>22600.0</v>
      </c>
      <c r="E4055" s="1" t="str">
        <f>IFERROR(__xludf.DUMMYFUNCTION("IF(LEN(D4055)&gt;4, IFERROR(REGEXEXTRACT(TO_TEXT(D4055),""\d+""),""""),"""")"),"22600")</f>
        <v>22600</v>
      </c>
      <c r="F4055" s="6" t="str">
        <f t="shared" si="3"/>
        <v>Product</v>
      </c>
      <c r="G4055" s="1" t="s">
        <v>1944</v>
      </c>
      <c r="H4055" s="6" t="str">
        <f>IFERROR(__xludf.DUMMYFUNCTION("IF(REGEXMATCH(LOWER(G4055), ""^(\?)+\s*(missing)?\s*(\?)*$""), """", PROPER(SUBSTITUTE(SUBSTITUTE(G4055, ""?"", """"), ""*"", """")))"),"Christmas Retrospot Star Wood")</f>
        <v>Christmas Retrospot Star Wood</v>
      </c>
      <c r="I4055" s="3">
        <v>2.0</v>
      </c>
      <c r="J4055" s="7">
        <v>40886.41875</v>
      </c>
      <c r="K4055" s="8" t="str">
        <f t="shared" si="4"/>
        <v>2011-12</v>
      </c>
      <c r="L4055" s="5">
        <v>1.63</v>
      </c>
      <c r="M4055" s="10"/>
      <c r="N4055" s="1" t="str">
        <f t="shared" si="5"/>
        <v>Guest</v>
      </c>
      <c r="O4055" s="1" t="s">
        <v>19</v>
      </c>
      <c r="P4055" s="9" t="str">
        <f t="shared" si="6"/>
        <v>UK</v>
      </c>
      <c r="Q4055" s="8">
        <f t="shared" si="7"/>
        <v>3.26</v>
      </c>
    </row>
    <row r="4056">
      <c r="A4056" s="1">
        <v>581492.0</v>
      </c>
      <c r="B4056" s="1" t="str">
        <f t="shared" si="1"/>
        <v>581492</v>
      </c>
      <c r="C4056" s="1" t="str">
        <f t="shared" si="2"/>
        <v>Sale</v>
      </c>
      <c r="D4056" s="1">
        <v>22601.0</v>
      </c>
      <c r="E4056" s="1" t="str">
        <f>IFERROR(__xludf.DUMMYFUNCTION("IF(LEN(D4056)&gt;4, IFERROR(REGEXEXTRACT(TO_TEXT(D4056),""\d+""),""""),"""")"),"22601")</f>
        <v>22601</v>
      </c>
      <c r="F4056" s="6" t="str">
        <f t="shared" si="3"/>
        <v>Product</v>
      </c>
      <c r="G4056" s="1" t="s">
        <v>1945</v>
      </c>
      <c r="H4056" s="6" t="str">
        <f>IFERROR(__xludf.DUMMYFUNCTION("IF(REGEXMATCH(LOWER(G4056), ""^(\?)+\s*(missing)?\s*(\?)*$""), """", PROPER(SUBSTITUTE(SUBSTITUTE(G4056, ""?"", """"), ""*"", """")))"),"Christmas Retrospot Angel Wood")</f>
        <v>Christmas Retrospot Angel Wood</v>
      </c>
      <c r="I4056" s="3">
        <v>3.0</v>
      </c>
      <c r="J4056" s="7">
        <v>40886.41875</v>
      </c>
      <c r="K4056" s="8" t="str">
        <f t="shared" si="4"/>
        <v>2011-12</v>
      </c>
      <c r="L4056" s="5">
        <v>1.63</v>
      </c>
      <c r="M4056" s="10"/>
      <c r="N4056" s="1" t="str">
        <f t="shared" si="5"/>
        <v>Guest</v>
      </c>
      <c r="O4056" s="1" t="s">
        <v>19</v>
      </c>
      <c r="P4056" s="9" t="str">
        <f t="shared" si="6"/>
        <v>UK</v>
      </c>
      <c r="Q4056" s="8">
        <f t="shared" si="7"/>
        <v>4.89</v>
      </c>
    </row>
    <row r="4057">
      <c r="A4057" s="1">
        <v>581492.0</v>
      </c>
      <c r="B4057" s="1" t="str">
        <f t="shared" si="1"/>
        <v>581492</v>
      </c>
      <c r="C4057" s="1" t="str">
        <f t="shared" si="2"/>
        <v>Sale</v>
      </c>
      <c r="D4057" s="1">
        <v>22602.0</v>
      </c>
      <c r="E4057" s="1" t="str">
        <f>IFERROR(__xludf.DUMMYFUNCTION("IF(LEN(D4057)&gt;4, IFERROR(REGEXEXTRACT(TO_TEXT(D4057),""\d+""),""""),"""")"),"22602")</f>
        <v>22602</v>
      </c>
      <c r="F4057" s="6" t="str">
        <f t="shared" si="3"/>
        <v>Product</v>
      </c>
      <c r="G4057" s="1" t="s">
        <v>1946</v>
      </c>
      <c r="H4057" s="6" t="str">
        <f>IFERROR(__xludf.DUMMYFUNCTION("IF(REGEXMATCH(LOWER(G4057), ""^(\?)+\s*(missing)?\s*(\?)*$""), """", PROPER(SUBSTITUTE(SUBSTITUTE(G4057, ""?"", """"), ""*"", """")))"),"Retrospot Wooden Heart Decoration")</f>
        <v>Retrospot Wooden Heart Decoration</v>
      </c>
      <c r="I4057" s="3">
        <v>3.0</v>
      </c>
      <c r="J4057" s="7">
        <v>40886.41875</v>
      </c>
      <c r="K4057" s="8" t="str">
        <f t="shared" si="4"/>
        <v>2011-12</v>
      </c>
      <c r="L4057" s="5">
        <v>1.63</v>
      </c>
      <c r="M4057" s="10"/>
      <c r="N4057" s="1" t="str">
        <f t="shared" si="5"/>
        <v>Guest</v>
      </c>
      <c r="O4057" s="1" t="s">
        <v>19</v>
      </c>
      <c r="P4057" s="9" t="str">
        <f t="shared" si="6"/>
        <v>UK</v>
      </c>
      <c r="Q4057" s="8">
        <f t="shared" si="7"/>
        <v>4.89</v>
      </c>
    </row>
    <row r="4058">
      <c r="A4058" s="1">
        <v>581492.0</v>
      </c>
      <c r="B4058" s="1" t="str">
        <f t="shared" si="1"/>
        <v>581492</v>
      </c>
      <c r="C4058" s="1" t="str">
        <f t="shared" si="2"/>
        <v>Sale</v>
      </c>
      <c r="D4058" s="1">
        <v>22608.0</v>
      </c>
      <c r="E4058" s="1" t="str">
        <f>IFERROR(__xludf.DUMMYFUNCTION("IF(LEN(D4058)&gt;4, IFERROR(REGEXEXTRACT(TO_TEXT(D4058),""\d+""),""""),"""")"),"22608")</f>
        <v>22608</v>
      </c>
      <c r="F4058" s="6" t="str">
        <f t="shared" si="3"/>
        <v>Product</v>
      </c>
      <c r="G4058" s="1" t="s">
        <v>1094</v>
      </c>
      <c r="H4058" s="6" t="str">
        <f>IFERROR(__xludf.DUMMYFUNCTION("IF(REGEXMATCH(LOWER(G4058), ""^(\?)+\s*(missing)?\s*(\?)*$""), """", PROPER(SUBSTITUTE(SUBSTITUTE(G4058, ""?"", """"), ""*"", """")))"),"Pens Assorted Funky Jeweled")</f>
        <v>Pens Assorted Funky Jeweled</v>
      </c>
      <c r="I4058" s="3">
        <v>3.0</v>
      </c>
      <c r="J4058" s="7">
        <v>40886.41875</v>
      </c>
      <c r="K4058" s="8" t="str">
        <f t="shared" si="4"/>
        <v>2011-12</v>
      </c>
      <c r="L4058" s="5">
        <v>0.42</v>
      </c>
      <c r="M4058" s="10"/>
      <c r="N4058" s="1" t="str">
        <f t="shared" si="5"/>
        <v>Guest</v>
      </c>
      <c r="O4058" s="1" t="s">
        <v>19</v>
      </c>
      <c r="P4058" s="9" t="str">
        <f t="shared" si="6"/>
        <v>UK</v>
      </c>
      <c r="Q4058" s="8">
        <f t="shared" si="7"/>
        <v>1.26</v>
      </c>
    </row>
    <row r="4059">
      <c r="A4059" s="1">
        <v>581492.0</v>
      </c>
      <c r="B4059" s="1" t="str">
        <f t="shared" si="1"/>
        <v>581492</v>
      </c>
      <c r="C4059" s="1" t="str">
        <f t="shared" si="2"/>
        <v>Sale</v>
      </c>
      <c r="D4059" s="1">
        <v>22614.0</v>
      </c>
      <c r="E4059" s="1" t="str">
        <f>IFERROR(__xludf.DUMMYFUNCTION("IF(LEN(D4059)&gt;4, IFERROR(REGEXEXTRACT(TO_TEXT(D4059),""\d+""),""""),"""")"),"22614")</f>
        <v>22614</v>
      </c>
      <c r="F4059" s="6" t="str">
        <f t="shared" si="3"/>
        <v>Product</v>
      </c>
      <c r="G4059" s="1" t="s">
        <v>1947</v>
      </c>
      <c r="H4059" s="6" t="str">
        <f>IFERROR(__xludf.DUMMYFUNCTION("IF(REGEXMATCH(LOWER(G4059), ""^(\?)+\s*(missing)?\s*(\?)*$""), """", PROPER(SUBSTITUTE(SUBSTITUTE(G4059, ""?"", """"), ""*"", """")))"),"Pack Of 12 Spaceboy Tissues")</f>
        <v>Pack Of 12 Spaceboy Tissues</v>
      </c>
      <c r="I4059" s="3">
        <v>1.0</v>
      </c>
      <c r="J4059" s="7">
        <v>40886.41875</v>
      </c>
      <c r="K4059" s="8" t="str">
        <f t="shared" si="4"/>
        <v>2011-12</v>
      </c>
      <c r="L4059" s="5">
        <v>0.83</v>
      </c>
      <c r="M4059" s="10"/>
      <c r="N4059" s="1" t="str">
        <f t="shared" si="5"/>
        <v>Guest</v>
      </c>
      <c r="O4059" s="1" t="s">
        <v>19</v>
      </c>
      <c r="P4059" s="9" t="str">
        <f t="shared" si="6"/>
        <v>UK</v>
      </c>
      <c r="Q4059" s="8">
        <f t="shared" si="7"/>
        <v>0.83</v>
      </c>
    </row>
    <row r="4060">
      <c r="A4060" s="1">
        <v>581492.0</v>
      </c>
      <c r="B4060" s="1" t="str">
        <f t="shared" si="1"/>
        <v>581492</v>
      </c>
      <c r="C4060" s="1" t="str">
        <f t="shared" si="2"/>
        <v>Sale</v>
      </c>
      <c r="D4060" s="1">
        <v>22615.0</v>
      </c>
      <c r="E4060" s="1" t="str">
        <f>IFERROR(__xludf.DUMMYFUNCTION("IF(LEN(D4060)&gt;4, IFERROR(REGEXEXTRACT(TO_TEXT(D4060),""\d+""),""""),"""")"),"22615")</f>
        <v>22615</v>
      </c>
      <c r="F4060" s="6" t="str">
        <f t="shared" si="3"/>
        <v>Product</v>
      </c>
      <c r="G4060" s="1" t="s">
        <v>1948</v>
      </c>
      <c r="H4060" s="6" t="str">
        <f>IFERROR(__xludf.DUMMYFUNCTION("IF(REGEXMATCH(LOWER(G4060), ""^(\?)+\s*(missing)?\s*(\?)*$""), """", PROPER(SUBSTITUTE(SUBSTITUTE(G4060, ""?"", """"), ""*"", """")))"),"Pack Of 12 Circus Parade Tissues")</f>
        <v>Pack Of 12 Circus Parade Tissues</v>
      </c>
      <c r="I4060" s="3">
        <v>4.0</v>
      </c>
      <c r="J4060" s="7">
        <v>40886.41875</v>
      </c>
      <c r="K4060" s="8" t="str">
        <f t="shared" si="4"/>
        <v>2011-12</v>
      </c>
      <c r="L4060" s="5">
        <v>0.83</v>
      </c>
      <c r="M4060" s="10"/>
      <c r="N4060" s="1" t="str">
        <f t="shared" si="5"/>
        <v>Guest</v>
      </c>
      <c r="O4060" s="1" t="s">
        <v>19</v>
      </c>
      <c r="P4060" s="9" t="str">
        <f t="shared" si="6"/>
        <v>UK</v>
      </c>
      <c r="Q4060" s="8">
        <f t="shared" si="7"/>
        <v>3.32</v>
      </c>
    </row>
    <row r="4061">
      <c r="A4061" s="1">
        <v>581492.0</v>
      </c>
      <c r="B4061" s="1" t="str">
        <f t="shared" si="1"/>
        <v>581492</v>
      </c>
      <c r="C4061" s="1" t="str">
        <f t="shared" si="2"/>
        <v>Sale</v>
      </c>
      <c r="D4061" s="1">
        <v>22616.0</v>
      </c>
      <c r="E4061" s="1" t="str">
        <f>IFERROR(__xludf.DUMMYFUNCTION("IF(LEN(D4061)&gt;4, IFERROR(REGEXEXTRACT(TO_TEXT(D4061),""\d+""),""""),"""")"),"22616")</f>
        <v>22616</v>
      </c>
      <c r="F4061" s="6" t="str">
        <f t="shared" si="3"/>
        <v>Product</v>
      </c>
      <c r="G4061" s="1" t="s">
        <v>485</v>
      </c>
      <c r="H4061" s="6" t="str">
        <f>IFERROR(__xludf.DUMMYFUNCTION("IF(REGEXMATCH(LOWER(G4061), ""^(\?)+\s*(missing)?\s*(\?)*$""), """", PROPER(SUBSTITUTE(SUBSTITUTE(G4061, ""?"", """"), ""*"", """")))"),"Pack Of 12 London Tissues")</f>
        <v>Pack Of 12 London Tissues</v>
      </c>
      <c r="I4061" s="3">
        <v>1.0</v>
      </c>
      <c r="J4061" s="7">
        <v>40886.41875</v>
      </c>
      <c r="K4061" s="8" t="str">
        <f t="shared" si="4"/>
        <v>2011-12</v>
      </c>
      <c r="L4061" s="5">
        <v>0.83</v>
      </c>
      <c r="M4061" s="10"/>
      <c r="N4061" s="1" t="str">
        <f t="shared" si="5"/>
        <v>Guest</v>
      </c>
      <c r="O4061" s="1" t="s">
        <v>19</v>
      </c>
      <c r="P4061" s="9" t="str">
        <f t="shared" si="6"/>
        <v>UK</v>
      </c>
      <c r="Q4061" s="8">
        <f t="shared" si="7"/>
        <v>0.83</v>
      </c>
    </row>
    <row r="4062">
      <c r="A4062" s="1">
        <v>581492.0</v>
      </c>
      <c r="B4062" s="1" t="str">
        <f t="shared" si="1"/>
        <v>581492</v>
      </c>
      <c r="C4062" s="1" t="str">
        <f t="shared" si="2"/>
        <v>Sale</v>
      </c>
      <c r="D4062" s="1">
        <v>22619.0</v>
      </c>
      <c r="E4062" s="1" t="str">
        <f>IFERROR(__xludf.DUMMYFUNCTION("IF(LEN(D4062)&gt;4, IFERROR(REGEXEXTRACT(TO_TEXT(D4062),""\d+""),""""),"""")"),"22619")</f>
        <v>22619</v>
      </c>
      <c r="F4062" s="6" t="str">
        <f t="shared" si="3"/>
        <v>Product</v>
      </c>
      <c r="G4062" s="1" t="s">
        <v>236</v>
      </c>
      <c r="H4062" s="6" t="str">
        <f>IFERROR(__xludf.DUMMYFUNCTION("IF(REGEXMATCH(LOWER(G4062), ""^(\?)+\s*(missing)?\s*(\?)*$""), """", PROPER(SUBSTITUTE(SUBSTITUTE(G4062, ""?"", """"), ""*"", """")))"),"Set Of 6 Soldier Skittles")</f>
        <v>Set Of 6 Soldier Skittles</v>
      </c>
      <c r="I4062" s="3">
        <v>4.0</v>
      </c>
      <c r="J4062" s="7">
        <v>40886.41875</v>
      </c>
      <c r="K4062" s="8" t="str">
        <f t="shared" si="4"/>
        <v>2011-12</v>
      </c>
      <c r="L4062" s="5">
        <v>7.46</v>
      </c>
      <c r="M4062" s="10"/>
      <c r="N4062" s="1" t="str">
        <f t="shared" si="5"/>
        <v>Guest</v>
      </c>
      <c r="O4062" s="1" t="s">
        <v>19</v>
      </c>
      <c r="P4062" s="9" t="str">
        <f t="shared" si="6"/>
        <v>UK</v>
      </c>
      <c r="Q4062" s="8">
        <f t="shared" si="7"/>
        <v>29.84</v>
      </c>
    </row>
    <row r="4063">
      <c r="A4063" s="1">
        <v>581492.0</v>
      </c>
      <c r="B4063" s="1" t="str">
        <f t="shared" si="1"/>
        <v>581492</v>
      </c>
      <c r="C4063" s="1" t="str">
        <f t="shared" si="2"/>
        <v>Sale</v>
      </c>
      <c r="D4063" s="1">
        <v>22620.0</v>
      </c>
      <c r="E4063" s="1" t="str">
        <f>IFERROR(__xludf.DUMMYFUNCTION("IF(LEN(D4063)&gt;4, IFERROR(REGEXEXTRACT(TO_TEXT(D4063),""\d+""),""""),"""")"),"22620")</f>
        <v>22620</v>
      </c>
      <c r="F4063" s="6" t="str">
        <f t="shared" si="3"/>
        <v>Product</v>
      </c>
      <c r="G4063" s="1" t="s">
        <v>388</v>
      </c>
      <c r="H4063" s="6" t="str">
        <f>IFERROR(__xludf.DUMMYFUNCTION("IF(REGEXMATCH(LOWER(G4063), ""^(\?)+\s*(missing)?\s*(\?)*$""), """", PROPER(SUBSTITUTE(SUBSTITUTE(G4063, ""?"", """"), ""*"", """")))"),"4 Traditional Spinning Tops")</f>
        <v>4 Traditional Spinning Tops</v>
      </c>
      <c r="I4063" s="3">
        <v>3.0</v>
      </c>
      <c r="J4063" s="7">
        <v>40886.41875</v>
      </c>
      <c r="K4063" s="8" t="str">
        <f t="shared" si="4"/>
        <v>2011-12</v>
      </c>
      <c r="L4063" s="5">
        <v>2.46</v>
      </c>
      <c r="M4063" s="10"/>
      <c r="N4063" s="1" t="str">
        <f t="shared" si="5"/>
        <v>Guest</v>
      </c>
      <c r="O4063" s="1" t="s">
        <v>19</v>
      </c>
      <c r="P4063" s="9" t="str">
        <f t="shared" si="6"/>
        <v>UK</v>
      </c>
      <c r="Q4063" s="8">
        <f t="shared" si="7"/>
        <v>7.38</v>
      </c>
    </row>
    <row r="4064">
      <c r="A4064" s="1">
        <v>581492.0</v>
      </c>
      <c r="B4064" s="1" t="str">
        <f t="shared" si="1"/>
        <v>581492</v>
      </c>
      <c r="C4064" s="1" t="str">
        <f t="shared" si="2"/>
        <v>Sale</v>
      </c>
      <c r="D4064" s="1">
        <v>22621.0</v>
      </c>
      <c r="E4064" s="1" t="str">
        <f>IFERROR(__xludf.DUMMYFUNCTION("IF(LEN(D4064)&gt;4, IFERROR(REGEXEXTRACT(TO_TEXT(D4064),""\d+""),""""),"""")"),"22621")</f>
        <v>22621</v>
      </c>
      <c r="F4064" s="6" t="str">
        <f t="shared" si="3"/>
        <v>Product</v>
      </c>
      <c r="G4064" s="1" t="s">
        <v>1032</v>
      </c>
      <c r="H4064" s="6" t="str">
        <f>IFERROR(__xludf.DUMMYFUNCTION("IF(REGEXMATCH(LOWER(G4064), ""^(\?)+\s*(missing)?\s*(\?)*$""), """", PROPER(SUBSTITUTE(SUBSTITUTE(G4064, ""?"", """"), ""*"", """")))"),"Traditional Knitting Nancy")</f>
        <v>Traditional Knitting Nancy</v>
      </c>
      <c r="I4064" s="3">
        <v>2.0</v>
      </c>
      <c r="J4064" s="7">
        <v>40886.41875</v>
      </c>
      <c r="K4064" s="8" t="str">
        <f t="shared" si="4"/>
        <v>2011-12</v>
      </c>
      <c r="L4064" s="5">
        <v>3.29</v>
      </c>
      <c r="M4064" s="10"/>
      <c r="N4064" s="1" t="str">
        <f t="shared" si="5"/>
        <v>Guest</v>
      </c>
      <c r="O4064" s="1" t="s">
        <v>19</v>
      </c>
      <c r="P4064" s="9" t="str">
        <f t="shared" si="6"/>
        <v>UK</v>
      </c>
      <c r="Q4064" s="8">
        <f t="shared" si="7"/>
        <v>6.58</v>
      </c>
    </row>
    <row r="4065">
      <c r="A4065" s="1">
        <v>581492.0</v>
      </c>
      <c r="B4065" s="1" t="str">
        <f t="shared" si="1"/>
        <v>581492</v>
      </c>
      <c r="C4065" s="1" t="str">
        <f t="shared" si="2"/>
        <v>Sale</v>
      </c>
      <c r="D4065" s="1">
        <v>22629.0</v>
      </c>
      <c r="E4065" s="1" t="str">
        <f>IFERROR(__xludf.DUMMYFUNCTION("IF(LEN(D4065)&gt;4, IFERROR(REGEXEXTRACT(TO_TEXT(D4065),""\d+""),""""),"""")"),"22629")</f>
        <v>22629</v>
      </c>
      <c r="F4065" s="6" t="str">
        <f t="shared" si="3"/>
        <v>Product</v>
      </c>
      <c r="G4065" s="1" t="s">
        <v>58</v>
      </c>
      <c r="H4065" s="6" t="str">
        <f>IFERROR(__xludf.DUMMYFUNCTION("IF(REGEXMATCH(LOWER(G4065), ""^(\?)+\s*(missing)?\s*(\?)*$""), """", PROPER(SUBSTITUTE(SUBSTITUTE(G4065, ""?"", """"), ""*"", """")))"),"Spaceboy Lunch Box")</f>
        <v>Spaceboy Lunch Box</v>
      </c>
      <c r="I4065" s="3">
        <v>1.0</v>
      </c>
      <c r="J4065" s="7">
        <v>40886.41875</v>
      </c>
      <c r="K4065" s="8" t="str">
        <f t="shared" si="4"/>
        <v>2011-12</v>
      </c>
      <c r="L4065" s="5">
        <v>4.13</v>
      </c>
      <c r="M4065" s="10"/>
      <c r="N4065" s="1" t="str">
        <f t="shared" si="5"/>
        <v>Guest</v>
      </c>
      <c r="O4065" s="1" t="s">
        <v>19</v>
      </c>
      <c r="P4065" s="9" t="str">
        <f t="shared" si="6"/>
        <v>UK</v>
      </c>
      <c r="Q4065" s="8">
        <f t="shared" si="7"/>
        <v>4.13</v>
      </c>
    </row>
    <row r="4066">
      <c r="A4066" s="1">
        <v>581492.0</v>
      </c>
      <c r="B4066" s="1" t="str">
        <f t="shared" si="1"/>
        <v>581492</v>
      </c>
      <c r="C4066" s="1" t="str">
        <f t="shared" si="2"/>
        <v>Sale</v>
      </c>
      <c r="D4066" s="1">
        <v>22630.0</v>
      </c>
      <c r="E4066" s="1" t="str">
        <f>IFERROR(__xludf.DUMMYFUNCTION("IF(LEN(D4066)&gt;4, IFERROR(REGEXEXTRACT(TO_TEXT(D4066),""\d+""),""""),"""")"),"22630")</f>
        <v>22630</v>
      </c>
      <c r="F4066" s="6" t="str">
        <f t="shared" si="3"/>
        <v>Product</v>
      </c>
      <c r="G4066" s="1" t="s">
        <v>433</v>
      </c>
      <c r="H4066" s="6" t="str">
        <f>IFERROR(__xludf.DUMMYFUNCTION("IF(REGEXMATCH(LOWER(G4066), ""^(\?)+\s*(missing)?\s*(\?)*$""), """", PROPER(SUBSTITUTE(SUBSTITUTE(G4066, ""?"", """"), ""*"", """")))"),"Dolly Girl Lunch Box")</f>
        <v>Dolly Girl Lunch Box</v>
      </c>
      <c r="I4066" s="3">
        <v>1.0</v>
      </c>
      <c r="J4066" s="7">
        <v>40886.41875</v>
      </c>
      <c r="K4066" s="8" t="str">
        <f t="shared" si="4"/>
        <v>2011-12</v>
      </c>
      <c r="L4066" s="5">
        <v>4.13</v>
      </c>
      <c r="M4066" s="10"/>
      <c r="N4066" s="1" t="str">
        <f t="shared" si="5"/>
        <v>Guest</v>
      </c>
      <c r="O4066" s="1" t="s">
        <v>19</v>
      </c>
      <c r="P4066" s="9" t="str">
        <f t="shared" si="6"/>
        <v>UK</v>
      </c>
      <c r="Q4066" s="8">
        <f t="shared" si="7"/>
        <v>4.13</v>
      </c>
    </row>
    <row r="4067">
      <c r="A4067" s="1">
        <v>581492.0</v>
      </c>
      <c r="B4067" s="1" t="str">
        <f t="shared" si="1"/>
        <v>581492</v>
      </c>
      <c r="C4067" s="1" t="str">
        <f t="shared" si="2"/>
        <v>Sale</v>
      </c>
      <c r="D4067" s="1">
        <v>22632.0</v>
      </c>
      <c r="E4067" s="1" t="str">
        <f>IFERROR(__xludf.DUMMYFUNCTION("IF(LEN(D4067)&gt;4, IFERROR(REGEXEXTRACT(TO_TEXT(D4067),""\d+""),""""),"""")"),"22632")</f>
        <v>22632</v>
      </c>
      <c r="F4067" s="6" t="str">
        <f t="shared" si="3"/>
        <v>Product</v>
      </c>
      <c r="G4067" s="1" t="s">
        <v>248</v>
      </c>
      <c r="H4067" s="6" t="str">
        <f>IFERROR(__xludf.DUMMYFUNCTION("IF(REGEXMATCH(LOWER(G4067), ""^(\?)+\s*(missing)?\s*(\?)*$""), """", PROPER(SUBSTITUTE(SUBSTITUTE(G4067, ""?"", """"), ""*"", """")))"),"Hand Warmer Red Retrospot")</f>
        <v>Hand Warmer Red Retrospot</v>
      </c>
      <c r="I4067" s="3">
        <v>1.0</v>
      </c>
      <c r="J4067" s="7">
        <v>40886.41875</v>
      </c>
      <c r="K4067" s="8" t="str">
        <f t="shared" si="4"/>
        <v>2011-12</v>
      </c>
      <c r="L4067" s="5">
        <v>4.13</v>
      </c>
      <c r="M4067" s="10"/>
      <c r="N4067" s="1" t="str">
        <f t="shared" si="5"/>
        <v>Guest</v>
      </c>
      <c r="O4067" s="1" t="s">
        <v>19</v>
      </c>
      <c r="P4067" s="9" t="str">
        <f t="shared" si="6"/>
        <v>UK</v>
      </c>
      <c r="Q4067" s="8">
        <f t="shared" si="7"/>
        <v>4.13</v>
      </c>
    </row>
    <row r="4068">
      <c r="A4068" s="1">
        <v>581492.0</v>
      </c>
      <c r="B4068" s="1" t="str">
        <f t="shared" si="1"/>
        <v>581492</v>
      </c>
      <c r="C4068" s="1" t="str">
        <f t="shared" si="2"/>
        <v>Sale</v>
      </c>
      <c r="D4068" s="1">
        <v>22633.0</v>
      </c>
      <c r="E4068" s="1" t="str">
        <f>IFERROR(__xludf.DUMMYFUNCTION("IF(LEN(D4068)&gt;4, IFERROR(REGEXEXTRACT(TO_TEXT(D4068),""\d+""),""""),"""")"),"22633")</f>
        <v>22633</v>
      </c>
      <c r="F4068" s="6" t="str">
        <f t="shared" si="3"/>
        <v>Product</v>
      </c>
      <c r="G4068" s="1" t="s">
        <v>29</v>
      </c>
      <c r="H4068" s="6" t="str">
        <f>IFERROR(__xludf.DUMMYFUNCTION("IF(REGEXMATCH(LOWER(G4068), ""^(\?)+\s*(missing)?\s*(\?)*$""), """", PROPER(SUBSTITUTE(SUBSTITUTE(G4068, ""?"", """"), ""*"", """")))"),"Hand Warmer Union Jack")</f>
        <v>Hand Warmer Union Jack</v>
      </c>
      <c r="I4068" s="3">
        <v>1.0</v>
      </c>
      <c r="J4068" s="7">
        <v>40886.41875</v>
      </c>
      <c r="K4068" s="8" t="str">
        <f t="shared" si="4"/>
        <v>2011-12</v>
      </c>
      <c r="L4068" s="5">
        <v>4.13</v>
      </c>
      <c r="M4068" s="10"/>
      <c r="N4068" s="1" t="str">
        <f t="shared" si="5"/>
        <v>Guest</v>
      </c>
      <c r="O4068" s="1" t="s">
        <v>19</v>
      </c>
      <c r="P4068" s="9" t="str">
        <f t="shared" si="6"/>
        <v>UK</v>
      </c>
      <c r="Q4068" s="8">
        <f t="shared" si="7"/>
        <v>4.13</v>
      </c>
    </row>
    <row r="4069">
      <c r="A4069" s="1">
        <v>581492.0</v>
      </c>
      <c r="B4069" s="1" t="str">
        <f t="shared" si="1"/>
        <v>581492</v>
      </c>
      <c r="C4069" s="1" t="str">
        <f t="shared" si="2"/>
        <v>Sale</v>
      </c>
      <c r="D4069" s="1">
        <v>22634.0</v>
      </c>
      <c r="E4069" s="1" t="str">
        <f>IFERROR(__xludf.DUMMYFUNCTION("IF(LEN(D4069)&gt;4, IFERROR(REGEXEXTRACT(TO_TEXT(D4069),""\d+""),""""),"""")"),"22634")</f>
        <v>22634</v>
      </c>
      <c r="F4069" s="6" t="str">
        <f t="shared" si="3"/>
        <v>Product</v>
      </c>
      <c r="G4069" s="1" t="s">
        <v>752</v>
      </c>
      <c r="H4069" s="6" t="str">
        <f>IFERROR(__xludf.DUMMYFUNCTION("IF(REGEXMATCH(LOWER(G4069), ""^(\?)+\s*(missing)?\s*(\?)*$""), """", PROPER(SUBSTITUTE(SUBSTITUTE(G4069, ""?"", """"), ""*"", """")))"),"Childs Breakfast Set Spaceboy")</f>
        <v>Childs Breakfast Set Spaceboy</v>
      </c>
      <c r="I4069" s="3">
        <v>1.0</v>
      </c>
      <c r="J4069" s="7">
        <v>40886.41875</v>
      </c>
      <c r="K4069" s="8" t="str">
        <f t="shared" si="4"/>
        <v>2011-12</v>
      </c>
      <c r="L4069" s="5">
        <v>19.96</v>
      </c>
      <c r="M4069" s="10"/>
      <c r="N4069" s="1" t="str">
        <f t="shared" si="5"/>
        <v>Guest</v>
      </c>
      <c r="O4069" s="1" t="s">
        <v>19</v>
      </c>
      <c r="P4069" s="9" t="str">
        <f t="shared" si="6"/>
        <v>UK</v>
      </c>
      <c r="Q4069" s="8">
        <f t="shared" si="7"/>
        <v>19.96</v>
      </c>
    </row>
    <row r="4070">
      <c r="A4070" s="1">
        <v>581492.0</v>
      </c>
      <c r="B4070" s="1" t="str">
        <f t="shared" si="1"/>
        <v>581492</v>
      </c>
      <c r="C4070" s="1" t="str">
        <f t="shared" si="2"/>
        <v>Sale</v>
      </c>
      <c r="D4070" s="1">
        <v>22650.0</v>
      </c>
      <c r="E4070" s="1" t="str">
        <f>IFERROR(__xludf.DUMMYFUNCTION("IF(LEN(D4070)&gt;4, IFERROR(REGEXEXTRACT(TO_TEXT(D4070),""\d+""),""""),"""")"),"22650")</f>
        <v>22650</v>
      </c>
      <c r="F4070" s="6" t="str">
        <f t="shared" si="3"/>
        <v>Product</v>
      </c>
      <c r="G4070" s="1" t="s">
        <v>523</v>
      </c>
      <c r="H4070" s="6" t="str">
        <f>IFERROR(__xludf.DUMMYFUNCTION("IF(REGEXMATCH(LOWER(G4070), ""^(\?)+\s*(missing)?\s*(\?)*$""), """", PROPER(SUBSTITUTE(SUBSTITUTE(G4070, ""?"", """"), ""*"", """")))"),"Ceramic Pirate Chest Money Bank")</f>
        <v>Ceramic Pirate Chest Money Bank</v>
      </c>
      <c r="I4070" s="3">
        <v>2.0</v>
      </c>
      <c r="J4070" s="7">
        <v>40886.41875</v>
      </c>
      <c r="K4070" s="8" t="str">
        <f t="shared" si="4"/>
        <v>2011-12</v>
      </c>
      <c r="L4070" s="5">
        <v>3.29</v>
      </c>
      <c r="M4070" s="10"/>
      <c r="N4070" s="1" t="str">
        <f t="shared" si="5"/>
        <v>Guest</v>
      </c>
      <c r="O4070" s="1" t="s">
        <v>19</v>
      </c>
      <c r="P4070" s="9" t="str">
        <f t="shared" si="6"/>
        <v>UK</v>
      </c>
      <c r="Q4070" s="8">
        <f t="shared" si="7"/>
        <v>6.58</v>
      </c>
    </row>
    <row r="4071">
      <c r="A4071" s="1">
        <v>581492.0</v>
      </c>
      <c r="B4071" s="1" t="str">
        <f t="shared" si="1"/>
        <v>581492</v>
      </c>
      <c r="C4071" s="1" t="str">
        <f t="shared" si="2"/>
        <v>Sale</v>
      </c>
      <c r="D4071" s="1">
        <v>22651.0</v>
      </c>
      <c r="E4071" s="1" t="str">
        <f>IFERROR(__xludf.DUMMYFUNCTION("IF(LEN(D4071)&gt;4, IFERROR(REGEXEXTRACT(TO_TEXT(D4071),""\d+""),""""),"""")"),"22651")</f>
        <v>22651</v>
      </c>
      <c r="F4071" s="6" t="str">
        <f t="shared" si="3"/>
        <v>Product</v>
      </c>
      <c r="G4071" s="1" t="s">
        <v>627</v>
      </c>
      <c r="H4071" s="6" t="str">
        <f>IFERROR(__xludf.DUMMYFUNCTION("IF(REGEXMATCH(LOWER(G4071), ""^(\?)+\s*(missing)?\s*(\?)*$""), """", PROPER(SUBSTITUTE(SUBSTITUTE(G4071, ""?"", """"), ""*"", """")))"),"Gentleman Shirt Repair Kit")</f>
        <v>Gentleman Shirt Repair Kit</v>
      </c>
      <c r="I4071" s="3">
        <v>1.0</v>
      </c>
      <c r="J4071" s="7">
        <v>40886.41875</v>
      </c>
      <c r="K4071" s="8" t="str">
        <f t="shared" si="4"/>
        <v>2011-12</v>
      </c>
      <c r="L4071" s="5">
        <v>1.63</v>
      </c>
      <c r="M4071" s="10"/>
      <c r="N4071" s="1" t="str">
        <f t="shared" si="5"/>
        <v>Guest</v>
      </c>
      <c r="O4071" s="1" t="s">
        <v>19</v>
      </c>
      <c r="P4071" s="9" t="str">
        <f t="shared" si="6"/>
        <v>UK</v>
      </c>
      <c r="Q4071" s="8">
        <f t="shared" si="7"/>
        <v>1.63</v>
      </c>
    </row>
    <row r="4072">
      <c r="A4072" s="1">
        <v>581492.0</v>
      </c>
      <c r="B4072" s="1" t="str">
        <f t="shared" si="1"/>
        <v>581492</v>
      </c>
      <c r="C4072" s="1" t="str">
        <f t="shared" si="2"/>
        <v>Sale</v>
      </c>
      <c r="D4072" s="1">
        <v>22653.0</v>
      </c>
      <c r="E4072" s="1" t="str">
        <f>IFERROR(__xludf.DUMMYFUNCTION("IF(LEN(D4072)&gt;4, IFERROR(REGEXEXTRACT(TO_TEXT(D4072),""\d+""),""""),"""")"),"22653")</f>
        <v>22653</v>
      </c>
      <c r="F4072" s="6" t="str">
        <f t="shared" si="3"/>
        <v>Product</v>
      </c>
      <c r="G4072" s="1" t="s">
        <v>661</v>
      </c>
      <c r="H4072" s="6" t="str">
        <f>IFERROR(__xludf.DUMMYFUNCTION("IF(REGEXMATCH(LOWER(G4072), ""^(\?)+\s*(missing)?\s*(\?)*$""), """", PROPER(SUBSTITUTE(SUBSTITUTE(G4072, ""?"", """"), ""*"", """")))"),"Button Box")</f>
        <v>Button Box</v>
      </c>
      <c r="I4072" s="3">
        <v>16.0</v>
      </c>
      <c r="J4072" s="7">
        <v>40886.41875</v>
      </c>
      <c r="K4072" s="8" t="str">
        <f t="shared" si="4"/>
        <v>2011-12</v>
      </c>
      <c r="L4072" s="5">
        <v>1.63</v>
      </c>
      <c r="M4072" s="10"/>
      <c r="N4072" s="1" t="str">
        <f t="shared" si="5"/>
        <v>Guest</v>
      </c>
      <c r="O4072" s="1" t="s">
        <v>19</v>
      </c>
      <c r="P4072" s="9" t="str">
        <f t="shared" si="6"/>
        <v>UK</v>
      </c>
      <c r="Q4072" s="8">
        <f t="shared" si="7"/>
        <v>26.08</v>
      </c>
    </row>
    <row r="4073">
      <c r="A4073" s="1">
        <v>581492.0</v>
      </c>
      <c r="B4073" s="1" t="str">
        <f t="shared" si="1"/>
        <v>581492</v>
      </c>
      <c r="C4073" s="1" t="str">
        <f t="shared" si="2"/>
        <v>Sale</v>
      </c>
      <c r="D4073" s="1">
        <v>22654.0</v>
      </c>
      <c r="E4073" s="1" t="str">
        <f>IFERROR(__xludf.DUMMYFUNCTION("IF(LEN(D4073)&gt;4, IFERROR(REGEXEXTRACT(TO_TEXT(D4073),""\d+""),""""),"""")"),"22654")</f>
        <v>22654</v>
      </c>
      <c r="F4073" s="6" t="str">
        <f t="shared" si="3"/>
        <v>Product</v>
      </c>
      <c r="G4073" s="1" t="s">
        <v>222</v>
      </c>
      <c r="H4073" s="6" t="str">
        <f>IFERROR(__xludf.DUMMYFUNCTION("IF(REGEXMATCH(LOWER(G4073), ""^(\?)+\s*(missing)?\s*(\?)*$""), """", PROPER(SUBSTITUTE(SUBSTITUTE(G4073, ""?"", """"), ""*"", """")))"),"Deluxe Sewing Kit")</f>
        <v>Deluxe Sewing Kit</v>
      </c>
      <c r="I4073" s="3">
        <v>2.0</v>
      </c>
      <c r="J4073" s="7">
        <v>40886.41875</v>
      </c>
      <c r="K4073" s="8" t="str">
        <f t="shared" si="4"/>
        <v>2011-12</v>
      </c>
      <c r="L4073" s="5">
        <v>12.46</v>
      </c>
      <c r="M4073" s="10"/>
      <c r="N4073" s="1" t="str">
        <f t="shared" si="5"/>
        <v>Guest</v>
      </c>
      <c r="O4073" s="1" t="s">
        <v>19</v>
      </c>
      <c r="P4073" s="9" t="str">
        <f t="shared" si="6"/>
        <v>UK</v>
      </c>
      <c r="Q4073" s="8">
        <f t="shared" si="7"/>
        <v>24.92</v>
      </c>
    </row>
    <row r="4074">
      <c r="A4074" s="1">
        <v>581492.0</v>
      </c>
      <c r="B4074" s="1" t="str">
        <f t="shared" si="1"/>
        <v>581492</v>
      </c>
      <c r="C4074" s="1" t="str">
        <f t="shared" si="2"/>
        <v>Sale</v>
      </c>
      <c r="D4074" s="1">
        <v>22659.0</v>
      </c>
      <c r="E4074" s="1" t="str">
        <f>IFERROR(__xludf.DUMMYFUNCTION("IF(LEN(D4074)&gt;4, IFERROR(REGEXEXTRACT(TO_TEXT(D4074),""\d+""),""""),"""")"),"22659")</f>
        <v>22659</v>
      </c>
      <c r="F4074" s="6" t="str">
        <f t="shared" si="3"/>
        <v>Product</v>
      </c>
      <c r="G4074" s="1" t="s">
        <v>59</v>
      </c>
      <c r="H4074" s="6" t="str">
        <f>IFERROR(__xludf.DUMMYFUNCTION("IF(REGEXMATCH(LOWER(G4074), ""^(\?)+\s*(missing)?\s*(\?)*$""), """", PROPER(SUBSTITUTE(SUBSTITUTE(G4074, ""?"", """"), ""*"", """")))"),"Lunch Box I Love London")</f>
        <v>Lunch Box I Love London</v>
      </c>
      <c r="I4074" s="3">
        <v>1.0</v>
      </c>
      <c r="J4074" s="7">
        <v>40886.41875</v>
      </c>
      <c r="K4074" s="8" t="str">
        <f t="shared" si="4"/>
        <v>2011-12</v>
      </c>
      <c r="L4074" s="5">
        <v>4.13</v>
      </c>
      <c r="M4074" s="10"/>
      <c r="N4074" s="1" t="str">
        <f t="shared" si="5"/>
        <v>Guest</v>
      </c>
      <c r="O4074" s="1" t="s">
        <v>19</v>
      </c>
      <c r="P4074" s="9" t="str">
        <f t="shared" si="6"/>
        <v>UK</v>
      </c>
      <c r="Q4074" s="8">
        <f t="shared" si="7"/>
        <v>4.13</v>
      </c>
    </row>
    <row r="4075">
      <c r="A4075" s="1">
        <v>581492.0</v>
      </c>
      <c r="B4075" s="1" t="str">
        <f t="shared" si="1"/>
        <v>581492</v>
      </c>
      <c r="C4075" s="1" t="str">
        <f t="shared" si="2"/>
        <v>Sale</v>
      </c>
      <c r="D4075" s="1">
        <v>22662.0</v>
      </c>
      <c r="E4075" s="1" t="str">
        <f>IFERROR(__xludf.DUMMYFUNCTION("IF(LEN(D4075)&gt;4, IFERROR(REGEXEXTRACT(TO_TEXT(D4075),""\d+""),""""),"""")"),"22662")</f>
        <v>22662</v>
      </c>
      <c r="F4075" s="6" t="str">
        <f t="shared" si="3"/>
        <v>Product</v>
      </c>
      <c r="G4075" s="1" t="s">
        <v>179</v>
      </c>
      <c r="H4075" s="6" t="str">
        <f>IFERROR(__xludf.DUMMYFUNCTION("IF(REGEXMATCH(LOWER(G4075), ""^(\?)+\s*(missing)?\s*(\?)*$""), """", PROPER(SUBSTITUTE(SUBSTITUTE(G4075, ""?"", """"), ""*"", """")))"),"Lunch Bag Dolly Girl Design")</f>
        <v>Lunch Bag Dolly Girl Design</v>
      </c>
      <c r="I4075" s="3">
        <v>1.0</v>
      </c>
      <c r="J4075" s="7">
        <v>40886.41875</v>
      </c>
      <c r="K4075" s="8" t="str">
        <f t="shared" si="4"/>
        <v>2011-12</v>
      </c>
      <c r="L4075" s="5">
        <v>4.13</v>
      </c>
      <c r="M4075" s="10"/>
      <c r="N4075" s="1" t="str">
        <f t="shared" si="5"/>
        <v>Guest</v>
      </c>
      <c r="O4075" s="1" t="s">
        <v>19</v>
      </c>
      <c r="P4075" s="9" t="str">
        <f t="shared" si="6"/>
        <v>UK</v>
      </c>
      <c r="Q4075" s="8">
        <f t="shared" si="7"/>
        <v>4.13</v>
      </c>
    </row>
    <row r="4076">
      <c r="A4076" s="1">
        <v>581492.0</v>
      </c>
      <c r="B4076" s="1" t="str">
        <f t="shared" si="1"/>
        <v>581492</v>
      </c>
      <c r="C4076" s="1" t="str">
        <f t="shared" si="2"/>
        <v>Sale</v>
      </c>
      <c r="D4076" s="1">
        <v>22666.0</v>
      </c>
      <c r="E4076" s="1" t="str">
        <f>IFERROR(__xludf.DUMMYFUNCTION("IF(LEN(D4076)&gt;4, IFERROR(REGEXEXTRACT(TO_TEXT(D4076),""\d+""),""""),"""")"),"22666")</f>
        <v>22666</v>
      </c>
      <c r="F4076" s="6" t="str">
        <f t="shared" si="3"/>
        <v>Product</v>
      </c>
      <c r="G4076" s="1" t="s">
        <v>781</v>
      </c>
      <c r="H4076" s="6" t="str">
        <f>IFERROR(__xludf.DUMMYFUNCTION("IF(REGEXMATCH(LOWER(G4076), ""^(\?)+\s*(missing)?\s*(\?)*$""), """", PROPER(SUBSTITUTE(SUBSTITUTE(G4076, ""?"", """"), ""*"", """")))"),"Recipe Box Pantry Yellow Design")</f>
        <v>Recipe Box Pantry Yellow Design</v>
      </c>
      <c r="I4076" s="3">
        <v>5.0</v>
      </c>
      <c r="J4076" s="7">
        <v>40886.41875</v>
      </c>
      <c r="K4076" s="8" t="str">
        <f t="shared" si="4"/>
        <v>2011-12</v>
      </c>
      <c r="L4076" s="5">
        <v>5.79</v>
      </c>
      <c r="M4076" s="10"/>
      <c r="N4076" s="1" t="str">
        <f t="shared" si="5"/>
        <v>Guest</v>
      </c>
      <c r="O4076" s="1" t="s">
        <v>19</v>
      </c>
      <c r="P4076" s="9" t="str">
        <f t="shared" si="6"/>
        <v>UK</v>
      </c>
      <c r="Q4076" s="8">
        <f t="shared" si="7"/>
        <v>28.95</v>
      </c>
    </row>
    <row r="4077">
      <c r="A4077" s="1">
        <v>581492.0</v>
      </c>
      <c r="B4077" s="1" t="str">
        <f t="shared" si="1"/>
        <v>581492</v>
      </c>
      <c r="C4077" s="1" t="str">
        <f t="shared" si="2"/>
        <v>Sale</v>
      </c>
      <c r="D4077" s="1">
        <v>22693.0</v>
      </c>
      <c r="E4077" s="1" t="str">
        <f>IFERROR(__xludf.DUMMYFUNCTION("IF(LEN(D4077)&gt;4, IFERROR(REGEXEXTRACT(TO_TEXT(D4077),""\d+""),""""),"""")"),"22693")</f>
        <v>22693</v>
      </c>
      <c r="F4077" s="6" t="str">
        <f t="shared" si="3"/>
        <v>Product</v>
      </c>
      <c r="G4077" s="1" t="s">
        <v>741</v>
      </c>
      <c r="H4077" s="6" t="str">
        <f>IFERROR(__xludf.DUMMYFUNCTION("IF(REGEXMATCH(LOWER(G4077), ""^(\?)+\s*(missing)?\s*(\?)*$""), """", PROPER(SUBSTITUTE(SUBSTITUTE(G4077, ""?"", """"), ""*"", """")))"),"Grow A Flytrap Or Sunflower In Tin")</f>
        <v>Grow A Flytrap Or Sunflower In Tin</v>
      </c>
      <c r="I4077" s="3">
        <v>3.0</v>
      </c>
      <c r="J4077" s="7">
        <v>40886.41875</v>
      </c>
      <c r="K4077" s="8" t="str">
        <f t="shared" si="4"/>
        <v>2011-12</v>
      </c>
      <c r="L4077" s="5">
        <v>2.5</v>
      </c>
      <c r="M4077" s="10"/>
      <c r="N4077" s="1" t="str">
        <f t="shared" si="5"/>
        <v>Guest</v>
      </c>
      <c r="O4077" s="1" t="s">
        <v>19</v>
      </c>
      <c r="P4077" s="9" t="str">
        <f t="shared" si="6"/>
        <v>UK</v>
      </c>
      <c r="Q4077" s="8">
        <f t="shared" si="7"/>
        <v>7.5</v>
      </c>
    </row>
    <row r="4078">
      <c r="A4078" s="1">
        <v>581492.0</v>
      </c>
      <c r="B4078" s="1" t="str">
        <f t="shared" si="1"/>
        <v>581492</v>
      </c>
      <c r="C4078" s="1" t="str">
        <f t="shared" si="2"/>
        <v>Sale</v>
      </c>
      <c r="D4078" s="1">
        <v>22694.0</v>
      </c>
      <c r="E4078" s="1" t="str">
        <f>IFERROR(__xludf.DUMMYFUNCTION("IF(LEN(D4078)&gt;4, IFERROR(REGEXEXTRACT(TO_TEXT(D4078),""\d+""),""""),"""")"),"22694")</f>
        <v>22694</v>
      </c>
      <c r="F4078" s="6" t="str">
        <f t="shared" si="3"/>
        <v>Product</v>
      </c>
      <c r="G4078" s="1" t="s">
        <v>476</v>
      </c>
      <c r="H4078" s="6" t="str">
        <f>IFERROR(__xludf.DUMMYFUNCTION("IF(REGEXMATCH(LOWER(G4078), ""^(\?)+\s*(missing)?\s*(\?)*$""), """", PROPER(SUBSTITUTE(SUBSTITUTE(G4078, ""?"", """"), ""*"", """")))"),"Wicker Star")</f>
        <v>Wicker Star</v>
      </c>
      <c r="I4078" s="3">
        <v>1.0</v>
      </c>
      <c r="J4078" s="7">
        <v>40886.41875</v>
      </c>
      <c r="K4078" s="8" t="str">
        <f t="shared" si="4"/>
        <v>2011-12</v>
      </c>
      <c r="L4078" s="5">
        <v>4.13</v>
      </c>
      <c r="M4078" s="10"/>
      <c r="N4078" s="1" t="str">
        <f t="shared" si="5"/>
        <v>Guest</v>
      </c>
      <c r="O4078" s="1" t="s">
        <v>19</v>
      </c>
      <c r="P4078" s="9" t="str">
        <f t="shared" si="6"/>
        <v>UK</v>
      </c>
      <c r="Q4078" s="8">
        <f t="shared" si="7"/>
        <v>4.13</v>
      </c>
    </row>
    <row r="4079">
      <c r="A4079" s="1">
        <v>581492.0</v>
      </c>
      <c r="B4079" s="1" t="str">
        <f t="shared" si="1"/>
        <v>581492</v>
      </c>
      <c r="C4079" s="1" t="str">
        <f t="shared" si="2"/>
        <v>Sale</v>
      </c>
      <c r="D4079" s="1">
        <v>22697.0</v>
      </c>
      <c r="E4079" s="1" t="str">
        <f>IFERROR(__xludf.DUMMYFUNCTION("IF(LEN(D4079)&gt;4, IFERROR(REGEXEXTRACT(TO_TEXT(D4079),""\d+""),""""),"""")"),"22697")</f>
        <v>22697</v>
      </c>
      <c r="F4079" s="6" t="str">
        <f t="shared" si="3"/>
        <v>Product</v>
      </c>
      <c r="G4079" s="1" t="s">
        <v>682</v>
      </c>
      <c r="H4079" s="6" t="str">
        <f>IFERROR(__xludf.DUMMYFUNCTION("IF(REGEXMATCH(LOWER(G4079), ""^(\?)+\s*(missing)?\s*(\?)*$""), """", PROPER(SUBSTITUTE(SUBSTITUTE(G4079, ""?"", """"), ""*"", """")))"),"Green Regency Teacup And Saucer")</f>
        <v>Green Regency Teacup And Saucer</v>
      </c>
      <c r="I4079" s="3">
        <v>1.0</v>
      </c>
      <c r="J4079" s="7">
        <v>40886.41875</v>
      </c>
      <c r="K4079" s="8" t="str">
        <f t="shared" si="4"/>
        <v>2011-12</v>
      </c>
      <c r="L4079" s="5">
        <v>5.79</v>
      </c>
      <c r="M4079" s="10"/>
      <c r="N4079" s="1" t="str">
        <f t="shared" si="5"/>
        <v>Guest</v>
      </c>
      <c r="O4079" s="1" t="s">
        <v>19</v>
      </c>
      <c r="P4079" s="9" t="str">
        <f t="shared" si="6"/>
        <v>UK</v>
      </c>
      <c r="Q4079" s="8">
        <f t="shared" si="7"/>
        <v>5.79</v>
      </c>
    </row>
    <row r="4080">
      <c r="A4080" s="1">
        <v>581492.0</v>
      </c>
      <c r="B4080" s="1" t="str">
        <f t="shared" si="1"/>
        <v>581492</v>
      </c>
      <c r="C4080" s="1" t="str">
        <f t="shared" si="2"/>
        <v>Sale</v>
      </c>
      <c r="D4080" s="1">
        <v>22699.0</v>
      </c>
      <c r="E4080" s="1" t="str">
        <f>IFERROR(__xludf.DUMMYFUNCTION("IF(LEN(D4080)&gt;4, IFERROR(REGEXEXTRACT(TO_TEXT(D4080),""\d+""),""""),"""")"),"22699")</f>
        <v>22699</v>
      </c>
      <c r="F4080" s="6" t="str">
        <f t="shared" si="3"/>
        <v>Product</v>
      </c>
      <c r="G4080" s="1" t="s">
        <v>684</v>
      </c>
      <c r="H4080" s="6" t="str">
        <f>IFERROR(__xludf.DUMMYFUNCTION("IF(REGEXMATCH(LOWER(G4080), ""^(\?)+\s*(missing)?\s*(\?)*$""), """", PROPER(SUBSTITUTE(SUBSTITUTE(G4080, ""?"", """"), ""*"", """")))"),"Roses Regency Teacup And Saucer")</f>
        <v>Roses Regency Teacup And Saucer</v>
      </c>
      <c r="I4080" s="3">
        <v>2.0</v>
      </c>
      <c r="J4080" s="7">
        <v>40886.41875</v>
      </c>
      <c r="K4080" s="8" t="str">
        <f t="shared" si="4"/>
        <v>2011-12</v>
      </c>
      <c r="L4080" s="5">
        <v>5.79</v>
      </c>
      <c r="M4080" s="10"/>
      <c r="N4080" s="1" t="str">
        <f t="shared" si="5"/>
        <v>Guest</v>
      </c>
      <c r="O4080" s="1" t="s">
        <v>19</v>
      </c>
      <c r="P4080" s="9" t="str">
        <f t="shared" si="6"/>
        <v>UK</v>
      </c>
      <c r="Q4080" s="8">
        <f t="shared" si="7"/>
        <v>11.58</v>
      </c>
    </row>
    <row r="4081">
      <c r="A4081" s="1">
        <v>581492.0</v>
      </c>
      <c r="B4081" s="1" t="str">
        <f t="shared" si="1"/>
        <v>581492</v>
      </c>
      <c r="C4081" s="1" t="str">
        <f t="shared" si="2"/>
        <v>Sale</v>
      </c>
      <c r="D4081" s="1">
        <v>22701.0</v>
      </c>
      <c r="E4081" s="1" t="str">
        <f>IFERROR(__xludf.DUMMYFUNCTION("IF(LEN(D4081)&gt;4, IFERROR(REGEXEXTRACT(TO_TEXT(D4081),""\d+""),""""),"""")"),"22701")</f>
        <v>22701</v>
      </c>
      <c r="F4081" s="6" t="str">
        <f t="shared" si="3"/>
        <v>Product</v>
      </c>
      <c r="G4081" s="1" t="s">
        <v>1075</v>
      </c>
      <c r="H4081" s="6" t="str">
        <f>IFERROR(__xludf.DUMMYFUNCTION("IF(REGEXMATCH(LOWER(G4081), ""^(\?)+\s*(missing)?\s*(\?)*$""), """", PROPER(SUBSTITUTE(SUBSTITUTE(G4081, ""?"", """"), ""*"", """")))"),"Pink Dog Bowl")</f>
        <v>Pink Dog Bowl</v>
      </c>
      <c r="I4081" s="3">
        <v>5.0</v>
      </c>
      <c r="J4081" s="7">
        <v>40886.41875</v>
      </c>
      <c r="K4081" s="8" t="str">
        <f t="shared" si="4"/>
        <v>2011-12</v>
      </c>
      <c r="L4081" s="5">
        <v>2.46</v>
      </c>
      <c r="M4081" s="10"/>
      <c r="N4081" s="1" t="str">
        <f t="shared" si="5"/>
        <v>Guest</v>
      </c>
      <c r="O4081" s="1" t="s">
        <v>19</v>
      </c>
      <c r="P4081" s="9" t="str">
        <f t="shared" si="6"/>
        <v>UK</v>
      </c>
      <c r="Q4081" s="8">
        <f t="shared" si="7"/>
        <v>12.3</v>
      </c>
    </row>
    <row r="4082">
      <c r="A4082" s="1">
        <v>581492.0</v>
      </c>
      <c r="B4082" s="1" t="str">
        <f t="shared" si="1"/>
        <v>581492</v>
      </c>
      <c r="C4082" s="1" t="str">
        <f t="shared" si="2"/>
        <v>Sale</v>
      </c>
      <c r="D4082" s="1">
        <v>22703.0</v>
      </c>
      <c r="E4082" s="1" t="str">
        <f>IFERROR(__xludf.DUMMYFUNCTION("IF(LEN(D4082)&gt;4, IFERROR(REGEXEXTRACT(TO_TEXT(D4082),""\d+""),""""),"""")"),"22703")</f>
        <v>22703</v>
      </c>
      <c r="F4082" s="6" t="str">
        <f t="shared" si="3"/>
        <v>Product</v>
      </c>
      <c r="G4082" s="1" t="s">
        <v>1949</v>
      </c>
      <c r="H4082" s="6" t="str">
        <f>IFERROR(__xludf.DUMMYFUNCTION("IF(REGEXMATCH(LOWER(G4082), ""^(\?)+\s*(missing)?\s*(\?)*$""), """", PROPER(SUBSTITUTE(SUBSTITUTE(G4082, ""?"", """"), ""*"", """")))"),"Pink Cat Bowl")</f>
        <v>Pink Cat Bowl</v>
      </c>
      <c r="I4082" s="3">
        <v>6.0</v>
      </c>
      <c r="J4082" s="7">
        <v>40886.41875</v>
      </c>
      <c r="K4082" s="8" t="str">
        <f t="shared" si="4"/>
        <v>2011-12</v>
      </c>
      <c r="L4082" s="5">
        <v>1.63</v>
      </c>
      <c r="M4082" s="10"/>
      <c r="N4082" s="1" t="str">
        <f t="shared" si="5"/>
        <v>Guest</v>
      </c>
      <c r="O4082" s="1" t="s">
        <v>19</v>
      </c>
      <c r="P4082" s="9" t="str">
        <f t="shared" si="6"/>
        <v>UK</v>
      </c>
      <c r="Q4082" s="8">
        <f t="shared" si="7"/>
        <v>9.78</v>
      </c>
    </row>
    <row r="4083">
      <c r="A4083" s="1">
        <v>581492.0</v>
      </c>
      <c r="B4083" s="1" t="str">
        <f t="shared" si="1"/>
        <v>581492</v>
      </c>
      <c r="C4083" s="1" t="str">
        <f t="shared" si="2"/>
        <v>Sale</v>
      </c>
      <c r="D4083" s="1">
        <v>22712.0</v>
      </c>
      <c r="E4083" s="1" t="str">
        <f>IFERROR(__xludf.DUMMYFUNCTION("IF(LEN(D4083)&gt;4, IFERROR(REGEXEXTRACT(TO_TEXT(D4083),""\d+""),""""),"""")"),"22712")</f>
        <v>22712</v>
      </c>
      <c r="F4083" s="6" t="str">
        <f t="shared" si="3"/>
        <v>Product</v>
      </c>
      <c r="G4083" s="1" t="s">
        <v>639</v>
      </c>
      <c r="H4083" s="6" t="str">
        <f>IFERROR(__xludf.DUMMYFUNCTION("IF(REGEXMATCH(LOWER(G4083), ""^(\?)+\s*(missing)?\s*(\?)*$""), """", PROPER(SUBSTITUTE(SUBSTITUTE(G4083, ""?"", """"), ""*"", """")))"),"Card Dolly Girl")</f>
        <v>Card Dolly Girl</v>
      </c>
      <c r="I4083" s="3">
        <v>1.0</v>
      </c>
      <c r="J4083" s="7">
        <v>40886.41875</v>
      </c>
      <c r="K4083" s="8" t="str">
        <f t="shared" si="4"/>
        <v>2011-12</v>
      </c>
      <c r="L4083" s="5">
        <v>0.83</v>
      </c>
      <c r="M4083" s="10"/>
      <c r="N4083" s="1" t="str">
        <f t="shared" si="5"/>
        <v>Guest</v>
      </c>
      <c r="O4083" s="1" t="s">
        <v>19</v>
      </c>
      <c r="P4083" s="9" t="str">
        <f t="shared" si="6"/>
        <v>UK</v>
      </c>
      <c r="Q4083" s="8">
        <f t="shared" si="7"/>
        <v>0.83</v>
      </c>
    </row>
    <row r="4084">
      <c r="A4084" s="1">
        <v>581492.0</v>
      </c>
      <c r="B4084" s="1" t="str">
        <f t="shared" si="1"/>
        <v>581492</v>
      </c>
      <c r="C4084" s="1" t="str">
        <f t="shared" si="2"/>
        <v>Sale</v>
      </c>
      <c r="D4084" s="1">
        <v>22713.0</v>
      </c>
      <c r="E4084" s="1" t="str">
        <f>IFERROR(__xludf.DUMMYFUNCTION("IF(LEN(D4084)&gt;4, IFERROR(REGEXEXTRACT(TO_TEXT(D4084),""\d+""),""""),"""")"),"22713")</f>
        <v>22713</v>
      </c>
      <c r="F4084" s="6" t="str">
        <f t="shared" si="3"/>
        <v>Product</v>
      </c>
      <c r="G4084" s="1" t="s">
        <v>628</v>
      </c>
      <c r="H4084" s="6" t="str">
        <f>IFERROR(__xludf.DUMMYFUNCTION("IF(REGEXMATCH(LOWER(G4084), ""^(\?)+\s*(missing)?\s*(\?)*$""), """", PROPER(SUBSTITUTE(SUBSTITUTE(G4084, ""?"", """"), ""*"", """")))"),"Card I Love London")</f>
        <v>Card I Love London</v>
      </c>
      <c r="I4084" s="3">
        <v>1.0</v>
      </c>
      <c r="J4084" s="7">
        <v>40886.41875</v>
      </c>
      <c r="K4084" s="8" t="str">
        <f t="shared" si="4"/>
        <v>2011-12</v>
      </c>
      <c r="L4084" s="5">
        <v>0.83</v>
      </c>
      <c r="M4084" s="10"/>
      <c r="N4084" s="1" t="str">
        <f t="shared" si="5"/>
        <v>Guest</v>
      </c>
      <c r="O4084" s="1" t="s">
        <v>19</v>
      </c>
      <c r="P4084" s="9" t="str">
        <f t="shared" si="6"/>
        <v>UK</v>
      </c>
      <c r="Q4084" s="8">
        <f t="shared" si="7"/>
        <v>0.83</v>
      </c>
    </row>
    <row r="4085">
      <c r="A4085" s="1">
        <v>581492.0</v>
      </c>
      <c r="B4085" s="1" t="str">
        <f t="shared" si="1"/>
        <v>581492</v>
      </c>
      <c r="C4085" s="1" t="str">
        <f t="shared" si="2"/>
        <v>Sale</v>
      </c>
      <c r="D4085" s="1">
        <v>22714.0</v>
      </c>
      <c r="E4085" s="1" t="str">
        <f>IFERROR(__xludf.DUMMYFUNCTION("IF(LEN(D4085)&gt;4, IFERROR(REGEXEXTRACT(TO_TEXT(D4085),""\d+""),""""),"""")"),"22714")</f>
        <v>22714</v>
      </c>
      <c r="F4085" s="6" t="str">
        <f t="shared" si="3"/>
        <v>Product</v>
      </c>
      <c r="G4085" s="1" t="s">
        <v>384</v>
      </c>
      <c r="H4085" s="6" t="str">
        <f>IFERROR(__xludf.DUMMYFUNCTION("IF(REGEXMATCH(LOWER(G4085), ""^(\?)+\s*(missing)?\s*(\?)*$""), """", PROPER(SUBSTITUTE(SUBSTITUTE(G4085, ""?"", """"), ""*"", """")))"),"Card Birthday Cowboy")</f>
        <v>Card Birthday Cowboy</v>
      </c>
      <c r="I4085" s="3">
        <v>2.0</v>
      </c>
      <c r="J4085" s="7">
        <v>40886.41875</v>
      </c>
      <c r="K4085" s="8" t="str">
        <f t="shared" si="4"/>
        <v>2011-12</v>
      </c>
      <c r="L4085" s="5">
        <v>0.83</v>
      </c>
      <c r="M4085" s="10"/>
      <c r="N4085" s="1" t="str">
        <f t="shared" si="5"/>
        <v>Guest</v>
      </c>
      <c r="O4085" s="1" t="s">
        <v>19</v>
      </c>
      <c r="P4085" s="9" t="str">
        <f t="shared" si="6"/>
        <v>UK</v>
      </c>
      <c r="Q4085" s="8">
        <f t="shared" si="7"/>
        <v>1.66</v>
      </c>
    </row>
    <row r="4086">
      <c r="A4086" s="1">
        <v>581492.0</v>
      </c>
      <c r="B4086" s="1" t="str">
        <f t="shared" si="1"/>
        <v>581492</v>
      </c>
      <c r="C4086" s="1" t="str">
        <f t="shared" si="2"/>
        <v>Sale</v>
      </c>
      <c r="D4086" s="1">
        <v>22716.0</v>
      </c>
      <c r="E4086" s="1" t="str">
        <f>IFERROR(__xludf.DUMMYFUNCTION("IF(LEN(D4086)&gt;4, IFERROR(REGEXEXTRACT(TO_TEXT(D4086),""\d+""),""""),"""")"),"22716")</f>
        <v>22716</v>
      </c>
      <c r="F4086" s="6" t="str">
        <f t="shared" si="3"/>
        <v>Product</v>
      </c>
      <c r="G4086" s="1" t="s">
        <v>379</v>
      </c>
      <c r="H4086" s="6" t="str">
        <f>IFERROR(__xludf.DUMMYFUNCTION("IF(REGEXMATCH(LOWER(G4086), ""^(\?)+\s*(missing)?\s*(\?)*$""), """", PROPER(SUBSTITUTE(SUBSTITUTE(G4086, ""?"", """"), ""*"", """")))"),"Card Circus Parade")</f>
        <v>Card Circus Parade</v>
      </c>
      <c r="I4086" s="3">
        <v>3.0</v>
      </c>
      <c r="J4086" s="7">
        <v>40886.41875</v>
      </c>
      <c r="K4086" s="8" t="str">
        <f t="shared" si="4"/>
        <v>2011-12</v>
      </c>
      <c r="L4086" s="5">
        <v>0.83</v>
      </c>
      <c r="M4086" s="10"/>
      <c r="N4086" s="1" t="str">
        <f t="shared" si="5"/>
        <v>Guest</v>
      </c>
      <c r="O4086" s="1" t="s">
        <v>19</v>
      </c>
      <c r="P4086" s="9" t="str">
        <f t="shared" si="6"/>
        <v>UK</v>
      </c>
      <c r="Q4086" s="8">
        <f t="shared" si="7"/>
        <v>2.49</v>
      </c>
    </row>
    <row r="4087">
      <c r="A4087" s="1">
        <v>581492.0</v>
      </c>
      <c r="B4087" s="1" t="str">
        <f t="shared" si="1"/>
        <v>581492</v>
      </c>
      <c r="C4087" s="1" t="str">
        <f t="shared" si="2"/>
        <v>Sale</v>
      </c>
      <c r="D4087" s="1">
        <v>22717.0</v>
      </c>
      <c r="E4087" s="1" t="str">
        <f>IFERROR(__xludf.DUMMYFUNCTION("IF(LEN(D4087)&gt;4, IFERROR(REGEXEXTRACT(TO_TEXT(D4087),""\d+""),""""),"""")"),"22717")</f>
        <v>22717</v>
      </c>
      <c r="F4087" s="6" t="str">
        <f t="shared" si="3"/>
        <v>Product</v>
      </c>
      <c r="G4087" s="1" t="s">
        <v>1302</v>
      </c>
      <c r="H4087" s="6" t="str">
        <f>IFERROR(__xludf.DUMMYFUNCTION("IF(REGEXMATCH(LOWER(G4087), ""^(\?)+\s*(missing)?\s*(\?)*$""), """", PROPER(SUBSTITUTE(SUBSTITUTE(G4087, ""?"", """"), ""*"", """")))"),"Card Dog And Ball")</f>
        <v>Card Dog And Ball</v>
      </c>
      <c r="I4087" s="3">
        <v>1.0</v>
      </c>
      <c r="J4087" s="7">
        <v>40886.41875</v>
      </c>
      <c r="K4087" s="8" t="str">
        <f t="shared" si="4"/>
        <v>2011-12</v>
      </c>
      <c r="L4087" s="5">
        <v>0.83</v>
      </c>
      <c r="M4087" s="10"/>
      <c r="N4087" s="1" t="str">
        <f t="shared" si="5"/>
        <v>Guest</v>
      </c>
      <c r="O4087" s="1" t="s">
        <v>19</v>
      </c>
      <c r="P4087" s="9" t="str">
        <f t="shared" si="6"/>
        <v>UK</v>
      </c>
      <c r="Q4087" s="8">
        <f t="shared" si="7"/>
        <v>0.83</v>
      </c>
    </row>
    <row r="4088">
      <c r="A4088" s="1">
        <v>581492.0</v>
      </c>
      <c r="B4088" s="1" t="str">
        <f t="shared" si="1"/>
        <v>581492</v>
      </c>
      <c r="C4088" s="1" t="str">
        <f t="shared" si="2"/>
        <v>Sale</v>
      </c>
      <c r="D4088" s="1">
        <v>22720.0</v>
      </c>
      <c r="E4088" s="1" t="str">
        <f>IFERROR(__xludf.DUMMYFUNCTION("IF(LEN(D4088)&gt;4, IFERROR(REGEXEXTRACT(TO_TEXT(D4088),""\d+""),""""),"""")"),"22720")</f>
        <v>22720</v>
      </c>
      <c r="F4088" s="6" t="str">
        <f t="shared" si="3"/>
        <v>Product</v>
      </c>
      <c r="G4088" s="1" t="s">
        <v>685</v>
      </c>
      <c r="H4088" s="6" t="str">
        <f>IFERROR(__xludf.DUMMYFUNCTION("IF(REGEXMATCH(LOWER(G4088), ""^(\?)+\s*(missing)?\s*(\?)*$""), """", PROPER(SUBSTITUTE(SUBSTITUTE(G4088, ""?"", """"), ""*"", """")))"),"Set Of 3 Cake Tins Pantry Design")</f>
        <v>Set Of 3 Cake Tins Pantry Design</v>
      </c>
      <c r="I4088" s="3">
        <v>2.0</v>
      </c>
      <c r="J4088" s="7">
        <v>40886.41875</v>
      </c>
      <c r="K4088" s="8" t="str">
        <f t="shared" si="4"/>
        <v>2011-12</v>
      </c>
      <c r="L4088" s="5">
        <v>10.79</v>
      </c>
      <c r="M4088" s="10"/>
      <c r="N4088" s="1" t="str">
        <f t="shared" si="5"/>
        <v>Guest</v>
      </c>
      <c r="O4088" s="1" t="s">
        <v>19</v>
      </c>
      <c r="P4088" s="9" t="str">
        <f t="shared" si="6"/>
        <v>UK</v>
      </c>
      <c r="Q4088" s="8">
        <f t="shared" si="7"/>
        <v>21.58</v>
      </c>
    </row>
    <row r="4089">
      <c r="A4089" s="1">
        <v>581492.0</v>
      </c>
      <c r="B4089" s="1" t="str">
        <f t="shared" si="1"/>
        <v>581492</v>
      </c>
      <c r="C4089" s="1" t="str">
        <f t="shared" si="2"/>
        <v>Sale</v>
      </c>
      <c r="D4089" s="1">
        <v>22725.0</v>
      </c>
      <c r="E4089" s="1" t="str">
        <f>IFERROR(__xludf.DUMMYFUNCTION("IF(LEN(D4089)&gt;4, IFERROR(REGEXEXTRACT(TO_TEXT(D4089),""\d+""),""""),"""")"),"22725")</f>
        <v>22725</v>
      </c>
      <c r="F4089" s="6" t="str">
        <f t="shared" si="3"/>
        <v>Product</v>
      </c>
      <c r="G4089" s="1" t="s">
        <v>1407</v>
      </c>
      <c r="H4089" s="6" t="str">
        <f>IFERROR(__xludf.DUMMYFUNCTION("IF(REGEXMATCH(LOWER(G4089), ""^(\?)+\s*(missing)?\s*(\?)*$""), """", PROPER(SUBSTITUTE(SUBSTITUTE(G4089, ""?"", """"), ""*"", """")))"),"Alarm Clock Bakelike Chocolate")</f>
        <v>Alarm Clock Bakelike Chocolate</v>
      </c>
      <c r="I4089" s="3">
        <v>1.0</v>
      </c>
      <c r="J4089" s="7">
        <v>40886.41875</v>
      </c>
      <c r="K4089" s="8" t="str">
        <f t="shared" si="4"/>
        <v>2011-12</v>
      </c>
      <c r="L4089" s="5">
        <v>7.46</v>
      </c>
      <c r="M4089" s="10"/>
      <c r="N4089" s="1" t="str">
        <f t="shared" si="5"/>
        <v>Guest</v>
      </c>
      <c r="O4089" s="1" t="s">
        <v>19</v>
      </c>
      <c r="P4089" s="9" t="str">
        <f t="shared" si="6"/>
        <v>UK</v>
      </c>
      <c r="Q4089" s="8">
        <f t="shared" si="7"/>
        <v>7.46</v>
      </c>
    </row>
    <row r="4090">
      <c r="A4090" s="1">
        <v>581492.0</v>
      </c>
      <c r="B4090" s="1" t="str">
        <f t="shared" si="1"/>
        <v>581492</v>
      </c>
      <c r="C4090" s="1" t="str">
        <f t="shared" si="2"/>
        <v>Sale</v>
      </c>
      <c r="D4090" s="1">
        <v>22726.0</v>
      </c>
      <c r="E4090" s="1" t="str">
        <f>IFERROR(__xludf.DUMMYFUNCTION("IF(LEN(D4090)&gt;4, IFERROR(REGEXEXTRACT(TO_TEXT(D4090),""\d+""),""""),"""")"),"22726")</f>
        <v>22726</v>
      </c>
      <c r="F4090" s="6" t="str">
        <f t="shared" si="3"/>
        <v>Product</v>
      </c>
      <c r="G4090" s="1" t="s">
        <v>51</v>
      </c>
      <c r="H4090" s="6" t="str">
        <f>IFERROR(__xludf.DUMMYFUNCTION("IF(REGEXMATCH(LOWER(G4090), ""^(\?)+\s*(missing)?\s*(\?)*$""), """", PROPER(SUBSTITUTE(SUBSTITUTE(G4090, ""?"", """"), ""*"", """")))"),"Alarm Clock Bakelike Green")</f>
        <v>Alarm Clock Bakelike Green</v>
      </c>
      <c r="I4090" s="3">
        <v>4.0</v>
      </c>
      <c r="J4090" s="7">
        <v>40886.41875</v>
      </c>
      <c r="K4090" s="8" t="str">
        <f t="shared" si="4"/>
        <v>2011-12</v>
      </c>
      <c r="L4090" s="5">
        <v>7.46</v>
      </c>
      <c r="M4090" s="10"/>
      <c r="N4090" s="1" t="str">
        <f t="shared" si="5"/>
        <v>Guest</v>
      </c>
      <c r="O4090" s="1" t="s">
        <v>19</v>
      </c>
      <c r="P4090" s="9" t="str">
        <f t="shared" si="6"/>
        <v>UK</v>
      </c>
      <c r="Q4090" s="8">
        <f t="shared" si="7"/>
        <v>29.84</v>
      </c>
    </row>
    <row r="4091">
      <c r="A4091" s="1">
        <v>581492.0</v>
      </c>
      <c r="B4091" s="1" t="str">
        <f t="shared" si="1"/>
        <v>581492</v>
      </c>
      <c r="C4091" s="1" t="str">
        <f t="shared" si="2"/>
        <v>Sale</v>
      </c>
      <c r="D4091" s="1">
        <v>22727.0</v>
      </c>
      <c r="E4091" s="1" t="str">
        <f>IFERROR(__xludf.DUMMYFUNCTION("IF(LEN(D4091)&gt;4, IFERROR(REGEXEXTRACT(TO_TEXT(D4091),""\d+""),""""),"""")"),"22727")</f>
        <v>22727</v>
      </c>
      <c r="F4091" s="6" t="str">
        <f t="shared" si="3"/>
        <v>Product</v>
      </c>
      <c r="G4091" s="1" t="s">
        <v>50</v>
      </c>
      <c r="H4091" s="6" t="str">
        <f>IFERROR(__xludf.DUMMYFUNCTION("IF(REGEXMATCH(LOWER(G4091), ""^(\?)+\s*(missing)?\s*(\?)*$""), """", PROPER(SUBSTITUTE(SUBSTITUTE(G4091, ""?"", """"), ""*"", """")))"),"Alarm Clock Bakelike Red")</f>
        <v>Alarm Clock Bakelike Red</v>
      </c>
      <c r="I4091" s="3">
        <v>4.0</v>
      </c>
      <c r="J4091" s="7">
        <v>40886.41875</v>
      </c>
      <c r="K4091" s="8" t="str">
        <f t="shared" si="4"/>
        <v>2011-12</v>
      </c>
      <c r="L4091" s="5">
        <v>7.46</v>
      </c>
      <c r="M4091" s="10"/>
      <c r="N4091" s="1" t="str">
        <f t="shared" si="5"/>
        <v>Guest</v>
      </c>
      <c r="O4091" s="1" t="s">
        <v>19</v>
      </c>
      <c r="P4091" s="9" t="str">
        <f t="shared" si="6"/>
        <v>UK</v>
      </c>
      <c r="Q4091" s="8">
        <f t="shared" si="7"/>
        <v>29.84</v>
      </c>
    </row>
    <row r="4092">
      <c r="A4092" s="1">
        <v>581492.0</v>
      </c>
      <c r="B4092" s="1" t="str">
        <f t="shared" si="1"/>
        <v>581492</v>
      </c>
      <c r="C4092" s="1" t="str">
        <f t="shared" si="2"/>
        <v>Sale</v>
      </c>
      <c r="D4092" s="1">
        <v>22730.0</v>
      </c>
      <c r="E4092" s="1" t="str">
        <f>IFERROR(__xludf.DUMMYFUNCTION("IF(LEN(D4092)&gt;4, IFERROR(REGEXEXTRACT(TO_TEXT(D4092),""\d+""),""""),"""")"),"22730")</f>
        <v>22730</v>
      </c>
      <c r="F4092" s="6" t="str">
        <f t="shared" si="3"/>
        <v>Product</v>
      </c>
      <c r="G4092" s="1" t="s">
        <v>255</v>
      </c>
      <c r="H4092" s="6" t="str">
        <f>IFERROR(__xludf.DUMMYFUNCTION("IF(REGEXMATCH(LOWER(G4092), ""^(\?)+\s*(missing)?\s*(\?)*$""), """", PROPER(SUBSTITUTE(SUBSTITUTE(G4092, ""?"", """"), ""*"", """")))"),"Alarm Clock Bakelike Ivory")</f>
        <v>Alarm Clock Bakelike Ivory</v>
      </c>
      <c r="I4092" s="3">
        <v>1.0</v>
      </c>
      <c r="J4092" s="7">
        <v>40886.41875</v>
      </c>
      <c r="K4092" s="8" t="str">
        <f t="shared" si="4"/>
        <v>2011-12</v>
      </c>
      <c r="L4092" s="5">
        <v>7.46</v>
      </c>
      <c r="M4092" s="10"/>
      <c r="N4092" s="1" t="str">
        <f t="shared" si="5"/>
        <v>Guest</v>
      </c>
      <c r="O4092" s="1" t="s">
        <v>19</v>
      </c>
      <c r="P4092" s="9" t="str">
        <f t="shared" si="6"/>
        <v>UK</v>
      </c>
      <c r="Q4092" s="8">
        <f t="shared" si="7"/>
        <v>7.46</v>
      </c>
    </row>
    <row r="4093">
      <c r="A4093" s="1">
        <v>581492.0</v>
      </c>
      <c r="B4093" s="1" t="str">
        <f t="shared" si="1"/>
        <v>581492</v>
      </c>
      <c r="C4093" s="1" t="str">
        <f t="shared" si="2"/>
        <v>Sale</v>
      </c>
      <c r="D4093" s="1">
        <v>22741.0</v>
      </c>
      <c r="E4093" s="1" t="str">
        <f>IFERROR(__xludf.DUMMYFUNCTION("IF(LEN(D4093)&gt;4, IFERROR(REGEXEXTRACT(TO_TEXT(D4093),""\d+""),""""),"""")"),"22741")</f>
        <v>22741</v>
      </c>
      <c r="F4093" s="6" t="str">
        <f t="shared" si="3"/>
        <v>Product</v>
      </c>
      <c r="G4093" s="1" t="s">
        <v>1950</v>
      </c>
      <c r="H4093" s="6" t="str">
        <f>IFERROR(__xludf.DUMMYFUNCTION("IF(REGEXMATCH(LOWER(G4093), ""^(\?)+\s*(missing)?\s*(\?)*$""), """", PROPER(SUBSTITUTE(SUBSTITUTE(G4093, ""?"", """"), ""*"", """")))"),"Funky Diva Pen")</f>
        <v>Funky Diva Pen</v>
      </c>
      <c r="I4093" s="3">
        <v>4.0</v>
      </c>
      <c r="J4093" s="7">
        <v>40886.41875</v>
      </c>
      <c r="K4093" s="8" t="str">
        <f t="shared" si="4"/>
        <v>2011-12</v>
      </c>
      <c r="L4093" s="5">
        <v>1.63</v>
      </c>
      <c r="M4093" s="10"/>
      <c r="N4093" s="1" t="str">
        <f t="shared" si="5"/>
        <v>Guest</v>
      </c>
      <c r="O4093" s="1" t="s">
        <v>19</v>
      </c>
      <c r="P4093" s="9" t="str">
        <f t="shared" si="6"/>
        <v>UK</v>
      </c>
      <c r="Q4093" s="8">
        <f t="shared" si="7"/>
        <v>6.52</v>
      </c>
    </row>
    <row r="4094">
      <c r="A4094" s="1">
        <v>581492.0</v>
      </c>
      <c r="B4094" s="1" t="str">
        <f t="shared" si="1"/>
        <v>581492</v>
      </c>
      <c r="C4094" s="1" t="str">
        <f t="shared" si="2"/>
        <v>Sale</v>
      </c>
      <c r="D4094" s="1">
        <v>22745.0</v>
      </c>
      <c r="E4094" s="1" t="str">
        <f>IFERROR(__xludf.DUMMYFUNCTION("IF(LEN(D4094)&gt;4, IFERROR(REGEXEXTRACT(TO_TEXT(D4094),""\d+""),""""),"""")"),"22745")</f>
        <v>22745</v>
      </c>
      <c r="F4094" s="6" t="str">
        <f t="shared" si="3"/>
        <v>Product</v>
      </c>
      <c r="G4094" s="1" t="s">
        <v>32</v>
      </c>
      <c r="H4094" s="6" t="str">
        <f>IFERROR(__xludf.DUMMYFUNCTION("IF(REGEXMATCH(LOWER(G4094), ""^(\?)+\s*(missing)?\s*(\?)*$""), """", PROPER(SUBSTITUTE(SUBSTITUTE(G4094, ""?"", """"), ""*"", """")))"),"Poppy'S Playhouse Bedroom")</f>
        <v>Poppy'S Playhouse Bedroom</v>
      </c>
      <c r="I4094" s="3">
        <v>2.0</v>
      </c>
      <c r="J4094" s="7">
        <v>40886.41875</v>
      </c>
      <c r="K4094" s="8" t="str">
        <f t="shared" si="4"/>
        <v>2011-12</v>
      </c>
      <c r="L4094" s="5">
        <v>4.13</v>
      </c>
      <c r="M4094" s="10"/>
      <c r="N4094" s="1" t="str">
        <f t="shared" si="5"/>
        <v>Guest</v>
      </c>
      <c r="O4094" s="1" t="s">
        <v>19</v>
      </c>
      <c r="P4094" s="9" t="str">
        <f t="shared" si="6"/>
        <v>UK</v>
      </c>
      <c r="Q4094" s="8">
        <f t="shared" si="7"/>
        <v>8.26</v>
      </c>
    </row>
    <row r="4095">
      <c r="A4095" s="1">
        <v>581492.0</v>
      </c>
      <c r="B4095" s="1" t="str">
        <f t="shared" si="1"/>
        <v>581492</v>
      </c>
      <c r="C4095" s="1" t="str">
        <f t="shared" si="2"/>
        <v>Sale</v>
      </c>
      <c r="D4095" s="1">
        <v>22748.0</v>
      </c>
      <c r="E4095" s="1" t="str">
        <f>IFERROR(__xludf.DUMMYFUNCTION("IF(LEN(D4095)&gt;4, IFERROR(REGEXEXTRACT(TO_TEXT(D4095),""\d+""),""""),"""")"),"22748")</f>
        <v>22748</v>
      </c>
      <c r="F4095" s="6" t="str">
        <f t="shared" si="3"/>
        <v>Product</v>
      </c>
      <c r="G4095" s="1" t="s">
        <v>33</v>
      </c>
      <c r="H4095" s="6" t="str">
        <f>IFERROR(__xludf.DUMMYFUNCTION("IF(REGEXMATCH(LOWER(G4095), ""^(\?)+\s*(missing)?\s*(\?)*$""), """", PROPER(SUBSTITUTE(SUBSTITUTE(G4095, ""?"", """"), ""*"", """")))"),"Poppy'S Playhouse Kitchen")</f>
        <v>Poppy'S Playhouse Kitchen</v>
      </c>
      <c r="I4095" s="3">
        <v>1.0</v>
      </c>
      <c r="J4095" s="7">
        <v>40886.41875</v>
      </c>
      <c r="K4095" s="8" t="str">
        <f t="shared" si="4"/>
        <v>2011-12</v>
      </c>
      <c r="L4095" s="5">
        <v>4.13</v>
      </c>
      <c r="M4095" s="10"/>
      <c r="N4095" s="1" t="str">
        <f t="shared" si="5"/>
        <v>Guest</v>
      </c>
      <c r="O4095" s="1" t="s">
        <v>19</v>
      </c>
      <c r="P4095" s="9" t="str">
        <f t="shared" si="6"/>
        <v>UK</v>
      </c>
      <c r="Q4095" s="8">
        <f t="shared" si="7"/>
        <v>4.13</v>
      </c>
    </row>
    <row r="4096">
      <c r="A4096" s="1">
        <v>581492.0</v>
      </c>
      <c r="B4096" s="1" t="str">
        <f t="shared" si="1"/>
        <v>581492</v>
      </c>
      <c r="C4096" s="1" t="str">
        <f t="shared" si="2"/>
        <v>Sale</v>
      </c>
      <c r="D4096" s="1">
        <v>22749.0</v>
      </c>
      <c r="E4096" s="1" t="str">
        <f>IFERROR(__xludf.DUMMYFUNCTION("IF(LEN(D4096)&gt;4, IFERROR(REGEXEXTRACT(TO_TEXT(D4096),""\d+""),""""),"""")"),"22749")</f>
        <v>22749</v>
      </c>
      <c r="F4096" s="6" t="str">
        <f t="shared" si="3"/>
        <v>Product</v>
      </c>
      <c r="G4096" s="1" t="s">
        <v>34</v>
      </c>
      <c r="H4096" s="6" t="str">
        <f>IFERROR(__xludf.DUMMYFUNCTION("IF(REGEXMATCH(LOWER(G4096), ""^(\?)+\s*(missing)?\s*(\?)*$""), """", PROPER(SUBSTITUTE(SUBSTITUTE(G4096, ""?"", """"), ""*"", """")))"),"Feltcraft Princess Charlotte Doll")</f>
        <v>Feltcraft Princess Charlotte Doll</v>
      </c>
      <c r="I4096" s="3">
        <v>1.0</v>
      </c>
      <c r="J4096" s="7">
        <v>40886.41875</v>
      </c>
      <c r="K4096" s="8" t="str">
        <f t="shared" si="4"/>
        <v>2011-12</v>
      </c>
      <c r="L4096" s="5">
        <v>7.46</v>
      </c>
      <c r="M4096" s="10"/>
      <c r="N4096" s="1" t="str">
        <f t="shared" si="5"/>
        <v>Guest</v>
      </c>
      <c r="O4096" s="1" t="s">
        <v>19</v>
      </c>
      <c r="P4096" s="9" t="str">
        <f t="shared" si="6"/>
        <v>UK</v>
      </c>
      <c r="Q4096" s="8">
        <f t="shared" si="7"/>
        <v>7.46</v>
      </c>
    </row>
    <row r="4097">
      <c r="A4097" s="1">
        <v>581492.0</v>
      </c>
      <c r="B4097" s="1" t="str">
        <f t="shared" si="1"/>
        <v>581492</v>
      </c>
      <c r="C4097" s="1" t="str">
        <f t="shared" si="2"/>
        <v>Sale</v>
      </c>
      <c r="D4097" s="1">
        <v>22751.0</v>
      </c>
      <c r="E4097" s="1" t="str">
        <f>IFERROR(__xludf.DUMMYFUNCTION("IF(LEN(D4097)&gt;4, IFERROR(REGEXEXTRACT(TO_TEXT(D4097),""\d+""),""""),"""")"),"22751")</f>
        <v>22751</v>
      </c>
      <c r="F4097" s="6" t="str">
        <f t="shared" si="3"/>
        <v>Product</v>
      </c>
      <c r="G4097" s="1" t="s">
        <v>451</v>
      </c>
      <c r="H4097" s="6" t="str">
        <f>IFERROR(__xludf.DUMMYFUNCTION("IF(REGEXMATCH(LOWER(G4097), ""^(\?)+\s*(missing)?\s*(\?)*$""), """", PROPER(SUBSTITUTE(SUBSTITUTE(G4097, ""?"", """"), ""*"", """")))"),"Feltcraft Princess Olivia Doll")</f>
        <v>Feltcraft Princess Olivia Doll</v>
      </c>
      <c r="I4097" s="3">
        <v>2.0</v>
      </c>
      <c r="J4097" s="7">
        <v>40886.41875</v>
      </c>
      <c r="K4097" s="8" t="str">
        <f t="shared" si="4"/>
        <v>2011-12</v>
      </c>
      <c r="L4097" s="5">
        <v>7.46</v>
      </c>
      <c r="M4097" s="10"/>
      <c r="N4097" s="1" t="str">
        <f t="shared" si="5"/>
        <v>Guest</v>
      </c>
      <c r="O4097" s="1" t="s">
        <v>19</v>
      </c>
      <c r="P4097" s="9" t="str">
        <f t="shared" si="6"/>
        <v>UK</v>
      </c>
      <c r="Q4097" s="8">
        <f t="shared" si="7"/>
        <v>14.92</v>
      </c>
    </row>
    <row r="4098">
      <c r="A4098" s="1">
        <v>581492.0</v>
      </c>
      <c r="B4098" s="1" t="str">
        <f t="shared" si="1"/>
        <v>581492</v>
      </c>
      <c r="C4098" s="1" t="str">
        <f t="shared" si="2"/>
        <v>Sale</v>
      </c>
      <c r="D4098" s="1">
        <v>22753.0</v>
      </c>
      <c r="E4098" s="1" t="str">
        <f>IFERROR(__xludf.DUMMYFUNCTION("IF(LEN(D4098)&gt;4, IFERROR(REGEXEXTRACT(TO_TEXT(D4098),""\d+""),""""),"""")"),"22753")</f>
        <v>22753</v>
      </c>
      <c r="F4098" s="6" t="str">
        <f t="shared" si="3"/>
        <v>Product</v>
      </c>
      <c r="G4098" s="1" t="s">
        <v>1512</v>
      </c>
      <c r="H4098" s="6" t="str">
        <f>IFERROR(__xludf.DUMMYFUNCTION("IF(REGEXMATCH(LOWER(G4098), ""^(\?)+\s*(missing)?\s*(\?)*$""), """", PROPER(SUBSTITUTE(SUBSTITUTE(G4098, ""?"", """"), ""*"", """")))"),"Small Yellow Babushka Notebook")</f>
        <v>Small Yellow Babushka Notebook</v>
      </c>
      <c r="I4098" s="3">
        <v>1.0</v>
      </c>
      <c r="J4098" s="7">
        <v>40886.41875</v>
      </c>
      <c r="K4098" s="8" t="str">
        <f t="shared" si="4"/>
        <v>2011-12</v>
      </c>
      <c r="L4098" s="5">
        <v>1.63</v>
      </c>
      <c r="M4098" s="10"/>
      <c r="N4098" s="1" t="str">
        <f t="shared" si="5"/>
        <v>Guest</v>
      </c>
      <c r="O4098" s="1" t="s">
        <v>19</v>
      </c>
      <c r="P4098" s="9" t="str">
        <f t="shared" si="6"/>
        <v>UK</v>
      </c>
      <c r="Q4098" s="8">
        <f t="shared" si="7"/>
        <v>1.63</v>
      </c>
    </row>
    <row r="4099">
      <c r="A4099" s="1">
        <v>581492.0</v>
      </c>
      <c r="B4099" s="1" t="str">
        <f t="shared" si="1"/>
        <v>581492</v>
      </c>
      <c r="C4099" s="1" t="str">
        <f t="shared" si="2"/>
        <v>Sale</v>
      </c>
      <c r="D4099" s="1">
        <v>22754.0</v>
      </c>
      <c r="E4099" s="1" t="str">
        <f>IFERROR(__xludf.DUMMYFUNCTION("IF(LEN(D4099)&gt;4, IFERROR(REGEXEXTRACT(TO_TEXT(D4099),""\d+""),""""),"""")"),"22754")</f>
        <v>22754</v>
      </c>
      <c r="F4099" s="6" t="str">
        <f t="shared" si="3"/>
        <v>Product</v>
      </c>
      <c r="G4099" s="1" t="s">
        <v>663</v>
      </c>
      <c r="H4099" s="6" t="str">
        <f>IFERROR(__xludf.DUMMYFUNCTION("IF(REGEXMATCH(LOWER(G4099), ""^(\?)+\s*(missing)?\s*(\?)*$""), """", PROPER(SUBSTITUTE(SUBSTITUTE(G4099, ""?"", """"), ""*"", """")))"),"Small Red Babushka Notebook")</f>
        <v>Small Red Babushka Notebook</v>
      </c>
      <c r="I4099" s="3">
        <v>1.0</v>
      </c>
      <c r="J4099" s="7">
        <v>40886.41875</v>
      </c>
      <c r="K4099" s="8" t="str">
        <f t="shared" si="4"/>
        <v>2011-12</v>
      </c>
      <c r="L4099" s="5">
        <v>1.63</v>
      </c>
      <c r="M4099" s="10"/>
      <c r="N4099" s="1" t="str">
        <f t="shared" si="5"/>
        <v>Guest</v>
      </c>
      <c r="O4099" s="1" t="s">
        <v>19</v>
      </c>
      <c r="P4099" s="9" t="str">
        <f t="shared" si="6"/>
        <v>UK</v>
      </c>
      <c r="Q4099" s="8">
        <f t="shared" si="7"/>
        <v>1.63</v>
      </c>
    </row>
    <row r="4100">
      <c r="A4100" s="1">
        <v>581492.0</v>
      </c>
      <c r="B4100" s="1" t="str">
        <f t="shared" si="1"/>
        <v>581492</v>
      </c>
      <c r="C4100" s="1" t="str">
        <f t="shared" si="2"/>
        <v>Sale</v>
      </c>
      <c r="D4100" s="1">
        <v>22757.0</v>
      </c>
      <c r="E4100" s="1" t="str">
        <f>IFERROR(__xludf.DUMMYFUNCTION("IF(LEN(D4100)&gt;4, IFERROR(REGEXEXTRACT(TO_TEXT(D4100),""\d+""),""""),"""")"),"22757")</f>
        <v>22757</v>
      </c>
      <c r="F4100" s="6" t="str">
        <f t="shared" si="3"/>
        <v>Product</v>
      </c>
      <c r="G4100" s="1" t="s">
        <v>1286</v>
      </c>
      <c r="H4100" s="6" t="str">
        <f>IFERROR(__xludf.DUMMYFUNCTION("IF(REGEXMATCH(LOWER(G4100), ""^(\?)+\s*(missing)?\s*(\?)*$""), """", PROPER(SUBSTITUTE(SUBSTITUTE(G4100, ""?"", """"), ""*"", """")))"),"Large Red Babushka Notebook")</f>
        <v>Large Red Babushka Notebook</v>
      </c>
      <c r="I4100" s="3">
        <v>3.0</v>
      </c>
      <c r="J4100" s="7">
        <v>40886.41875</v>
      </c>
      <c r="K4100" s="8" t="str">
        <f t="shared" si="4"/>
        <v>2011-12</v>
      </c>
      <c r="L4100" s="5">
        <v>2.46</v>
      </c>
      <c r="M4100" s="10"/>
      <c r="N4100" s="1" t="str">
        <f t="shared" si="5"/>
        <v>Guest</v>
      </c>
      <c r="O4100" s="1" t="s">
        <v>19</v>
      </c>
      <c r="P4100" s="9" t="str">
        <f t="shared" si="6"/>
        <v>UK</v>
      </c>
      <c r="Q4100" s="8">
        <f t="shared" si="7"/>
        <v>7.38</v>
      </c>
    </row>
    <row r="4101">
      <c r="A4101" s="1">
        <v>581492.0</v>
      </c>
      <c r="B4101" s="1" t="str">
        <f t="shared" si="1"/>
        <v>581492</v>
      </c>
      <c r="C4101" s="1" t="str">
        <f t="shared" si="2"/>
        <v>Sale</v>
      </c>
      <c r="D4101" s="1">
        <v>22758.0</v>
      </c>
      <c r="E4101" s="1" t="str">
        <f>IFERROR(__xludf.DUMMYFUNCTION("IF(LEN(D4101)&gt;4, IFERROR(REGEXEXTRACT(TO_TEXT(D4101),""\d+""),""""),"""")"),"22758")</f>
        <v>22758</v>
      </c>
      <c r="F4101" s="6" t="str">
        <f t="shared" si="3"/>
        <v>Product</v>
      </c>
      <c r="G4101" s="1" t="s">
        <v>1511</v>
      </c>
      <c r="H4101" s="6" t="str">
        <f>IFERROR(__xludf.DUMMYFUNCTION("IF(REGEXMATCH(LOWER(G4101), ""^(\?)+\s*(missing)?\s*(\?)*$""), """", PROPER(SUBSTITUTE(SUBSTITUTE(G4101, ""?"", """"), ""*"", """")))"),"Large Purple Babushka Notebook")</f>
        <v>Large Purple Babushka Notebook</v>
      </c>
      <c r="I4101" s="3">
        <v>2.0</v>
      </c>
      <c r="J4101" s="7">
        <v>40886.41875</v>
      </c>
      <c r="K4101" s="8" t="str">
        <f t="shared" si="4"/>
        <v>2011-12</v>
      </c>
      <c r="L4101" s="5">
        <v>2.46</v>
      </c>
      <c r="M4101" s="10"/>
      <c r="N4101" s="1" t="str">
        <f t="shared" si="5"/>
        <v>Guest</v>
      </c>
      <c r="O4101" s="1" t="s">
        <v>19</v>
      </c>
      <c r="P4101" s="9" t="str">
        <f t="shared" si="6"/>
        <v>UK</v>
      </c>
      <c r="Q4101" s="8">
        <f t="shared" si="7"/>
        <v>4.92</v>
      </c>
    </row>
    <row r="4102">
      <c r="A4102" s="1">
        <v>581492.0</v>
      </c>
      <c r="B4102" s="1" t="str">
        <f t="shared" si="1"/>
        <v>581492</v>
      </c>
      <c r="C4102" s="1" t="str">
        <f t="shared" si="2"/>
        <v>Sale</v>
      </c>
      <c r="D4102" s="1">
        <v>22763.0</v>
      </c>
      <c r="E4102" s="1" t="str">
        <f>IFERROR(__xludf.DUMMYFUNCTION("IF(LEN(D4102)&gt;4, IFERROR(REGEXEXTRACT(TO_TEXT(D4102),""\d+""),""""),"""")"),"22763")</f>
        <v>22763</v>
      </c>
      <c r="F4102" s="6" t="str">
        <f t="shared" si="3"/>
        <v>Product</v>
      </c>
      <c r="G4102" s="1" t="s">
        <v>1951</v>
      </c>
      <c r="H4102" s="6" t="str">
        <f>IFERROR(__xludf.DUMMYFUNCTION("IF(REGEXMATCH(LOWER(G4102), ""^(\?)+\s*(missing)?\s*(\?)*$""), """", PROPER(SUBSTITUTE(SUBSTITUTE(G4102, ""?"", """"), ""*"", """")))"),"Key Cabinet Ma Campagne")</f>
        <v>Key Cabinet Ma Campagne</v>
      </c>
      <c r="I4102" s="3">
        <v>1.0</v>
      </c>
      <c r="J4102" s="7">
        <v>40886.41875</v>
      </c>
      <c r="K4102" s="8" t="str">
        <f t="shared" si="4"/>
        <v>2011-12</v>
      </c>
      <c r="L4102" s="5">
        <v>19.96</v>
      </c>
      <c r="M4102" s="10"/>
      <c r="N4102" s="1" t="str">
        <f t="shared" si="5"/>
        <v>Guest</v>
      </c>
      <c r="O4102" s="1" t="s">
        <v>19</v>
      </c>
      <c r="P4102" s="9" t="str">
        <f t="shared" si="6"/>
        <v>UK</v>
      </c>
      <c r="Q4102" s="8">
        <f t="shared" si="7"/>
        <v>19.96</v>
      </c>
    </row>
    <row r="4103">
      <c r="A4103" s="1">
        <v>581492.0</v>
      </c>
      <c r="B4103" s="1" t="str">
        <f t="shared" si="1"/>
        <v>581492</v>
      </c>
      <c r="C4103" s="1" t="str">
        <f t="shared" si="2"/>
        <v>Sale</v>
      </c>
      <c r="D4103" s="1">
        <v>22768.0</v>
      </c>
      <c r="E4103" s="1" t="str">
        <f>IFERROR(__xludf.DUMMYFUNCTION("IF(LEN(D4103)&gt;4, IFERROR(REGEXEXTRACT(TO_TEXT(D4103),""\d+""),""""),"""")"),"22768")</f>
        <v>22768</v>
      </c>
      <c r="F4103" s="6" t="str">
        <f t="shared" si="3"/>
        <v>Product</v>
      </c>
      <c r="G4103" s="1" t="s">
        <v>289</v>
      </c>
      <c r="H4103" s="6" t="str">
        <f>IFERROR(__xludf.DUMMYFUNCTION("IF(REGEXMATCH(LOWER(G4103), ""^(\?)+\s*(missing)?\s*(\?)*$""), """", PROPER(SUBSTITUTE(SUBSTITUTE(G4103, ""?"", """"), ""*"", """")))"),"Family Photo Frame Cornice")</f>
        <v>Family Photo Frame Cornice</v>
      </c>
      <c r="I4103" s="3">
        <v>2.0</v>
      </c>
      <c r="J4103" s="7">
        <v>40886.41875</v>
      </c>
      <c r="K4103" s="8" t="str">
        <f t="shared" si="4"/>
        <v>2011-12</v>
      </c>
      <c r="L4103" s="5">
        <v>19.96</v>
      </c>
      <c r="M4103" s="10"/>
      <c r="N4103" s="1" t="str">
        <f t="shared" si="5"/>
        <v>Guest</v>
      </c>
      <c r="O4103" s="1" t="s">
        <v>19</v>
      </c>
      <c r="P4103" s="9" t="str">
        <f t="shared" si="6"/>
        <v>UK</v>
      </c>
      <c r="Q4103" s="8">
        <f t="shared" si="7"/>
        <v>39.92</v>
      </c>
    </row>
    <row r="4104">
      <c r="A4104" s="1">
        <v>581492.0</v>
      </c>
      <c r="B4104" s="1" t="str">
        <f t="shared" si="1"/>
        <v>581492</v>
      </c>
      <c r="C4104" s="1" t="str">
        <f t="shared" si="2"/>
        <v>Sale</v>
      </c>
      <c r="D4104" s="1">
        <v>22776.0</v>
      </c>
      <c r="E4104" s="1" t="str">
        <f>IFERROR(__xludf.DUMMYFUNCTION("IF(LEN(D4104)&gt;4, IFERROR(REGEXEXTRACT(TO_TEXT(D4104),""\d+""),""""),"""")"),"22776")</f>
        <v>22776</v>
      </c>
      <c r="F4104" s="6" t="str">
        <f t="shared" si="3"/>
        <v>Product</v>
      </c>
      <c r="G4104" s="1" t="s">
        <v>1952</v>
      </c>
      <c r="H4104" s="6" t="str">
        <f>IFERROR(__xludf.DUMMYFUNCTION("IF(REGEXMATCH(LOWER(G4104), ""^(\?)+\s*(missing)?\s*(\?)*$""), """", PROPER(SUBSTITUTE(SUBSTITUTE(G4104, ""?"", """"), ""*"", """")))"),"Sweetheart 3 Tier Cake Stand")</f>
        <v>Sweetheart 3 Tier Cake Stand</v>
      </c>
      <c r="I4104" s="3">
        <v>1.0</v>
      </c>
      <c r="J4104" s="7">
        <v>40886.41875</v>
      </c>
      <c r="K4104" s="8" t="str">
        <f t="shared" si="4"/>
        <v>2011-12</v>
      </c>
      <c r="L4104" s="5">
        <v>19.96</v>
      </c>
      <c r="M4104" s="10"/>
      <c r="N4104" s="1" t="str">
        <f t="shared" si="5"/>
        <v>Guest</v>
      </c>
      <c r="O4104" s="1" t="s">
        <v>19</v>
      </c>
      <c r="P4104" s="9" t="str">
        <f t="shared" si="6"/>
        <v>UK</v>
      </c>
      <c r="Q4104" s="8">
        <f t="shared" si="7"/>
        <v>19.96</v>
      </c>
    </row>
    <row r="4105">
      <c r="A4105" s="1">
        <v>581492.0</v>
      </c>
      <c r="B4105" s="1" t="str">
        <f t="shared" si="1"/>
        <v>581492</v>
      </c>
      <c r="C4105" s="1" t="str">
        <f t="shared" si="2"/>
        <v>Sale</v>
      </c>
      <c r="D4105" s="1">
        <v>22795.0</v>
      </c>
      <c r="E4105" s="1" t="str">
        <f>IFERROR(__xludf.DUMMYFUNCTION("IF(LEN(D4105)&gt;4, IFERROR(REGEXEXTRACT(TO_TEXT(D4105),""\d+""),""""),"""")"),"22795")</f>
        <v>22795</v>
      </c>
      <c r="F4105" s="6" t="str">
        <f t="shared" si="3"/>
        <v>Product</v>
      </c>
      <c r="G4105" s="1" t="s">
        <v>1555</v>
      </c>
      <c r="H4105" s="6" t="str">
        <f>IFERROR(__xludf.DUMMYFUNCTION("IF(REGEXMATCH(LOWER(G4105), ""^(\?)+\s*(missing)?\s*(\?)*$""), """", PROPER(SUBSTITUTE(SUBSTITUTE(G4105, ""?"", """"), ""*"", """")))"),"Sweetheart Recipe Book Stand")</f>
        <v>Sweetheart Recipe Book Stand</v>
      </c>
      <c r="I4105" s="3">
        <v>1.0</v>
      </c>
      <c r="J4105" s="7">
        <v>40886.41875</v>
      </c>
      <c r="K4105" s="8" t="str">
        <f t="shared" si="4"/>
        <v>2011-12</v>
      </c>
      <c r="L4105" s="5">
        <v>13.29</v>
      </c>
      <c r="M4105" s="10"/>
      <c r="N4105" s="1" t="str">
        <f t="shared" si="5"/>
        <v>Guest</v>
      </c>
      <c r="O4105" s="1" t="s">
        <v>19</v>
      </c>
      <c r="P4105" s="9" t="str">
        <f t="shared" si="6"/>
        <v>UK</v>
      </c>
      <c r="Q4105" s="8">
        <f t="shared" si="7"/>
        <v>13.29</v>
      </c>
    </row>
    <row r="4106">
      <c r="A4106" s="1">
        <v>581492.0</v>
      </c>
      <c r="B4106" s="1" t="str">
        <f t="shared" si="1"/>
        <v>581492</v>
      </c>
      <c r="C4106" s="1" t="str">
        <f t="shared" si="2"/>
        <v>Sale</v>
      </c>
      <c r="D4106" s="1">
        <v>22798.0</v>
      </c>
      <c r="E4106" s="1" t="str">
        <f>IFERROR(__xludf.DUMMYFUNCTION("IF(LEN(D4106)&gt;4, IFERROR(REGEXEXTRACT(TO_TEXT(D4106),""\d+""),""""),"""")"),"22798")</f>
        <v>22798</v>
      </c>
      <c r="F4106" s="6" t="str">
        <f t="shared" si="3"/>
        <v>Product</v>
      </c>
      <c r="G4106" s="1" t="s">
        <v>154</v>
      </c>
      <c r="H4106" s="6" t="str">
        <f>IFERROR(__xludf.DUMMYFUNCTION("IF(REGEXMATCH(LOWER(G4106), ""^(\?)+\s*(missing)?\s*(\?)*$""), """", PROPER(SUBSTITUTE(SUBSTITUTE(G4106, ""?"", """"), ""*"", """")))"),"Antique Glass Dressing Table Pot")</f>
        <v>Antique Glass Dressing Table Pot</v>
      </c>
      <c r="I4106" s="3">
        <v>3.0</v>
      </c>
      <c r="J4106" s="7">
        <v>40886.41875</v>
      </c>
      <c r="K4106" s="8" t="str">
        <f t="shared" si="4"/>
        <v>2011-12</v>
      </c>
      <c r="L4106" s="5">
        <v>5.79</v>
      </c>
      <c r="M4106" s="10"/>
      <c r="N4106" s="1" t="str">
        <f t="shared" si="5"/>
        <v>Guest</v>
      </c>
      <c r="O4106" s="1" t="s">
        <v>19</v>
      </c>
      <c r="P4106" s="9" t="str">
        <f t="shared" si="6"/>
        <v>UK</v>
      </c>
      <c r="Q4106" s="8">
        <f t="shared" si="7"/>
        <v>17.37</v>
      </c>
    </row>
    <row r="4107">
      <c r="A4107" s="1">
        <v>581492.0</v>
      </c>
      <c r="B4107" s="1" t="str">
        <f t="shared" si="1"/>
        <v>581492</v>
      </c>
      <c r="C4107" s="1" t="str">
        <f t="shared" si="2"/>
        <v>Sale</v>
      </c>
      <c r="D4107" s="1">
        <v>22800.0</v>
      </c>
      <c r="E4107" s="1" t="str">
        <f>IFERROR(__xludf.DUMMYFUNCTION("IF(LEN(D4107)&gt;4, IFERROR(REGEXEXTRACT(TO_TEXT(D4107),""\d+""),""""),"""")"),"22800")</f>
        <v>22800</v>
      </c>
      <c r="F4107" s="6" t="str">
        <f t="shared" si="3"/>
        <v>Product</v>
      </c>
      <c r="G4107" s="1" t="s">
        <v>1111</v>
      </c>
      <c r="H4107" s="6" t="str">
        <f>IFERROR(__xludf.DUMMYFUNCTION("IF(REGEXMATCH(LOWER(G4107), ""^(\?)+\s*(missing)?\s*(\?)*$""), """", PROPER(SUBSTITUTE(SUBSTITUTE(G4107, ""?"", """"), ""*"", """")))"),"Antique Tall Swirlglass Trinket Pot")</f>
        <v>Antique Tall Swirlglass Trinket Pot</v>
      </c>
      <c r="I4107" s="3">
        <v>3.0</v>
      </c>
      <c r="J4107" s="7">
        <v>40886.41875</v>
      </c>
      <c r="K4107" s="8" t="str">
        <f t="shared" si="4"/>
        <v>2011-12</v>
      </c>
      <c r="L4107" s="5">
        <v>7.46</v>
      </c>
      <c r="M4107" s="10"/>
      <c r="N4107" s="1" t="str">
        <f t="shared" si="5"/>
        <v>Guest</v>
      </c>
      <c r="O4107" s="1" t="s">
        <v>19</v>
      </c>
      <c r="P4107" s="9" t="str">
        <f t="shared" si="6"/>
        <v>UK</v>
      </c>
      <c r="Q4107" s="8">
        <f t="shared" si="7"/>
        <v>22.38</v>
      </c>
    </row>
    <row r="4108">
      <c r="A4108" s="1">
        <v>581492.0</v>
      </c>
      <c r="B4108" s="1" t="str">
        <f t="shared" si="1"/>
        <v>581492</v>
      </c>
      <c r="C4108" s="1" t="str">
        <f t="shared" si="2"/>
        <v>Sale</v>
      </c>
      <c r="D4108" s="1">
        <v>22809.0</v>
      </c>
      <c r="E4108" s="1" t="str">
        <f>IFERROR(__xludf.DUMMYFUNCTION("IF(LEN(D4108)&gt;4, IFERROR(REGEXEXTRACT(TO_TEXT(D4108),""\d+""),""""),"""")"),"22809")</f>
        <v>22809</v>
      </c>
      <c r="F4108" s="6" t="str">
        <f t="shared" si="3"/>
        <v>Product</v>
      </c>
      <c r="G4108" s="1" t="s">
        <v>305</v>
      </c>
      <c r="H4108" s="6" t="str">
        <f>IFERROR(__xludf.DUMMYFUNCTION("IF(REGEXMATCH(LOWER(G4108), ""^(\?)+\s*(missing)?\s*(\?)*$""), """", PROPER(SUBSTITUTE(SUBSTITUTE(G4108, ""?"", """"), ""*"", """")))"),"Set Of 6 T-Lights Santa")</f>
        <v>Set Of 6 T-Lights Santa</v>
      </c>
      <c r="I4108" s="3">
        <v>1.0</v>
      </c>
      <c r="J4108" s="7">
        <v>40886.41875</v>
      </c>
      <c r="K4108" s="8" t="str">
        <f t="shared" si="4"/>
        <v>2011-12</v>
      </c>
      <c r="L4108" s="5">
        <v>5.79</v>
      </c>
      <c r="M4108" s="10"/>
      <c r="N4108" s="1" t="str">
        <f t="shared" si="5"/>
        <v>Guest</v>
      </c>
      <c r="O4108" s="1" t="s">
        <v>19</v>
      </c>
      <c r="P4108" s="9" t="str">
        <f t="shared" si="6"/>
        <v>UK</v>
      </c>
      <c r="Q4108" s="8">
        <f t="shared" si="7"/>
        <v>5.79</v>
      </c>
    </row>
    <row r="4109">
      <c r="A4109" s="1">
        <v>581492.0</v>
      </c>
      <c r="B4109" s="1" t="str">
        <f t="shared" si="1"/>
        <v>581492</v>
      </c>
      <c r="C4109" s="1" t="str">
        <f t="shared" si="2"/>
        <v>Sale</v>
      </c>
      <c r="D4109" s="1">
        <v>22811.0</v>
      </c>
      <c r="E4109" s="1" t="str">
        <f>IFERROR(__xludf.DUMMYFUNCTION("IF(LEN(D4109)&gt;4, IFERROR(REGEXEXTRACT(TO_TEXT(D4109),""\d+""),""""),"""")"),"22811")</f>
        <v>22811</v>
      </c>
      <c r="F4109" s="6" t="str">
        <f t="shared" si="3"/>
        <v>Product</v>
      </c>
      <c r="G4109" s="1" t="s">
        <v>1494</v>
      </c>
      <c r="H4109" s="6" t="str">
        <f>IFERROR(__xludf.DUMMYFUNCTION("IF(REGEXMATCH(LOWER(G4109), ""^(\?)+\s*(missing)?\s*(\?)*$""), """", PROPER(SUBSTITUTE(SUBSTITUTE(G4109, ""?"", """"), ""*"", """")))"),"Set Of 6 T-Lights Cacti")</f>
        <v>Set Of 6 T-Lights Cacti</v>
      </c>
      <c r="I4109" s="3">
        <v>1.0</v>
      </c>
      <c r="J4109" s="7">
        <v>40886.41875</v>
      </c>
      <c r="K4109" s="8" t="str">
        <f t="shared" si="4"/>
        <v>2011-12</v>
      </c>
      <c r="L4109" s="5">
        <v>5.79</v>
      </c>
      <c r="M4109" s="10"/>
      <c r="N4109" s="1" t="str">
        <f t="shared" si="5"/>
        <v>Guest</v>
      </c>
      <c r="O4109" s="1" t="s">
        <v>19</v>
      </c>
      <c r="P4109" s="9" t="str">
        <f t="shared" si="6"/>
        <v>UK</v>
      </c>
      <c r="Q4109" s="8">
        <f t="shared" si="7"/>
        <v>5.79</v>
      </c>
    </row>
    <row r="4110">
      <c r="A4110" s="1">
        <v>581492.0</v>
      </c>
      <c r="B4110" s="1" t="str">
        <f t="shared" si="1"/>
        <v>581492</v>
      </c>
      <c r="C4110" s="1" t="str">
        <f t="shared" si="2"/>
        <v>Sale</v>
      </c>
      <c r="D4110" s="1">
        <v>22814.0</v>
      </c>
      <c r="E4110" s="1" t="str">
        <f>IFERROR(__xludf.DUMMYFUNCTION("IF(LEN(D4110)&gt;4, IFERROR(REGEXEXTRACT(TO_TEXT(D4110),""\d+""),""""),"""")"),"22814")</f>
        <v>22814</v>
      </c>
      <c r="F4110" s="6" t="str">
        <f t="shared" si="3"/>
        <v>Product</v>
      </c>
      <c r="G4110" s="1" t="s">
        <v>1370</v>
      </c>
      <c r="H4110" s="6" t="str">
        <f>IFERROR(__xludf.DUMMYFUNCTION("IF(REGEXMATCH(LOWER(G4110), ""^(\?)+\s*(missing)?\s*(\?)*$""), """", PROPER(SUBSTITUTE(SUBSTITUTE(G4110, ""?"", """"), ""*"", """")))"),"Card Party Games")</f>
        <v>Card Party Games</v>
      </c>
      <c r="I4110" s="3">
        <v>9.0</v>
      </c>
      <c r="J4110" s="7">
        <v>40886.41875</v>
      </c>
      <c r="K4110" s="8" t="str">
        <f t="shared" si="4"/>
        <v>2011-12</v>
      </c>
      <c r="L4110" s="5">
        <v>0.42</v>
      </c>
      <c r="M4110" s="10"/>
      <c r="N4110" s="1" t="str">
        <f t="shared" si="5"/>
        <v>Guest</v>
      </c>
      <c r="O4110" s="1" t="s">
        <v>19</v>
      </c>
      <c r="P4110" s="9" t="str">
        <f t="shared" si="6"/>
        <v>UK</v>
      </c>
      <c r="Q4110" s="8">
        <f t="shared" si="7"/>
        <v>3.78</v>
      </c>
    </row>
    <row r="4111">
      <c r="A4111" s="1">
        <v>581492.0</v>
      </c>
      <c r="B4111" s="1" t="str">
        <f t="shared" si="1"/>
        <v>581492</v>
      </c>
      <c r="C4111" s="1" t="str">
        <f t="shared" si="2"/>
        <v>Sale</v>
      </c>
      <c r="D4111" s="1">
        <v>22815.0</v>
      </c>
      <c r="E4111" s="1" t="str">
        <f>IFERROR(__xludf.DUMMYFUNCTION("IF(LEN(D4111)&gt;4, IFERROR(REGEXEXTRACT(TO_TEXT(D4111),""\d+""),""""),"""")"),"22815")</f>
        <v>22815</v>
      </c>
      <c r="F4111" s="6" t="str">
        <f t="shared" si="3"/>
        <v>Product</v>
      </c>
      <c r="G4111" s="1" t="s">
        <v>689</v>
      </c>
      <c r="H4111" s="6" t="str">
        <f>IFERROR(__xludf.DUMMYFUNCTION("IF(REGEXMATCH(LOWER(G4111), ""^(\?)+\s*(missing)?\s*(\?)*$""), """", PROPER(SUBSTITUTE(SUBSTITUTE(G4111, ""?"", """"), ""*"", """")))"),"Card Psychedelic Apples")</f>
        <v>Card Psychedelic Apples</v>
      </c>
      <c r="I4111" s="3">
        <v>18.0</v>
      </c>
      <c r="J4111" s="7">
        <v>40886.41875</v>
      </c>
      <c r="K4111" s="8" t="str">
        <f t="shared" si="4"/>
        <v>2011-12</v>
      </c>
      <c r="L4111" s="5">
        <v>0.42</v>
      </c>
      <c r="M4111" s="10"/>
      <c r="N4111" s="1" t="str">
        <f t="shared" si="5"/>
        <v>Guest</v>
      </c>
      <c r="O4111" s="1" t="s">
        <v>19</v>
      </c>
      <c r="P4111" s="9" t="str">
        <f t="shared" si="6"/>
        <v>UK</v>
      </c>
      <c r="Q4111" s="8">
        <f t="shared" si="7"/>
        <v>7.56</v>
      </c>
    </row>
    <row r="4112">
      <c r="A4112" s="1">
        <v>581492.0</v>
      </c>
      <c r="B4112" s="1" t="str">
        <f t="shared" si="1"/>
        <v>581492</v>
      </c>
      <c r="C4112" s="1" t="str">
        <f t="shared" si="2"/>
        <v>Sale</v>
      </c>
      <c r="D4112" s="1">
        <v>22816.0</v>
      </c>
      <c r="E4112" s="1" t="str">
        <f>IFERROR(__xludf.DUMMYFUNCTION("IF(LEN(D4112)&gt;4, IFERROR(REGEXEXTRACT(TO_TEXT(D4112),""\d+""),""""),"""")"),"22816")</f>
        <v>22816</v>
      </c>
      <c r="F4112" s="6" t="str">
        <f t="shared" si="3"/>
        <v>Product</v>
      </c>
      <c r="G4112" s="1" t="s">
        <v>1549</v>
      </c>
      <c r="H4112" s="6" t="str">
        <f>IFERROR(__xludf.DUMMYFUNCTION("IF(REGEXMATCH(LOWER(G4112), ""^(\?)+\s*(missing)?\s*(\?)*$""), """", PROPER(SUBSTITUTE(SUBSTITUTE(G4112, ""?"", """"), ""*"", """")))"),"Card Motorbike Santa")</f>
        <v>Card Motorbike Santa</v>
      </c>
      <c r="I4112" s="3">
        <v>2.0</v>
      </c>
      <c r="J4112" s="7">
        <v>40886.41875</v>
      </c>
      <c r="K4112" s="8" t="str">
        <f t="shared" si="4"/>
        <v>2011-12</v>
      </c>
      <c r="L4112" s="5">
        <v>0.42</v>
      </c>
      <c r="M4112" s="10"/>
      <c r="N4112" s="1" t="str">
        <f t="shared" si="5"/>
        <v>Guest</v>
      </c>
      <c r="O4112" s="1" t="s">
        <v>19</v>
      </c>
      <c r="P4112" s="9" t="str">
        <f t="shared" si="6"/>
        <v>UK</v>
      </c>
      <c r="Q4112" s="8">
        <f t="shared" si="7"/>
        <v>0.84</v>
      </c>
    </row>
    <row r="4113">
      <c r="A4113" s="1">
        <v>581492.0</v>
      </c>
      <c r="B4113" s="1" t="str">
        <f t="shared" si="1"/>
        <v>581492</v>
      </c>
      <c r="C4113" s="1" t="str">
        <f t="shared" si="2"/>
        <v>Sale</v>
      </c>
      <c r="D4113" s="1">
        <v>22817.0</v>
      </c>
      <c r="E4113" s="1" t="str">
        <f>IFERROR(__xludf.DUMMYFUNCTION("IF(LEN(D4113)&gt;4, IFERROR(REGEXEXTRACT(TO_TEXT(D4113),""\d+""),""""),"""")"),"22817")</f>
        <v>22817</v>
      </c>
      <c r="F4113" s="6" t="str">
        <f t="shared" si="3"/>
        <v>Product</v>
      </c>
      <c r="G4113" s="1" t="s">
        <v>1953</v>
      </c>
      <c r="H4113" s="6" t="str">
        <f>IFERROR(__xludf.DUMMYFUNCTION("IF(REGEXMATCH(LOWER(G4113), ""^(\?)+\s*(missing)?\s*(\?)*$""), """", PROPER(SUBSTITUTE(SUBSTITUTE(G4113, ""?"", """"), ""*"", """")))"),"Card Suki Birthday")</f>
        <v>Card Suki Birthday</v>
      </c>
      <c r="I4113" s="3">
        <v>5.0</v>
      </c>
      <c r="J4113" s="7">
        <v>40886.41875</v>
      </c>
      <c r="K4113" s="8" t="str">
        <f t="shared" si="4"/>
        <v>2011-12</v>
      </c>
      <c r="L4113" s="5">
        <v>0.42</v>
      </c>
      <c r="M4113" s="10"/>
      <c r="N4113" s="1" t="str">
        <f t="shared" si="5"/>
        <v>Guest</v>
      </c>
      <c r="O4113" s="1" t="s">
        <v>19</v>
      </c>
      <c r="P4113" s="9" t="str">
        <f t="shared" si="6"/>
        <v>UK</v>
      </c>
      <c r="Q4113" s="8">
        <f t="shared" si="7"/>
        <v>2.1</v>
      </c>
    </row>
    <row r="4114">
      <c r="A4114" s="1">
        <v>581492.0</v>
      </c>
      <c r="B4114" s="1" t="str">
        <f t="shared" si="1"/>
        <v>581492</v>
      </c>
      <c r="C4114" s="1" t="str">
        <f t="shared" si="2"/>
        <v>Sale</v>
      </c>
      <c r="D4114" s="1">
        <v>22818.0</v>
      </c>
      <c r="E4114" s="1" t="str">
        <f>IFERROR(__xludf.DUMMYFUNCTION("IF(LEN(D4114)&gt;4, IFERROR(REGEXEXTRACT(TO_TEXT(D4114),""\d+""),""""),"""")"),"22818")</f>
        <v>22818</v>
      </c>
      <c r="F4114" s="6" t="str">
        <f t="shared" si="3"/>
        <v>Product</v>
      </c>
      <c r="G4114" s="1" t="s">
        <v>1550</v>
      </c>
      <c r="H4114" s="6" t="str">
        <f>IFERROR(__xludf.DUMMYFUNCTION("IF(REGEXMATCH(LOWER(G4114), ""^(\?)+\s*(missing)?\s*(\?)*$""), """", PROPER(SUBSTITUTE(SUBSTITUTE(G4114, ""?"", """"), ""*"", """")))"),"Card Christmas Village")</f>
        <v>Card Christmas Village</v>
      </c>
      <c r="I4114" s="3">
        <v>6.0</v>
      </c>
      <c r="J4114" s="7">
        <v>40886.41875</v>
      </c>
      <c r="K4114" s="8" t="str">
        <f t="shared" si="4"/>
        <v>2011-12</v>
      </c>
      <c r="L4114" s="5">
        <v>0.42</v>
      </c>
      <c r="M4114" s="10"/>
      <c r="N4114" s="1" t="str">
        <f t="shared" si="5"/>
        <v>Guest</v>
      </c>
      <c r="O4114" s="1" t="s">
        <v>19</v>
      </c>
      <c r="P4114" s="9" t="str">
        <f t="shared" si="6"/>
        <v>UK</v>
      </c>
      <c r="Q4114" s="8">
        <f t="shared" si="7"/>
        <v>2.52</v>
      </c>
    </row>
    <row r="4115">
      <c r="A4115" s="1">
        <v>581492.0</v>
      </c>
      <c r="B4115" s="1" t="str">
        <f t="shared" si="1"/>
        <v>581492</v>
      </c>
      <c r="C4115" s="1" t="str">
        <f t="shared" si="2"/>
        <v>Sale</v>
      </c>
      <c r="D4115" s="1">
        <v>22819.0</v>
      </c>
      <c r="E4115" s="1" t="str">
        <f>IFERROR(__xludf.DUMMYFUNCTION("IF(LEN(D4115)&gt;4, IFERROR(REGEXEXTRACT(TO_TEXT(D4115),""\d+""),""""),"""")"),"22819")</f>
        <v>22819</v>
      </c>
      <c r="F4115" s="6" t="str">
        <f t="shared" si="3"/>
        <v>Product</v>
      </c>
      <c r="G4115" s="1" t="s">
        <v>1954</v>
      </c>
      <c r="H4115" s="6" t="str">
        <f>IFERROR(__xludf.DUMMYFUNCTION("IF(REGEXMATCH(LOWER(G4115), ""^(\?)+\s*(missing)?\s*(\?)*$""), """", PROPER(SUBSTITUTE(SUBSTITUTE(G4115, ""?"", """"), ""*"", """")))"),"Birthday Card, Retro Spot")</f>
        <v>Birthday Card, Retro Spot</v>
      </c>
      <c r="I4115" s="3">
        <v>3.0</v>
      </c>
      <c r="J4115" s="7">
        <v>40886.41875</v>
      </c>
      <c r="K4115" s="8" t="str">
        <f t="shared" si="4"/>
        <v>2011-12</v>
      </c>
      <c r="L4115" s="5">
        <v>0.42</v>
      </c>
      <c r="M4115" s="10"/>
      <c r="N4115" s="1" t="str">
        <f t="shared" si="5"/>
        <v>Guest</v>
      </c>
      <c r="O4115" s="1" t="s">
        <v>19</v>
      </c>
      <c r="P4115" s="9" t="str">
        <f t="shared" si="6"/>
        <v>UK</v>
      </c>
      <c r="Q4115" s="8">
        <f t="shared" si="7"/>
        <v>1.26</v>
      </c>
    </row>
    <row r="4116">
      <c r="A4116" s="1">
        <v>581492.0</v>
      </c>
      <c r="B4116" s="1" t="str">
        <f t="shared" si="1"/>
        <v>581492</v>
      </c>
      <c r="C4116" s="1" t="str">
        <f t="shared" si="2"/>
        <v>Sale</v>
      </c>
      <c r="D4116" s="1">
        <v>22821.0</v>
      </c>
      <c r="E4116" s="1" t="str">
        <f>IFERROR(__xludf.DUMMYFUNCTION("IF(LEN(D4116)&gt;4, IFERROR(REGEXEXTRACT(TO_TEXT(D4116),""\d+""),""""),"""")"),"22821")</f>
        <v>22821</v>
      </c>
      <c r="F4116" s="6" t="str">
        <f t="shared" si="3"/>
        <v>Product</v>
      </c>
      <c r="G4116" s="1" t="s">
        <v>1955</v>
      </c>
      <c r="H4116" s="6" t="str">
        <f>IFERROR(__xludf.DUMMYFUNCTION("IF(REGEXMATCH(LOWER(G4116), ""^(\?)+\s*(missing)?\s*(\?)*$""), """", PROPER(SUBSTITUTE(SUBSTITUTE(G4116, ""?"", """"), ""*"", """")))"),"Gift Bag Psychedelic Apples")</f>
        <v>Gift Bag Psychedelic Apples</v>
      </c>
      <c r="I4116" s="3">
        <v>3.0</v>
      </c>
      <c r="J4116" s="7">
        <v>40886.41875</v>
      </c>
      <c r="K4116" s="8" t="str">
        <f t="shared" si="4"/>
        <v>2011-12</v>
      </c>
      <c r="L4116" s="5">
        <v>0.83</v>
      </c>
      <c r="M4116" s="10"/>
      <c r="N4116" s="1" t="str">
        <f t="shared" si="5"/>
        <v>Guest</v>
      </c>
      <c r="O4116" s="1" t="s">
        <v>19</v>
      </c>
      <c r="P4116" s="9" t="str">
        <f t="shared" si="6"/>
        <v>UK</v>
      </c>
      <c r="Q4116" s="8">
        <f t="shared" si="7"/>
        <v>2.49</v>
      </c>
    </row>
    <row r="4117">
      <c r="A4117" s="1">
        <v>581492.0</v>
      </c>
      <c r="B4117" s="1" t="str">
        <f t="shared" si="1"/>
        <v>581492</v>
      </c>
      <c r="C4117" s="1" t="str">
        <f t="shared" si="2"/>
        <v>Sale</v>
      </c>
      <c r="D4117" s="1">
        <v>22835.0</v>
      </c>
      <c r="E4117" s="1" t="str">
        <f>IFERROR(__xludf.DUMMYFUNCTION("IF(LEN(D4117)&gt;4, IFERROR(REGEXEXTRACT(TO_TEXT(D4117),""\d+""),""""),"""")"),"22835")</f>
        <v>22835</v>
      </c>
      <c r="F4117" s="6" t="str">
        <f t="shared" si="3"/>
        <v>Product</v>
      </c>
      <c r="G4117" s="1" t="s">
        <v>267</v>
      </c>
      <c r="H4117" s="6" t="str">
        <f>IFERROR(__xludf.DUMMYFUNCTION("IF(REGEXMATCH(LOWER(G4117), ""^(\?)+\s*(missing)?\s*(\?)*$""), """", PROPER(SUBSTITUTE(SUBSTITUTE(G4117, ""?"", """"), ""*"", """")))"),"Hot Water Bottle I Am So Poorly")</f>
        <v>Hot Water Bottle I Am So Poorly</v>
      </c>
      <c r="I4117" s="3">
        <v>3.0</v>
      </c>
      <c r="J4117" s="7">
        <v>40886.41875</v>
      </c>
      <c r="K4117" s="8" t="str">
        <f t="shared" si="4"/>
        <v>2011-12</v>
      </c>
      <c r="L4117" s="5">
        <v>10.79</v>
      </c>
      <c r="M4117" s="10"/>
      <c r="N4117" s="1" t="str">
        <f t="shared" si="5"/>
        <v>Guest</v>
      </c>
      <c r="O4117" s="1" t="s">
        <v>19</v>
      </c>
      <c r="P4117" s="9" t="str">
        <f t="shared" si="6"/>
        <v>UK</v>
      </c>
      <c r="Q4117" s="8">
        <f t="shared" si="7"/>
        <v>32.37</v>
      </c>
    </row>
    <row r="4118">
      <c r="A4118" s="1">
        <v>581492.0</v>
      </c>
      <c r="B4118" s="1" t="str">
        <f t="shared" si="1"/>
        <v>581492</v>
      </c>
      <c r="C4118" s="1" t="str">
        <f t="shared" si="2"/>
        <v>Sale</v>
      </c>
      <c r="D4118" s="1">
        <v>22865.0</v>
      </c>
      <c r="E4118" s="1" t="str">
        <f>IFERROR(__xludf.DUMMYFUNCTION("IF(LEN(D4118)&gt;4, IFERROR(REGEXEXTRACT(TO_TEXT(D4118),""\d+""),""""),"""")"),"22865")</f>
        <v>22865</v>
      </c>
      <c r="F4118" s="6" t="str">
        <f t="shared" si="3"/>
        <v>Product</v>
      </c>
      <c r="G4118" s="1" t="s">
        <v>247</v>
      </c>
      <c r="H4118" s="6" t="str">
        <f>IFERROR(__xludf.DUMMYFUNCTION("IF(REGEXMATCH(LOWER(G4118), ""^(\?)+\s*(missing)?\s*(\?)*$""), """", PROPER(SUBSTITUTE(SUBSTITUTE(G4118, ""?"", """"), ""*"", """")))"),"Hand Warmer Owl Design")</f>
        <v>Hand Warmer Owl Design</v>
      </c>
      <c r="I4118" s="3">
        <v>2.0</v>
      </c>
      <c r="J4118" s="7">
        <v>40886.41875</v>
      </c>
      <c r="K4118" s="8" t="str">
        <f t="shared" si="4"/>
        <v>2011-12</v>
      </c>
      <c r="L4118" s="5">
        <v>4.13</v>
      </c>
      <c r="M4118" s="10"/>
      <c r="N4118" s="1" t="str">
        <f t="shared" si="5"/>
        <v>Guest</v>
      </c>
      <c r="O4118" s="1" t="s">
        <v>19</v>
      </c>
      <c r="P4118" s="9" t="str">
        <f t="shared" si="6"/>
        <v>UK</v>
      </c>
      <c r="Q4118" s="8">
        <f t="shared" si="7"/>
        <v>8.26</v>
      </c>
    </row>
    <row r="4119">
      <c r="A4119" s="1">
        <v>581492.0</v>
      </c>
      <c r="B4119" s="1" t="str">
        <f t="shared" si="1"/>
        <v>581492</v>
      </c>
      <c r="C4119" s="1" t="str">
        <f t="shared" si="2"/>
        <v>Sale</v>
      </c>
      <c r="D4119" s="1">
        <v>22866.0</v>
      </c>
      <c r="E4119" s="1" t="str">
        <f>IFERROR(__xludf.DUMMYFUNCTION("IF(LEN(D4119)&gt;4, IFERROR(REGEXEXTRACT(TO_TEXT(D4119),""\d+""),""""),"""")"),"22866")</f>
        <v>22866</v>
      </c>
      <c r="F4119" s="6" t="str">
        <f t="shared" si="3"/>
        <v>Product</v>
      </c>
      <c r="G4119" s="1" t="s">
        <v>246</v>
      </c>
      <c r="H4119" s="6" t="str">
        <f>IFERROR(__xludf.DUMMYFUNCTION("IF(REGEXMATCH(LOWER(G4119), ""^(\?)+\s*(missing)?\s*(\?)*$""), """", PROPER(SUBSTITUTE(SUBSTITUTE(G4119, ""?"", """"), ""*"", """")))"),"Hand Warmer Scotty Dog Design")</f>
        <v>Hand Warmer Scotty Dog Design</v>
      </c>
      <c r="I4119" s="3">
        <v>3.0</v>
      </c>
      <c r="J4119" s="7">
        <v>40886.41875</v>
      </c>
      <c r="K4119" s="8" t="str">
        <f t="shared" si="4"/>
        <v>2011-12</v>
      </c>
      <c r="L4119" s="5">
        <v>4.13</v>
      </c>
      <c r="M4119" s="10"/>
      <c r="N4119" s="1" t="str">
        <f t="shared" si="5"/>
        <v>Guest</v>
      </c>
      <c r="O4119" s="1" t="s">
        <v>19</v>
      </c>
      <c r="P4119" s="9" t="str">
        <f t="shared" si="6"/>
        <v>UK</v>
      </c>
      <c r="Q4119" s="8">
        <f t="shared" si="7"/>
        <v>12.39</v>
      </c>
    </row>
    <row r="4120">
      <c r="A4120" s="1">
        <v>581492.0</v>
      </c>
      <c r="B4120" s="1" t="str">
        <f t="shared" si="1"/>
        <v>581492</v>
      </c>
      <c r="C4120" s="1" t="str">
        <f t="shared" si="2"/>
        <v>Sale</v>
      </c>
      <c r="D4120" s="1">
        <v>22867.0</v>
      </c>
      <c r="E4120" s="1" t="str">
        <f>IFERROR(__xludf.DUMMYFUNCTION("IF(LEN(D4120)&gt;4, IFERROR(REGEXEXTRACT(TO_TEXT(D4120),""\d+""),""""),"""")"),"22867")</f>
        <v>22867</v>
      </c>
      <c r="F4120" s="6" t="str">
        <f t="shared" si="3"/>
        <v>Product</v>
      </c>
      <c r="G4120" s="1" t="s">
        <v>257</v>
      </c>
      <c r="H4120" s="6" t="str">
        <f>IFERROR(__xludf.DUMMYFUNCTION("IF(REGEXMATCH(LOWER(G4120), ""^(\?)+\s*(missing)?\s*(\?)*$""), """", PROPER(SUBSTITUTE(SUBSTITUTE(G4120, ""?"", """"), ""*"", """")))"),"Hand Warmer Bird Design")</f>
        <v>Hand Warmer Bird Design</v>
      </c>
      <c r="I4120" s="3">
        <v>4.0</v>
      </c>
      <c r="J4120" s="7">
        <v>40886.41875</v>
      </c>
      <c r="K4120" s="8" t="str">
        <f t="shared" si="4"/>
        <v>2011-12</v>
      </c>
      <c r="L4120" s="5">
        <v>4.13</v>
      </c>
      <c r="M4120" s="10"/>
      <c r="N4120" s="1" t="str">
        <f t="shared" si="5"/>
        <v>Guest</v>
      </c>
      <c r="O4120" s="1" t="s">
        <v>19</v>
      </c>
      <c r="P4120" s="9" t="str">
        <f t="shared" si="6"/>
        <v>UK</v>
      </c>
      <c r="Q4120" s="8">
        <f t="shared" si="7"/>
        <v>16.52</v>
      </c>
    </row>
    <row r="4121">
      <c r="A4121" s="1">
        <v>581492.0</v>
      </c>
      <c r="B4121" s="1" t="str">
        <f t="shared" si="1"/>
        <v>581492</v>
      </c>
      <c r="C4121" s="1" t="str">
        <f t="shared" si="2"/>
        <v>Sale</v>
      </c>
      <c r="D4121" s="1">
        <v>22881.0</v>
      </c>
      <c r="E4121" s="1" t="str">
        <f>IFERROR(__xludf.DUMMYFUNCTION("IF(LEN(D4121)&gt;4, IFERROR(REGEXEXTRACT(TO_TEXT(D4121),""\d+""),""""),"""")"),"22881")</f>
        <v>22881</v>
      </c>
      <c r="F4121" s="6" t="str">
        <f t="shared" si="3"/>
        <v>Product</v>
      </c>
      <c r="G4121" s="1" t="s">
        <v>1956</v>
      </c>
      <c r="H4121" s="6" t="str">
        <f>IFERROR(__xludf.DUMMYFUNCTION("IF(REGEXMATCH(LOWER(G4121), ""^(\?)+\s*(missing)?\s*(\?)*$""), """", PROPER(SUBSTITUTE(SUBSTITUTE(G4121, ""?"", """"), ""*"", """")))"),"Number Tile Vintage Font 2")</f>
        <v>Number Tile Vintage Font 2</v>
      </c>
      <c r="I4121" s="3">
        <v>1.0</v>
      </c>
      <c r="J4121" s="7">
        <v>40886.41875</v>
      </c>
      <c r="K4121" s="8" t="str">
        <f t="shared" si="4"/>
        <v>2011-12</v>
      </c>
      <c r="L4121" s="5">
        <v>4.13</v>
      </c>
      <c r="M4121" s="10"/>
      <c r="N4121" s="1" t="str">
        <f t="shared" si="5"/>
        <v>Guest</v>
      </c>
      <c r="O4121" s="1" t="s">
        <v>19</v>
      </c>
      <c r="P4121" s="9" t="str">
        <f t="shared" si="6"/>
        <v>UK</v>
      </c>
      <c r="Q4121" s="8">
        <f t="shared" si="7"/>
        <v>4.13</v>
      </c>
    </row>
    <row r="4122">
      <c r="A4122" s="1">
        <v>581492.0</v>
      </c>
      <c r="B4122" s="1" t="str">
        <f t="shared" si="1"/>
        <v>581492</v>
      </c>
      <c r="C4122" s="1" t="str">
        <f t="shared" si="2"/>
        <v>Sale</v>
      </c>
      <c r="D4122" s="1">
        <v>22885.0</v>
      </c>
      <c r="E4122" s="1" t="str">
        <f>IFERROR(__xludf.DUMMYFUNCTION("IF(LEN(D4122)&gt;4, IFERROR(REGEXEXTRACT(TO_TEXT(D4122),""\d+""),""""),"""")"),"22885")</f>
        <v>22885</v>
      </c>
      <c r="F4122" s="6" t="str">
        <f t="shared" si="3"/>
        <v>Product</v>
      </c>
      <c r="G4122" s="1" t="s">
        <v>1957</v>
      </c>
      <c r="H4122" s="6" t="str">
        <f>IFERROR(__xludf.DUMMYFUNCTION("IF(REGEXMATCH(LOWER(G4122), ""^(\?)+\s*(missing)?\s*(\?)*$""), """", PROPER(SUBSTITUTE(SUBSTITUTE(G4122, ""?"", """"), ""*"", """")))"),"Number Tile Vintage Font 6")</f>
        <v>Number Tile Vintage Font 6</v>
      </c>
      <c r="I4122" s="3">
        <v>1.0</v>
      </c>
      <c r="J4122" s="7">
        <v>40886.41875</v>
      </c>
      <c r="K4122" s="8" t="str">
        <f t="shared" si="4"/>
        <v>2011-12</v>
      </c>
      <c r="L4122" s="5">
        <v>4.13</v>
      </c>
      <c r="M4122" s="10"/>
      <c r="N4122" s="1" t="str">
        <f t="shared" si="5"/>
        <v>Guest</v>
      </c>
      <c r="O4122" s="1" t="s">
        <v>19</v>
      </c>
      <c r="P4122" s="9" t="str">
        <f t="shared" si="6"/>
        <v>UK</v>
      </c>
      <c r="Q4122" s="8">
        <f t="shared" si="7"/>
        <v>4.13</v>
      </c>
    </row>
    <row r="4123">
      <c r="A4123" s="1">
        <v>581492.0</v>
      </c>
      <c r="B4123" s="1" t="str">
        <f t="shared" si="1"/>
        <v>581492</v>
      </c>
      <c r="C4123" s="1" t="str">
        <f t="shared" si="2"/>
        <v>Sale</v>
      </c>
      <c r="D4123" s="1">
        <v>22888.0</v>
      </c>
      <c r="E4123" s="1" t="str">
        <f>IFERROR(__xludf.DUMMYFUNCTION("IF(LEN(D4123)&gt;4, IFERROR(REGEXEXTRACT(TO_TEXT(D4123),""\d+""),""""),"""")"),"22888")</f>
        <v>22888</v>
      </c>
      <c r="F4123" s="6" t="str">
        <f t="shared" si="3"/>
        <v>Product</v>
      </c>
      <c r="G4123" s="1" t="s">
        <v>1958</v>
      </c>
      <c r="H4123" s="6" t="str">
        <f>IFERROR(__xludf.DUMMYFUNCTION("IF(REGEXMATCH(LOWER(G4123), ""^(\?)+\s*(missing)?\s*(\?)*$""), """", PROPER(SUBSTITUTE(SUBSTITUTE(G4123, ""?"", """"), ""*"", """")))"),"Number Tile Vintage Font 9")</f>
        <v>Number Tile Vintage Font 9</v>
      </c>
      <c r="I4123" s="3">
        <v>1.0</v>
      </c>
      <c r="J4123" s="7">
        <v>40886.41875</v>
      </c>
      <c r="K4123" s="8" t="str">
        <f t="shared" si="4"/>
        <v>2011-12</v>
      </c>
      <c r="L4123" s="5">
        <v>4.13</v>
      </c>
      <c r="M4123" s="10"/>
      <c r="N4123" s="1" t="str">
        <f t="shared" si="5"/>
        <v>Guest</v>
      </c>
      <c r="O4123" s="1" t="s">
        <v>19</v>
      </c>
      <c r="P4123" s="9" t="str">
        <f t="shared" si="6"/>
        <v>UK</v>
      </c>
      <c r="Q4123" s="8">
        <f t="shared" si="7"/>
        <v>4.13</v>
      </c>
    </row>
    <row r="4124">
      <c r="A4124" s="1">
        <v>581492.0</v>
      </c>
      <c r="B4124" s="1" t="str">
        <f t="shared" si="1"/>
        <v>581492</v>
      </c>
      <c r="C4124" s="1" t="str">
        <f t="shared" si="2"/>
        <v>Sale</v>
      </c>
      <c r="D4124" s="1">
        <v>22890.0</v>
      </c>
      <c r="E4124" s="1" t="str">
        <f>IFERROR(__xludf.DUMMYFUNCTION("IF(LEN(D4124)&gt;4, IFERROR(REGEXEXTRACT(TO_TEXT(D4124),""\d+""),""""),"""")"),"22890")</f>
        <v>22890</v>
      </c>
      <c r="F4124" s="6" t="str">
        <f t="shared" si="3"/>
        <v>Product</v>
      </c>
      <c r="G4124" s="1" t="s">
        <v>1106</v>
      </c>
      <c r="H4124" s="6" t="str">
        <f>IFERROR(__xludf.DUMMYFUNCTION("IF(REGEXMATCH(LOWER(G4124), ""^(\?)+\s*(missing)?\s*(\?)*$""), """", PROPER(SUBSTITUTE(SUBSTITUTE(G4124, ""?"", """"), ""*"", """")))"),"Novelty Biscuits Cake Stand 3 Tier")</f>
        <v>Novelty Biscuits Cake Stand 3 Tier</v>
      </c>
      <c r="I4124" s="3">
        <v>1.0</v>
      </c>
      <c r="J4124" s="7">
        <v>40886.41875</v>
      </c>
      <c r="K4124" s="8" t="str">
        <f t="shared" si="4"/>
        <v>2011-12</v>
      </c>
      <c r="L4124" s="5">
        <v>19.96</v>
      </c>
      <c r="M4124" s="10"/>
      <c r="N4124" s="1" t="str">
        <f t="shared" si="5"/>
        <v>Guest</v>
      </c>
      <c r="O4124" s="1" t="s">
        <v>19</v>
      </c>
      <c r="P4124" s="9" t="str">
        <f t="shared" si="6"/>
        <v>UK</v>
      </c>
      <c r="Q4124" s="8">
        <f t="shared" si="7"/>
        <v>19.96</v>
      </c>
    </row>
    <row r="4125">
      <c r="A4125" s="1">
        <v>581492.0</v>
      </c>
      <c r="B4125" s="1" t="str">
        <f t="shared" si="1"/>
        <v>581492</v>
      </c>
      <c r="C4125" s="1" t="str">
        <f t="shared" si="2"/>
        <v>Sale</v>
      </c>
      <c r="D4125" s="1">
        <v>22898.0</v>
      </c>
      <c r="E4125" s="1" t="str">
        <f>IFERROR(__xludf.DUMMYFUNCTION("IF(LEN(D4125)&gt;4, IFERROR(REGEXEXTRACT(TO_TEXT(D4125),""\d+""),""""),"""")"),"22898")</f>
        <v>22898</v>
      </c>
      <c r="F4125" s="6" t="str">
        <f t="shared" si="3"/>
        <v>Product</v>
      </c>
      <c r="G4125" s="1" t="s">
        <v>824</v>
      </c>
      <c r="H4125" s="6" t="str">
        <f>IFERROR(__xludf.DUMMYFUNCTION("IF(REGEXMATCH(LOWER(G4125), ""^(\?)+\s*(missing)?\s*(\?)*$""), """", PROPER(SUBSTITUTE(SUBSTITUTE(G4125, ""?"", """"), ""*"", """")))"),"Childrens Apron Apples Design")</f>
        <v>Childrens Apron Apples Design</v>
      </c>
      <c r="I4125" s="3">
        <v>1.0</v>
      </c>
      <c r="J4125" s="7">
        <v>40886.41875</v>
      </c>
      <c r="K4125" s="8" t="str">
        <f t="shared" si="4"/>
        <v>2011-12</v>
      </c>
      <c r="L4125" s="5">
        <v>4.13</v>
      </c>
      <c r="M4125" s="10"/>
      <c r="N4125" s="1" t="str">
        <f t="shared" si="5"/>
        <v>Guest</v>
      </c>
      <c r="O4125" s="1" t="s">
        <v>19</v>
      </c>
      <c r="P4125" s="9" t="str">
        <f t="shared" si="6"/>
        <v>UK</v>
      </c>
      <c r="Q4125" s="8">
        <f t="shared" si="7"/>
        <v>4.13</v>
      </c>
    </row>
    <row r="4126">
      <c r="A4126" s="1">
        <v>581492.0</v>
      </c>
      <c r="B4126" s="1" t="str">
        <f t="shared" si="1"/>
        <v>581492</v>
      </c>
      <c r="C4126" s="1" t="str">
        <f t="shared" si="2"/>
        <v>Sale</v>
      </c>
      <c r="D4126" s="1">
        <v>22899.0</v>
      </c>
      <c r="E4126" s="1" t="str">
        <f>IFERROR(__xludf.DUMMYFUNCTION("IF(LEN(D4126)&gt;4, IFERROR(REGEXEXTRACT(TO_TEXT(D4126),""\d+""),""""),"""")"),"22899")</f>
        <v>22899</v>
      </c>
      <c r="F4126" s="6" t="str">
        <f t="shared" si="3"/>
        <v>Product</v>
      </c>
      <c r="G4126" s="1" t="s">
        <v>487</v>
      </c>
      <c r="H4126" s="6" t="str">
        <f>IFERROR(__xludf.DUMMYFUNCTION("IF(REGEXMATCH(LOWER(G4126), ""^(\?)+\s*(missing)?\s*(\?)*$""), """", PROPER(SUBSTITUTE(SUBSTITUTE(G4126, ""?"", """"), ""*"", """")))"),"Children'S Apron Dolly Girl")</f>
        <v>Children'S Apron Dolly Girl</v>
      </c>
      <c r="I4126" s="3">
        <v>2.0</v>
      </c>
      <c r="J4126" s="7">
        <v>40886.41875</v>
      </c>
      <c r="K4126" s="8" t="str">
        <f t="shared" si="4"/>
        <v>2011-12</v>
      </c>
      <c r="L4126" s="5">
        <v>4.13</v>
      </c>
      <c r="M4126" s="10"/>
      <c r="N4126" s="1" t="str">
        <f t="shared" si="5"/>
        <v>Guest</v>
      </c>
      <c r="O4126" s="1" t="s">
        <v>19</v>
      </c>
      <c r="P4126" s="9" t="str">
        <f t="shared" si="6"/>
        <v>UK</v>
      </c>
      <c r="Q4126" s="8">
        <f t="shared" si="7"/>
        <v>8.26</v>
      </c>
    </row>
    <row r="4127">
      <c r="A4127" s="1">
        <v>581492.0</v>
      </c>
      <c r="B4127" s="1" t="str">
        <f t="shared" si="1"/>
        <v>581492</v>
      </c>
      <c r="C4127" s="1" t="str">
        <f t="shared" si="2"/>
        <v>Sale</v>
      </c>
      <c r="D4127" s="1">
        <v>22900.0</v>
      </c>
      <c r="E4127" s="1" t="str">
        <f>IFERROR(__xludf.DUMMYFUNCTION("IF(LEN(D4127)&gt;4, IFERROR(REGEXEXTRACT(TO_TEXT(D4127),""\d+""),""""),"""")"),"22900")</f>
        <v>22900</v>
      </c>
      <c r="F4127" s="6" t="str">
        <f t="shared" si="3"/>
        <v>Product</v>
      </c>
      <c r="G4127" s="1" t="s">
        <v>63</v>
      </c>
      <c r="H4127" s="6" t="str">
        <f>IFERROR(__xludf.DUMMYFUNCTION("IF(REGEXMATCH(LOWER(G4127), ""^(\?)+\s*(missing)?\s*(\?)*$""), """", PROPER(SUBSTITUTE(SUBSTITUTE(G4127, ""?"", """"), ""*"", """")))"),"Set 2 Tea Towels I Love London")</f>
        <v>Set 2 Tea Towels I Love London</v>
      </c>
      <c r="I4127" s="3">
        <v>3.0</v>
      </c>
      <c r="J4127" s="7">
        <v>40886.41875</v>
      </c>
      <c r="K4127" s="8" t="str">
        <f t="shared" si="4"/>
        <v>2011-12</v>
      </c>
      <c r="L4127" s="5">
        <v>6.63</v>
      </c>
      <c r="M4127" s="10"/>
      <c r="N4127" s="1" t="str">
        <f t="shared" si="5"/>
        <v>Guest</v>
      </c>
      <c r="O4127" s="1" t="s">
        <v>19</v>
      </c>
      <c r="P4127" s="9" t="str">
        <f t="shared" si="6"/>
        <v>UK</v>
      </c>
      <c r="Q4127" s="8">
        <f t="shared" si="7"/>
        <v>19.89</v>
      </c>
    </row>
    <row r="4128">
      <c r="A4128" s="1">
        <v>581492.0</v>
      </c>
      <c r="B4128" s="1" t="str">
        <f t="shared" si="1"/>
        <v>581492</v>
      </c>
      <c r="C4128" s="1" t="str">
        <f t="shared" si="2"/>
        <v>Sale</v>
      </c>
      <c r="D4128" s="1">
        <v>22905.0</v>
      </c>
      <c r="E4128" s="1" t="str">
        <f>IFERROR(__xludf.DUMMYFUNCTION("IF(LEN(D4128)&gt;4, IFERROR(REGEXEXTRACT(TO_TEXT(D4128),""\d+""),""""),"""")"),"22905")</f>
        <v>22905</v>
      </c>
      <c r="F4128" s="6" t="str">
        <f t="shared" si="3"/>
        <v>Product</v>
      </c>
      <c r="G4128" s="1" t="s">
        <v>677</v>
      </c>
      <c r="H4128" s="6" t="str">
        <f>IFERROR(__xludf.DUMMYFUNCTION("IF(REGEXMATCH(LOWER(G4128), ""^(\?)+\s*(missing)?\s*(\?)*$""), """", PROPER(SUBSTITUTE(SUBSTITUTE(G4128, ""?"", """"), ""*"", """")))"),"Calendar In Season Design")</f>
        <v>Calendar In Season Design</v>
      </c>
      <c r="I4128" s="3">
        <v>1.0</v>
      </c>
      <c r="J4128" s="7">
        <v>40886.41875</v>
      </c>
      <c r="K4128" s="8" t="str">
        <f t="shared" si="4"/>
        <v>2011-12</v>
      </c>
      <c r="L4128" s="5">
        <v>2.46</v>
      </c>
      <c r="M4128" s="10"/>
      <c r="N4128" s="1" t="str">
        <f t="shared" si="5"/>
        <v>Guest</v>
      </c>
      <c r="O4128" s="1" t="s">
        <v>19</v>
      </c>
      <c r="P4128" s="9" t="str">
        <f t="shared" si="6"/>
        <v>UK</v>
      </c>
      <c r="Q4128" s="8">
        <f t="shared" si="7"/>
        <v>2.46</v>
      </c>
    </row>
    <row r="4129">
      <c r="A4129" s="1">
        <v>581492.0</v>
      </c>
      <c r="B4129" s="1" t="str">
        <f t="shared" si="1"/>
        <v>581492</v>
      </c>
      <c r="C4129" s="1" t="str">
        <f t="shared" si="2"/>
        <v>Sale</v>
      </c>
      <c r="D4129" s="1">
        <v>22907.0</v>
      </c>
      <c r="E4129" s="1" t="str">
        <f>IFERROR(__xludf.DUMMYFUNCTION("IF(LEN(D4129)&gt;4, IFERROR(REGEXEXTRACT(TO_TEXT(D4129),""\d+""),""""),"""")"),"22907")</f>
        <v>22907</v>
      </c>
      <c r="F4129" s="6" t="str">
        <f t="shared" si="3"/>
        <v>Product</v>
      </c>
      <c r="G4129" s="1" t="s">
        <v>691</v>
      </c>
      <c r="H4129" s="6" t="str">
        <f>IFERROR(__xludf.DUMMYFUNCTION("IF(REGEXMATCH(LOWER(G4129), ""^(\?)+\s*(missing)?\s*(\?)*$""), """", PROPER(SUBSTITUTE(SUBSTITUTE(G4129, ""?"", """"), ""*"", """")))"),"Pack Of 20 Napkins Pantry Design")</f>
        <v>Pack Of 20 Napkins Pantry Design</v>
      </c>
      <c r="I4129" s="3">
        <v>1.0</v>
      </c>
      <c r="J4129" s="7">
        <v>40886.41875</v>
      </c>
      <c r="K4129" s="8" t="str">
        <f t="shared" si="4"/>
        <v>2011-12</v>
      </c>
      <c r="L4129" s="5">
        <v>1.63</v>
      </c>
      <c r="M4129" s="10"/>
      <c r="N4129" s="1" t="str">
        <f t="shared" si="5"/>
        <v>Guest</v>
      </c>
      <c r="O4129" s="1" t="s">
        <v>19</v>
      </c>
      <c r="P4129" s="9" t="str">
        <f t="shared" si="6"/>
        <v>UK</v>
      </c>
      <c r="Q4129" s="8">
        <f t="shared" si="7"/>
        <v>1.63</v>
      </c>
    </row>
    <row r="4130">
      <c r="A4130" s="1">
        <v>581492.0</v>
      </c>
      <c r="B4130" s="1" t="str">
        <f t="shared" si="1"/>
        <v>581492</v>
      </c>
      <c r="C4130" s="1" t="str">
        <f t="shared" si="2"/>
        <v>Sale</v>
      </c>
      <c r="D4130" s="1">
        <v>22909.0</v>
      </c>
      <c r="E4130" s="1" t="str">
        <f>IFERROR(__xludf.DUMMYFUNCTION("IF(LEN(D4130)&gt;4, IFERROR(REGEXEXTRACT(TO_TEXT(D4130),""\d+""),""""),"""")"),"22909")</f>
        <v>22909</v>
      </c>
      <c r="F4130" s="6" t="str">
        <f t="shared" si="3"/>
        <v>Product</v>
      </c>
      <c r="G4130" s="1" t="s">
        <v>468</v>
      </c>
      <c r="H4130" s="6" t="str">
        <f>IFERROR(__xludf.DUMMYFUNCTION("IF(REGEXMATCH(LOWER(G4130), ""^(\?)+\s*(missing)?\s*(\?)*$""), """", PROPER(SUBSTITUTE(SUBSTITUTE(G4130, ""?"", """"), ""*"", """")))"),"Set Of 20 Vintage Christmas Napkins")</f>
        <v>Set Of 20 Vintage Christmas Napkins</v>
      </c>
      <c r="I4130" s="3">
        <v>5.0</v>
      </c>
      <c r="J4130" s="7">
        <v>40886.41875</v>
      </c>
      <c r="K4130" s="8" t="str">
        <f t="shared" si="4"/>
        <v>2011-12</v>
      </c>
      <c r="L4130" s="5">
        <v>1.63</v>
      </c>
      <c r="M4130" s="10"/>
      <c r="N4130" s="1" t="str">
        <f t="shared" si="5"/>
        <v>Guest</v>
      </c>
      <c r="O4130" s="1" t="s">
        <v>19</v>
      </c>
      <c r="P4130" s="9" t="str">
        <f t="shared" si="6"/>
        <v>UK</v>
      </c>
      <c r="Q4130" s="8">
        <f t="shared" si="7"/>
        <v>8.15</v>
      </c>
    </row>
    <row r="4131">
      <c r="A4131" s="1">
        <v>581492.0</v>
      </c>
      <c r="B4131" s="1" t="str">
        <f t="shared" si="1"/>
        <v>581492</v>
      </c>
      <c r="C4131" s="1" t="str">
        <f t="shared" si="2"/>
        <v>Sale</v>
      </c>
      <c r="D4131" s="1">
        <v>22910.0</v>
      </c>
      <c r="E4131" s="1" t="str">
        <f>IFERROR(__xludf.DUMMYFUNCTION("IF(LEN(D4131)&gt;4, IFERROR(REGEXEXTRACT(TO_TEXT(D4131),""\d+""),""""),"""")"),"22910")</f>
        <v>22910</v>
      </c>
      <c r="F4131" s="6" t="str">
        <f t="shared" si="3"/>
        <v>Product</v>
      </c>
      <c r="G4131" s="1" t="s">
        <v>215</v>
      </c>
      <c r="H4131" s="6" t="str">
        <f>IFERROR(__xludf.DUMMYFUNCTION("IF(REGEXMATCH(LOWER(G4131), ""^(\?)+\s*(missing)?\s*(\?)*$""), """", PROPER(SUBSTITUTE(SUBSTITUTE(G4131, ""?"", """"), ""*"", """")))"),"Paper Chain Kit Vintage Christmas")</f>
        <v>Paper Chain Kit Vintage Christmas</v>
      </c>
      <c r="I4131" s="3">
        <v>7.0</v>
      </c>
      <c r="J4131" s="7">
        <v>40886.41875</v>
      </c>
      <c r="K4131" s="8" t="str">
        <f t="shared" si="4"/>
        <v>2011-12</v>
      </c>
      <c r="L4131" s="5">
        <v>5.79</v>
      </c>
      <c r="M4131" s="10"/>
      <c r="N4131" s="1" t="str">
        <f t="shared" si="5"/>
        <v>Guest</v>
      </c>
      <c r="O4131" s="1" t="s">
        <v>19</v>
      </c>
      <c r="P4131" s="9" t="str">
        <f t="shared" si="6"/>
        <v>UK</v>
      </c>
      <c r="Q4131" s="8">
        <f t="shared" si="7"/>
        <v>40.53</v>
      </c>
    </row>
    <row r="4132">
      <c r="A4132" s="1">
        <v>581492.0</v>
      </c>
      <c r="B4132" s="1" t="str">
        <f t="shared" si="1"/>
        <v>581492</v>
      </c>
      <c r="C4132" s="1" t="str">
        <f t="shared" si="2"/>
        <v>Sale</v>
      </c>
      <c r="D4132" s="1">
        <v>22914.0</v>
      </c>
      <c r="E4132" s="1" t="str">
        <f>IFERROR(__xludf.DUMMYFUNCTION("IF(LEN(D4132)&gt;4, IFERROR(REGEXEXTRACT(TO_TEXT(D4132),""\d+""),""""),"""")"),"22914")</f>
        <v>22914</v>
      </c>
      <c r="F4132" s="6" t="str">
        <f t="shared" si="3"/>
        <v>Product</v>
      </c>
      <c r="G4132" s="1" t="s">
        <v>46</v>
      </c>
      <c r="H4132" s="6" t="str">
        <f>IFERROR(__xludf.DUMMYFUNCTION("IF(REGEXMATCH(LOWER(G4132), ""^(\?)+\s*(missing)?\s*(\?)*$""), """", PROPER(SUBSTITUTE(SUBSTITUTE(G4132, ""?"", """"), ""*"", """")))"),"Blue Coat Rack Paris Fashion")</f>
        <v>Blue Coat Rack Paris Fashion</v>
      </c>
      <c r="I4132" s="3">
        <v>1.0</v>
      </c>
      <c r="J4132" s="7">
        <v>40886.41875</v>
      </c>
      <c r="K4132" s="8" t="str">
        <f t="shared" si="4"/>
        <v>2011-12</v>
      </c>
      <c r="L4132" s="5">
        <v>10.79</v>
      </c>
      <c r="M4132" s="10"/>
      <c r="N4132" s="1" t="str">
        <f t="shared" si="5"/>
        <v>Guest</v>
      </c>
      <c r="O4132" s="1" t="s">
        <v>19</v>
      </c>
      <c r="P4132" s="9" t="str">
        <f t="shared" si="6"/>
        <v>UK</v>
      </c>
      <c r="Q4132" s="8">
        <f t="shared" si="7"/>
        <v>10.79</v>
      </c>
    </row>
    <row r="4133">
      <c r="A4133" s="1">
        <v>581492.0</v>
      </c>
      <c r="B4133" s="1" t="str">
        <f t="shared" si="1"/>
        <v>581492</v>
      </c>
      <c r="C4133" s="1" t="str">
        <f t="shared" si="2"/>
        <v>Sale</v>
      </c>
      <c r="D4133" s="1">
        <v>22922.0</v>
      </c>
      <c r="E4133" s="1" t="str">
        <f>IFERROR(__xludf.DUMMYFUNCTION("IF(LEN(D4133)&gt;4, IFERROR(REGEXEXTRACT(TO_TEXT(D4133),""\d+""),""""),"""")"),"22922")</f>
        <v>22922</v>
      </c>
      <c r="F4133" s="6" t="str">
        <f t="shared" si="3"/>
        <v>Product</v>
      </c>
      <c r="G4133" s="1" t="s">
        <v>191</v>
      </c>
      <c r="H4133" s="6" t="str">
        <f>IFERROR(__xludf.DUMMYFUNCTION("IF(REGEXMATCH(LOWER(G4133), ""^(\?)+\s*(missing)?\s*(\?)*$""), """", PROPER(SUBSTITUTE(SUBSTITUTE(G4133, ""?"", """"), ""*"", """")))"),"Fridge Magnets Us Diner Assorted")</f>
        <v>Fridge Magnets Us Diner Assorted</v>
      </c>
      <c r="I4133" s="3">
        <v>6.0</v>
      </c>
      <c r="J4133" s="7">
        <v>40886.41875</v>
      </c>
      <c r="K4133" s="8" t="str">
        <f t="shared" si="4"/>
        <v>2011-12</v>
      </c>
      <c r="L4133" s="5">
        <v>1.8</v>
      </c>
      <c r="M4133" s="10"/>
      <c r="N4133" s="1" t="str">
        <f t="shared" si="5"/>
        <v>Guest</v>
      </c>
      <c r="O4133" s="1" t="s">
        <v>19</v>
      </c>
      <c r="P4133" s="9" t="str">
        <f t="shared" si="6"/>
        <v>UK</v>
      </c>
      <c r="Q4133" s="8">
        <f t="shared" si="7"/>
        <v>10.8</v>
      </c>
    </row>
    <row r="4134">
      <c r="A4134" s="1">
        <v>581492.0</v>
      </c>
      <c r="B4134" s="1" t="str">
        <f t="shared" si="1"/>
        <v>581492</v>
      </c>
      <c r="C4134" s="1" t="str">
        <f t="shared" si="2"/>
        <v>Sale</v>
      </c>
      <c r="D4134" s="1">
        <v>22924.0</v>
      </c>
      <c r="E4134" s="1" t="str">
        <f>IFERROR(__xludf.DUMMYFUNCTION("IF(LEN(D4134)&gt;4, IFERROR(REGEXEXTRACT(TO_TEXT(D4134),""\d+""),""""),"""")"),"22924")</f>
        <v>22924</v>
      </c>
      <c r="F4134" s="6" t="str">
        <f t="shared" si="3"/>
        <v>Product</v>
      </c>
      <c r="G4134" s="1" t="s">
        <v>999</v>
      </c>
      <c r="H4134" s="6" t="str">
        <f>IFERROR(__xludf.DUMMYFUNCTION("IF(REGEXMATCH(LOWER(G4134), ""^(\?)+\s*(missing)?\s*(\?)*$""), """", PROPER(SUBSTITUTE(SUBSTITUTE(G4134, ""?"", """"), ""*"", """")))"),"Fridge Magnets La Vie En Rose")</f>
        <v>Fridge Magnets La Vie En Rose</v>
      </c>
      <c r="I4134" s="3">
        <v>6.0</v>
      </c>
      <c r="J4134" s="7">
        <v>40886.41875</v>
      </c>
      <c r="K4134" s="8" t="str">
        <f t="shared" si="4"/>
        <v>2011-12</v>
      </c>
      <c r="L4134" s="5">
        <v>1.8</v>
      </c>
      <c r="M4134" s="10"/>
      <c r="N4134" s="1" t="str">
        <f t="shared" si="5"/>
        <v>Guest</v>
      </c>
      <c r="O4134" s="1" t="s">
        <v>19</v>
      </c>
      <c r="P4134" s="9" t="str">
        <f t="shared" si="6"/>
        <v>UK</v>
      </c>
      <c r="Q4134" s="8">
        <f t="shared" si="7"/>
        <v>10.8</v>
      </c>
    </row>
    <row r="4135">
      <c r="A4135" s="1">
        <v>581492.0</v>
      </c>
      <c r="B4135" s="1" t="str">
        <f t="shared" si="1"/>
        <v>581492</v>
      </c>
      <c r="C4135" s="1" t="str">
        <f t="shared" si="2"/>
        <v>Sale</v>
      </c>
      <c r="D4135" s="1">
        <v>22928.0</v>
      </c>
      <c r="E4135" s="1" t="str">
        <f>IFERROR(__xludf.DUMMYFUNCTION("IF(LEN(D4135)&gt;4, IFERROR(REGEXEXTRACT(TO_TEXT(D4135),""\d+""),""""),"""")"),"22928")</f>
        <v>22928</v>
      </c>
      <c r="F4135" s="6" t="str">
        <f t="shared" si="3"/>
        <v>Product</v>
      </c>
      <c r="G4135" s="1" t="s">
        <v>1031</v>
      </c>
      <c r="H4135" s="6" t="str">
        <f>IFERROR(__xludf.DUMMYFUNCTION("IF(REGEXMATCH(LOWER(G4135), ""^(\?)+\s*(missing)?\s*(\?)*$""), """", PROPER(SUBSTITUTE(SUBSTITUTE(G4135, ""?"", """"), ""*"", """")))"),"Yellow Giant Garden Thermometer")</f>
        <v>Yellow Giant Garden Thermometer</v>
      </c>
      <c r="I4135" s="3">
        <v>1.0</v>
      </c>
      <c r="J4135" s="7">
        <v>40886.41875</v>
      </c>
      <c r="K4135" s="8" t="str">
        <f t="shared" si="4"/>
        <v>2011-12</v>
      </c>
      <c r="L4135" s="5">
        <v>12.46</v>
      </c>
      <c r="M4135" s="10"/>
      <c r="N4135" s="1" t="str">
        <f t="shared" si="5"/>
        <v>Guest</v>
      </c>
      <c r="O4135" s="1" t="s">
        <v>19</v>
      </c>
      <c r="P4135" s="9" t="str">
        <f t="shared" si="6"/>
        <v>UK</v>
      </c>
      <c r="Q4135" s="8">
        <f t="shared" si="7"/>
        <v>12.46</v>
      </c>
    </row>
    <row r="4136">
      <c r="A4136" s="1">
        <v>581492.0</v>
      </c>
      <c r="B4136" s="1" t="str">
        <f t="shared" si="1"/>
        <v>581492</v>
      </c>
      <c r="C4136" s="1" t="str">
        <f t="shared" si="2"/>
        <v>Sale</v>
      </c>
      <c r="D4136" s="1">
        <v>22940.0</v>
      </c>
      <c r="E4136" s="1" t="str">
        <f>IFERROR(__xludf.DUMMYFUNCTION("IF(LEN(D4136)&gt;4, IFERROR(REGEXEXTRACT(TO_TEXT(D4136),""\d+""),""""),"""")"),"22940")</f>
        <v>22940</v>
      </c>
      <c r="F4136" s="6" t="str">
        <f t="shared" si="3"/>
        <v>Product</v>
      </c>
      <c r="G4136" s="1" t="s">
        <v>439</v>
      </c>
      <c r="H4136" s="6" t="str">
        <f>IFERROR(__xludf.DUMMYFUNCTION("IF(REGEXMATCH(LOWER(G4136), ""^(\?)+\s*(missing)?\s*(\?)*$""), """", PROPER(SUBSTITUTE(SUBSTITUTE(G4136, ""?"", """"), ""*"", """")))"),"Feltcraft Christmas Fairy")</f>
        <v>Feltcraft Christmas Fairy</v>
      </c>
      <c r="I4136" s="3">
        <v>1.0</v>
      </c>
      <c r="J4136" s="7">
        <v>40886.41875</v>
      </c>
      <c r="K4136" s="8" t="str">
        <f t="shared" si="4"/>
        <v>2011-12</v>
      </c>
      <c r="L4136" s="5">
        <v>8.29</v>
      </c>
      <c r="M4136" s="10"/>
      <c r="N4136" s="1" t="str">
        <f t="shared" si="5"/>
        <v>Guest</v>
      </c>
      <c r="O4136" s="1" t="s">
        <v>19</v>
      </c>
      <c r="P4136" s="9" t="str">
        <f t="shared" si="6"/>
        <v>UK</v>
      </c>
      <c r="Q4136" s="8">
        <f t="shared" si="7"/>
        <v>8.29</v>
      </c>
    </row>
    <row r="4137">
      <c r="A4137" s="1">
        <v>581492.0</v>
      </c>
      <c r="B4137" s="1" t="str">
        <f t="shared" si="1"/>
        <v>581492</v>
      </c>
      <c r="C4137" s="1" t="str">
        <f t="shared" si="2"/>
        <v>Sale</v>
      </c>
      <c r="D4137" s="1">
        <v>22941.0</v>
      </c>
      <c r="E4137" s="1" t="str">
        <f>IFERROR(__xludf.DUMMYFUNCTION("IF(LEN(D4137)&gt;4, IFERROR(REGEXEXTRACT(TO_TEXT(D4137),""\d+""),""""),"""")"),"22941")</f>
        <v>22941</v>
      </c>
      <c r="F4137" s="6" t="str">
        <f t="shared" si="3"/>
        <v>Product</v>
      </c>
      <c r="G4137" s="1" t="s">
        <v>196</v>
      </c>
      <c r="H4137" s="6" t="str">
        <f>IFERROR(__xludf.DUMMYFUNCTION("IF(REGEXMATCH(LOWER(G4137), ""^(\?)+\s*(missing)?\s*(\?)*$""), """", PROPER(SUBSTITUTE(SUBSTITUTE(G4137, ""?"", """"), ""*"", """")))"),"Christmas Lights 10 Reindeer")</f>
        <v>Christmas Lights 10 Reindeer</v>
      </c>
      <c r="I4137" s="3">
        <v>2.0</v>
      </c>
      <c r="J4137" s="7">
        <v>40886.41875</v>
      </c>
      <c r="K4137" s="8" t="str">
        <f t="shared" si="4"/>
        <v>2011-12</v>
      </c>
      <c r="L4137" s="5">
        <v>16.63</v>
      </c>
      <c r="M4137" s="10"/>
      <c r="N4137" s="1" t="str">
        <f t="shared" si="5"/>
        <v>Guest</v>
      </c>
      <c r="O4137" s="1" t="s">
        <v>19</v>
      </c>
      <c r="P4137" s="9" t="str">
        <f t="shared" si="6"/>
        <v>UK</v>
      </c>
      <c r="Q4137" s="8">
        <f t="shared" si="7"/>
        <v>33.26</v>
      </c>
    </row>
    <row r="4138">
      <c r="A4138" s="1">
        <v>581492.0</v>
      </c>
      <c r="B4138" s="1" t="str">
        <f t="shared" si="1"/>
        <v>581492</v>
      </c>
      <c r="C4138" s="1" t="str">
        <f t="shared" si="2"/>
        <v>Sale</v>
      </c>
      <c r="D4138" s="1">
        <v>22943.0</v>
      </c>
      <c r="E4138" s="1" t="str">
        <f>IFERROR(__xludf.DUMMYFUNCTION("IF(LEN(D4138)&gt;4, IFERROR(REGEXEXTRACT(TO_TEXT(D4138),""\d+""),""""),"""")"),"22943")</f>
        <v>22943</v>
      </c>
      <c r="F4138" s="6" t="str">
        <f t="shared" si="3"/>
        <v>Product</v>
      </c>
      <c r="G4138" s="1" t="s">
        <v>1959</v>
      </c>
      <c r="H4138" s="6" t="str">
        <f>IFERROR(__xludf.DUMMYFUNCTION("IF(REGEXMATCH(LOWER(G4138), ""^(\?)+\s*(missing)?\s*(\?)*$""), """", PROPER(SUBSTITUTE(SUBSTITUTE(G4138, ""?"", """"), ""*"", """")))"),"Christmas Lights 10 Vintage Baubles")</f>
        <v>Christmas Lights 10 Vintage Baubles</v>
      </c>
      <c r="I4138" s="3">
        <v>1.0</v>
      </c>
      <c r="J4138" s="7">
        <v>40886.41875</v>
      </c>
      <c r="K4138" s="8" t="str">
        <f t="shared" si="4"/>
        <v>2011-12</v>
      </c>
      <c r="L4138" s="5">
        <v>10.79</v>
      </c>
      <c r="M4138" s="10"/>
      <c r="N4138" s="1" t="str">
        <f t="shared" si="5"/>
        <v>Guest</v>
      </c>
      <c r="O4138" s="1" t="s">
        <v>19</v>
      </c>
      <c r="P4138" s="9" t="str">
        <f t="shared" si="6"/>
        <v>UK</v>
      </c>
      <c r="Q4138" s="8">
        <f t="shared" si="7"/>
        <v>10.79</v>
      </c>
    </row>
    <row r="4139">
      <c r="A4139" s="1">
        <v>581492.0</v>
      </c>
      <c r="B4139" s="1" t="str">
        <f t="shared" si="1"/>
        <v>581492</v>
      </c>
      <c r="C4139" s="1" t="str">
        <f t="shared" si="2"/>
        <v>Sale</v>
      </c>
      <c r="D4139" s="1">
        <v>22948.0</v>
      </c>
      <c r="E4139" s="1" t="str">
        <f>IFERROR(__xludf.DUMMYFUNCTION("IF(LEN(D4139)&gt;4, IFERROR(REGEXEXTRACT(TO_TEXT(D4139),""\d+""),""""),"""")"),"22948")</f>
        <v>22948</v>
      </c>
      <c r="F4139" s="6" t="str">
        <f t="shared" si="3"/>
        <v>Product</v>
      </c>
      <c r="G4139" s="1" t="s">
        <v>1960</v>
      </c>
      <c r="H4139" s="6" t="str">
        <f>IFERROR(__xludf.DUMMYFUNCTION("IF(REGEXMATCH(LOWER(G4139), ""^(\?)+\s*(missing)?\s*(\?)*$""), """", PROPER(SUBSTITUTE(SUBSTITUTE(G4139, ""?"", """"), ""*"", """")))"),"Metal Decoration Naughty Children")</f>
        <v>Metal Decoration Naughty Children</v>
      </c>
      <c r="I4139" s="3">
        <v>4.0</v>
      </c>
      <c r="J4139" s="7">
        <v>40886.41875</v>
      </c>
      <c r="K4139" s="8" t="str">
        <f t="shared" si="4"/>
        <v>2011-12</v>
      </c>
      <c r="L4139" s="5">
        <v>1.66</v>
      </c>
      <c r="M4139" s="10"/>
      <c r="N4139" s="1" t="str">
        <f t="shared" si="5"/>
        <v>Guest</v>
      </c>
      <c r="O4139" s="1" t="s">
        <v>19</v>
      </c>
      <c r="P4139" s="9" t="str">
        <f t="shared" si="6"/>
        <v>UK</v>
      </c>
      <c r="Q4139" s="8">
        <f t="shared" si="7"/>
        <v>6.64</v>
      </c>
    </row>
    <row r="4140">
      <c r="A4140" s="1">
        <v>581492.0</v>
      </c>
      <c r="B4140" s="1" t="str">
        <f t="shared" si="1"/>
        <v>581492</v>
      </c>
      <c r="C4140" s="1" t="str">
        <f t="shared" si="2"/>
        <v>Sale</v>
      </c>
      <c r="D4140" s="1">
        <v>22951.0</v>
      </c>
      <c r="E4140" s="1" t="str">
        <f>IFERROR(__xludf.DUMMYFUNCTION("IF(LEN(D4140)&gt;4, IFERROR(REGEXEXTRACT(TO_TEXT(D4140),""\d+""),""""),"""")"),"22951")</f>
        <v>22951</v>
      </c>
      <c r="F4140" s="6" t="str">
        <f t="shared" si="3"/>
        <v>Product</v>
      </c>
      <c r="G4140" s="1" t="s">
        <v>491</v>
      </c>
      <c r="H4140" s="6" t="str">
        <f>IFERROR(__xludf.DUMMYFUNCTION("IF(REGEXMATCH(LOWER(G4140), ""^(\?)+\s*(missing)?\s*(\?)*$""), """", PROPER(SUBSTITUTE(SUBSTITUTE(G4140, ""?"", """"), ""*"", """")))"),"60 Cake Cases Dolly Girl Design")</f>
        <v>60 Cake Cases Dolly Girl Design</v>
      </c>
      <c r="I4140" s="3">
        <v>2.0</v>
      </c>
      <c r="J4140" s="7">
        <v>40886.41875</v>
      </c>
      <c r="K4140" s="8" t="str">
        <f t="shared" si="4"/>
        <v>2011-12</v>
      </c>
      <c r="L4140" s="5">
        <v>1.25</v>
      </c>
      <c r="M4140" s="10"/>
      <c r="N4140" s="1" t="str">
        <f t="shared" si="5"/>
        <v>Guest</v>
      </c>
      <c r="O4140" s="1" t="s">
        <v>19</v>
      </c>
      <c r="P4140" s="9" t="str">
        <f t="shared" si="6"/>
        <v>UK</v>
      </c>
      <c r="Q4140" s="8">
        <f t="shared" si="7"/>
        <v>2.5</v>
      </c>
    </row>
    <row r="4141">
      <c r="A4141" s="1">
        <v>581492.0</v>
      </c>
      <c r="B4141" s="1" t="str">
        <f t="shared" si="1"/>
        <v>581492</v>
      </c>
      <c r="C4141" s="1" t="str">
        <f t="shared" si="2"/>
        <v>Sale</v>
      </c>
      <c r="D4141" s="1">
        <v>22952.0</v>
      </c>
      <c r="E4141" s="1" t="str">
        <f>IFERROR(__xludf.DUMMYFUNCTION("IF(LEN(D4141)&gt;4, IFERROR(REGEXEXTRACT(TO_TEXT(D4141),""\d+""),""""),"""")"),"22952")</f>
        <v>22952</v>
      </c>
      <c r="F4141" s="6" t="str">
        <f t="shared" si="3"/>
        <v>Product</v>
      </c>
      <c r="G4141" s="1" t="s">
        <v>465</v>
      </c>
      <c r="H4141" s="6" t="str">
        <f>IFERROR(__xludf.DUMMYFUNCTION("IF(REGEXMATCH(LOWER(G4141), ""^(\?)+\s*(missing)?\s*(\?)*$""), """", PROPER(SUBSTITUTE(SUBSTITUTE(G4141, ""?"", """"), ""*"", """")))"),"60 Cake Cases Vintage Christmas")</f>
        <v>60 Cake Cases Vintage Christmas</v>
      </c>
      <c r="I4141" s="3">
        <v>2.0</v>
      </c>
      <c r="J4141" s="7">
        <v>40886.41875</v>
      </c>
      <c r="K4141" s="8" t="str">
        <f t="shared" si="4"/>
        <v>2011-12</v>
      </c>
      <c r="L4141" s="5">
        <v>1.25</v>
      </c>
      <c r="M4141" s="10"/>
      <c r="N4141" s="1" t="str">
        <f t="shared" si="5"/>
        <v>Guest</v>
      </c>
      <c r="O4141" s="1" t="s">
        <v>19</v>
      </c>
      <c r="P4141" s="9" t="str">
        <f t="shared" si="6"/>
        <v>UK</v>
      </c>
      <c r="Q4141" s="8">
        <f t="shared" si="7"/>
        <v>2.5</v>
      </c>
    </row>
    <row r="4142">
      <c r="A4142" s="1">
        <v>581492.0</v>
      </c>
      <c r="B4142" s="1" t="str">
        <f t="shared" si="1"/>
        <v>581492</v>
      </c>
      <c r="C4142" s="1" t="str">
        <f t="shared" si="2"/>
        <v>Sale</v>
      </c>
      <c r="D4142" s="1">
        <v>22955.0</v>
      </c>
      <c r="E4142" s="1" t="str">
        <f>IFERROR(__xludf.DUMMYFUNCTION("IF(LEN(D4142)&gt;4, IFERROR(REGEXEXTRACT(TO_TEXT(D4142),""\d+""),""""),"""")"),"22955")</f>
        <v>22955</v>
      </c>
      <c r="F4142" s="6" t="str">
        <f t="shared" si="3"/>
        <v>Product</v>
      </c>
      <c r="G4142" s="1" t="s">
        <v>673</v>
      </c>
      <c r="H4142" s="6" t="str">
        <f>IFERROR(__xludf.DUMMYFUNCTION("IF(REGEXMATCH(LOWER(G4142), ""^(\?)+\s*(missing)?\s*(\?)*$""), """", PROPER(SUBSTITUTE(SUBSTITUTE(G4142, ""?"", """"), ""*"", """")))"),"36 Foil Star Cake Cases")</f>
        <v>36 Foil Star Cake Cases</v>
      </c>
      <c r="I4142" s="3">
        <v>1.0</v>
      </c>
      <c r="J4142" s="7">
        <v>40886.41875</v>
      </c>
      <c r="K4142" s="8" t="str">
        <f t="shared" si="4"/>
        <v>2011-12</v>
      </c>
      <c r="L4142" s="5">
        <v>4.13</v>
      </c>
      <c r="M4142" s="10"/>
      <c r="N4142" s="1" t="str">
        <f t="shared" si="5"/>
        <v>Guest</v>
      </c>
      <c r="O4142" s="1" t="s">
        <v>19</v>
      </c>
      <c r="P4142" s="9" t="str">
        <f t="shared" si="6"/>
        <v>UK</v>
      </c>
      <c r="Q4142" s="8">
        <f t="shared" si="7"/>
        <v>4.13</v>
      </c>
    </row>
    <row r="4143">
      <c r="A4143" s="1">
        <v>581492.0</v>
      </c>
      <c r="B4143" s="1" t="str">
        <f t="shared" si="1"/>
        <v>581492</v>
      </c>
      <c r="C4143" s="1" t="str">
        <f t="shared" si="2"/>
        <v>Sale</v>
      </c>
      <c r="D4143" s="1">
        <v>22960.0</v>
      </c>
      <c r="E4143" s="1" t="str">
        <f>IFERROR(__xludf.DUMMYFUNCTION("IF(LEN(D4143)&gt;4, IFERROR(REGEXEXTRACT(TO_TEXT(D4143),""\d+""),""""),"""")"),"22960")</f>
        <v>22960</v>
      </c>
      <c r="F4143" s="6" t="str">
        <f t="shared" si="3"/>
        <v>Product</v>
      </c>
      <c r="G4143" s="1" t="s">
        <v>43</v>
      </c>
      <c r="H4143" s="6" t="str">
        <f>IFERROR(__xludf.DUMMYFUNCTION("IF(REGEXMATCH(LOWER(G4143), ""^(\?)+\s*(missing)?\s*(\?)*$""), """", PROPER(SUBSTITUTE(SUBSTITUTE(G4143, ""?"", """"), ""*"", """")))"),"Jam Making Set With Jars")</f>
        <v>Jam Making Set With Jars</v>
      </c>
      <c r="I4143" s="3">
        <v>2.0</v>
      </c>
      <c r="J4143" s="7">
        <v>40886.41875</v>
      </c>
      <c r="K4143" s="8" t="str">
        <f t="shared" si="4"/>
        <v>2011-12</v>
      </c>
      <c r="L4143" s="5">
        <v>8.29</v>
      </c>
      <c r="M4143" s="10"/>
      <c r="N4143" s="1" t="str">
        <f t="shared" si="5"/>
        <v>Guest</v>
      </c>
      <c r="O4143" s="1" t="s">
        <v>19</v>
      </c>
      <c r="P4143" s="9" t="str">
        <f t="shared" si="6"/>
        <v>UK</v>
      </c>
      <c r="Q4143" s="8">
        <f t="shared" si="7"/>
        <v>16.58</v>
      </c>
    </row>
    <row r="4144">
      <c r="A4144" s="1">
        <v>581492.0</v>
      </c>
      <c r="B4144" s="1" t="str">
        <f t="shared" si="1"/>
        <v>581492</v>
      </c>
      <c r="C4144" s="1" t="str">
        <f t="shared" si="2"/>
        <v>Sale</v>
      </c>
      <c r="D4144" s="1">
        <v>22961.0</v>
      </c>
      <c r="E4144" s="1" t="str">
        <f>IFERROR(__xludf.DUMMYFUNCTION("IF(LEN(D4144)&gt;4, IFERROR(REGEXEXTRACT(TO_TEXT(D4144),""\d+""),""""),"""")"),"22961")</f>
        <v>22961</v>
      </c>
      <c r="F4144" s="6" t="str">
        <f t="shared" si="3"/>
        <v>Product</v>
      </c>
      <c r="G4144" s="1" t="s">
        <v>109</v>
      </c>
      <c r="H4144" s="6" t="str">
        <f>IFERROR(__xludf.DUMMYFUNCTION("IF(REGEXMATCH(LOWER(G4144), ""^(\?)+\s*(missing)?\s*(\?)*$""), """", PROPER(SUBSTITUTE(SUBSTITUTE(G4144, ""?"", """"), ""*"", """")))"),"Jam Making Set Printed")</f>
        <v>Jam Making Set Printed</v>
      </c>
      <c r="I4144" s="3">
        <v>9.0</v>
      </c>
      <c r="J4144" s="7">
        <v>40886.41875</v>
      </c>
      <c r="K4144" s="8" t="str">
        <f t="shared" si="4"/>
        <v>2011-12</v>
      </c>
      <c r="L4144" s="5">
        <v>3.29</v>
      </c>
      <c r="M4144" s="10"/>
      <c r="N4144" s="1" t="str">
        <f t="shared" si="5"/>
        <v>Guest</v>
      </c>
      <c r="O4144" s="1" t="s">
        <v>19</v>
      </c>
      <c r="P4144" s="9" t="str">
        <f t="shared" si="6"/>
        <v>UK</v>
      </c>
      <c r="Q4144" s="8">
        <f t="shared" si="7"/>
        <v>29.61</v>
      </c>
    </row>
    <row r="4145">
      <c r="A4145" s="1">
        <v>581492.0</v>
      </c>
      <c r="B4145" s="1" t="str">
        <f t="shared" si="1"/>
        <v>581492</v>
      </c>
      <c r="C4145" s="1" t="str">
        <f t="shared" si="2"/>
        <v>Sale</v>
      </c>
      <c r="D4145" s="1">
        <v>22962.0</v>
      </c>
      <c r="E4145" s="1" t="str">
        <f>IFERROR(__xludf.DUMMYFUNCTION("IF(LEN(D4145)&gt;4, IFERROR(REGEXEXTRACT(TO_TEXT(D4145),""\d+""),""""),"""")"),"22962")</f>
        <v>22962</v>
      </c>
      <c r="F4145" s="6" t="str">
        <f t="shared" si="3"/>
        <v>Product</v>
      </c>
      <c r="G4145" s="1" t="s">
        <v>210</v>
      </c>
      <c r="H4145" s="6" t="str">
        <f>IFERROR(__xludf.DUMMYFUNCTION("IF(REGEXMATCH(LOWER(G4145), ""^(\?)+\s*(missing)?\s*(\?)*$""), """", PROPER(SUBSTITUTE(SUBSTITUTE(G4145, ""?"", """"), ""*"", """")))"),"Jam Jar With Pink Lid")</f>
        <v>Jam Jar With Pink Lid</v>
      </c>
      <c r="I4145" s="3">
        <v>3.0</v>
      </c>
      <c r="J4145" s="7">
        <v>40886.41875</v>
      </c>
      <c r="K4145" s="8" t="str">
        <f t="shared" si="4"/>
        <v>2011-12</v>
      </c>
      <c r="L4145" s="5">
        <v>1.63</v>
      </c>
      <c r="M4145" s="10"/>
      <c r="N4145" s="1" t="str">
        <f t="shared" si="5"/>
        <v>Guest</v>
      </c>
      <c r="O4145" s="1" t="s">
        <v>19</v>
      </c>
      <c r="P4145" s="9" t="str">
        <f t="shared" si="6"/>
        <v>UK</v>
      </c>
      <c r="Q4145" s="8">
        <f t="shared" si="7"/>
        <v>4.89</v>
      </c>
    </row>
    <row r="4146">
      <c r="A4146" s="1">
        <v>581492.0</v>
      </c>
      <c r="B4146" s="1" t="str">
        <f t="shared" si="1"/>
        <v>581492</v>
      </c>
      <c r="C4146" s="1" t="str">
        <f t="shared" si="2"/>
        <v>Sale</v>
      </c>
      <c r="D4146" s="1">
        <v>22963.0</v>
      </c>
      <c r="E4146" s="1" t="str">
        <f>IFERROR(__xludf.DUMMYFUNCTION("IF(LEN(D4146)&gt;4, IFERROR(REGEXEXTRACT(TO_TEXT(D4146),""\d+""),""""),"""")"),"22963")</f>
        <v>22963</v>
      </c>
      <c r="F4146" s="6" t="str">
        <f t="shared" si="3"/>
        <v>Product</v>
      </c>
      <c r="G4146" s="1" t="s">
        <v>211</v>
      </c>
      <c r="H4146" s="6" t="str">
        <f>IFERROR(__xludf.DUMMYFUNCTION("IF(REGEXMATCH(LOWER(G4146), ""^(\?)+\s*(missing)?\s*(\?)*$""), """", PROPER(SUBSTITUTE(SUBSTITUTE(G4146, ""?"", """"), ""*"", """")))"),"Jam Jar With Green Lid")</f>
        <v>Jam Jar With Green Lid</v>
      </c>
      <c r="I4146" s="3">
        <v>3.0</v>
      </c>
      <c r="J4146" s="7">
        <v>40886.41875</v>
      </c>
      <c r="K4146" s="8" t="str">
        <f t="shared" si="4"/>
        <v>2011-12</v>
      </c>
      <c r="L4146" s="5">
        <v>1.63</v>
      </c>
      <c r="M4146" s="10"/>
      <c r="N4146" s="1" t="str">
        <f t="shared" si="5"/>
        <v>Guest</v>
      </c>
      <c r="O4146" s="1" t="s">
        <v>19</v>
      </c>
      <c r="P4146" s="9" t="str">
        <f t="shared" si="6"/>
        <v>UK</v>
      </c>
      <c r="Q4146" s="8">
        <f t="shared" si="7"/>
        <v>4.89</v>
      </c>
    </row>
    <row r="4147">
      <c r="A4147" s="1">
        <v>581492.0</v>
      </c>
      <c r="B4147" s="1" t="str">
        <f t="shared" si="1"/>
        <v>581492</v>
      </c>
      <c r="C4147" s="1" t="str">
        <f t="shared" si="2"/>
        <v>Sale</v>
      </c>
      <c r="D4147" s="1">
        <v>22964.0</v>
      </c>
      <c r="E4147" s="1" t="str">
        <f>IFERROR(__xludf.DUMMYFUNCTION("IF(LEN(D4147)&gt;4, IFERROR(REGEXEXTRACT(TO_TEXT(D4147),""\d+""),""""),"""")"),"22964")</f>
        <v>22964</v>
      </c>
      <c r="F4147" s="6" t="str">
        <f t="shared" si="3"/>
        <v>Product</v>
      </c>
      <c r="G4147" s="1" t="s">
        <v>351</v>
      </c>
      <c r="H4147" s="6" t="str">
        <f>IFERROR(__xludf.DUMMYFUNCTION("IF(REGEXMATCH(LOWER(G4147), ""^(\?)+\s*(missing)?\s*(\?)*$""), """", PROPER(SUBSTITUTE(SUBSTITUTE(G4147, ""?"", """"), ""*"", """")))"),"3 Piece Spaceboy Cookie Cutter Set")</f>
        <v>3 Piece Spaceboy Cookie Cutter Set</v>
      </c>
      <c r="I4147" s="3">
        <v>1.0</v>
      </c>
      <c r="J4147" s="7">
        <v>40886.41875</v>
      </c>
      <c r="K4147" s="8" t="str">
        <f t="shared" si="4"/>
        <v>2011-12</v>
      </c>
      <c r="L4147" s="5">
        <v>4.13</v>
      </c>
      <c r="M4147" s="10"/>
      <c r="N4147" s="1" t="str">
        <f t="shared" si="5"/>
        <v>Guest</v>
      </c>
      <c r="O4147" s="1" t="s">
        <v>19</v>
      </c>
      <c r="P4147" s="9" t="str">
        <f t="shared" si="6"/>
        <v>UK</v>
      </c>
      <c r="Q4147" s="8">
        <f t="shared" si="7"/>
        <v>4.13</v>
      </c>
    </row>
    <row r="4148">
      <c r="A4148" s="1">
        <v>581492.0</v>
      </c>
      <c r="B4148" s="1" t="str">
        <f t="shared" si="1"/>
        <v>581492</v>
      </c>
      <c r="C4148" s="1" t="str">
        <f t="shared" si="2"/>
        <v>Sale</v>
      </c>
      <c r="D4148" s="1">
        <v>22965.0</v>
      </c>
      <c r="E4148" s="1" t="str">
        <f>IFERROR(__xludf.DUMMYFUNCTION("IF(LEN(D4148)&gt;4, IFERROR(REGEXEXTRACT(TO_TEXT(D4148),""\d+""),""""),"""")"),"22965")</f>
        <v>22965</v>
      </c>
      <c r="F4148" s="6" t="str">
        <f t="shared" si="3"/>
        <v>Product</v>
      </c>
      <c r="G4148" s="1" t="s">
        <v>780</v>
      </c>
      <c r="H4148" s="6" t="str">
        <f>IFERROR(__xludf.DUMMYFUNCTION("IF(REGEXMATCH(LOWER(G4148), ""^(\?)+\s*(missing)?\s*(\?)*$""), """", PROPER(SUBSTITUTE(SUBSTITUTE(G4148, ""?"", """"), ""*"", """")))"),"3 Traditional Biscuit Cutters Set")</f>
        <v>3 Traditional Biscuit Cutters Set</v>
      </c>
      <c r="I4148" s="3">
        <v>1.0</v>
      </c>
      <c r="J4148" s="7">
        <v>40886.41875</v>
      </c>
      <c r="K4148" s="8" t="str">
        <f t="shared" si="4"/>
        <v>2011-12</v>
      </c>
      <c r="L4148" s="5">
        <v>4.13</v>
      </c>
      <c r="M4148" s="10"/>
      <c r="N4148" s="1" t="str">
        <f t="shared" si="5"/>
        <v>Guest</v>
      </c>
      <c r="O4148" s="1" t="s">
        <v>19</v>
      </c>
      <c r="P4148" s="9" t="str">
        <f t="shared" si="6"/>
        <v>UK</v>
      </c>
      <c r="Q4148" s="8">
        <f t="shared" si="7"/>
        <v>4.13</v>
      </c>
    </row>
    <row r="4149">
      <c r="A4149" s="1">
        <v>581492.0</v>
      </c>
      <c r="B4149" s="1" t="str">
        <f t="shared" si="1"/>
        <v>581492</v>
      </c>
      <c r="C4149" s="1" t="str">
        <f t="shared" si="2"/>
        <v>Sale</v>
      </c>
      <c r="D4149" s="1">
        <v>22966.0</v>
      </c>
      <c r="E4149" s="1" t="str">
        <f>IFERROR(__xludf.DUMMYFUNCTION("IF(LEN(D4149)&gt;4, IFERROR(REGEXEXTRACT(TO_TEXT(D4149),""\d+""),""""),"""")"),"22966")</f>
        <v>22966</v>
      </c>
      <c r="F4149" s="6" t="str">
        <f t="shared" si="3"/>
        <v>Product</v>
      </c>
      <c r="G4149" s="1" t="s">
        <v>779</v>
      </c>
      <c r="H4149" s="6" t="str">
        <f>IFERROR(__xludf.DUMMYFUNCTION("IF(REGEXMATCH(LOWER(G4149), ""^(\?)+\s*(missing)?\s*(\?)*$""), """", PROPER(SUBSTITUTE(SUBSTITUTE(G4149, ""?"", """"), ""*"", """")))"),"Gingerbread Man Cookie Cutter")</f>
        <v>Gingerbread Man Cookie Cutter</v>
      </c>
      <c r="I4149" s="3">
        <v>4.0</v>
      </c>
      <c r="J4149" s="7">
        <v>40886.41875</v>
      </c>
      <c r="K4149" s="8" t="str">
        <f t="shared" si="4"/>
        <v>2011-12</v>
      </c>
      <c r="L4149" s="5">
        <v>2.46</v>
      </c>
      <c r="M4149" s="10"/>
      <c r="N4149" s="1" t="str">
        <f t="shared" si="5"/>
        <v>Guest</v>
      </c>
      <c r="O4149" s="1" t="s">
        <v>19</v>
      </c>
      <c r="P4149" s="9" t="str">
        <f t="shared" si="6"/>
        <v>UK</v>
      </c>
      <c r="Q4149" s="8">
        <f t="shared" si="7"/>
        <v>9.84</v>
      </c>
    </row>
    <row r="4150">
      <c r="A4150" s="1">
        <v>581492.0</v>
      </c>
      <c r="B4150" s="1" t="str">
        <f t="shared" si="1"/>
        <v>581492</v>
      </c>
      <c r="C4150" s="1" t="str">
        <f t="shared" si="2"/>
        <v>Sale</v>
      </c>
      <c r="D4150" s="1">
        <v>22969.0</v>
      </c>
      <c r="E4150" s="1" t="str">
        <f>IFERROR(__xludf.DUMMYFUNCTION("IF(LEN(D4150)&gt;4, IFERROR(REGEXEXTRACT(TO_TEXT(D4150),""\d+""),""""),"""")"),"22969")</f>
        <v>22969</v>
      </c>
      <c r="F4150" s="6" t="str">
        <f t="shared" si="3"/>
        <v>Product</v>
      </c>
      <c r="G4150" s="1" t="s">
        <v>192</v>
      </c>
      <c r="H4150" s="6" t="str">
        <f>IFERROR(__xludf.DUMMYFUNCTION("IF(REGEXMATCH(LOWER(G4150), ""^(\?)+\s*(missing)?\s*(\?)*$""), """", PROPER(SUBSTITUTE(SUBSTITUTE(G4150, ""?"", """"), ""*"", """")))"),"Homemade Jam Scented Candles")</f>
        <v>Homemade Jam Scented Candles</v>
      </c>
      <c r="I4150" s="3">
        <v>6.0</v>
      </c>
      <c r="J4150" s="7">
        <v>40886.41875</v>
      </c>
      <c r="K4150" s="8" t="str">
        <f t="shared" si="4"/>
        <v>2011-12</v>
      </c>
      <c r="L4150" s="5">
        <v>3.29</v>
      </c>
      <c r="M4150" s="10"/>
      <c r="N4150" s="1" t="str">
        <f t="shared" si="5"/>
        <v>Guest</v>
      </c>
      <c r="O4150" s="1" t="s">
        <v>19</v>
      </c>
      <c r="P4150" s="9" t="str">
        <f t="shared" si="6"/>
        <v>UK</v>
      </c>
      <c r="Q4150" s="8">
        <f t="shared" si="7"/>
        <v>19.74</v>
      </c>
    </row>
    <row r="4151">
      <c r="A4151" s="1">
        <v>581492.0</v>
      </c>
      <c r="B4151" s="1" t="str">
        <f t="shared" si="1"/>
        <v>581492</v>
      </c>
      <c r="C4151" s="1" t="str">
        <f t="shared" si="2"/>
        <v>Sale</v>
      </c>
      <c r="D4151" s="1">
        <v>22975.0</v>
      </c>
      <c r="E4151" s="1" t="str">
        <f>IFERROR(__xludf.DUMMYFUNCTION("IF(LEN(D4151)&gt;4, IFERROR(REGEXEXTRACT(TO_TEXT(D4151),""\d+""),""""),"""")"),"22975")</f>
        <v>22975</v>
      </c>
      <c r="F4151" s="6" t="str">
        <f t="shared" si="3"/>
        <v>Product</v>
      </c>
      <c r="G4151" s="1" t="s">
        <v>393</v>
      </c>
      <c r="H4151" s="6" t="str">
        <f>IFERROR(__xludf.DUMMYFUNCTION("IF(REGEXMATCH(LOWER(G4151), ""^(\?)+\s*(missing)?\s*(\?)*$""), """", PROPER(SUBSTITUTE(SUBSTITUTE(G4151, ""?"", """"), ""*"", """")))"),"Spaceboy Childrens Egg Cup")</f>
        <v>Spaceboy Childrens Egg Cup</v>
      </c>
      <c r="I4151" s="3">
        <v>2.0</v>
      </c>
      <c r="J4151" s="7">
        <v>40886.41875</v>
      </c>
      <c r="K4151" s="8" t="str">
        <f t="shared" si="4"/>
        <v>2011-12</v>
      </c>
      <c r="L4151" s="5">
        <v>2.46</v>
      </c>
      <c r="M4151" s="10"/>
      <c r="N4151" s="1" t="str">
        <f t="shared" si="5"/>
        <v>Guest</v>
      </c>
      <c r="O4151" s="1" t="s">
        <v>19</v>
      </c>
      <c r="P4151" s="9" t="str">
        <f t="shared" si="6"/>
        <v>UK</v>
      </c>
      <c r="Q4151" s="8">
        <f t="shared" si="7"/>
        <v>4.92</v>
      </c>
    </row>
    <row r="4152">
      <c r="A4152" s="1">
        <v>581492.0</v>
      </c>
      <c r="B4152" s="1" t="str">
        <f t="shared" si="1"/>
        <v>581492</v>
      </c>
      <c r="C4152" s="1" t="str">
        <f t="shared" si="2"/>
        <v>Sale</v>
      </c>
      <c r="D4152" s="1">
        <v>22976.0</v>
      </c>
      <c r="E4152" s="1" t="str">
        <f>IFERROR(__xludf.DUMMYFUNCTION("IF(LEN(D4152)&gt;4, IFERROR(REGEXEXTRACT(TO_TEXT(D4152),""\d+""),""""),"""")"),"22976")</f>
        <v>22976</v>
      </c>
      <c r="F4152" s="6" t="str">
        <f t="shared" si="3"/>
        <v>Product</v>
      </c>
      <c r="G4152" s="1" t="s">
        <v>1961</v>
      </c>
      <c r="H4152" s="6" t="str">
        <f>IFERROR(__xludf.DUMMYFUNCTION("IF(REGEXMATCH(LOWER(G4152), ""^(\?)+\s*(missing)?\s*(\?)*$""), """", PROPER(SUBSTITUTE(SUBSTITUTE(G4152, ""?"", """"), ""*"", """")))"),"Circus Parade Childrens Egg Cup")</f>
        <v>Circus Parade Childrens Egg Cup</v>
      </c>
      <c r="I4152" s="3">
        <v>1.0</v>
      </c>
      <c r="J4152" s="7">
        <v>40886.41875</v>
      </c>
      <c r="K4152" s="8" t="str">
        <f t="shared" si="4"/>
        <v>2011-12</v>
      </c>
      <c r="L4152" s="5">
        <v>2.46</v>
      </c>
      <c r="M4152" s="10"/>
      <c r="N4152" s="1" t="str">
        <f t="shared" si="5"/>
        <v>Guest</v>
      </c>
      <c r="O4152" s="1" t="s">
        <v>19</v>
      </c>
      <c r="P4152" s="9" t="str">
        <f t="shared" si="6"/>
        <v>UK</v>
      </c>
      <c r="Q4152" s="8">
        <f t="shared" si="7"/>
        <v>2.46</v>
      </c>
    </row>
    <row r="4153">
      <c r="A4153" s="1">
        <v>581492.0</v>
      </c>
      <c r="B4153" s="1" t="str">
        <f t="shared" si="1"/>
        <v>581492</v>
      </c>
      <c r="C4153" s="1" t="str">
        <f t="shared" si="2"/>
        <v>Sale</v>
      </c>
      <c r="D4153" s="1">
        <v>22977.0</v>
      </c>
      <c r="E4153" s="1" t="str">
        <f>IFERROR(__xludf.DUMMYFUNCTION("IF(LEN(D4153)&gt;4, IFERROR(REGEXEXTRACT(TO_TEXT(D4153),""\d+""),""""),"""")"),"22977")</f>
        <v>22977</v>
      </c>
      <c r="F4153" s="6" t="str">
        <f t="shared" si="3"/>
        <v>Product</v>
      </c>
      <c r="G4153" s="1" t="s">
        <v>1962</v>
      </c>
      <c r="H4153" s="6" t="str">
        <f>IFERROR(__xludf.DUMMYFUNCTION("IF(REGEXMATCH(LOWER(G4153), ""^(\?)+\s*(missing)?\s*(\?)*$""), """", PROPER(SUBSTITUTE(SUBSTITUTE(G4153, ""?"", """"), ""*"", """")))"),"Dolly Girl Childrens Egg Cup")</f>
        <v>Dolly Girl Childrens Egg Cup</v>
      </c>
      <c r="I4153" s="3">
        <v>1.0</v>
      </c>
      <c r="J4153" s="7">
        <v>40886.41875</v>
      </c>
      <c r="K4153" s="8" t="str">
        <f t="shared" si="4"/>
        <v>2011-12</v>
      </c>
      <c r="L4153" s="5">
        <v>2.46</v>
      </c>
      <c r="M4153" s="10"/>
      <c r="N4153" s="1" t="str">
        <f t="shared" si="5"/>
        <v>Guest</v>
      </c>
      <c r="O4153" s="1" t="s">
        <v>19</v>
      </c>
      <c r="P4153" s="9" t="str">
        <f t="shared" si="6"/>
        <v>UK</v>
      </c>
      <c r="Q4153" s="8">
        <f t="shared" si="7"/>
        <v>2.46</v>
      </c>
    </row>
    <row r="4154">
      <c r="A4154" s="1">
        <v>581492.0</v>
      </c>
      <c r="B4154" s="1" t="str">
        <f t="shared" si="1"/>
        <v>581492</v>
      </c>
      <c r="C4154" s="1" t="str">
        <f t="shared" si="2"/>
        <v>Sale</v>
      </c>
      <c r="D4154" s="1">
        <v>22979.0</v>
      </c>
      <c r="E4154" s="1" t="str">
        <f>IFERROR(__xludf.DUMMYFUNCTION("IF(LEN(D4154)&gt;4, IFERROR(REGEXEXTRACT(TO_TEXT(D4154),""\d+""),""""),"""")"),"22979")</f>
        <v>22979</v>
      </c>
      <c r="F4154" s="6" t="str">
        <f t="shared" si="3"/>
        <v>Product</v>
      </c>
      <c r="G4154" s="1" t="s">
        <v>1963</v>
      </c>
      <c r="H4154" s="6" t="str">
        <f>IFERROR(__xludf.DUMMYFUNCTION("IF(REGEXMATCH(LOWER(G4154), ""^(\?)+\s*(missing)?\s*(\?)*$""), """", PROPER(SUBSTITUTE(SUBSTITUTE(G4154, ""?"", """"), ""*"", """")))"),"Pantry Washing Up Brush")</f>
        <v>Pantry Washing Up Brush</v>
      </c>
      <c r="I4154" s="3">
        <v>2.0</v>
      </c>
      <c r="J4154" s="7">
        <v>40886.41875</v>
      </c>
      <c r="K4154" s="8" t="str">
        <f t="shared" si="4"/>
        <v>2011-12</v>
      </c>
      <c r="L4154" s="5">
        <v>3.29</v>
      </c>
      <c r="M4154" s="10"/>
      <c r="N4154" s="1" t="str">
        <f t="shared" si="5"/>
        <v>Guest</v>
      </c>
      <c r="O4154" s="1" t="s">
        <v>19</v>
      </c>
      <c r="P4154" s="9" t="str">
        <f t="shared" si="6"/>
        <v>UK</v>
      </c>
      <c r="Q4154" s="8">
        <f t="shared" si="7"/>
        <v>6.58</v>
      </c>
    </row>
    <row r="4155">
      <c r="A4155" s="1">
        <v>581492.0</v>
      </c>
      <c r="B4155" s="1" t="str">
        <f t="shared" si="1"/>
        <v>581492</v>
      </c>
      <c r="C4155" s="1" t="str">
        <f t="shared" si="2"/>
        <v>Sale</v>
      </c>
      <c r="D4155" s="1">
        <v>22980.0</v>
      </c>
      <c r="E4155" s="1" t="str">
        <f>IFERROR(__xludf.DUMMYFUNCTION("IF(LEN(D4155)&gt;4, IFERROR(REGEXEXTRACT(TO_TEXT(D4155),""\d+""),""""),"""")"),"22980")</f>
        <v>22980</v>
      </c>
      <c r="F4155" s="6" t="str">
        <f t="shared" si="3"/>
        <v>Product</v>
      </c>
      <c r="G4155" s="1" t="s">
        <v>777</v>
      </c>
      <c r="H4155" s="6" t="str">
        <f>IFERROR(__xludf.DUMMYFUNCTION("IF(REGEXMATCH(LOWER(G4155), ""^(\?)+\s*(missing)?\s*(\?)*$""), """", PROPER(SUBSTITUTE(SUBSTITUTE(G4155, ""?"", """"), ""*"", """")))"),"Pantry Scrubbing Brush")</f>
        <v>Pantry Scrubbing Brush</v>
      </c>
      <c r="I4155" s="3">
        <v>1.0</v>
      </c>
      <c r="J4155" s="7">
        <v>40886.41875</v>
      </c>
      <c r="K4155" s="8" t="str">
        <f t="shared" si="4"/>
        <v>2011-12</v>
      </c>
      <c r="L4155" s="5">
        <v>3.29</v>
      </c>
      <c r="M4155" s="10"/>
      <c r="N4155" s="1" t="str">
        <f t="shared" si="5"/>
        <v>Guest</v>
      </c>
      <c r="O4155" s="1" t="s">
        <v>19</v>
      </c>
      <c r="P4155" s="9" t="str">
        <f t="shared" si="6"/>
        <v>UK</v>
      </c>
      <c r="Q4155" s="8">
        <f t="shared" si="7"/>
        <v>3.29</v>
      </c>
    </row>
    <row r="4156">
      <c r="A4156" s="1">
        <v>581492.0</v>
      </c>
      <c r="B4156" s="1" t="str">
        <f t="shared" si="1"/>
        <v>581492</v>
      </c>
      <c r="C4156" s="1" t="str">
        <f t="shared" si="2"/>
        <v>Sale</v>
      </c>
      <c r="D4156" s="1">
        <v>22982.0</v>
      </c>
      <c r="E4156" s="1" t="str">
        <f>IFERROR(__xludf.DUMMYFUNCTION("IF(LEN(D4156)&gt;4, IFERROR(REGEXEXTRACT(TO_TEXT(D4156),""\d+""),""""),"""")"),"22982")</f>
        <v>22982</v>
      </c>
      <c r="F4156" s="6" t="str">
        <f t="shared" si="3"/>
        <v>Product</v>
      </c>
      <c r="G4156" s="1" t="s">
        <v>1964</v>
      </c>
      <c r="H4156" s="6" t="str">
        <f>IFERROR(__xludf.DUMMYFUNCTION("IF(REGEXMATCH(LOWER(G4156), ""^(\?)+\s*(missing)?\s*(\?)*$""), """", PROPER(SUBSTITUTE(SUBSTITUTE(G4156, ""?"", """"), ""*"", """")))"),"Pantry Pastry Brush")</f>
        <v>Pantry Pastry Brush</v>
      </c>
      <c r="I4156" s="3">
        <v>3.0</v>
      </c>
      <c r="J4156" s="7">
        <v>40886.41875</v>
      </c>
      <c r="K4156" s="8" t="str">
        <f t="shared" si="4"/>
        <v>2011-12</v>
      </c>
      <c r="L4156" s="5">
        <v>2.46</v>
      </c>
      <c r="M4156" s="10"/>
      <c r="N4156" s="1" t="str">
        <f t="shared" si="5"/>
        <v>Guest</v>
      </c>
      <c r="O4156" s="1" t="s">
        <v>19</v>
      </c>
      <c r="P4156" s="9" t="str">
        <f t="shared" si="6"/>
        <v>UK</v>
      </c>
      <c r="Q4156" s="8">
        <f t="shared" si="7"/>
        <v>7.38</v>
      </c>
    </row>
    <row r="4157">
      <c r="A4157" s="1">
        <v>581492.0</v>
      </c>
      <c r="B4157" s="1" t="str">
        <f t="shared" si="1"/>
        <v>581492</v>
      </c>
      <c r="C4157" s="1" t="str">
        <f t="shared" si="2"/>
        <v>Sale</v>
      </c>
      <c r="D4157" s="1">
        <v>22983.0</v>
      </c>
      <c r="E4157" s="1" t="str">
        <f>IFERROR(__xludf.DUMMYFUNCTION("IF(LEN(D4157)&gt;4, IFERROR(REGEXEXTRACT(TO_TEXT(D4157),""\d+""),""""),"""")"),"22983")</f>
        <v>22983</v>
      </c>
      <c r="F4157" s="6" t="str">
        <f t="shared" si="3"/>
        <v>Product</v>
      </c>
      <c r="G4157" s="1" t="s">
        <v>640</v>
      </c>
      <c r="H4157" s="6" t="str">
        <f>IFERROR(__xludf.DUMMYFUNCTION("IF(REGEXMATCH(LOWER(G4157), ""^(\?)+\s*(missing)?\s*(\?)*$""), """", PROPER(SUBSTITUTE(SUBSTITUTE(G4157, ""?"", """"), ""*"", """")))"),"Card Billboard Font")</f>
        <v>Card Billboard Font</v>
      </c>
      <c r="I4157" s="3">
        <v>1.0</v>
      </c>
      <c r="J4157" s="7">
        <v>40886.41875</v>
      </c>
      <c r="K4157" s="8" t="str">
        <f t="shared" si="4"/>
        <v>2011-12</v>
      </c>
      <c r="L4157" s="5">
        <v>0.83</v>
      </c>
      <c r="M4157" s="10"/>
      <c r="N4157" s="1" t="str">
        <f t="shared" si="5"/>
        <v>Guest</v>
      </c>
      <c r="O4157" s="1" t="s">
        <v>19</v>
      </c>
      <c r="P4157" s="9" t="str">
        <f t="shared" si="6"/>
        <v>UK</v>
      </c>
      <c r="Q4157" s="8">
        <f t="shared" si="7"/>
        <v>0.83</v>
      </c>
    </row>
    <row r="4158">
      <c r="A4158" s="1">
        <v>581492.0</v>
      </c>
      <c r="B4158" s="1" t="str">
        <f t="shared" si="1"/>
        <v>581492</v>
      </c>
      <c r="C4158" s="1" t="str">
        <f t="shared" si="2"/>
        <v>Sale</v>
      </c>
      <c r="D4158" s="1">
        <v>22984.0</v>
      </c>
      <c r="E4158" s="1" t="str">
        <f>IFERROR(__xludf.DUMMYFUNCTION("IF(LEN(D4158)&gt;4, IFERROR(REGEXEXTRACT(TO_TEXT(D4158),""\d+""),""""),"""")"),"22984")</f>
        <v>22984</v>
      </c>
      <c r="F4158" s="6" t="str">
        <f t="shared" si="3"/>
        <v>Product</v>
      </c>
      <c r="G4158" s="1" t="s">
        <v>1965</v>
      </c>
      <c r="H4158" s="6" t="str">
        <f>IFERROR(__xludf.DUMMYFUNCTION("IF(REGEXMATCH(LOWER(G4158), ""^(\?)+\s*(missing)?\s*(\?)*$""), """", PROPER(SUBSTITUTE(SUBSTITUTE(G4158, ""?"", """"), ""*"", """")))"),"Card Gingham Rose")</f>
        <v>Card Gingham Rose</v>
      </c>
      <c r="I4158" s="3">
        <v>1.0</v>
      </c>
      <c r="J4158" s="7">
        <v>40886.41875</v>
      </c>
      <c r="K4158" s="8" t="str">
        <f t="shared" si="4"/>
        <v>2011-12</v>
      </c>
      <c r="L4158" s="5">
        <v>0.83</v>
      </c>
      <c r="M4158" s="10"/>
      <c r="N4158" s="1" t="str">
        <f t="shared" si="5"/>
        <v>Guest</v>
      </c>
      <c r="O4158" s="1" t="s">
        <v>19</v>
      </c>
      <c r="P4158" s="9" t="str">
        <f t="shared" si="6"/>
        <v>UK</v>
      </c>
      <c r="Q4158" s="8">
        <f t="shared" si="7"/>
        <v>0.83</v>
      </c>
    </row>
    <row r="4159">
      <c r="A4159" s="1">
        <v>581492.0</v>
      </c>
      <c r="B4159" s="1" t="str">
        <f t="shared" si="1"/>
        <v>581492</v>
      </c>
      <c r="C4159" s="1" t="str">
        <f t="shared" si="2"/>
        <v>Sale</v>
      </c>
      <c r="D4159" s="1">
        <v>22988.0</v>
      </c>
      <c r="E4159" s="1" t="str">
        <f>IFERROR(__xludf.DUMMYFUNCTION("IF(LEN(D4159)&gt;4, IFERROR(REGEXEXTRACT(TO_TEXT(D4159),""\d+""),""""),"""")"),"22988")</f>
        <v>22988</v>
      </c>
      <c r="F4159" s="6" t="str">
        <f t="shared" si="3"/>
        <v>Product</v>
      </c>
      <c r="G4159" s="1" t="s">
        <v>463</v>
      </c>
      <c r="H4159" s="6" t="str">
        <f>IFERROR(__xludf.DUMMYFUNCTION("IF(REGEXMATCH(LOWER(G4159), ""^(\?)+\s*(missing)?\s*(\?)*$""), """", PROPER(SUBSTITUTE(SUBSTITUTE(G4159, ""?"", """"), ""*"", """")))"),"Soldiers Egg Cup")</f>
        <v>Soldiers Egg Cup</v>
      </c>
      <c r="I4159" s="3">
        <v>1.0</v>
      </c>
      <c r="J4159" s="7">
        <v>40886.41875</v>
      </c>
      <c r="K4159" s="8" t="str">
        <f t="shared" si="4"/>
        <v>2011-12</v>
      </c>
      <c r="L4159" s="5">
        <v>2.46</v>
      </c>
      <c r="M4159" s="10"/>
      <c r="N4159" s="1" t="str">
        <f t="shared" si="5"/>
        <v>Guest</v>
      </c>
      <c r="O4159" s="1" t="s">
        <v>19</v>
      </c>
      <c r="P4159" s="9" t="str">
        <f t="shared" si="6"/>
        <v>UK</v>
      </c>
      <c r="Q4159" s="8">
        <f t="shared" si="7"/>
        <v>2.46</v>
      </c>
    </row>
    <row r="4160">
      <c r="A4160" s="1">
        <v>581492.0</v>
      </c>
      <c r="B4160" s="1" t="str">
        <f t="shared" si="1"/>
        <v>581492</v>
      </c>
      <c r="C4160" s="1" t="str">
        <f t="shared" si="2"/>
        <v>Sale</v>
      </c>
      <c r="D4160" s="1">
        <v>22989.0</v>
      </c>
      <c r="E4160" s="1" t="str">
        <f>IFERROR(__xludf.DUMMYFUNCTION("IF(LEN(D4160)&gt;4, IFERROR(REGEXEXTRACT(TO_TEXT(D4160),""\d+""),""""),"""")"),"22989")</f>
        <v>22989</v>
      </c>
      <c r="F4160" s="6" t="str">
        <f t="shared" si="3"/>
        <v>Product</v>
      </c>
      <c r="G4160" s="1" t="s">
        <v>1046</v>
      </c>
      <c r="H4160" s="6" t="str">
        <f>IFERROR(__xludf.DUMMYFUNCTION("IF(REGEXMATCH(LOWER(G4160), ""^(\?)+\s*(missing)?\s*(\?)*$""), """", PROPER(SUBSTITUTE(SUBSTITUTE(G4160, ""?"", """"), ""*"", """")))"),"Set 2 Pantry Design Tea Towels")</f>
        <v>Set 2 Pantry Design Tea Towels</v>
      </c>
      <c r="I4160" s="3">
        <v>2.0</v>
      </c>
      <c r="J4160" s="7">
        <v>40886.41875</v>
      </c>
      <c r="K4160" s="8" t="str">
        <f t="shared" si="4"/>
        <v>2011-12</v>
      </c>
      <c r="L4160" s="5">
        <v>6.63</v>
      </c>
      <c r="M4160" s="10"/>
      <c r="N4160" s="1" t="str">
        <f t="shared" si="5"/>
        <v>Guest</v>
      </c>
      <c r="O4160" s="1" t="s">
        <v>19</v>
      </c>
      <c r="P4160" s="9" t="str">
        <f t="shared" si="6"/>
        <v>UK</v>
      </c>
      <c r="Q4160" s="8">
        <f t="shared" si="7"/>
        <v>13.26</v>
      </c>
    </row>
    <row r="4161">
      <c r="A4161" s="1">
        <v>581492.0</v>
      </c>
      <c r="B4161" s="1" t="str">
        <f t="shared" si="1"/>
        <v>581492</v>
      </c>
      <c r="C4161" s="1" t="str">
        <f t="shared" si="2"/>
        <v>Sale</v>
      </c>
      <c r="D4161" s="1">
        <v>22992.0</v>
      </c>
      <c r="E4161" s="1" t="str">
        <f>IFERROR(__xludf.DUMMYFUNCTION("IF(LEN(D4161)&gt;4, IFERROR(REGEXEXTRACT(TO_TEXT(D4161),""\d+""),""""),"""")"),"22992")</f>
        <v>22992</v>
      </c>
      <c r="F4161" s="6" t="str">
        <f t="shared" si="3"/>
        <v>Product</v>
      </c>
      <c r="G4161" s="1" t="s">
        <v>732</v>
      </c>
      <c r="H4161" s="6" t="str">
        <f>IFERROR(__xludf.DUMMYFUNCTION("IF(REGEXMATCH(LOWER(G4161), ""^(\?)+\s*(missing)?\s*(\?)*$""), """", PROPER(SUBSTITUTE(SUBSTITUTE(G4161, ""?"", """"), ""*"", """")))"),"Revolver Wooden Ruler")</f>
        <v>Revolver Wooden Ruler</v>
      </c>
      <c r="I4161" s="3">
        <v>3.0</v>
      </c>
      <c r="J4161" s="7">
        <v>40886.41875</v>
      </c>
      <c r="K4161" s="8" t="str">
        <f t="shared" si="4"/>
        <v>2011-12</v>
      </c>
      <c r="L4161" s="5">
        <v>4.13</v>
      </c>
      <c r="M4161" s="10"/>
      <c r="N4161" s="1" t="str">
        <f t="shared" si="5"/>
        <v>Guest</v>
      </c>
      <c r="O4161" s="1" t="s">
        <v>19</v>
      </c>
      <c r="P4161" s="9" t="str">
        <f t="shared" si="6"/>
        <v>UK</v>
      </c>
      <c r="Q4161" s="8">
        <f t="shared" si="7"/>
        <v>12.39</v>
      </c>
    </row>
    <row r="4162">
      <c r="A4162" s="1">
        <v>581492.0</v>
      </c>
      <c r="B4162" s="1" t="str">
        <f t="shared" si="1"/>
        <v>581492</v>
      </c>
      <c r="C4162" s="1" t="str">
        <f t="shared" si="2"/>
        <v>Sale</v>
      </c>
      <c r="D4162" s="1">
        <v>22993.0</v>
      </c>
      <c r="E4162" s="1" t="str">
        <f>IFERROR(__xludf.DUMMYFUNCTION("IF(LEN(D4162)&gt;4, IFERROR(REGEXEXTRACT(TO_TEXT(D4162),""\d+""),""""),"""")"),"22993")</f>
        <v>22993</v>
      </c>
      <c r="F4162" s="6" t="str">
        <f t="shared" si="3"/>
        <v>Product</v>
      </c>
      <c r="G4162" s="1" t="s">
        <v>709</v>
      </c>
      <c r="H4162" s="6" t="str">
        <f>IFERROR(__xludf.DUMMYFUNCTION("IF(REGEXMATCH(LOWER(G4162), ""^(\?)+\s*(missing)?\s*(\?)*$""), """", PROPER(SUBSTITUTE(SUBSTITUTE(G4162, ""?"", """"), ""*"", """")))"),"Set Of 4 Pantry Jelly Moulds")</f>
        <v>Set Of 4 Pantry Jelly Moulds</v>
      </c>
      <c r="I4162" s="3">
        <v>3.0</v>
      </c>
      <c r="J4162" s="7">
        <v>40886.41875</v>
      </c>
      <c r="K4162" s="8" t="str">
        <f t="shared" si="4"/>
        <v>2011-12</v>
      </c>
      <c r="L4162" s="5">
        <v>2.46</v>
      </c>
      <c r="M4162" s="10"/>
      <c r="N4162" s="1" t="str">
        <f t="shared" si="5"/>
        <v>Guest</v>
      </c>
      <c r="O4162" s="1" t="s">
        <v>19</v>
      </c>
      <c r="P4162" s="9" t="str">
        <f t="shared" si="6"/>
        <v>UK</v>
      </c>
      <c r="Q4162" s="8">
        <f t="shared" si="7"/>
        <v>7.38</v>
      </c>
    </row>
    <row r="4163">
      <c r="A4163" s="1">
        <v>581492.0</v>
      </c>
      <c r="B4163" s="1" t="str">
        <f t="shared" si="1"/>
        <v>581492</v>
      </c>
      <c r="C4163" s="1" t="str">
        <f t="shared" si="2"/>
        <v>Sale</v>
      </c>
      <c r="D4163" s="1">
        <v>22995.0</v>
      </c>
      <c r="E4163" s="1" t="str">
        <f>IFERROR(__xludf.DUMMYFUNCTION("IF(LEN(D4163)&gt;4, IFERROR(REGEXEXTRACT(TO_TEXT(D4163),""\d+""),""""),"""")"),"22995")</f>
        <v>22995</v>
      </c>
      <c r="F4163" s="6" t="str">
        <f t="shared" si="3"/>
        <v>Product</v>
      </c>
      <c r="G4163" s="1" t="s">
        <v>710</v>
      </c>
      <c r="H4163" s="6" t="str">
        <f>IFERROR(__xludf.DUMMYFUNCTION("IF(REGEXMATCH(LOWER(G4163), ""^(\?)+\s*(missing)?\s*(\?)*$""), """", PROPER(SUBSTITUTE(SUBSTITUTE(G4163, ""?"", """"), ""*"", """")))"),"Travel Card Wallet Suki")</f>
        <v>Travel Card Wallet Suki</v>
      </c>
      <c r="I4163" s="3">
        <v>4.0</v>
      </c>
      <c r="J4163" s="7">
        <v>40886.41875</v>
      </c>
      <c r="K4163" s="8" t="str">
        <f t="shared" si="4"/>
        <v>2011-12</v>
      </c>
      <c r="L4163" s="5">
        <v>0.83</v>
      </c>
      <c r="M4163" s="10"/>
      <c r="N4163" s="1" t="str">
        <f t="shared" si="5"/>
        <v>Guest</v>
      </c>
      <c r="O4163" s="1" t="s">
        <v>19</v>
      </c>
      <c r="P4163" s="9" t="str">
        <f t="shared" si="6"/>
        <v>UK</v>
      </c>
      <c r="Q4163" s="8">
        <f t="shared" si="7"/>
        <v>3.32</v>
      </c>
    </row>
    <row r="4164">
      <c r="A4164" s="1">
        <v>581492.0</v>
      </c>
      <c r="B4164" s="1" t="str">
        <f t="shared" si="1"/>
        <v>581492</v>
      </c>
      <c r="C4164" s="1" t="str">
        <f t="shared" si="2"/>
        <v>Sale</v>
      </c>
      <c r="D4164" s="1">
        <v>22996.0</v>
      </c>
      <c r="E4164" s="1" t="str">
        <f>IFERROR(__xludf.DUMMYFUNCTION("IF(LEN(D4164)&gt;4, IFERROR(REGEXEXTRACT(TO_TEXT(D4164),""\d+""),""""),"""")"),"22996")</f>
        <v>22996</v>
      </c>
      <c r="F4164" s="6" t="str">
        <f t="shared" si="3"/>
        <v>Product</v>
      </c>
      <c r="G4164" s="1" t="s">
        <v>711</v>
      </c>
      <c r="H4164" s="6" t="str">
        <f>IFERROR(__xludf.DUMMYFUNCTION("IF(REGEXMATCH(LOWER(G4164), ""^(\?)+\s*(missing)?\s*(\?)*$""), """", PROPER(SUBSTITUTE(SUBSTITUTE(G4164, ""?"", """"), ""*"", """")))"),"Travel Card Wallet Vintage Ticket")</f>
        <v>Travel Card Wallet Vintage Ticket</v>
      </c>
      <c r="I4164" s="3">
        <v>5.0</v>
      </c>
      <c r="J4164" s="7">
        <v>40886.41875</v>
      </c>
      <c r="K4164" s="8" t="str">
        <f t="shared" si="4"/>
        <v>2011-12</v>
      </c>
      <c r="L4164" s="5">
        <v>0.83</v>
      </c>
      <c r="M4164" s="10"/>
      <c r="N4164" s="1" t="str">
        <f t="shared" si="5"/>
        <v>Guest</v>
      </c>
      <c r="O4164" s="1" t="s">
        <v>19</v>
      </c>
      <c r="P4164" s="9" t="str">
        <f t="shared" si="6"/>
        <v>UK</v>
      </c>
      <c r="Q4164" s="8">
        <f t="shared" si="7"/>
        <v>4.15</v>
      </c>
    </row>
    <row r="4165">
      <c r="A4165" s="1">
        <v>581492.0</v>
      </c>
      <c r="B4165" s="1" t="str">
        <f t="shared" si="1"/>
        <v>581492</v>
      </c>
      <c r="C4165" s="1" t="str">
        <f t="shared" si="2"/>
        <v>Sale</v>
      </c>
      <c r="D4165" s="1">
        <v>22997.0</v>
      </c>
      <c r="E4165" s="1" t="str">
        <f>IFERROR(__xludf.DUMMYFUNCTION("IF(LEN(D4165)&gt;4, IFERROR(REGEXEXTRACT(TO_TEXT(D4165),""\d+""),""""),"""")"),"22997")</f>
        <v>22997</v>
      </c>
      <c r="F4165" s="6" t="str">
        <f t="shared" si="3"/>
        <v>Product</v>
      </c>
      <c r="G4165" s="1" t="s">
        <v>996</v>
      </c>
      <c r="H4165" s="6" t="str">
        <f>IFERROR(__xludf.DUMMYFUNCTION("IF(REGEXMATCH(LOWER(G4165), ""^(\?)+\s*(missing)?\s*(\?)*$""), """", PROPER(SUBSTITUTE(SUBSTITUTE(G4165, ""?"", """"), ""*"", """")))"),"Travel Card Wallet Union Jack")</f>
        <v>Travel Card Wallet Union Jack</v>
      </c>
      <c r="I4165" s="3">
        <v>1.0</v>
      </c>
      <c r="J4165" s="7">
        <v>40886.41875</v>
      </c>
      <c r="K4165" s="8" t="str">
        <f t="shared" si="4"/>
        <v>2011-12</v>
      </c>
      <c r="L4165" s="5">
        <v>0.83</v>
      </c>
      <c r="M4165" s="10"/>
      <c r="N4165" s="1" t="str">
        <f t="shared" si="5"/>
        <v>Guest</v>
      </c>
      <c r="O4165" s="1" t="s">
        <v>19</v>
      </c>
      <c r="P4165" s="9" t="str">
        <f t="shared" si="6"/>
        <v>UK</v>
      </c>
      <c r="Q4165" s="8">
        <f t="shared" si="7"/>
        <v>0.83</v>
      </c>
    </row>
    <row r="4166">
      <c r="A4166" s="1">
        <v>581492.0</v>
      </c>
      <c r="B4166" s="1" t="str">
        <f t="shared" si="1"/>
        <v>581492</v>
      </c>
      <c r="C4166" s="1" t="str">
        <f t="shared" si="2"/>
        <v>Sale</v>
      </c>
      <c r="D4166" s="1">
        <v>22998.0</v>
      </c>
      <c r="E4166" s="1" t="str">
        <f>IFERROR(__xludf.DUMMYFUNCTION("IF(LEN(D4166)&gt;4, IFERROR(REGEXEXTRACT(TO_TEXT(D4166),""\d+""),""""),"""")"),"22998")</f>
        <v>22998</v>
      </c>
      <c r="F4166" s="6" t="str">
        <f t="shared" si="3"/>
        <v>Product</v>
      </c>
      <c r="G4166" s="1" t="s">
        <v>712</v>
      </c>
      <c r="H4166" s="6" t="str">
        <f>IFERROR(__xludf.DUMMYFUNCTION("IF(REGEXMATCH(LOWER(G4166), ""^(\?)+\s*(missing)?\s*(\?)*$""), """", PROPER(SUBSTITUTE(SUBSTITUTE(G4166, ""?"", """"), ""*"", """")))"),"Travel Card Wallet Keep Calm")</f>
        <v>Travel Card Wallet Keep Calm</v>
      </c>
      <c r="I4166" s="3">
        <v>4.0</v>
      </c>
      <c r="J4166" s="7">
        <v>40886.41875</v>
      </c>
      <c r="K4166" s="8" t="str">
        <f t="shared" si="4"/>
        <v>2011-12</v>
      </c>
      <c r="L4166" s="5">
        <v>0.83</v>
      </c>
      <c r="M4166" s="10"/>
      <c r="N4166" s="1" t="str">
        <f t="shared" si="5"/>
        <v>Guest</v>
      </c>
      <c r="O4166" s="1" t="s">
        <v>19</v>
      </c>
      <c r="P4166" s="9" t="str">
        <f t="shared" si="6"/>
        <v>UK</v>
      </c>
      <c r="Q4166" s="8">
        <f t="shared" si="7"/>
        <v>3.32</v>
      </c>
    </row>
    <row r="4167">
      <c r="A4167" s="1">
        <v>581492.0</v>
      </c>
      <c r="B4167" s="1" t="str">
        <f t="shared" si="1"/>
        <v>581492</v>
      </c>
      <c r="C4167" s="1" t="str">
        <f t="shared" si="2"/>
        <v>Sale</v>
      </c>
      <c r="D4167" s="1">
        <v>22999.0</v>
      </c>
      <c r="E4167" s="1" t="str">
        <f>IFERROR(__xludf.DUMMYFUNCTION("IF(LEN(D4167)&gt;4, IFERROR(REGEXEXTRACT(TO_TEXT(D4167),""\d+""),""""),"""")"),"22999")</f>
        <v>22999</v>
      </c>
      <c r="F4167" s="6" t="str">
        <f t="shared" si="3"/>
        <v>Product</v>
      </c>
      <c r="G4167" s="1" t="s">
        <v>1466</v>
      </c>
      <c r="H4167" s="6" t="str">
        <f>IFERROR(__xludf.DUMMYFUNCTION("IF(REGEXMATCH(LOWER(G4167), ""^(\?)+\s*(missing)?\s*(\?)*$""), """", PROPER(SUBSTITUTE(SUBSTITUTE(G4167, ""?"", """"), ""*"", """")))"),"Travel Card Wallet Vintage Leaf")</f>
        <v>Travel Card Wallet Vintage Leaf</v>
      </c>
      <c r="I4167" s="3">
        <v>1.0</v>
      </c>
      <c r="J4167" s="7">
        <v>40886.41875</v>
      </c>
      <c r="K4167" s="8" t="str">
        <f t="shared" si="4"/>
        <v>2011-12</v>
      </c>
      <c r="L4167" s="5">
        <v>0.83</v>
      </c>
      <c r="M4167" s="10"/>
      <c r="N4167" s="1" t="str">
        <f t="shared" si="5"/>
        <v>Guest</v>
      </c>
      <c r="O4167" s="1" t="s">
        <v>19</v>
      </c>
      <c r="P4167" s="9" t="str">
        <f t="shared" si="6"/>
        <v>UK</v>
      </c>
      <c r="Q4167" s="8">
        <f t="shared" si="7"/>
        <v>0.83</v>
      </c>
    </row>
    <row r="4168">
      <c r="A4168" s="1">
        <v>581492.0</v>
      </c>
      <c r="B4168" s="1" t="str">
        <f t="shared" si="1"/>
        <v>581492</v>
      </c>
      <c r="C4168" s="1" t="str">
        <f t="shared" si="2"/>
        <v>Sale</v>
      </c>
      <c r="D4168" s="1">
        <v>23005.0</v>
      </c>
      <c r="E4168" s="1" t="str">
        <f>IFERROR(__xludf.DUMMYFUNCTION("IF(LEN(D4168)&gt;4, IFERROR(REGEXEXTRACT(TO_TEXT(D4168),""\d+""),""""),"""")"),"23005")</f>
        <v>23005</v>
      </c>
      <c r="F4168" s="6" t="str">
        <f t="shared" si="3"/>
        <v>Product</v>
      </c>
      <c r="G4168" s="1" t="s">
        <v>1465</v>
      </c>
      <c r="H4168" s="6" t="str">
        <f>IFERROR(__xludf.DUMMYFUNCTION("IF(REGEXMATCH(LOWER(G4168), ""^(\?)+\s*(missing)?\s*(\?)*$""), """", PROPER(SUBSTITUTE(SUBSTITUTE(G4168, ""?"", """"), ""*"", """")))"),"Travel Card Wallet I Love London")</f>
        <v>Travel Card Wallet I Love London</v>
      </c>
      <c r="I4168" s="3">
        <v>4.0</v>
      </c>
      <c r="J4168" s="7">
        <v>40886.41875</v>
      </c>
      <c r="K4168" s="8" t="str">
        <f t="shared" si="4"/>
        <v>2011-12</v>
      </c>
      <c r="L4168" s="5">
        <v>0.83</v>
      </c>
      <c r="M4168" s="10"/>
      <c r="N4168" s="1" t="str">
        <f t="shared" si="5"/>
        <v>Guest</v>
      </c>
      <c r="O4168" s="1" t="s">
        <v>19</v>
      </c>
      <c r="P4168" s="9" t="str">
        <f t="shared" si="6"/>
        <v>UK</v>
      </c>
      <c r="Q4168" s="8">
        <f t="shared" si="7"/>
        <v>3.32</v>
      </c>
    </row>
    <row r="4169">
      <c r="A4169" s="1">
        <v>581492.0</v>
      </c>
      <c r="B4169" s="1" t="str">
        <f t="shared" si="1"/>
        <v>581492</v>
      </c>
      <c r="C4169" s="1" t="str">
        <f t="shared" si="2"/>
        <v>Sale</v>
      </c>
      <c r="D4169" s="1">
        <v>23007.0</v>
      </c>
      <c r="E4169" s="1" t="str">
        <f>IFERROR(__xludf.DUMMYFUNCTION("IF(LEN(D4169)&gt;4, IFERROR(REGEXEXTRACT(TO_TEXT(D4169),""\d+""),""""),"""")"),"23007")</f>
        <v>23007</v>
      </c>
      <c r="F4169" s="6" t="str">
        <f t="shared" si="3"/>
        <v>Product</v>
      </c>
      <c r="G4169" s="1" t="s">
        <v>1571</v>
      </c>
      <c r="H4169" s="6" t="str">
        <f>IFERROR(__xludf.DUMMYFUNCTION("IF(REGEXMATCH(LOWER(G4169), ""^(\?)+\s*(missing)?\s*(\?)*$""), """", PROPER(SUBSTITUTE(SUBSTITUTE(G4169, ""?"", """"), ""*"", """")))"),"Spaceboy Baby Gift Set")</f>
        <v>Spaceboy Baby Gift Set</v>
      </c>
      <c r="I4169" s="3">
        <v>1.0</v>
      </c>
      <c r="J4169" s="7">
        <v>40886.41875</v>
      </c>
      <c r="K4169" s="8" t="str">
        <f t="shared" si="4"/>
        <v>2011-12</v>
      </c>
      <c r="L4169" s="5">
        <v>10.79</v>
      </c>
      <c r="M4169" s="10"/>
      <c r="N4169" s="1" t="str">
        <f t="shared" si="5"/>
        <v>Guest</v>
      </c>
      <c r="O4169" s="1" t="s">
        <v>19</v>
      </c>
      <c r="P4169" s="9" t="str">
        <f t="shared" si="6"/>
        <v>UK</v>
      </c>
      <c r="Q4169" s="8">
        <f t="shared" si="7"/>
        <v>10.79</v>
      </c>
    </row>
    <row r="4170">
      <c r="A4170" s="1">
        <v>581492.0</v>
      </c>
      <c r="B4170" s="1" t="str">
        <f t="shared" si="1"/>
        <v>581492</v>
      </c>
      <c r="C4170" s="1" t="str">
        <f t="shared" si="2"/>
        <v>Sale</v>
      </c>
      <c r="D4170" s="1">
        <v>23009.0</v>
      </c>
      <c r="E4170" s="1" t="str">
        <f>IFERROR(__xludf.DUMMYFUNCTION("IF(LEN(D4170)&gt;4, IFERROR(REGEXEXTRACT(TO_TEXT(D4170),""\d+""),""""),"""")"),"23009")</f>
        <v>23009</v>
      </c>
      <c r="F4170" s="6" t="str">
        <f t="shared" si="3"/>
        <v>Product</v>
      </c>
      <c r="G4170" s="1" t="s">
        <v>1966</v>
      </c>
      <c r="H4170" s="6" t="str">
        <f>IFERROR(__xludf.DUMMYFUNCTION("IF(REGEXMATCH(LOWER(G4170), ""^(\?)+\s*(missing)?\s*(\?)*$""), """", PROPER(SUBSTITUTE(SUBSTITUTE(G4170, ""?"", """"), ""*"", """")))"),"I Love London Baby Gift Set")</f>
        <v>I Love London Baby Gift Set</v>
      </c>
      <c r="I4170" s="3">
        <v>2.0</v>
      </c>
      <c r="J4170" s="7">
        <v>40886.41875</v>
      </c>
      <c r="K4170" s="8" t="str">
        <f t="shared" si="4"/>
        <v>2011-12</v>
      </c>
      <c r="L4170" s="5">
        <v>10.79</v>
      </c>
      <c r="M4170" s="10"/>
      <c r="N4170" s="1" t="str">
        <f t="shared" si="5"/>
        <v>Guest</v>
      </c>
      <c r="O4170" s="1" t="s">
        <v>19</v>
      </c>
      <c r="P4170" s="9" t="str">
        <f t="shared" si="6"/>
        <v>UK</v>
      </c>
      <c r="Q4170" s="8">
        <f t="shared" si="7"/>
        <v>21.58</v>
      </c>
    </row>
    <row r="4171">
      <c r="A4171" s="1">
        <v>581492.0</v>
      </c>
      <c r="B4171" s="1" t="str">
        <f t="shared" si="1"/>
        <v>581492</v>
      </c>
      <c r="C4171" s="1" t="str">
        <f t="shared" si="2"/>
        <v>Sale</v>
      </c>
      <c r="D4171" s="1">
        <v>23012.0</v>
      </c>
      <c r="E4171" s="1" t="str">
        <f>IFERROR(__xludf.DUMMYFUNCTION("IF(LEN(D4171)&gt;4, IFERROR(REGEXEXTRACT(TO_TEXT(D4171),""\d+""),""""),"""")"),"23012")</f>
        <v>23012</v>
      </c>
      <c r="F4171" s="6" t="str">
        <f t="shared" si="3"/>
        <v>Product</v>
      </c>
      <c r="G4171" s="1" t="s">
        <v>1967</v>
      </c>
      <c r="H4171" s="6" t="str">
        <f>IFERROR(__xludf.DUMMYFUNCTION("IF(REGEXMATCH(LOWER(G4171), ""^(\?)+\s*(missing)?\s*(\?)*$""), """", PROPER(SUBSTITUTE(SUBSTITUTE(G4171, ""?"", """"), ""*"", """")))"),"Glass Apothecary Bottle Perfume")</f>
        <v>Glass Apothecary Bottle Perfume</v>
      </c>
      <c r="I4171" s="3">
        <v>1.0</v>
      </c>
      <c r="J4171" s="7">
        <v>40886.41875</v>
      </c>
      <c r="K4171" s="8" t="str">
        <f t="shared" si="4"/>
        <v>2011-12</v>
      </c>
      <c r="L4171" s="5">
        <v>8.29</v>
      </c>
      <c r="M4171" s="10"/>
      <c r="N4171" s="1" t="str">
        <f t="shared" si="5"/>
        <v>Guest</v>
      </c>
      <c r="O4171" s="1" t="s">
        <v>19</v>
      </c>
      <c r="P4171" s="9" t="str">
        <f t="shared" si="6"/>
        <v>UK</v>
      </c>
      <c r="Q4171" s="8">
        <f t="shared" si="7"/>
        <v>8.29</v>
      </c>
    </row>
    <row r="4172">
      <c r="A4172" s="1">
        <v>581492.0</v>
      </c>
      <c r="B4172" s="1" t="str">
        <f t="shared" si="1"/>
        <v>581492</v>
      </c>
      <c r="C4172" s="1" t="str">
        <f t="shared" si="2"/>
        <v>Sale</v>
      </c>
      <c r="D4172" s="1">
        <v>23013.0</v>
      </c>
      <c r="E4172" s="1" t="str">
        <f>IFERROR(__xludf.DUMMYFUNCTION("IF(LEN(D4172)&gt;4, IFERROR(REGEXEXTRACT(TO_TEXT(D4172),""\d+""),""""),"""")"),"23013")</f>
        <v>23013</v>
      </c>
      <c r="F4172" s="6" t="str">
        <f t="shared" si="3"/>
        <v>Product</v>
      </c>
      <c r="G4172" s="1" t="s">
        <v>1968</v>
      </c>
      <c r="H4172" s="6" t="str">
        <f>IFERROR(__xludf.DUMMYFUNCTION("IF(REGEXMATCH(LOWER(G4172), ""^(\?)+\s*(missing)?\s*(\?)*$""), """", PROPER(SUBSTITUTE(SUBSTITUTE(G4172, ""?"", """"), ""*"", """")))"),"Glass Apothecary Bottle Tonic")</f>
        <v>Glass Apothecary Bottle Tonic</v>
      </c>
      <c r="I4172" s="3">
        <v>2.0</v>
      </c>
      <c r="J4172" s="7">
        <v>40886.41875</v>
      </c>
      <c r="K4172" s="8" t="str">
        <f t="shared" si="4"/>
        <v>2011-12</v>
      </c>
      <c r="L4172" s="5">
        <v>8.29</v>
      </c>
      <c r="M4172" s="10"/>
      <c r="N4172" s="1" t="str">
        <f t="shared" si="5"/>
        <v>Guest</v>
      </c>
      <c r="O4172" s="1" t="s">
        <v>19</v>
      </c>
      <c r="P4172" s="9" t="str">
        <f t="shared" si="6"/>
        <v>UK</v>
      </c>
      <c r="Q4172" s="8">
        <f t="shared" si="7"/>
        <v>16.58</v>
      </c>
    </row>
    <row r="4173">
      <c r="A4173" s="1">
        <v>581492.0</v>
      </c>
      <c r="B4173" s="1" t="str">
        <f t="shared" si="1"/>
        <v>581492</v>
      </c>
      <c r="C4173" s="1" t="str">
        <f t="shared" si="2"/>
        <v>Sale</v>
      </c>
      <c r="D4173" s="1">
        <v>23014.0</v>
      </c>
      <c r="E4173" s="1" t="str">
        <f>IFERROR(__xludf.DUMMYFUNCTION("IF(LEN(D4173)&gt;4, IFERROR(REGEXEXTRACT(TO_TEXT(D4173),""\d+""),""""),"""")"),"23014")</f>
        <v>23014</v>
      </c>
      <c r="F4173" s="6" t="str">
        <f t="shared" si="3"/>
        <v>Product</v>
      </c>
      <c r="G4173" s="1" t="s">
        <v>1969</v>
      </c>
      <c r="H4173" s="6" t="str">
        <f>IFERROR(__xludf.DUMMYFUNCTION("IF(REGEXMATCH(LOWER(G4173), ""^(\?)+\s*(missing)?\s*(\?)*$""), """", PROPER(SUBSTITUTE(SUBSTITUTE(G4173, ""?"", """"), ""*"", """")))"),"Glass Apothecary Bottle Elixir")</f>
        <v>Glass Apothecary Bottle Elixir</v>
      </c>
      <c r="I4173" s="3">
        <v>1.0</v>
      </c>
      <c r="J4173" s="7">
        <v>40886.41875</v>
      </c>
      <c r="K4173" s="8" t="str">
        <f t="shared" si="4"/>
        <v>2011-12</v>
      </c>
      <c r="L4173" s="5">
        <v>8.29</v>
      </c>
      <c r="M4173" s="10"/>
      <c r="N4173" s="1" t="str">
        <f t="shared" si="5"/>
        <v>Guest</v>
      </c>
      <c r="O4173" s="1" t="s">
        <v>19</v>
      </c>
      <c r="P4173" s="9" t="str">
        <f t="shared" si="6"/>
        <v>UK</v>
      </c>
      <c r="Q4173" s="8">
        <f t="shared" si="7"/>
        <v>8.29</v>
      </c>
    </row>
    <row r="4174">
      <c r="A4174" s="1">
        <v>581492.0</v>
      </c>
      <c r="B4174" s="1" t="str">
        <f t="shared" si="1"/>
        <v>581492</v>
      </c>
      <c r="C4174" s="1" t="str">
        <f t="shared" si="2"/>
        <v>Sale</v>
      </c>
      <c r="D4174" s="1">
        <v>23050.0</v>
      </c>
      <c r="E4174" s="1" t="str">
        <f>IFERROR(__xludf.DUMMYFUNCTION("IF(LEN(D4174)&gt;4, IFERROR(REGEXEXTRACT(TO_TEXT(D4174),""\d+""),""""),"""")"),"23050")</f>
        <v>23050</v>
      </c>
      <c r="F4174" s="6" t="str">
        <f t="shared" si="3"/>
        <v>Product</v>
      </c>
      <c r="G4174" s="1" t="s">
        <v>1970</v>
      </c>
      <c r="H4174" s="6" t="str">
        <f>IFERROR(__xludf.DUMMYFUNCTION("IF(REGEXMATCH(LOWER(G4174), ""^(\?)+\s*(missing)?\s*(\?)*$""), """", PROPER(SUBSTITUTE(SUBSTITUTE(G4174, ""?"", """"), ""*"", """")))"),"Recycled Acapulco Mat Green")</f>
        <v>Recycled Acapulco Mat Green</v>
      </c>
      <c r="I4174" s="3">
        <v>1.0</v>
      </c>
      <c r="J4174" s="7">
        <v>40886.41875</v>
      </c>
      <c r="K4174" s="8" t="str">
        <f t="shared" si="4"/>
        <v>2011-12</v>
      </c>
      <c r="L4174" s="5">
        <v>16.63</v>
      </c>
      <c r="M4174" s="10"/>
      <c r="N4174" s="1" t="str">
        <f t="shared" si="5"/>
        <v>Guest</v>
      </c>
      <c r="O4174" s="1" t="s">
        <v>19</v>
      </c>
      <c r="P4174" s="9" t="str">
        <f t="shared" si="6"/>
        <v>UK</v>
      </c>
      <c r="Q4174" s="8">
        <f t="shared" si="7"/>
        <v>16.63</v>
      </c>
    </row>
    <row r="4175">
      <c r="A4175" s="1">
        <v>581492.0</v>
      </c>
      <c r="B4175" s="1" t="str">
        <f t="shared" si="1"/>
        <v>581492</v>
      </c>
      <c r="C4175" s="1" t="str">
        <f t="shared" si="2"/>
        <v>Sale</v>
      </c>
      <c r="D4175" s="1">
        <v>23051.0</v>
      </c>
      <c r="E4175" s="1" t="str">
        <f>IFERROR(__xludf.DUMMYFUNCTION("IF(LEN(D4175)&gt;4, IFERROR(REGEXEXTRACT(TO_TEXT(D4175),""\d+""),""""),"""")"),"23051")</f>
        <v>23051</v>
      </c>
      <c r="F4175" s="6" t="str">
        <f t="shared" si="3"/>
        <v>Product</v>
      </c>
      <c r="G4175" s="1" t="s">
        <v>1971</v>
      </c>
      <c r="H4175" s="6" t="str">
        <f>IFERROR(__xludf.DUMMYFUNCTION("IF(REGEXMATCH(LOWER(G4175), ""^(\?)+\s*(missing)?\s*(\?)*$""), """", PROPER(SUBSTITUTE(SUBSTITUTE(G4175, ""?"", """"), ""*"", """")))"),"Recycled Acapulco Mat Blue")</f>
        <v>Recycled Acapulco Mat Blue</v>
      </c>
      <c r="I4175" s="3">
        <v>1.0</v>
      </c>
      <c r="J4175" s="7">
        <v>40886.41875</v>
      </c>
      <c r="K4175" s="8" t="str">
        <f t="shared" si="4"/>
        <v>2011-12</v>
      </c>
      <c r="L4175" s="5">
        <v>16.63</v>
      </c>
      <c r="M4175" s="10"/>
      <c r="N4175" s="1" t="str">
        <f t="shared" si="5"/>
        <v>Guest</v>
      </c>
      <c r="O4175" s="1" t="s">
        <v>19</v>
      </c>
      <c r="P4175" s="9" t="str">
        <f t="shared" si="6"/>
        <v>UK</v>
      </c>
      <c r="Q4175" s="8">
        <f t="shared" si="7"/>
        <v>16.63</v>
      </c>
    </row>
    <row r="4176">
      <c r="A4176" s="1">
        <v>581492.0</v>
      </c>
      <c r="B4176" s="1" t="str">
        <f t="shared" si="1"/>
        <v>581492</v>
      </c>
      <c r="C4176" s="1" t="str">
        <f t="shared" si="2"/>
        <v>Sale</v>
      </c>
      <c r="D4176" s="1">
        <v>23052.0</v>
      </c>
      <c r="E4176" s="1" t="str">
        <f>IFERROR(__xludf.DUMMYFUNCTION("IF(LEN(D4176)&gt;4, IFERROR(REGEXEXTRACT(TO_TEXT(D4176),""\d+""),""""),"""")"),"23052")</f>
        <v>23052</v>
      </c>
      <c r="F4176" s="6" t="str">
        <f t="shared" si="3"/>
        <v>Product</v>
      </c>
      <c r="G4176" s="1" t="s">
        <v>1972</v>
      </c>
      <c r="H4176" s="6" t="str">
        <f>IFERROR(__xludf.DUMMYFUNCTION("IF(REGEXMATCH(LOWER(G4176), ""^(\?)+\s*(missing)?\s*(\?)*$""), """", PROPER(SUBSTITUTE(SUBSTITUTE(G4176, ""?"", """"), ""*"", """")))"),"Recycled Acapulco Mat Turquoise")</f>
        <v>Recycled Acapulco Mat Turquoise</v>
      </c>
      <c r="I4176" s="3">
        <v>5.0</v>
      </c>
      <c r="J4176" s="7">
        <v>40886.41875</v>
      </c>
      <c r="K4176" s="8" t="str">
        <f t="shared" si="4"/>
        <v>2011-12</v>
      </c>
      <c r="L4176" s="5">
        <v>16.63</v>
      </c>
      <c r="M4176" s="10"/>
      <c r="N4176" s="1" t="str">
        <f t="shared" si="5"/>
        <v>Guest</v>
      </c>
      <c r="O4176" s="1" t="s">
        <v>19</v>
      </c>
      <c r="P4176" s="9" t="str">
        <f t="shared" si="6"/>
        <v>UK</v>
      </c>
      <c r="Q4176" s="8">
        <f t="shared" si="7"/>
        <v>83.15</v>
      </c>
    </row>
    <row r="4177">
      <c r="A4177" s="1">
        <v>581492.0</v>
      </c>
      <c r="B4177" s="1" t="str">
        <f t="shared" si="1"/>
        <v>581492</v>
      </c>
      <c r="C4177" s="1" t="str">
        <f t="shared" si="2"/>
        <v>Sale</v>
      </c>
      <c r="D4177" s="1">
        <v>23053.0</v>
      </c>
      <c r="E4177" s="1" t="str">
        <f>IFERROR(__xludf.DUMMYFUNCTION("IF(LEN(D4177)&gt;4, IFERROR(REGEXEXTRACT(TO_TEXT(D4177),""\d+""),""""),"""")"),"23053")</f>
        <v>23053</v>
      </c>
      <c r="F4177" s="6" t="str">
        <f t="shared" si="3"/>
        <v>Product</v>
      </c>
      <c r="G4177" s="1" t="s">
        <v>1973</v>
      </c>
      <c r="H4177" s="6" t="str">
        <f>IFERROR(__xludf.DUMMYFUNCTION("IF(REGEXMATCH(LOWER(G4177), ""^(\?)+\s*(missing)?\s*(\?)*$""), """", PROPER(SUBSTITUTE(SUBSTITUTE(G4177, ""?"", """"), ""*"", """")))"),"Recycled Acapulco Mat Pink")</f>
        <v>Recycled Acapulco Mat Pink</v>
      </c>
      <c r="I4177" s="3">
        <v>1.0</v>
      </c>
      <c r="J4177" s="7">
        <v>40886.41875</v>
      </c>
      <c r="K4177" s="8" t="str">
        <f t="shared" si="4"/>
        <v>2011-12</v>
      </c>
      <c r="L4177" s="5">
        <v>16.63</v>
      </c>
      <c r="M4177" s="10"/>
      <c r="N4177" s="1" t="str">
        <f t="shared" si="5"/>
        <v>Guest</v>
      </c>
      <c r="O4177" s="1" t="s">
        <v>19</v>
      </c>
      <c r="P4177" s="9" t="str">
        <f t="shared" si="6"/>
        <v>UK</v>
      </c>
      <c r="Q4177" s="8">
        <f t="shared" si="7"/>
        <v>16.63</v>
      </c>
    </row>
    <row r="4178">
      <c r="A4178" s="1">
        <v>581492.0</v>
      </c>
      <c r="B4178" s="1" t="str">
        <f t="shared" si="1"/>
        <v>581492</v>
      </c>
      <c r="C4178" s="1" t="str">
        <f t="shared" si="2"/>
        <v>Sale</v>
      </c>
      <c r="D4178" s="1">
        <v>23054.0</v>
      </c>
      <c r="E4178" s="1" t="str">
        <f>IFERROR(__xludf.DUMMYFUNCTION("IF(LEN(D4178)&gt;4, IFERROR(REGEXEXTRACT(TO_TEXT(D4178),""\d+""),""""),"""")"),"23054")</f>
        <v>23054</v>
      </c>
      <c r="F4178" s="6" t="str">
        <f t="shared" si="3"/>
        <v>Product</v>
      </c>
      <c r="G4178" s="1" t="s">
        <v>1974</v>
      </c>
      <c r="H4178" s="6" t="str">
        <f>IFERROR(__xludf.DUMMYFUNCTION("IF(REGEXMATCH(LOWER(G4178), ""^(\?)+\s*(missing)?\s*(\?)*$""), """", PROPER(SUBSTITUTE(SUBSTITUTE(G4178, ""?"", """"), ""*"", """")))"),"Recycled Acapulco Mat Lavender")</f>
        <v>Recycled Acapulco Mat Lavender</v>
      </c>
      <c r="I4178" s="3">
        <v>1.0</v>
      </c>
      <c r="J4178" s="7">
        <v>40886.41875</v>
      </c>
      <c r="K4178" s="8" t="str">
        <f t="shared" si="4"/>
        <v>2011-12</v>
      </c>
      <c r="L4178" s="5">
        <v>16.63</v>
      </c>
      <c r="M4178" s="10"/>
      <c r="N4178" s="1" t="str">
        <f t="shared" si="5"/>
        <v>Guest</v>
      </c>
      <c r="O4178" s="1" t="s">
        <v>19</v>
      </c>
      <c r="P4178" s="9" t="str">
        <f t="shared" si="6"/>
        <v>UK</v>
      </c>
      <c r="Q4178" s="8">
        <f t="shared" si="7"/>
        <v>16.63</v>
      </c>
    </row>
    <row r="4179">
      <c r="A4179" s="1">
        <v>581492.0</v>
      </c>
      <c r="B4179" s="1" t="str">
        <f t="shared" si="1"/>
        <v>581492</v>
      </c>
      <c r="C4179" s="1" t="str">
        <f t="shared" si="2"/>
        <v>Sale</v>
      </c>
      <c r="D4179" s="1">
        <v>23074.0</v>
      </c>
      <c r="E4179" s="1" t="str">
        <f>IFERROR(__xludf.DUMMYFUNCTION("IF(LEN(D4179)&gt;4, IFERROR(REGEXEXTRACT(TO_TEXT(D4179),""\d+""),""""),"""")"),"23074")</f>
        <v>23074</v>
      </c>
      <c r="F4179" s="6" t="str">
        <f t="shared" si="3"/>
        <v>Product</v>
      </c>
      <c r="G4179" s="1" t="s">
        <v>1975</v>
      </c>
      <c r="H4179" s="6" t="str">
        <f>IFERROR(__xludf.DUMMYFUNCTION("IF(REGEXMATCH(LOWER(G4179), ""^(\?)+\s*(missing)?\s*(\?)*$""), """", PROPER(SUBSTITUTE(SUBSTITUTE(G4179, ""?"", """"), ""*"", """")))"),"Embossed Heart Trinket Box")</f>
        <v>Embossed Heart Trinket Box</v>
      </c>
      <c r="I4179" s="3">
        <v>1.0</v>
      </c>
      <c r="J4179" s="7">
        <v>40886.41875</v>
      </c>
      <c r="K4179" s="8" t="str">
        <f t="shared" si="4"/>
        <v>2011-12</v>
      </c>
      <c r="L4179" s="5">
        <v>4.13</v>
      </c>
      <c r="M4179" s="10"/>
      <c r="N4179" s="1" t="str">
        <f t="shared" si="5"/>
        <v>Guest</v>
      </c>
      <c r="O4179" s="1" t="s">
        <v>19</v>
      </c>
      <c r="P4179" s="9" t="str">
        <f t="shared" si="6"/>
        <v>UK</v>
      </c>
      <c r="Q4179" s="8">
        <f t="shared" si="7"/>
        <v>4.13</v>
      </c>
    </row>
    <row r="4180">
      <c r="A4180" s="1">
        <v>581492.0</v>
      </c>
      <c r="B4180" s="1" t="str">
        <f t="shared" si="1"/>
        <v>581492</v>
      </c>
      <c r="C4180" s="1" t="str">
        <f t="shared" si="2"/>
        <v>Sale</v>
      </c>
      <c r="D4180" s="1">
        <v>23076.0</v>
      </c>
      <c r="E4180" s="1" t="str">
        <f>IFERROR(__xludf.DUMMYFUNCTION("IF(LEN(D4180)&gt;4, IFERROR(REGEXEXTRACT(TO_TEXT(D4180),""\d+""),""""),"""")"),"23076")</f>
        <v>23076</v>
      </c>
      <c r="F4180" s="6" t="str">
        <f t="shared" si="3"/>
        <v>Product</v>
      </c>
      <c r="G4180" s="1" t="s">
        <v>1976</v>
      </c>
      <c r="H4180" s="6" t="str">
        <f>IFERROR(__xludf.DUMMYFUNCTION("IF(REGEXMATCH(LOWER(G4180), ""^(\?)+\s*(missing)?\s*(\?)*$""), """", PROPER(SUBSTITUTE(SUBSTITUTE(G4180, ""?"", """"), ""*"", """")))"),"Ice Cream Sundae Lip Gloss")</f>
        <v>Ice Cream Sundae Lip Gloss</v>
      </c>
      <c r="I4180" s="3">
        <v>3.0</v>
      </c>
      <c r="J4180" s="7">
        <v>40886.41875</v>
      </c>
      <c r="K4180" s="8" t="str">
        <f t="shared" si="4"/>
        <v>2011-12</v>
      </c>
      <c r="L4180" s="5">
        <v>2.46</v>
      </c>
      <c r="M4180" s="10"/>
      <c r="N4180" s="1" t="str">
        <f t="shared" si="5"/>
        <v>Guest</v>
      </c>
      <c r="O4180" s="1" t="s">
        <v>19</v>
      </c>
      <c r="P4180" s="9" t="str">
        <f t="shared" si="6"/>
        <v>UK</v>
      </c>
      <c r="Q4180" s="8">
        <f t="shared" si="7"/>
        <v>7.38</v>
      </c>
    </row>
    <row r="4181">
      <c r="A4181" s="1">
        <v>581492.0</v>
      </c>
      <c r="B4181" s="1" t="str">
        <f t="shared" si="1"/>
        <v>581492</v>
      </c>
      <c r="C4181" s="1" t="str">
        <f t="shared" si="2"/>
        <v>Sale</v>
      </c>
      <c r="D4181" s="1">
        <v>23077.0</v>
      </c>
      <c r="E4181" s="1" t="str">
        <f>IFERROR(__xludf.DUMMYFUNCTION("IF(LEN(D4181)&gt;4, IFERROR(REGEXEXTRACT(TO_TEXT(D4181),""\d+""),""""),"""")"),"23077")</f>
        <v>23077</v>
      </c>
      <c r="F4181" s="6" t="str">
        <f t="shared" si="3"/>
        <v>Product</v>
      </c>
      <c r="G4181" s="1" t="s">
        <v>1977</v>
      </c>
      <c r="H4181" s="6" t="str">
        <f>IFERROR(__xludf.DUMMYFUNCTION("IF(REGEXMATCH(LOWER(G4181), ""^(\?)+\s*(missing)?\s*(\?)*$""), """", PROPER(SUBSTITUTE(SUBSTITUTE(G4181, ""?"", """"), ""*"", """")))"),"Doughnut Lip Gloss")</f>
        <v>Doughnut Lip Gloss</v>
      </c>
      <c r="I4181" s="3">
        <v>3.0</v>
      </c>
      <c r="J4181" s="7">
        <v>40886.41875</v>
      </c>
      <c r="K4181" s="8" t="str">
        <f t="shared" si="4"/>
        <v>2011-12</v>
      </c>
      <c r="L4181" s="5">
        <v>2.46</v>
      </c>
      <c r="M4181" s="10"/>
      <c r="N4181" s="1" t="str">
        <f t="shared" si="5"/>
        <v>Guest</v>
      </c>
      <c r="O4181" s="1" t="s">
        <v>19</v>
      </c>
      <c r="P4181" s="9" t="str">
        <f t="shared" si="6"/>
        <v>UK</v>
      </c>
      <c r="Q4181" s="8">
        <f t="shared" si="7"/>
        <v>7.38</v>
      </c>
    </row>
    <row r="4182">
      <c r="A4182" s="1">
        <v>581492.0</v>
      </c>
      <c r="B4182" s="1" t="str">
        <f t="shared" si="1"/>
        <v>581492</v>
      </c>
      <c r="C4182" s="1" t="str">
        <f t="shared" si="2"/>
        <v>Sale</v>
      </c>
      <c r="D4182" s="1">
        <v>23082.0</v>
      </c>
      <c r="E4182" s="1" t="str">
        <f>IFERROR(__xludf.DUMMYFUNCTION("IF(LEN(D4182)&gt;4, IFERROR(REGEXEXTRACT(TO_TEXT(D4182),""\d+""),""""),"""")"),"23082")</f>
        <v>23082</v>
      </c>
      <c r="F4182" s="6" t="str">
        <f t="shared" si="3"/>
        <v>Product</v>
      </c>
      <c r="G4182" s="1" t="s">
        <v>1622</v>
      </c>
      <c r="H4182" s="6" t="str">
        <f>IFERROR(__xludf.DUMMYFUNCTION("IF(REGEXMATCH(LOWER(G4182), ""^(\?)+\s*(missing)?\s*(\?)*$""), """", PROPER(SUBSTITUTE(SUBSTITUTE(G4182, ""?"", """"), ""*"", """")))"),"Set 6 Paper Table Lantern Hearts")</f>
        <v>Set 6 Paper Table Lantern Hearts</v>
      </c>
      <c r="I4182" s="3">
        <v>1.0</v>
      </c>
      <c r="J4182" s="7">
        <v>40886.41875</v>
      </c>
      <c r="K4182" s="8" t="str">
        <f t="shared" si="4"/>
        <v>2011-12</v>
      </c>
      <c r="L4182" s="5">
        <v>7.46</v>
      </c>
      <c r="M4182" s="10"/>
      <c r="N4182" s="1" t="str">
        <f t="shared" si="5"/>
        <v>Guest</v>
      </c>
      <c r="O4182" s="1" t="s">
        <v>19</v>
      </c>
      <c r="P4182" s="9" t="str">
        <f t="shared" si="6"/>
        <v>UK</v>
      </c>
      <c r="Q4182" s="8">
        <f t="shared" si="7"/>
        <v>7.46</v>
      </c>
    </row>
    <row r="4183">
      <c r="A4183" s="1">
        <v>581492.0</v>
      </c>
      <c r="B4183" s="1" t="str">
        <f t="shared" si="1"/>
        <v>581492</v>
      </c>
      <c r="C4183" s="1" t="str">
        <f t="shared" si="2"/>
        <v>Sale</v>
      </c>
      <c r="D4183" s="1">
        <v>23083.0</v>
      </c>
      <c r="E4183" s="1" t="str">
        <f>IFERROR(__xludf.DUMMYFUNCTION("IF(LEN(D4183)&gt;4, IFERROR(REGEXEXTRACT(TO_TEXT(D4183),""\d+""),""""),"""")"),"23083")</f>
        <v>23083</v>
      </c>
      <c r="F4183" s="6" t="str">
        <f t="shared" si="3"/>
        <v>Product</v>
      </c>
      <c r="G4183" s="1" t="s">
        <v>1978</v>
      </c>
      <c r="H4183" s="6" t="str">
        <f>IFERROR(__xludf.DUMMYFUNCTION("IF(REGEXMATCH(LOWER(G4183), ""^(\?)+\s*(missing)?\s*(\?)*$""), """", PROPER(SUBSTITUTE(SUBSTITUTE(G4183, ""?"", """"), ""*"", """")))"),"Set 6 Paper Table Lantern Stars")</f>
        <v>Set 6 Paper Table Lantern Stars</v>
      </c>
      <c r="I4183" s="3">
        <v>1.0</v>
      </c>
      <c r="J4183" s="7">
        <v>40886.41875</v>
      </c>
      <c r="K4183" s="8" t="str">
        <f t="shared" si="4"/>
        <v>2011-12</v>
      </c>
      <c r="L4183" s="5">
        <v>7.46</v>
      </c>
      <c r="M4183" s="10"/>
      <c r="N4183" s="1" t="str">
        <f t="shared" si="5"/>
        <v>Guest</v>
      </c>
      <c r="O4183" s="1" t="s">
        <v>19</v>
      </c>
      <c r="P4183" s="9" t="str">
        <f t="shared" si="6"/>
        <v>UK</v>
      </c>
      <c r="Q4183" s="8">
        <f t="shared" si="7"/>
        <v>7.46</v>
      </c>
    </row>
    <row r="4184">
      <c r="A4184" s="1">
        <v>581492.0</v>
      </c>
      <c r="B4184" s="1" t="str">
        <f t="shared" si="1"/>
        <v>581492</v>
      </c>
      <c r="C4184" s="1" t="str">
        <f t="shared" si="2"/>
        <v>Sale</v>
      </c>
      <c r="D4184" s="1">
        <v>23084.0</v>
      </c>
      <c r="E4184" s="1" t="str">
        <f>IFERROR(__xludf.DUMMYFUNCTION("IF(LEN(D4184)&gt;4, IFERROR(REGEXEXTRACT(TO_TEXT(D4184),""\d+""),""""),"""")"),"23084")</f>
        <v>23084</v>
      </c>
      <c r="F4184" s="6" t="str">
        <f t="shared" si="3"/>
        <v>Product</v>
      </c>
      <c r="G4184" s="1" t="s">
        <v>1473</v>
      </c>
      <c r="H4184" s="6" t="str">
        <f>IFERROR(__xludf.DUMMYFUNCTION("IF(REGEXMATCH(LOWER(G4184), ""^(\?)+\s*(missing)?\s*(\?)*$""), """", PROPER(SUBSTITUTE(SUBSTITUTE(G4184, ""?"", """"), ""*"", """")))"),"Rabbit Night Light")</f>
        <v>Rabbit Night Light</v>
      </c>
      <c r="I4184" s="3">
        <v>57.0</v>
      </c>
      <c r="J4184" s="7">
        <v>40886.41875</v>
      </c>
      <c r="K4184" s="8" t="str">
        <f t="shared" si="4"/>
        <v>2011-12</v>
      </c>
      <c r="L4184" s="5">
        <v>4.13</v>
      </c>
      <c r="M4184" s="10"/>
      <c r="N4184" s="1" t="str">
        <f t="shared" si="5"/>
        <v>Guest</v>
      </c>
      <c r="O4184" s="1" t="s">
        <v>19</v>
      </c>
      <c r="P4184" s="9" t="str">
        <f t="shared" si="6"/>
        <v>UK</v>
      </c>
      <c r="Q4184" s="8">
        <f t="shared" si="7"/>
        <v>235.41</v>
      </c>
    </row>
    <row r="4185">
      <c r="A4185" s="1">
        <v>581492.0</v>
      </c>
      <c r="B4185" s="1" t="str">
        <f t="shared" si="1"/>
        <v>581492</v>
      </c>
      <c r="C4185" s="1" t="str">
        <f t="shared" si="2"/>
        <v>Sale</v>
      </c>
      <c r="D4185" s="1">
        <v>23088.0</v>
      </c>
      <c r="E4185" s="1" t="str">
        <f>IFERROR(__xludf.DUMMYFUNCTION("IF(LEN(D4185)&gt;4, IFERROR(REGEXEXTRACT(TO_TEXT(D4185),""\d+""),""""),"""")"),"23088")</f>
        <v>23088</v>
      </c>
      <c r="F4185" s="6" t="str">
        <f t="shared" si="3"/>
        <v>Product</v>
      </c>
      <c r="G4185" s="1" t="s">
        <v>1979</v>
      </c>
      <c r="H4185" s="6" t="str">
        <f>IFERROR(__xludf.DUMMYFUNCTION("IF(REGEXMATCH(LOWER(G4185), ""^(\?)+\s*(missing)?\s*(\?)*$""), """", PROPER(SUBSTITUTE(SUBSTITUTE(G4185, ""?"", """"), ""*"", """")))"),"Zinc Heart Flower T-Light Holder")</f>
        <v>Zinc Heart Flower T-Light Holder</v>
      </c>
      <c r="I4185" s="3">
        <v>1.0</v>
      </c>
      <c r="J4185" s="7">
        <v>40886.41875</v>
      </c>
      <c r="K4185" s="8" t="str">
        <f t="shared" si="4"/>
        <v>2011-12</v>
      </c>
      <c r="L4185" s="5">
        <v>2.46</v>
      </c>
      <c r="M4185" s="10"/>
      <c r="N4185" s="1" t="str">
        <f t="shared" si="5"/>
        <v>Guest</v>
      </c>
      <c r="O4185" s="1" t="s">
        <v>19</v>
      </c>
      <c r="P4185" s="9" t="str">
        <f t="shared" si="6"/>
        <v>UK</v>
      </c>
      <c r="Q4185" s="8">
        <f t="shared" si="7"/>
        <v>2.46</v>
      </c>
    </row>
    <row r="4186">
      <c r="A4186" s="1">
        <v>581492.0</v>
      </c>
      <c r="B4186" s="1" t="str">
        <f t="shared" si="1"/>
        <v>581492</v>
      </c>
      <c r="C4186" s="1" t="str">
        <f t="shared" si="2"/>
        <v>Sale</v>
      </c>
      <c r="D4186" s="1">
        <v>23089.0</v>
      </c>
      <c r="E4186" s="1" t="str">
        <f>IFERROR(__xludf.DUMMYFUNCTION("IF(LEN(D4186)&gt;4, IFERROR(REGEXEXTRACT(TO_TEXT(D4186),""\d+""),""""),"""")"),"23089")</f>
        <v>23089</v>
      </c>
      <c r="F4186" s="6" t="str">
        <f t="shared" si="3"/>
        <v>Product</v>
      </c>
      <c r="G4186" s="1" t="s">
        <v>1980</v>
      </c>
      <c r="H4186" s="6" t="str">
        <f>IFERROR(__xludf.DUMMYFUNCTION("IF(REGEXMATCH(LOWER(G4186), ""^(\?)+\s*(missing)?\s*(\?)*$""), """", PROPER(SUBSTITUTE(SUBSTITUTE(G4186, ""?"", """"), ""*"", """")))"),"Glass Bon Bon Jar")</f>
        <v>Glass Bon Bon Jar</v>
      </c>
      <c r="I4186" s="3">
        <v>4.0</v>
      </c>
      <c r="J4186" s="7">
        <v>40886.41875</v>
      </c>
      <c r="K4186" s="8" t="str">
        <f t="shared" si="4"/>
        <v>2011-12</v>
      </c>
      <c r="L4186" s="5">
        <v>3.29</v>
      </c>
      <c r="M4186" s="10"/>
      <c r="N4186" s="1" t="str">
        <f t="shared" si="5"/>
        <v>Guest</v>
      </c>
      <c r="O4186" s="1" t="s">
        <v>19</v>
      </c>
      <c r="P4186" s="9" t="str">
        <f t="shared" si="6"/>
        <v>UK</v>
      </c>
      <c r="Q4186" s="8">
        <f t="shared" si="7"/>
        <v>13.16</v>
      </c>
    </row>
    <row r="4187">
      <c r="A4187" s="1">
        <v>581492.0</v>
      </c>
      <c r="B4187" s="1" t="str">
        <f t="shared" si="1"/>
        <v>581492</v>
      </c>
      <c r="C4187" s="1" t="str">
        <f t="shared" si="2"/>
        <v>Sale</v>
      </c>
      <c r="D4187" s="1">
        <v>23093.0</v>
      </c>
      <c r="E4187" s="1" t="str">
        <f>IFERROR(__xludf.DUMMYFUNCTION("IF(LEN(D4187)&gt;4, IFERROR(REGEXEXTRACT(TO_TEXT(D4187),""\d+""),""""),"""")"),"23093")</f>
        <v>23093</v>
      </c>
      <c r="F4187" s="6" t="str">
        <f t="shared" si="3"/>
        <v>Product</v>
      </c>
      <c r="G4187" s="1" t="s">
        <v>1981</v>
      </c>
      <c r="H4187" s="6" t="str">
        <f>IFERROR(__xludf.DUMMYFUNCTION("IF(REGEXMATCH(LOWER(G4187), ""^(\?)+\s*(missing)?\s*(\?)*$""), """", PROPER(SUBSTITUTE(SUBSTITUTE(G4187, ""?"", """"), ""*"", """")))"),"Small Parisienne Heart Photo Frame")</f>
        <v>Small Parisienne Heart Photo Frame</v>
      </c>
      <c r="I4187" s="3">
        <v>3.0</v>
      </c>
      <c r="J4187" s="7">
        <v>40886.41875</v>
      </c>
      <c r="K4187" s="8" t="str">
        <f t="shared" si="4"/>
        <v>2011-12</v>
      </c>
      <c r="L4187" s="5">
        <v>4.96</v>
      </c>
      <c r="M4187" s="10"/>
      <c r="N4187" s="1" t="str">
        <f t="shared" si="5"/>
        <v>Guest</v>
      </c>
      <c r="O4187" s="1" t="s">
        <v>19</v>
      </c>
      <c r="P4187" s="9" t="str">
        <f t="shared" si="6"/>
        <v>UK</v>
      </c>
      <c r="Q4187" s="8">
        <f t="shared" si="7"/>
        <v>14.88</v>
      </c>
    </row>
    <row r="4188">
      <c r="A4188" s="1">
        <v>581492.0</v>
      </c>
      <c r="B4188" s="1" t="str">
        <f t="shared" si="1"/>
        <v>581492</v>
      </c>
      <c r="C4188" s="1" t="str">
        <f t="shared" si="2"/>
        <v>Sale</v>
      </c>
      <c r="D4188" s="1">
        <v>23103.0</v>
      </c>
      <c r="E4188" s="1" t="str">
        <f>IFERROR(__xludf.DUMMYFUNCTION("IF(LEN(D4188)&gt;4, IFERROR(REGEXEXTRACT(TO_TEXT(D4188),""\d+""),""""),"""")"),"23103")</f>
        <v>23103</v>
      </c>
      <c r="F4188" s="6" t="str">
        <f t="shared" si="3"/>
        <v>Product</v>
      </c>
      <c r="G4188" s="1" t="s">
        <v>1982</v>
      </c>
      <c r="H4188" s="6" t="str">
        <f>IFERROR(__xludf.DUMMYFUNCTION("IF(REGEXMATCH(LOWER(G4188), ""^(\?)+\s*(missing)?\s*(\?)*$""), """", PROPER(SUBSTITUTE(SUBSTITUTE(G4188, ""?"", """"), ""*"", """")))"),"Jingle Bell Heart Decoration")</f>
        <v>Jingle Bell Heart Decoration</v>
      </c>
      <c r="I4188" s="3">
        <v>2.0</v>
      </c>
      <c r="J4188" s="7">
        <v>40886.41875</v>
      </c>
      <c r="K4188" s="8" t="str">
        <f t="shared" si="4"/>
        <v>2011-12</v>
      </c>
      <c r="L4188" s="5">
        <v>3.29</v>
      </c>
      <c r="M4188" s="10"/>
      <c r="N4188" s="1" t="str">
        <f t="shared" si="5"/>
        <v>Guest</v>
      </c>
      <c r="O4188" s="1" t="s">
        <v>19</v>
      </c>
      <c r="P4188" s="9" t="str">
        <f t="shared" si="6"/>
        <v>UK</v>
      </c>
      <c r="Q4188" s="8">
        <f t="shared" si="7"/>
        <v>6.58</v>
      </c>
    </row>
    <row r="4189">
      <c r="A4189" s="1">
        <v>581492.0</v>
      </c>
      <c r="B4189" s="1" t="str">
        <f t="shared" si="1"/>
        <v>581492</v>
      </c>
      <c r="C4189" s="1" t="str">
        <f t="shared" si="2"/>
        <v>Sale</v>
      </c>
      <c r="D4189" s="1">
        <v>23110.0</v>
      </c>
      <c r="E4189" s="1" t="str">
        <f>IFERROR(__xludf.DUMMYFUNCTION("IF(LEN(D4189)&gt;4, IFERROR(REGEXEXTRACT(TO_TEXT(D4189),""\d+""),""""),"""")"),"23110")</f>
        <v>23110</v>
      </c>
      <c r="F4189" s="6" t="str">
        <f t="shared" si="3"/>
        <v>Product</v>
      </c>
      <c r="G4189" s="1" t="s">
        <v>1983</v>
      </c>
      <c r="H4189" s="6" t="str">
        <f>IFERROR(__xludf.DUMMYFUNCTION("IF(REGEXMATCH(LOWER(G4189), ""^(\?)+\s*(missing)?\s*(\?)*$""), """", PROPER(SUBSTITUTE(SUBSTITUTE(G4189, ""?"", """"), ""*"", """")))"),"Parisienne Key Cabinet")</f>
        <v>Parisienne Key Cabinet</v>
      </c>
      <c r="I4189" s="3">
        <v>1.0</v>
      </c>
      <c r="J4189" s="7">
        <v>40886.41875</v>
      </c>
      <c r="K4189" s="8" t="str">
        <f t="shared" si="4"/>
        <v>2011-12</v>
      </c>
      <c r="L4189" s="5">
        <v>12.46</v>
      </c>
      <c r="M4189" s="10"/>
      <c r="N4189" s="1" t="str">
        <f t="shared" si="5"/>
        <v>Guest</v>
      </c>
      <c r="O4189" s="1" t="s">
        <v>19</v>
      </c>
      <c r="P4189" s="9" t="str">
        <f t="shared" si="6"/>
        <v>UK</v>
      </c>
      <c r="Q4189" s="8">
        <f t="shared" si="7"/>
        <v>12.46</v>
      </c>
    </row>
    <row r="4190">
      <c r="A4190" s="1">
        <v>581492.0</v>
      </c>
      <c r="B4190" s="1" t="str">
        <f t="shared" si="1"/>
        <v>581492</v>
      </c>
      <c r="C4190" s="1" t="str">
        <f t="shared" si="2"/>
        <v>Sale</v>
      </c>
      <c r="D4190" s="1">
        <v>23111.0</v>
      </c>
      <c r="E4190" s="1" t="str">
        <f>IFERROR(__xludf.DUMMYFUNCTION("IF(LEN(D4190)&gt;4, IFERROR(REGEXEXTRACT(TO_TEXT(D4190),""\d+""),""""),"""")"),"23111")</f>
        <v>23111</v>
      </c>
      <c r="F4190" s="6" t="str">
        <f t="shared" si="3"/>
        <v>Product</v>
      </c>
      <c r="G4190" s="1" t="s">
        <v>1641</v>
      </c>
      <c r="H4190" s="6" t="str">
        <f>IFERROR(__xludf.DUMMYFUNCTION("IF(REGEXMATCH(LOWER(G4190), ""^(\?)+\s*(missing)?\s*(\?)*$""), """", PROPER(SUBSTITUTE(SUBSTITUTE(G4190, ""?"", """"), ""*"", """")))"),"Parisienne Sewing Box")</f>
        <v>Parisienne Sewing Box</v>
      </c>
      <c r="I4190" s="3">
        <v>1.0</v>
      </c>
      <c r="J4190" s="7">
        <v>40886.41875</v>
      </c>
      <c r="K4190" s="8" t="str">
        <f t="shared" si="4"/>
        <v>2011-12</v>
      </c>
      <c r="L4190" s="5">
        <v>24.96</v>
      </c>
      <c r="M4190" s="10"/>
      <c r="N4190" s="1" t="str">
        <f t="shared" si="5"/>
        <v>Guest</v>
      </c>
      <c r="O4190" s="1" t="s">
        <v>19</v>
      </c>
      <c r="P4190" s="9" t="str">
        <f t="shared" si="6"/>
        <v>UK</v>
      </c>
      <c r="Q4190" s="8">
        <f t="shared" si="7"/>
        <v>24.96</v>
      </c>
    </row>
    <row r="4191">
      <c r="A4191" s="1">
        <v>581492.0</v>
      </c>
      <c r="B4191" s="1" t="str">
        <f t="shared" si="1"/>
        <v>581492</v>
      </c>
      <c r="C4191" s="1" t="str">
        <f t="shared" si="2"/>
        <v>Sale</v>
      </c>
      <c r="D4191" s="1">
        <v>23112.0</v>
      </c>
      <c r="E4191" s="1" t="str">
        <f>IFERROR(__xludf.DUMMYFUNCTION("IF(LEN(D4191)&gt;4, IFERROR(REGEXEXTRACT(TO_TEXT(D4191),""\d+""),""""),"""")"),"23112")</f>
        <v>23112</v>
      </c>
      <c r="F4191" s="6" t="str">
        <f t="shared" si="3"/>
        <v>Product</v>
      </c>
      <c r="G4191" s="1" t="s">
        <v>1984</v>
      </c>
      <c r="H4191" s="6" t="str">
        <f>IFERROR(__xludf.DUMMYFUNCTION("IF(REGEXMATCH(LOWER(G4191), ""^(\?)+\s*(missing)?\s*(\?)*$""), """", PROPER(SUBSTITUTE(SUBSTITUTE(G4191, ""?"", """"), ""*"", """")))"),"Parisienne Curio Cabinet")</f>
        <v>Parisienne Curio Cabinet</v>
      </c>
      <c r="I4191" s="3">
        <v>1.0</v>
      </c>
      <c r="J4191" s="7">
        <v>40886.41875</v>
      </c>
      <c r="K4191" s="8" t="str">
        <f t="shared" si="4"/>
        <v>2011-12</v>
      </c>
      <c r="L4191" s="5">
        <v>14.96</v>
      </c>
      <c r="M4191" s="10"/>
      <c r="N4191" s="1" t="str">
        <f t="shared" si="5"/>
        <v>Guest</v>
      </c>
      <c r="O4191" s="1" t="s">
        <v>19</v>
      </c>
      <c r="P4191" s="9" t="str">
        <f t="shared" si="6"/>
        <v>UK</v>
      </c>
      <c r="Q4191" s="8">
        <f t="shared" si="7"/>
        <v>14.96</v>
      </c>
    </row>
    <row r="4192">
      <c r="A4192" s="1">
        <v>581492.0</v>
      </c>
      <c r="B4192" s="1" t="str">
        <f t="shared" si="1"/>
        <v>581492</v>
      </c>
      <c r="C4192" s="1" t="str">
        <f t="shared" si="2"/>
        <v>Sale</v>
      </c>
      <c r="D4192" s="1">
        <v>23118.0</v>
      </c>
      <c r="E4192" s="1" t="str">
        <f>IFERROR(__xludf.DUMMYFUNCTION("IF(LEN(D4192)&gt;4, IFERROR(REGEXEXTRACT(TO_TEXT(D4192),""\d+""),""""),"""")"),"23118")</f>
        <v>23118</v>
      </c>
      <c r="F4192" s="6" t="str">
        <f t="shared" si="3"/>
        <v>Product</v>
      </c>
      <c r="G4192" s="1" t="s">
        <v>1640</v>
      </c>
      <c r="H4192" s="6" t="str">
        <f>IFERROR(__xludf.DUMMYFUNCTION("IF(REGEXMATCH(LOWER(G4192), ""^(\?)+\s*(missing)?\s*(\?)*$""), """", PROPER(SUBSTITUTE(SUBSTITUTE(G4192, ""?"", """"), ""*"", """")))"),"Parisienne Jewellery Drawer")</f>
        <v>Parisienne Jewellery Drawer</v>
      </c>
      <c r="I4192" s="3">
        <v>1.0</v>
      </c>
      <c r="J4192" s="7">
        <v>40886.41875</v>
      </c>
      <c r="K4192" s="8" t="str">
        <f t="shared" si="4"/>
        <v>2011-12</v>
      </c>
      <c r="L4192" s="5">
        <v>14.96</v>
      </c>
      <c r="M4192" s="10"/>
      <c r="N4192" s="1" t="str">
        <f t="shared" si="5"/>
        <v>Guest</v>
      </c>
      <c r="O4192" s="1" t="s">
        <v>19</v>
      </c>
      <c r="P4192" s="9" t="str">
        <f t="shared" si="6"/>
        <v>UK</v>
      </c>
      <c r="Q4192" s="8">
        <f t="shared" si="7"/>
        <v>14.96</v>
      </c>
    </row>
    <row r="4193">
      <c r="A4193" s="1">
        <v>581492.0</v>
      </c>
      <c r="B4193" s="1" t="str">
        <f t="shared" si="1"/>
        <v>581492</v>
      </c>
      <c r="C4193" s="1" t="str">
        <f t="shared" si="2"/>
        <v>Sale</v>
      </c>
      <c r="D4193" s="1">
        <v>23158.0</v>
      </c>
      <c r="E4193" s="1" t="str">
        <f>IFERROR(__xludf.DUMMYFUNCTION("IF(LEN(D4193)&gt;4, IFERROR(REGEXEXTRACT(TO_TEXT(D4193),""\d+""),""""),"""")"),"23158")</f>
        <v>23158</v>
      </c>
      <c r="F4193" s="6" t="str">
        <f t="shared" si="3"/>
        <v>Product</v>
      </c>
      <c r="G4193" s="1" t="s">
        <v>1985</v>
      </c>
      <c r="H4193" s="6" t="str">
        <f>IFERROR(__xludf.DUMMYFUNCTION("IF(REGEXMATCH(LOWER(G4193), ""^(\?)+\s*(missing)?\s*(\?)*$""), """", PROPER(SUBSTITUTE(SUBSTITUTE(G4193, ""?"", """"), ""*"", """")))"),"Set Of 5 Lucky Cat Magnets")</f>
        <v>Set Of 5 Lucky Cat Magnets</v>
      </c>
      <c r="I4193" s="3">
        <v>1.0</v>
      </c>
      <c r="J4193" s="7">
        <v>40886.41875</v>
      </c>
      <c r="K4193" s="8" t="str">
        <f t="shared" si="4"/>
        <v>2011-12</v>
      </c>
      <c r="L4193" s="5">
        <v>4.13</v>
      </c>
      <c r="M4193" s="10"/>
      <c r="N4193" s="1" t="str">
        <f t="shared" si="5"/>
        <v>Guest</v>
      </c>
      <c r="O4193" s="1" t="s">
        <v>19</v>
      </c>
      <c r="P4193" s="9" t="str">
        <f t="shared" si="6"/>
        <v>UK</v>
      </c>
      <c r="Q4193" s="8">
        <f t="shared" si="7"/>
        <v>4.13</v>
      </c>
    </row>
    <row r="4194">
      <c r="A4194" s="1">
        <v>581492.0</v>
      </c>
      <c r="B4194" s="1" t="str">
        <f t="shared" si="1"/>
        <v>581492</v>
      </c>
      <c r="C4194" s="1" t="str">
        <f t="shared" si="2"/>
        <v>Sale</v>
      </c>
      <c r="D4194" s="1">
        <v>23165.0</v>
      </c>
      <c r="E4194" s="1" t="str">
        <f>IFERROR(__xludf.DUMMYFUNCTION("IF(LEN(D4194)&gt;4, IFERROR(REGEXEXTRACT(TO_TEXT(D4194),""\d+""),""""),"""")"),"23165")</f>
        <v>23165</v>
      </c>
      <c r="F4194" s="6" t="str">
        <f t="shared" si="3"/>
        <v>Product</v>
      </c>
      <c r="G4194" s="1" t="s">
        <v>1597</v>
      </c>
      <c r="H4194" s="6" t="str">
        <f>IFERROR(__xludf.DUMMYFUNCTION("IF(REGEXMATCH(LOWER(G4194), ""^(\?)+\s*(missing)?\s*(\?)*$""), """", PROPER(SUBSTITUTE(SUBSTITUTE(G4194, ""?"", """"), ""*"", """")))"),"Large Ceramic Top Storage Jar")</f>
        <v>Large Ceramic Top Storage Jar</v>
      </c>
      <c r="I4194" s="3">
        <v>2.0</v>
      </c>
      <c r="J4194" s="7">
        <v>40886.41875</v>
      </c>
      <c r="K4194" s="8" t="str">
        <f t="shared" si="4"/>
        <v>2011-12</v>
      </c>
      <c r="L4194" s="5">
        <v>3.29</v>
      </c>
      <c r="M4194" s="10"/>
      <c r="N4194" s="1" t="str">
        <f t="shared" si="5"/>
        <v>Guest</v>
      </c>
      <c r="O4194" s="1" t="s">
        <v>19</v>
      </c>
      <c r="P4194" s="9" t="str">
        <f t="shared" si="6"/>
        <v>UK</v>
      </c>
      <c r="Q4194" s="8">
        <f t="shared" si="7"/>
        <v>6.58</v>
      </c>
    </row>
    <row r="4195">
      <c r="A4195" s="1">
        <v>581492.0</v>
      </c>
      <c r="B4195" s="1" t="str">
        <f t="shared" si="1"/>
        <v>581492</v>
      </c>
      <c r="C4195" s="1" t="str">
        <f t="shared" si="2"/>
        <v>Sale</v>
      </c>
      <c r="D4195" s="1">
        <v>23166.0</v>
      </c>
      <c r="E4195" s="1" t="str">
        <f>IFERROR(__xludf.DUMMYFUNCTION("IF(LEN(D4195)&gt;4, IFERROR(REGEXEXTRACT(TO_TEXT(D4195),""\d+""),""""),"""")"),"23166")</f>
        <v>23166</v>
      </c>
      <c r="F4195" s="6" t="str">
        <f t="shared" si="3"/>
        <v>Product</v>
      </c>
      <c r="G4195" s="1" t="s">
        <v>1596</v>
      </c>
      <c r="H4195" s="6" t="str">
        <f>IFERROR(__xludf.DUMMYFUNCTION("IF(REGEXMATCH(LOWER(G4195), ""^(\?)+\s*(missing)?\s*(\?)*$""), """", PROPER(SUBSTITUTE(SUBSTITUTE(G4195, ""?"", """"), ""*"", """")))"),"Medium Ceramic Top Storage Jar")</f>
        <v>Medium Ceramic Top Storage Jar</v>
      </c>
      <c r="I4195" s="3">
        <v>2.0</v>
      </c>
      <c r="J4195" s="7">
        <v>40886.41875</v>
      </c>
      <c r="K4195" s="8" t="str">
        <f t="shared" si="4"/>
        <v>2011-12</v>
      </c>
      <c r="L4195" s="5">
        <v>2.46</v>
      </c>
      <c r="M4195" s="10"/>
      <c r="N4195" s="1" t="str">
        <f t="shared" si="5"/>
        <v>Guest</v>
      </c>
      <c r="O4195" s="1" t="s">
        <v>19</v>
      </c>
      <c r="P4195" s="9" t="str">
        <f t="shared" si="6"/>
        <v>UK</v>
      </c>
      <c r="Q4195" s="8">
        <f t="shared" si="7"/>
        <v>4.92</v>
      </c>
    </row>
    <row r="4196">
      <c r="A4196" s="1">
        <v>581492.0</v>
      </c>
      <c r="B4196" s="1" t="str">
        <f t="shared" si="1"/>
        <v>581492</v>
      </c>
      <c r="C4196" s="1" t="str">
        <f t="shared" si="2"/>
        <v>Sale</v>
      </c>
      <c r="D4196" s="1">
        <v>23168.0</v>
      </c>
      <c r="E4196" s="1" t="str">
        <f>IFERROR(__xludf.DUMMYFUNCTION("IF(LEN(D4196)&gt;4, IFERROR(REGEXEXTRACT(TO_TEXT(D4196),""\d+""),""""),"""")"),"23168")</f>
        <v>23168</v>
      </c>
      <c r="F4196" s="6" t="str">
        <f t="shared" si="3"/>
        <v>Product</v>
      </c>
      <c r="G4196" s="1" t="s">
        <v>1594</v>
      </c>
      <c r="H4196" s="6" t="str">
        <f>IFERROR(__xludf.DUMMYFUNCTION("IF(REGEXMATCH(LOWER(G4196), ""^(\?)+\s*(missing)?\s*(\?)*$""), """", PROPER(SUBSTITUTE(SUBSTITUTE(G4196, ""?"", """"), ""*"", """")))"),"Classic Cafe Sugar Dispenser")</f>
        <v>Classic Cafe Sugar Dispenser</v>
      </c>
      <c r="I4196" s="3">
        <v>2.0</v>
      </c>
      <c r="J4196" s="7">
        <v>40886.41875</v>
      </c>
      <c r="K4196" s="8" t="str">
        <f t="shared" si="4"/>
        <v>2011-12</v>
      </c>
      <c r="L4196" s="5">
        <v>2.46</v>
      </c>
      <c r="M4196" s="10"/>
      <c r="N4196" s="1" t="str">
        <f t="shared" si="5"/>
        <v>Guest</v>
      </c>
      <c r="O4196" s="1" t="s">
        <v>19</v>
      </c>
      <c r="P4196" s="9" t="str">
        <f t="shared" si="6"/>
        <v>UK</v>
      </c>
      <c r="Q4196" s="8">
        <f t="shared" si="7"/>
        <v>4.92</v>
      </c>
    </row>
    <row r="4197">
      <c r="A4197" s="1">
        <v>581492.0</v>
      </c>
      <c r="B4197" s="1" t="str">
        <f t="shared" si="1"/>
        <v>581492</v>
      </c>
      <c r="C4197" s="1" t="str">
        <f t="shared" si="2"/>
        <v>Sale</v>
      </c>
      <c r="D4197" s="1">
        <v>23171.0</v>
      </c>
      <c r="E4197" s="1" t="str">
        <f>IFERROR(__xludf.DUMMYFUNCTION("IF(LEN(D4197)&gt;4, IFERROR(REGEXEXTRACT(TO_TEXT(D4197),""\d+""),""""),"""")"),"23171")</f>
        <v>23171</v>
      </c>
      <c r="F4197" s="6" t="str">
        <f t="shared" si="3"/>
        <v>Product</v>
      </c>
      <c r="G4197" s="1" t="s">
        <v>1561</v>
      </c>
      <c r="H4197" s="6" t="str">
        <f>IFERROR(__xludf.DUMMYFUNCTION("IF(REGEXMATCH(LOWER(G4197), ""^(\?)+\s*(missing)?\s*(\?)*$""), """", PROPER(SUBSTITUTE(SUBSTITUTE(G4197, ""?"", """"), ""*"", """")))"),"Regency Tea Plate Green")</f>
        <v>Regency Tea Plate Green</v>
      </c>
      <c r="I4197" s="3">
        <v>1.0</v>
      </c>
      <c r="J4197" s="7">
        <v>40886.41875</v>
      </c>
      <c r="K4197" s="8" t="str">
        <f t="shared" si="4"/>
        <v>2011-12</v>
      </c>
      <c r="L4197" s="5">
        <v>3.29</v>
      </c>
      <c r="M4197" s="10"/>
      <c r="N4197" s="1" t="str">
        <f t="shared" si="5"/>
        <v>Guest</v>
      </c>
      <c r="O4197" s="1" t="s">
        <v>19</v>
      </c>
      <c r="P4197" s="9" t="str">
        <f t="shared" si="6"/>
        <v>UK</v>
      </c>
      <c r="Q4197" s="8">
        <f t="shared" si="7"/>
        <v>3.29</v>
      </c>
    </row>
    <row r="4198">
      <c r="A4198" s="1">
        <v>581492.0</v>
      </c>
      <c r="B4198" s="1" t="str">
        <f t="shared" si="1"/>
        <v>581492</v>
      </c>
      <c r="C4198" s="1" t="str">
        <f t="shared" si="2"/>
        <v>Sale</v>
      </c>
      <c r="D4198" s="1">
        <v>23172.0</v>
      </c>
      <c r="E4198" s="1" t="str">
        <f>IFERROR(__xludf.DUMMYFUNCTION("IF(LEN(D4198)&gt;4, IFERROR(REGEXEXTRACT(TO_TEXT(D4198),""\d+""),""""),"""")"),"23172")</f>
        <v>23172</v>
      </c>
      <c r="F4198" s="6" t="str">
        <f t="shared" si="3"/>
        <v>Product</v>
      </c>
      <c r="G4198" s="1" t="s">
        <v>1560</v>
      </c>
      <c r="H4198" s="6" t="str">
        <f>IFERROR(__xludf.DUMMYFUNCTION("IF(REGEXMATCH(LOWER(G4198), ""^(\?)+\s*(missing)?\s*(\?)*$""), """", PROPER(SUBSTITUTE(SUBSTITUTE(G4198, ""?"", """"), ""*"", """")))"),"Regency Tea Plate Pink")</f>
        <v>Regency Tea Plate Pink</v>
      </c>
      <c r="I4198" s="3">
        <v>1.0</v>
      </c>
      <c r="J4198" s="7">
        <v>40886.41875</v>
      </c>
      <c r="K4198" s="8" t="str">
        <f t="shared" si="4"/>
        <v>2011-12</v>
      </c>
      <c r="L4198" s="5">
        <v>3.29</v>
      </c>
      <c r="M4198" s="10"/>
      <c r="N4198" s="1" t="str">
        <f t="shared" si="5"/>
        <v>Guest</v>
      </c>
      <c r="O4198" s="1" t="s">
        <v>19</v>
      </c>
      <c r="P4198" s="9" t="str">
        <f t="shared" si="6"/>
        <v>UK</v>
      </c>
      <c r="Q4198" s="8">
        <f t="shared" si="7"/>
        <v>3.29</v>
      </c>
    </row>
    <row r="4199">
      <c r="A4199" s="1">
        <v>581492.0</v>
      </c>
      <c r="B4199" s="1" t="str">
        <f t="shared" si="1"/>
        <v>581492</v>
      </c>
      <c r="C4199" s="1" t="str">
        <f t="shared" si="2"/>
        <v>Sale</v>
      </c>
      <c r="D4199" s="1">
        <v>23173.0</v>
      </c>
      <c r="E4199" s="1" t="str">
        <f>IFERROR(__xludf.DUMMYFUNCTION("IF(LEN(D4199)&gt;4, IFERROR(REGEXEXTRACT(TO_TEXT(D4199),""\d+""),""""),"""")"),"23173")</f>
        <v>23173</v>
      </c>
      <c r="F4199" s="6" t="str">
        <f t="shared" si="3"/>
        <v>Product</v>
      </c>
      <c r="G4199" s="1" t="s">
        <v>1986</v>
      </c>
      <c r="H4199" s="6" t="str">
        <f>IFERROR(__xludf.DUMMYFUNCTION("IF(REGEXMATCH(LOWER(G4199), ""^(\?)+\s*(missing)?\s*(\?)*$""), """", PROPER(SUBSTITUTE(SUBSTITUTE(G4199, ""?"", """"), ""*"", """")))"),"Regency Teapot Roses")</f>
        <v>Regency Teapot Roses</v>
      </c>
      <c r="I4199" s="3">
        <v>1.0</v>
      </c>
      <c r="J4199" s="7">
        <v>40886.41875</v>
      </c>
      <c r="K4199" s="8" t="str">
        <f t="shared" si="4"/>
        <v>2011-12</v>
      </c>
      <c r="L4199" s="5">
        <v>19.96</v>
      </c>
      <c r="M4199" s="10"/>
      <c r="N4199" s="1" t="str">
        <f t="shared" si="5"/>
        <v>Guest</v>
      </c>
      <c r="O4199" s="1" t="s">
        <v>19</v>
      </c>
      <c r="P4199" s="9" t="str">
        <f t="shared" si="6"/>
        <v>UK</v>
      </c>
      <c r="Q4199" s="8">
        <f t="shared" si="7"/>
        <v>19.96</v>
      </c>
    </row>
    <row r="4200">
      <c r="A4200" s="1">
        <v>581492.0</v>
      </c>
      <c r="B4200" s="1" t="str">
        <f t="shared" si="1"/>
        <v>581492</v>
      </c>
      <c r="C4200" s="1" t="str">
        <f t="shared" si="2"/>
        <v>Sale</v>
      </c>
      <c r="D4200" s="1">
        <v>23175.0</v>
      </c>
      <c r="E4200" s="1" t="str">
        <f>IFERROR(__xludf.DUMMYFUNCTION("IF(LEN(D4200)&gt;4, IFERROR(REGEXEXTRACT(TO_TEXT(D4200),""\d+""),""""),"""")"),"23175")</f>
        <v>23175</v>
      </c>
      <c r="F4200" s="6" t="str">
        <f t="shared" si="3"/>
        <v>Product</v>
      </c>
      <c r="G4200" s="1" t="s">
        <v>1987</v>
      </c>
      <c r="H4200" s="6" t="str">
        <f>IFERROR(__xludf.DUMMYFUNCTION("IF(REGEXMATCH(LOWER(G4200), ""^(\?)+\s*(missing)?\s*(\?)*$""), """", PROPER(SUBSTITUTE(SUBSTITUTE(G4200, ""?"", """"), ""*"", """")))"),"Regency Milk Jug Pink")</f>
        <v>Regency Milk Jug Pink</v>
      </c>
      <c r="I4200" s="3">
        <v>1.0</v>
      </c>
      <c r="J4200" s="7">
        <v>40886.41875</v>
      </c>
      <c r="K4200" s="8" t="str">
        <f t="shared" si="4"/>
        <v>2011-12</v>
      </c>
      <c r="L4200" s="5">
        <v>7.46</v>
      </c>
      <c r="M4200" s="10"/>
      <c r="N4200" s="1" t="str">
        <f t="shared" si="5"/>
        <v>Guest</v>
      </c>
      <c r="O4200" s="1" t="s">
        <v>19</v>
      </c>
      <c r="P4200" s="9" t="str">
        <f t="shared" si="6"/>
        <v>UK</v>
      </c>
      <c r="Q4200" s="8">
        <f t="shared" si="7"/>
        <v>7.46</v>
      </c>
    </row>
    <row r="4201">
      <c r="A4201" s="1">
        <v>581492.0</v>
      </c>
      <c r="B4201" s="1" t="str">
        <f t="shared" si="1"/>
        <v>581492</v>
      </c>
      <c r="C4201" s="1" t="str">
        <f t="shared" si="2"/>
        <v>Sale</v>
      </c>
      <c r="D4201" s="1">
        <v>23177.0</v>
      </c>
      <c r="E4201" s="1" t="str">
        <f>IFERROR(__xludf.DUMMYFUNCTION("IF(LEN(D4201)&gt;4, IFERROR(REGEXEXTRACT(TO_TEXT(D4201),""\d+""),""""),"""")"),"23177")</f>
        <v>23177</v>
      </c>
      <c r="F4201" s="6" t="str">
        <f t="shared" si="3"/>
        <v>Product</v>
      </c>
      <c r="G4201" s="1" t="s">
        <v>1988</v>
      </c>
      <c r="H4201" s="6" t="str">
        <f>IFERROR(__xludf.DUMMYFUNCTION("IF(REGEXMATCH(LOWER(G4201), ""^(\?)+\s*(missing)?\s*(\?)*$""), """", PROPER(SUBSTITUTE(SUBSTITUTE(G4201, ""?"", """"), ""*"", """")))"),"Treasure Island Book Box")</f>
        <v>Treasure Island Book Box</v>
      </c>
      <c r="I4201" s="3">
        <v>1.0</v>
      </c>
      <c r="J4201" s="7">
        <v>40886.41875</v>
      </c>
      <c r="K4201" s="8" t="str">
        <f t="shared" si="4"/>
        <v>2011-12</v>
      </c>
      <c r="L4201" s="5">
        <v>4.58</v>
      </c>
      <c r="M4201" s="10"/>
      <c r="N4201" s="1" t="str">
        <f t="shared" si="5"/>
        <v>Guest</v>
      </c>
      <c r="O4201" s="1" t="s">
        <v>19</v>
      </c>
      <c r="P4201" s="9" t="str">
        <f t="shared" si="6"/>
        <v>UK</v>
      </c>
      <c r="Q4201" s="8">
        <f t="shared" si="7"/>
        <v>4.58</v>
      </c>
    </row>
    <row r="4202">
      <c r="A4202" s="1">
        <v>581492.0</v>
      </c>
      <c r="B4202" s="1" t="str">
        <f t="shared" si="1"/>
        <v>581492</v>
      </c>
      <c r="C4202" s="1" t="str">
        <f t="shared" si="2"/>
        <v>Sale</v>
      </c>
      <c r="D4202" s="1">
        <v>23183.0</v>
      </c>
      <c r="E4202" s="1" t="str">
        <f>IFERROR(__xludf.DUMMYFUNCTION("IF(LEN(D4202)&gt;4, IFERROR(REGEXEXTRACT(TO_TEXT(D4202),""\d+""),""""),"""")"),"23183")</f>
        <v>23183</v>
      </c>
      <c r="F4202" s="6" t="str">
        <f t="shared" si="3"/>
        <v>Product</v>
      </c>
      <c r="G4202" s="1" t="s">
        <v>1989</v>
      </c>
      <c r="H4202" s="6" t="str">
        <f>IFERROR(__xludf.DUMMYFUNCTION("IF(REGEXMATCH(LOWER(G4202), ""^(\?)+\s*(missing)?\s*(\?)*$""), """", PROPER(SUBSTITUTE(SUBSTITUTE(G4202, ""?"", """"), ""*"", """")))"),"Mother'S Kitchen Spoon Rest")</f>
        <v>Mother'S Kitchen Spoon Rest</v>
      </c>
      <c r="I4202" s="3">
        <v>3.0</v>
      </c>
      <c r="J4202" s="7">
        <v>40886.41875</v>
      </c>
      <c r="K4202" s="8" t="str">
        <f t="shared" si="4"/>
        <v>2011-12</v>
      </c>
      <c r="L4202" s="5">
        <v>7.46</v>
      </c>
      <c r="M4202" s="10"/>
      <c r="N4202" s="1" t="str">
        <f t="shared" si="5"/>
        <v>Guest</v>
      </c>
      <c r="O4202" s="1" t="s">
        <v>19</v>
      </c>
      <c r="P4202" s="9" t="str">
        <f t="shared" si="6"/>
        <v>UK</v>
      </c>
      <c r="Q4202" s="8">
        <f t="shared" si="7"/>
        <v>22.38</v>
      </c>
    </row>
    <row r="4203">
      <c r="A4203" s="1">
        <v>581492.0</v>
      </c>
      <c r="B4203" s="1" t="str">
        <f t="shared" si="1"/>
        <v>581492</v>
      </c>
      <c r="C4203" s="1" t="str">
        <f t="shared" si="2"/>
        <v>Sale</v>
      </c>
      <c r="D4203" s="1">
        <v>23184.0</v>
      </c>
      <c r="E4203" s="1" t="str">
        <f>IFERROR(__xludf.DUMMYFUNCTION("IF(LEN(D4203)&gt;4, IFERROR(REGEXEXTRACT(TO_TEXT(D4203),""\d+""),""""),"""")"),"23184")</f>
        <v>23184</v>
      </c>
      <c r="F4203" s="6" t="str">
        <f t="shared" si="3"/>
        <v>Product</v>
      </c>
      <c r="G4203" s="1" t="s">
        <v>1593</v>
      </c>
      <c r="H4203" s="6" t="str">
        <f>IFERROR(__xludf.DUMMYFUNCTION("IF(REGEXMATCH(LOWER(G4203), ""^(\?)+\s*(missing)?\s*(\?)*$""), """", PROPER(SUBSTITUTE(SUBSTITUTE(G4203, ""?"", """"), ""*"", """")))"),"Bull Dog Bottle Opener")</f>
        <v>Bull Dog Bottle Opener</v>
      </c>
      <c r="I4203" s="3">
        <v>2.0</v>
      </c>
      <c r="J4203" s="7">
        <v>40886.41875</v>
      </c>
      <c r="K4203" s="8" t="str">
        <f t="shared" si="4"/>
        <v>2011-12</v>
      </c>
      <c r="L4203" s="5">
        <v>10.79</v>
      </c>
      <c r="M4203" s="10"/>
      <c r="N4203" s="1" t="str">
        <f t="shared" si="5"/>
        <v>Guest</v>
      </c>
      <c r="O4203" s="1" t="s">
        <v>19</v>
      </c>
      <c r="P4203" s="9" t="str">
        <f t="shared" si="6"/>
        <v>UK</v>
      </c>
      <c r="Q4203" s="8">
        <f t="shared" si="7"/>
        <v>21.58</v>
      </c>
    </row>
    <row r="4204">
      <c r="A4204" s="1">
        <v>581492.0</v>
      </c>
      <c r="B4204" s="1" t="str">
        <f t="shared" si="1"/>
        <v>581492</v>
      </c>
      <c r="C4204" s="1" t="str">
        <f t="shared" si="2"/>
        <v>Sale</v>
      </c>
      <c r="D4204" s="1">
        <v>23188.0</v>
      </c>
      <c r="E4204" s="1" t="str">
        <f>IFERROR(__xludf.DUMMYFUNCTION("IF(LEN(D4204)&gt;4, IFERROR(REGEXEXTRACT(TO_TEXT(D4204),""\d+""),""""),"""")"),"23188")</f>
        <v>23188</v>
      </c>
      <c r="F4204" s="6" t="str">
        <f t="shared" si="3"/>
        <v>Product</v>
      </c>
      <c r="G4204" s="1" t="s">
        <v>1990</v>
      </c>
      <c r="H4204" s="6" t="str">
        <f>IFERROR(__xludf.DUMMYFUNCTION("IF(REGEXMATCH(LOWER(G4204), ""^(\?)+\s*(missing)?\s*(\?)*$""), """", PROPER(SUBSTITUTE(SUBSTITUTE(G4204, ""?"", """"), ""*"", """")))"),"Vintage 2 Metre Folding Ruler")</f>
        <v>Vintage 2 Metre Folding Ruler</v>
      </c>
      <c r="I4204" s="3">
        <v>1.0</v>
      </c>
      <c r="J4204" s="7">
        <v>40886.41875</v>
      </c>
      <c r="K4204" s="8" t="str">
        <f t="shared" si="4"/>
        <v>2011-12</v>
      </c>
      <c r="L4204" s="5">
        <v>3.29</v>
      </c>
      <c r="M4204" s="10"/>
      <c r="N4204" s="1" t="str">
        <f t="shared" si="5"/>
        <v>Guest</v>
      </c>
      <c r="O4204" s="1" t="s">
        <v>19</v>
      </c>
      <c r="P4204" s="9" t="str">
        <f t="shared" si="6"/>
        <v>UK</v>
      </c>
      <c r="Q4204" s="8">
        <f t="shared" si="7"/>
        <v>3.29</v>
      </c>
    </row>
    <row r="4205">
      <c r="A4205" s="1">
        <v>581492.0</v>
      </c>
      <c r="B4205" s="1" t="str">
        <f t="shared" si="1"/>
        <v>581492</v>
      </c>
      <c r="C4205" s="1" t="str">
        <f t="shared" si="2"/>
        <v>Sale</v>
      </c>
      <c r="D4205" s="1">
        <v>23191.0</v>
      </c>
      <c r="E4205" s="1" t="str">
        <f>IFERROR(__xludf.DUMMYFUNCTION("IF(LEN(D4205)&gt;4, IFERROR(REGEXEXTRACT(TO_TEXT(D4205),""\d+""),""""),"""")"),"23191")</f>
        <v>23191</v>
      </c>
      <c r="F4205" s="6" t="str">
        <f t="shared" si="3"/>
        <v>Product</v>
      </c>
      <c r="G4205" s="1" t="s">
        <v>1991</v>
      </c>
      <c r="H4205" s="6" t="str">
        <f>IFERROR(__xludf.DUMMYFUNCTION("IF(REGEXMATCH(LOWER(G4205), ""^(\?)+\s*(missing)?\s*(\?)*$""), """", PROPER(SUBSTITUTE(SUBSTITUTE(G4205, ""?"", """"), ""*"", """")))"),"Bundle Of 3 Retro Note Books")</f>
        <v>Bundle Of 3 Retro Note Books</v>
      </c>
      <c r="I4205" s="3">
        <v>1.0</v>
      </c>
      <c r="J4205" s="7">
        <v>40886.41875</v>
      </c>
      <c r="K4205" s="8" t="str">
        <f t="shared" si="4"/>
        <v>2011-12</v>
      </c>
      <c r="L4205" s="5">
        <v>3.29</v>
      </c>
      <c r="M4205" s="10"/>
      <c r="N4205" s="1" t="str">
        <f t="shared" si="5"/>
        <v>Guest</v>
      </c>
      <c r="O4205" s="1" t="s">
        <v>19</v>
      </c>
      <c r="P4205" s="9" t="str">
        <f t="shared" si="6"/>
        <v>UK</v>
      </c>
      <c r="Q4205" s="8">
        <f t="shared" si="7"/>
        <v>3.29</v>
      </c>
    </row>
    <row r="4206">
      <c r="A4206" s="1">
        <v>581492.0</v>
      </c>
      <c r="B4206" s="1" t="str">
        <f t="shared" si="1"/>
        <v>581492</v>
      </c>
      <c r="C4206" s="1" t="str">
        <f t="shared" si="2"/>
        <v>Sale</v>
      </c>
      <c r="D4206" s="1">
        <v>23194.0</v>
      </c>
      <c r="E4206" s="1" t="str">
        <f>IFERROR(__xludf.DUMMYFUNCTION("IF(LEN(D4206)&gt;4, IFERROR(REGEXEXTRACT(TO_TEXT(D4206),""\d+""),""""),"""")"),"23194")</f>
        <v>23194</v>
      </c>
      <c r="F4206" s="6" t="str">
        <f t="shared" si="3"/>
        <v>Product</v>
      </c>
      <c r="G4206" s="1" t="s">
        <v>1992</v>
      </c>
      <c r="H4206" s="6" t="str">
        <f>IFERROR(__xludf.DUMMYFUNCTION("IF(REGEXMATCH(LOWER(G4206), ""^(\?)+\s*(missing)?\s*(\?)*$""), """", PROPER(SUBSTITUTE(SUBSTITUTE(G4206, ""?"", """"), ""*"", """")))"),"Gymkhana Treasure Book Box")</f>
        <v>Gymkhana Treasure Book Box</v>
      </c>
      <c r="I4206" s="3">
        <v>1.0</v>
      </c>
      <c r="J4206" s="7">
        <v>40886.41875</v>
      </c>
      <c r="K4206" s="8" t="str">
        <f t="shared" si="4"/>
        <v>2011-12</v>
      </c>
      <c r="L4206" s="5">
        <v>4.58</v>
      </c>
      <c r="M4206" s="10"/>
      <c r="N4206" s="1" t="str">
        <f t="shared" si="5"/>
        <v>Guest</v>
      </c>
      <c r="O4206" s="1" t="s">
        <v>19</v>
      </c>
      <c r="P4206" s="9" t="str">
        <f t="shared" si="6"/>
        <v>UK</v>
      </c>
      <c r="Q4206" s="8">
        <f t="shared" si="7"/>
        <v>4.58</v>
      </c>
    </row>
    <row r="4207">
      <c r="A4207" s="1">
        <v>581492.0</v>
      </c>
      <c r="B4207" s="1" t="str">
        <f t="shared" si="1"/>
        <v>581492</v>
      </c>
      <c r="C4207" s="1" t="str">
        <f t="shared" si="2"/>
        <v>Sale</v>
      </c>
      <c r="D4207" s="1">
        <v>23196.0</v>
      </c>
      <c r="E4207" s="1" t="str">
        <f>IFERROR(__xludf.DUMMYFUNCTION("IF(LEN(D4207)&gt;4, IFERROR(REGEXEXTRACT(TO_TEXT(D4207),""\d+""),""""),"""")"),"23196")</f>
        <v>23196</v>
      </c>
      <c r="F4207" s="6" t="str">
        <f t="shared" si="3"/>
        <v>Product</v>
      </c>
      <c r="G4207" s="1" t="s">
        <v>1993</v>
      </c>
      <c r="H4207" s="6" t="str">
        <f>IFERROR(__xludf.DUMMYFUNCTION("IF(REGEXMATCH(LOWER(G4207), ""^(\?)+\s*(missing)?\s*(\?)*$""), """", PROPER(SUBSTITUTE(SUBSTITUTE(G4207, ""?"", """"), ""*"", """")))"),"Vintage Leaf Magnetic Notepad")</f>
        <v>Vintage Leaf Magnetic Notepad</v>
      </c>
      <c r="I4207" s="3">
        <v>1.0</v>
      </c>
      <c r="J4207" s="7">
        <v>40886.41875</v>
      </c>
      <c r="K4207" s="8" t="str">
        <f t="shared" si="4"/>
        <v>2011-12</v>
      </c>
      <c r="L4207" s="5">
        <v>3.29</v>
      </c>
      <c r="M4207" s="10"/>
      <c r="N4207" s="1" t="str">
        <f t="shared" si="5"/>
        <v>Guest</v>
      </c>
      <c r="O4207" s="1" t="s">
        <v>19</v>
      </c>
      <c r="P4207" s="9" t="str">
        <f t="shared" si="6"/>
        <v>UK</v>
      </c>
      <c r="Q4207" s="8">
        <f t="shared" si="7"/>
        <v>3.29</v>
      </c>
    </row>
    <row r="4208">
      <c r="A4208" s="1">
        <v>581492.0</v>
      </c>
      <c r="B4208" s="1" t="str">
        <f t="shared" si="1"/>
        <v>581492</v>
      </c>
      <c r="C4208" s="1" t="str">
        <f t="shared" si="2"/>
        <v>Sale</v>
      </c>
      <c r="D4208" s="1">
        <v>23197.0</v>
      </c>
      <c r="E4208" s="1" t="str">
        <f>IFERROR(__xludf.DUMMYFUNCTION("IF(LEN(D4208)&gt;4, IFERROR(REGEXEXTRACT(TO_TEXT(D4208),""\d+""),""""),"""")"),"23197")</f>
        <v>23197</v>
      </c>
      <c r="F4208" s="6" t="str">
        <f t="shared" si="3"/>
        <v>Product</v>
      </c>
      <c r="G4208" s="1" t="s">
        <v>1422</v>
      </c>
      <c r="H4208" s="6" t="str">
        <f>IFERROR(__xludf.DUMMYFUNCTION("IF(REGEXMATCH(LOWER(G4208), ""^(\?)+\s*(missing)?\s*(\?)*$""), """", PROPER(SUBSTITUTE(SUBSTITUTE(G4208, ""?"", """"), ""*"", """")))"),"Sketchbook Magnetic Shopping List")</f>
        <v>Sketchbook Magnetic Shopping List</v>
      </c>
      <c r="I4208" s="3">
        <v>2.0</v>
      </c>
      <c r="J4208" s="7">
        <v>40886.41875</v>
      </c>
      <c r="K4208" s="8" t="str">
        <f t="shared" si="4"/>
        <v>2011-12</v>
      </c>
      <c r="L4208" s="5">
        <v>3.29</v>
      </c>
      <c r="M4208" s="10"/>
      <c r="N4208" s="1" t="str">
        <f t="shared" si="5"/>
        <v>Guest</v>
      </c>
      <c r="O4208" s="1" t="s">
        <v>19</v>
      </c>
      <c r="P4208" s="9" t="str">
        <f t="shared" si="6"/>
        <v>UK</v>
      </c>
      <c r="Q4208" s="8">
        <f t="shared" si="7"/>
        <v>6.58</v>
      </c>
    </row>
    <row r="4209">
      <c r="A4209" s="1">
        <v>581492.0</v>
      </c>
      <c r="B4209" s="1" t="str">
        <f t="shared" si="1"/>
        <v>581492</v>
      </c>
      <c r="C4209" s="1" t="str">
        <f t="shared" si="2"/>
        <v>Sale</v>
      </c>
      <c r="D4209" s="1">
        <v>23198.0</v>
      </c>
      <c r="E4209" s="1" t="str">
        <f>IFERROR(__xludf.DUMMYFUNCTION("IF(LEN(D4209)&gt;4, IFERROR(REGEXEXTRACT(TO_TEXT(D4209),""\d+""),""""),"""")"),"23198")</f>
        <v>23198</v>
      </c>
      <c r="F4209" s="6" t="str">
        <f t="shared" si="3"/>
        <v>Product</v>
      </c>
      <c r="G4209" s="1" t="s">
        <v>1423</v>
      </c>
      <c r="H4209" s="6" t="str">
        <f>IFERROR(__xludf.DUMMYFUNCTION("IF(REGEXMATCH(LOWER(G4209), ""^(\?)+\s*(missing)?\s*(\?)*$""), """", PROPER(SUBSTITUTE(SUBSTITUTE(G4209, ""?"", """"), ""*"", """")))"),"Pantry Magnetic Shopping List")</f>
        <v>Pantry Magnetic Shopping List</v>
      </c>
      <c r="I4209" s="3">
        <v>2.0</v>
      </c>
      <c r="J4209" s="7">
        <v>40886.41875</v>
      </c>
      <c r="K4209" s="8" t="str">
        <f t="shared" si="4"/>
        <v>2011-12</v>
      </c>
      <c r="L4209" s="5">
        <v>3.29</v>
      </c>
      <c r="M4209" s="10"/>
      <c r="N4209" s="1" t="str">
        <f t="shared" si="5"/>
        <v>Guest</v>
      </c>
      <c r="O4209" s="1" t="s">
        <v>19</v>
      </c>
      <c r="P4209" s="9" t="str">
        <f t="shared" si="6"/>
        <v>UK</v>
      </c>
      <c r="Q4209" s="8">
        <f t="shared" si="7"/>
        <v>6.58</v>
      </c>
    </row>
    <row r="4210">
      <c r="A4210" s="1">
        <v>581492.0</v>
      </c>
      <c r="B4210" s="1" t="str">
        <f t="shared" si="1"/>
        <v>581492</v>
      </c>
      <c r="C4210" s="1" t="str">
        <f t="shared" si="2"/>
        <v>Sale</v>
      </c>
      <c r="D4210" s="1">
        <v>23199.0</v>
      </c>
      <c r="E4210" s="1" t="str">
        <f>IFERROR(__xludf.DUMMYFUNCTION("IF(LEN(D4210)&gt;4, IFERROR(REGEXEXTRACT(TO_TEXT(D4210),""\d+""),""""),"""")"),"23199")</f>
        <v>23199</v>
      </c>
      <c r="F4210" s="6" t="str">
        <f t="shared" si="3"/>
        <v>Product</v>
      </c>
      <c r="G4210" s="1" t="s">
        <v>1994</v>
      </c>
      <c r="H4210" s="6" t="str">
        <f>IFERROR(__xludf.DUMMYFUNCTION("IF(REGEXMATCH(LOWER(G4210), ""^(\?)+\s*(missing)?\s*(\?)*$""), """", PROPER(SUBSTITUTE(SUBSTITUTE(G4210, ""?"", """"), ""*"", """")))"),"Jumbo Bag Apples")</f>
        <v>Jumbo Bag Apples</v>
      </c>
      <c r="I4210" s="3">
        <v>2.0</v>
      </c>
      <c r="J4210" s="7">
        <v>40886.41875</v>
      </c>
      <c r="K4210" s="8" t="str">
        <f t="shared" si="4"/>
        <v>2011-12</v>
      </c>
      <c r="L4210" s="5">
        <v>4.13</v>
      </c>
      <c r="M4210" s="10"/>
      <c r="N4210" s="1" t="str">
        <f t="shared" si="5"/>
        <v>Guest</v>
      </c>
      <c r="O4210" s="1" t="s">
        <v>19</v>
      </c>
      <c r="P4210" s="9" t="str">
        <f t="shared" si="6"/>
        <v>UK</v>
      </c>
      <c r="Q4210" s="8">
        <f t="shared" si="7"/>
        <v>8.26</v>
      </c>
    </row>
    <row r="4211">
      <c r="A4211" s="1">
        <v>581492.0</v>
      </c>
      <c r="B4211" s="1" t="str">
        <f t="shared" si="1"/>
        <v>581492</v>
      </c>
      <c r="C4211" s="1" t="str">
        <f t="shared" si="2"/>
        <v>Sale</v>
      </c>
      <c r="D4211" s="1">
        <v>23200.0</v>
      </c>
      <c r="E4211" s="1" t="str">
        <f>IFERROR(__xludf.DUMMYFUNCTION("IF(LEN(D4211)&gt;4, IFERROR(REGEXEXTRACT(TO_TEXT(D4211),""\d+""),""""),"""")"),"23200")</f>
        <v>23200</v>
      </c>
      <c r="F4211" s="6" t="str">
        <f t="shared" si="3"/>
        <v>Product</v>
      </c>
      <c r="G4211" s="1" t="s">
        <v>1995</v>
      </c>
      <c r="H4211" s="6" t="str">
        <f>IFERROR(__xludf.DUMMYFUNCTION("IF(REGEXMATCH(LOWER(G4211), ""^(\?)+\s*(missing)?\s*(\?)*$""), """", PROPER(SUBSTITUTE(SUBSTITUTE(G4211, ""?"", """"), ""*"", """")))"),"Jumbo Bag Pears")</f>
        <v>Jumbo Bag Pears</v>
      </c>
      <c r="I4211" s="3">
        <v>1.0</v>
      </c>
      <c r="J4211" s="7">
        <v>40886.41875</v>
      </c>
      <c r="K4211" s="8" t="str">
        <f t="shared" si="4"/>
        <v>2011-12</v>
      </c>
      <c r="L4211" s="5">
        <v>4.13</v>
      </c>
      <c r="M4211" s="10"/>
      <c r="N4211" s="1" t="str">
        <f t="shared" si="5"/>
        <v>Guest</v>
      </c>
      <c r="O4211" s="1" t="s">
        <v>19</v>
      </c>
      <c r="P4211" s="9" t="str">
        <f t="shared" si="6"/>
        <v>UK</v>
      </c>
      <c r="Q4211" s="8">
        <f t="shared" si="7"/>
        <v>4.13</v>
      </c>
    </row>
    <row r="4212">
      <c r="A4212" s="1">
        <v>581492.0</v>
      </c>
      <c r="B4212" s="1" t="str">
        <f t="shared" si="1"/>
        <v>581492</v>
      </c>
      <c r="C4212" s="1" t="str">
        <f t="shared" si="2"/>
        <v>Sale</v>
      </c>
      <c r="D4212" s="1">
        <v>23202.0</v>
      </c>
      <c r="E4212" s="1" t="str">
        <f>IFERROR(__xludf.DUMMYFUNCTION("IF(LEN(D4212)&gt;4, IFERROR(REGEXEXTRACT(TO_TEXT(D4212),""\d+""),""""),"""")"),"23202")</f>
        <v>23202</v>
      </c>
      <c r="F4212" s="6" t="str">
        <f t="shared" si="3"/>
        <v>Product</v>
      </c>
      <c r="G4212" s="1" t="s">
        <v>1996</v>
      </c>
      <c r="H4212" s="6" t="str">
        <f>IFERROR(__xludf.DUMMYFUNCTION("IF(REGEXMATCH(LOWER(G4212), ""^(\?)+\s*(missing)?\s*(\?)*$""), """", PROPER(SUBSTITUTE(SUBSTITUTE(G4212, ""?"", """"), ""*"", """")))"),"Jumbo Bag Vintage Leaf")</f>
        <v>Jumbo Bag Vintage Leaf</v>
      </c>
      <c r="I4212" s="3">
        <v>2.0</v>
      </c>
      <c r="J4212" s="7">
        <v>40886.41875</v>
      </c>
      <c r="K4212" s="8" t="str">
        <f t="shared" si="4"/>
        <v>2011-12</v>
      </c>
      <c r="L4212" s="5">
        <v>4.13</v>
      </c>
      <c r="M4212" s="10"/>
      <c r="N4212" s="1" t="str">
        <f t="shared" si="5"/>
        <v>Guest</v>
      </c>
      <c r="O4212" s="1" t="s">
        <v>19</v>
      </c>
      <c r="P4212" s="9" t="str">
        <f t="shared" si="6"/>
        <v>UK</v>
      </c>
      <c r="Q4212" s="8">
        <f t="shared" si="7"/>
        <v>8.26</v>
      </c>
    </row>
    <row r="4213">
      <c r="A4213" s="1">
        <v>581492.0</v>
      </c>
      <c r="B4213" s="1" t="str">
        <f t="shared" si="1"/>
        <v>581492</v>
      </c>
      <c r="C4213" s="1" t="str">
        <f t="shared" si="2"/>
        <v>Sale</v>
      </c>
      <c r="D4213" s="1">
        <v>23204.0</v>
      </c>
      <c r="E4213" s="1" t="str">
        <f>IFERROR(__xludf.DUMMYFUNCTION("IF(LEN(D4213)&gt;4, IFERROR(REGEXEXTRACT(TO_TEXT(D4213),""\d+""),""""),"""")"),"23204")</f>
        <v>23204</v>
      </c>
      <c r="F4213" s="6" t="str">
        <f t="shared" si="3"/>
        <v>Product</v>
      </c>
      <c r="G4213" s="1" t="s">
        <v>1997</v>
      </c>
      <c r="H4213" s="6" t="str">
        <f>IFERROR(__xludf.DUMMYFUNCTION("IF(REGEXMATCH(LOWER(G4213), ""^(\?)+\s*(missing)?\s*(\?)*$""), """", PROPER(SUBSTITUTE(SUBSTITUTE(G4213, ""?"", """"), ""*"", """")))"),"Charlotte Bag Apples Design")</f>
        <v>Charlotte Bag Apples Design</v>
      </c>
      <c r="I4213" s="3">
        <v>6.0</v>
      </c>
      <c r="J4213" s="7">
        <v>40886.41875</v>
      </c>
      <c r="K4213" s="8" t="str">
        <f t="shared" si="4"/>
        <v>2011-12</v>
      </c>
      <c r="L4213" s="5">
        <v>1.63</v>
      </c>
      <c r="M4213" s="10"/>
      <c r="N4213" s="1" t="str">
        <f t="shared" si="5"/>
        <v>Guest</v>
      </c>
      <c r="O4213" s="1" t="s">
        <v>19</v>
      </c>
      <c r="P4213" s="9" t="str">
        <f t="shared" si="6"/>
        <v>UK</v>
      </c>
      <c r="Q4213" s="8">
        <f t="shared" si="7"/>
        <v>9.78</v>
      </c>
    </row>
    <row r="4214">
      <c r="A4214" s="1">
        <v>581492.0</v>
      </c>
      <c r="B4214" s="1" t="str">
        <f t="shared" si="1"/>
        <v>581492</v>
      </c>
      <c r="C4214" s="1" t="str">
        <f t="shared" si="2"/>
        <v>Sale</v>
      </c>
      <c r="D4214" s="1">
        <v>23205.0</v>
      </c>
      <c r="E4214" s="1" t="str">
        <f>IFERROR(__xludf.DUMMYFUNCTION("IF(LEN(D4214)&gt;4, IFERROR(REGEXEXTRACT(TO_TEXT(D4214),""\d+""),""""),"""")"),"23205")</f>
        <v>23205</v>
      </c>
      <c r="F4214" s="6" t="str">
        <f t="shared" si="3"/>
        <v>Product</v>
      </c>
      <c r="G4214" s="1" t="s">
        <v>1998</v>
      </c>
      <c r="H4214" s="6" t="str">
        <f>IFERROR(__xludf.DUMMYFUNCTION("IF(REGEXMATCH(LOWER(G4214), ""^(\?)+\s*(missing)?\s*(\?)*$""), """", PROPER(SUBSTITUTE(SUBSTITUTE(G4214, ""?"", """"), ""*"", """")))"),"Charlotte Bag Vintage Alphabet")</f>
        <v>Charlotte Bag Vintage Alphabet</v>
      </c>
      <c r="I4214" s="3">
        <v>3.0</v>
      </c>
      <c r="J4214" s="7">
        <v>40886.41875</v>
      </c>
      <c r="K4214" s="8" t="str">
        <f t="shared" si="4"/>
        <v>2011-12</v>
      </c>
      <c r="L4214" s="5">
        <v>1.63</v>
      </c>
      <c r="M4214" s="10"/>
      <c r="N4214" s="1" t="str">
        <f t="shared" si="5"/>
        <v>Guest</v>
      </c>
      <c r="O4214" s="1" t="s">
        <v>19</v>
      </c>
      <c r="P4214" s="9" t="str">
        <f t="shared" si="6"/>
        <v>UK</v>
      </c>
      <c r="Q4214" s="8">
        <f t="shared" si="7"/>
        <v>4.89</v>
      </c>
    </row>
    <row r="4215">
      <c r="A4215" s="1">
        <v>581492.0</v>
      </c>
      <c r="B4215" s="1" t="str">
        <f t="shared" si="1"/>
        <v>581492</v>
      </c>
      <c r="C4215" s="1" t="str">
        <f t="shared" si="2"/>
        <v>Sale</v>
      </c>
      <c r="D4215" s="1">
        <v>23206.0</v>
      </c>
      <c r="E4215" s="1" t="str">
        <f>IFERROR(__xludf.DUMMYFUNCTION("IF(LEN(D4215)&gt;4, IFERROR(REGEXEXTRACT(TO_TEXT(D4215),""\d+""),""""),"""")"),"23206")</f>
        <v>23206</v>
      </c>
      <c r="F4215" s="6" t="str">
        <f t="shared" si="3"/>
        <v>Product</v>
      </c>
      <c r="G4215" s="1" t="s">
        <v>1420</v>
      </c>
      <c r="H4215" s="6" t="str">
        <f>IFERROR(__xludf.DUMMYFUNCTION("IF(REGEXMATCH(LOWER(G4215), ""^(\?)+\s*(missing)?\s*(\?)*$""), """", PROPER(SUBSTITUTE(SUBSTITUTE(G4215, ""?"", """"), ""*"", """")))"),"Lunch Bag Apple Design")</f>
        <v>Lunch Bag Apple Design</v>
      </c>
      <c r="I4215" s="3">
        <v>3.0</v>
      </c>
      <c r="J4215" s="7">
        <v>40886.41875</v>
      </c>
      <c r="K4215" s="8" t="str">
        <f t="shared" si="4"/>
        <v>2011-12</v>
      </c>
      <c r="L4215" s="5">
        <v>4.13</v>
      </c>
      <c r="M4215" s="10"/>
      <c r="N4215" s="1" t="str">
        <f t="shared" si="5"/>
        <v>Guest</v>
      </c>
      <c r="O4215" s="1" t="s">
        <v>19</v>
      </c>
      <c r="P4215" s="9" t="str">
        <f t="shared" si="6"/>
        <v>UK</v>
      </c>
      <c r="Q4215" s="8">
        <f t="shared" si="7"/>
        <v>12.39</v>
      </c>
    </row>
    <row r="4216">
      <c r="A4216" s="1">
        <v>581492.0</v>
      </c>
      <c r="B4216" s="1" t="str">
        <f t="shared" si="1"/>
        <v>581492</v>
      </c>
      <c r="C4216" s="1" t="str">
        <f t="shared" si="2"/>
        <v>Sale</v>
      </c>
      <c r="D4216" s="1">
        <v>23208.0</v>
      </c>
      <c r="E4216" s="1" t="str">
        <f>IFERROR(__xludf.DUMMYFUNCTION("IF(LEN(D4216)&gt;4, IFERROR(REGEXEXTRACT(TO_TEXT(D4216),""\d+""),""""),"""")"),"23208")</f>
        <v>23208</v>
      </c>
      <c r="F4216" s="6" t="str">
        <f t="shared" si="3"/>
        <v>Product</v>
      </c>
      <c r="G4216" s="1" t="s">
        <v>1999</v>
      </c>
      <c r="H4216" s="6" t="str">
        <f>IFERROR(__xludf.DUMMYFUNCTION("IF(REGEXMATCH(LOWER(G4216), ""^(\?)+\s*(missing)?\s*(\?)*$""), """", PROPER(SUBSTITUTE(SUBSTITUTE(G4216, ""?"", """"), ""*"", """")))"),"Lunch Bag Vintage Leaf Design")</f>
        <v>Lunch Bag Vintage Leaf Design</v>
      </c>
      <c r="I4216" s="3">
        <v>3.0</v>
      </c>
      <c r="J4216" s="7">
        <v>40886.41875</v>
      </c>
      <c r="K4216" s="8" t="str">
        <f t="shared" si="4"/>
        <v>2011-12</v>
      </c>
      <c r="L4216" s="5">
        <v>4.13</v>
      </c>
      <c r="M4216" s="10"/>
      <c r="N4216" s="1" t="str">
        <f t="shared" si="5"/>
        <v>Guest</v>
      </c>
      <c r="O4216" s="1" t="s">
        <v>19</v>
      </c>
      <c r="P4216" s="9" t="str">
        <f t="shared" si="6"/>
        <v>UK</v>
      </c>
      <c r="Q4216" s="8">
        <f t="shared" si="7"/>
        <v>12.39</v>
      </c>
    </row>
    <row r="4217">
      <c r="A4217" s="1">
        <v>581492.0</v>
      </c>
      <c r="B4217" s="1" t="str">
        <f t="shared" si="1"/>
        <v>581492</v>
      </c>
      <c r="C4217" s="1" t="str">
        <f t="shared" si="2"/>
        <v>Sale</v>
      </c>
      <c r="D4217" s="1">
        <v>23212.0</v>
      </c>
      <c r="E4217" s="1" t="str">
        <f>IFERROR(__xludf.DUMMYFUNCTION("IF(LEN(D4217)&gt;4, IFERROR(REGEXEXTRACT(TO_TEXT(D4217),""\d+""),""""),"""")"),"23212")</f>
        <v>23212</v>
      </c>
      <c r="F4217" s="6" t="str">
        <f t="shared" si="3"/>
        <v>Product</v>
      </c>
      <c r="G4217" s="1" t="s">
        <v>2000</v>
      </c>
      <c r="H4217" s="6" t="str">
        <f>IFERROR(__xludf.DUMMYFUNCTION("IF(REGEXMATCH(LOWER(G4217), ""^(\?)+\s*(missing)?\s*(\?)*$""), """", PROPER(SUBSTITUTE(SUBSTITUTE(G4217, ""?"", """"), ""*"", """")))"),"Heart Wreath Decoration With Bell")</f>
        <v>Heart Wreath Decoration With Bell</v>
      </c>
      <c r="I4217" s="3">
        <v>7.0</v>
      </c>
      <c r="J4217" s="7">
        <v>40886.41875</v>
      </c>
      <c r="K4217" s="8" t="str">
        <f t="shared" si="4"/>
        <v>2011-12</v>
      </c>
      <c r="L4217" s="5">
        <v>2.46</v>
      </c>
      <c r="M4217" s="10"/>
      <c r="N4217" s="1" t="str">
        <f t="shared" si="5"/>
        <v>Guest</v>
      </c>
      <c r="O4217" s="1" t="s">
        <v>19</v>
      </c>
      <c r="P4217" s="9" t="str">
        <f t="shared" si="6"/>
        <v>UK</v>
      </c>
      <c r="Q4217" s="8">
        <f t="shared" si="7"/>
        <v>17.22</v>
      </c>
    </row>
    <row r="4218">
      <c r="A4218" s="1">
        <v>581492.0</v>
      </c>
      <c r="B4218" s="1" t="str">
        <f t="shared" si="1"/>
        <v>581492</v>
      </c>
      <c r="C4218" s="1" t="str">
        <f t="shared" si="2"/>
        <v>Sale</v>
      </c>
      <c r="D4218" s="1">
        <v>23213.0</v>
      </c>
      <c r="E4218" s="1" t="str">
        <f>IFERROR(__xludf.DUMMYFUNCTION("IF(LEN(D4218)&gt;4, IFERROR(REGEXEXTRACT(TO_TEXT(D4218),""\d+""),""""),"""")"),"23213")</f>
        <v>23213</v>
      </c>
      <c r="F4218" s="6" t="str">
        <f t="shared" si="3"/>
        <v>Product</v>
      </c>
      <c r="G4218" s="1" t="s">
        <v>2001</v>
      </c>
      <c r="H4218" s="6" t="str">
        <f>IFERROR(__xludf.DUMMYFUNCTION("IF(REGEXMATCH(LOWER(G4218), ""^(\?)+\s*(missing)?\s*(\?)*$""), """", PROPER(SUBSTITUTE(SUBSTITUTE(G4218, ""?"", """"), ""*"", """")))"),"Star Wreath Decoration With Bell")</f>
        <v>Star Wreath Decoration With Bell</v>
      </c>
      <c r="I4218" s="3">
        <v>7.0</v>
      </c>
      <c r="J4218" s="7">
        <v>40886.41875</v>
      </c>
      <c r="K4218" s="8" t="str">
        <f t="shared" si="4"/>
        <v>2011-12</v>
      </c>
      <c r="L4218" s="5">
        <v>2.46</v>
      </c>
      <c r="M4218" s="10"/>
      <c r="N4218" s="1" t="str">
        <f t="shared" si="5"/>
        <v>Guest</v>
      </c>
      <c r="O4218" s="1" t="s">
        <v>19</v>
      </c>
      <c r="P4218" s="9" t="str">
        <f t="shared" si="6"/>
        <v>UK</v>
      </c>
      <c r="Q4218" s="8">
        <f t="shared" si="7"/>
        <v>17.22</v>
      </c>
    </row>
    <row r="4219">
      <c r="A4219" s="1">
        <v>581492.0</v>
      </c>
      <c r="B4219" s="1" t="str">
        <f t="shared" si="1"/>
        <v>581492</v>
      </c>
      <c r="C4219" s="1" t="str">
        <f t="shared" si="2"/>
        <v>Sale</v>
      </c>
      <c r="D4219" s="1">
        <v>23220.0</v>
      </c>
      <c r="E4219" s="1" t="str">
        <f>IFERROR(__xludf.DUMMYFUNCTION("IF(LEN(D4219)&gt;4, IFERROR(REGEXEXTRACT(TO_TEXT(D4219),""\d+""),""""),"""")"),"23220")</f>
        <v>23220</v>
      </c>
      <c r="F4219" s="6" t="str">
        <f t="shared" si="3"/>
        <v>Product</v>
      </c>
      <c r="G4219" s="1" t="s">
        <v>2002</v>
      </c>
      <c r="H4219" s="6" t="str">
        <f>IFERROR(__xludf.DUMMYFUNCTION("IF(REGEXMATCH(LOWER(G4219), ""^(\?)+\s*(missing)?\s*(\?)*$""), """", PROPER(SUBSTITUTE(SUBSTITUTE(G4219, ""?"", """"), ""*"", """")))"),"Reindeer Heart Decoration Gold")</f>
        <v>Reindeer Heart Decoration Gold</v>
      </c>
      <c r="I4219" s="3">
        <v>2.0</v>
      </c>
      <c r="J4219" s="7">
        <v>40886.41875</v>
      </c>
      <c r="K4219" s="8" t="str">
        <f t="shared" si="4"/>
        <v>2011-12</v>
      </c>
      <c r="L4219" s="5">
        <v>1.63</v>
      </c>
      <c r="M4219" s="10"/>
      <c r="N4219" s="1" t="str">
        <f t="shared" si="5"/>
        <v>Guest</v>
      </c>
      <c r="O4219" s="1" t="s">
        <v>19</v>
      </c>
      <c r="P4219" s="9" t="str">
        <f t="shared" si="6"/>
        <v>UK</v>
      </c>
      <c r="Q4219" s="8">
        <f t="shared" si="7"/>
        <v>3.26</v>
      </c>
    </row>
    <row r="4220">
      <c r="A4220" s="1">
        <v>581492.0</v>
      </c>
      <c r="B4220" s="1" t="str">
        <f t="shared" si="1"/>
        <v>581492</v>
      </c>
      <c r="C4220" s="1" t="str">
        <f t="shared" si="2"/>
        <v>Sale</v>
      </c>
      <c r="D4220" s="1">
        <v>23224.0</v>
      </c>
      <c r="E4220" s="1" t="str">
        <f>IFERROR(__xludf.DUMMYFUNCTION("IF(LEN(D4220)&gt;4, IFERROR(REGEXEXTRACT(TO_TEXT(D4220),""\d+""),""""),"""")"),"23224")</f>
        <v>23224</v>
      </c>
      <c r="F4220" s="6" t="str">
        <f t="shared" si="3"/>
        <v>Product</v>
      </c>
      <c r="G4220" s="1" t="s">
        <v>2003</v>
      </c>
      <c r="H4220" s="6" t="str">
        <f>IFERROR(__xludf.DUMMYFUNCTION("IF(REGEXMATCH(LOWER(G4220), ""^(\?)+\s*(missing)?\s*(\?)*$""), """", PROPER(SUBSTITUTE(SUBSTITUTE(G4220, ""?"", """"), ""*"", """")))"),"Cherub Heart Decoration Gold")</f>
        <v>Cherub Heart Decoration Gold</v>
      </c>
      <c r="I4220" s="3">
        <v>1.0</v>
      </c>
      <c r="J4220" s="7">
        <v>40886.41875</v>
      </c>
      <c r="K4220" s="8" t="str">
        <f t="shared" si="4"/>
        <v>2011-12</v>
      </c>
      <c r="L4220" s="5">
        <v>1.63</v>
      </c>
      <c r="M4220" s="10"/>
      <c r="N4220" s="1" t="str">
        <f t="shared" si="5"/>
        <v>Guest</v>
      </c>
      <c r="O4220" s="1" t="s">
        <v>19</v>
      </c>
      <c r="P4220" s="9" t="str">
        <f t="shared" si="6"/>
        <v>UK</v>
      </c>
      <c r="Q4220" s="8">
        <f t="shared" si="7"/>
        <v>1.63</v>
      </c>
    </row>
    <row r="4221">
      <c r="A4221" s="1">
        <v>581492.0</v>
      </c>
      <c r="B4221" s="1" t="str">
        <f t="shared" si="1"/>
        <v>581492</v>
      </c>
      <c r="C4221" s="1" t="str">
        <f t="shared" si="2"/>
        <v>Sale</v>
      </c>
      <c r="D4221" s="1">
        <v>23229.0</v>
      </c>
      <c r="E4221" s="1" t="str">
        <f>IFERROR(__xludf.DUMMYFUNCTION("IF(LEN(D4221)&gt;4, IFERROR(REGEXEXTRACT(TO_TEXT(D4221),""\d+""),""""),"""")"),"23229")</f>
        <v>23229</v>
      </c>
      <c r="F4221" s="6" t="str">
        <f t="shared" si="3"/>
        <v>Product</v>
      </c>
      <c r="G4221" s="1" t="s">
        <v>2004</v>
      </c>
      <c r="H4221" s="6" t="str">
        <f>IFERROR(__xludf.DUMMYFUNCTION("IF(REGEXMATCH(LOWER(G4221), ""^(\?)+\s*(missing)?\s*(\?)*$""), """", PROPER(SUBSTITUTE(SUBSTITUTE(G4221, ""?"", """"), ""*"", """")))"),"Vintage Donkey Tail Game")</f>
        <v>Vintage Donkey Tail Game</v>
      </c>
      <c r="I4221" s="3">
        <v>2.0</v>
      </c>
      <c r="J4221" s="7">
        <v>40886.41875</v>
      </c>
      <c r="K4221" s="8" t="str">
        <f t="shared" si="4"/>
        <v>2011-12</v>
      </c>
      <c r="L4221" s="5">
        <v>7.46</v>
      </c>
      <c r="M4221" s="10"/>
      <c r="N4221" s="1" t="str">
        <f t="shared" si="5"/>
        <v>Guest</v>
      </c>
      <c r="O4221" s="1" t="s">
        <v>19</v>
      </c>
      <c r="P4221" s="9" t="str">
        <f t="shared" si="6"/>
        <v>UK</v>
      </c>
      <c r="Q4221" s="8">
        <f t="shared" si="7"/>
        <v>14.92</v>
      </c>
    </row>
    <row r="4222">
      <c r="A4222" s="1">
        <v>581492.0</v>
      </c>
      <c r="B4222" s="1" t="str">
        <f t="shared" si="1"/>
        <v>581492</v>
      </c>
      <c r="C4222" s="1" t="str">
        <f t="shared" si="2"/>
        <v>Sale</v>
      </c>
      <c r="D4222" s="1">
        <v>23234.0</v>
      </c>
      <c r="E4222" s="1" t="str">
        <f>IFERROR(__xludf.DUMMYFUNCTION("IF(LEN(D4222)&gt;4, IFERROR(REGEXEXTRACT(TO_TEXT(D4222),""\d+""),""""),"""")"),"23234")</f>
        <v>23234</v>
      </c>
      <c r="F4222" s="6" t="str">
        <f t="shared" si="3"/>
        <v>Product</v>
      </c>
      <c r="G4222" s="1" t="s">
        <v>2005</v>
      </c>
      <c r="H4222" s="6" t="str">
        <f>IFERROR(__xludf.DUMMYFUNCTION("IF(REGEXMATCH(LOWER(G4222), ""^(\?)+\s*(missing)?\s*(\?)*$""), """", PROPER(SUBSTITUTE(SUBSTITUTE(G4222, ""?"", """"), ""*"", """")))"),"Biscuit Tin Vintage Christmas")</f>
        <v>Biscuit Tin Vintage Christmas</v>
      </c>
      <c r="I4222" s="3">
        <v>4.0</v>
      </c>
      <c r="J4222" s="7">
        <v>40886.41875</v>
      </c>
      <c r="K4222" s="8" t="str">
        <f t="shared" si="4"/>
        <v>2011-12</v>
      </c>
      <c r="L4222" s="5">
        <v>5.79</v>
      </c>
      <c r="M4222" s="10"/>
      <c r="N4222" s="1" t="str">
        <f t="shared" si="5"/>
        <v>Guest</v>
      </c>
      <c r="O4222" s="1" t="s">
        <v>19</v>
      </c>
      <c r="P4222" s="9" t="str">
        <f t="shared" si="6"/>
        <v>UK</v>
      </c>
      <c r="Q4222" s="8">
        <f t="shared" si="7"/>
        <v>23.16</v>
      </c>
    </row>
    <row r="4223">
      <c r="A4223" s="1">
        <v>581492.0</v>
      </c>
      <c r="B4223" s="1" t="str">
        <f t="shared" si="1"/>
        <v>581492</v>
      </c>
      <c r="C4223" s="1" t="str">
        <f t="shared" si="2"/>
        <v>Sale</v>
      </c>
      <c r="D4223" s="1">
        <v>23241.0</v>
      </c>
      <c r="E4223" s="1" t="str">
        <f>IFERROR(__xludf.DUMMYFUNCTION("IF(LEN(D4223)&gt;4, IFERROR(REGEXEXTRACT(TO_TEXT(D4223),""\d+""),""""),"""")"),"23241")</f>
        <v>23241</v>
      </c>
      <c r="F4223" s="6" t="str">
        <f t="shared" si="3"/>
        <v>Product</v>
      </c>
      <c r="G4223" s="1" t="s">
        <v>2006</v>
      </c>
      <c r="H4223" s="6" t="str">
        <f>IFERROR(__xludf.DUMMYFUNCTION("IF(REGEXMATCH(LOWER(G4223), ""^(\?)+\s*(missing)?\s*(\?)*$""), """", PROPER(SUBSTITUTE(SUBSTITUTE(G4223, ""?"", """"), ""*"", """")))"),"Treasure Tin Gymkhana Design")</f>
        <v>Treasure Tin Gymkhana Design</v>
      </c>
      <c r="I4223" s="3">
        <v>3.0</v>
      </c>
      <c r="J4223" s="7">
        <v>40886.41875</v>
      </c>
      <c r="K4223" s="8" t="str">
        <f t="shared" si="4"/>
        <v>2011-12</v>
      </c>
      <c r="L4223" s="5">
        <v>4.13</v>
      </c>
      <c r="M4223" s="10"/>
      <c r="N4223" s="1" t="str">
        <f t="shared" si="5"/>
        <v>Guest</v>
      </c>
      <c r="O4223" s="1" t="s">
        <v>19</v>
      </c>
      <c r="P4223" s="9" t="str">
        <f t="shared" si="6"/>
        <v>UK</v>
      </c>
      <c r="Q4223" s="8">
        <f t="shared" si="7"/>
        <v>12.39</v>
      </c>
    </row>
    <row r="4224">
      <c r="A4224" s="1">
        <v>581492.0</v>
      </c>
      <c r="B4224" s="1" t="str">
        <f t="shared" si="1"/>
        <v>581492</v>
      </c>
      <c r="C4224" s="1" t="str">
        <f t="shared" si="2"/>
        <v>Sale</v>
      </c>
      <c r="D4224" s="1">
        <v>23243.0</v>
      </c>
      <c r="E4224" s="1" t="str">
        <f>IFERROR(__xludf.DUMMYFUNCTION("IF(LEN(D4224)&gt;4, IFERROR(REGEXEXTRACT(TO_TEXT(D4224),""\d+""),""""),"""")"),"23243")</f>
        <v>23243</v>
      </c>
      <c r="F4224" s="6" t="str">
        <f t="shared" si="3"/>
        <v>Product</v>
      </c>
      <c r="G4224" s="1" t="s">
        <v>1613</v>
      </c>
      <c r="H4224" s="6" t="str">
        <f>IFERROR(__xludf.DUMMYFUNCTION("IF(REGEXMATCH(LOWER(G4224), ""^(\?)+\s*(missing)?\s*(\?)*$""), """", PROPER(SUBSTITUTE(SUBSTITUTE(G4224, ""?"", """"), ""*"", """")))"),"Set Of Tea Coffee Sugar Tins Pantry")</f>
        <v>Set Of Tea Coffee Sugar Tins Pantry</v>
      </c>
      <c r="I4224" s="3">
        <v>1.0</v>
      </c>
      <c r="J4224" s="7">
        <v>40886.41875</v>
      </c>
      <c r="K4224" s="8" t="str">
        <f t="shared" si="4"/>
        <v>2011-12</v>
      </c>
      <c r="L4224" s="5">
        <v>10.79</v>
      </c>
      <c r="M4224" s="10"/>
      <c r="N4224" s="1" t="str">
        <f t="shared" si="5"/>
        <v>Guest</v>
      </c>
      <c r="O4224" s="1" t="s">
        <v>19</v>
      </c>
      <c r="P4224" s="9" t="str">
        <f t="shared" si="6"/>
        <v>UK</v>
      </c>
      <c r="Q4224" s="8">
        <f t="shared" si="7"/>
        <v>10.79</v>
      </c>
    </row>
    <row r="4225">
      <c r="A4225" s="1">
        <v>581492.0</v>
      </c>
      <c r="B4225" s="1" t="str">
        <f t="shared" si="1"/>
        <v>581492</v>
      </c>
      <c r="C4225" s="1" t="str">
        <f t="shared" si="2"/>
        <v>Sale</v>
      </c>
      <c r="D4225" s="1">
        <v>23245.0</v>
      </c>
      <c r="E4225" s="1" t="str">
        <f>IFERROR(__xludf.DUMMYFUNCTION("IF(LEN(D4225)&gt;4, IFERROR(REGEXEXTRACT(TO_TEXT(D4225),""\d+""),""""),"""")"),"23245")</f>
        <v>23245</v>
      </c>
      <c r="F4225" s="6" t="str">
        <f t="shared" si="3"/>
        <v>Product</v>
      </c>
      <c r="G4225" s="1" t="s">
        <v>1580</v>
      </c>
      <c r="H4225" s="6" t="str">
        <f>IFERROR(__xludf.DUMMYFUNCTION("IF(REGEXMATCH(LOWER(G4225), ""^(\?)+\s*(missing)?\s*(\?)*$""), """", PROPER(SUBSTITUTE(SUBSTITUTE(G4225, ""?"", """"), ""*"", """")))"),"Set Of 3 Regency Cake Tins")</f>
        <v>Set Of 3 Regency Cake Tins</v>
      </c>
      <c r="I4225" s="3">
        <v>7.0</v>
      </c>
      <c r="J4225" s="7">
        <v>40886.41875</v>
      </c>
      <c r="K4225" s="8" t="str">
        <f t="shared" si="4"/>
        <v>2011-12</v>
      </c>
      <c r="L4225" s="5">
        <v>10.79</v>
      </c>
      <c r="M4225" s="10"/>
      <c r="N4225" s="1" t="str">
        <f t="shared" si="5"/>
        <v>Guest</v>
      </c>
      <c r="O4225" s="1" t="s">
        <v>19</v>
      </c>
      <c r="P4225" s="9" t="str">
        <f t="shared" si="6"/>
        <v>UK</v>
      </c>
      <c r="Q4225" s="8">
        <f t="shared" si="7"/>
        <v>75.53</v>
      </c>
    </row>
    <row r="4226">
      <c r="A4226" s="1">
        <v>581492.0</v>
      </c>
      <c r="B4226" s="1" t="str">
        <f t="shared" si="1"/>
        <v>581492</v>
      </c>
      <c r="C4226" s="1" t="str">
        <f t="shared" si="2"/>
        <v>Sale</v>
      </c>
      <c r="D4226" s="1">
        <v>23247.0</v>
      </c>
      <c r="E4226" s="1" t="str">
        <f>IFERROR(__xludf.DUMMYFUNCTION("IF(LEN(D4226)&gt;4, IFERROR(REGEXEXTRACT(TO_TEXT(D4226),""\d+""),""""),"""")"),"23247")</f>
        <v>23247</v>
      </c>
      <c r="F4226" s="6" t="str">
        <f t="shared" si="3"/>
        <v>Product</v>
      </c>
      <c r="G4226" s="1" t="s">
        <v>2007</v>
      </c>
      <c r="H4226" s="6" t="str">
        <f>IFERROR(__xludf.DUMMYFUNCTION("IF(REGEXMATCH(LOWER(G4226), ""^(\?)+\s*(missing)?\s*(\?)*$""), """", PROPER(SUBSTITUTE(SUBSTITUTE(G4226, ""?"", """"), ""*"", """")))"),"Biscuit Tin 50'S Christmas")</f>
        <v>Biscuit Tin 50'S Christmas</v>
      </c>
      <c r="I4226" s="3">
        <v>3.0</v>
      </c>
      <c r="J4226" s="7">
        <v>40886.41875</v>
      </c>
      <c r="K4226" s="8" t="str">
        <f t="shared" si="4"/>
        <v>2011-12</v>
      </c>
      <c r="L4226" s="5">
        <v>5.79</v>
      </c>
      <c r="M4226" s="10"/>
      <c r="N4226" s="1" t="str">
        <f t="shared" si="5"/>
        <v>Guest</v>
      </c>
      <c r="O4226" s="1" t="s">
        <v>19</v>
      </c>
      <c r="P4226" s="9" t="str">
        <f t="shared" si="6"/>
        <v>UK</v>
      </c>
      <c r="Q4226" s="8">
        <f t="shared" si="7"/>
        <v>17.37</v>
      </c>
    </row>
    <row r="4227">
      <c r="A4227" s="1">
        <v>581492.0</v>
      </c>
      <c r="B4227" s="1" t="str">
        <f t="shared" si="1"/>
        <v>581492</v>
      </c>
      <c r="C4227" s="1" t="str">
        <f t="shared" si="2"/>
        <v>Sale</v>
      </c>
      <c r="D4227" s="1">
        <v>23264.0</v>
      </c>
      <c r="E4227" s="1" t="str">
        <f>IFERROR(__xludf.DUMMYFUNCTION("IF(LEN(D4227)&gt;4, IFERROR(REGEXEXTRACT(TO_TEXT(D4227),""\d+""),""""),"""")"),"23264")</f>
        <v>23264</v>
      </c>
      <c r="F4227" s="6" t="str">
        <f t="shared" si="3"/>
        <v>Product</v>
      </c>
      <c r="G4227" s="1" t="s">
        <v>2008</v>
      </c>
      <c r="H4227" s="6" t="str">
        <f>IFERROR(__xludf.DUMMYFUNCTION("IF(REGEXMATCH(LOWER(G4227), ""^(\?)+\s*(missing)?\s*(\?)*$""), """", PROPER(SUBSTITUTE(SUBSTITUTE(G4227, ""?"", """"), ""*"", """")))"),"Set Of 3 Wooden Sleigh Decorations")</f>
        <v>Set Of 3 Wooden Sleigh Decorations</v>
      </c>
      <c r="I4227" s="3">
        <v>3.0</v>
      </c>
      <c r="J4227" s="7">
        <v>40886.41875</v>
      </c>
      <c r="K4227" s="8" t="str">
        <f t="shared" si="4"/>
        <v>2011-12</v>
      </c>
      <c r="L4227" s="5">
        <v>2.46</v>
      </c>
      <c r="M4227" s="10"/>
      <c r="N4227" s="1" t="str">
        <f t="shared" si="5"/>
        <v>Guest</v>
      </c>
      <c r="O4227" s="1" t="s">
        <v>19</v>
      </c>
      <c r="P4227" s="9" t="str">
        <f t="shared" si="6"/>
        <v>UK</v>
      </c>
      <c r="Q4227" s="8">
        <f t="shared" si="7"/>
        <v>7.38</v>
      </c>
    </row>
    <row r="4228">
      <c r="A4228" s="1">
        <v>581492.0</v>
      </c>
      <c r="B4228" s="1" t="str">
        <f t="shared" si="1"/>
        <v>581492</v>
      </c>
      <c r="C4228" s="1" t="str">
        <f t="shared" si="2"/>
        <v>Sale</v>
      </c>
      <c r="D4228" s="1">
        <v>23265.0</v>
      </c>
      <c r="E4228" s="1" t="str">
        <f>IFERROR(__xludf.DUMMYFUNCTION("IF(LEN(D4228)&gt;4, IFERROR(REGEXEXTRACT(TO_TEXT(D4228),""\d+""),""""),"""")"),"23265")</f>
        <v>23265</v>
      </c>
      <c r="F4228" s="6" t="str">
        <f t="shared" si="3"/>
        <v>Product</v>
      </c>
      <c r="G4228" s="1" t="s">
        <v>2009</v>
      </c>
      <c r="H4228" s="6" t="str">
        <f>IFERROR(__xludf.DUMMYFUNCTION("IF(REGEXMATCH(LOWER(G4228), ""^(\?)+\s*(missing)?\s*(\?)*$""), """", PROPER(SUBSTITUTE(SUBSTITUTE(G4228, ""?"", """"), ""*"", """")))"),"Set Of 3 Wooden Tree Decorations")</f>
        <v>Set Of 3 Wooden Tree Decorations</v>
      </c>
      <c r="I4228" s="3">
        <v>3.0</v>
      </c>
      <c r="J4228" s="7">
        <v>40886.41875</v>
      </c>
      <c r="K4228" s="8" t="str">
        <f t="shared" si="4"/>
        <v>2011-12</v>
      </c>
      <c r="L4228" s="5">
        <v>2.46</v>
      </c>
      <c r="M4228" s="10"/>
      <c r="N4228" s="1" t="str">
        <f t="shared" si="5"/>
        <v>Guest</v>
      </c>
      <c r="O4228" s="1" t="s">
        <v>19</v>
      </c>
      <c r="P4228" s="9" t="str">
        <f t="shared" si="6"/>
        <v>UK</v>
      </c>
      <c r="Q4228" s="8">
        <f t="shared" si="7"/>
        <v>7.38</v>
      </c>
    </row>
    <row r="4229">
      <c r="A4229" s="1">
        <v>581492.0</v>
      </c>
      <c r="B4229" s="1" t="str">
        <f t="shared" si="1"/>
        <v>581492</v>
      </c>
      <c r="C4229" s="1" t="str">
        <f t="shared" si="2"/>
        <v>Sale</v>
      </c>
      <c r="D4229" s="1">
        <v>23266.0</v>
      </c>
      <c r="E4229" s="1" t="str">
        <f>IFERROR(__xludf.DUMMYFUNCTION("IF(LEN(D4229)&gt;4, IFERROR(REGEXEXTRACT(TO_TEXT(D4229),""\d+""),""""),"""")"),"23266")</f>
        <v>23266</v>
      </c>
      <c r="F4229" s="6" t="str">
        <f t="shared" si="3"/>
        <v>Product</v>
      </c>
      <c r="G4229" s="1" t="s">
        <v>2010</v>
      </c>
      <c r="H4229" s="6" t="str">
        <f>IFERROR(__xludf.DUMMYFUNCTION("IF(REGEXMATCH(LOWER(G4229), ""^(\?)+\s*(missing)?\s*(\?)*$""), """", PROPER(SUBSTITUTE(SUBSTITUTE(G4229, ""?"", """"), ""*"", """")))"),"Set Of 3 Wooden Stocking Decoration")</f>
        <v>Set Of 3 Wooden Stocking Decoration</v>
      </c>
      <c r="I4229" s="3">
        <v>2.0</v>
      </c>
      <c r="J4229" s="7">
        <v>40886.41875</v>
      </c>
      <c r="K4229" s="8" t="str">
        <f t="shared" si="4"/>
        <v>2011-12</v>
      </c>
      <c r="L4229" s="5">
        <v>2.46</v>
      </c>
      <c r="M4229" s="10"/>
      <c r="N4229" s="1" t="str">
        <f t="shared" si="5"/>
        <v>Guest</v>
      </c>
      <c r="O4229" s="1" t="s">
        <v>19</v>
      </c>
      <c r="P4229" s="9" t="str">
        <f t="shared" si="6"/>
        <v>UK</v>
      </c>
      <c r="Q4229" s="8">
        <f t="shared" si="7"/>
        <v>4.92</v>
      </c>
    </row>
    <row r="4230">
      <c r="A4230" s="1">
        <v>581492.0</v>
      </c>
      <c r="B4230" s="1" t="str">
        <f t="shared" si="1"/>
        <v>581492</v>
      </c>
      <c r="C4230" s="1" t="str">
        <f t="shared" si="2"/>
        <v>Sale</v>
      </c>
      <c r="D4230" s="1">
        <v>23274.0</v>
      </c>
      <c r="E4230" s="1" t="str">
        <f>IFERROR(__xludf.DUMMYFUNCTION("IF(LEN(D4230)&gt;4, IFERROR(REGEXEXTRACT(TO_TEXT(D4230),""\d+""),""""),"""")"),"23274")</f>
        <v>23274</v>
      </c>
      <c r="F4230" s="6" t="str">
        <f t="shared" si="3"/>
        <v>Product</v>
      </c>
      <c r="G4230" s="1" t="s">
        <v>2011</v>
      </c>
      <c r="H4230" s="6" t="str">
        <f>IFERROR(__xludf.DUMMYFUNCTION("IF(REGEXMATCH(LOWER(G4230), ""^(\?)+\s*(missing)?\s*(\?)*$""), """", PROPER(SUBSTITUTE(SUBSTITUTE(G4230, ""?"", """"), ""*"", """")))"),"Star T-Light Holder Willie Winkie")</f>
        <v>Star T-Light Holder Willie Winkie</v>
      </c>
      <c r="I4230" s="3">
        <v>3.0</v>
      </c>
      <c r="J4230" s="7">
        <v>40886.41875</v>
      </c>
      <c r="K4230" s="8" t="str">
        <f t="shared" si="4"/>
        <v>2011-12</v>
      </c>
      <c r="L4230" s="5">
        <v>3.29</v>
      </c>
      <c r="M4230" s="10"/>
      <c r="N4230" s="1" t="str">
        <f t="shared" si="5"/>
        <v>Guest</v>
      </c>
      <c r="O4230" s="1" t="s">
        <v>19</v>
      </c>
      <c r="P4230" s="9" t="str">
        <f t="shared" si="6"/>
        <v>UK</v>
      </c>
      <c r="Q4230" s="8">
        <f t="shared" si="7"/>
        <v>9.87</v>
      </c>
    </row>
    <row r="4231">
      <c r="A4231" s="1">
        <v>581492.0</v>
      </c>
      <c r="B4231" s="1" t="str">
        <f t="shared" si="1"/>
        <v>581492</v>
      </c>
      <c r="C4231" s="1" t="str">
        <f t="shared" si="2"/>
        <v>Sale</v>
      </c>
      <c r="D4231" s="1">
        <v>23275.0</v>
      </c>
      <c r="E4231" s="1" t="str">
        <f>IFERROR(__xludf.DUMMYFUNCTION("IF(LEN(D4231)&gt;4, IFERROR(REGEXEXTRACT(TO_TEXT(D4231),""\d+""),""""),"""")"),"23275")</f>
        <v>23275</v>
      </c>
      <c r="F4231" s="6" t="str">
        <f t="shared" si="3"/>
        <v>Product</v>
      </c>
      <c r="G4231" s="1" t="s">
        <v>1553</v>
      </c>
      <c r="H4231" s="6" t="str">
        <f>IFERROR(__xludf.DUMMYFUNCTION("IF(REGEXMATCH(LOWER(G4231), ""^(\?)+\s*(missing)?\s*(\?)*$""), """", PROPER(SUBSTITUTE(SUBSTITUTE(G4231, ""?"", """"), ""*"", """")))"),"Set Of 3 Hanging Owls Ollie Beak")</f>
        <v>Set Of 3 Hanging Owls Ollie Beak</v>
      </c>
      <c r="I4231" s="3">
        <v>2.0</v>
      </c>
      <c r="J4231" s="7">
        <v>40886.41875</v>
      </c>
      <c r="K4231" s="8" t="str">
        <f t="shared" si="4"/>
        <v>2011-12</v>
      </c>
      <c r="L4231" s="5">
        <v>2.46</v>
      </c>
      <c r="M4231" s="10"/>
      <c r="N4231" s="1" t="str">
        <f t="shared" si="5"/>
        <v>Guest</v>
      </c>
      <c r="O4231" s="1" t="s">
        <v>19</v>
      </c>
      <c r="P4231" s="9" t="str">
        <f t="shared" si="6"/>
        <v>UK</v>
      </c>
      <c r="Q4231" s="8">
        <f t="shared" si="7"/>
        <v>4.92</v>
      </c>
    </row>
    <row r="4232">
      <c r="A4232" s="1">
        <v>581492.0</v>
      </c>
      <c r="B4232" s="1" t="str">
        <f t="shared" si="1"/>
        <v>581492</v>
      </c>
      <c r="C4232" s="1" t="str">
        <f t="shared" si="2"/>
        <v>Sale</v>
      </c>
      <c r="D4232" s="1">
        <v>23280.0</v>
      </c>
      <c r="E4232" s="1" t="str">
        <f>IFERROR(__xludf.DUMMYFUNCTION("IF(LEN(D4232)&gt;4, IFERROR(REGEXEXTRACT(TO_TEXT(D4232),""\d+""),""""),"""")"),"23280")</f>
        <v>23280</v>
      </c>
      <c r="F4232" s="6" t="str">
        <f t="shared" si="3"/>
        <v>Product</v>
      </c>
      <c r="G4232" s="1" t="s">
        <v>1474</v>
      </c>
      <c r="H4232" s="6" t="str">
        <f>IFERROR(__xludf.DUMMYFUNCTION("IF(REGEXMATCH(LOWER(G4232), ""^(\?)+\s*(missing)?\s*(\?)*$""), """", PROPER(SUBSTITUTE(SUBSTITUTE(G4232, ""?"", """"), ""*"", """")))"),"Folding Butterfly Mirror Hot Pink")</f>
        <v>Folding Butterfly Mirror Hot Pink</v>
      </c>
      <c r="I4232" s="3">
        <v>2.0</v>
      </c>
      <c r="J4232" s="7">
        <v>40886.41875</v>
      </c>
      <c r="K4232" s="8" t="str">
        <f t="shared" si="4"/>
        <v>2011-12</v>
      </c>
      <c r="L4232" s="5">
        <v>2.46</v>
      </c>
      <c r="M4232" s="10"/>
      <c r="N4232" s="1" t="str">
        <f t="shared" si="5"/>
        <v>Guest</v>
      </c>
      <c r="O4232" s="1" t="s">
        <v>19</v>
      </c>
      <c r="P4232" s="9" t="str">
        <f t="shared" si="6"/>
        <v>UK</v>
      </c>
      <c r="Q4232" s="8">
        <f t="shared" si="7"/>
        <v>4.92</v>
      </c>
    </row>
    <row r="4233">
      <c r="A4233" s="1">
        <v>581492.0</v>
      </c>
      <c r="B4233" s="1" t="str">
        <f t="shared" si="1"/>
        <v>581492</v>
      </c>
      <c r="C4233" s="1" t="str">
        <f t="shared" si="2"/>
        <v>Sale</v>
      </c>
      <c r="D4233" s="1">
        <v>23284.0</v>
      </c>
      <c r="E4233" s="1" t="str">
        <f>IFERROR(__xludf.DUMMYFUNCTION("IF(LEN(D4233)&gt;4, IFERROR(REGEXEXTRACT(TO_TEXT(D4233),""\d+""),""""),"""")"),"23284")</f>
        <v>23284</v>
      </c>
      <c r="F4233" s="6" t="str">
        <f t="shared" si="3"/>
        <v>Product</v>
      </c>
      <c r="G4233" s="1" t="s">
        <v>2012</v>
      </c>
      <c r="H4233" s="6" t="str">
        <f>IFERROR(__xludf.DUMMYFUNCTION("IF(REGEXMATCH(LOWER(G4233), ""^(\?)+\s*(missing)?\s*(\?)*$""), """", PROPER(SUBSTITUTE(SUBSTITUTE(G4233, ""?"", """"), ""*"", """")))"),"Doormat Keep Calm And Come In")</f>
        <v>Doormat Keep Calm And Come In</v>
      </c>
      <c r="I4233" s="3">
        <v>1.0</v>
      </c>
      <c r="J4233" s="7">
        <v>40886.41875</v>
      </c>
      <c r="K4233" s="8" t="str">
        <f t="shared" si="4"/>
        <v>2011-12</v>
      </c>
      <c r="L4233" s="5">
        <v>15.79</v>
      </c>
      <c r="M4233" s="10"/>
      <c r="N4233" s="1" t="str">
        <f t="shared" si="5"/>
        <v>Guest</v>
      </c>
      <c r="O4233" s="1" t="s">
        <v>19</v>
      </c>
      <c r="P4233" s="9" t="str">
        <f t="shared" si="6"/>
        <v>UK</v>
      </c>
      <c r="Q4233" s="8">
        <f t="shared" si="7"/>
        <v>15.79</v>
      </c>
    </row>
    <row r="4234">
      <c r="A4234" s="1">
        <v>581492.0</v>
      </c>
      <c r="B4234" s="1" t="str">
        <f t="shared" si="1"/>
        <v>581492</v>
      </c>
      <c r="C4234" s="1" t="str">
        <f t="shared" si="2"/>
        <v>Sale</v>
      </c>
      <c r="D4234" s="1">
        <v>23285.0</v>
      </c>
      <c r="E4234" s="1" t="str">
        <f>IFERROR(__xludf.DUMMYFUNCTION("IF(LEN(D4234)&gt;4, IFERROR(REGEXEXTRACT(TO_TEXT(D4234),""\d+""),""""),"""")"),"23285")</f>
        <v>23285</v>
      </c>
      <c r="F4234" s="6" t="str">
        <f t="shared" si="3"/>
        <v>Product</v>
      </c>
      <c r="G4234" s="1" t="s">
        <v>2013</v>
      </c>
      <c r="H4234" s="6" t="str">
        <f>IFERROR(__xludf.DUMMYFUNCTION("IF(REGEXMATCH(LOWER(G4234), ""^(\?)+\s*(missing)?\s*(\?)*$""), """", PROPER(SUBSTITUTE(SUBSTITUTE(G4234, ""?"", """"), ""*"", """")))"),"Pink Vintage Spot Beaker")</f>
        <v>Pink Vintage Spot Beaker</v>
      </c>
      <c r="I4234" s="3">
        <v>1.0</v>
      </c>
      <c r="J4234" s="7">
        <v>40886.41875</v>
      </c>
      <c r="K4234" s="8" t="str">
        <f t="shared" si="4"/>
        <v>2011-12</v>
      </c>
      <c r="L4234" s="5">
        <v>1.63</v>
      </c>
      <c r="M4234" s="10"/>
      <c r="N4234" s="1" t="str">
        <f t="shared" si="5"/>
        <v>Guest</v>
      </c>
      <c r="O4234" s="1" t="s">
        <v>19</v>
      </c>
      <c r="P4234" s="9" t="str">
        <f t="shared" si="6"/>
        <v>UK</v>
      </c>
      <c r="Q4234" s="8">
        <f t="shared" si="7"/>
        <v>1.63</v>
      </c>
    </row>
    <row r="4235">
      <c r="A4235" s="1">
        <v>581492.0</v>
      </c>
      <c r="B4235" s="1" t="str">
        <f t="shared" si="1"/>
        <v>581492</v>
      </c>
      <c r="C4235" s="1" t="str">
        <f t="shared" si="2"/>
        <v>Sale</v>
      </c>
      <c r="D4235" s="1">
        <v>23287.0</v>
      </c>
      <c r="E4235" s="1" t="str">
        <f>IFERROR(__xludf.DUMMYFUNCTION("IF(LEN(D4235)&gt;4, IFERROR(REGEXEXTRACT(TO_TEXT(D4235),""\d+""),""""),"""")"),"23287")</f>
        <v>23287</v>
      </c>
      <c r="F4235" s="6" t="str">
        <f t="shared" si="3"/>
        <v>Product</v>
      </c>
      <c r="G4235" s="1" t="s">
        <v>2014</v>
      </c>
      <c r="H4235" s="6" t="str">
        <f>IFERROR(__xludf.DUMMYFUNCTION("IF(REGEXMATCH(LOWER(G4235), ""^(\?)+\s*(missing)?\s*(\?)*$""), """", PROPER(SUBSTITUTE(SUBSTITUTE(G4235, ""?"", """"), ""*"", """")))"),"Red Vintage Spot Beaker")</f>
        <v>Red Vintage Spot Beaker</v>
      </c>
      <c r="I4235" s="3">
        <v>1.0</v>
      </c>
      <c r="J4235" s="7">
        <v>40886.41875</v>
      </c>
      <c r="K4235" s="8" t="str">
        <f t="shared" si="4"/>
        <v>2011-12</v>
      </c>
      <c r="L4235" s="5">
        <v>1.63</v>
      </c>
      <c r="M4235" s="10"/>
      <c r="N4235" s="1" t="str">
        <f t="shared" si="5"/>
        <v>Guest</v>
      </c>
      <c r="O4235" s="1" t="s">
        <v>19</v>
      </c>
      <c r="P4235" s="9" t="str">
        <f t="shared" si="6"/>
        <v>UK</v>
      </c>
      <c r="Q4235" s="8">
        <f t="shared" si="7"/>
        <v>1.63</v>
      </c>
    </row>
    <row r="4236">
      <c r="A4236" s="1">
        <v>581492.0</v>
      </c>
      <c r="B4236" s="1" t="str">
        <f t="shared" si="1"/>
        <v>581492</v>
      </c>
      <c r="C4236" s="1" t="str">
        <f t="shared" si="2"/>
        <v>Sale</v>
      </c>
      <c r="D4236" s="1">
        <v>23290.0</v>
      </c>
      <c r="E4236" s="1" t="str">
        <f>IFERROR(__xludf.DUMMYFUNCTION("IF(LEN(D4236)&gt;4, IFERROR(REGEXEXTRACT(TO_TEXT(D4236),""\d+""),""""),"""")"),"23290")</f>
        <v>23290</v>
      </c>
      <c r="F4236" s="6" t="str">
        <f t="shared" si="3"/>
        <v>Product</v>
      </c>
      <c r="G4236" s="1" t="s">
        <v>2015</v>
      </c>
      <c r="H4236" s="6" t="str">
        <f>IFERROR(__xludf.DUMMYFUNCTION("IF(REGEXMATCH(LOWER(G4236), ""^(\?)+\s*(missing)?\s*(\?)*$""), """", PROPER(SUBSTITUTE(SUBSTITUTE(G4236, ""?"", """"), ""*"", """")))"),"Spaceboy Childrens Bowl")</f>
        <v>Spaceboy Childrens Bowl</v>
      </c>
      <c r="I4236" s="3">
        <v>1.0</v>
      </c>
      <c r="J4236" s="7">
        <v>40886.41875</v>
      </c>
      <c r="K4236" s="8" t="str">
        <f t="shared" si="4"/>
        <v>2011-12</v>
      </c>
      <c r="L4236" s="5">
        <v>2.46</v>
      </c>
      <c r="M4236" s="10"/>
      <c r="N4236" s="1" t="str">
        <f t="shared" si="5"/>
        <v>Guest</v>
      </c>
      <c r="O4236" s="1" t="s">
        <v>19</v>
      </c>
      <c r="P4236" s="9" t="str">
        <f t="shared" si="6"/>
        <v>UK</v>
      </c>
      <c r="Q4236" s="8">
        <f t="shared" si="7"/>
        <v>2.46</v>
      </c>
    </row>
    <row r="4237">
      <c r="A4237" s="1">
        <v>581492.0</v>
      </c>
      <c r="B4237" s="1" t="str">
        <f t="shared" si="1"/>
        <v>581492</v>
      </c>
      <c r="C4237" s="1" t="str">
        <f t="shared" si="2"/>
        <v>Sale</v>
      </c>
      <c r="D4237" s="1">
        <v>23292.0</v>
      </c>
      <c r="E4237" s="1" t="str">
        <f>IFERROR(__xludf.DUMMYFUNCTION("IF(LEN(D4237)&gt;4, IFERROR(REGEXEXTRACT(TO_TEXT(D4237),""\d+""),""""),"""")"),"23292")</f>
        <v>23292</v>
      </c>
      <c r="F4237" s="6" t="str">
        <f t="shared" si="3"/>
        <v>Product</v>
      </c>
      <c r="G4237" s="1" t="s">
        <v>2016</v>
      </c>
      <c r="H4237" s="6" t="str">
        <f>IFERROR(__xludf.DUMMYFUNCTION("IF(REGEXMATCH(LOWER(G4237), ""^(\?)+\s*(missing)?\s*(\?)*$""), """", PROPER(SUBSTITUTE(SUBSTITUTE(G4237, ""?"", """"), ""*"", """")))"),"Spaceboy Childrens Cup")</f>
        <v>Spaceboy Childrens Cup</v>
      </c>
      <c r="I4237" s="3">
        <v>1.0</v>
      </c>
      <c r="J4237" s="7">
        <v>40886.41875</v>
      </c>
      <c r="K4237" s="8" t="str">
        <f t="shared" si="4"/>
        <v>2011-12</v>
      </c>
      <c r="L4237" s="5">
        <v>2.46</v>
      </c>
      <c r="M4237" s="10"/>
      <c r="N4237" s="1" t="str">
        <f t="shared" si="5"/>
        <v>Guest</v>
      </c>
      <c r="O4237" s="1" t="s">
        <v>19</v>
      </c>
      <c r="P4237" s="9" t="str">
        <f t="shared" si="6"/>
        <v>UK</v>
      </c>
      <c r="Q4237" s="8">
        <f t="shared" si="7"/>
        <v>2.46</v>
      </c>
    </row>
    <row r="4238">
      <c r="A4238" s="1">
        <v>581492.0</v>
      </c>
      <c r="B4238" s="1" t="str">
        <f t="shared" si="1"/>
        <v>581492</v>
      </c>
      <c r="C4238" s="1" t="str">
        <f t="shared" si="2"/>
        <v>Sale</v>
      </c>
      <c r="D4238" s="1">
        <v>23293.0</v>
      </c>
      <c r="E4238" s="1" t="str">
        <f>IFERROR(__xludf.DUMMYFUNCTION("IF(LEN(D4238)&gt;4, IFERROR(REGEXEXTRACT(TO_TEXT(D4238),""\d+""),""""),"""")"),"23293")</f>
        <v>23293</v>
      </c>
      <c r="F4238" s="6" t="str">
        <f t="shared" si="3"/>
        <v>Product</v>
      </c>
      <c r="G4238" s="1" t="s">
        <v>1444</v>
      </c>
      <c r="H4238" s="6" t="str">
        <f>IFERROR(__xludf.DUMMYFUNCTION("IF(REGEXMATCH(LOWER(G4238), ""^(\?)+\s*(missing)?\s*(\?)*$""), """", PROPER(SUBSTITUTE(SUBSTITUTE(G4238, ""?"", """"), ""*"", """")))"),"Set Of 12 Fairy Cake Baking Cases")</f>
        <v>Set Of 12 Fairy Cake Baking Cases</v>
      </c>
      <c r="I4238" s="3">
        <v>3.0</v>
      </c>
      <c r="J4238" s="7">
        <v>40886.41875</v>
      </c>
      <c r="K4238" s="8" t="str">
        <f t="shared" si="4"/>
        <v>2011-12</v>
      </c>
      <c r="L4238" s="5">
        <v>2.46</v>
      </c>
      <c r="M4238" s="10"/>
      <c r="N4238" s="1" t="str">
        <f t="shared" si="5"/>
        <v>Guest</v>
      </c>
      <c r="O4238" s="1" t="s">
        <v>19</v>
      </c>
      <c r="P4238" s="9" t="str">
        <f t="shared" si="6"/>
        <v>UK</v>
      </c>
      <c r="Q4238" s="8">
        <f t="shared" si="7"/>
        <v>7.38</v>
      </c>
    </row>
    <row r="4239">
      <c r="A4239" s="1">
        <v>581492.0</v>
      </c>
      <c r="B4239" s="1" t="str">
        <f t="shared" si="1"/>
        <v>581492</v>
      </c>
      <c r="C4239" s="1" t="str">
        <f t="shared" si="2"/>
        <v>Sale</v>
      </c>
      <c r="D4239" s="1">
        <v>23294.0</v>
      </c>
      <c r="E4239" s="1" t="str">
        <f>IFERROR(__xludf.DUMMYFUNCTION("IF(LEN(D4239)&gt;4, IFERROR(REGEXEXTRACT(TO_TEXT(D4239),""\d+""),""""),"""")"),"23294")</f>
        <v>23294</v>
      </c>
      <c r="F4239" s="6" t="str">
        <f t="shared" si="3"/>
        <v>Product</v>
      </c>
      <c r="G4239" s="1" t="s">
        <v>2017</v>
      </c>
      <c r="H4239" s="6" t="str">
        <f>IFERROR(__xludf.DUMMYFUNCTION("IF(REGEXMATCH(LOWER(G4239), ""^(\?)+\s*(missing)?\s*(\?)*$""), """", PROPER(SUBSTITUTE(SUBSTITUTE(G4239, ""?"", """"), ""*"", """")))"),"Set Of 6 Snack Loaf Baking Cases")</f>
        <v>Set Of 6 Snack Loaf Baking Cases</v>
      </c>
      <c r="I4239" s="3">
        <v>1.0</v>
      </c>
      <c r="J4239" s="7">
        <v>40886.41875</v>
      </c>
      <c r="K4239" s="8" t="str">
        <f t="shared" si="4"/>
        <v>2011-12</v>
      </c>
      <c r="L4239" s="5">
        <v>2.46</v>
      </c>
      <c r="M4239" s="10"/>
      <c r="N4239" s="1" t="str">
        <f t="shared" si="5"/>
        <v>Guest</v>
      </c>
      <c r="O4239" s="1" t="s">
        <v>19</v>
      </c>
      <c r="P4239" s="9" t="str">
        <f t="shared" si="6"/>
        <v>UK</v>
      </c>
      <c r="Q4239" s="8">
        <f t="shared" si="7"/>
        <v>2.46</v>
      </c>
    </row>
    <row r="4240">
      <c r="A4240" s="1">
        <v>581492.0</v>
      </c>
      <c r="B4240" s="1" t="str">
        <f t="shared" si="1"/>
        <v>581492</v>
      </c>
      <c r="C4240" s="1" t="str">
        <f t="shared" si="2"/>
        <v>Sale</v>
      </c>
      <c r="D4240" s="1">
        <v>23295.0</v>
      </c>
      <c r="E4240" s="1" t="str">
        <f>IFERROR(__xludf.DUMMYFUNCTION("IF(LEN(D4240)&gt;4, IFERROR(REGEXEXTRACT(TO_TEXT(D4240),""\d+""),""""),"""")"),"23295")</f>
        <v>23295</v>
      </c>
      <c r="F4240" s="6" t="str">
        <f t="shared" si="3"/>
        <v>Product</v>
      </c>
      <c r="G4240" s="1" t="s">
        <v>1574</v>
      </c>
      <c r="H4240" s="6" t="str">
        <f>IFERROR(__xludf.DUMMYFUNCTION("IF(REGEXMATCH(LOWER(G4240), ""^(\?)+\s*(missing)?\s*(\?)*$""), """", PROPER(SUBSTITUTE(SUBSTITUTE(G4240, ""?"", """"), ""*"", """")))"),"Set Of 12 Mini Loaf Baking Cases")</f>
        <v>Set Of 12 Mini Loaf Baking Cases</v>
      </c>
      <c r="I4240" s="3">
        <v>4.0</v>
      </c>
      <c r="J4240" s="7">
        <v>40886.41875</v>
      </c>
      <c r="K4240" s="8" t="str">
        <f t="shared" si="4"/>
        <v>2011-12</v>
      </c>
      <c r="L4240" s="5">
        <v>2.46</v>
      </c>
      <c r="M4240" s="10"/>
      <c r="N4240" s="1" t="str">
        <f t="shared" si="5"/>
        <v>Guest</v>
      </c>
      <c r="O4240" s="1" t="s">
        <v>19</v>
      </c>
      <c r="P4240" s="9" t="str">
        <f t="shared" si="6"/>
        <v>UK</v>
      </c>
      <c r="Q4240" s="8">
        <f t="shared" si="7"/>
        <v>9.84</v>
      </c>
    </row>
    <row r="4241">
      <c r="A4241" s="1">
        <v>581492.0</v>
      </c>
      <c r="B4241" s="1" t="str">
        <f t="shared" si="1"/>
        <v>581492</v>
      </c>
      <c r="C4241" s="1" t="str">
        <f t="shared" si="2"/>
        <v>Sale</v>
      </c>
      <c r="D4241" s="1">
        <v>23298.0</v>
      </c>
      <c r="E4241" s="1" t="str">
        <f>IFERROR(__xludf.DUMMYFUNCTION("IF(LEN(D4241)&gt;4, IFERROR(REGEXEXTRACT(TO_TEXT(D4241),""\d+""),""""),"""")"),"23298")</f>
        <v>23298</v>
      </c>
      <c r="F4241" s="6" t="str">
        <f t="shared" si="3"/>
        <v>Product</v>
      </c>
      <c r="G4241" s="1" t="s">
        <v>1558</v>
      </c>
      <c r="H4241" s="6" t="str">
        <f>IFERROR(__xludf.DUMMYFUNCTION("IF(REGEXMATCH(LOWER(G4241), ""^(\?)+\s*(missing)?\s*(\?)*$""), """", PROPER(SUBSTITUTE(SUBSTITUTE(G4241, ""?"", """"), ""*"", """")))"),"Spotty Bunting")</f>
        <v>Spotty Bunting</v>
      </c>
      <c r="I4241" s="3">
        <v>2.0</v>
      </c>
      <c r="J4241" s="7">
        <v>40886.41875</v>
      </c>
      <c r="K4241" s="8" t="str">
        <f t="shared" si="4"/>
        <v>2011-12</v>
      </c>
      <c r="L4241" s="5">
        <v>10.79</v>
      </c>
      <c r="M4241" s="10"/>
      <c r="N4241" s="1" t="str">
        <f t="shared" si="5"/>
        <v>Guest</v>
      </c>
      <c r="O4241" s="1" t="s">
        <v>19</v>
      </c>
      <c r="P4241" s="9" t="str">
        <f t="shared" si="6"/>
        <v>UK</v>
      </c>
      <c r="Q4241" s="8">
        <f t="shared" si="7"/>
        <v>21.58</v>
      </c>
    </row>
    <row r="4242">
      <c r="A4242" s="1">
        <v>581492.0</v>
      </c>
      <c r="B4242" s="1" t="str">
        <f t="shared" si="1"/>
        <v>581492</v>
      </c>
      <c r="C4242" s="1" t="str">
        <f t="shared" si="2"/>
        <v>Sale</v>
      </c>
      <c r="D4242" s="1">
        <v>23299.0</v>
      </c>
      <c r="E4242" s="1" t="str">
        <f>IFERROR(__xludf.DUMMYFUNCTION("IF(LEN(D4242)&gt;4, IFERROR(REGEXEXTRACT(TO_TEXT(D4242),""\d+""),""""),"""")"),"23299")</f>
        <v>23299</v>
      </c>
      <c r="F4242" s="6" t="str">
        <f t="shared" si="3"/>
        <v>Product</v>
      </c>
      <c r="G4242" s="1" t="s">
        <v>2018</v>
      </c>
      <c r="H4242" s="6" t="str">
        <f>IFERROR(__xludf.DUMMYFUNCTION("IF(REGEXMATCH(LOWER(G4242), ""^(\?)+\s*(missing)?\s*(\?)*$""), """", PROPER(SUBSTITUTE(SUBSTITUTE(G4242, ""?"", """"), ""*"", """")))"),"Food Cover With Beads Set 2")</f>
        <v>Food Cover With Beads Set 2</v>
      </c>
      <c r="I4242" s="3">
        <v>1.0</v>
      </c>
      <c r="J4242" s="7">
        <v>40886.41875</v>
      </c>
      <c r="K4242" s="8" t="str">
        <f t="shared" si="4"/>
        <v>2011-12</v>
      </c>
      <c r="L4242" s="5">
        <v>7.46</v>
      </c>
      <c r="M4242" s="10"/>
      <c r="N4242" s="1" t="str">
        <f t="shared" si="5"/>
        <v>Guest</v>
      </c>
      <c r="O4242" s="1" t="s">
        <v>19</v>
      </c>
      <c r="P4242" s="9" t="str">
        <f t="shared" si="6"/>
        <v>UK</v>
      </c>
      <c r="Q4242" s="8">
        <f t="shared" si="7"/>
        <v>7.46</v>
      </c>
    </row>
    <row r="4243">
      <c r="A4243" s="1">
        <v>581492.0</v>
      </c>
      <c r="B4243" s="1" t="str">
        <f t="shared" si="1"/>
        <v>581492</v>
      </c>
      <c r="C4243" s="1" t="str">
        <f t="shared" si="2"/>
        <v>Sale</v>
      </c>
      <c r="D4243" s="1">
        <v>23300.0</v>
      </c>
      <c r="E4243" s="1" t="str">
        <f>IFERROR(__xludf.DUMMYFUNCTION("IF(LEN(D4243)&gt;4, IFERROR(REGEXEXTRACT(TO_TEXT(D4243),""\d+""),""""),"""")"),"23300")</f>
        <v>23300</v>
      </c>
      <c r="F4243" s="6" t="str">
        <f t="shared" si="3"/>
        <v>Product</v>
      </c>
      <c r="G4243" s="1" t="s">
        <v>1563</v>
      </c>
      <c r="H4243" s="6" t="str">
        <f>IFERROR(__xludf.DUMMYFUNCTION("IF(REGEXMATCH(LOWER(G4243), ""^(\?)+\s*(missing)?\s*(\?)*$""), """", PROPER(SUBSTITUTE(SUBSTITUTE(G4243, ""?"", """"), ""*"", """")))"),"Gardeners Kneeling Pad Cup Of Tea")</f>
        <v>Gardeners Kneeling Pad Cup Of Tea</v>
      </c>
      <c r="I4243" s="3">
        <v>3.0</v>
      </c>
      <c r="J4243" s="7">
        <v>40886.41875</v>
      </c>
      <c r="K4243" s="8" t="str">
        <f t="shared" si="4"/>
        <v>2011-12</v>
      </c>
      <c r="L4243" s="5">
        <v>3.29</v>
      </c>
      <c r="M4243" s="10"/>
      <c r="N4243" s="1" t="str">
        <f t="shared" si="5"/>
        <v>Guest</v>
      </c>
      <c r="O4243" s="1" t="s">
        <v>19</v>
      </c>
      <c r="P4243" s="9" t="str">
        <f t="shared" si="6"/>
        <v>UK</v>
      </c>
      <c r="Q4243" s="8">
        <f t="shared" si="7"/>
        <v>9.87</v>
      </c>
    </row>
    <row r="4244">
      <c r="A4244" s="1">
        <v>581492.0</v>
      </c>
      <c r="B4244" s="1" t="str">
        <f t="shared" si="1"/>
        <v>581492</v>
      </c>
      <c r="C4244" s="1" t="str">
        <f t="shared" si="2"/>
        <v>Sale</v>
      </c>
      <c r="D4244" s="1">
        <v>23301.0</v>
      </c>
      <c r="E4244" s="1" t="str">
        <f>IFERROR(__xludf.DUMMYFUNCTION("IF(LEN(D4244)&gt;4, IFERROR(REGEXEXTRACT(TO_TEXT(D4244),""\d+""),""""),"""")"),"23301")</f>
        <v>23301</v>
      </c>
      <c r="F4244" s="6" t="str">
        <f t="shared" si="3"/>
        <v>Product</v>
      </c>
      <c r="G4244" s="1" t="s">
        <v>1542</v>
      </c>
      <c r="H4244" s="6" t="str">
        <f>IFERROR(__xludf.DUMMYFUNCTION("IF(REGEXMATCH(LOWER(G4244), ""^(\?)+\s*(missing)?\s*(\?)*$""), """", PROPER(SUBSTITUTE(SUBSTITUTE(G4244, ""?"", """"), ""*"", """")))"),"Gardeners Kneeling Pad Keep Calm")</f>
        <v>Gardeners Kneeling Pad Keep Calm</v>
      </c>
      <c r="I4244" s="3">
        <v>6.0</v>
      </c>
      <c r="J4244" s="7">
        <v>40886.41875</v>
      </c>
      <c r="K4244" s="8" t="str">
        <f t="shared" si="4"/>
        <v>2011-12</v>
      </c>
      <c r="L4244" s="5">
        <v>3.29</v>
      </c>
      <c r="M4244" s="10"/>
      <c r="N4244" s="1" t="str">
        <f t="shared" si="5"/>
        <v>Guest</v>
      </c>
      <c r="O4244" s="1" t="s">
        <v>19</v>
      </c>
      <c r="P4244" s="9" t="str">
        <f t="shared" si="6"/>
        <v>UK</v>
      </c>
      <c r="Q4244" s="8">
        <f t="shared" si="7"/>
        <v>19.74</v>
      </c>
    </row>
    <row r="4245">
      <c r="A4245" s="1">
        <v>581492.0</v>
      </c>
      <c r="B4245" s="1" t="str">
        <f t="shared" si="1"/>
        <v>581492</v>
      </c>
      <c r="C4245" s="1" t="str">
        <f t="shared" si="2"/>
        <v>Sale</v>
      </c>
      <c r="D4245" s="1">
        <v>23307.0</v>
      </c>
      <c r="E4245" s="1" t="str">
        <f>IFERROR(__xludf.DUMMYFUNCTION("IF(LEN(D4245)&gt;4, IFERROR(REGEXEXTRACT(TO_TEXT(D4245),""\d+""),""""),"""")"),"23307")</f>
        <v>23307</v>
      </c>
      <c r="F4245" s="6" t="str">
        <f t="shared" si="3"/>
        <v>Product</v>
      </c>
      <c r="G4245" s="1" t="s">
        <v>2019</v>
      </c>
      <c r="H4245" s="6" t="str">
        <f>IFERROR(__xludf.DUMMYFUNCTION("IF(REGEXMATCH(LOWER(G4245), ""^(\?)+\s*(missing)?\s*(\?)*$""), """", PROPER(SUBSTITUTE(SUBSTITUTE(G4245, ""?"", """"), ""*"", """")))"),"Set Of 60 Pantry Design Cake Cases")</f>
        <v>Set Of 60 Pantry Design Cake Cases</v>
      </c>
      <c r="I4245" s="3">
        <v>7.0</v>
      </c>
      <c r="J4245" s="7">
        <v>40886.41875</v>
      </c>
      <c r="K4245" s="8" t="str">
        <f t="shared" si="4"/>
        <v>2011-12</v>
      </c>
      <c r="L4245" s="5">
        <v>1.25</v>
      </c>
      <c r="M4245" s="10"/>
      <c r="N4245" s="1" t="str">
        <f t="shared" si="5"/>
        <v>Guest</v>
      </c>
      <c r="O4245" s="1" t="s">
        <v>19</v>
      </c>
      <c r="P4245" s="9" t="str">
        <f t="shared" si="6"/>
        <v>UK</v>
      </c>
      <c r="Q4245" s="8">
        <f t="shared" si="7"/>
        <v>8.75</v>
      </c>
    </row>
    <row r="4246">
      <c r="A4246" s="1">
        <v>581492.0</v>
      </c>
      <c r="B4246" s="1" t="str">
        <f t="shared" si="1"/>
        <v>581492</v>
      </c>
      <c r="C4246" s="1" t="str">
        <f t="shared" si="2"/>
        <v>Sale</v>
      </c>
      <c r="D4246" s="1">
        <v>23308.0</v>
      </c>
      <c r="E4246" s="1" t="str">
        <f>IFERROR(__xludf.DUMMYFUNCTION("IF(LEN(D4246)&gt;4, IFERROR(REGEXEXTRACT(TO_TEXT(D4246),""\d+""),""""),"""")"),"23308")</f>
        <v>23308</v>
      </c>
      <c r="F4246" s="6" t="str">
        <f t="shared" si="3"/>
        <v>Product</v>
      </c>
      <c r="G4246" s="1" t="s">
        <v>2020</v>
      </c>
      <c r="H4246" s="6" t="str">
        <f>IFERROR(__xludf.DUMMYFUNCTION("IF(REGEXMATCH(LOWER(G4246), ""^(\?)+\s*(missing)?\s*(\?)*$""), """", PROPER(SUBSTITUTE(SUBSTITUTE(G4246, ""?"", """"), ""*"", """")))"),"Set Of 60 Vintage Leaf Cake Cases")</f>
        <v>Set Of 60 Vintage Leaf Cake Cases</v>
      </c>
      <c r="I4246" s="3">
        <v>1.0</v>
      </c>
      <c r="J4246" s="7">
        <v>40886.41875</v>
      </c>
      <c r="K4246" s="8" t="str">
        <f t="shared" si="4"/>
        <v>2011-12</v>
      </c>
      <c r="L4246" s="5">
        <v>1.25</v>
      </c>
      <c r="M4246" s="10"/>
      <c r="N4246" s="1" t="str">
        <f t="shared" si="5"/>
        <v>Guest</v>
      </c>
      <c r="O4246" s="1" t="s">
        <v>19</v>
      </c>
      <c r="P4246" s="9" t="str">
        <f t="shared" si="6"/>
        <v>UK</v>
      </c>
      <c r="Q4246" s="8">
        <f t="shared" si="7"/>
        <v>1.25</v>
      </c>
    </row>
    <row r="4247">
      <c r="A4247" s="1">
        <v>581492.0</v>
      </c>
      <c r="B4247" s="1" t="str">
        <f t="shared" si="1"/>
        <v>581492</v>
      </c>
      <c r="C4247" s="1" t="str">
        <f t="shared" si="2"/>
        <v>Sale</v>
      </c>
      <c r="D4247" s="1">
        <v>23309.0</v>
      </c>
      <c r="E4247" s="1" t="str">
        <f>IFERROR(__xludf.DUMMYFUNCTION("IF(LEN(D4247)&gt;4, IFERROR(REGEXEXTRACT(TO_TEXT(D4247),""\d+""),""""),"""")"),"23309")</f>
        <v>23309</v>
      </c>
      <c r="F4247" s="6" t="str">
        <f t="shared" si="3"/>
        <v>Product</v>
      </c>
      <c r="G4247" s="1" t="s">
        <v>2021</v>
      </c>
      <c r="H4247" s="6" t="str">
        <f>IFERROR(__xludf.DUMMYFUNCTION("IF(REGEXMATCH(LOWER(G4247), ""^(\?)+\s*(missing)?\s*(\?)*$""), """", PROPER(SUBSTITUTE(SUBSTITUTE(G4247, ""?"", """"), ""*"", """")))"),"Set Of 60 I Love London Cake Cases")</f>
        <v>Set Of 60 I Love London Cake Cases</v>
      </c>
      <c r="I4247" s="3">
        <v>2.0</v>
      </c>
      <c r="J4247" s="7">
        <v>40886.41875</v>
      </c>
      <c r="K4247" s="8" t="str">
        <f t="shared" si="4"/>
        <v>2011-12</v>
      </c>
      <c r="L4247" s="5">
        <v>1.25</v>
      </c>
      <c r="M4247" s="10"/>
      <c r="N4247" s="1" t="str">
        <f t="shared" si="5"/>
        <v>Guest</v>
      </c>
      <c r="O4247" s="1" t="s">
        <v>19</v>
      </c>
      <c r="P4247" s="9" t="str">
        <f t="shared" si="6"/>
        <v>UK</v>
      </c>
      <c r="Q4247" s="8">
        <f t="shared" si="7"/>
        <v>2.5</v>
      </c>
    </row>
    <row r="4248">
      <c r="A4248" s="1">
        <v>581492.0</v>
      </c>
      <c r="B4248" s="1" t="str">
        <f t="shared" si="1"/>
        <v>581492</v>
      </c>
      <c r="C4248" s="1" t="str">
        <f t="shared" si="2"/>
        <v>Sale</v>
      </c>
      <c r="D4248" s="1">
        <v>23310.0</v>
      </c>
      <c r="E4248" s="1" t="str">
        <f>IFERROR(__xludf.DUMMYFUNCTION("IF(LEN(D4248)&gt;4, IFERROR(REGEXEXTRACT(TO_TEXT(D4248),""\d+""),""""),"""")"),"23310")</f>
        <v>23310</v>
      </c>
      <c r="F4248" s="6" t="str">
        <f t="shared" si="3"/>
        <v>Product</v>
      </c>
      <c r="G4248" s="1" t="s">
        <v>1445</v>
      </c>
      <c r="H4248" s="6" t="str">
        <f>IFERROR(__xludf.DUMMYFUNCTION("IF(REGEXMATCH(LOWER(G4248), ""^(\?)+\s*(missing)?\s*(\?)*$""), """", PROPER(SUBSTITUTE(SUBSTITUTE(G4248, ""?"", """"), ""*"", """")))"),"Bubblegum Ring Assorted")</f>
        <v>Bubblegum Ring Assorted</v>
      </c>
      <c r="I4248" s="3">
        <v>4.0</v>
      </c>
      <c r="J4248" s="7">
        <v>40886.41875</v>
      </c>
      <c r="K4248" s="8" t="str">
        <f t="shared" si="4"/>
        <v>2011-12</v>
      </c>
      <c r="L4248" s="5">
        <v>0.83</v>
      </c>
      <c r="M4248" s="10"/>
      <c r="N4248" s="1" t="str">
        <f t="shared" si="5"/>
        <v>Guest</v>
      </c>
      <c r="O4248" s="1" t="s">
        <v>19</v>
      </c>
      <c r="P4248" s="9" t="str">
        <f t="shared" si="6"/>
        <v>UK</v>
      </c>
      <c r="Q4248" s="8">
        <f t="shared" si="7"/>
        <v>3.32</v>
      </c>
    </row>
    <row r="4249">
      <c r="A4249" s="1">
        <v>581492.0</v>
      </c>
      <c r="B4249" s="1" t="str">
        <f t="shared" si="1"/>
        <v>581492</v>
      </c>
      <c r="C4249" s="1" t="str">
        <f t="shared" si="2"/>
        <v>Sale</v>
      </c>
      <c r="D4249" s="1">
        <v>23311.0</v>
      </c>
      <c r="E4249" s="1" t="str">
        <f>IFERROR(__xludf.DUMMYFUNCTION("IF(LEN(D4249)&gt;4, IFERROR(REGEXEXTRACT(TO_TEXT(D4249),""\d+""),""""),"""")"),"23311")</f>
        <v>23311</v>
      </c>
      <c r="F4249" s="6" t="str">
        <f t="shared" si="3"/>
        <v>Product</v>
      </c>
      <c r="G4249" s="1" t="s">
        <v>2022</v>
      </c>
      <c r="H4249" s="6" t="str">
        <f>IFERROR(__xludf.DUMMYFUNCTION("IF(REGEXMATCH(LOWER(G4249), ""^(\?)+\s*(missing)?\s*(\?)*$""), """", PROPER(SUBSTITUTE(SUBSTITUTE(G4249, ""?"", """"), ""*"", """")))"),"Vintage Christmas Stocking")</f>
        <v>Vintage Christmas Stocking</v>
      </c>
      <c r="I4249" s="3">
        <v>1.0</v>
      </c>
      <c r="J4249" s="7">
        <v>40886.41875</v>
      </c>
      <c r="K4249" s="8" t="str">
        <f t="shared" si="4"/>
        <v>2011-12</v>
      </c>
      <c r="L4249" s="5">
        <v>4.96</v>
      </c>
      <c r="M4249" s="10"/>
      <c r="N4249" s="1" t="str">
        <f t="shared" si="5"/>
        <v>Guest</v>
      </c>
      <c r="O4249" s="1" t="s">
        <v>19</v>
      </c>
      <c r="P4249" s="9" t="str">
        <f t="shared" si="6"/>
        <v>UK</v>
      </c>
      <c r="Q4249" s="8">
        <f t="shared" si="7"/>
        <v>4.96</v>
      </c>
    </row>
    <row r="4250">
      <c r="A4250" s="1">
        <v>581492.0</v>
      </c>
      <c r="B4250" s="1" t="str">
        <f t="shared" si="1"/>
        <v>581492</v>
      </c>
      <c r="C4250" s="1" t="str">
        <f t="shared" si="2"/>
        <v>Sale</v>
      </c>
      <c r="D4250" s="1">
        <v>23312.0</v>
      </c>
      <c r="E4250" s="1" t="str">
        <f>IFERROR(__xludf.DUMMYFUNCTION("IF(LEN(D4250)&gt;4, IFERROR(REGEXEXTRACT(TO_TEXT(D4250),""\d+""),""""),"""")"),"23312")</f>
        <v>23312</v>
      </c>
      <c r="F4250" s="6" t="str">
        <f t="shared" si="3"/>
        <v>Product</v>
      </c>
      <c r="G4250" s="1" t="s">
        <v>2023</v>
      </c>
      <c r="H4250" s="6" t="str">
        <f>IFERROR(__xludf.DUMMYFUNCTION("IF(REGEXMATCH(LOWER(G4250), ""^(\?)+\s*(missing)?\s*(\?)*$""), """", PROPER(SUBSTITUTE(SUBSTITUTE(G4250, ""?"", """"), ""*"", """")))"),"Vintage Christmas Gift Sack")</f>
        <v>Vintage Christmas Gift Sack</v>
      </c>
      <c r="I4250" s="3">
        <v>6.0</v>
      </c>
      <c r="J4250" s="7">
        <v>40886.41875</v>
      </c>
      <c r="K4250" s="8" t="str">
        <f t="shared" si="4"/>
        <v>2011-12</v>
      </c>
      <c r="L4250" s="5">
        <v>8.29</v>
      </c>
      <c r="M4250" s="10"/>
      <c r="N4250" s="1" t="str">
        <f t="shared" si="5"/>
        <v>Guest</v>
      </c>
      <c r="O4250" s="1" t="s">
        <v>19</v>
      </c>
      <c r="P4250" s="9" t="str">
        <f t="shared" si="6"/>
        <v>UK</v>
      </c>
      <c r="Q4250" s="8">
        <f t="shared" si="7"/>
        <v>49.74</v>
      </c>
    </row>
    <row r="4251">
      <c r="A4251" s="1">
        <v>581492.0</v>
      </c>
      <c r="B4251" s="1" t="str">
        <f t="shared" si="1"/>
        <v>581492</v>
      </c>
      <c r="C4251" s="1" t="str">
        <f t="shared" si="2"/>
        <v>Sale</v>
      </c>
      <c r="D4251" s="1">
        <v>23313.0</v>
      </c>
      <c r="E4251" s="1" t="str">
        <f>IFERROR(__xludf.DUMMYFUNCTION("IF(LEN(D4251)&gt;4, IFERROR(REGEXEXTRACT(TO_TEXT(D4251),""\d+""),""""),"""")"),"23313")</f>
        <v>23313</v>
      </c>
      <c r="F4251" s="6" t="str">
        <f t="shared" si="3"/>
        <v>Product</v>
      </c>
      <c r="G4251" s="1" t="s">
        <v>1552</v>
      </c>
      <c r="H4251" s="6" t="str">
        <f>IFERROR(__xludf.DUMMYFUNCTION("IF(REGEXMATCH(LOWER(G4251), ""^(\?)+\s*(missing)?\s*(\?)*$""), """", PROPER(SUBSTITUTE(SUBSTITUTE(G4251, ""?"", """"), ""*"", """")))"),"Vintage Christmas Bunting")</f>
        <v>Vintage Christmas Bunting</v>
      </c>
      <c r="I4251" s="3">
        <v>4.0</v>
      </c>
      <c r="J4251" s="7">
        <v>40886.41875</v>
      </c>
      <c r="K4251" s="8" t="str">
        <f t="shared" si="4"/>
        <v>2011-12</v>
      </c>
      <c r="L4251" s="5">
        <v>10.79</v>
      </c>
      <c r="M4251" s="10"/>
      <c r="N4251" s="1" t="str">
        <f t="shared" si="5"/>
        <v>Guest</v>
      </c>
      <c r="O4251" s="1" t="s">
        <v>19</v>
      </c>
      <c r="P4251" s="9" t="str">
        <f t="shared" si="6"/>
        <v>UK</v>
      </c>
      <c r="Q4251" s="8">
        <f t="shared" si="7"/>
        <v>43.16</v>
      </c>
    </row>
    <row r="4252">
      <c r="A4252" s="1">
        <v>581492.0</v>
      </c>
      <c r="B4252" s="1" t="str">
        <f t="shared" si="1"/>
        <v>581492</v>
      </c>
      <c r="C4252" s="1" t="str">
        <f t="shared" si="2"/>
        <v>Sale</v>
      </c>
      <c r="D4252" s="1">
        <v>23314.0</v>
      </c>
      <c r="E4252" s="1" t="str">
        <f>IFERROR(__xludf.DUMMYFUNCTION("IF(LEN(D4252)&gt;4, IFERROR(REGEXEXTRACT(TO_TEXT(D4252),""\d+""),""""),"""")"),"23314")</f>
        <v>23314</v>
      </c>
      <c r="F4252" s="6" t="str">
        <f t="shared" si="3"/>
        <v>Product</v>
      </c>
      <c r="G4252" s="1" t="s">
        <v>2024</v>
      </c>
      <c r="H4252" s="6" t="str">
        <f>IFERROR(__xludf.DUMMYFUNCTION("IF(REGEXMATCH(LOWER(G4252), ""^(\?)+\s*(missing)?\s*(\?)*$""), """", PROPER(SUBSTITUTE(SUBSTITUTE(G4252, ""?"", """"), ""*"", """")))"),"Vintage Christmas Tablecloth")</f>
        <v>Vintage Christmas Tablecloth</v>
      </c>
      <c r="I4252" s="3">
        <v>1.0</v>
      </c>
      <c r="J4252" s="7">
        <v>40886.41875</v>
      </c>
      <c r="K4252" s="8" t="str">
        <f t="shared" si="4"/>
        <v>2011-12</v>
      </c>
      <c r="L4252" s="5">
        <v>24.96</v>
      </c>
      <c r="M4252" s="10"/>
      <c r="N4252" s="1" t="str">
        <f t="shared" si="5"/>
        <v>Guest</v>
      </c>
      <c r="O4252" s="1" t="s">
        <v>19</v>
      </c>
      <c r="P4252" s="9" t="str">
        <f t="shared" si="6"/>
        <v>UK</v>
      </c>
      <c r="Q4252" s="8">
        <f t="shared" si="7"/>
        <v>24.96</v>
      </c>
    </row>
    <row r="4253">
      <c r="A4253" s="1">
        <v>581492.0</v>
      </c>
      <c r="B4253" s="1" t="str">
        <f t="shared" si="1"/>
        <v>581492</v>
      </c>
      <c r="C4253" s="1" t="str">
        <f t="shared" si="2"/>
        <v>Sale</v>
      </c>
      <c r="D4253" s="1">
        <v>23319.0</v>
      </c>
      <c r="E4253" s="1" t="str">
        <f>IFERROR(__xludf.DUMMYFUNCTION("IF(LEN(D4253)&gt;4, IFERROR(REGEXEXTRACT(TO_TEXT(D4253),""\d+""),""""),"""")"),"23319")</f>
        <v>23319</v>
      </c>
      <c r="F4253" s="6" t="str">
        <f t="shared" si="3"/>
        <v>Product</v>
      </c>
      <c r="G4253" s="1" t="s">
        <v>2025</v>
      </c>
      <c r="H4253" s="6" t="str">
        <f>IFERROR(__xludf.DUMMYFUNCTION("IF(REGEXMATCH(LOWER(G4253), ""^(\?)+\s*(missing)?\s*(\?)*$""), """", PROPER(SUBSTITUTE(SUBSTITUTE(G4253, ""?"", """"), ""*"", """")))"),"Box Of 6 Mini 50'S Crackers")</f>
        <v>Box Of 6 Mini 50'S Crackers</v>
      </c>
      <c r="I4253" s="3">
        <v>3.0</v>
      </c>
      <c r="J4253" s="7">
        <v>40886.41875</v>
      </c>
      <c r="K4253" s="8" t="str">
        <f t="shared" si="4"/>
        <v>2011-12</v>
      </c>
      <c r="L4253" s="5">
        <v>4.96</v>
      </c>
      <c r="M4253" s="10"/>
      <c r="N4253" s="1" t="str">
        <f t="shared" si="5"/>
        <v>Guest</v>
      </c>
      <c r="O4253" s="1" t="s">
        <v>19</v>
      </c>
      <c r="P4253" s="9" t="str">
        <f t="shared" si="6"/>
        <v>UK</v>
      </c>
      <c r="Q4253" s="8">
        <f t="shared" si="7"/>
        <v>14.88</v>
      </c>
    </row>
    <row r="4254">
      <c r="A4254" s="1">
        <v>581492.0</v>
      </c>
      <c r="B4254" s="1" t="str">
        <f t="shared" si="1"/>
        <v>581492</v>
      </c>
      <c r="C4254" s="1" t="str">
        <f t="shared" si="2"/>
        <v>Sale</v>
      </c>
      <c r="D4254" s="1">
        <v>23322.0</v>
      </c>
      <c r="E4254" s="1" t="str">
        <f>IFERROR(__xludf.DUMMYFUNCTION("IF(LEN(D4254)&gt;4, IFERROR(REGEXEXTRACT(TO_TEXT(D4254),""\d+""),""""),"""")"),"23322")</f>
        <v>23322</v>
      </c>
      <c r="F4254" s="6" t="str">
        <f t="shared" si="3"/>
        <v>Product</v>
      </c>
      <c r="G4254" s="1" t="s">
        <v>2026</v>
      </c>
      <c r="H4254" s="6" t="str">
        <f>IFERROR(__xludf.DUMMYFUNCTION("IF(REGEXMATCH(LOWER(G4254), ""^(\?)+\s*(missing)?\s*(\?)*$""), """", PROPER(SUBSTITUTE(SUBSTITUTE(G4254, ""?"", """"), ""*"", """")))"),"Large White Heart Of Wicker")</f>
        <v>Large White Heart Of Wicker</v>
      </c>
      <c r="I4254" s="3">
        <v>1.0</v>
      </c>
      <c r="J4254" s="7">
        <v>40886.41875</v>
      </c>
      <c r="K4254" s="8" t="str">
        <f t="shared" si="4"/>
        <v>2011-12</v>
      </c>
      <c r="L4254" s="5">
        <v>5.79</v>
      </c>
      <c r="M4254" s="10"/>
      <c r="N4254" s="1" t="str">
        <f t="shared" si="5"/>
        <v>Guest</v>
      </c>
      <c r="O4254" s="1" t="s">
        <v>19</v>
      </c>
      <c r="P4254" s="9" t="str">
        <f t="shared" si="6"/>
        <v>UK</v>
      </c>
      <c r="Q4254" s="8">
        <f t="shared" si="7"/>
        <v>5.79</v>
      </c>
    </row>
    <row r="4255">
      <c r="A4255" s="1">
        <v>581492.0</v>
      </c>
      <c r="B4255" s="1" t="str">
        <f t="shared" si="1"/>
        <v>581492</v>
      </c>
      <c r="C4255" s="1" t="str">
        <f t="shared" si="2"/>
        <v>Sale</v>
      </c>
      <c r="D4255" s="1">
        <v>23323.0</v>
      </c>
      <c r="E4255" s="1" t="str">
        <f>IFERROR(__xludf.DUMMYFUNCTION("IF(LEN(D4255)&gt;4, IFERROR(REGEXEXTRACT(TO_TEXT(D4255),""\d+""),""""),"""")"),"23323")</f>
        <v>23323</v>
      </c>
      <c r="F4255" s="6" t="str">
        <f t="shared" si="3"/>
        <v>Product</v>
      </c>
      <c r="G4255" s="1" t="s">
        <v>2027</v>
      </c>
      <c r="H4255" s="6" t="str">
        <f>IFERROR(__xludf.DUMMYFUNCTION("IF(REGEXMATCH(LOWER(G4255), ""^(\?)+\s*(missing)?\s*(\?)*$""), """", PROPER(SUBSTITUTE(SUBSTITUTE(G4255, ""?"", """"), ""*"", """")))"),"White Wicker Star")</f>
        <v>White Wicker Star</v>
      </c>
      <c r="I4255" s="3">
        <v>6.0</v>
      </c>
      <c r="J4255" s="7">
        <v>40886.41875</v>
      </c>
      <c r="K4255" s="8" t="str">
        <f t="shared" si="4"/>
        <v>2011-12</v>
      </c>
      <c r="L4255" s="5">
        <v>4.13</v>
      </c>
      <c r="M4255" s="10"/>
      <c r="N4255" s="1" t="str">
        <f t="shared" si="5"/>
        <v>Guest</v>
      </c>
      <c r="O4255" s="1" t="s">
        <v>19</v>
      </c>
      <c r="P4255" s="9" t="str">
        <f t="shared" si="6"/>
        <v>UK</v>
      </c>
      <c r="Q4255" s="8">
        <f t="shared" si="7"/>
        <v>24.78</v>
      </c>
    </row>
    <row r="4256">
      <c r="A4256" s="1">
        <v>581492.0</v>
      </c>
      <c r="B4256" s="1" t="str">
        <f t="shared" si="1"/>
        <v>581492</v>
      </c>
      <c r="C4256" s="1" t="str">
        <f t="shared" si="2"/>
        <v>Sale</v>
      </c>
      <c r="D4256" s="1">
        <v>23328.0</v>
      </c>
      <c r="E4256" s="1" t="str">
        <f>IFERROR(__xludf.DUMMYFUNCTION("IF(LEN(D4256)&gt;4, IFERROR(REGEXEXTRACT(TO_TEXT(D4256),""\d+""),""""),"""")"),"23328")</f>
        <v>23328</v>
      </c>
      <c r="F4256" s="6" t="str">
        <f t="shared" si="3"/>
        <v>Product</v>
      </c>
      <c r="G4256" s="1" t="s">
        <v>2028</v>
      </c>
      <c r="H4256" s="6" t="str">
        <f>IFERROR(__xludf.DUMMYFUNCTION("IF(REGEXMATCH(LOWER(G4256), ""^(\?)+\s*(missing)?\s*(\?)*$""), """", PROPER(SUBSTITUTE(SUBSTITUTE(G4256, ""?"", """"), ""*"", """")))"),"Set 6 School Milk Bottles In Crate")</f>
        <v>Set 6 School Milk Bottles In Crate</v>
      </c>
      <c r="I4256" s="3">
        <v>5.0</v>
      </c>
      <c r="J4256" s="7">
        <v>40886.41875</v>
      </c>
      <c r="K4256" s="8" t="str">
        <f t="shared" si="4"/>
        <v>2011-12</v>
      </c>
      <c r="L4256" s="5">
        <v>7.46</v>
      </c>
      <c r="M4256" s="10"/>
      <c r="N4256" s="1" t="str">
        <f t="shared" si="5"/>
        <v>Guest</v>
      </c>
      <c r="O4256" s="1" t="s">
        <v>19</v>
      </c>
      <c r="P4256" s="9" t="str">
        <f t="shared" si="6"/>
        <v>UK</v>
      </c>
      <c r="Q4256" s="8">
        <f t="shared" si="7"/>
        <v>37.3</v>
      </c>
    </row>
    <row r="4257">
      <c r="A4257" s="1">
        <v>581492.0</v>
      </c>
      <c r="B4257" s="1" t="str">
        <f t="shared" si="1"/>
        <v>581492</v>
      </c>
      <c r="C4257" s="1" t="str">
        <f t="shared" si="2"/>
        <v>Sale</v>
      </c>
      <c r="D4257" s="1">
        <v>23332.0</v>
      </c>
      <c r="E4257" s="1" t="str">
        <f>IFERROR(__xludf.DUMMYFUNCTION("IF(LEN(D4257)&gt;4, IFERROR(REGEXEXTRACT(TO_TEXT(D4257),""\d+""),""""),"""")"),"23332")</f>
        <v>23332</v>
      </c>
      <c r="F4257" s="6" t="str">
        <f t="shared" si="3"/>
        <v>Product</v>
      </c>
      <c r="G4257" s="1" t="s">
        <v>2029</v>
      </c>
      <c r="H4257" s="6" t="str">
        <f>IFERROR(__xludf.DUMMYFUNCTION("IF(REGEXMATCH(LOWER(G4257), ""^(\?)+\s*(missing)?\s*(\?)*$""), """", PROPER(SUBSTITUTE(SUBSTITUTE(G4257, ""?"", """"), ""*"", """")))"),"Ivory Wicker Heart Large")</f>
        <v>Ivory Wicker Heart Large</v>
      </c>
      <c r="I4257" s="3">
        <v>1.0</v>
      </c>
      <c r="J4257" s="7">
        <v>40886.41875</v>
      </c>
      <c r="K4257" s="8" t="str">
        <f t="shared" si="4"/>
        <v>2011-12</v>
      </c>
      <c r="L4257" s="5">
        <v>3.29</v>
      </c>
      <c r="M4257" s="10"/>
      <c r="N4257" s="1" t="str">
        <f t="shared" si="5"/>
        <v>Guest</v>
      </c>
      <c r="O4257" s="1" t="s">
        <v>19</v>
      </c>
      <c r="P4257" s="9" t="str">
        <f t="shared" si="6"/>
        <v>UK</v>
      </c>
      <c r="Q4257" s="8">
        <f t="shared" si="7"/>
        <v>3.29</v>
      </c>
    </row>
    <row r="4258">
      <c r="A4258" s="1">
        <v>581492.0</v>
      </c>
      <c r="B4258" s="1" t="str">
        <f t="shared" si="1"/>
        <v>581492</v>
      </c>
      <c r="C4258" s="1" t="str">
        <f t="shared" si="2"/>
        <v>Sale</v>
      </c>
      <c r="D4258" s="1">
        <v>23334.0</v>
      </c>
      <c r="E4258" s="1" t="str">
        <f>IFERROR(__xludf.DUMMYFUNCTION("IF(LEN(D4258)&gt;4, IFERROR(REGEXEXTRACT(TO_TEXT(D4258),""\d+""),""""),"""")"),"23334")</f>
        <v>23334</v>
      </c>
      <c r="F4258" s="6" t="str">
        <f t="shared" si="3"/>
        <v>Product</v>
      </c>
      <c r="G4258" s="1" t="s">
        <v>2030</v>
      </c>
      <c r="H4258" s="6" t="str">
        <f>IFERROR(__xludf.DUMMYFUNCTION("IF(REGEXMATCH(LOWER(G4258), ""^(\?)+\s*(missing)?\s*(\?)*$""), """", PROPER(SUBSTITUTE(SUBSTITUTE(G4258, ""?"", """"), ""*"", """")))"),"Ivory Wicker Heart Small")</f>
        <v>Ivory Wicker Heart Small</v>
      </c>
      <c r="I4258" s="3">
        <v>1.0</v>
      </c>
      <c r="J4258" s="7">
        <v>40886.41875</v>
      </c>
      <c r="K4258" s="8" t="str">
        <f t="shared" si="4"/>
        <v>2011-12</v>
      </c>
      <c r="L4258" s="5">
        <v>1.25</v>
      </c>
      <c r="M4258" s="10"/>
      <c r="N4258" s="1" t="str">
        <f t="shared" si="5"/>
        <v>Guest</v>
      </c>
      <c r="O4258" s="1" t="s">
        <v>19</v>
      </c>
      <c r="P4258" s="9" t="str">
        <f t="shared" si="6"/>
        <v>UK</v>
      </c>
      <c r="Q4258" s="8">
        <f t="shared" si="7"/>
        <v>1.25</v>
      </c>
    </row>
    <row r="4259">
      <c r="A4259" s="1">
        <v>581492.0</v>
      </c>
      <c r="B4259" s="1" t="str">
        <f t="shared" si="1"/>
        <v>581492</v>
      </c>
      <c r="C4259" s="1" t="str">
        <f t="shared" si="2"/>
        <v>Sale</v>
      </c>
      <c r="D4259" s="1">
        <v>23336.0</v>
      </c>
      <c r="E4259" s="1" t="str">
        <f>IFERROR(__xludf.DUMMYFUNCTION("IF(LEN(D4259)&gt;4, IFERROR(REGEXEXTRACT(TO_TEXT(D4259),""\d+""),""""),"""")"),"23336")</f>
        <v>23336</v>
      </c>
      <c r="F4259" s="6" t="str">
        <f t="shared" si="3"/>
        <v>Product</v>
      </c>
      <c r="G4259" s="1" t="s">
        <v>2031</v>
      </c>
      <c r="H4259" s="6" t="str">
        <f>IFERROR(__xludf.DUMMYFUNCTION("IF(REGEXMATCH(LOWER(G4259), ""^(\?)+\s*(missing)?\s*(\?)*$""), """", PROPER(SUBSTITUTE(SUBSTITUTE(G4259, ""?"", """"), ""*"", """")))"),"Egg Frying Pan Pink")</f>
        <v>Egg Frying Pan Pink</v>
      </c>
      <c r="I4259" s="3">
        <v>1.0</v>
      </c>
      <c r="J4259" s="7">
        <v>40886.41875</v>
      </c>
      <c r="K4259" s="8" t="str">
        <f t="shared" si="4"/>
        <v>2011-12</v>
      </c>
      <c r="L4259" s="5">
        <v>4.13</v>
      </c>
      <c r="M4259" s="10"/>
      <c r="N4259" s="1" t="str">
        <f t="shared" si="5"/>
        <v>Guest</v>
      </c>
      <c r="O4259" s="1" t="s">
        <v>19</v>
      </c>
      <c r="P4259" s="9" t="str">
        <f t="shared" si="6"/>
        <v>UK</v>
      </c>
      <c r="Q4259" s="8">
        <f t="shared" si="7"/>
        <v>4.13</v>
      </c>
    </row>
    <row r="4260">
      <c r="A4260" s="1">
        <v>581492.0</v>
      </c>
      <c r="B4260" s="1" t="str">
        <f t="shared" si="1"/>
        <v>581492</v>
      </c>
      <c r="C4260" s="1" t="str">
        <f t="shared" si="2"/>
        <v>Sale</v>
      </c>
      <c r="D4260" s="1">
        <v>23340.0</v>
      </c>
      <c r="E4260" s="1" t="str">
        <f>IFERROR(__xludf.DUMMYFUNCTION("IF(LEN(D4260)&gt;4, IFERROR(REGEXEXTRACT(TO_TEXT(D4260),""\d+""),""""),"""")"),"23340")</f>
        <v>23340</v>
      </c>
      <c r="F4260" s="6" t="str">
        <f t="shared" si="3"/>
        <v>Product</v>
      </c>
      <c r="G4260" s="1" t="s">
        <v>2032</v>
      </c>
      <c r="H4260" s="6" t="str">
        <f>IFERROR(__xludf.DUMMYFUNCTION("IF(REGEXMATCH(LOWER(G4260), ""^(\?)+\s*(missing)?\s*(\?)*$""), """", PROPER(SUBSTITUTE(SUBSTITUTE(G4260, ""?"", """"), ""*"", """")))"),"Vintage Christmas Cake Frill")</f>
        <v>Vintage Christmas Cake Frill</v>
      </c>
      <c r="I4260" s="3">
        <v>3.0</v>
      </c>
      <c r="J4260" s="7">
        <v>40886.41875</v>
      </c>
      <c r="K4260" s="8" t="str">
        <f t="shared" si="4"/>
        <v>2011-12</v>
      </c>
      <c r="L4260" s="5">
        <v>3.29</v>
      </c>
      <c r="M4260" s="10"/>
      <c r="N4260" s="1" t="str">
        <f t="shared" si="5"/>
        <v>Guest</v>
      </c>
      <c r="O4260" s="1" t="s">
        <v>19</v>
      </c>
      <c r="P4260" s="9" t="str">
        <f t="shared" si="6"/>
        <v>UK</v>
      </c>
      <c r="Q4260" s="8">
        <f t="shared" si="7"/>
        <v>9.87</v>
      </c>
    </row>
    <row r="4261">
      <c r="A4261" s="1">
        <v>581492.0</v>
      </c>
      <c r="B4261" s="1" t="str">
        <f t="shared" si="1"/>
        <v>581492</v>
      </c>
      <c r="C4261" s="1" t="str">
        <f t="shared" si="2"/>
        <v>Sale</v>
      </c>
      <c r="D4261" s="1">
        <v>23343.0</v>
      </c>
      <c r="E4261" s="1" t="str">
        <f>IFERROR(__xludf.DUMMYFUNCTION("IF(LEN(D4261)&gt;4, IFERROR(REGEXEXTRACT(TO_TEXT(D4261),""\d+""),""""),"""")"),"23343")</f>
        <v>23343</v>
      </c>
      <c r="F4261" s="6" t="str">
        <f t="shared" si="3"/>
        <v>Product</v>
      </c>
      <c r="G4261" s="1" t="s">
        <v>2033</v>
      </c>
      <c r="H4261" s="6" t="str">
        <f>IFERROR(__xludf.DUMMYFUNCTION("IF(REGEXMATCH(LOWER(G4261), ""^(\?)+\s*(missing)?\s*(\?)*$""), """", PROPER(SUBSTITUTE(SUBSTITUTE(G4261, ""?"", """"), ""*"", """")))"),"Jumbo Bag Vintage Christmas")</f>
        <v>Jumbo Bag Vintage Christmas</v>
      </c>
      <c r="I4261" s="3">
        <v>4.0</v>
      </c>
      <c r="J4261" s="7">
        <v>40886.41875</v>
      </c>
      <c r="K4261" s="8" t="str">
        <f t="shared" si="4"/>
        <v>2011-12</v>
      </c>
      <c r="L4261" s="5">
        <v>4.13</v>
      </c>
      <c r="M4261" s="10"/>
      <c r="N4261" s="1" t="str">
        <f t="shared" si="5"/>
        <v>Guest</v>
      </c>
      <c r="O4261" s="1" t="s">
        <v>19</v>
      </c>
      <c r="P4261" s="9" t="str">
        <f t="shared" si="6"/>
        <v>UK</v>
      </c>
      <c r="Q4261" s="8">
        <f t="shared" si="7"/>
        <v>16.52</v>
      </c>
    </row>
    <row r="4262">
      <c r="A4262" s="1">
        <v>581492.0</v>
      </c>
      <c r="B4262" s="1" t="str">
        <f t="shared" si="1"/>
        <v>581492</v>
      </c>
      <c r="C4262" s="1" t="str">
        <f t="shared" si="2"/>
        <v>Sale</v>
      </c>
      <c r="D4262" s="1">
        <v>23344.0</v>
      </c>
      <c r="E4262" s="1" t="str">
        <f>IFERROR(__xludf.DUMMYFUNCTION("IF(LEN(D4262)&gt;4, IFERROR(REGEXEXTRACT(TO_TEXT(D4262),""\d+""),""""),"""")"),"23344")</f>
        <v>23344</v>
      </c>
      <c r="F4262" s="6" t="str">
        <f t="shared" si="3"/>
        <v>Product</v>
      </c>
      <c r="G4262" s="1" t="s">
        <v>1566</v>
      </c>
      <c r="H4262" s="6" t="str">
        <f>IFERROR(__xludf.DUMMYFUNCTION("IF(REGEXMATCH(LOWER(G4262), ""^(\?)+\s*(missing)?\s*(\?)*$""), """", PROPER(SUBSTITUTE(SUBSTITUTE(G4262, ""?"", """"), ""*"", """")))"),"Jumbo Bag 50'S Christmas")</f>
        <v>Jumbo Bag 50'S Christmas</v>
      </c>
      <c r="I4262" s="3">
        <v>5.0</v>
      </c>
      <c r="J4262" s="7">
        <v>40886.41875</v>
      </c>
      <c r="K4262" s="8" t="str">
        <f t="shared" si="4"/>
        <v>2011-12</v>
      </c>
      <c r="L4262" s="5">
        <v>4.13</v>
      </c>
      <c r="M4262" s="10"/>
      <c r="N4262" s="1" t="str">
        <f t="shared" si="5"/>
        <v>Guest</v>
      </c>
      <c r="O4262" s="1" t="s">
        <v>19</v>
      </c>
      <c r="P4262" s="9" t="str">
        <f t="shared" si="6"/>
        <v>UK</v>
      </c>
      <c r="Q4262" s="8">
        <f t="shared" si="7"/>
        <v>20.65</v>
      </c>
    </row>
    <row r="4263">
      <c r="A4263" s="1">
        <v>581492.0</v>
      </c>
      <c r="B4263" s="1" t="str">
        <f t="shared" si="1"/>
        <v>581492</v>
      </c>
      <c r="C4263" s="1" t="str">
        <f t="shared" si="2"/>
        <v>Sale</v>
      </c>
      <c r="D4263" s="1">
        <v>23345.0</v>
      </c>
      <c r="E4263" s="1" t="str">
        <f>IFERROR(__xludf.DUMMYFUNCTION("IF(LEN(D4263)&gt;4, IFERROR(REGEXEXTRACT(TO_TEXT(D4263),""\d+""),""""),"""")"),"23345")</f>
        <v>23345</v>
      </c>
      <c r="F4263" s="6" t="str">
        <f t="shared" si="3"/>
        <v>Product</v>
      </c>
      <c r="G4263" s="1" t="s">
        <v>2034</v>
      </c>
      <c r="H4263" s="6" t="str">
        <f>IFERROR(__xludf.DUMMYFUNCTION("IF(REGEXMATCH(LOWER(G4263), ""^(\?)+\s*(missing)?\s*(\?)*$""), """", PROPER(SUBSTITUTE(SUBSTITUTE(G4263, ""?"", """"), ""*"", """")))"),"Dolly Girl Beaker")</f>
        <v>Dolly Girl Beaker</v>
      </c>
      <c r="I4263" s="3">
        <v>1.0</v>
      </c>
      <c r="J4263" s="7">
        <v>40886.41875</v>
      </c>
      <c r="K4263" s="8" t="str">
        <f t="shared" si="4"/>
        <v>2011-12</v>
      </c>
      <c r="L4263" s="5">
        <v>2.46</v>
      </c>
      <c r="M4263" s="10"/>
      <c r="N4263" s="1" t="str">
        <f t="shared" si="5"/>
        <v>Guest</v>
      </c>
      <c r="O4263" s="1" t="s">
        <v>19</v>
      </c>
      <c r="P4263" s="9" t="str">
        <f t="shared" si="6"/>
        <v>UK</v>
      </c>
      <c r="Q4263" s="8">
        <f t="shared" si="7"/>
        <v>2.46</v>
      </c>
    </row>
    <row r="4264">
      <c r="A4264" s="1">
        <v>581492.0</v>
      </c>
      <c r="B4264" s="1" t="str">
        <f t="shared" si="1"/>
        <v>581492</v>
      </c>
      <c r="C4264" s="1" t="str">
        <f t="shared" si="2"/>
        <v>Sale</v>
      </c>
      <c r="D4264" s="1">
        <v>23347.0</v>
      </c>
      <c r="E4264" s="1" t="str">
        <f>IFERROR(__xludf.DUMMYFUNCTION("IF(LEN(D4264)&gt;4, IFERROR(REGEXEXTRACT(TO_TEXT(D4264),""\d+""),""""),"""")"),"23347")</f>
        <v>23347</v>
      </c>
      <c r="F4264" s="6" t="str">
        <f t="shared" si="3"/>
        <v>Product</v>
      </c>
      <c r="G4264" s="1" t="s">
        <v>2035</v>
      </c>
      <c r="H4264" s="6" t="str">
        <f>IFERROR(__xludf.DUMMYFUNCTION("IF(REGEXMATCH(LOWER(G4264), ""^(\?)+\s*(missing)?\s*(\?)*$""), """", PROPER(SUBSTITUTE(SUBSTITUTE(G4264, ""?"", """"), ""*"", """")))"),"I Love London Beaker")</f>
        <v>I Love London Beaker</v>
      </c>
      <c r="I4264" s="3">
        <v>1.0</v>
      </c>
      <c r="J4264" s="7">
        <v>40886.41875</v>
      </c>
      <c r="K4264" s="8" t="str">
        <f t="shared" si="4"/>
        <v>2011-12</v>
      </c>
      <c r="L4264" s="5">
        <v>2.46</v>
      </c>
      <c r="M4264" s="10"/>
      <c r="N4264" s="1" t="str">
        <f t="shared" si="5"/>
        <v>Guest</v>
      </c>
      <c r="O4264" s="1" t="s">
        <v>19</v>
      </c>
      <c r="P4264" s="9" t="str">
        <f t="shared" si="6"/>
        <v>UK</v>
      </c>
      <c r="Q4264" s="8">
        <f t="shared" si="7"/>
        <v>2.46</v>
      </c>
    </row>
    <row r="4265">
      <c r="A4265" s="1">
        <v>581492.0</v>
      </c>
      <c r="B4265" s="1" t="str">
        <f t="shared" si="1"/>
        <v>581492</v>
      </c>
      <c r="C4265" s="1" t="str">
        <f t="shared" si="2"/>
        <v>Sale</v>
      </c>
      <c r="D4265" s="1">
        <v>23349.0</v>
      </c>
      <c r="E4265" s="1" t="str">
        <f>IFERROR(__xludf.DUMMYFUNCTION("IF(LEN(D4265)&gt;4, IFERROR(REGEXEXTRACT(TO_TEXT(D4265),""\d+""),""""),"""")"),"23349")</f>
        <v>23349</v>
      </c>
      <c r="F4265" s="6" t="str">
        <f t="shared" si="3"/>
        <v>Product</v>
      </c>
      <c r="G4265" s="1" t="s">
        <v>2036</v>
      </c>
      <c r="H4265" s="6" t="str">
        <f>IFERROR(__xludf.DUMMYFUNCTION("IF(REGEXMATCH(LOWER(G4265), ""^(\?)+\s*(missing)?\s*(\?)*$""), """", PROPER(SUBSTITUTE(SUBSTITUTE(G4265, ""?"", """"), ""*"", """")))"),"Roll Wrap Vintage Christmas")</f>
        <v>Roll Wrap Vintage Christmas</v>
      </c>
      <c r="I4265" s="3">
        <v>2.0</v>
      </c>
      <c r="J4265" s="7">
        <v>40886.41875</v>
      </c>
      <c r="K4265" s="8" t="str">
        <f t="shared" si="4"/>
        <v>2011-12</v>
      </c>
      <c r="L4265" s="5">
        <v>2.46</v>
      </c>
      <c r="M4265" s="10"/>
      <c r="N4265" s="1" t="str">
        <f t="shared" si="5"/>
        <v>Guest</v>
      </c>
      <c r="O4265" s="1" t="s">
        <v>19</v>
      </c>
      <c r="P4265" s="9" t="str">
        <f t="shared" si="6"/>
        <v>UK</v>
      </c>
      <c r="Q4265" s="8">
        <f t="shared" si="7"/>
        <v>4.92</v>
      </c>
    </row>
    <row r="4266">
      <c r="A4266" s="1">
        <v>581492.0</v>
      </c>
      <c r="B4266" s="1" t="str">
        <f t="shared" si="1"/>
        <v>581492</v>
      </c>
      <c r="C4266" s="1" t="str">
        <f t="shared" si="2"/>
        <v>Sale</v>
      </c>
      <c r="D4266" s="1">
        <v>23351.0</v>
      </c>
      <c r="E4266" s="1" t="str">
        <f>IFERROR(__xludf.DUMMYFUNCTION("IF(LEN(D4266)&gt;4, IFERROR(REGEXEXTRACT(TO_TEXT(D4266),""\d+""),""""),"""")"),"23351")</f>
        <v>23351</v>
      </c>
      <c r="F4266" s="6" t="str">
        <f t="shared" si="3"/>
        <v>Product</v>
      </c>
      <c r="G4266" s="1" t="s">
        <v>1570</v>
      </c>
      <c r="H4266" s="6" t="str">
        <f>IFERROR(__xludf.DUMMYFUNCTION("IF(REGEXMATCH(LOWER(G4266), ""^(\?)+\s*(missing)?\s*(\?)*$""), """", PROPER(SUBSTITUTE(SUBSTITUTE(G4266, ""?"", """"), ""*"", """")))"),"Roll Wrap 50'S Christmas")</f>
        <v>Roll Wrap 50'S Christmas</v>
      </c>
      <c r="I4266" s="3">
        <v>5.0</v>
      </c>
      <c r="J4266" s="7">
        <v>40886.41875</v>
      </c>
      <c r="K4266" s="8" t="str">
        <f t="shared" si="4"/>
        <v>2011-12</v>
      </c>
      <c r="L4266" s="5">
        <v>2.46</v>
      </c>
      <c r="M4266" s="10"/>
      <c r="N4266" s="1" t="str">
        <f t="shared" si="5"/>
        <v>Guest</v>
      </c>
      <c r="O4266" s="1" t="s">
        <v>19</v>
      </c>
      <c r="P4266" s="9" t="str">
        <f t="shared" si="6"/>
        <v>UK</v>
      </c>
      <c r="Q4266" s="8">
        <f t="shared" si="7"/>
        <v>12.3</v>
      </c>
    </row>
    <row r="4267">
      <c r="A4267" s="1">
        <v>581492.0</v>
      </c>
      <c r="B4267" s="1" t="str">
        <f t="shared" si="1"/>
        <v>581492</v>
      </c>
      <c r="C4267" s="1" t="str">
        <f t="shared" si="2"/>
        <v>Sale</v>
      </c>
      <c r="D4267" s="1">
        <v>23352.0</v>
      </c>
      <c r="E4267" s="1" t="str">
        <f>IFERROR(__xludf.DUMMYFUNCTION("IF(LEN(D4267)&gt;4, IFERROR(REGEXEXTRACT(TO_TEXT(D4267),""\d+""),""""),"""")"),"23352")</f>
        <v>23352</v>
      </c>
      <c r="F4267" s="6" t="str">
        <f t="shared" si="3"/>
        <v>Product</v>
      </c>
      <c r="G4267" s="1" t="s">
        <v>1569</v>
      </c>
      <c r="H4267" s="6" t="str">
        <f>IFERROR(__xludf.DUMMYFUNCTION("IF(REGEXMATCH(LOWER(G4267), ""^(\?)+\s*(missing)?\s*(\?)*$""), """", PROPER(SUBSTITUTE(SUBSTITUTE(G4267, ""?"", """"), ""*"", """")))"),"Roll Wrap 50'S Red Christmas")</f>
        <v>Roll Wrap 50'S Red Christmas</v>
      </c>
      <c r="I4267" s="3">
        <v>1.0</v>
      </c>
      <c r="J4267" s="7">
        <v>40886.41875</v>
      </c>
      <c r="K4267" s="8" t="str">
        <f t="shared" si="4"/>
        <v>2011-12</v>
      </c>
      <c r="L4267" s="5">
        <v>2.46</v>
      </c>
      <c r="M4267" s="10"/>
      <c r="N4267" s="1" t="str">
        <f t="shared" si="5"/>
        <v>Guest</v>
      </c>
      <c r="O4267" s="1" t="s">
        <v>19</v>
      </c>
      <c r="P4267" s="9" t="str">
        <f t="shared" si="6"/>
        <v>UK</v>
      </c>
      <c r="Q4267" s="8">
        <f t="shared" si="7"/>
        <v>2.46</v>
      </c>
    </row>
    <row r="4268">
      <c r="A4268" s="1">
        <v>581492.0</v>
      </c>
      <c r="B4268" s="1" t="str">
        <f t="shared" si="1"/>
        <v>581492</v>
      </c>
      <c r="C4268" s="1" t="str">
        <f t="shared" si="2"/>
        <v>Sale</v>
      </c>
      <c r="D4268" s="1">
        <v>23353.0</v>
      </c>
      <c r="E4268" s="1" t="str">
        <f>IFERROR(__xludf.DUMMYFUNCTION("IF(LEN(D4268)&gt;4, IFERROR(REGEXEXTRACT(TO_TEXT(D4268),""\d+""),""""),"""")"),"23353")</f>
        <v>23353</v>
      </c>
      <c r="F4268" s="6" t="str">
        <f t="shared" si="3"/>
        <v>Product</v>
      </c>
      <c r="G4268" s="1" t="s">
        <v>2037</v>
      </c>
      <c r="H4268" s="6" t="str">
        <f>IFERROR(__xludf.DUMMYFUNCTION("IF(REGEXMATCH(LOWER(G4268), ""^(\?)+\s*(missing)?\s*(\?)*$""), """", PROPER(SUBSTITUTE(SUBSTITUTE(G4268, ""?"", """"), ""*"", """")))"),"6 Gift Tags Vintage Christmas")</f>
        <v>6 Gift Tags Vintage Christmas</v>
      </c>
      <c r="I4268" s="3">
        <v>3.0</v>
      </c>
      <c r="J4268" s="7">
        <v>40886.41875</v>
      </c>
      <c r="K4268" s="8" t="str">
        <f t="shared" si="4"/>
        <v>2011-12</v>
      </c>
      <c r="L4268" s="5">
        <v>1.63</v>
      </c>
      <c r="M4268" s="10"/>
      <c r="N4268" s="1" t="str">
        <f t="shared" si="5"/>
        <v>Guest</v>
      </c>
      <c r="O4268" s="1" t="s">
        <v>19</v>
      </c>
      <c r="P4268" s="9" t="str">
        <f t="shared" si="6"/>
        <v>UK</v>
      </c>
      <c r="Q4268" s="8">
        <f t="shared" si="7"/>
        <v>4.89</v>
      </c>
    </row>
    <row r="4269">
      <c r="A4269" s="1">
        <v>581492.0</v>
      </c>
      <c r="B4269" s="1" t="str">
        <f t="shared" si="1"/>
        <v>581492</v>
      </c>
      <c r="C4269" s="1" t="str">
        <f t="shared" si="2"/>
        <v>Sale</v>
      </c>
      <c r="D4269" s="1">
        <v>23354.0</v>
      </c>
      <c r="E4269" s="1" t="str">
        <f>IFERROR(__xludf.DUMMYFUNCTION("IF(LEN(D4269)&gt;4, IFERROR(REGEXEXTRACT(TO_TEXT(D4269),""\d+""),""""),"""")"),"23354")</f>
        <v>23354</v>
      </c>
      <c r="F4269" s="6" t="str">
        <f t="shared" si="3"/>
        <v>Product</v>
      </c>
      <c r="G4269" s="1" t="s">
        <v>2038</v>
      </c>
      <c r="H4269" s="6" t="str">
        <f>IFERROR(__xludf.DUMMYFUNCTION("IF(REGEXMATCH(LOWER(G4269), ""^(\?)+\s*(missing)?\s*(\?)*$""), """", PROPER(SUBSTITUTE(SUBSTITUTE(G4269, ""?"", """"), ""*"", """")))"),"6 Gift Tags 50'S Christmas")</f>
        <v>6 Gift Tags 50'S Christmas</v>
      </c>
      <c r="I4269" s="3">
        <v>4.0</v>
      </c>
      <c r="J4269" s="7">
        <v>40886.41875</v>
      </c>
      <c r="K4269" s="8" t="str">
        <f t="shared" si="4"/>
        <v>2011-12</v>
      </c>
      <c r="L4269" s="5">
        <v>1.63</v>
      </c>
      <c r="M4269" s="10"/>
      <c r="N4269" s="1" t="str">
        <f t="shared" si="5"/>
        <v>Guest</v>
      </c>
      <c r="O4269" s="1" t="s">
        <v>19</v>
      </c>
      <c r="P4269" s="9" t="str">
        <f t="shared" si="6"/>
        <v>UK</v>
      </c>
      <c r="Q4269" s="8">
        <f t="shared" si="7"/>
        <v>6.52</v>
      </c>
    </row>
    <row r="4270">
      <c r="A4270" s="1">
        <v>581492.0</v>
      </c>
      <c r="B4270" s="1" t="str">
        <f t="shared" si="1"/>
        <v>581492</v>
      </c>
      <c r="C4270" s="1" t="str">
        <f t="shared" si="2"/>
        <v>Sale</v>
      </c>
      <c r="D4270" s="1">
        <v>23357.0</v>
      </c>
      <c r="E4270" s="1" t="str">
        <f>IFERROR(__xludf.DUMMYFUNCTION("IF(LEN(D4270)&gt;4, IFERROR(REGEXEXTRACT(TO_TEXT(D4270),""\d+""),""""),"""")"),"23357")</f>
        <v>23357</v>
      </c>
      <c r="F4270" s="6" t="str">
        <f t="shared" si="3"/>
        <v>Product</v>
      </c>
      <c r="G4270" s="1" t="s">
        <v>1489</v>
      </c>
      <c r="H4270" s="6" t="str">
        <f>IFERROR(__xludf.DUMMYFUNCTION("IF(REGEXMATCH(LOWER(G4270), ""^(\?)+\s*(missing)?\s*(\?)*$""), """", PROPER(SUBSTITUTE(SUBSTITUTE(G4270, ""?"", """"), ""*"", """")))"),"Hot Water Bottle Sex Bomb")</f>
        <v>Hot Water Bottle Sex Bomb</v>
      </c>
      <c r="I4270" s="3">
        <v>1.0</v>
      </c>
      <c r="J4270" s="7">
        <v>40886.41875</v>
      </c>
      <c r="K4270" s="8" t="str">
        <f t="shared" si="4"/>
        <v>2011-12</v>
      </c>
      <c r="L4270" s="5">
        <v>10.79</v>
      </c>
      <c r="M4270" s="10"/>
      <c r="N4270" s="1" t="str">
        <f t="shared" si="5"/>
        <v>Guest</v>
      </c>
      <c r="O4270" s="1" t="s">
        <v>19</v>
      </c>
      <c r="P4270" s="9" t="str">
        <f t="shared" si="6"/>
        <v>UK</v>
      </c>
      <c r="Q4270" s="8">
        <f t="shared" si="7"/>
        <v>10.79</v>
      </c>
    </row>
    <row r="4271">
      <c r="A4271" s="1">
        <v>581492.0</v>
      </c>
      <c r="B4271" s="1" t="str">
        <f t="shared" si="1"/>
        <v>581492</v>
      </c>
      <c r="C4271" s="1" t="str">
        <f t="shared" si="2"/>
        <v>Sale</v>
      </c>
      <c r="D4271" s="1">
        <v>23358.0</v>
      </c>
      <c r="E4271" s="1" t="str">
        <f>IFERROR(__xludf.DUMMYFUNCTION("IF(LEN(D4271)&gt;4, IFERROR(REGEXEXTRACT(TO_TEXT(D4271),""\d+""),""""),"""")"),"23358")</f>
        <v>23358</v>
      </c>
      <c r="F4271" s="6" t="str">
        <f t="shared" si="3"/>
        <v>Product</v>
      </c>
      <c r="G4271" s="1" t="s">
        <v>1490</v>
      </c>
      <c r="H4271" s="6" t="str">
        <f>IFERROR(__xludf.DUMMYFUNCTION("IF(REGEXMATCH(LOWER(G4271), ""^(\?)+\s*(missing)?\s*(\?)*$""), """", PROPER(SUBSTITUTE(SUBSTITUTE(G4271, ""?"", """"), ""*"", """")))"),"Hot Stuff Hot Water Bottle")</f>
        <v>Hot Stuff Hot Water Bottle</v>
      </c>
      <c r="I4271" s="3">
        <v>1.0</v>
      </c>
      <c r="J4271" s="7">
        <v>40886.41875</v>
      </c>
      <c r="K4271" s="8" t="str">
        <f t="shared" si="4"/>
        <v>2011-12</v>
      </c>
      <c r="L4271" s="5">
        <v>7.46</v>
      </c>
      <c r="M4271" s="10"/>
      <c r="N4271" s="1" t="str">
        <f t="shared" si="5"/>
        <v>Guest</v>
      </c>
      <c r="O4271" s="1" t="s">
        <v>19</v>
      </c>
      <c r="P4271" s="9" t="str">
        <f t="shared" si="6"/>
        <v>UK</v>
      </c>
      <c r="Q4271" s="8">
        <f t="shared" si="7"/>
        <v>7.46</v>
      </c>
    </row>
    <row r="4272">
      <c r="A4272" s="1">
        <v>581492.0</v>
      </c>
      <c r="B4272" s="1" t="str">
        <f t="shared" si="1"/>
        <v>581492</v>
      </c>
      <c r="C4272" s="1" t="str">
        <f t="shared" si="2"/>
        <v>Sale</v>
      </c>
      <c r="D4272" s="1">
        <v>23365.0</v>
      </c>
      <c r="E4272" s="1" t="str">
        <f>IFERROR(__xludf.DUMMYFUNCTION("IF(LEN(D4272)&gt;4, IFERROR(REGEXEXTRACT(TO_TEXT(D4272),""\d+""),""""),"""")"),"23365")</f>
        <v>23365</v>
      </c>
      <c r="F4272" s="6" t="str">
        <f t="shared" si="3"/>
        <v>Product</v>
      </c>
      <c r="G4272" s="1" t="s">
        <v>2039</v>
      </c>
      <c r="H4272" s="6" t="str">
        <f>IFERROR(__xludf.DUMMYFUNCTION("IF(REGEXMATCH(LOWER(G4272), ""^(\?)+\s*(missing)?\s*(\?)*$""), """", PROPER(SUBSTITUTE(SUBSTITUTE(G4272, ""?"", """"), ""*"", """")))"),"Set 12 Colour Pencils Love London")</f>
        <v>Set 12 Colour Pencils Love London</v>
      </c>
      <c r="I4272" s="3">
        <v>1.0</v>
      </c>
      <c r="J4272" s="7">
        <v>40886.41875</v>
      </c>
      <c r="K4272" s="8" t="str">
        <f t="shared" si="4"/>
        <v>2011-12</v>
      </c>
      <c r="L4272" s="5">
        <v>1.25</v>
      </c>
      <c r="M4272" s="10"/>
      <c r="N4272" s="1" t="str">
        <f t="shared" si="5"/>
        <v>Guest</v>
      </c>
      <c r="O4272" s="1" t="s">
        <v>19</v>
      </c>
      <c r="P4272" s="9" t="str">
        <f t="shared" si="6"/>
        <v>UK</v>
      </c>
      <c r="Q4272" s="8">
        <f t="shared" si="7"/>
        <v>1.25</v>
      </c>
    </row>
    <row r="4273">
      <c r="A4273" s="1">
        <v>581492.0</v>
      </c>
      <c r="B4273" s="1" t="str">
        <f t="shared" si="1"/>
        <v>581492</v>
      </c>
      <c r="C4273" s="1" t="str">
        <f t="shared" si="2"/>
        <v>Sale</v>
      </c>
      <c r="D4273" s="1">
        <v>23366.0</v>
      </c>
      <c r="E4273" s="1" t="str">
        <f>IFERROR(__xludf.DUMMYFUNCTION("IF(LEN(D4273)&gt;4, IFERROR(REGEXEXTRACT(TO_TEXT(D4273),""\d+""),""""),"""")"),"23366")</f>
        <v>23366</v>
      </c>
      <c r="F4273" s="6" t="str">
        <f t="shared" si="3"/>
        <v>Product</v>
      </c>
      <c r="G4273" s="1" t="s">
        <v>2040</v>
      </c>
      <c r="H4273" s="6" t="str">
        <f>IFERROR(__xludf.DUMMYFUNCTION("IF(REGEXMATCH(LOWER(G4273), ""^(\?)+\s*(missing)?\s*(\?)*$""), """", PROPER(SUBSTITUTE(SUBSTITUTE(G4273, ""?"", """"), ""*"", """")))"),"Set 12 Colouring Pencils Doily")</f>
        <v>Set 12 Colouring Pencils Doily</v>
      </c>
      <c r="I4273" s="3">
        <v>5.0</v>
      </c>
      <c r="J4273" s="7">
        <v>40886.41875</v>
      </c>
      <c r="K4273" s="8" t="str">
        <f t="shared" si="4"/>
        <v>2011-12</v>
      </c>
      <c r="L4273" s="5">
        <v>1.25</v>
      </c>
      <c r="M4273" s="10"/>
      <c r="N4273" s="1" t="str">
        <f t="shared" si="5"/>
        <v>Guest</v>
      </c>
      <c r="O4273" s="1" t="s">
        <v>19</v>
      </c>
      <c r="P4273" s="9" t="str">
        <f t="shared" si="6"/>
        <v>UK</v>
      </c>
      <c r="Q4273" s="8">
        <f t="shared" si="7"/>
        <v>6.25</v>
      </c>
    </row>
    <row r="4274">
      <c r="A4274" s="1">
        <v>581492.0</v>
      </c>
      <c r="B4274" s="1" t="str">
        <f t="shared" si="1"/>
        <v>581492</v>
      </c>
      <c r="C4274" s="1" t="str">
        <f t="shared" si="2"/>
        <v>Sale</v>
      </c>
      <c r="D4274" s="1">
        <v>23367.0</v>
      </c>
      <c r="E4274" s="1" t="str">
        <f>IFERROR(__xludf.DUMMYFUNCTION("IF(LEN(D4274)&gt;4, IFERROR(REGEXEXTRACT(TO_TEXT(D4274),""\d+""),""""),"""")"),"23367")</f>
        <v>23367</v>
      </c>
      <c r="F4274" s="6" t="str">
        <f t="shared" si="3"/>
        <v>Product</v>
      </c>
      <c r="G4274" s="1" t="s">
        <v>2041</v>
      </c>
      <c r="H4274" s="6" t="str">
        <f>IFERROR(__xludf.DUMMYFUNCTION("IF(REGEXMATCH(LOWER(G4274), ""^(\?)+\s*(missing)?\s*(\?)*$""), """", PROPER(SUBSTITUTE(SUBSTITUTE(G4274, ""?"", """"), ""*"", """")))"),"Set 12 Colour Pencils Spaceboy")</f>
        <v>Set 12 Colour Pencils Spaceboy</v>
      </c>
      <c r="I4274" s="3">
        <v>10.0</v>
      </c>
      <c r="J4274" s="7">
        <v>40886.41875</v>
      </c>
      <c r="K4274" s="8" t="str">
        <f t="shared" si="4"/>
        <v>2011-12</v>
      </c>
      <c r="L4274" s="5">
        <v>1.25</v>
      </c>
      <c r="M4274" s="10"/>
      <c r="N4274" s="1" t="str">
        <f t="shared" si="5"/>
        <v>Guest</v>
      </c>
      <c r="O4274" s="1" t="s">
        <v>19</v>
      </c>
      <c r="P4274" s="9" t="str">
        <f t="shared" si="6"/>
        <v>UK</v>
      </c>
      <c r="Q4274" s="8">
        <f t="shared" si="7"/>
        <v>12.5</v>
      </c>
    </row>
    <row r="4275">
      <c r="A4275" s="1">
        <v>581492.0</v>
      </c>
      <c r="B4275" s="1" t="str">
        <f t="shared" si="1"/>
        <v>581492</v>
      </c>
      <c r="C4275" s="1" t="str">
        <f t="shared" si="2"/>
        <v>Sale</v>
      </c>
      <c r="D4275" s="1">
        <v>23368.0</v>
      </c>
      <c r="E4275" s="1" t="str">
        <f>IFERROR(__xludf.DUMMYFUNCTION("IF(LEN(D4275)&gt;4, IFERROR(REGEXEXTRACT(TO_TEXT(D4275),""\d+""),""""),"""")"),"23368")</f>
        <v>23368</v>
      </c>
      <c r="F4275" s="6" t="str">
        <f t="shared" si="3"/>
        <v>Product</v>
      </c>
      <c r="G4275" s="1" t="s">
        <v>2042</v>
      </c>
      <c r="H4275" s="6" t="str">
        <f>IFERROR(__xludf.DUMMYFUNCTION("IF(REGEXMATCH(LOWER(G4275), ""^(\?)+\s*(missing)?\s*(\?)*$""), """", PROPER(SUBSTITUTE(SUBSTITUTE(G4275, ""?"", """"), ""*"", """")))"),"Set 12 Colour Pencils Dolly Girl")</f>
        <v>Set 12 Colour Pencils Dolly Girl</v>
      </c>
      <c r="I4275" s="3">
        <v>2.0</v>
      </c>
      <c r="J4275" s="7">
        <v>40886.41875</v>
      </c>
      <c r="K4275" s="8" t="str">
        <f t="shared" si="4"/>
        <v>2011-12</v>
      </c>
      <c r="L4275" s="5">
        <v>1.25</v>
      </c>
      <c r="M4275" s="10"/>
      <c r="N4275" s="1" t="str">
        <f t="shared" si="5"/>
        <v>Guest</v>
      </c>
      <c r="O4275" s="1" t="s">
        <v>19</v>
      </c>
      <c r="P4275" s="9" t="str">
        <f t="shared" si="6"/>
        <v>UK</v>
      </c>
      <c r="Q4275" s="8">
        <f t="shared" si="7"/>
        <v>2.5</v>
      </c>
    </row>
    <row r="4276">
      <c r="A4276" s="1">
        <v>581493.0</v>
      </c>
      <c r="B4276" s="1" t="str">
        <f t="shared" si="1"/>
        <v>581493</v>
      </c>
      <c r="C4276" s="1" t="str">
        <f t="shared" si="2"/>
        <v>Sale</v>
      </c>
      <c r="D4276" s="1" t="s">
        <v>2043</v>
      </c>
      <c r="E4276" s="1" t="str">
        <f>IFERROR(__xludf.DUMMYFUNCTION("IF(LEN(D4276)&gt;4, IFERROR(REGEXEXTRACT(TO_TEXT(D4276),""\d+""),""""),"""")"),"79190")</f>
        <v>79190</v>
      </c>
      <c r="F4276" s="6" t="str">
        <f t="shared" si="3"/>
        <v>Product</v>
      </c>
      <c r="G4276" s="1" t="s">
        <v>2044</v>
      </c>
      <c r="H4276" s="6" t="str">
        <f>IFERROR(__xludf.DUMMYFUNCTION("IF(REGEXMATCH(LOWER(G4276), ""^(\?)+\s*(missing)?\s*(\?)*$""), """", PROPER(SUBSTITUTE(SUBSTITUTE(G4276, ""?"", """"), ""*"", """")))"),"Retro Plastic Polka Tray")</f>
        <v>Retro Plastic Polka Tray</v>
      </c>
      <c r="I4276" s="3">
        <v>15.0</v>
      </c>
      <c r="J4276" s="7">
        <v>40886.42361111111</v>
      </c>
      <c r="K4276" s="8" t="str">
        <f t="shared" si="4"/>
        <v>2011-12</v>
      </c>
      <c r="L4276" s="5">
        <v>0.42</v>
      </c>
      <c r="M4276" s="3">
        <v>12423.0</v>
      </c>
      <c r="N4276" s="1" t="str">
        <f t="shared" si="5"/>
        <v>Registered</v>
      </c>
      <c r="O4276" s="1" t="s">
        <v>1037</v>
      </c>
      <c r="P4276" s="9" t="str">
        <f t="shared" si="6"/>
        <v>International</v>
      </c>
      <c r="Q4276" s="8">
        <f t="shared" si="7"/>
        <v>6.3</v>
      </c>
    </row>
    <row r="4277">
      <c r="A4277" s="1">
        <v>581493.0</v>
      </c>
      <c r="B4277" s="1" t="str">
        <f t="shared" si="1"/>
        <v>581493</v>
      </c>
      <c r="C4277" s="1" t="str">
        <f t="shared" si="2"/>
        <v>Sale</v>
      </c>
      <c r="D4277" s="1" t="s">
        <v>2045</v>
      </c>
      <c r="E4277" s="1" t="str">
        <f>IFERROR(__xludf.DUMMYFUNCTION("IF(LEN(D4277)&gt;4, IFERROR(REGEXEXTRACT(TO_TEXT(D4277),""\d+""),""""),"""")"),"79190")</f>
        <v>79190</v>
      </c>
      <c r="F4277" s="6" t="str">
        <f t="shared" si="3"/>
        <v>Product</v>
      </c>
      <c r="G4277" s="1" t="s">
        <v>2046</v>
      </c>
      <c r="H4277" s="6" t="str">
        <f>IFERROR(__xludf.DUMMYFUNCTION("IF(REGEXMATCH(LOWER(G4277), ""^(\?)+\s*(missing)?\s*(\?)*$""), """", PROPER(SUBSTITUTE(SUBSTITUTE(G4277, ""?"", """"), ""*"", """")))"),"Retro Plastic 70'S Tray")</f>
        <v>Retro Plastic 70'S Tray</v>
      </c>
      <c r="I4277" s="3">
        <v>15.0</v>
      </c>
      <c r="J4277" s="7">
        <v>40886.42361111111</v>
      </c>
      <c r="K4277" s="8" t="str">
        <f t="shared" si="4"/>
        <v>2011-12</v>
      </c>
      <c r="L4277" s="5">
        <v>0.42</v>
      </c>
      <c r="M4277" s="3">
        <v>12423.0</v>
      </c>
      <c r="N4277" s="1" t="str">
        <f t="shared" si="5"/>
        <v>Registered</v>
      </c>
      <c r="O4277" s="1" t="s">
        <v>1037</v>
      </c>
      <c r="P4277" s="9" t="str">
        <f t="shared" si="6"/>
        <v>International</v>
      </c>
      <c r="Q4277" s="8">
        <f t="shared" si="7"/>
        <v>6.3</v>
      </c>
    </row>
    <row r="4278">
      <c r="A4278" s="1">
        <v>581493.0</v>
      </c>
      <c r="B4278" s="1" t="str">
        <f t="shared" si="1"/>
        <v>581493</v>
      </c>
      <c r="C4278" s="1" t="str">
        <f t="shared" si="2"/>
        <v>Sale</v>
      </c>
      <c r="D4278" s="1">
        <v>22915.0</v>
      </c>
      <c r="E4278" s="1" t="str">
        <f>IFERROR(__xludf.DUMMYFUNCTION("IF(LEN(D4278)&gt;4, IFERROR(REGEXEXTRACT(TO_TEXT(D4278),""\d+""),""""),"""")"),"22915")</f>
        <v>22915</v>
      </c>
      <c r="F4278" s="6" t="str">
        <f t="shared" si="3"/>
        <v>Product</v>
      </c>
      <c r="G4278" s="1" t="s">
        <v>190</v>
      </c>
      <c r="H4278" s="6" t="str">
        <f>IFERROR(__xludf.DUMMYFUNCTION("IF(REGEXMATCH(LOWER(G4278), ""^(\?)+\s*(missing)?\s*(\?)*$""), """", PROPER(SUBSTITUTE(SUBSTITUTE(G4278, ""?"", """"), ""*"", """")))"),"Assorted Bottle Top Magnets")</f>
        <v>Assorted Bottle Top Magnets</v>
      </c>
      <c r="I4278" s="3">
        <v>12.0</v>
      </c>
      <c r="J4278" s="7">
        <v>40886.42361111111</v>
      </c>
      <c r="K4278" s="8" t="str">
        <f t="shared" si="4"/>
        <v>2011-12</v>
      </c>
      <c r="L4278" s="5">
        <v>0.42</v>
      </c>
      <c r="M4278" s="3">
        <v>12423.0</v>
      </c>
      <c r="N4278" s="1" t="str">
        <f t="shared" si="5"/>
        <v>Registered</v>
      </c>
      <c r="O4278" s="1" t="s">
        <v>1037</v>
      </c>
      <c r="P4278" s="9" t="str">
        <f t="shared" si="6"/>
        <v>International</v>
      </c>
      <c r="Q4278" s="8">
        <f t="shared" si="7"/>
        <v>5.04</v>
      </c>
    </row>
    <row r="4279">
      <c r="A4279" s="1">
        <v>581493.0</v>
      </c>
      <c r="B4279" s="1" t="str">
        <f t="shared" si="1"/>
        <v>581493</v>
      </c>
      <c r="C4279" s="1" t="str">
        <f t="shared" si="2"/>
        <v>Sale</v>
      </c>
      <c r="D4279" s="1">
        <v>22151.0</v>
      </c>
      <c r="E4279" s="1" t="str">
        <f>IFERROR(__xludf.DUMMYFUNCTION("IF(LEN(D4279)&gt;4, IFERROR(REGEXEXTRACT(TO_TEXT(D4279),""\d+""),""""),"""")"),"22151")</f>
        <v>22151</v>
      </c>
      <c r="F4279" s="6" t="str">
        <f t="shared" si="3"/>
        <v>Product</v>
      </c>
      <c r="G4279" s="1" t="s">
        <v>656</v>
      </c>
      <c r="H4279" s="6" t="str">
        <f>IFERROR(__xludf.DUMMYFUNCTION("IF(REGEXMATCH(LOWER(G4279), ""^(\?)+\s*(missing)?\s*(\?)*$""), """", PROPER(SUBSTITUTE(SUBSTITUTE(G4279, ""?"", """"), ""*"", """")))"),"Place Setting White Heart")</f>
        <v>Place Setting White Heart</v>
      </c>
      <c r="I4279" s="3">
        <v>24.0</v>
      </c>
      <c r="J4279" s="7">
        <v>40886.42361111111</v>
      </c>
      <c r="K4279" s="8" t="str">
        <f t="shared" si="4"/>
        <v>2011-12</v>
      </c>
      <c r="L4279" s="5">
        <v>0.42</v>
      </c>
      <c r="M4279" s="3">
        <v>12423.0</v>
      </c>
      <c r="N4279" s="1" t="str">
        <f t="shared" si="5"/>
        <v>Registered</v>
      </c>
      <c r="O4279" s="1" t="s">
        <v>1037</v>
      </c>
      <c r="P4279" s="9" t="str">
        <f t="shared" si="6"/>
        <v>International</v>
      </c>
      <c r="Q4279" s="8">
        <f t="shared" si="7"/>
        <v>10.08</v>
      </c>
    </row>
    <row r="4280">
      <c r="A4280" s="1">
        <v>581493.0</v>
      </c>
      <c r="B4280" s="1" t="str">
        <f t="shared" si="1"/>
        <v>581493</v>
      </c>
      <c r="C4280" s="1" t="str">
        <f t="shared" si="2"/>
        <v>Sale</v>
      </c>
      <c r="D4280" s="1">
        <v>22632.0</v>
      </c>
      <c r="E4280" s="1" t="str">
        <f>IFERROR(__xludf.DUMMYFUNCTION("IF(LEN(D4280)&gt;4, IFERROR(REGEXEXTRACT(TO_TEXT(D4280),""\d+""),""""),"""")"),"22632")</f>
        <v>22632</v>
      </c>
      <c r="F4280" s="6" t="str">
        <f t="shared" si="3"/>
        <v>Product</v>
      </c>
      <c r="G4280" s="1" t="s">
        <v>248</v>
      </c>
      <c r="H4280" s="6" t="str">
        <f>IFERROR(__xludf.DUMMYFUNCTION("IF(REGEXMATCH(LOWER(G4280), ""^(\?)+\s*(missing)?\s*(\?)*$""), """", PROPER(SUBSTITUTE(SUBSTITUTE(G4280, ""?"", """"), ""*"", """")))"),"Hand Warmer Red Retrospot")</f>
        <v>Hand Warmer Red Retrospot</v>
      </c>
      <c r="I4280" s="3">
        <v>12.0</v>
      </c>
      <c r="J4280" s="7">
        <v>40886.42361111111</v>
      </c>
      <c r="K4280" s="8" t="str">
        <f t="shared" si="4"/>
        <v>2011-12</v>
      </c>
      <c r="L4280" s="5">
        <v>2.1</v>
      </c>
      <c r="M4280" s="3">
        <v>12423.0</v>
      </c>
      <c r="N4280" s="1" t="str">
        <f t="shared" si="5"/>
        <v>Registered</v>
      </c>
      <c r="O4280" s="1" t="s">
        <v>1037</v>
      </c>
      <c r="P4280" s="9" t="str">
        <f t="shared" si="6"/>
        <v>International</v>
      </c>
      <c r="Q4280" s="8">
        <f t="shared" si="7"/>
        <v>25.2</v>
      </c>
    </row>
    <row r="4281">
      <c r="A4281" s="1">
        <v>581493.0</v>
      </c>
      <c r="B4281" s="1" t="str">
        <f t="shared" si="1"/>
        <v>581493</v>
      </c>
      <c r="C4281" s="1" t="str">
        <f t="shared" si="2"/>
        <v>Sale</v>
      </c>
      <c r="D4281" s="1">
        <v>22865.0</v>
      </c>
      <c r="E4281" s="1" t="str">
        <f>IFERROR(__xludf.DUMMYFUNCTION("IF(LEN(D4281)&gt;4, IFERROR(REGEXEXTRACT(TO_TEXT(D4281),""\d+""),""""),"""")"),"22865")</f>
        <v>22865</v>
      </c>
      <c r="F4281" s="6" t="str">
        <f t="shared" si="3"/>
        <v>Product</v>
      </c>
      <c r="G4281" s="1" t="s">
        <v>247</v>
      </c>
      <c r="H4281" s="6" t="str">
        <f>IFERROR(__xludf.DUMMYFUNCTION("IF(REGEXMATCH(LOWER(G4281), ""^(\?)+\s*(missing)?\s*(\?)*$""), """", PROPER(SUBSTITUTE(SUBSTITUTE(G4281, ""?"", """"), ""*"", """")))"),"Hand Warmer Owl Design")</f>
        <v>Hand Warmer Owl Design</v>
      </c>
      <c r="I4281" s="3">
        <v>12.0</v>
      </c>
      <c r="J4281" s="7">
        <v>40886.42361111111</v>
      </c>
      <c r="K4281" s="8" t="str">
        <f t="shared" si="4"/>
        <v>2011-12</v>
      </c>
      <c r="L4281" s="5">
        <v>2.1</v>
      </c>
      <c r="M4281" s="3">
        <v>12423.0</v>
      </c>
      <c r="N4281" s="1" t="str">
        <f t="shared" si="5"/>
        <v>Registered</v>
      </c>
      <c r="O4281" s="1" t="s">
        <v>1037</v>
      </c>
      <c r="P4281" s="9" t="str">
        <f t="shared" si="6"/>
        <v>International</v>
      </c>
      <c r="Q4281" s="8">
        <f t="shared" si="7"/>
        <v>25.2</v>
      </c>
    </row>
    <row r="4282">
      <c r="A4282" s="1">
        <v>581493.0</v>
      </c>
      <c r="B4282" s="1" t="str">
        <f t="shared" si="1"/>
        <v>581493</v>
      </c>
      <c r="C4282" s="1" t="str">
        <f t="shared" si="2"/>
        <v>Sale</v>
      </c>
      <c r="D4282" s="1">
        <v>20718.0</v>
      </c>
      <c r="E4282" s="1" t="str">
        <f>IFERROR(__xludf.DUMMYFUNCTION("IF(LEN(D4282)&gt;4, IFERROR(REGEXEXTRACT(TO_TEXT(D4282),""\d+""),""""),"""")"),"20718")</f>
        <v>20718</v>
      </c>
      <c r="F4282" s="6" t="str">
        <f t="shared" si="3"/>
        <v>Product</v>
      </c>
      <c r="G4282" s="1" t="s">
        <v>699</v>
      </c>
      <c r="H4282" s="6" t="str">
        <f>IFERROR(__xludf.DUMMYFUNCTION("IF(REGEXMATCH(LOWER(G4282), ""^(\?)+\s*(missing)?\s*(\?)*$""), """", PROPER(SUBSTITUTE(SUBSTITUTE(G4282, ""?"", """"), ""*"", """")))"),"Red Retrospot Shopper Bag")</f>
        <v>Red Retrospot Shopper Bag</v>
      </c>
      <c r="I4282" s="3">
        <v>10.0</v>
      </c>
      <c r="J4282" s="7">
        <v>40886.42361111111</v>
      </c>
      <c r="K4282" s="8" t="str">
        <f t="shared" si="4"/>
        <v>2011-12</v>
      </c>
      <c r="L4282" s="5">
        <v>1.25</v>
      </c>
      <c r="M4282" s="3">
        <v>12423.0</v>
      </c>
      <c r="N4282" s="1" t="str">
        <f t="shared" si="5"/>
        <v>Registered</v>
      </c>
      <c r="O4282" s="1" t="s">
        <v>1037</v>
      </c>
      <c r="P4282" s="9" t="str">
        <f t="shared" si="6"/>
        <v>International</v>
      </c>
      <c r="Q4282" s="8">
        <f t="shared" si="7"/>
        <v>12.5</v>
      </c>
    </row>
    <row r="4283">
      <c r="A4283" s="1">
        <v>581493.0</v>
      </c>
      <c r="B4283" s="1" t="str">
        <f t="shared" si="1"/>
        <v>581493</v>
      </c>
      <c r="C4283" s="1" t="str">
        <f t="shared" si="2"/>
        <v>Sale</v>
      </c>
      <c r="D4283" s="1" t="s">
        <v>2047</v>
      </c>
      <c r="E4283" s="1" t="str">
        <f>IFERROR(__xludf.DUMMYFUNCTION("IF(LEN(D4283)&gt;4, IFERROR(REGEXEXTRACT(TO_TEXT(D4283),""\d+""),""""),"""")"),"79191")</f>
        <v>79191</v>
      </c>
      <c r="F4283" s="6" t="str">
        <f t="shared" si="3"/>
        <v>Product</v>
      </c>
      <c r="G4283" s="1" t="s">
        <v>2044</v>
      </c>
      <c r="H4283" s="6" t="str">
        <f>IFERROR(__xludf.DUMMYFUNCTION("IF(REGEXMATCH(LOWER(G4283), ""^(\?)+\s*(missing)?\s*(\?)*$""), """", PROPER(SUBSTITUTE(SUBSTITUTE(G4283, ""?"", """"), ""*"", """")))"),"Retro Plastic Polka Tray")</f>
        <v>Retro Plastic Polka Tray</v>
      </c>
      <c r="I4283" s="3">
        <v>12.0</v>
      </c>
      <c r="J4283" s="7">
        <v>40886.42361111111</v>
      </c>
      <c r="K4283" s="8" t="str">
        <f t="shared" si="4"/>
        <v>2011-12</v>
      </c>
      <c r="L4283" s="5">
        <v>0.85</v>
      </c>
      <c r="M4283" s="3">
        <v>12423.0</v>
      </c>
      <c r="N4283" s="1" t="str">
        <f t="shared" si="5"/>
        <v>Registered</v>
      </c>
      <c r="O4283" s="1" t="s">
        <v>1037</v>
      </c>
      <c r="P4283" s="9" t="str">
        <f t="shared" si="6"/>
        <v>International</v>
      </c>
      <c r="Q4283" s="8">
        <f t="shared" si="7"/>
        <v>10.2</v>
      </c>
    </row>
    <row r="4284">
      <c r="A4284" s="1">
        <v>581493.0</v>
      </c>
      <c r="B4284" s="1" t="str">
        <f t="shared" si="1"/>
        <v>581493</v>
      </c>
      <c r="C4284" s="1" t="str">
        <f t="shared" si="2"/>
        <v>Sale</v>
      </c>
      <c r="D4284" s="1">
        <v>71459.0</v>
      </c>
      <c r="E4284" s="1" t="str">
        <f>IFERROR(__xludf.DUMMYFUNCTION("IF(LEN(D4284)&gt;4, IFERROR(REGEXEXTRACT(TO_TEXT(D4284),""\d+""),""""),"""")"),"71459")</f>
        <v>71459</v>
      </c>
      <c r="F4284" s="6" t="str">
        <f t="shared" si="3"/>
        <v>Product</v>
      </c>
      <c r="G4284" s="1" t="s">
        <v>2048</v>
      </c>
      <c r="H4284" s="6" t="str">
        <f>IFERROR(__xludf.DUMMYFUNCTION("IF(REGEXMATCH(LOWER(G4284), ""^(\?)+\s*(missing)?\s*(\?)*$""), """", PROPER(SUBSTITUTE(SUBSTITUTE(G4284, ""?"", """"), ""*"", """")))"),"Hanging Jam Jar T-Light Holders")</f>
        <v>Hanging Jam Jar T-Light Holders</v>
      </c>
      <c r="I4284" s="3">
        <v>12.0</v>
      </c>
      <c r="J4284" s="7">
        <v>40886.42361111111</v>
      </c>
      <c r="K4284" s="8" t="str">
        <f t="shared" si="4"/>
        <v>2011-12</v>
      </c>
      <c r="L4284" s="5">
        <v>0.85</v>
      </c>
      <c r="M4284" s="3">
        <v>12423.0</v>
      </c>
      <c r="N4284" s="1" t="str">
        <f t="shared" si="5"/>
        <v>Registered</v>
      </c>
      <c r="O4284" s="1" t="s">
        <v>1037</v>
      </c>
      <c r="P4284" s="9" t="str">
        <f t="shared" si="6"/>
        <v>International</v>
      </c>
      <c r="Q4284" s="8">
        <f t="shared" si="7"/>
        <v>10.2</v>
      </c>
    </row>
    <row r="4285">
      <c r="A4285" s="1">
        <v>581493.0</v>
      </c>
      <c r="B4285" s="1" t="str">
        <f t="shared" si="1"/>
        <v>581493</v>
      </c>
      <c r="C4285" s="1" t="str">
        <f t="shared" si="2"/>
        <v>Sale</v>
      </c>
      <c r="D4285" s="1">
        <v>84945.0</v>
      </c>
      <c r="E4285" s="1" t="str">
        <f>IFERROR(__xludf.DUMMYFUNCTION("IF(LEN(D4285)&gt;4, IFERROR(REGEXEXTRACT(TO_TEXT(D4285),""\d+""),""""),"""")"),"84945")</f>
        <v>84945</v>
      </c>
      <c r="F4285" s="6" t="str">
        <f t="shared" si="3"/>
        <v>Product</v>
      </c>
      <c r="G4285" s="1" t="s">
        <v>986</v>
      </c>
      <c r="H4285" s="6" t="str">
        <f>IFERROR(__xludf.DUMMYFUNCTION("IF(REGEXMATCH(LOWER(G4285), ""^(\?)+\s*(missing)?\s*(\?)*$""), """", PROPER(SUBSTITUTE(SUBSTITUTE(G4285, ""?"", """"), ""*"", """")))"),"Multi Colour Silver T-Light Holder")</f>
        <v>Multi Colour Silver T-Light Holder</v>
      </c>
      <c r="I4285" s="3">
        <v>12.0</v>
      </c>
      <c r="J4285" s="7">
        <v>40886.42361111111</v>
      </c>
      <c r="K4285" s="8" t="str">
        <f t="shared" si="4"/>
        <v>2011-12</v>
      </c>
      <c r="L4285" s="5">
        <v>0.85</v>
      </c>
      <c r="M4285" s="3">
        <v>12423.0</v>
      </c>
      <c r="N4285" s="1" t="str">
        <f t="shared" si="5"/>
        <v>Registered</v>
      </c>
      <c r="O4285" s="1" t="s">
        <v>1037</v>
      </c>
      <c r="P4285" s="9" t="str">
        <f t="shared" si="6"/>
        <v>International</v>
      </c>
      <c r="Q4285" s="8">
        <f t="shared" si="7"/>
        <v>10.2</v>
      </c>
    </row>
    <row r="4286">
      <c r="A4286" s="1">
        <v>581493.0</v>
      </c>
      <c r="B4286" s="1" t="str">
        <f t="shared" si="1"/>
        <v>581493</v>
      </c>
      <c r="C4286" s="1" t="str">
        <f t="shared" si="2"/>
        <v>Sale</v>
      </c>
      <c r="D4286" s="1">
        <v>22356.0</v>
      </c>
      <c r="E4286" s="1" t="str">
        <f>IFERROR(__xludf.DUMMYFUNCTION("IF(LEN(D4286)&gt;4, IFERROR(REGEXEXTRACT(TO_TEXT(D4286),""\d+""),""""),"""")"),"22356")</f>
        <v>22356</v>
      </c>
      <c r="F4286" s="6" t="str">
        <f t="shared" si="3"/>
        <v>Product</v>
      </c>
      <c r="G4286" s="1" t="s">
        <v>808</v>
      </c>
      <c r="H4286" s="6" t="str">
        <f>IFERROR(__xludf.DUMMYFUNCTION("IF(REGEXMATCH(LOWER(G4286), ""^(\?)+\s*(missing)?\s*(\?)*$""), """", PROPER(SUBSTITUTE(SUBSTITUTE(G4286, ""?"", """"), ""*"", """")))"),"Charlotte Bag Pink Polkadot")</f>
        <v>Charlotte Bag Pink Polkadot</v>
      </c>
      <c r="I4286" s="3">
        <v>10.0</v>
      </c>
      <c r="J4286" s="7">
        <v>40886.42361111111</v>
      </c>
      <c r="K4286" s="8" t="str">
        <f t="shared" si="4"/>
        <v>2011-12</v>
      </c>
      <c r="L4286" s="5">
        <v>0.85</v>
      </c>
      <c r="M4286" s="3">
        <v>12423.0</v>
      </c>
      <c r="N4286" s="1" t="str">
        <f t="shared" si="5"/>
        <v>Registered</v>
      </c>
      <c r="O4286" s="1" t="s">
        <v>1037</v>
      </c>
      <c r="P4286" s="9" t="str">
        <f t="shared" si="6"/>
        <v>International</v>
      </c>
      <c r="Q4286" s="8">
        <f t="shared" si="7"/>
        <v>8.5</v>
      </c>
    </row>
    <row r="4287">
      <c r="A4287" s="1">
        <v>581493.0</v>
      </c>
      <c r="B4287" s="1" t="str">
        <f t="shared" si="1"/>
        <v>581493</v>
      </c>
      <c r="C4287" s="1" t="str">
        <f t="shared" si="2"/>
        <v>Sale</v>
      </c>
      <c r="D4287" s="1">
        <v>20724.0</v>
      </c>
      <c r="E4287" s="1" t="str">
        <f>IFERROR(__xludf.DUMMYFUNCTION("IF(LEN(D4287)&gt;4, IFERROR(REGEXEXTRACT(TO_TEXT(D4287),""\d+""),""""),"""")"),"20724")</f>
        <v>20724</v>
      </c>
      <c r="F4287" s="6" t="str">
        <f t="shared" si="3"/>
        <v>Product</v>
      </c>
      <c r="G4287" s="1" t="s">
        <v>701</v>
      </c>
      <c r="H4287" s="6" t="str">
        <f>IFERROR(__xludf.DUMMYFUNCTION("IF(REGEXMATCH(LOWER(G4287), ""^(\?)+\s*(missing)?\s*(\?)*$""), """", PROPER(SUBSTITUTE(SUBSTITUTE(G4287, ""?"", """"), ""*"", """")))"),"Red Retrospot Charlotte Bag")</f>
        <v>Red Retrospot Charlotte Bag</v>
      </c>
      <c r="I4287" s="3">
        <v>10.0</v>
      </c>
      <c r="J4287" s="7">
        <v>40886.42361111111</v>
      </c>
      <c r="K4287" s="8" t="str">
        <f t="shared" si="4"/>
        <v>2011-12</v>
      </c>
      <c r="L4287" s="5">
        <v>0.85</v>
      </c>
      <c r="M4287" s="3">
        <v>12423.0</v>
      </c>
      <c r="N4287" s="1" t="str">
        <f t="shared" si="5"/>
        <v>Registered</v>
      </c>
      <c r="O4287" s="1" t="s">
        <v>1037</v>
      </c>
      <c r="P4287" s="9" t="str">
        <f t="shared" si="6"/>
        <v>International</v>
      </c>
      <c r="Q4287" s="8">
        <f t="shared" si="7"/>
        <v>8.5</v>
      </c>
    </row>
    <row r="4288">
      <c r="A4288" s="1">
        <v>581493.0</v>
      </c>
      <c r="B4288" s="1" t="str">
        <f t="shared" si="1"/>
        <v>581493</v>
      </c>
      <c r="C4288" s="1" t="str">
        <f t="shared" si="2"/>
        <v>Sale</v>
      </c>
      <c r="D4288" s="1">
        <v>23204.0</v>
      </c>
      <c r="E4288" s="1" t="str">
        <f>IFERROR(__xludf.DUMMYFUNCTION("IF(LEN(D4288)&gt;4, IFERROR(REGEXEXTRACT(TO_TEXT(D4288),""\d+""),""""),"""")"),"23204")</f>
        <v>23204</v>
      </c>
      <c r="F4288" s="6" t="str">
        <f t="shared" si="3"/>
        <v>Product</v>
      </c>
      <c r="G4288" s="1" t="s">
        <v>1997</v>
      </c>
      <c r="H4288" s="6" t="str">
        <f>IFERROR(__xludf.DUMMYFUNCTION("IF(REGEXMATCH(LOWER(G4288), ""^(\?)+\s*(missing)?\s*(\?)*$""), """", PROPER(SUBSTITUTE(SUBSTITUTE(G4288, ""?"", """"), ""*"", """")))"),"Charlotte Bag Apples Design")</f>
        <v>Charlotte Bag Apples Design</v>
      </c>
      <c r="I4288" s="3">
        <v>10.0</v>
      </c>
      <c r="J4288" s="7">
        <v>40886.42361111111</v>
      </c>
      <c r="K4288" s="8" t="str">
        <f t="shared" si="4"/>
        <v>2011-12</v>
      </c>
      <c r="L4288" s="5">
        <v>0.85</v>
      </c>
      <c r="M4288" s="3">
        <v>12423.0</v>
      </c>
      <c r="N4288" s="1" t="str">
        <f t="shared" si="5"/>
        <v>Registered</v>
      </c>
      <c r="O4288" s="1" t="s">
        <v>1037</v>
      </c>
      <c r="P4288" s="9" t="str">
        <f t="shared" si="6"/>
        <v>International</v>
      </c>
      <c r="Q4288" s="8">
        <f t="shared" si="7"/>
        <v>8.5</v>
      </c>
    </row>
    <row r="4289">
      <c r="A4289" s="1">
        <v>581493.0</v>
      </c>
      <c r="B4289" s="1" t="str">
        <f t="shared" si="1"/>
        <v>581493</v>
      </c>
      <c r="C4289" s="1" t="str">
        <f t="shared" si="2"/>
        <v>Sale</v>
      </c>
      <c r="D4289" s="1">
        <v>21108.0</v>
      </c>
      <c r="E4289" s="1" t="str">
        <f>IFERROR(__xludf.DUMMYFUNCTION("IF(LEN(D4289)&gt;4, IFERROR(REGEXEXTRACT(TO_TEXT(D4289),""\d+""),""""),"""")"),"21108")</f>
        <v>21108</v>
      </c>
      <c r="F4289" s="6" t="str">
        <f t="shared" si="3"/>
        <v>Product</v>
      </c>
      <c r="G4289" s="1" t="s">
        <v>328</v>
      </c>
      <c r="H4289" s="6" t="str">
        <f>IFERROR(__xludf.DUMMYFUNCTION("IF(REGEXMATCH(LOWER(G4289), ""^(\?)+\s*(missing)?\s*(\?)*$""), """", PROPER(SUBSTITUTE(SUBSTITUTE(G4289, ""?"", """"), ""*"", """")))"),"Fairy Cake Flannel Assorted Colour")</f>
        <v>Fairy Cake Flannel Assorted Colour</v>
      </c>
      <c r="I4289" s="3">
        <v>18.0</v>
      </c>
      <c r="J4289" s="7">
        <v>40886.42361111111</v>
      </c>
      <c r="K4289" s="8" t="str">
        <f t="shared" si="4"/>
        <v>2011-12</v>
      </c>
      <c r="L4289" s="5">
        <v>0.79</v>
      </c>
      <c r="M4289" s="3">
        <v>12423.0</v>
      </c>
      <c r="N4289" s="1" t="str">
        <f t="shared" si="5"/>
        <v>Registered</v>
      </c>
      <c r="O4289" s="1" t="s">
        <v>1037</v>
      </c>
      <c r="P4289" s="9" t="str">
        <f t="shared" si="6"/>
        <v>International</v>
      </c>
      <c r="Q4289" s="8">
        <f t="shared" si="7"/>
        <v>14.22</v>
      </c>
    </row>
    <row r="4290">
      <c r="A4290" s="1">
        <v>581493.0</v>
      </c>
      <c r="B4290" s="1" t="str">
        <f t="shared" si="1"/>
        <v>581493</v>
      </c>
      <c r="C4290" s="1" t="str">
        <f t="shared" si="2"/>
        <v>Sale</v>
      </c>
      <c r="D4290" s="1">
        <v>22252.0</v>
      </c>
      <c r="E4290" s="1" t="str">
        <f>IFERROR(__xludf.DUMMYFUNCTION("IF(LEN(D4290)&gt;4, IFERROR(REGEXEXTRACT(TO_TEXT(D4290),""\d+""),""""),"""")"),"22252")</f>
        <v>22252</v>
      </c>
      <c r="F4290" s="6" t="str">
        <f t="shared" si="3"/>
        <v>Product</v>
      </c>
      <c r="G4290" s="1" t="s">
        <v>2049</v>
      </c>
      <c r="H4290" s="6" t="str">
        <f>IFERROR(__xludf.DUMMYFUNCTION("IF(REGEXMATCH(LOWER(G4290), ""^(\?)+\s*(missing)?\s*(\?)*$""), """", PROPER(SUBSTITUTE(SUBSTITUTE(G4290, ""?"", """"), ""*"", """")))"),"Birdcage Decoration Tealight Holder")</f>
        <v>Birdcage Decoration Tealight Holder</v>
      </c>
      <c r="I4290" s="3">
        <v>12.0</v>
      </c>
      <c r="J4290" s="7">
        <v>40886.42361111111</v>
      </c>
      <c r="K4290" s="8" t="str">
        <f t="shared" si="4"/>
        <v>2011-12</v>
      </c>
      <c r="L4290" s="5">
        <v>1.25</v>
      </c>
      <c r="M4290" s="3">
        <v>12423.0</v>
      </c>
      <c r="N4290" s="1" t="str">
        <f t="shared" si="5"/>
        <v>Registered</v>
      </c>
      <c r="O4290" s="1" t="s">
        <v>1037</v>
      </c>
      <c r="P4290" s="9" t="str">
        <f t="shared" si="6"/>
        <v>International</v>
      </c>
      <c r="Q4290" s="8">
        <f t="shared" si="7"/>
        <v>15</v>
      </c>
    </row>
    <row r="4291">
      <c r="A4291" s="1">
        <v>581493.0</v>
      </c>
      <c r="B4291" s="1" t="str">
        <f t="shared" si="1"/>
        <v>581493</v>
      </c>
      <c r="C4291" s="1" t="str">
        <f t="shared" si="2"/>
        <v>Sale</v>
      </c>
      <c r="D4291" s="1">
        <v>22807.0</v>
      </c>
      <c r="E4291" s="1" t="str">
        <f>IFERROR(__xludf.DUMMYFUNCTION("IF(LEN(D4291)&gt;4, IFERROR(REGEXEXTRACT(TO_TEXT(D4291),""\d+""),""""),"""")"),"22807")</f>
        <v>22807</v>
      </c>
      <c r="F4291" s="6" t="str">
        <f t="shared" si="3"/>
        <v>Product</v>
      </c>
      <c r="G4291" s="1" t="s">
        <v>507</v>
      </c>
      <c r="H4291" s="6" t="str">
        <f>IFERROR(__xludf.DUMMYFUNCTION("IF(REGEXMATCH(LOWER(G4291), ""^(\?)+\s*(missing)?\s*(\?)*$""), """", PROPER(SUBSTITUTE(SUBSTITUTE(G4291, ""?"", """"), ""*"", """")))"),"Set Of 6 T-Lights Toadstools")</f>
        <v>Set Of 6 T-Lights Toadstools</v>
      </c>
      <c r="I4291" s="3">
        <v>6.0</v>
      </c>
      <c r="J4291" s="7">
        <v>40886.42361111111</v>
      </c>
      <c r="K4291" s="8" t="str">
        <f t="shared" si="4"/>
        <v>2011-12</v>
      </c>
      <c r="L4291" s="5">
        <v>2.95</v>
      </c>
      <c r="M4291" s="3">
        <v>12423.0</v>
      </c>
      <c r="N4291" s="1" t="str">
        <f t="shared" si="5"/>
        <v>Registered</v>
      </c>
      <c r="O4291" s="1" t="s">
        <v>1037</v>
      </c>
      <c r="P4291" s="9" t="str">
        <f t="shared" si="6"/>
        <v>International</v>
      </c>
      <c r="Q4291" s="8">
        <f t="shared" si="7"/>
        <v>17.7</v>
      </c>
    </row>
    <row r="4292">
      <c r="A4292" s="1">
        <v>581493.0</v>
      </c>
      <c r="B4292" s="1" t="str">
        <f t="shared" si="1"/>
        <v>581493</v>
      </c>
      <c r="C4292" s="1" t="str">
        <f t="shared" si="2"/>
        <v>Sale</v>
      </c>
      <c r="D4292" s="1" t="s">
        <v>68</v>
      </c>
      <c r="E4292" s="1" t="str">
        <f>IFERROR(__xludf.DUMMYFUNCTION("IF(LEN(D4292)&gt;4, IFERROR(REGEXEXTRACT(TO_TEXT(D4292),""\d+""),""""),"""")"),"")</f>
        <v/>
      </c>
      <c r="F4292" s="6" t="str">
        <f t="shared" si="3"/>
        <v>Shipping</v>
      </c>
      <c r="G4292" s="1" t="s">
        <v>69</v>
      </c>
      <c r="H4292" s="6" t="str">
        <f>IFERROR(__xludf.DUMMYFUNCTION("IF(REGEXMATCH(LOWER(G4292), ""^(\?)+\s*(missing)?\s*(\?)*$""), """", PROPER(SUBSTITUTE(SUBSTITUTE(G4292, ""?"", """"), ""*"", """")))"),"Postage")</f>
        <v>Postage</v>
      </c>
      <c r="I4292" s="3">
        <v>1.0</v>
      </c>
      <c r="J4292" s="7">
        <v>40886.42361111111</v>
      </c>
      <c r="K4292" s="8" t="str">
        <f t="shared" si="4"/>
        <v>2011-12</v>
      </c>
      <c r="L4292" s="5">
        <v>15.0</v>
      </c>
      <c r="M4292" s="3">
        <v>12423.0</v>
      </c>
      <c r="N4292" s="1" t="str">
        <f t="shared" si="5"/>
        <v>Registered</v>
      </c>
      <c r="O4292" s="1" t="s">
        <v>1037</v>
      </c>
      <c r="P4292" s="9" t="str">
        <f t="shared" si="6"/>
        <v>International</v>
      </c>
      <c r="Q4292" s="8">
        <f t="shared" si="7"/>
        <v>15</v>
      </c>
    </row>
    <row r="4293">
      <c r="A4293" s="1">
        <v>581494.0</v>
      </c>
      <c r="B4293" s="1" t="str">
        <f t="shared" si="1"/>
        <v>581494</v>
      </c>
      <c r="C4293" s="1" t="str">
        <f t="shared" si="2"/>
        <v>Sale</v>
      </c>
      <c r="D4293" s="1">
        <v>23084.0</v>
      </c>
      <c r="E4293" s="1" t="str">
        <f>IFERROR(__xludf.DUMMYFUNCTION("IF(LEN(D4293)&gt;4, IFERROR(REGEXEXTRACT(TO_TEXT(D4293),""\d+""),""""),"""")"),"23084")</f>
        <v>23084</v>
      </c>
      <c r="F4293" s="6" t="str">
        <f t="shared" si="3"/>
        <v>Product</v>
      </c>
      <c r="G4293" s="1" t="s">
        <v>1473</v>
      </c>
      <c r="H4293" s="6" t="str">
        <f>IFERROR(__xludf.DUMMYFUNCTION("IF(REGEXMATCH(LOWER(G4293), ""^(\?)+\s*(missing)?\s*(\?)*$""), """", PROPER(SUBSTITUTE(SUBSTITUTE(G4293, ""?"", """"), ""*"", """")))"),"Rabbit Night Light")</f>
        <v>Rabbit Night Light</v>
      </c>
      <c r="I4293" s="3">
        <v>24.0</v>
      </c>
      <c r="J4293" s="7">
        <v>40886.42569444444</v>
      </c>
      <c r="K4293" s="8" t="str">
        <f t="shared" si="4"/>
        <v>2011-12</v>
      </c>
      <c r="L4293" s="5">
        <v>1.79</v>
      </c>
      <c r="M4293" s="3">
        <v>12518.0</v>
      </c>
      <c r="N4293" s="1" t="str">
        <f t="shared" si="5"/>
        <v>Registered</v>
      </c>
      <c r="O4293" s="1" t="s">
        <v>1288</v>
      </c>
      <c r="P4293" s="9" t="str">
        <f t="shared" si="6"/>
        <v>International</v>
      </c>
      <c r="Q4293" s="8">
        <f t="shared" si="7"/>
        <v>42.96</v>
      </c>
    </row>
    <row r="4294">
      <c r="A4294" s="1">
        <v>581494.0</v>
      </c>
      <c r="B4294" s="1" t="str">
        <f t="shared" si="1"/>
        <v>581494</v>
      </c>
      <c r="C4294" s="1" t="str">
        <f t="shared" si="2"/>
        <v>Sale</v>
      </c>
      <c r="D4294" s="1">
        <v>21559.0</v>
      </c>
      <c r="E4294" s="1" t="str">
        <f>IFERROR(__xludf.DUMMYFUNCTION("IF(LEN(D4294)&gt;4, IFERROR(REGEXEXTRACT(TO_TEXT(D4294),""\d+""),""""),"""")"),"21559")</f>
        <v>21559</v>
      </c>
      <c r="F4294" s="6" t="str">
        <f t="shared" si="3"/>
        <v>Product</v>
      </c>
      <c r="G4294" s="1" t="s">
        <v>95</v>
      </c>
      <c r="H4294" s="6" t="str">
        <f>IFERROR(__xludf.DUMMYFUNCTION("IF(REGEXMATCH(LOWER(G4294), ""^(\?)+\s*(missing)?\s*(\?)*$""), """", PROPER(SUBSTITUTE(SUBSTITUTE(G4294, ""?"", """"), ""*"", """")))"),"Strawberry Lunch Box With Cutlery")</f>
        <v>Strawberry Lunch Box With Cutlery</v>
      </c>
      <c r="I4294" s="3">
        <v>6.0</v>
      </c>
      <c r="J4294" s="7">
        <v>40886.42569444444</v>
      </c>
      <c r="K4294" s="8" t="str">
        <f t="shared" si="4"/>
        <v>2011-12</v>
      </c>
      <c r="L4294" s="5">
        <v>2.55</v>
      </c>
      <c r="M4294" s="3">
        <v>12518.0</v>
      </c>
      <c r="N4294" s="1" t="str">
        <f t="shared" si="5"/>
        <v>Registered</v>
      </c>
      <c r="O4294" s="1" t="s">
        <v>1288</v>
      </c>
      <c r="P4294" s="9" t="str">
        <f t="shared" si="6"/>
        <v>International</v>
      </c>
      <c r="Q4294" s="8">
        <f t="shared" si="7"/>
        <v>15.3</v>
      </c>
    </row>
    <row r="4295">
      <c r="A4295" s="1">
        <v>581494.0</v>
      </c>
      <c r="B4295" s="1" t="str">
        <f t="shared" si="1"/>
        <v>581494</v>
      </c>
      <c r="C4295" s="1" t="str">
        <f t="shared" si="2"/>
        <v>Sale</v>
      </c>
      <c r="D4295" s="1">
        <v>21506.0</v>
      </c>
      <c r="E4295" s="1" t="str">
        <f>IFERROR(__xludf.DUMMYFUNCTION("IF(LEN(D4295)&gt;4, IFERROR(REGEXEXTRACT(TO_TEXT(D4295),""\d+""),""""),"""")"),"21506")</f>
        <v>21506</v>
      </c>
      <c r="F4295" s="6" t="str">
        <f t="shared" si="3"/>
        <v>Product</v>
      </c>
      <c r="G4295" s="1" t="s">
        <v>245</v>
      </c>
      <c r="H4295" s="6" t="str">
        <f>IFERROR(__xludf.DUMMYFUNCTION("IF(REGEXMATCH(LOWER(G4295), ""^(\?)+\s*(missing)?\s*(\?)*$""), """", PROPER(SUBSTITUTE(SUBSTITUTE(G4295, ""?"", """"), ""*"", """")))"),"Fancy Font Birthday Card,")</f>
        <v>Fancy Font Birthday Card,</v>
      </c>
      <c r="I4295" s="3">
        <v>12.0</v>
      </c>
      <c r="J4295" s="7">
        <v>40886.42569444444</v>
      </c>
      <c r="K4295" s="8" t="str">
        <f t="shared" si="4"/>
        <v>2011-12</v>
      </c>
      <c r="L4295" s="5">
        <v>0.42</v>
      </c>
      <c r="M4295" s="3">
        <v>12518.0</v>
      </c>
      <c r="N4295" s="1" t="str">
        <f t="shared" si="5"/>
        <v>Registered</v>
      </c>
      <c r="O4295" s="1" t="s">
        <v>1288</v>
      </c>
      <c r="P4295" s="9" t="str">
        <f t="shared" si="6"/>
        <v>International</v>
      </c>
      <c r="Q4295" s="8">
        <f t="shared" si="7"/>
        <v>5.04</v>
      </c>
    </row>
    <row r="4296">
      <c r="A4296" s="1">
        <v>581494.0</v>
      </c>
      <c r="B4296" s="1" t="str">
        <f t="shared" si="1"/>
        <v>581494</v>
      </c>
      <c r="C4296" s="1" t="str">
        <f t="shared" si="2"/>
        <v>Sale</v>
      </c>
      <c r="D4296" s="1">
        <v>22716.0</v>
      </c>
      <c r="E4296" s="1" t="str">
        <f>IFERROR(__xludf.DUMMYFUNCTION("IF(LEN(D4296)&gt;4, IFERROR(REGEXEXTRACT(TO_TEXT(D4296),""\d+""),""""),"""")"),"22716")</f>
        <v>22716</v>
      </c>
      <c r="F4296" s="6" t="str">
        <f t="shared" si="3"/>
        <v>Product</v>
      </c>
      <c r="G4296" s="1" t="s">
        <v>379</v>
      </c>
      <c r="H4296" s="6" t="str">
        <f>IFERROR(__xludf.DUMMYFUNCTION("IF(REGEXMATCH(LOWER(G4296), ""^(\?)+\s*(missing)?\s*(\?)*$""), """", PROPER(SUBSTITUTE(SUBSTITUTE(G4296, ""?"", """"), ""*"", """")))"),"Card Circus Parade")</f>
        <v>Card Circus Parade</v>
      </c>
      <c r="I4296" s="3">
        <v>12.0</v>
      </c>
      <c r="J4296" s="7">
        <v>40886.42569444444</v>
      </c>
      <c r="K4296" s="8" t="str">
        <f t="shared" si="4"/>
        <v>2011-12</v>
      </c>
      <c r="L4296" s="5">
        <v>0.42</v>
      </c>
      <c r="M4296" s="3">
        <v>12518.0</v>
      </c>
      <c r="N4296" s="1" t="str">
        <f t="shared" si="5"/>
        <v>Registered</v>
      </c>
      <c r="O4296" s="1" t="s">
        <v>1288</v>
      </c>
      <c r="P4296" s="9" t="str">
        <f t="shared" si="6"/>
        <v>International</v>
      </c>
      <c r="Q4296" s="8">
        <f t="shared" si="7"/>
        <v>5.04</v>
      </c>
    </row>
    <row r="4297">
      <c r="A4297" s="1">
        <v>581494.0</v>
      </c>
      <c r="B4297" s="1" t="str">
        <f t="shared" si="1"/>
        <v>581494</v>
      </c>
      <c r="C4297" s="1" t="str">
        <f t="shared" si="2"/>
        <v>Sale</v>
      </c>
      <c r="D4297" s="1">
        <v>22556.0</v>
      </c>
      <c r="E4297" s="1" t="str">
        <f>IFERROR(__xludf.DUMMYFUNCTION("IF(LEN(D4297)&gt;4, IFERROR(REGEXEXTRACT(TO_TEXT(D4297),""\d+""),""""),"""")"),"22556")</f>
        <v>22556</v>
      </c>
      <c r="F4297" s="6" t="str">
        <f t="shared" si="3"/>
        <v>Product</v>
      </c>
      <c r="G4297" s="1" t="s">
        <v>228</v>
      </c>
      <c r="H4297" s="6" t="str">
        <f>IFERROR(__xludf.DUMMYFUNCTION("IF(REGEXMATCH(LOWER(G4297), ""^(\?)+\s*(missing)?\s*(\?)*$""), """", PROPER(SUBSTITUTE(SUBSTITUTE(G4297, ""?"", """"), ""*"", """")))"),"Plasters In Tin Circus Parade")</f>
        <v>Plasters In Tin Circus Parade</v>
      </c>
      <c r="I4297" s="3">
        <v>12.0</v>
      </c>
      <c r="J4297" s="7">
        <v>40886.42569444444</v>
      </c>
      <c r="K4297" s="8" t="str">
        <f t="shared" si="4"/>
        <v>2011-12</v>
      </c>
      <c r="L4297" s="5">
        <v>1.65</v>
      </c>
      <c r="M4297" s="3">
        <v>12518.0</v>
      </c>
      <c r="N4297" s="1" t="str">
        <f t="shared" si="5"/>
        <v>Registered</v>
      </c>
      <c r="O4297" s="1" t="s">
        <v>1288</v>
      </c>
      <c r="P4297" s="9" t="str">
        <f t="shared" si="6"/>
        <v>International</v>
      </c>
      <c r="Q4297" s="8">
        <f t="shared" si="7"/>
        <v>19.8</v>
      </c>
    </row>
    <row r="4298">
      <c r="A4298" s="1">
        <v>581494.0</v>
      </c>
      <c r="B4298" s="1" t="str">
        <f t="shared" si="1"/>
        <v>581494</v>
      </c>
      <c r="C4298" s="1" t="str">
        <f t="shared" si="2"/>
        <v>Sale</v>
      </c>
      <c r="D4298" s="1">
        <v>22328.0</v>
      </c>
      <c r="E4298" s="1" t="str">
        <f>IFERROR(__xludf.DUMMYFUNCTION("IF(LEN(D4298)&gt;4, IFERROR(REGEXEXTRACT(TO_TEXT(D4298),""\d+""),""""),"""")"),"22328")</f>
        <v>22328</v>
      </c>
      <c r="F4298" s="6" t="str">
        <f t="shared" si="3"/>
        <v>Product</v>
      </c>
      <c r="G4298" s="1" t="s">
        <v>431</v>
      </c>
      <c r="H4298" s="6" t="str">
        <f>IFERROR(__xludf.DUMMYFUNCTION("IF(REGEXMATCH(LOWER(G4298), ""^(\?)+\s*(missing)?\s*(\?)*$""), """", PROPER(SUBSTITUTE(SUBSTITUTE(G4298, ""?"", """"), ""*"", """")))"),"Round Snack Boxes Set Of 4 Fruits")</f>
        <v>Round Snack Boxes Set Of 4 Fruits</v>
      </c>
      <c r="I4298" s="3">
        <v>6.0</v>
      </c>
      <c r="J4298" s="7">
        <v>40886.42569444444</v>
      </c>
      <c r="K4298" s="8" t="str">
        <f t="shared" si="4"/>
        <v>2011-12</v>
      </c>
      <c r="L4298" s="5">
        <v>2.95</v>
      </c>
      <c r="M4298" s="3">
        <v>12518.0</v>
      </c>
      <c r="N4298" s="1" t="str">
        <f t="shared" si="5"/>
        <v>Registered</v>
      </c>
      <c r="O4298" s="1" t="s">
        <v>1288</v>
      </c>
      <c r="P4298" s="9" t="str">
        <f t="shared" si="6"/>
        <v>International</v>
      </c>
      <c r="Q4298" s="8">
        <f t="shared" si="7"/>
        <v>17.7</v>
      </c>
    </row>
    <row r="4299">
      <c r="A4299" s="1">
        <v>581494.0</v>
      </c>
      <c r="B4299" s="1" t="str">
        <f t="shared" si="1"/>
        <v>581494</v>
      </c>
      <c r="C4299" s="1" t="str">
        <f t="shared" si="2"/>
        <v>Sale</v>
      </c>
      <c r="D4299" s="1">
        <v>22730.0</v>
      </c>
      <c r="E4299" s="1" t="str">
        <f>IFERROR(__xludf.DUMMYFUNCTION("IF(LEN(D4299)&gt;4, IFERROR(REGEXEXTRACT(TO_TEXT(D4299),""\d+""),""""),"""")"),"22730")</f>
        <v>22730</v>
      </c>
      <c r="F4299" s="6" t="str">
        <f t="shared" si="3"/>
        <v>Product</v>
      </c>
      <c r="G4299" s="1" t="s">
        <v>255</v>
      </c>
      <c r="H4299" s="6" t="str">
        <f>IFERROR(__xludf.DUMMYFUNCTION("IF(REGEXMATCH(LOWER(G4299), ""^(\?)+\s*(missing)?\s*(\?)*$""), """", PROPER(SUBSTITUTE(SUBSTITUTE(G4299, ""?"", """"), ""*"", """")))"),"Alarm Clock Bakelike Ivory")</f>
        <v>Alarm Clock Bakelike Ivory</v>
      </c>
      <c r="I4299" s="3">
        <v>4.0</v>
      </c>
      <c r="J4299" s="7">
        <v>40886.42569444444</v>
      </c>
      <c r="K4299" s="8" t="str">
        <f t="shared" si="4"/>
        <v>2011-12</v>
      </c>
      <c r="L4299" s="5">
        <v>3.75</v>
      </c>
      <c r="M4299" s="3">
        <v>12518.0</v>
      </c>
      <c r="N4299" s="1" t="str">
        <f t="shared" si="5"/>
        <v>Registered</v>
      </c>
      <c r="O4299" s="1" t="s">
        <v>1288</v>
      </c>
      <c r="P4299" s="9" t="str">
        <f t="shared" si="6"/>
        <v>International</v>
      </c>
      <c r="Q4299" s="8">
        <f t="shared" si="7"/>
        <v>15</v>
      </c>
    </row>
    <row r="4300">
      <c r="A4300" s="1">
        <v>581494.0</v>
      </c>
      <c r="B4300" s="1" t="str">
        <f t="shared" si="1"/>
        <v>581494</v>
      </c>
      <c r="C4300" s="1" t="str">
        <f t="shared" si="2"/>
        <v>Sale</v>
      </c>
      <c r="D4300" s="1">
        <v>22633.0</v>
      </c>
      <c r="E4300" s="1" t="str">
        <f>IFERROR(__xludf.DUMMYFUNCTION("IF(LEN(D4300)&gt;4, IFERROR(REGEXEXTRACT(TO_TEXT(D4300),""\d+""),""""),"""")"),"22633")</f>
        <v>22633</v>
      </c>
      <c r="F4300" s="6" t="str">
        <f t="shared" si="3"/>
        <v>Product</v>
      </c>
      <c r="G4300" s="1" t="s">
        <v>29</v>
      </c>
      <c r="H4300" s="6" t="str">
        <f>IFERROR(__xludf.DUMMYFUNCTION("IF(REGEXMATCH(LOWER(G4300), ""^(\?)+\s*(missing)?\s*(\?)*$""), """", PROPER(SUBSTITUTE(SUBSTITUTE(G4300, ""?"", """"), ""*"", """")))"),"Hand Warmer Union Jack")</f>
        <v>Hand Warmer Union Jack</v>
      </c>
      <c r="I4300" s="3">
        <v>12.0</v>
      </c>
      <c r="J4300" s="7">
        <v>40886.42569444444</v>
      </c>
      <c r="K4300" s="8" t="str">
        <f t="shared" si="4"/>
        <v>2011-12</v>
      </c>
      <c r="L4300" s="5">
        <v>2.1</v>
      </c>
      <c r="M4300" s="3">
        <v>12518.0</v>
      </c>
      <c r="N4300" s="1" t="str">
        <f t="shared" si="5"/>
        <v>Registered</v>
      </c>
      <c r="O4300" s="1" t="s">
        <v>1288</v>
      </c>
      <c r="P4300" s="9" t="str">
        <f t="shared" si="6"/>
        <v>International</v>
      </c>
      <c r="Q4300" s="8">
        <f t="shared" si="7"/>
        <v>25.2</v>
      </c>
    </row>
    <row r="4301">
      <c r="A4301" s="1">
        <v>581494.0</v>
      </c>
      <c r="B4301" s="1" t="str">
        <f t="shared" si="1"/>
        <v>581494</v>
      </c>
      <c r="C4301" s="1" t="str">
        <f t="shared" si="2"/>
        <v>Sale</v>
      </c>
      <c r="D4301" s="1">
        <v>22326.0</v>
      </c>
      <c r="E4301" s="1" t="str">
        <f>IFERROR(__xludf.DUMMYFUNCTION("IF(LEN(D4301)&gt;4, IFERROR(REGEXEXTRACT(TO_TEXT(D4301),""\d+""),""""),"""")"),"22326")</f>
        <v>22326</v>
      </c>
      <c r="F4301" s="6" t="str">
        <f t="shared" si="3"/>
        <v>Product</v>
      </c>
      <c r="G4301" s="1" t="s">
        <v>57</v>
      </c>
      <c r="H4301" s="6" t="str">
        <f>IFERROR(__xludf.DUMMYFUNCTION("IF(REGEXMATCH(LOWER(G4301), ""^(\?)+\s*(missing)?\s*(\?)*$""), """", PROPER(SUBSTITUTE(SUBSTITUTE(G4301, ""?"", """"), ""*"", """")))"),"Round Snack Boxes Set Of4 Woodland")</f>
        <v>Round Snack Boxes Set Of4 Woodland</v>
      </c>
      <c r="I4301" s="3">
        <v>6.0</v>
      </c>
      <c r="J4301" s="7">
        <v>40886.42569444444</v>
      </c>
      <c r="K4301" s="8" t="str">
        <f t="shared" si="4"/>
        <v>2011-12</v>
      </c>
      <c r="L4301" s="5">
        <v>2.95</v>
      </c>
      <c r="M4301" s="3">
        <v>12518.0</v>
      </c>
      <c r="N4301" s="1" t="str">
        <f t="shared" si="5"/>
        <v>Registered</v>
      </c>
      <c r="O4301" s="1" t="s">
        <v>1288</v>
      </c>
      <c r="P4301" s="9" t="str">
        <f t="shared" si="6"/>
        <v>International</v>
      </c>
      <c r="Q4301" s="8">
        <f t="shared" si="7"/>
        <v>17.7</v>
      </c>
    </row>
    <row r="4302">
      <c r="A4302" s="1">
        <v>581494.0</v>
      </c>
      <c r="B4302" s="1" t="str">
        <f t="shared" si="1"/>
        <v>581494</v>
      </c>
      <c r="C4302" s="1" t="str">
        <f t="shared" si="2"/>
        <v>Sale</v>
      </c>
      <c r="D4302" s="1">
        <v>10125.0</v>
      </c>
      <c r="E4302" s="1" t="str">
        <f>IFERROR(__xludf.DUMMYFUNCTION("IF(LEN(D4302)&gt;4, IFERROR(REGEXEXTRACT(TO_TEXT(D4302),""\d+""),""""),"""")"),"10125")</f>
        <v>10125</v>
      </c>
      <c r="F4302" s="6" t="str">
        <f t="shared" si="3"/>
        <v>Product</v>
      </c>
      <c r="G4302" s="1" t="s">
        <v>590</v>
      </c>
      <c r="H4302" s="6" t="str">
        <f>IFERROR(__xludf.DUMMYFUNCTION("IF(REGEXMATCH(LOWER(G4302), ""^(\?)+\s*(missing)?\s*(\?)*$""), """", PROPER(SUBSTITUTE(SUBSTITUTE(G4302, ""?"", """"), ""*"", """")))"),"Mini Funky Design Tapes")</f>
        <v>Mini Funky Design Tapes</v>
      </c>
      <c r="I4302" s="3">
        <v>20.0</v>
      </c>
      <c r="J4302" s="7">
        <v>40886.42569444444</v>
      </c>
      <c r="K4302" s="8" t="str">
        <f t="shared" si="4"/>
        <v>2011-12</v>
      </c>
      <c r="L4302" s="5">
        <v>0.85</v>
      </c>
      <c r="M4302" s="3">
        <v>12518.0</v>
      </c>
      <c r="N4302" s="1" t="str">
        <f t="shared" si="5"/>
        <v>Registered</v>
      </c>
      <c r="O4302" s="1" t="s">
        <v>1288</v>
      </c>
      <c r="P4302" s="9" t="str">
        <f t="shared" si="6"/>
        <v>International</v>
      </c>
      <c r="Q4302" s="8">
        <f t="shared" si="7"/>
        <v>17</v>
      </c>
    </row>
    <row r="4303">
      <c r="A4303" s="1">
        <v>581494.0</v>
      </c>
      <c r="B4303" s="1" t="str">
        <f t="shared" si="1"/>
        <v>581494</v>
      </c>
      <c r="C4303" s="1" t="str">
        <f t="shared" si="2"/>
        <v>Sale</v>
      </c>
      <c r="D4303" s="1">
        <v>23367.0</v>
      </c>
      <c r="E4303" s="1" t="str">
        <f>IFERROR(__xludf.DUMMYFUNCTION("IF(LEN(D4303)&gt;4, IFERROR(REGEXEXTRACT(TO_TEXT(D4303),""\d+""),""""),"""")"),"23367")</f>
        <v>23367</v>
      </c>
      <c r="F4303" s="6" t="str">
        <f t="shared" si="3"/>
        <v>Product</v>
      </c>
      <c r="G4303" s="1" t="s">
        <v>2041</v>
      </c>
      <c r="H4303" s="6" t="str">
        <f>IFERROR(__xludf.DUMMYFUNCTION("IF(REGEXMATCH(LOWER(G4303), ""^(\?)+\s*(missing)?\s*(\?)*$""), """", PROPER(SUBSTITUTE(SUBSTITUTE(G4303, ""?"", """"), ""*"", """")))"),"Set 12 Colour Pencils Spaceboy")</f>
        <v>Set 12 Colour Pencils Spaceboy</v>
      </c>
      <c r="I4303" s="3">
        <v>24.0</v>
      </c>
      <c r="J4303" s="7">
        <v>40886.42569444444</v>
      </c>
      <c r="K4303" s="8" t="str">
        <f t="shared" si="4"/>
        <v>2011-12</v>
      </c>
      <c r="L4303" s="5">
        <v>0.65</v>
      </c>
      <c r="M4303" s="3">
        <v>12518.0</v>
      </c>
      <c r="N4303" s="1" t="str">
        <f t="shared" si="5"/>
        <v>Registered</v>
      </c>
      <c r="O4303" s="1" t="s">
        <v>1288</v>
      </c>
      <c r="P4303" s="9" t="str">
        <f t="shared" si="6"/>
        <v>International</v>
      </c>
      <c r="Q4303" s="8">
        <f t="shared" si="7"/>
        <v>15.6</v>
      </c>
    </row>
    <row r="4304">
      <c r="A4304" s="1">
        <v>581494.0</v>
      </c>
      <c r="B4304" s="1" t="str">
        <f t="shared" si="1"/>
        <v>581494</v>
      </c>
      <c r="C4304" s="1" t="str">
        <f t="shared" si="2"/>
        <v>Sale</v>
      </c>
      <c r="D4304" s="1">
        <v>22551.0</v>
      </c>
      <c r="E4304" s="1" t="str">
        <f>IFERROR(__xludf.DUMMYFUNCTION("IF(LEN(D4304)&gt;4, IFERROR(REGEXEXTRACT(TO_TEXT(D4304),""\d+""),""""),"""")"),"22551")</f>
        <v>22551</v>
      </c>
      <c r="F4304" s="6" t="str">
        <f t="shared" si="3"/>
        <v>Product</v>
      </c>
      <c r="G4304" s="1" t="s">
        <v>498</v>
      </c>
      <c r="H4304" s="6" t="str">
        <f>IFERROR(__xludf.DUMMYFUNCTION("IF(REGEXMATCH(LOWER(G4304), ""^(\?)+\s*(missing)?\s*(\?)*$""), """", PROPER(SUBSTITUTE(SUBSTITUTE(G4304, ""?"", """"), ""*"", """")))"),"Plasters In Tin Spaceboy")</f>
        <v>Plasters In Tin Spaceboy</v>
      </c>
      <c r="I4304" s="3">
        <v>12.0</v>
      </c>
      <c r="J4304" s="7">
        <v>40886.42569444444</v>
      </c>
      <c r="K4304" s="8" t="str">
        <f t="shared" si="4"/>
        <v>2011-12</v>
      </c>
      <c r="L4304" s="5">
        <v>1.65</v>
      </c>
      <c r="M4304" s="3">
        <v>12518.0</v>
      </c>
      <c r="N4304" s="1" t="str">
        <f t="shared" si="5"/>
        <v>Registered</v>
      </c>
      <c r="O4304" s="1" t="s">
        <v>1288</v>
      </c>
      <c r="P4304" s="9" t="str">
        <f t="shared" si="6"/>
        <v>International</v>
      </c>
      <c r="Q4304" s="8">
        <f t="shared" si="7"/>
        <v>19.8</v>
      </c>
    </row>
    <row r="4305">
      <c r="A4305" s="1">
        <v>581494.0</v>
      </c>
      <c r="B4305" s="1" t="str">
        <f t="shared" si="1"/>
        <v>581494</v>
      </c>
      <c r="C4305" s="1" t="str">
        <f t="shared" si="2"/>
        <v>Sale</v>
      </c>
      <c r="D4305" s="1">
        <v>22554.0</v>
      </c>
      <c r="E4305" s="1" t="str">
        <f>IFERROR(__xludf.DUMMYFUNCTION("IF(LEN(D4305)&gt;4, IFERROR(REGEXEXTRACT(TO_TEXT(D4305),""\d+""),""""),"""")"),"22554")</f>
        <v>22554</v>
      </c>
      <c r="F4305" s="6" t="str">
        <f t="shared" si="3"/>
        <v>Product</v>
      </c>
      <c r="G4305" s="1" t="s">
        <v>499</v>
      </c>
      <c r="H4305" s="6" t="str">
        <f>IFERROR(__xludf.DUMMYFUNCTION("IF(REGEXMATCH(LOWER(G4305), ""^(\?)+\s*(missing)?\s*(\?)*$""), """", PROPER(SUBSTITUTE(SUBSTITUTE(G4305, ""?"", """"), ""*"", """")))"),"Plasters In Tin Woodland Animals")</f>
        <v>Plasters In Tin Woodland Animals</v>
      </c>
      <c r="I4305" s="3">
        <v>12.0</v>
      </c>
      <c r="J4305" s="7">
        <v>40886.42569444444</v>
      </c>
      <c r="K4305" s="8" t="str">
        <f t="shared" si="4"/>
        <v>2011-12</v>
      </c>
      <c r="L4305" s="5">
        <v>1.65</v>
      </c>
      <c r="M4305" s="3">
        <v>12518.0</v>
      </c>
      <c r="N4305" s="1" t="str">
        <f t="shared" si="5"/>
        <v>Registered</v>
      </c>
      <c r="O4305" s="1" t="s">
        <v>1288</v>
      </c>
      <c r="P4305" s="9" t="str">
        <f t="shared" si="6"/>
        <v>International</v>
      </c>
      <c r="Q4305" s="8">
        <f t="shared" si="7"/>
        <v>19.8</v>
      </c>
    </row>
    <row r="4306">
      <c r="A4306" s="1">
        <v>581494.0</v>
      </c>
      <c r="B4306" s="1" t="str">
        <f t="shared" si="1"/>
        <v>581494</v>
      </c>
      <c r="C4306" s="1" t="str">
        <f t="shared" si="2"/>
        <v>Sale</v>
      </c>
      <c r="D4306" s="1">
        <v>22549.0</v>
      </c>
      <c r="E4306" s="1" t="str">
        <f>IFERROR(__xludf.DUMMYFUNCTION("IF(LEN(D4306)&gt;4, IFERROR(REGEXEXTRACT(TO_TEXT(D4306),""\d+""),""""),"""")"),"22549")</f>
        <v>22549</v>
      </c>
      <c r="F4306" s="6" t="str">
        <f t="shared" si="3"/>
        <v>Product</v>
      </c>
      <c r="G4306" s="1" t="s">
        <v>276</v>
      </c>
      <c r="H4306" s="6" t="str">
        <f>IFERROR(__xludf.DUMMYFUNCTION("IF(REGEXMATCH(LOWER(G4306), ""^(\?)+\s*(missing)?\s*(\?)*$""), """", PROPER(SUBSTITUTE(SUBSTITUTE(G4306, ""?"", """"), ""*"", """")))"),"Picture Dominoes")</f>
        <v>Picture Dominoes</v>
      </c>
      <c r="I4306" s="3">
        <v>12.0</v>
      </c>
      <c r="J4306" s="7">
        <v>40886.42569444444</v>
      </c>
      <c r="K4306" s="8" t="str">
        <f t="shared" si="4"/>
        <v>2011-12</v>
      </c>
      <c r="L4306" s="5">
        <v>1.45</v>
      </c>
      <c r="M4306" s="3">
        <v>12518.0</v>
      </c>
      <c r="N4306" s="1" t="str">
        <f t="shared" si="5"/>
        <v>Registered</v>
      </c>
      <c r="O4306" s="1" t="s">
        <v>1288</v>
      </c>
      <c r="P4306" s="9" t="str">
        <f t="shared" si="6"/>
        <v>International</v>
      </c>
      <c r="Q4306" s="8">
        <f t="shared" si="7"/>
        <v>17.4</v>
      </c>
    </row>
    <row r="4307">
      <c r="A4307" s="1">
        <v>581494.0</v>
      </c>
      <c r="B4307" s="1" t="str">
        <f t="shared" si="1"/>
        <v>581494</v>
      </c>
      <c r="C4307" s="1" t="str">
        <f t="shared" si="2"/>
        <v>Sale</v>
      </c>
      <c r="D4307" s="1">
        <v>23388.0</v>
      </c>
      <c r="E4307" s="1" t="str">
        <f>IFERROR(__xludf.DUMMYFUNCTION("IF(LEN(D4307)&gt;4, IFERROR(REGEXEXTRACT(TO_TEXT(D4307),""\d+""),""""),"""")"),"23388")</f>
        <v>23388</v>
      </c>
      <c r="F4307" s="6" t="str">
        <f t="shared" si="3"/>
        <v>Product</v>
      </c>
      <c r="G4307" s="1" t="s">
        <v>2050</v>
      </c>
      <c r="H4307" s="6" t="str">
        <f>IFERROR(__xludf.DUMMYFUNCTION("IF(REGEXMATCH(LOWER(G4307), ""^(\?)+\s*(missing)?\s*(\?)*$""), """", PROPER(SUBSTITUTE(SUBSTITUTE(G4307, ""?"", """"), ""*"", """")))"),"Woodland Mini Backpack")</f>
        <v>Woodland Mini Backpack</v>
      </c>
      <c r="I4307" s="3">
        <v>4.0</v>
      </c>
      <c r="J4307" s="7">
        <v>40886.42569444444</v>
      </c>
      <c r="K4307" s="8" t="str">
        <f t="shared" si="4"/>
        <v>2011-12</v>
      </c>
      <c r="L4307" s="5">
        <v>4.15</v>
      </c>
      <c r="M4307" s="3">
        <v>12518.0</v>
      </c>
      <c r="N4307" s="1" t="str">
        <f t="shared" si="5"/>
        <v>Registered</v>
      </c>
      <c r="O4307" s="1" t="s">
        <v>1288</v>
      </c>
      <c r="P4307" s="9" t="str">
        <f t="shared" si="6"/>
        <v>International</v>
      </c>
      <c r="Q4307" s="8">
        <f t="shared" si="7"/>
        <v>16.6</v>
      </c>
    </row>
    <row r="4308">
      <c r="A4308" s="1">
        <v>581494.0</v>
      </c>
      <c r="B4308" s="1" t="str">
        <f t="shared" si="1"/>
        <v>581494</v>
      </c>
      <c r="C4308" s="1" t="str">
        <f t="shared" si="2"/>
        <v>Sale</v>
      </c>
      <c r="D4308" s="1">
        <v>23390.0</v>
      </c>
      <c r="E4308" s="1" t="str">
        <f>IFERROR(__xludf.DUMMYFUNCTION("IF(LEN(D4308)&gt;4, IFERROR(REGEXEXTRACT(TO_TEXT(D4308),""\d+""),""""),"""")"),"23390")</f>
        <v>23390</v>
      </c>
      <c r="F4308" s="6" t="str">
        <f t="shared" si="3"/>
        <v>Product</v>
      </c>
      <c r="G4308" s="1" t="s">
        <v>2051</v>
      </c>
      <c r="H4308" s="6" t="str">
        <f>IFERROR(__xludf.DUMMYFUNCTION("IF(REGEXMATCH(LOWER(G4308), ""^(\?)+\s*(missing)?\s*(\?)*$""), """", PROPER(SUBSTITUTE(SUBSTITUTE(G4308, ""?"", """"), ""*"", """")))"),"Dolly Girl Mini Backpack")</f>
        <v>Dolly Girl Mini Backpack</v>
      </c>
      <c r="I4308" s="3">
        <v>4.0</v>
      </c>
      <c r="J4308" s="7">
        <v>40886.42569444444</v>
      </c>
      <c r="K4308" s="8" t="str">
        <f t="shared" si="4"/>
        <v>2011-12</v>
      </c>
      <c r="L4308" s="5">
        <v>4.15</v>
      </c>
      <c r="M4308" s="3">
        <v>12518.0</v>
      </c>
      <c r="N4308" s="1" t="str">
        <f t="shared" si="5"/>
        <v>Registered</v>
      </c>
      <c r="O4308" s="1" t="s">
        <v>1288</v>
      </c>
      <c r="P4308" s="9" t="str">
        <f t="shared" si="6"/>
        <v>International</v>
      </c>
      <c r="Q4308" s="8">
        <f t="shared" si="7"/>
        <v>16.6</v>
      </c>
    </row>
    <row r="4309">
      <c r="A4309" s="1">
        <v>581494.0</v>
      </c>
      <c r="B4309" s="1" t="str">
        <f t="shared" si="1"/>
        <v>581494</v>
      </c>
      <c r="C4309" s="1" t="str">
        <f t="shared" si="2"/>
        <v>Sale</v>
      </c>
      <c r="D4309" s="1">
        <v>23389.0</v>
      </c>
      <c r="E4309" s="1" t="str">
        <f>IFERROR(__xludf.DUMMYFUNCTION("IF(LEN(D4309)&gt;4, IFERROR(REGEXEXTRACT(TO_TEXT(D4309),""\d+""),""""),"""")"),"23389")</f>
        <v>23389</v>
      </c>
      <c r="F4309" s="6" t="str">
        <f t="shared" si="3"/>
        <v>Product</v>
      </c>
      <c r="G4309" s="1" t="s">
        <v>2052</v>
      </c>
      <c r="H4309" s="6" t="str">
        <f>IFERROR(__xludf.DUMMYFUNCTION("IF(REGEXMATCH(LOWER(G4309), ""^(\?)+\s*(missing)?\s*(\?)*$""), """", PROPER(SUBSTITUTE(SUBSTITUTE(G4309, ""?"", """"), ""*"", """")))"),"Spaceboy Mini Backpack")</f>
        <v>Spaceboy Mini Backpack</v>
      </c>
      <c r="I4309" s="3">
        <v>4.0</v>
      </c>
      <c r="J4309" s="7">
        <v>40886.42569444444</v>
      </c>
      <c r="K4309" s="8" t="str">
        <f t="shared" si="4"/>
        <v>2011-12</v>
      </c>
      <c r="L4309" s="5">
        <v>4.15</v>
      </c>
      <c r="M4309" s="3">
        <v>12518.0</v>
      </c>
      <c r="N4309" s="1" t="str">
        <f t="shared" si="5"/>
        <v>Registered</v>
      </c>
      <c r="O4309" s="1" t="s">
        <v>1288</v>
      </c>
      <c r="P4309" s="9" t="str">
        <f t="shared" si="6"/>
        <v>International</v>
      </c>
      <c r="Q4309" s="8">
        <f t="shared" si="7"/>
        <v>16.6</v>
      </c>
    </row>
    <row r="4310">
      <c r="A4310" s="1">
        <v>581494.0</v>
      </c>
      <c r="B4310" s="1" t="str">
        <f t="shared" si="1"/>
        <v>581494</v>
      </c>
      <c r="C4310" s="1" t="str">
        <f t="shared" si="2"/>
        <v>Sale</v>
      </c>
      <c r="D4310" s="1" t="s">
        <v>68</v>
      </c>
      <c r="E4310" s="1" t="str">
        <f>IFERROR(__xludf.DUMMYFUNCTION("IF(LEN(D4310)&gt;4, IFERROR(REGEXEXTRACT(TO_TEXT(D4310),""\d+""),""""),"""")"),"")</f>
        <v/>
      </c>
      <c r="F4310" s="6" t="str">
        <f t="shared" si="3"/>
        <v>Shipping</v>
      </c>
      <c r="G4310" s="1" t="s">
        <v>69</v>
      </c>
      <c r="H4310" s="6" t="str">
        <f>IFERROR(__xludf.DUMMYFUNCTION("IF(REGEXMATCH(LOWER(G4310), ""^(\?)+\s*(missing)?\s*(\?)*$""), """", PROPER(SUBSTITUTE(SUBSTITUTE(G4310, ""?"", """"), ""*"", """")))"),"Postage")</f>
        <v>Postage</v>
      </c>
      <c r="I4310" s="3">
        <v>2.0</v>
      </c>
      <c r="J4310" s="7">
        <v>40886.42569444444</v>
      </c>
      <c r="K4310" s="8" t="str">
        <f t="shared" si="4"/>
        <v>2011-12</v>
      </c>
      <c r="L4310" s="5">
        <v>18.0</v>
      </c>
      <c r="M4310" s="3">
        <v>12518.0</v>
      </c>
      <c r="N4310" s="1" t="str">
        <f t="shared" si="5"/>
        <v>Registered</v>
      </c>
      <c r="O4310" s="1" t="s">
        <v>1288</v>
      </c>
      <c r="P4310" s="9" t="str">
        <f t="shared" si="6"/>
        <v>International</v>
      </c>
      <c r="Q4310" s="8">
        <f t="shared" si="7"/>
        <v>36</v>
      </c>
    </row>
    <row r="4311">
      <c r="A4311" s="1">
        <v>581495.0</v>
      </c>
      <c r="B4311" s="1" t="str">
        <f t="shared" si="1"/>
        <v>581495</v>
      </c>
      <c r="C4311" s="1" t="str">
        <f t="shared" si="2"/>
        <v>Sale</v>
      </c>
      <c r="D4311" s="1">
        <v>23535.0</v>
      </c>
      <c r="E4311" s="1" t="str">
        <f>IFERROR(__xludf.DUMMYFUNCTION("IF(LEN(D4311)&gt;4, IFERROR(REGEXEXTRACT(TO_TEXT(D4311),""\d+""),""""),"""")"),"23535")</f>
        <v>23535</v>
      </c>
      <c r="F4311" s="6" t="str">
        <f t="shared" si="3"/>
        <v>Product</v>
      </c>
      <c r="G4311" s="1" t="s">
        <v>1470</v>
      </c>
      <c r="H4311" s="6" t="str">
        <f>IFERROR(__xludf.DUMMYFUNCTION("IF(REGEXMATCH(LOWER(G4311), ""^(\?)+\s*(missing)?\s*(\?)*$""), """", PROPER(SUBSTITUTE(SUBSTITUTE(G4311, ""?"", """"), ""*"", """")))"),"Wall Art Bicycle Safety")</f>
        <v>Wall Art Bicycle Safety</v>
      </c>
      <c r="I4311" s="3">
        <v>12.0</v>
      </c>
      <c r="J4311" s="7">
        <v>40886.430555555555</v>
      </c>
      <c r="K4311" s="8" t="str">
        <f t="shared" si="4"/>
        <v>2011-12</v>
      </c>
      <c r="L4311" s="5">
        <v>5.95</v>
      </c>
      <c r="M4311" s="3">
        <v>14051.0</v>
      </c>
      <c r="N4311" s="1" t="str">
        <f t="shared" si="5"/>
        <v>Registered</v>
      </c>
      <c r="O4311" s="1" t="s">
        <v>19</v>
      </c>
      <c r="P4311" s="9" t="str">
        <f t="shared" si="6"/>
        <v>UK</v>
      </c>
      <c r="Q4311" s="8">
        <f t="shared" si="7"/>
        <v>71.4</v>
      </c>
    </row>
    <row r="4312">
      <c r="A4312" s="1">
        <v>581495.0</v>
      </c>
      <c r="B4312" s="1" t="str">
        <f t="shared" si="1"/>
        <v>581495</v>
      </c>
      <c r="C4312" s="1" t="str">
        <f t="shared" si="2"/>
        <v>Sale</v>
      </c>
      <c r="D4312" s="1">
        <v>22699.0</v>
      </c>
      <c r="E4312" s="1" t="str">
        <f>IFERROR(__xludf.DUMMYFUNCTION("IF(LEN(D4312)&gt;4, IFERROR(REGEXEXTRACT(TO_TEXT(D4312),""\d+""),""""),"""")"),"22699")</f>
        <v>22699</v>
      </c>
      <c r="F4312" s="6" t="str">
        <f t="shared" si="3"/>
        <v>Product</v>
      </c>
      <c r="G4312" s="1" t="s">
        <v>684</v>
      </c>
      <c r="H4312" s="6" t="str">
        <f>IFERROR(__xludf.DUMMYFUNCTION("IF(REGEXMATCH(LOWER(G4312), ""^(\?)+\s*(missing)?\s*(\?)*$""), """", PROPER(SUBSTITUTE(SUBSTITUTE(G4312, ""?"", """"), ""*"", """")))"),"Roses Regency Teacup And Saucer")</f>
        <v>Roses Regency Teacup And Saucer</v>
      </c>
      <c r="I4312" s="3">
        <v>12.0</v>
      </c>
      <c r="J4312" s="7">
        <v>40886.430555555555</v>
      </c>
      <c r="K4312" s="8" t="str">
        <f t="shared" si="4"/>
        <v>2011-12</v>
      </c>
      <c r="L4312" s="5">
        <v>2.95</v>
      </c>
      <c r="M4312" s="3">
        <v>14051.0</v>
      </c>
      <c r="N4312" s="1" t="str">
        <f t="shared" si="5"/>
        <v>Registered</v>
      </c>
      <c r="O4312" s="1" t="s">
        <v>19</v>
      </c>
      <c r="P4312" s="9" t="str">
        <f t="shared" si="6"/>
        <v>UK</v>
      </c>
      <c r="Q4312" s="8">
        <f t="shared" si="7"/>
        <v>35.4</v>
      </c>
    </row>
    <row r="4313">
      <c r="A4313" s="1">
        <v>581495.0</v>
      </c>
      <c r="B4313" s="1" t="str">
        <f t="shared" si="1"/>
        <v>581495</v>
      </c>
      <c r="C4313" s="1" t="str">
        <f t="shared" si="2"/>
        <v>Sale</v>
      </c>
      <c r="D4313" s="1">
        <v>22698.0</v>
      </c>
      <c r="E4313" s="1" t="str">
        <f>IFERROR(__xludf.DUMMYFUNCTION("IF(LEN(D4313)&gt;4, IFERROR(REGEXEXTRACT(TO_TEXT(D4313),""\d+""),""""),"""")"),"22698")</f>
        <v>22698</v>
      </c>
      <c r="F4313" s="6" t="str">
        <f t="shared" si="3"/>
        <v>Product</v>
      </c>
      <c r="G4313" s="1" t="s">
        <v>683</v>
      </c>
      <c r="H4313" s="6" t="str">
        <f>IFERROR(__xludf.DUMMYFUNCTION("IF(REGEXMATCH(LOWER(G4313), ""^(\?)+\s*(missing)?\s*(\?)*$""), """", PROPER(SUBSTITUTE(SUBSTITUTE(G4313, ""?"", """"), ""*"", """")))"),"Pink Regency Teacup And Saucer")</f>
        <v>Pink Regency Teacup And Saucer</v>
      </c>
      <c r="I4313" s="3">
        <v>12.0</v>
      </c>
      <c r="J4313" s="7">
        <v>40886.430555555555</v>
      </c>
      <c r="K4313" s="8" t="str">
        <f t="shared" si="4"/>
        <v>2011-12</v>
      </c>
      <c r="L4313" s="5">
        <v>2.95</v>
      </c>
      <c r="M4313" s="3">
        <v>14051.0</v>
      </c>
      <c r="N4313" s="1" t="str">
        <f t="shared" si="5"/>
        <v>Registered</v>
      </c>
      <c r="O4313" s="1" t="s">
        <v>19</v>
      </c>
      <c r="P4313" s="9" t="str">
        <f t="shared" si="6"/>
        <v>UK</v>
      </c>
      <c r="Q4313" s="8">
        <f t="shared" si="7"/>
        <v>35.4</v>
      </c>
    </row>
    <row r="4314">
      <c r="A4314" s="1">
        <v>581495.0</v>
      </c>
      <c r="B4314" s="1" t="str">
        <f t="shared" si="1"/>
        <v>581495</v>
      </c>
      <c r="C4314" s="1" t="str">
        <f t="shared" si="2"/>
        <v>Sale</v>
      </c>
      <c r="D4314" s="1">
        <v>22697.0</v>
      </c>
      <c r="E4314" s="1" t="str">
        <f>IFERROR(__xludf.DUMMYFUNCTION("IF(LEN(D4314)&gt;4, IFERROR(REGEXEXTRACT(TO_TEXT(D4314),""\d+""),""""),"""")"),"22697")</f>
        <v>22697</v>
      </c>
      <c r="F4314" s="6" t="str">
        <f t="shared" si="3"/>
        <v>Product</v>
      </c>
      <c r="G4314" s="1" t="s">
        <v>682</v>
      </c>
      <c r="H4314" s="6" t="str">
        <f>IFERROR(__xludf.DUMMYFUNCTION("IF(REGEXMATCH(LOWER(G4314), ""^(\?)+\s*(missing)?\s*(\?)*$""), """", PROPER(SUBSTITUTE(SUBSTITUTE(G4314, ""?"", """"), ""*"", """")))"),"Green Regency Teacup And Saucer")</f>
        <v>Green Regency Teacup And Saucer</v>
      </c>
      <c r="I4314" s="3">
        <v>12.0</v>
      </c>
      <c r="J4314" s="7">
        <v>40886.430555555555</v>
      </c>
      <c r="K4314" s="8" t="str">
        <f t="shared" si="4"/>
        <v>2011-12</v>
      </c>
      <c r="L4314" s="5">
        <v>2.95</v>
      </c>
      <c r="M4314" s="3">
        <v>14051.0</v>
      </c>
      <c r="N4314" s="1" t="str">
        <f t="shared" si="5"/>
        <v>Registered</v>
      </c>
      <c r="O4314" s="1" t="s">
        <v>19</v>
      </c>
      <c r="P4314" s="9" t="str">
        <f t="shared" si="6"/>
        <v>UK</v>
      </c>
      <c r="Q4314" s="8">
        <f t="shared" si="7"/>
        <v>35.4</v>
      </c>
    </row>
    <row r="4315">
      <c r="A4315" s="1">
        <v>581495.0</v>
      </c>
      <c r="B4315" s="1" t="str">
        <f t="shared" si="1"/>
        <v>581495</v>
      </c>
      <c r="C4315" s="1" t="str">
        <f t="shared" si="2"/>
        <v>Sale</v>
      </c>
      <c r="D4315" s="1">
        <v>22633.0</v>
      </c>
      <c r="E4315" s="1" t="str">
        <f>IFERROR(__xludf.DUMMYFUNCTION("IF(LEN(D4315)&gt;4, IFERROR(REGEXEXTRACT(TO_TEXT(D4315),""\d+""),""""),"""")"),"22633")</f>
        <v>22633</v>
      </c>
      <c r="F4315" s="6" t="str">
        <f t="shared" si="3"/>
        <v>Product</v>
      </c>
      <c r="G4315" s="1" t="s">
        <v>29</v>
      </c>
      <c r="H4315" s="6" t="str">
        <f>IFERROR(__xludf.DUMMYFUNCTION("IF(REGEXMATCH(LOWER(G4315), ""^(\?)+\s*(missing)?\s*(\?)*$""), """", PROPER(SUBSTITUTE(SUBSTITUTE(G4315, ""?"", """"), ""*"", """")))"),"Hand Warmer Union Jack")</f>
        <v>Hand Warmer Union Jack</v>
      </c>
      <c r="I4315" s="3">
        <v>18.0</v>
      </c>
      <c r="J4315" s="7">
        <v>40886.430555555555</v>
      </c>
      <c r="K4315" s="8" t="str">
        <f t="shared" si="4"/>
        <v>2011-12</v>
      </c>
      <c r="L4315" s="5">
        <v>2.1</v>
      </c>
      <c r="M4315" s="3">
        <v>14051.0</v>
      </c>
      <c r="N4315" s="1" t="str">
        <f t="shared" si="5"/>
        <v>Registered</v>
      </c>
      <c r="O4315" s="1" t="s">
        <v>19</v>
      </c>
      <c r="P4315" s="9" t="str">
        <f t="shared" si="6"/>
        <v>UK</v>
      </c>
      <c r="Q4315" s="8">
        <f t="shared" si="7"/>
        <v>37.8</v>
      </c>
    </row>
    <row r="4316">
      <c r="A4316" s="1">
        <v>581495.0</v>
      </c>
      <c r="B4316" s="1" t="str">
        <f t="shared" si="1"/>
        <v>581495</v>
      </c>
      <c r="C4316" s="1" t="str">
        <f t="shared" si="2"/>
        <v>Sale</v>
      </c>
      <c r="D4316" s="1" t="s">
        <v>139</v>
      </c>
      <c r="E4316" s="1" t="str">
        <f>IFERROR(__xludf.DUMMYFUNCTION("IF(LEN(D4316)&gt;4, IFERROR(REGEXEXTRACT(TO_TEXT(D4316),""\d+""),""""),"""")"),"15056")</f>
        <v>15056</v>
      </c>
      <c r="F4316" s="6" t="str">
        <f t="shared" si="3"/>
        <v>Product</v>
      </c>
      <c r="G4316" s="1" t="s">
        <v>140</v>
      </c>
      <c r="H4316" s="6" t="str">
        <f>IFERROR(__xludf.DUMMYFUNCTION("IF(REGEXMATCH(LOWER(G4316), ""^(\?)+\s*(missing)?\s*(\?)*$""), """", PROPER(SUBSTITUTE(SUBSTITUTE(G4316, ""?"", """"), ""*"", """")))"),"Edwardian Parasol Natural")</f>
        <v>Edwardian Parasol Natural</v>
      </c>
      <c r="I4316" s="3">
        <v>36.0</v>
      </c>
      <c r="J4316" s="7">
        <v>40886.430555555555</v>
      </c>
      <c r="K4316" s="8" t="str">
        <f t="shared" si="4"/>
        <v>2011-12</v>
      </c>
      <c r="L4316" s="5">
        <v>5.95</v>
      </c>
      <c r="M4316" s="3">
        <v>14051.0</v>
      </c>
      <c r="N4316" s="1" t="str">
        <f t="shared" si="5"/>
        <v>Registered</v>
      </c>
      <c r="O4316" s="1" t="s">
        <v>19</v>
      </c>
      <c r="P4316" s="9" t="str">
        <f t="shared" si="6"/>
        <v>UK</v>
      </c>
      <c r="Q4316" s="8">
        <f t="shared" si="7"/>
        <v>214.2</v>
      </c>
    </row>
    <row r="4317">
      <c r="A4317" s="1">
        <v>581495.0</v>
      </c>
      <c r="B4317" s="1" t="str">
        <f t="shared" si="1"/>
        <v>581495</v>
      </c>
      <c r="C4317" s="1" t="str">
        <f t="shared" si="2"/>
        <v>Sale</v>
      </c>
      <c r="D4317" s="1" t="s">
        <v>137</v>
      </c>
      <c r="E4317" s="1" t="str">
        <f>IFERROR(__xludf.DUMMYFUNCTION("IF(LEN(D4317)&gt;4, IFERROR(REGEXEXTRACT(TO_TEXT(D4317),""\d+""),""""),"""")"),"15056")</f>
        <v>15056</v>
      </c>
      <c r="F4317" s="6" t="str">
        <f t="shared" si="3"/>
        <v>Product</v>
      </c>
      <c r="G4317" s="1" t="s">
        <v>138</v>
      </c>
      <c r="H4317" s="6" t="str">
        <f>IFERROR(__xludf.DUMMYFUNCTION("IF(REGEXMATCH(LOWER(G4317), ""^(\?)+\s*(missing)?\s*(\?)*$""), """", PROPER(SUBSTITUTE(SUBSTITUTE(G4317, ""?"", """"), ""*"", """")))"),"Edwardian Parasol Black")</f>
        <v>Edwardian Parasol Black</v>
      </c>
      <c r="I4317" s="3">
        <v>36.0</v>
      </c>
      <c r="J4317" s="7">
        <v>40886.430555555555</v>
      </c>
      <c r="K4317" s="8" t="str">
        <f t="shared" si="4"/>
        <v>2011-12</v>
      </c>
      <c r="L4317" s="5">
        <v>5.95</v>
      </c>
      <c r="M4317" s="3">
        <v>14051.0</v>
      </c>
      <c r="N4317" s="1" t="str">
        <f t="shared" si="5"/>
        <v>Registered</v>
      </c>
      <c r="O4317" s="1" t="s">
        <v>19</v>
      </c>
      <c r="P4317" s="9" t="str">
        <f t="shared" si="6"/>
        <v>UK</v>
      </c>
      <c r="Q4317" s="8">
        <f t="shared" si="7"/>
        <v>214.2</v>
      </c>
    </row>
    <row r="4318">
      <c r="A4318" s="1">
        <v>581495.0</v>
      </c>
      <c r="B4318" s="1" t="str">
        <f t="shared" si="1"/>
        <v>581495</v>
      </c>
      <c r="C4318" s="1" t="str">
        <f t="shared" si="2"/>
        <v>Sale</v>
      </c>
      <c r="D4318" s="1">
        <v>23439.0</v>
      </c>
      <c r="E4318" s="1" t="str">
        <f>IFERROR(__xludf.DUMMYFUNCTION("IF(LEN(D4318)&gt;4, IFERROR(REGEXEXTRACT(TO_TEXT(D4318),""\d+""),""""),"""")"),"23439")</f>
        <v>23439</v>
      </c>
      <c r="F4318" s="6" t="str">
        <f t="shared" si="3"/>
        <v>Product</v>
      </c>
      <c r="G4318" s="1" t="s">
        <v>1438</v>
      </c>
      <c r="H4318" s="6" t="str">
        <f>IFERROR(__xludf.DUMMYFUNCTION("IF(REGEXMATCH(LOWER(G4318), ""^(\?)+\s*(missing)?\s*(\?)*$""), """", PROPER(SUBSTITUTE(SUBSTITUTE(G4318, ""?"", """"), ""*"", """")))"),"Hand Warmer Red Love Heart")</f>
        <v>Hand Warmer Red Love Heart</v>
      </c>
      <c r="I4318" s="3">
        <v>36.0</v>
      </c>
      <c r="J4318" s="7">
        <v>40886.430555555555</v>
      </c>
      <c r="K4318" s="8" t="str">
        <f t="shared" si="4"/>
        <v>2011-12</v>
      </c>
      <c r="L4318" s="5">
        <v>2.1</v>
      </c>
      <c r="M4318" s="3">
        <v>14051.0</v>
      </c>
      <c r="N4318" s="1" t="str">
        <f t="shared" si="5"/>
        <v>Registered</v>
      </c>
      <c r="O4318" s="1" t="s">
        <v>19</v>
      </c>
      <c r="P4318" s="9" t="str">
        <f t="shared" si="6"/>
        <v>UK</v>
      </c>
      <c r="Q4318" s="8">
        <f t="shared" si="7"/>
        <v>75.6</v>
      </c>
    </row>
    <row r="4319">
      <c r="A4319" s="1">
        <v>581495.0</v>
      </c>
      <c r="B4319" s="1" t="str">
        <f t="shared" si="1"/>
        <v>581495</v>
      </c>
      <c r="C4319" s="1" t="str">
        <f t="shared" si="2"/>
        <v>Sale</v>
      </c>
      <c r="D4319" s="1">
        <v>48138.0</v>
      </c>
      <c r="E4319" s="1" t="str">
        <f>IFERROR(__xludf.DUMMYFUNCTION("IF(LEN(D4319)&gt;4, IFERROR(REGEXEXTRACT(TO_TEXT(D4319),""\d+""),""""),"""")"),"48138")</f>
        <v>48138</v>
      </c>
      <c r="F4319" s="6" t="str">
        <f t="shared" si="3"/>
        <v>Product</v>
      </c>
      <c r="G4319" s="1" t="s">
        <v>1372</v>
      </c>
      <c r="H4319" s="6" t="str">
        <f>IFERROR(__xludf.DUMMYFUNCTION("IF(REGEXMATCH(LOWER(G4319), ""^(\?)+\s*(missing)?\s*(\?)*$""), """", PROPER(SUBSTITUTE(SUBSTITUTE(G4319, ""?"", """"), ""*"", """")))"),"Doormat Union Flag")</f>
        <v>Doormat Union Flag</v>
      </c>
      <c r="I4319" s="3">
        <v>10.0</v>
      </c>
      <c r="J4319" s="7">
        <v>40886.430555555555</v>
      </c>
      <c r="K4319" s="8" t="str">
        <f t="shared" si="4"/>
        <v>2011-12</v>
      </c>
      <c r="L4319" s="5">
        <v>7.08</v>
      </c>
      <c r="M4319" s="3">
        <v>14051.0</v>
      </c>
      <c r="N4319" s="1" t="str">
        <f t="shared" si="5"/>
        <v>Registered</v>
      </c>
      <c r="O4319" s="1" t="s">
        <v>19</v>
      </c>
      <c r="P4319" s="9" t="str">
        <f t="shared" si="6"/>
        <v>UK</v>
      </c>
      <c r="Q4319" s="8">
        <f t="shared" si="7"/>
        <v>70.8</v>
      </c>
    </row>
    <row r="4320">
      <c r="A4320" s="1">
        <v>581495.0</v>
      </c>
      <c r="B4320" s="1" t="str">
        <f t="shared" si="1"/>
        <v>581495</v>
      </c>
      <c r="C4320" s="1" t="str">
        <f t="shared" si="2"/>
        <v>Sale</v>
      </c>
      <c r="D4320" s="1">
        <v>21523.0</v>
      </c>
      <c r="E4320" s="1" t="str">
        <f>IFERROR(__xludf.DUMMYFUNCTION("IF(LEN(D4320)&gt;4, IFERROR(REGEXEXTRACT(TO_TEXT(D4320),""\d+""),""""),"""")"),"21523")</f>
        <v>21523</v>
      </c>
      <c r="F4320" s="6" t="str">
        <f t="shared" si="3"/>
        <v>Product</v>
      </c>
      <c r="G4320" s="1" t="s">
        <v>146</v>
      </c>
      <c r="H4320" s="6" t="str">
        <f>IFERROR(__xludf.DUMMYFUNCTION("IF(REGEXMATCH(LOWER(G4320), ""^(\?)+\s*(missing)?\s*(\?)*$""), """", PROPER(SUBSTITUTE(SUBSTITUTE(G4320, ""?"", """"), ""*"", """")))"),"Doormat Fancy Font Home Sweet Home")</f>
        <v>Doormat Fancy Font Home Sweet Home</v>
      </c>
      <c r="I4320" s="3">
        <v>10.0</v>
      </c>
      <c r="J4320" s="7">
        <v>40886.430555555555</v>
      </c>
      <c r="K4320" s="8" t="str">
        <f t="shared" si="4"/>
        <v>2011-12</v>
      </c>
      <c r="L4320" s="5">
        <v>7.08</v>
      </c>
      <c r="M4320" s="3">
        <v>14051.0</v>
      </c>
      <c r="N4320" s="1" t="str">
        <f t="shared" si="5"/>
        <v>Registered</v>
      </c>
      <c r="O4320" s="1" t="s">
        <v>19</v>
      </c>
      <c r="P4320" s="9" t="str">
        <f t="shared" si="6"/>
        <v>UK</v>
      </c>
      <c r="Q4320" s="8">
        <f t="shared" si="7"/>
        <v>70.8</v>
      </c>
    </row>
    <row r="4321">
      <c r="A4321" s="1">
        <v>581495.0</v>
      </c>
      <c r="B4321" s="1" t="str">
        <f t="shared" si="1"/>
        <v>581495</v>
      </c>
      <c r="C4321" s="1" t="str">
        <f t="shared" si="2"/>
        <v>Sale</v>
      </c>
      <c r="D4321" s="1">
        <v>21877.0</v>
      </c>
      <c r="E4321" s="1" t="str">
        <f>IFERROR(__xludf.DUMMYFUNCTION("IF(LEN(D4321)&gt;4, IFERROR(REGEXEXTRACT(TO_TEXT(D4321),""\d+""),""""),"""")"),"21877")</f>
        <v>21877</v>
      </c>
      <c r="F4321" s="6" t="str">
        <f t="shared" si="3"/>
        <v>Product</v>
      </c>
      <c r="G4321" s="1" t="s">
        <v>1383</v>
      </c>
      <c r="H4321" s="6" t="str">
        <f>IFERROR(__xludf.DUMMYFUNCTION("IF(REGEXMATCH(LOWER(G4321), ""^(\?)+\s*(missing)?\s*(\?)*$""), """", PROPER(SUBSTITUTE(SUBSTITUTE(G4321, ""?"", """"), ""*"", """")))"),"Home Sweet Home Mug")</f>
        <v>Home Sweet Home Mug</v>
      </c>
      <c r="I4321" s="3">
        <v>12.0</v>
      </c>
      <c r="J4321" s="7">
        <v>40886.430555555555</v>
      </c>
      <c r="K4321" s="8" t="str">
        <f t="shared" si="4"/>
        <v>2011-12</v>
      </c>
      <c r="L4321" s="5">
        <v>1.65</v>
      </c>
      <c r="M4321" s="3">
        <v>14051.0</v>
      </c>
      <c r="N4321" s="1" t="str">
        <f t="shared" si="5"/>
        <v>Registered</v>
      </c>
      <c r="O4321" s="1" t="s">
        <v>19</v>
      </c>
      <c r="P4321" s="9" t="str">
        <f t="shared" si="6"/>
        <v>UK</v>
      </c>
      <c r="Q4321" s="8">
        <f t="shared" si="7"/>
        <v>19.8</v>
      </c>
    </row>
    <row r="4322">
      <c r="A4322" s="1">
        <v>581495.0</v>
      </c>
      <c r="B4322" s="1" t="str">
        <f t="shared" si="1"/>
        <v>581495</v>
      </c>
      <c r="C4322" s="1" t="str">
        <f t="shared" si="2"/>
        <v>Sale</v>
      </c>
      <c r="D4322" s="1">
        <v>21871.0</v>
      </c>
      <c r="E4322" s="1" t="str">
        <f>IFERROR(__xludf.DUMMYFUNCTION("IF(LEN(D4322)&gt;4, IFERROR(REGEXEXTRACT(TO_TEXT(D4322),""\d+""),""""),"""")"),"21871")</f>
        <v>21871</v>
      </c>
      <c r="F4322" s="6" t="str">
        <f t="shared" si="3"/>
        <v>Product</v>
      </c>
      <c r="G4322" s="1" t="s">
        <v>73</v>
      </c>
      <c r="H4322" s="6" t="str">
        <f>IFERROR(__xludf.DUMMYFUNCTION("IF(REGEXMATCH(LOWER(G4322), ""^(\?)+\s*(missing)?\s*(\?)*$""), """", PROPER(SUBSTITUTE(SUBSTITUTE(G4322, ""?"", """"), ""*"", """")))"),"Save The Planet Mug")</f>
        <v>Save The Planet Mug</v>
      </c>
      <c r="I4322" s="3">
        <v>18.0</v>
      </c>
      <c r="J4322" s="7">
        <v>40886.430555555555</v>
      </c>
      <c r="K4322" s="8" t="str">
        <f t="shared" si="4"/>
        <v>2011-12</v>
      </c>
      <c r="L4322" s="5">
        <v>1.65</v>
      </c>
      <c r="M4322" s="3">
        <v>14051.0</v>
      </c>
      <c r="N4322" s="1" t="str">
        <f t="shared" si="5"/>
        <v>Registered</v>
      </c>
      <c r="O4322" s="1" t="s">
        <v>19</v>
      </c>
      <c r="P4322" s="9" t="str">
        <f t="shared" si="6"/>
        <v>UK</v>
      </c>
      <c r="Q4322" s="8">
        <f t="shared" si="7"/>
        <v>29.7</v>
      </c>
    </row>
    <row r="4323">
      <c r="A4323" s="1">
        <v>581495.0</v>
      </c>
      <c r="B4323" s="1" t="str">
        <f t="shared" si="1"/>
        <v>581495</v>
      </c>
      <c r="C4323" s="1" t="str">
        <f t="shared" si="2"/>
        <v>Sale</v>
      </c>
      <c r="D4323" s="1">
        <v>22798.0</v>
      </c>
      <c r="E4323" s="1" t="str">
        <f>IFERROR(__xludf.DUMMYFUNCTION("IF(LEN(D4323)&gt;4, IFERROR(REGEXEXTRACT(TO_TEXT(D4323),""\d+""),""""),"""")"),"22798")</f>
        <v>22798</v>
      </c>
      <c r="F4323" s="6" t="str">
        <f t="shared" si="3"/>
        <v>Product</v>
      </c>
      <c r="G4323" s="1" t="s">
        <v>154</v>
      </c>
      <c r="H4323" s="6" t="str">
        <f>IFERROR(__xludf.DUMMYFUNCTION("IF(REGEXMATCH(LOWER(G4323), ""^(\?)+\s*(missing)?\s*(\?)*$""), """", PROPER(SUBSTITUTE(SUBSTITUTE(G4323, ""?"", """"), ""*"", """")))"),"Antique Glass Dressing Table Pot")</f>
        <v>Antique Glass Dressing Table Pot</v>
      </c>
      <c r="I4323" s="3">
        <v>36.0</v>
      </c>
      <c r="J4323" s="7">
        <v>40886.430555555555</v>
      </c>
      <c r="K4323" s="8" t="str">
        <f t="shared" si="4"/>
        <v>2011-12</v>
      </c>
      <c r="L4323" s="5">
        <v>2.95</v>
      </c>
      <c r="M4323" s="3">
        <v>14051.0</v>
      </c>
      <c r="N4323" s="1" t="str">
        <f t="shared" si="5"/>
        <v>Registered</v>
      </c>
      <c r="O4323" s="1" t="s">
        <v>19</v>
      </c>
      <c r="P4323" s="9" t="str">
        <f t="shared" si="6"/>
        <v>UK</v>
      </c>
      <c r="Q4323" s="8">
        <f t="shared" si="7"/>
        <v>106.2</v>
      </c>
    </row>
    <row r="4324">
      <c r="A4324" s="1">
        <v>581495.0</v>
      </c>
      <c r="B4324" s="1" t="str">
        <f t="shared" si="1"/>
        <v>581495</v>
      </c>
      <c r="C4324" s="1" t="str">
        <f t="shared" si="2"/>
        <v>Sale</v>
      </c>
      <c r="D4324" s="1">
        <v>23173.0</v>
      </c>
      <c r="E4324" s="1" t="str">
        <f>IFERROR(__xludf.DUMMYFUNCTION("IF(LEN(D4324)&gt;4, IFERROR(REGEXEXTRACT(TO_TEXT(D4324),""\d+""),""""),"""")"),"23173")</f>
        <v>23173</v>
      </c>
      <c r="F4324" s="6" t="str">
        <f t="shared" si="3"/>
        <v>Product</v>
      </c>
      <c r="G4324" s="1" t="s">
        <v>1986</v>
      </c>
      <c r="H4324" s="6" t="str">
        <f>IFERROR(__xludf.DUMMYFUNCTION("IF(REGEXMATCH(LOWER(G4324), ""^(\?)+\s*(missing)?\s*(\?)*$""), """", PROPER(SUBSTITUTE(SUBSTITUTE(G4324, ""?"", """"), ""*"", """")))"),"Regency Teapot Roses")</f>
        <v>Regency Teapot Roses</v>
      </c>
      <c r="I4324" s="3">
        <v>6.0</v>
      </c>
      <c r="J4324" s="7">
        <v>40886.430555555555</v>
      </c>
      <c r="K4324" s="8" t="str">
        <f t="shared" si="4"/>
        <v>2011-12</v>
      </c>
      <c r="L4324" s="5">
        <v>9.95</v>
      </c>
      <c r="M4324" s="3">
        <v>14051.0</v>
      </c>
      <c r="N4324" s="1" t="str">
        <f t="shared" si="5"/>
        <v>Registered</v>
      </c>
      <c r="O4324" s="1" t="s">
        <v>19</v>
      </c>
      <c r="P4324" s="9" t="str">
        <f t="shared" si="6"/>
        <v>UK</v>
      </c>
      <c r="Q4324" s="8">
        <f t="shared" si="7"/>
        <v>59.7</v>
      </c>
    </row>
    <row r="4325">
      <c r="A4325" s="1">
        <v>581495.0</v>
      </c>
      <c r="B4325" s="1" t="str">
        <f t="shared" si="1"/>
        <v>581495</v>
      </c>
      <c r="C4325" s="1" t="str">
        <f t="shared" si="2"/>
        <v>Sale</v>
      </c>
      <c r="D4325" s="1">
        <v>22423.0</v>
      </c>
      <c r="E4325" s="1" t="str">
        <f>IFERROR(__xludf.DUMMYFUNCTION("IF(LEN(D4325)&gt;4, IFERROR(REGEXEXTRACT(TO_TEXT(D4325),""\d+""),""""),"""")"),"22423")</f>
        <v>22423</v>
      </c>
      <c r="F4325" s="6" t="str">
        <f t="shared" si="3"/>
        <v>Product</v>
      </c>
      <c r="G4325" s="1" t="s">
        <v>619</v>
      </c>
      <c r="H4325" s="6" t="str">
        <f>IFERROR(__xludf.DUMMYFUNCTION("IF(REGEXMATCH(LOWER(G4325), ""^(\?)+\s*(missing)?\s*(\?)*$""), """", PROPER(SUBSTITUTE(SUBSTITUTE(G4325, ""?"", """"), ""*"", """")))"),"Regency Cakestand 3 Tier")</f>
        <v>Regency Cakestand 3 Tier</v>
      </c>
      <c r="I4325" s="3">
        <v>10.0</v>
      </c>
      <c r="J4325" s="7">
        <v>40886.430555555555</v>
      </c>
      <c r="K4325" s="8" t="str">
        <f t="shared" si="4"/>
        <v>2011-12</v>
      </c>
      <c r="L4325" s="5">
        <v>12.75</v>
      </c>
      <c r="M4325" s="3">
        <v>14051.0</v>
      </c>
      <c r="N4325" s="1" t="str">
        <f t="shared" si="5"/>
        <v>Registered</v>
      </c>
      <c r="O4325" s="1" t="s">
        <v>19</v>
      </c>
      <c r="P4325" s="9" t="str">
        <f t="shared" si="6"/>
        <v>UK</v>
      </c>
      <c r="Q4325" s="8">
        <f t="shared" si="7"/>
        <v>127.5</v>
      </c>
    </row>
    <row r="4326">
      <c r="A4326" s="1">
        <v>581496.0</v>
      </c>
      <c r="B4326" s="1" t="str">
        <f t="shared" si="1"/>
        <v>581496</v>
      </c>
      <c r="C4326" s="1" t="str">
        <f t="shared" si="2"/>
        <v>Sale</v>
      </c>
      <c r="D4326" s="1">
        <v>22664.0</v>
      </c>
      <c r="E4326" s="1" t="str">
        <f>IFERROR(__xludf.DUMMYFUNCTION("IF(LEN(D4326)&gt;4, IFERROR(REGEXEXTRACT(TO_TEXT(D4326),""\d+""),""""),"""")"),"22664")</f>
        <v>22664</v>
      </c>
      <c r="F4326" s="6" t="str">
        <f t="shared" si="3"/>
        <v>Product</v>
      </c>
      <c r="G4326" s="1" t="s">
        <v>397</v>
      </c>
      <c r="H4326" s="6" t="str">
        <f>IFERROR(__xludf.DUMMYFUNCTION("IF(REGEXMATCH(LOWER(G4326), ""^(\?)+\s*(missing)?\s*(\?)*$""), """", PROPER(SUBSTITUTE(SUBSTITUTE(G4326, ""?"", """"), ""*"", """")))"),"Toy Tidy Dolly Girl Design")</f>
        <v>Toy Tidy Dolly Girl Design</v>
      </c>
      <c r="I4326" s="3">
        <v>20.0</v>
      </c>
      <c r="J4326" s="7">
        <v>40886.430555555555</v>
      </c>
      <c r="K4326" s="8" t="str">
        <f t="shared" si="4"/>
        <v>2011-12</v>
      </c>
      <c r="L4326" s="5">
        <v>0.79</v>
      </c>
      <c r="M4326" s="3">
        <v>16558.0</v>
      </c>
      <c r="N4326" s="1" t="str">
        <f t="shared" si="5"/>
        <v>Registered</v>
      </c>
      <c r="O4326" s="1" t="s">
        <v>19</v>
      </c>
      <c r="P4326" s="9" t="str">
        <f t="shared" si="6"/>
        <v>UK</v>
      </c>
      <c r="Q4326" s="8">
        <f t="shared" si="7"/>
        <v>15.8</v>
      </c>
    </row>
    <row r="4327">
      <c r="A4327" s="1">
        <v>581496.0</v>
      </c>
      <c r="B4327" s="1" t="str">
        <f t="shared" si="1"/>
        <v>581496</v>
      </c>
      <c r="C4327" s="1" t="str">
        <f t="shared" si="2"/>
        <v>Sale</v>
      </c>
      <c r="D4327" s="1">
        <v>22721.0</v>
      </c>
      <c r="E4327" s="1" t="str">
        <f>IFERROR(__xludf.DUMMYFUNCTION("IF(LEN(D4327)&gt;4, IFERROR(REGEXEXTRACT(TO_TEXT(D4327),""\d+""),""""),"""")"),"22721")</f>
        <v>22721</v>
      </c>
      <c r="F4327" s="6" t="str">
        <f t="shared" si="3"/>
        <v>Product</v>
      </c>
      <c r="G4327" s="1" t="s">
        <v>1296</v>
      </c>
      <c r="H4327" s="6" t="str">
        <f>IFERROR(__xludf.DUMMYFUNCTION("IF(REGEXMATCH(LOWER(G4327), ""^(\?)+\s*(missing)?\s*(\?)*$""), """", PROPER(SUBSTITUTE(SUBSTITUTE(G4327, ""?"", """"), ""*"", """")))"),"Set Of 3 Cake Tins Sketchbook")</f>
        <v>Set Of 3 Cake Tins Sketchbook</v>
      </c>
      <c r="I4327" s="3">
        <v>12.0</v>
      </c>
      <c r="J4327" s="7">
        <v>40886.430555555555</v>
      </c>
      <c r="K4327" s="8" t="str">
        <f t="shared" si="4"/>
        <v>2011-12</v>
      </c>
      <c r="L4327" s="5">
        <v>1.95</v>
      </c>
      <c r="M4327" s="3">
        <v>16558.0</v>
      </c>
      <c r="N4327" s="1" t="str">
        <f t="shared" si="5"/>
        <v>Registered</v>
      </c>
      <c r="O4327" s="1" t="s">
        <v>19</v>
      </c>
      <c r="P4327" s="9" t="str">
        <f t="shared" si="6"/>
        <v>UK</v>
      </c>
      <c r="Q4327" s="8">
        <f t="shared" si="7"/>
        <v>23.4</v>
      </c>
    </row>
    <row r="4328">
      <c r="A4328" s="1">
        <v>581496.0</v>
      </c>
      <c r="B4328" s="1" t="str">
        <f t="shared" si="1"/>
        <v>581496</v>
      </c>
      <c r="C4328" s="1" t="str">
        <f t="shared" si="2"/>
        <v>Sale</v>
      </c>
      <c r="D4328" s="1" t="s">
        <v>538</v>
      </c>
      <c r="E4328" s="1" t="str">
        <f>IFERROR(__xludf.DUMMYFUNCTION("IF(LEN(D4328)&gt;4, IFERROR(REGEXEXTRACT(TO_TEXT(D4328),""\d+""),""""),"""")"),"72800")</f>
        <v>72800</v>
      </c>
      <c r="F4328" s="6" t="str">
        <f t="shared" si="3"/>
        <v>Product</v>
      </c>
      <c r="G4328" s="1" t="s">
        <v>539</v>
      </c>
      <c r="H4328" s="6" t="str">
        <f>IFERROR(__xludf.DUMMYFUNCTION("IF(REGEXMATCH(LOWER(G4328), ""^(\?)+\s*(missing)?\s*(\?)*$""), """", PROPER(SUBSTITUTE(SUBSTITUTE(G4328, ""?"", """"), ""*"", """")))"),"4 Ivory Dinner Candles Silver Flock")</f>
        <v>4 Ivory Dinner Candles Silver Flock</v>
      </c>
      <c r="I4328" s="3">
        <v>12.0</v>
      </c>
      <c r="J4328" s="7">
        <v>40886.430555555555</v>
      </c>
      <c r="K4328" s="8" t="str">
        <f t="shared" si="4"/>
        <v>2011-12</v>
      </c>
      <c r="L4328" s="5">
        <v>0.79</v>
      </c>
      <c r="M4328" s="3">
        <v>16558.0</v>
      </c>
      <c r="N4328" s="1" t="str">
        <f t="shared" si="5"/>
        <v>Registered</v>
      </c>
      <c r="O4328" s="1" t="s">
        <v>19</v>
      </c>
      <c r="P4328" s="9" t="str">
        <f t="shared" si="6"/>
        <v>UK</v>
      </c>
      <c r="Q4328" s="8">
        <f t="shared" si="7"/>
        <v>9.48</v>
      </c>
    </row>
    <row r="4329">
      <c r="A4329" s="1">
        <v>581496.0</v>
      </c>
      <c r="B4329" s="1" t="str">
        <f t="shared" si="1"/>
        <v>581496</v>
      </c>
      <c r="C4329" s="1" t="str">
        <f t="shared" si="2"/>
        <v>Sale</v>
      </c>
      <c r="D4329" s="1">
        <v>23313.0</v>
      </c>
      <c r="E4329" s="1" t="str">
        <f>IFERROR(__xludf.DUMMYFUNCTION("IF(LEN(D4329)&gt;4, IFERROR(REGEXEXTRACT(TO_TEXT(D4329),""\d+""),""""),"""")"),"23313")</f>
        <v>23313</v>
      </c>
      <c r="F4329" s="6" t="str">
        <f t="shared" si="3"/>
        <v>Product</v>
      </c>
      <c r="G4329" s="1" t="s">
        <v>1552</v>
      </c>
      <c r="H4329" s="6" t="str">
        <f>IFERROR(__xludf.DUMMYFUNCTION("IF(REGEXMATCH(LOWER(G4329), ""^(\?)+\s*(missing)?\s*(\?)*$""), """", PROPER(SUBSTITUTE(SUBSTITUTE(G4329, ""?"", """"), ""*"", """")))"),"Vintage Christmas Bunting")</f>
        <v>Vintage Christmas Bunting</v>
      </c>
      <c r="I4329" s="3">
        <v>10.0</v>
      </c>
      <c r="J4329" s="7">
        <v>40886.430555555555</v>
      </c>
      <c r="K4329" s="8" t="str">
        <f t="shared" si="4"/>
        <v>2011-12</v>
      </c>
      <c r="L4329" s="5">
        <v>4.95</v>
      </c>
      <c r="M4329" s="3">
        <v>16558.0</v>
      </c>
      <c r="N4329" s="1" t="str">
        <f t="shared" si="5"/>
        <v>Registered</v>
      </c>
      <c r="O4329" s="1" t="s">
        <v>19</v>
      </c>
      <c r="P4329" s="9" t="str">
        <f t="shared" si="6"/>
        <v>UK</v>
      </c>
      <c r="Q4329" s="8">
        <f t="shared" si="7"/>
        <v>49.5</v>
      </c>
    </row>
    <row r="4330">
      <c r="A4330" s="1">
        <v>581496.0</v>
      </c>
      <c r="B4330" s="1" t="str">
        <f t="shared" si="1"/>
        <v>581496</v>
      </c>
      <c r="C4330" s="1" t="str">
        <f t="shared" si="2"/>
        <v>Sale</v>
      </c>
      <c r="D4330" s="1">
        <v>22952.0</v>
      </c>
      <c r="E4330" s="1" t="str">
        <f>IFERROR(__xludf.DUMMYFUNCTION("IF(LEN(D4330)&gt;4, IFERROR(REGEXEXTRACT(TO_TEXT(D4330),""\d+""),""""),"""")"),"22952")</f>
        <v>22952</v>
      </c>
      <c r="F4330" s="6" t="str">
        <f t="shared" si="3"/>
        <v>Product</v>
      </c>
      <c r="G4330" s="1" t="s">
        <v>465</v>
      </c>
      <c r="H4330" s="6" t="str">
        <f>IFERROR(__xludf.DUMMYFUNCTION("IF(REGEXMATCH(LOWER(G4330), ""^(\?)+\s*(missing)?\s*(\?)*$""), """", PROPER(SUBSTITUTE(SUBSTITUTE(G4330, ""?"", """"), ""*"", """")))"),"60 Cake Cases Vintage Christmas")</f>
        <v>60 Cake Cases Vintage Christmas</v>
      </c>
      <c r="I4330" s="3">
        <v>24.0</v>
      </c>
      <c r="J4330" s="7">
        <v>40886.430555555555</v>
      </c>
      <c r="K4330" s="8" t="str">
        <f t="shared" si="4"/>
        <v>2011-12</v>
      </c>
      <c r="L4330" s="5">
        <v>0.55</v>
      </c>
      <c r="M4330" s="3">
        <v>16558.0</v>
      </c>
      <c r="N4330" s="1" t="str">
        <f t="shared" si="5"/>
        <v>Registered</v>
      </c>
      <c r="O4330" s="1" t="s">
        <v>19</v>
      </c>
      <c r="P4330" s="9" t="str">
        <f t="shared" si="6"/>
        <v>UK</v>
      </c>
      <c r="Q4330" s="8">
        <f t="shared" si="7"/>
        <v>13.2</v>
      </c>
    </row>
    <row r="4331">
      <c r="A4331" s="1">
        <v>581496.0</v>
      </c>
      <c r="B4331" s="1" t="str">
        <f t="shared" si="1"/>
        <v>581496</v>
      </c>
      <c r="C4331" s="1" t="str">
        <f t="shared" si="2"/>
        <v>Sale</v>
      </c>
      <c r="D4331" s="1">
        <v>22909.0</v>
      </c>
      <c r="E4331" s="1" t="str">
        <f>IFERROR(__xludf.DUMMYFUNCTION("IF(LEN(D4331)&gt;4, IFERROR(REGEXEXTRACT(TO_TEXT(D4331),""\d+""),""""),"""")"),"22909")</f>
        <v>22909</v>
      </c>
      <c r="F4331" s="6" t="str">
        <f t="shared" si="3"/>
        <v>Product</v>
      </c>
      <c r="G4331" s="1" t="s">
        <v>468</v>
      </c>
      <c r="H4331" s="6" t="str">
        <f>IFERROR(__xludf.DUMMYFUNCTION("IF(REGEXMATCH(LOWER(G4331), ""^(\?)+\s*(missing)?\s*(\?)*$""), """", PROPER(SUBSTITUTE(SUBSTITUTE(G4331, ""?"", """"), ""*"", """")))"),"Set Of 20 Vintage Christmas Napkins")</f>
        <v>Set Of 20 Vintage Christmas Napkins</v>
      </c>
      <c r="I4331" s="3">
        <v>12.0</v>
      </c>
      <c r="J4331" s="7">
        <v>40886.430555555555</v>
      </c>
      <c r="K4331" s="8" t="str">
        <f t="shared" si="4"/>
        <v>2011-12</v>
      </c>
      <c r="L4331" s="5">
        <v>0.85</v>
      </c>
      <c r="M4331" s="3">
        <v>16558.0</v>
      </c>
      <c r="N4331" s="1" t="str">
        <f t="shared" si="5"/>
        <v>Registered</v>
      </c>
      <c r="O4331" s="1" t="s">
        <v>19</v>
      </c>
      <c r="P4331" s="9" t="str">
        <f t="shared" si="6"/>
        <v>UK</v>
      </c>
      <c r="Q4331" s="8">
        <f t="shared" si="7"/>
        <v>10.2</v>
      </c>
    </row>
    <row r="4332">
      <c r="A4332" s="1">
        <v>581496.0</v>
      </c>
      <c r="B4332" s="1" t="str">
        <f t="shared" si="1"/>
        <v>581496</v>
      </c>
      <c r="C4332" s="1" t="str">
        <f t="shared" si="2"/>
        <v>Sale</v>
      </c>
      <c r="D4332" s="1">
        <v>23298.0</v>
      </c>
      <c r="E4332" s="1" t="str">
        <f>IFERROR(__xludf.DUMMYFUNCTION("IF(LEN(D4332)&gt;4, IFERROR(REGEXEXTRACT(TO_TEXT(D4332),""\d+""),""""),"""")"),"23298")</f>
        <v>23298</v>
      </c>
      <c r="F4332" s="6" t="str">
        <f t="shared" si="3"/>
        <v>Product</v>
      </c>
      <c r="G4332" s="1" t="s">
        <v>1558</v>
      </c>
      <c r="H4332" s="6" t="str">
        <f>IFERROR(__xludf.DUMMYFUNCTION("IF(REGEXMATCH(LOWER(G4332), ""^(\?)+\s*(missing)?\s*(\?)*$""), """", PROPER(SUBSTITUTE(SUBSTITUTE(G4332, ""?"", """"), ""*"", """")))"),"Spotty Bunting")</f>
        <v>Spotty Bunting</v>
      </c>
      <c r="I4332" s="3">
        <v>3.0</v>
      </c>
      <c r="J4332" s="7">
        <v>40886.430555555555</v>
      </c>
      <c r="K4332" s="8" t="str">
        <f t="shared" si="4"/>
        <v>2011-12</v>
      </c>
      <c r="L4332" s="5">
        <v>4.95</v>
      </c>
      <c r="M4332" s="3">
        <v>16558.0</v>
      </c>
      <c r="N4332" s="1" t="str">
        <f t="shared" si="5"/>
        <v>Registered</v>
      </c>
      <c r="O4332" s="1" t="s">
        <v>19</v>
      </c>
      <c r="P4332" s="9" t="str">
        <f t="shared" si="6"/>
        <v>UK</v>
      </c>
      <c r="Q4332" s="8">
        <f t="shared" si="7"/>
        <v>14.85</v>
      </c>
    </row>
    <row r="4333">
      <c r="A4333" s="1">
        <v>581496.0</v>
      </c>
      <c r="B4333" s="1" t="str">
        <f t="shared" si="1"/>
        <v>581496</v>
      </c>
      <c r="C4333" s="1" t="str">
        <f t="shared" si="2"/>
        <v>Sale</v>
      </c>
      <c r="D4333" s="1">
        <v>23598.0</v>
      </c>
      <c r="E4333" s="1" t="str">
        <f>IFERROR(__xludf.DUMMYFUNCTION("IF(LEN(D4333)&gt;4, IFERROR(REGEXEXTRACT(TO_TEXT(D4333),""\d+""),""""),"""")"),"23598")</f>
        <v>23598</v>
      </c>
      <c r="F4333" s="6" t="str">
        <f t="shared" si="3"/>
        <v>Product</v>
      </c>
      <c r="G4333" s="1" t="s">
        <v>2053</v>
      </c>
      <c r="H4333" s="6" t="str">
        <f>IFERROR(__xludf.DUMMYFUNCTION("IF(REGEXMATCH(LOWER(G4333), ""^(\?)+\s*(missing)?\s*(\?)*$""), """", PROPER(SUBSTITUTE(SUBSTITUTE(G4333, ""?"", """"), ""*"", """")))"),"Paper Bunting Vintage Party")</f>
        <v>Paper Bunting Vintage Party</v>
      </c>
      <c r="I4333" s="3">
        <v>6.0</v>
      </c>
      <c r="J4333" s="7">
        <v>40886.430555555555</v>
      </c>
      <c r="K4333" s="8" t="str">
        <f t="shared" si="4"/>
        <v>2011-12</v>
      </c>
      <c r="L4333" s="5">
        <v>2.95</v>
      </c>
      <c r="M4333" s="3">
        <v>16558.0</v>
      </c>
      <c r="N4333" s="1" t="str">
        <f t="shared" si="5"/>
        <v>Registered</v>
      </c>
      <c r="O4333" s="1" t="s">
        <v>19</v>
      </c>
      <c r="P4333" s="9" t="str">
        <f t="shared" si="6"/>
        <v>UK</v>
      </c>
      <c r="Q4333" s="8">
        <f t="shared" si="7"/>
        <v>17.7</v>
      </c>
    </row>
    <row r="4334">
      <c r="A4334" s="1">
        <v>581496.0</v>
      </c>
      <c r="B4334" s="1" t="str">
        <f t="shared" si="1"/>
        <v>581496</v>
      </c>
      <c r="C4334" s="1" t="str">
        <f t="shared" si="2"/>
        <v>Sale</v>
      </c>
      <c r="D4334" s="1" t="s">
        <v>2054</v>
      </c>
      <c r="E4334" s="1" t="str">
        <f>IFERROR(__xludf.DUMMYFUNCTION("IF(LEN(D4334)&gt;4, IFERROR(REGEXEXTRACT(TO_TEXT(D4334),""\d+""),""""),"""")"),"16169")</f>
        <v>16169</v>
      </c>
      <c r="F4334" s="6" t="str">
        <f t="shared" si="3"/>
        <v>Product</v>
      </c>
      <c r="G4334" s="1" t="s">
        <v>2055</v>
      </c>
      <c r="H4334" s="6" t="str">
        <f>IFERROR(__xludf.DUMMYFUNCTION("IF(REGEXMATCH(LOWER(G4334), ""^(\?)+\s*(missing)?\s*(\?)*$""), """", PROPER(SUBSTITUTE(SUBSTITUTE(G4334, ""?"", """"), ""*"", """")))"),"Wrap 50'S Christmas")</f>
        <v>Wrap 50'S Christmas</v>
      </c>
      <c r="I4334" s="3">
        <v>25.0</v>
      </c>
      <c r="J4334" s="7">
        <v>40886.430555555555</v>
      </c>
      <c r="K4334" s="8" t="str">
        <f t="shared" si="4"/>
        <v>2011-12</v>
      </c>
      <c r="L4334" s="5">
        <v>0.42</v>
      </c>
      <c r="M4334" s="3">
        <v>16558.0</v>
      </c>
      <c r="N4334" s="1" t="str">
        <f t="shared" si="5"/>
        <v>Registered</v>
      </c>
      <c r="O4334" s="1" t="s">
        <v>19</v>
      </c>
      <c r="P4334" s="9" t="str">
        <f t="shared" si="6"/>
        <v>UK</v>
      </c>
      <c r="Q4334" s="8">
        <f t="shared" si="7"/>
        <v>10.5</v>
      </c>
    </row>
    <row r="4335">
      <c r="A4335" s="1">
        <v>581496.0</v>
      </c>
      <c r="B4335" s="1" t="str">
        <f t="shared" si="1"/>
        <v>581496</v>
      </c>
      <c r="C4335" s="1" t="str">
        <f t="shared" si="2"/>
        <v>Sale</v>
      </c>
      <c r="D4335" s="1">
        <v>23351.0</v>
      </c>
      <c r="E4335" s="1" t="str">
        <f>IFERROR(__xludf.DUMMYFUNCTION("IF(LEN(D4335)&gt;4, IFERROR(REGEXEXTRACT(TO_TEXT(D4335),""\d+""),""""),"""")"),"23351")</f>
        <v>23351</v>
      </c>
      <c r="F4335" s="6" t="str">
        <f t="shared" si="3"/>
        <v>Product</v>
      </c>
      <c r="G4335" s="1" t="s">
        <v>1570</v>
      </c>
      <c r="H4335" s="6" t="str">
        <f>IFERROR(__xludf.DUMMYFUNCTION("IF(REGEXMATCH(LOWER(G4335), ""^(\?)+\s*(missing)?\s*(\?)*$""), """", PROPER(SUBSTITUTE(SUBSTITUTE(G4335, ""?"", """"), ""*"", """")))"),"Roll Wrap 50'S Christmas")</f>
        <v>Roll Wrap 50'S Christmas</v>
      </c>
      <c r="I4335" s="3">
        <v>12.0</v>
      </c>
      <c r="J4335" s="7">
        <v>40886.430555555555</v>
      </c>
      <c r="K4335" s="8" t="str">
        <f t="shared" si="4"/>
        <v>2011-12</v>
      </c>
      <c r="L4335" s="5">
        <v>1.25</v>
      </c>
      <c r="M4335" s="3">
        <v>16558.0</v>
      </c>
      <c r="N4335" s="1" t="str">
        <f t="shared" si="5"/>
        <v>Registered</v>
      </c>
      <c r="O4335" s="1" t="s">
        <v>19</v>
      </c>
      <c r="P4335" s="9" t="str">
        <f t="shared" si="6"/>
        <v>UK</v>
      </c>
      <c r="Q4335" s="8">
        <f t="shared" si="7"/>
        <v>15</v>
      </c>
    </row>
    <row r="4336">
      <c r="A4336" s="1">
        <v>581496.0</v>
      </c>
      <c r="B4336" s="1" t="str">
        <f t="shared" si="1"/>
        <v>581496</v>
      </c>
      <c r="C4336" s="1" t="str">
        <f t="shared" si="2"/>
        <v>Sale</v>
      </c>
      <c r="D4336" s="1">
        <v>23350.0</v>
      </c>
      <c r="E4336" s="1" t="str">
        <f>IFERROR(__xludf.DUMMYFUNCTION("IF(LEN(D4336)&gt;4, IFERROR(REGEXEXTRACT(TO_TEXT(D4336),""\d+""),""""),"""")"),"23350")</f>
        <v>23350</v>
      </c>
      <c r="F4336" s="6" t="str">
        <f t="shared" si="3"/>
        <v>Product</v>
      </c>
      <c r="G4336" s="1" t="s">
        <v>2056</v>
      </c>
      <c r="H4336" s="6" t="str">
        <f>IFERROR(__xludf.DUMMYFUNCTION("IF(REGEXMATCH(LOWER(G4336), ""^(\?)+\s*(missing)?\s*(\?)*$""), """", PROPER(SUBSTITUTE(SUBSTITUTE(G4336, ""?"", """"), ""*"", """")))"),"Roll Wrap Vintage Spot")</f>
        <v>Roll Wrap Vintage Spot</v>
      </c>
      <c r="I4336" s="3">
        <v>24.0</v>
      </c>
      <c r="J4336" s="7">
        <v>40886.430555555555</v>
      </c>
      <c r="K4336" s="8" t="str">
        <f t="shared" si="4"/>
        <v>2011-12</v>
      </c>
      <c r="L4336" s="5">
        <v>1.25</v>
      </c>
      <c r="M4336" s="3">
        <v>16558.0</v>
      </c>
      <c r="N4336" s="1" t="str">
        <f t="shared" si="5"/>
        <v>Registered</v>
      </c>
      <c r="O4336" s="1" t="s">
        <v>19</v>
      </c>
      <c r="P4336" s="9" t="str">
        <f t="shared" si="6"/>
        <v>UK</v>
      </c>
      <c r="Q4336" s="8">
        <f t="shared" si="7"/>
        <v>30</v>
      </c>
    </row>
    <row r="4337">
      <c r="A4337" s="1">
        <v>581496.0</v>
      </c>
      <c r="B4337" s="1" t="str">
        <f t="shared" si="1"/>
        <v>581496</v>
      </c>
      <c r="C4337" s="1" t="str">
        <f t="shared" si="2"/>
        <v>Sale</v>
      </c>
      <c r="D4337" s="1">
        <v>22865.0</v>
      </c>
      <c r="E4337" s="1" t="str">
        <f>IFERROR(__xludf.DUMMYFUNCTION("IF(LEN(D4337)&gt;4, IFERROR(REGEXEXTRACT(TO_TEXT(D4337),""\d+""),""""),"""")"),"22865")</f>
        <v>22865</v>
      </c>
      <c r="F4337" s="6" t="str">
        <f t="shared" si="3"/>
        <v>Product</v>
      </c>
      <c r="G4337" s="1" t="s">
        <v>247</v>
      </c>
      <c r="H4337" s="6" t="str">
        <f>IFERROR(__xludf.DUMMYFUNCTION("IF(REGEXMATCH(LOWER(G4337), ""^(\?)+\s*(missing)?\s*(\?)*$""), """", PROPER(SUBSTITUTE(SUBSTITUTE(G4337, ""?"", """"), ""*"", """")))"),"Hand Warmer Owl Design")</f>
        <v>Hand Warmer Owl Design</v>
      </c>
      <c r="I4337" s="3">
        <v>24.0</v>
      </c>
      <c r="J4337" s="7">
        <v>40886.430555555555</v>
      </c>
      <c r="K4337" s="8" t="str">
        <f t="shared" si="4"/>
        <v>2011-12</v>
      </c>
      <c r="L4337" s="5">
        <v>2.1</v>
      </c>
      <c r="M4337" s="3">
        <v>16558.0</v>
      </c>
      <c r="N4337" s="1" t="str">
        <f t="shared" si="5"/>
        <v>Registered</v>
      </c>
      <c r="O4337" s="1" t="s">
        <v>19</v>
      </c>
      <c r="P4337" s="9" t="str">
        <f t="shared" si="6"/>
        <v>UK</v>
      </c>
      <c r="Q4337" s="8">
        <f t="shared" si="7"/>
        <v>50.4</v>
      </c>
    </row>
    <row r="4338">
      <c r="A4338" s="1">
        <v>581496.0</v>
      </c>
      <c r="B4338" s="1" t="str">
        <f t="shared" si="1"/>
        <v>581496</v>
      </c>
      <c r="C4338" s="1" t="str">
        <f t="shared" si="2"/>
        <v>Sale</v>
      </c>
      <c r="D4338" s="1">
        <v>22632.0</v>
      </c>
      <c r="E4338" s="1" t="str">
        <f>IFERROR(__xludf.DUMMYFUNCTION("IF(LEN(D4338)&gt;4, IFERROR(REGEXEXTRACT(TO_TEXT(D4338),""\d+""),""""),"""")"),"22632")</f>
        <v>22632</v>
      </c>
      <c r="F4338" s="6" t="str">
        <f t="shared" si="3"/>
        <v>Product</v>
      </c>
      <c r="G4338" s="1" t="s">
        <v>248</v>
      </c>
      <c r="H4338" s="6" t="str">
        <f>IFERROR(__xludf.DUMMYFUNCTION("IF(REGEXMATCH(LOWER(G4338), ""^(\?)+\s*(missing)?\s*(\?)*$""), """", PROPER(SUBSTITUTE(SUBSTITUTE(G4338, ""?"", """"), ""*"", """")))"),"Hand Warmer Red Retrospot")</f>
        <v>Hand Warmer Red Retrospot</v>
      </c>
      <c r="I4338" s="3">
        <v>12.0</v>
      </c>
      <c r="J4338" s="7">
        <v>40886.430555555555</v>
      </c>
      <c r="K4338" s="8" t="str">
        <f t="shared" si="4"/>
        <v>2011-12</v>
      </c>
      <c r="L4338" s="5">
        <v>2.1</v>
      </c>
      <c r="M4338" s="3">
        <v>16558.0</v>
      </c>
      <c r="N4338" s="1" t="str">
        <f t="shared" si="5"/>
        <v>Registered</v>
      </c>
      <c r="O4338" s="1" t="s">
        <v>19</v>
      </c>
      <c r="P4338" s="9" t="str">
        <f t="shared" si="6"/>
        <v>UK</v>
      </c>
      <c r="Q4338" s="8">
        <f t="shared" si="7"/>
        <v>25.2</v>
      </c>
    </row>
    <row r="4339">
      <c r="A4339" s="1">
        <v>581496.0</v>
      </c>
      <c r="B4339" s="1" t="str">
        <f t="shared" si="1"/>
        <v>581496</v>
      </c>
      <c r="C4339" s="1" t="str">
        <f t="shared" si="2"/>
        <v>Sale</v>
      </c>
      <c r="D4339" s="1">
        <v>22835.0</v>
      </c>
      <c r="E4339" s="1" t="str">
        <f>IFERROR(__xludf.DUMMYFUNCTION("IF(LEN(D4339)&gt;4, IFERROR(REGEXEXTRACT(TO_TEXT(D4339),""\d+""),""""),"""")"),"22835")</f>
        <v>22835</v>
      </c>
      <c r="F4339" s="6" t="str">
        <f t="shared" si="3"/>
        <v>Product</v>
      </c>
      <c r="G4339" s="1" t="s">
        <v>267</v>
      </c>
      <c r="H4339" s="6" t="str">
        <f>IFERROR(__xludf.DUMMYFUNCTION("IF(REGEXMATCH(LOWER(G4339), ""^(\?)+\s*(missing)?\s*(\?)*$""), """", PROPER(SUBSTITUTE(SUBSTITUTE(G4339, ""?"", """"), ""*"", """")))"),"Hot Water Bottle I Am So Poorly")</f>
        <v>Hot Water Bottle I Am So Poorly</v>
      </c>
      <c r="I4339" s="3">
        <v>4.0</v>
      </c>
      <c r="J4339" s="7">
        <v>40886.430555555555</v>
      </c>
      <c r="K4339" s="8" t="str">
        <f t="shared" si="4"/>
        <v>2011-12</v>
      </c>
      <c r="L4339" s="5">
        <v>4.95</v>
      </c>
      <c r="M4339" s="3">
        <v>16558.0</v>
      </c>
      <c r="N4339" s="1" t="str">
        <f t="shared" si="5"/>
        <v>Registered</v>
      </c>
      <c r="O4339" s="1" t="s">
        <v>19</v>
      </c>
      <c r="P4339" s="9" t="str">
        <f t="shared" si="6"/>
        <v>UK</v>
      </c>
      <c r="Q4339" s="8">
        <f t="shared" si="7"/>
        <v>19.8</v>
      </c>
    </row>
    <row r="4340">
      <c r="A4340" s="1">
        <v>581496.0</v>
      </c>
      <c r="B4340" s="1" t="str">
        <f t="shared" si="1"/>
        <v>581496</v>
      </c>
      <c r="C4340" s="1" t="str">
        <f t="shared" si="2"/>
        <v>Sale</v>
      </c>
      <c r="D4340" s="1">
        <v>22112.0</v>
      </c>
      <c r="E4340" s="1" t="str">
        <f>IFERROR(__xludf.DUMMYFUNCTION("IF(LEN(D4340)&gt;4, IFERROR(REGEXEXTRACT(TO_TEXT(D4340),""\d+""),""""),"""")"),"22112")</f>
        <v>22112</v>
      </c>
      <c r="F4340" s="6" t="str">
        <f t="shared" si="3"/>
        <v>Product</v>
      </c>
      <c r="G4340" s="1" t="s">
        <v>268</v>
      </c>
      <c r="H4340" s="6" t="str">
        <f>IFERROR(__xludf.DUMMYFUNCTION("IF(REGEXMATCH(LOWER(G4340), ""^(\?)+\s*(missing)?\s*(\?)*$""), """", PROPER(SUBSTITUTE(SUBSTITUTE(G4340, ""?"", """"), ""*"", """")))"),"Chocolate Hot Water Bottle")</f>
        <v>Chocolate Hot Water Bottle</v>
      </c>
      <c r="I4340" s="3">
        <v>6.0</v>
      </c>
      <c r="J4340" s="7">
        <v>40886.430555555555</v>
      </c>
      <c r="K4340" s="8" t="str">
        <f t="shared" si="4"/>
        <v>2011-12</v>
      </c>
      <c r="L4340" s="5">
        <v>4.95</v>
      </c>
      <c r="M4340" s="3">
        <v>16558.0</v>
      </c>
      <c r="N4340" s="1" t="str">
        <f t="shared" si="5"/>
        <v>Registered</v>
      </c>
      <c r="O4340" s="1" t="s">
        <v>19</v>
      </c>
      <c r="P4340" s="9" t="str">
        <f t="shared" si="6"/>
        <v>UK</v>
      </c>
      <c r="Q4340" s="8">
        <f t="shared" si="7"/>
        <v>29.7</v>
      </c>
    </row>
    <row r="4341">
      <c r="A4341" s="1">
        <v>581496.0</v>
      </c>
      <c r="B4341" s="1" t="str">
        <f t="shared" si="1"/>
        <v>581496</v>
      </c>
      <c r="C4341" s="1" t="str">
        <f t="shared" si="2"/>
        <v>Sale</v>
      </c>
      <c r="D4341" s="1">
        <v>23355.0</v>
      </c>
      <c r="E4341" s="1" t="str">
        <f>IFERROR(__xludf.DUMMYFUNCTION("IF(LEN(D4341)&gt;4, IFERROR(REGEXEXTRACT(TO_TEXT(D4341),""\d+""),""""),"""")"),"23355")</f>
        <v>23355</v>
      </c>
      <c r="F4341" s="6" t="str">
        <f t="shared" si="3"/>
        <v>Product</v>
      </c>
      <c r="G4341" s="1" t="s">
        <v>1625</v>
      </c>
      <c r="H4341" s="6" t="str">
        <f>IFERROR(__xludf.DUMMYFUNCTION("IF(REGEXMATCH(LOWER(G4341), ""^(\?)+\s*(missing)?\s*(\?)*$""), """", PROPER(SUBSTITUTE(SUBSTITUTE(G4341, ""?"", """"), ""*"", """")))"),"Hot Water Bottle Keep Calm")</f>
        <v>Hot Water Bottle Keep Calm</v>
      </c>
      <c r="I4341" s="3">
        <v>4.0</v>
      </c>
      <c r="J4341" s="7">
        <v>40886.430555555555</v>
      </c>
      <c r="K4341" s="8" t="str">
        <f t="shared" si="4"/>
        <v>2011-12</v>
      </c>
      <c r="L4341" s="5">
        <v>4.95</v>
      </c>
      <c r="M4341" s="3">
        <v>16558.0</v>
      </c>
      <c r="N4341" s="1" t="str">
        <f t="shared" si="5"/>
        <v>Registered</v>
      </c>
      <c r="O4341" s="1" t="s">
        <v>19</v>
      </c>
      <c r="P4341" s="9" t="str">
        <f t="shared" si="6"/>
        <v>UK</v>
      </c>
      <c r="Q4341" s="8">
        <f t="shared" si="7"/>
        <v>19.8</v>
      </c>
    </row>
    <row r="4342">
      <c r="A4342" s="1">
        <v>581496.0</v>
      </c>
      <c r="B4342" s="1" t="str">
        <f t="shared" si="1"/>
        <v>581496</v>
      </c>
      <c r="C4342" s="1" t="str">
        <f t="shared" si="2"/>
        <v>Sale</v>
      </c>
      <c r="D4342" s="1">
        <v>22314.0</v>
      </c>
      <c r="E4342" s="1" t="str">
        <f>IFERROR(__xludf.DUMMYFUNCTION("IF(LEN(D4342)&gt;4, IFERROR(REGEXEXTRACT(TO_TEXT(D4342),""\d+""),""""),"""")"),"22314")</f>
        <v>22314</v>
      </c>
      <c r="F4342" s="6" t="str">
        <f t="shared" si="3"/>
        <v>Product</v>
      </c>
      <c r="G4342" s="1" t="s">
        <v>2057</v>
      </c>
      <c r="H4342" s="6" t="str">
        <f>IFERROR(__xludf.DUMMYFUNCTION("IF(REGEXMATCH(LOWER(G4342), ""^(\?)+\s*(missing)?\s*(\?)*$""), """", PROPER(SUBSTITUTE(SUBSTITUTE(G4342, ""?"", """"), ""*"", """")))"),"Office Mug Warmer Choc+Blue")</f>
        <v>Office Mug Warmer Choc+Blue</v>
      </c>
      <c r="I4342" s="3">
        <v>24.0</v>
      </c>
      <c r="J4342" s="7">
        <v>40886.430555555555</v>
      </c>
      <c r="K4342" s="8" t="str">
        <f t="shared" si="4"/>
        <v>2011-12</v>
      </c>
      <c r="L4342" s="5">
        <v>1.25</v>
      </c>
      <c r="M4342" s="3">
        <v>16558.0</v>
      </c>
      <c r="N4342" s="1" t="str">
        <f t="shared" si="5"/>
        <v>Registered</v>
      </c>
      <c r="O4342" s="1" t="s">
        <v>19</v>
      </c>
      <c r="P4342" s="9" t="str">
        <f t="shared" si="6"/>
        <v>UK</v>
      </c>
      <c r="Q4342" s="8">
        <f t="shared" si="7"/>
        <v>30</v>
      </c>
    </row>
    <row r="4343">
      <c r="A4343" s="1">
        <v>581496.0</v>
      </c>
      <c r="B4343" s="1" t="str">
        <f t="shared" si="1"/>
        <v>581496</v>
      </c>
      <c r="C4343" s="1" t="str">
        <f t="shared" si="2"/>
        <v>Sale</v>
      </c>
      <c r="D4343" s="1">
        <v>22313.0</v>
      </c>
      <c r="E4343" s="1" t="str">
        <f>IFERROR(__xludf.DUMMYFUNCTION("IF(LEN(D4343)&gt;4, IFERROR(REGEXEXTRACT(TO_TEXT(D4343),""\d+""),""""),"""")"),"22313")</f>
        <v>22313</v>
      </c>
      <c r="F4343" s="6" t="str">
        <f t="shared" si="3"/>
        <v>Product</v>
      </c>
      <c r="G4343" s="1" t="s">
        <v>2058</v>
      </c>
      <c r="H4343" s="6" t="str">
        <f>IFERROR(__xludf.DUMMYFUNCTION("IF(REGEXMATCH(LOWER(G4343), ""^(\?)+\s*(missing)?\s*(\?)*$""), """", PROPER(SUBSTITUTE(SUBSTITUTE(G4343, ""?"", """"), ""*"", """")))"),"Office Mug Warmer Pink")</f>
        <v>Office Mug Warmer Pink</v>
      </c>
      <c r="I4343" s="3">
        <v>12.0</v>
      </c>
      <c r="J4343" s="7">
        <v>40886.430555555555</v>
      </c>
      <c r="K4343" s="8" t="str">
        <f t="shared" si="4"/>
        <v>2011-12</v>
      </c>
      <c r="L4343" s="5">
        <v>1.25</v>
      </c>
      <c r="M4343" s="3">
        <v>16558.0</v>
      </c>
      <c r="N4343" s="1" t="str">
        <f t="shared" si="5"/>
        <v>Registered</v>
      </c>
      <c r="O4343" s="1" t="s">
        <v>19</v>
      </c>
      <c r="P4343" s="9" t="str">
        <f t="shared" si="6"/>
        <v>UK</v>
      </c>
      <c r="Q4343" s="8">
        <f t="shared" si="7"/>
        <v>15</v>
      </c>
    </row>
    <row r="4344">
      <c r="A4344" s="1">
        <v>581496.0</v>
      </c>
      <c r="B4344" s="1" t="str">
        <f t="shared" si="1"/>
        <v>581496</v>
      </c>
      <c r="C4344" s="1" t="str">
        <f t="shared" si="2"/>
        <v>Sale</v>
      </c>
      <c r="D4344" s="1">
        <v>23084.0</v>
      </c>
      <c r="E4344" s="1" t="str">
        <f>IFERROR(__xludf.DUMMYFUNCTION("IF(LEN(D4344)&gt;4, IFERROR(REGEXEXTRACT(TO_TEXT(D4344),""\d+""),""""),"""")"),"23084")</f>
        <v>23084</v>
      </c>
      <c r="F4344" s="6" t="str">
        <f t="shared" si="3"/>
        <v>Product</v>
      </c>
      <c r="G4344" s="1" t="s">
        <v>1473</v>
      </c>
      <c r="H4344" s="6" t="str">
        <f>IFERROR(__xludf.DUMMYFUNCTION("IF(REGEXMATCH(LOWER(G4344), ""^(\?)+\s*(missing)?\s*(\?)*$""), """", PROPER(SUBSTITUTE(SUBSTITUTE(G4344, ""?"", """"), ""*"", """")))"),"Rabbit Night Light")</f>
        <v>Rabbit Night Light</v>
      </c>
      <c r="I4344" s="3">
        <v>18.0</v>
      </c>
      <c r="J4344" s="7">
        <v>40886.430555555555</v>
      </c>
      <c r="K4344" s="8" t="str">
        <f t="shared" si="4"/>
        <v>2011-12</v>
      </c>
      <c r="L4344" s="5">
        <v>2.08</v>
      </c>
      <c r="M4344" s="3">
        <v>16558.0</v>
      </c>
      <c r="N4344" s="1" t="str">
        <f t="shared" si="5"/>
        <v>Registered</v>
      </c>
      <c r="O4344" s="1" t="s">
        <v>19</v>
      </c>
      <c r="P4344" s="9" t="str">
        <f t="shared" si="6"/>
        <v>UK</v>
      </c>
      <c r="Q4344" s="8">
        <f t="shared" si="7"/>
        <v>37.44</v>
      </c>
    </row>
    <row r="4345">
      <c r="A4345" s="1">
        <v>581496.0</v>
      </c>
      <c r="B4345" s="1" t="str">
        <f t="shared" si="1"/>
        <v>581496</v>
      </c>
      <c r="C4345" s="1" t="str">
        <f t="shared" si="2"/>
        <v>Sale</v>
      </c>
      <c r="D4345" s="1">
        <v>23438.0</v>
      </c>
      <c r="E4345" s="1" t="str">
        <f>IFERROR(__xludf.DUMMYFUNCTION("IF(LEN(D4345)&gt;4, IFERROR(REGEXEXTRACT(TO_TEXT(D4345),""\d+""),""""),"""")"),"23438")</f>
        <v>23438</v>
      </c>
      <c r="F4345" s="6" t="str">
        <f t="shared" si="3"/>
        <v>Product</v>
      </c>
      <c r="G4345" s="1" t="s">
        <v>2059</v>
      </c>
      <c r="H4345" s="6" t="str">
        <f>IFERROR(__xludf.DUMMYFUNCTION("IF(REGEXMATCH(LOWER(G4345), ""^(\?)+\s*(missing)?\s*(\?)*$""), """", PROPER(SUBSTITUTE(SUBSTITUTE(G4345, ""?"", """"), ""*"", """")))"),"Red Spot Gift Bag Large")</f>
        <v>Red Spot Gift Bag Large</v>
      </c>
      <c r="I4345" s="3">
        <v>12.0</v>
      </c>
      <c r="J4345" s="7">
        <v>40886.430555555555</v>
      </c>
      <c r="K4345" s="8" t="str">
        <f t="shared" si="4"/>
        <v>2011-12</v>
      </c>
      <c r="L4345" s="5">
        <v>1.25</v>
      </c>
      <c r="M4345" s="3">
        <v>16558.0</v>
      </c>
      <c r="N4345" s="1" t="str">
        <f t="shared" si="5"/>
        <v>Registered</v>
      </c>
      <c r="O4345" s="1" t="s">
        <v>19</v>
      </c>
      <c r="P4345" s="9" t="str">
        <f t="shared" si="6"/>
        <v>UK</v>
      </c>
      <c r="Q4345" s="8">
        <f t="shared" si="7"/>
        <v>15</v>
      </c>
    </row>
    <row r="4346">
      <c r="A4346" s="1">
        <v>581496.0</v>
      </c>
      <c r="B4346" s="1" t="str">
        <f t="shared" si="1"/>
        <v>581496</v>
      </c>
      <c r="C4346" s="1" t="str">
        <f t="shared" si="2"/>
        <v>Sale</v>
      </c>
      <c r="D4346" s="1">
        <v>23437.0</v>
      </c>
      <c r="E4346" s="1" t="str">
        <f>IFERROR(__xludf.DUMMYFUNCTION("IF(LEN(D4346)&gt;4, IFERROR(REGEXEXTRACT(TO_TEXT(D4346),""\d+""),""""),"""")"),"23437")</f>
        <v>23437</v>
      </c>
      <c r="F4346" s="6" t="str">
        <f t="shared" si="3"/>
        <v>Product</v>
      </c>
      <c r="G4346" s="1" t="s">
        <v>1666</v>
      </c>
      <c r="H4346" s="6" t="str">
        <f>IFERROR(__xludf.DUMMYFUNCTION("IF(REGEXMATCH(LOWER(G4346), ""^(\?)+\s*(missing)?\s*(\?)*$""), """", PROPER(SUBSTITUTE(SUBSTITUTE(G4346, ""?"", """"), ""*"", """")))"),"50'S Christmas Gift Bag Large")</f>
        <v>50'S Christmas Gift Bag Large</v>
      </c>
      <c r="I4346" s="3">
        <v>12.0</v>
      </c>
      <c r="J4346" s="7">
        <v>40886.430555555555</v>
      </c>
      <c r="K4346" s="8" t="str">
        <f t="shared" si="4"/>
        <v>2011-12</v>
      </c>
      <c r="L4346" s="5">
        <v>1.25</v>
      </c>
      <c r="M4346" s="3">
        <v>16558.0</v>
      </c>
      <c r="N4346" s="1" t="str">
        <f t="shared" si="5"/>
        <v>Registered</v>
      </c>
      <c r="O4346" s="1" t="s">
        <v>19</v>
      </c>
      <c r="P4346" s="9" t="str">
        <f t="shared" si="6"/>
        <v>UK</v>
      </c>
      <c r="Q4346" s="8">
        <f t="shared" si="7"/>
        <v>15</v>
      </c>
    </row>
    <row r="4347">
      <c r="A4347" s="1">
        <v>581496.0</v>
      </c>
      <c r="B4347" s="1" t="str">
        <f t="shared" si="1"/>
        <v>581496</v>
      </c>
      <c r="C4347" s="1" t="str">
        <f t="shared" si="2"/>
        <v>Sale</v>
      </c>
      <c r="D4347" s="1">
        <v>20831.0</v>
      </c>
      <c r="E4347" s="1" t="str">
        <f>IFERROR(__xludf.DUMMYFUNCTION("IF(LEN(D4347)&gt;4, IFERROR(REGEXEXTRACT(TO_TEXT(D4347),""\d+""),""""),"""")"),"20831")</f>
        <v>20831</v>
      </c>
      <c r="F4347" s="6" t="str">
        <f t="shared" si="3"/>
        <v>Product</v>
      </c>
      <c r="G4347" s="1" t="s">
        <v>707</v>
      </c>
      <c r="H4347" s="6" t="str">
        <f>IFERROR(__xludf.DUMMYFUNCTION("IF(REGEXMATCH(LOWER(G4347), ""^(\?)+\s*(missing)?\s*(\?)*$""), """", PROPER(SUBSTITUTE(SUBSTITUTE(G4347, ""?"", """"), ""*"", """")))"),"Gold Photo Frame")</f>
        <v>Gold Photo Frame</v>
      </c>
      <c r="I4347" s="3">
        <v>12.0</v>
      </c>
      <c r="J4347" s="7">
        <v>40886.430555555555</v>
      </c>
      <c r="K4347" s="8" t="str">
        <f t="shared" si="4"/>
        <v>2011-12</v>
      </c>
      <c r="L4347" s="5">
        <v>0.79</v>
      </c>
      <c r="M4347" s="3">
        <v>16558.0</v>
      </c>
      <c r="N4347" s="1" t="str">
        <f t="shared" si="5"/>
        <v>Registered</v>
      </c>
      <c r="O4347" s="1" t="s">
        <v>19</v>
      </c>
      <c r="P4347" s="9" t="str">
        <f t="shared" si="6"/>
        <v>UK</v>
      </c>
      <c r="Q4347" s="8">
        <f t="shared" si="7"/>
        <v>9.48</v>
      </c>
    </row>
    <row r="4348">
      <c r="A4348" s="1">
        <v>581496.0</v>
      </c>
      <c r="B4348" s="1" t="str">
        <f t="shared" si="1"/>
        <v>581496</v>
      </c>
      <c r="C4348" s="1" t="str">
        <f t="shared" si="2"/>
        <v>Sale</v>
      </c>
      <c r="D4348" s="1">
        <v>21115.0</v>
      </c>
      <c r="E4348" s="1" t="str">
        <f>IFERROR(__xludf.DUMMYFUNCTION("IF(LEN(D4348)&gt;4, IFERROR(REGEXEXTRACT(TO_TEXT(D4348),""\d+""),""""),"""")"),"21115")</f>
        <v>21115</v>
      </c>
      <c r="F4348" s="6" t="str">
        <f t="shared" si="3"/>
        <v>Product</v>
      </c>
      <c r="G4348" s="1" t="s">
        <v>194</v>
      </c>
      <c r="H4348" s="6" t="str">
        <f>IFERROR(__xludf.DUMMYFUNCTION("IF(REGEXMATCH(LOWER(G4348), ""^(\?)+\s*(missing)?\s*(\?)*$""), """", PROPER(SUBSTITUTE(SUBSTITUTE(G4348, ""?"", """"), ""*"", """")))"),"Rose Caravan Doorstop")</f>
        <v>Rose Caravan Doorstop</v>
      </c>
      <c r="I4348" s="3">
        <v>8.0</v>
      </c>
      <c r="J4348" s="7">
        <v>40886.430555555555</v>
      </c>
      <c r="K4348" s="8" t="str">
        <f t="shared" si="4"/>
        <v>2011-12</v>
      </c>
      <c r="L4348" s="5">
        <v>1.95</v>
      </c>
      <c r="M4348" s="3">
        <v>16558.0</v>
      </c>
      <c r="N4348" s="1" t="str">
        <f t="shared" si="5"/>
        <v>Registered</v>
      </c>
      <c r="O4348" s="1" t="s">
        <v>19</v>
      </c>
      <c r="P4348" s="9" t="str">
        <f t="shared" si="6"/>
        <v>UK</v>
      </c>
      <c r="Q4348" s="8">
        <f t="shared" si="7"/>
        <v>15.6</v>
      </c>
    </row>
    <row r="4349">
      <c r="A4349" s="1">
        <v>581496.0</v>
      </c>
      <c r="B4349" s="1" t="str">
        <f t="shared" si="1"/>
        <v>581496</v>
      </c>
      <c r="C4349" s="1" t="str">
        <f t="shared" si="2"/>
        <v>Sale</v>
      </c>
      <c r="D4349" s="1">
        <v>21462.0</v>
      </c>
      <c r="E4349" s="1" t="str">
        <f>IFERROR(__xludf.DUMMYFUNCTION("IF(LEN(D4349)&gt;4, IFERROR(REGEXEXTRACT(TO_TEXT(D4349),""\d+""),""""),"""")"),"21462")</f>
        <v>21462</v>
      </c>
      <c r="F4349" s="6" t="str">
        <f t="shared" si="3"/>
        <v>Product</v>
      </c>
      <c r="G4349" s="1" t="s">
        <v>2060</v>
      </c>
      <c r="H4349" s="6" t="str">
        <f>IFERROR(__xludf.DUMMYFUNCTION("IF(REGEXMATCH(LOWER(G4349), ""^(\?)+\s*(missing)?\s*(\?)*$""), """", PROPER(SUBSTITUTE(SUBSTITUTE(G4349, ""?"", """"), ""*"", """")))"),"Nursery A,B,C Painted Letters")</f>
        <v>Nursery A,B,C Painted Letters</v>
      </c>
      <c r="I4349" s="3">
        <v>8.0</v>
      </c>
      <c r="J4349" s="7">
        <v>40886.430555555555</v>
      </c>
      <c r="K4349" s="8" t="str">
        <f t="shared" si="4"/>
        <v>2011-12</v>
      </c>
      <c r="L4349" s="5">
        <v>1.95</v>
      </c>
      <c r="M4349" s="3">
        <v>16558.0</v>
      </c>
      <c r="N4349" s="1" t="str">
        <f t="shared" si="5"/>
        <v>Registered</v>
      </c>
      <c r="O4349" s="1" t="s">
        <v>19</v>
      </c>
      <c r="P4349" s="9" t="str">
        <f t="shared" si="6"/>
        <v>UK</v>
      </c>
      <c r="Q4349" s="8">
        <f t="shared" si="7"/>
        <v>15.6</v>
      </c>
    </row>
    <row r="4350">
      <c r="A4350" s="1">
        <v>581496.0</v>
      </c>
      <c r="B4350" s="1" t="str">
        <f t="shared" si="1"/>
        <v>581496</v>
      </c>
      <c r="C4350" s="1" t="str">
        <f t="shared" si="2"/>
        <v>Sale</v>
      </c>
      <c r="D4350" s="1">
        <v>22076.0</v>
      </c>
      <c r="E4350" s="1" t="str">
        <f>IFERROR(__xludf.DUMMYFUNCTION("IF(LEN(D4350)&gt;4, IFERROR(REGEXEXTRACT(TO_TEXT(D4350),""\d+""),""""),"""")"),"22076")</f>
        <v>22076</v>
      </c>
      <c r="F4350" s="6" t="str">
        <f t="shared" si="3"/>
        <v>Product</v>
      </c>
      <c r="G4350" s="1" t="s">
        <v>1789</v>
      </c>
      <c r="H4350" s="6" t="str">
        <f>IFERROR(__xludf.DUMMYFUNCTION("IF(REGEXMATCH(LOWER(G4350), ""^(\?)+\s*(missing)?\s*(\?)*$""), """", PROPER(SUBSTITUTE(SUBSTITUTE(G4350, ""?"", """"), ""*"", """")))"),"6 Ribbons Empire")</f>
        <v>6 Ribbons Empire</v>
      </c>
      <c r="I4350" s="3">
        <v>24.0</v>
      </c>
      <c r="J4350" s="7">
        <v>40886.430555555555</v>
      </c>
      <c r="K4350" s="8" t="str">
        <f t="shared" si="4"/>
        <v>2011-12</v>
      </c>
      <c r="L4350" s="5">
        <v>0.39</v>
      </c>
      <c r="M4350" s="3">
        <v>16558.0</v>
      </c>
      <c r="N4350" s="1" t="str">
        <f t="shared" si="5"/>
        <v>Registered</v>
      </c>
      <c r="O4350" s="1" t="s">
        <v>19</v>
      </c>
      <c r="P4350" s="9" t="str">
        <f t="shared" si="6"/>
        <v>UK</v>
      </c>
      <c r="Q4350" s="8">
        <f t="shared" si="7"/>
        <v>9.36</v>
      </c>
    </row>
    <row r="4351">
      <c r="A4351" s="1">
        <v>581496.0</v>
      </c>
      <c r="B4351" s="1" t="str">
        <f t="shared" si="1"/>
        <v>581496</v>
      </c>
      <c r="C4351" s="1" t="str">
        <f t="shared" si="2"/>
        <v>Sale</v>
      </c>
      <c r="D4351" s="1">
        <v>22190.0</v>
      </c>
      <c r="E4351" s="1" t="str">
        <f>IFERROR(__xludf.DUMMYFUNCTION("IF(LEN(D4351)&gt;4, IFERROR(REGEXEXTRACT(TO_TEXT(D4351),""\d+""),""""),"""")"),"22190")</f>
        <v>22190</v>
      </c>
      <c r="F4351" s="6" t="str">
        <f t="shared" si="3"/>
        <v>Product</v>
      </c>
      <c r="G4351" s="1" t="s">
        <v>1567</v>
      </c>
      <c r="H4351" s="6" t="str">
        <f>IFERROR(__xludf.DUMMYFUNCTION("IF(REGEXMATCH(LOWER(G4351), ""^(\?)+\s*(missing)?\s*(\?)*$""), """", PROPER(SUBSTITUTE(SUBSTITUTE(G4351, ""?"", """"), ""*"", """")))"),"Local Cafe Mug")</f>
        <v>Local Cafe Mug</v>
      </c>
      <c r="I4351" s="3">
        <v>24.0</v>
      </c>
      <c r="J4351" s="7">
        <v>40886.430555555555</v>
      </c>
      <c r="K4351" s="8" t="str">
        <f t="shared" si="4"/>
        <v>2011-12</v>
      </c>
      <c r="L4351" s="5">
        <v>0.39</v>
      </c>
      <c r="M4351" s="3">
        <v>16558.0</v>
      </c>
      <c r="N4351" s="1" t="str">
        <f t="shared" si="5"/>
        <v>Registered</v>
      </c>
      <c r="O4351" s="1" t="s">
        <v>19</v>
      </c>
      <c r="P4351" s="9" t="str">
        <f t="shared" si="6"/>
        <v>UK</v>
      </c>
      <c r="Q4351" s="8">
        <f t="shared" si="7"/>
        <v>9.36</v>
      </c>
    </row>
    <row r="4352">
      <c r="A4352" s="1">
        <v>581496.0</v>
      </c>
      <c r="B4352" s="1" t="str">
        <f t="shared" si="1"/>
        <v>581496</v>
      </c>
      <c r="C4352" s="1" t="str">
        <f t="shared" si="2"/>
        <v>Sale</v>
      </c>
      <c r="D4352" s="1">
        <v>22215.0</v>
      </c>
      <c r="E4352" s="1" t="str">
        <f>IFERROR(__xludf.DUMMYFUNCTION("IF(LEN(D4352)&gt;4, IFERROR(REGEXEXTRACT(TO_TEXT(D4352),""\d+""),""""),"""")"),"22215")</f>
        <v>22215</v>
      </c>
      <c r="F4352" s="6" t="str">
        <f t="shared" si="3"/>
        <v>Product</v>
      </c>
      <c r="G4352" s="1" t="s">
        <v>737</v>
      </c>
      <c r="H4352" s="6" t="str">
        <f>IFERROR(__xludf.DUMMYFUNCTION("IF(REGEXMATCH(LOWER(G4352), ""^(\?)+\s*(missing)?\s*(\?)*$""), """", PROPER(SUBSTITUTE(SUBSTITUTE(G4352, ""?"", """"), ""*"", """")))"),"Cake Stand White Two Tier Lace")</f>
        <v>Cake Stand White Two Tier Lace</v>
      </c>
      <c r="I4352" s="3">
        <v>6.0</v>
      </c>
      <c r="J4352" s="7">
        <v>40886.430555555555</v>
      </c>
      <c r="K4352" s="8" t="str">
        <f t="shared" si="4"/>
        <v>2011-12</v>
      </c>
      <c r="L4352" s="5">
        <v>2.95</v>
      </c>
      <c r="M4352" s="3">
        <v>16558.0</v>
      </c>
      <c r="N4352" s="1" t="str">
        <f t="shared" si="5"/>
        <v>Registered</v>
      </c>
      <c r="O4352" s="1" t="s">
        <v>19</v>
      </c>
      <c r="P4352" s="9" t="str">
        <f t="shared" si="6"/>
        <v>UK</v>
      </c>
      <c r="Q4352" s="8">
        <f t="shared" si="7"/>
        <v>17.7</v>
      </c>
    </row>
    <row r="4353">
      <c r="A4353" s="1">
        <v>581496.0</v>
      </c>
      <c r="B4353" s="1" t="str">
        <f t="shared" si="1"/>
        <v>581496</v>
      </c>
      <c r="C4353" s="1" t="str">
        <f t="shared" si="2"/>
        <v>Sale</v>
      </c>
      <c r="D4353" s="1">
        <v>22220.0</v>
      </c>
      <c r="E4353" s="1" t="str">
        <f>IFERROR(__xludf.DUMMYFUNCTION("IF(LEN(D4353)&gt;4, IFERROR(REGEXEXTRACT(TO_TEXT(D4353),""\d+""),""""),"""")"),"22220")</f>
        <v>22220</v>
      </c>
      <c r="F4353" s="6" t="str">
        <f t="shared" si="3"/>
        <v>Product</v>
      </c>
      <c r="G4353" s="1" t="s">
        <v>1554</v>
      </c>
      <c r="H4353" s="6" t="str">
        <f>IFERROR(__xludf.DUMMYFUNCTION("IF(REGEXMATCH(LOWER(G4353), ""^(\?)+\s*(missing)?\s*(\?)*$""), """", PROPER(SUBSTITUTE(SUBSTITUTE(G4353, ""?"", """"), ""*"", """")))"),"Cake Stand Lovebird 2 Tier White")</f>
        <v>Cake Stand Lovebird 2 Tier White</v>
      </c>
      <c r="I4353" s="3">
        <v>6.0</v>
      </c>
      <c r="J4353" s="7">
        <v>40886.430555555555</v>
      </c>
      <c r="K4353" s="8" t="str">
        <f t="shared" si="4"/>
        <v>2011-12</v>
      </c>
      <c r="L4353" s="5">
        <v>2.95</v>
      </c>
      <c r="M4353" s="3">
        <v>16558.0</v>
      </c>
      <c r="N4353" s="1" t="str">
        <f t="shared" si="5"/>
        <v>Registered</v>
      </c>
      <c r="O4353" s="1" t="s">
        <v>19</v>
      </c>
      <c r="P4353" s="9" t="str">
        <f t="shared" si="6"/>
        <v>UK</v>
      </c>
      <c r="Q4353" s="8">
        <f t="shared" si="7"/>
        <v>17.7</v>
      </c>
    </row>
    <row r="4354">
      <c r="A4354" s="1">
        <v>581496.0</v>
      </c>
      <c r="B4354" s="1" t="str">
        <f t="shared" si="1"/>
        <v>581496</v>
      </c>
      <c r="C4354" s="1" t="str">
        <f t="shared" si="2"/>
        <v>Sale</v>
      </c>
      <c r="D4354" s="1">
        <v>22464.0</v>
      </c>
      <c r="E4354" s="1" t="str">
        <f>IFERROR(__xludf.DUMMYFUNCTION("IF(LEN(D4354)&gt;4, IFERROR(REGEXEXTRACT(TO_TEXT(D4354),""\d+""),""""),"""")"),"22464")</f>
        <v>22464</v>
      </c>
      <c r="F4354" s="6" t="str">
        <f t="shared" si="3"/>
        <v>Product</v>
      </c>
      <c r="G4354" s="1" t="s">
        <v>164</v>
      </c>
      <c r="H4354" s="6" t="str">
        <f>IFERROR(__xludf.DUMMYFUNCTION("IF(REGEXMATCH(LOWER(G4354), ""^(\?)+\s*(missing)?\s*(\?)*$""), """", PROPER(SUBSTITUTE(SUBSTITUTE(G4354, ""?"", """"), ""*"", """")))"),"Hanging Metal Heart Lantern")</f>
        <v>Hanging Metal Heart Lantern</v>
      </c>
      <c r="I4354" s="3">
        <v>12.0</v>
      </c>
      <c r="J4354" s="7">
        <v>40886.430555555555</v>
      </c>
      <c r="K4354" s="8" t="str">
        <f t="shared" si="4"/>
        <v>2011-12</v>
      </c>
      <c r="L4354" s="5">
        <v>0.79</v>
      </c>
      <c r="M4354" s="3">
        <v>16558.0</v>
      </c>
      <c r="N4354" s="1" t="str">
        <f t="shared" si="5"/>
        <v>Registered</v>
      </c>
      <c r="O4354" s="1" t="s">
        <v>19</v>
      </c>
      <c r="P4354" s="9" t="str">
        <f t="shared" si="6"/>
        <v>UK</v>
      </c>
      <c r="Q4354" s="8">
        <f t="shared" si="7"/>
        <v>9.48</v>
      </c>
    </row>
    <row r="4355">
      <c r="A4355" s="1">
        <v>581496.0</v>
      </c>
      <c r="B4355" s="1" t="str">
        <f t="shared" si="1"/>
        <v>581496</v>
      </c>
      <c r="C4355" s="1" t="str">
        <f t="shared" si="2"/>
        <v>Sale</v>
      </c>
      <c r="D4355" s="1">
        <v>22465.0</v>
      </c>
      <c r="E4355" s="1" t="str">
        <f>IFERROR(__xludf.DUMMYFUNCTION("IF(LEN(D4355)&gt;4, IFERROR(REGEXEXTRACT(TO_TEXT(D4355),""\d+""),""""),"""")"),"22465")</f>
        <v>22465</v>
      </c>
      <c r="F4355" s="6" t="str">
        <f t="shared" si="3"/>
        <v>Product</v>
      </c>
      <c r="G4355" s="1" t="s">
        <v>372</v>
      </c>
      <c r="H4355" s="6" t="str">
        <f>IFERROR(__xludf.DUMMYFUNCTION("IF(REGEXMATCH(LOWER(G4355), ""^(\?)+\s*(missing)?\s*(\?)*$""), """", PROPER(SUBSTITUTE(SUBSTITUTE(G4355, ""?"", """"), ""*"", """")))"),"Hanging Metal Star Lantern")</f>
        <v>Hanging Metal Star Lantern</v>
      </c>
      <c r="I4355" s="3">
        <v>12.0</v>
      </c>
      <c r="J4355" s="7">
        <v>40886.430555555555</v>
      </c>
      <c r="K4355" s="8" t="str">
        <f t="shared" si="4"/>
        <v>2011-12</v>
      </c>
      <c r="L4355" s="5">
        <v>0.79</v>
      </c>
      <c r="M4355" s="3">
        <v>16558.0</v>
      </c>
      <c r="N4355" s="1" t="str">
        <f t="shared" si="5"/>
        <v>Registered</v>
      </c>
      <c r="O4355" s="1" t="s">
        <v>19</v>
      </c>
      <c r="P4355" s="9" t="str">
        <f t="shared" si="6"/>
        <v>UK</v>
      </c>
      <c r="Q4355" s="8">
        <f t="shared" si="7"/>
        <v>9.48</v>
      </c>
    </row>
    <row r="4356">
      <c r="A4356" s="1">
        <v>581496.0</v>
      </c>
      <c r="B4356" s="1" t="str">
        <f t="shared" si="1"/>
        <v>581496</v>
      </c>
      <c r="C4356" s="1" t="str">
        <f t="shared" si="2"/>
        <v>Sale</v>
      </c>
      <c r="D4356" s="1">
        <v>22539.0</v>
      </c>
      <c r="E4356" s="1" t="str">
        <f>IFERROR(__xludf.DUMMYFUNCTION("IF(LEN(D4356)&gt;4, IFERROR(REGEXEXTRACT(TO_TEXT(D4356),""\d+""),""""),"""")"),"22539")</f>
        <v>22539</v>
      </c>
      <c r="F4356" s="6" t="str">
        <f t="shared" si="3"/>
        <v>Product</v>
      </c>
      <c r="G4356" s="1" t="s">
        <v>2061</v>
      </c>
      <c r="H4356" s="6" t="str">
        <f>IFERROR(__xludf.DUMMYFUNCTION("IF(REGEXMATCH(LOWER(G4356), ""^(\?)+\s*(missing)?\s*(\?)*$""), """", PROPER(SUBSTITUTE(SUBSTITUTE(G4356, ""?"", """"), ""*"", """")))"),"Mini Jigsaw Dolly Girl")</f>
        <v>Mini Jigsaw Dolly Girl</v>
      </c>
      <c r="I4356" s="3">
        <v>48.0</v>
      </c>
      <c r="J4356" s="7">
        <v>40886.430555555555</v>
      </c>
      <c r="K4356" s="8" t="str">
        <f t="shared" si="4"/>
        <v>2011-12</v>
      </c>
      <c r="L4356" s="5">
        <v>0.19</v>
      </c>
      <c r="M4356" s="3">
        <v>16558.0</v>
      </c>
      <c r="N4356" s="1" t="str">
        <f t="shared" si="5"/>
        <v>Registered</v>
      </c>
      <c r="O4356" s="1" t="s">
        <v>19</v>
      </c>
      <c r="P4356" s="9" t="str">
        <f t="shared" si="6"/>
        <v>UK</v>
      </c>
      <c r="Q4356" s="8">
        <f t="shared" si="7"/>
        <v>9.12</v>
      </c>
    </row>
    <row r="4357">
      <c r="A4357" s="1">
        <v>581496.0</v>
      </c>
      <c r="B4357" s="1" t="str">
        <f t="shared" si="1"/>
        <v>581496</v>
      </c>
      <c r="C4357" s="1" t="str">
        <f t="shared" si="2"/>
        <v>Sale</v>
      </c>
      <c r="D4357" s="1">
        <v>22544.0</v>
      </c>
      <c r="E4357" s="1" t="str">
        <f>IFERROR(__xludf.DUMMYFUNCTION("IF(LEN(D4357)&gt;4, IFERROR(REGEXEXTRACT(TO_TEXT(D4357),""\d+""),""""),"""")"),"22544")</f>
        <v>22544</v>
      </c>
      <c r="F4357" s="6" t="str">
        <f t="shared" si="3"/>
        <v>Product</v>
      </c>
      <c r="G4357" s="1" t="s">
        <v>66</v>
      </c>
      <c r="H4357" s="6" t="str">
        <f>IFERROR(__xludf.DUMMYFUNCTION("IF(REGEXMATCH(LOWER(G4357), ""^(\?)+\s*(missing)?\s*(\?)*$""), """", PROPER(SUBSTITUTE(SUBSTITUTE(G4357, ""?"", """"), ""*"", """")))"),"Mini Jigsaw Spaceboy")</f>
        <v>Mini Jigsaw Spaceboy</v>
      </c>
      <c r="I4357" s="3">
        <v>48.0</v>
      </c>
      <c r="J4357" s="7">
        <v>40886.430555555555</v>
      </c>
      <c r="K4357" s="8" t="str">
        <f t="shared" si="4"/>
        <v>2011-12</v>
      </c>
      <c r="L4357" s="5">
        <v>0.19</v>
      </c>
      <c r="M4357" s="3">
        <v>16558.0</v>
      </c>
      <c r="N4357" s="1" t="str">
        <f t="shared" si="5"/>
        <v>Registered</v>
      </c>
      <c r="O4357" s="1" t="s">
        <v>19</v>
      </c>
      <c r="P4357" s="9" t="str">
        <f t="shared" si="6"/>
        <v>UK</v>
      </c>
      <c r="Q4357" s="8">
        <f t="shared" si="7"/>
        <v>9.12</v>
      </c>
    </row>
    <row r="4358">
      <c r="A4358" s="1">
        <v>581497.0</v>
      </c>
      <c r="B4358" s="1" t="str">
        <f t="shared" si="1"/>
        <v>581497</v>
      </c>
      <c r="C4358" s="1" t="str">
        <f t="shared" si="2"/>
        <v>Sale</v>
      </c>
      <c r="D4358" s="1">
        <v>20719.0</v>
      </c>
      <c r="E4358" s="1" t="str">
        <f>IFERROR(__xludf.DUMMYFUNCTION("IF(LEN(D4358)&gt;4, IFERROR(REGEXEXTRACT(TO_TEXT(D4358),""\d+""),""""),"""")"),"20719")</f>
        <v>20719</v>
      </c>
      <c r="F4358" s="6" t="str">
        <f t="shared" si="3"/>
        <v>Product</v>
      </c>
      <c r="G4358" s="1" t="s">
        <v>700</v>
      </c>
      <c r="H4358" s="6" t="str">
        <f>IFERROR(__xludf.DUMMYFUNCTION("IF(REGEXMATCH(LOWER(G4358), ""^(\?)+\s*(missing)?\s*(\?)*$""), """", PROPER(SUBSTITUTE(SUBSTITUTE(G4358, ""?"", """"), ""*"", """")))"),"Woodland Charlotte Bag")</f>
        <v>Woodland Charlotte Bag</v>
      </c>
      <c r="I4358" s="3">
        <v>33.0</v>
      </c>
      <c r="J4358" s="7">
        <v>40886.43263888889</v>
      </c>
      <c r="K4358" s="8" t="str">
        <f t="shared" si="4"/>
        <v>2011-12</v>
      </c>
      <c r="L4358" s="5">
        <v>2.46</v>
      </c>
      <c r="M4358" s="10"/>
      <c r="N4358" s="1" t="str">
        <f t="shared" si="5"/>
        <v>Guest</v>
      </c>
      <c r="O4358" s="1" t="s">
        <v>19</v>
      </c>
      <c r="P4358" s="9" t="str">
        <f t="shared" si="6"/>
        <v>UK</v>
      </c>
      <c r="Q4358" s="8">
        <f t="shared" si="7"/>
        <v>81.18</v>
      </c>
    </row>
    <row r="4359">
      <c r="A4359" s="1">
        <v>581497.0</v>
      </c>
      <c r="B4359" s="1" t="str">
        <f t="shared" si="1"/>
        <v>581497</v>
      </c>
      <c r="C4359" s="1" t="str">
        <f t="shared" si="2"/>
        <v>Sale</v>
      </c>
      <c r="D4359" s="1">
        <v>20723.0</v>
      </c>
      <c r="E4359" s="1" t="str">
        <f>IFERROR(__xludf.DUMMYFUNCTION("IF(LEN(D4359)&gt;4, IFERROR(REGEXEXTRACT(TO_TEXT(D4359),""\d+""),""""),"""")"),"20723")</f>
        <v>20723</v>
      </c>
      <c r="F4359" s="6" t="str">
        <f t="shared" si="3"/>
        <v>Product</v>
      </c>
      <c r="G4359" s="1" t="s">
        <v>88</v>
      </c>
      <c r="H4359" s="6" t="str">
        <f>IFERROR(__xludf.DUMMYFUNCTION("IF(REGEXMATCH(LOWER(G4359), ""^(\?)+\s*(missing)?\s*(\?)*$""), """", PROPER(SUBSTITUTE(SUBSTITUTE(G4359, ""?"", """"), ""*"", """")))"),"Strawberry Charlotte Bag")</f>
        <v>Strawberry Charlotte Bag</v>
      </c>
      <c r="I4359" s="3">
        <v>42.0</v>
      </c>
      <c r="J4359" s="7">
        <v>40886.43263888889</v>
      </c>
      <c r="K4359" s="8" t="str">
        <f t="shared" si="4"/>
        <v>2011-12</v>
      </c>
      <c r="L4359" s="5">
        <v>2.46</v>
      </c>
      <c r="M4359" s="10"/>
      <c r="N4359" s="1" t="str">
        <f t="shared" si="5"/>
        <v>Guest</v>
      </c>
      <c r="O4359" s="1" t="s">
        <v>19</v>
      </c>
      <c r="P4359" s="9" t="str">
        <f t="shared" si="6"/>
        <v>UK</v>
      </c>
      <c r="Q4359" s="8">
        <f t="shared" si="7"/>
        <v>103.32</v>
      </c>
    </row>
    <row r="4360">
      <c r="A4360" s="1">
        <v>581497.0</v>
      </c>
      <c r="B4360" s="1" t="str">
        <f t="shared" si="1"/>
        <v>581497</v>
      </c>
      <c r="C4360" s="1" t="str">
        <f t="shared" si="2"/>
        <v>Sale</v>
      </c>
      <c r="D4360" s="1">
        <v>20724.0</v>
      </c>
      <c r="E4360" s="1" t="str">
        <f>IFERROR(__xludf.DUMMYFUNCTION("IF(LEN(D4360)&gt;4, IFERROR(REGEXEXTRACT(TO_TEXT(D4360),""\d+""),""""),"""")"),"20724")</f>
        <v>20724</v>
      </c>
      <c r="F4360" s="6" t="str">
        <f t="shared" si="3"/>
        <v>Product</v>
      </c>
      <c r="G4360" s="1" t="s">
        <v>701</v>
      </c>
      <c r="H4360" s="6" t="str">
        <f>IFERROR(__xludf.DUMMYFUNCTION("IF(REGEXMATCH(LOWER(G4360), ""^(\?)+\s*(missing)?\s*(\?)*$""), """", PROPER(SUBSTITUTE(SUBSTITUTE(G4360, ""?"", """"), ""*"", """")))"),"Red Retrospot Charlotte Bag")</f>
        <v>Red Retrospot Charlotte Bag</v>
      </c>
      <c r="I4360" s="3">
        <v>55.0</v>
      </c>
      <c r="J4360" s="7">
        <v>40886.43263888889</v>
      </c>
      <c r="K4360" s="8" t="str">
        <f t="shared" si="4"/>
        <v>2011-12</v>
      </c>
      <c r="L4360" s="5">
        <v>2.46</v>
      </c>
      <c r="M4360" s="10"/>
      <c r="N4360" s="1" t="str">
        <f t="shared" si="5"/>
        <v>Guest</v>
      </c>
      <c r="O4360" s="1" t="s">
        <v>19</v>
      </c>
      <c r="P4360" s="9" t="str">
        <f t="shared" si="6"/>
        <v>UK</v>
      </c>
      <c r="Q4360" s="8">
        <f t="shared" si="7"/>
        <v>135.3</v>
      </c>
    </row>
    <row r="4361">
      <c r="A4361" s="1">
        <v>581497.0</v>
      </c>
      <c r="B4361" s="1" t="str">
        <f t="shared" si="1"/>
        <v>581497</v>
      </c>
      <c r="C4361" s="1" t="str">
        <f t="shared" si="2"/>
        <v>Sale</v>
      </c>
      <c r="D4361" s="1">
        <v>20727.0</v>
      </c>
      <c r="E4361" s="1" t="str">
        <f>IFERROR(__xludf.DUMMYFUNCTION("IF(LEN(D4361)&gt;4, IFERROR(REGEXEXTRACT(TO_TEXT(D4361),""\d+""),""""),"""")"),"20727")</f>
        <v>20727</v>
      </c>
      <c r="F4361" s="6" t="str">
        <f t="shared" si="3"/>
        <v>Product</v>
      </c>
      <c r="G4361" s="1" t="s">
        <v>357</v>
      </c>
      <c r="H4361" s="6" t="str">
        <f>IFERROR(__xludf.DUMMYFUNCTION("IF(REGEXMATCH(LOWER(G4361), ""^(\?)+\s*(missing)?\s*(\?)*$""), """", PROPER(SUBSTITUTE(SUBSTITUTE(G4361, ""?"", """"), ""*"", """")))"),"Lunch Bag Black Skull.")</f>
        <v>Lunch Bag Black Skull.</v>
      </c>
      <c r="I4361" s="3">
        <v>8.0</v>
      </c>
      <c r="J4361" s="7">
        <v>40886.43263888889</v>
      </c>
      <c r="K4361" s="8" t="str">
        <f t="shared" si="4"/>
        <v>2011-12</v>
      </c>
      <c r="L4361" s="5">
        <v>4.96</v>
      </c>
      <c r="M4361" s="10"/>
      <c r="N4361" s="1" t="str">
        <f t="shared" si="5"/>
        <v>Guest</v>
      </c>
      <c r="O4361" s="1" t="s">
        <v>19</v>
      </c>
      <c r="P4361" s="9" t="str">
        <f t="shared" si="6"/>
        <v>UK</v>
      </c>
      <c r="Q4361" s="8">
        <f t="shared" si="7"/>
        <v>39.68</v>
      </c>
    </row>
    <row r="4362">
      <c r="A4362" s="1">
        <v>581497.0</v>
      </c>
      <c r="B4362" s="1" t="str">
        <f t="shared" si="1"/>
        <v>581497</v>
      </c>
      <c r="C4362" s="1" t="str">
        <f t="shared" si="2"/>
        <v>Sale</v>
      </c>
      <c r="D4362" s="1">
        <v>21212.0</v>
      </c>
      <c r="E4362" s="1" t="str">
        <f>IFERROR(__xludf.DUMMYFUNCTION("IF(LEN(D4362)&gt;4, IFERROR(REGEXEXTRACT(TO_TEXT(D4362),""\d+""),""""),"""")"),"21212")</f>
        <v>21212</v>
      </c>
      <c r="F4362" s="6" t="str">
        <f t="shared" si="3"/>
        <v>Product</v>
      </c>
      <c r="G4362" s="1" t="s">
        <v>97</v>
      </c>
      <c r="H4362" s="6" t="str">
        <f>IFERROR(__xludf.DUMMYFUNCTION("IF(REGEXMATCH(LOWER(G4362), ""^(\?)+\s*(missing)?\s*(\?)*$""), """", PROPER(SUBSTITUTE(SUBSTITUTE(G4362, ""?"", """"), ""*"", """")))"),"Pack Of 72 Retrospot Cake Cases")</f>
        <v>Pack Of 72 Retrospot Cake Cases</v>
      </c>
      <c r="I4362" s="3">
        <v>7.0</v>
      </c>
      <c r="J4362" s="7">
        <v>40886.43263888889</v>
      </c>
      <c r="K4362" s="8" t="str">
        <f t="shared" si="4"/>
        <v>2011-12</v>
      </c>
      <c r="L4362" s="5">
        <v>2.08</v>
      </c>
      <c r="M4362" s="10"/>
      <c r="N4362" s="1" t="str">
        <f t="shared" si="5"/>
        <v>Guest</v>
      </c>
      <c r="O4362" s="1" t="s">
        <v>19</v>
      </c>
      <c r="P4362" s="9" t="str">
        <f t="shared" si="6"/>
        <v>UK</v>
      </c>
      <c r="Q4362" s="8">
        <f t="shared" si="7"/>
        <v>14.56</v>
      </c>
    </row>
    <row r="4363">
      <c r="A4363" s="1">
        <v>581497.0</v>
      </c>
      <c r="B4363" s="1" t="str">
        <f t="shared" si="1"/>
        <v>581497</v>
      </c>
      <c r="C4363" s="1" t="str">
        <f t="shared" si="2"/>
        <v>Sale</v>
      </c>
      <c r="D4363" s="1">
        <v>21238.0</v>
      </c>
      <c r="E4363" s="1" t="str">
        <f>IFERROR(__xludf.DUMMYFUNCTION("IF(LEN(D4363)&gt;4, IFERROR(REGEXEXTRACT(TO_TEXT(D4363),""\d+""),""""),"""")"),"21238")</f>
        <v>21238</v>
      </c>
      <c r="F4363" s="6" t="str">
        <f t="shared" si="3"/>
        <v>Product</v>
      </c>
      <c r="G4363" s="1" t="s">
        <v>951</v>
      </c>
      <c r="H4363" s="6" t="str">
        <f>IFERROR(__xludf.DUMMYFUNCTION("IF(REGEXMATCH(LOWER(G4363), ""^(\?)+\s*(missing)?\s*(\?)*$""), """", PROPER(SUBSTITUTE(SUBSTITUTE(G4363, ""?"", """"), ""*"", """")))"),"Red Retrospot Cup")</f>
        <v>Red Retrospot Cup</v>
      </c>
      <c r="I4363" s="3">
        <v>8.0</v>
      </c>
      <c r="J4363" s="7">
        <v>40886.43263888889</v>
      </c>
      <c r="K4363" s="8" t="str">
        <f t="shared" si="4"/>
        <v>2011-12</v>
      </c>
      <c r="L4363" s="5">
        <v>1.63</v>
      </c>
      <c r="M4363" s="10"/>
      <c r="N4363" s="1" t="str">
        <f t="shared" si="5"/>
        <v>Guest</v>
      </c>
      <c r="O4363" s="1" t="s">
        <v>19</v>
      </c>
      <c r="P4363" s="9" t="str">
        <f t="shared" si="6"/>
        <v>UK</v>
      </c>
      <c r="Q4363" s="8">
        <f t="shared" si="7"/>
        <v>13.04</v>
      </c>
    </row>
    <row r="4364">
      <c r="A4364" s="1">
        <v>581497.0</v>
      </c>
      <c r="B4364" s="1" t="str">
        <f t="shared" si="1"/>
        <v>581497</v>
      </c>
      <c r="C4364" s="1" t="str">
        <f t="shared" si="2"/>
        <v>Sale</v>
      </c>
      <c r="D4364" s="1">
        <v>21242.0</v>
      </c>
      <c r="E4364" s="1" t="str">
        <f>IFERROR(__xludf.DUMMYFUNCTION("IF(LEN(D4364)&gt;4, IFERROR(REGEXEXTRACT(TO_TEXT(D4364),""\d+""),""""),"""")"),"21242")</f>
        <v>21242</v>
      </c>
      <c r="F4364" s="6" t="str">
        <f t="shared" si="3"/>
        <v>Product</v>
      </c>
      <c r="G4364" s="1" t="s">
        <v>436</v>
      </c>
      <c r="H4364" s="6" t="str">
        <f>IFERROR(__xludf.DUMMYFUNCTION("IF(REGEXMATCH(LOWER(G4364), ""^(\?)+\s*(missing)?\s*(\?)*$""), """", PROPER(SUBSTITUTE(SUBSTITUTE(G4364, ""?"", """"), ""*"", """")))"),"Red Retrospot Plate")</f>
        <v>Red Retrospot Plate</v>
      </c>
      <c r="I4364" s="3">
        <v>2.0</v>
      </c>
      <c r="J4364" s="7">
        <v>40886.43263888889</v>
      </c>
      <c r="K4364" s="8" t="str">
        <f t="shared" si="4"/>
        <v>2011-12</v>
      </c>
      <c r="L4364" s="5">
        <v>3.29</v>
      </c>
      <c r="M4364" s="10"/>
      <c r="N4364" s="1" t="str">
        <f t="shared" si="5"/>
        <v>Guest</v>
      </c>
      <c r="O4364" s="1" t="s">
        <v>19</v>
      </c>
      <c r="P4364" s="9" t="str">
        <f t="shared" si="6"/>
        <v>UK</v>
      </c>
      <c r="Q4364" s="8">
        <f t="shared" si="7"/>
        <v>6.58</v>
      </c>
    </row>
    <row r="4365">
      <c r="A4365" s="1">
        <v>581497.0</v>
      </c>
      <c r="B4365" s="1" t="str">
        <f t="shared" si="1"/>
        <v>581497</v>
      </c>
      <c r="C4365" s="1" t="str">
        <f t="shared" si="2"/>
        <v>Sale</v>
      </c>
      <c r="D4365" s="1">
        <v>21479.0</v>
      </c>
      <c r="E4365" s="1" t="str">
        <f>IFERROR(__xludf.DUMMYFUNCTION("IF(LEN(D4365)&gt;4, IFERROR(REGEXEXTRACT(TO_TEXT(D4365),""\d+""),""""),"""")"),"21479")</f>
        <v>21479</v>
      </c>
      <c r="F4365" s="6" t="str">
        <f t="shared" si="3"/>
        <v>Product</v>
      </c>
      <c r="G4365" s="1" t="s">
        <v>269</v>
      </c>
      <c r="H4365" s="6" t="str">
        <f>IFERROR(__xludf.DUMMYFUNCTION("IF(REGEXMATCH(LOWER(G4365), ""^(\?)+\s*(missing)?\s*(\?)*$""), """", PROPER(SUBSTITUTE(SUBSTITUTE(G4365, ""?"", """"), ""*"", """")))"),"White Skull Hot Water Bottle")</f>
        <v>White Skull Hot Water Bottle</v>
      </c>
      <c r="I4365" s="3">
        <v>25.0</v>
      </c>
      <c r="J4365" s="7">
        <v>40886.43263888889</v>
      </c>
      <c r="K4365" s="8" t="str">
        <f t="shared" si="4"/>
        <v>2011-12</v>
      </c>
      <c r="L4365" s="5">
        <v>9.13</v>
      </c>
      <c r="M4365" s="10"/>
      <c r="N4365" s="1" t="str">
        <f t="shared" si="5"/>
        <v>Guest</v>
      </c>
      <c r="O4365" s="1" t="s">
        <v>19</v>
      </c>
      <c r="P4365" s="9" t="str">
        <f t="shared" si="6"/>
        <v>UK</v>
      </c>
      <c r="Q4365" s="8">
        <f t="shared" si="7"/>
        <v>228.25</v>
      </c>
    </row>
    <row r="4366">
      <c r="A4366" s="1">
        <v>581497.0</v>
      </c>
      <c r="B4366" s="1" t="str">
        <f t="shared" si="1"/>
        <v>581497</v>
      </c>
      <c r="C4366" s="1" t="str">
        <f t="shared" si="2"/>
        <v>Sale</v>
      </c>
      <c r="D4366" s="1">
        <v>21481.0</v>
      </c>
      <c r="E4366" s="1" t="str">
        <f>IFERROR(__xludf.DUMMYFUNCTION("IF(LEN(D4366)&gt;4, IFERROR(REGEXEXTRACT(TO_TEXT(D4366),""\d+""),""""),"""")"),"21481")</f>
        <v>21481</v>
      </c>
      <c r="F4366" s="6" t="str">
        <f t="shared" si="3"/>
        <v>Product</v>
      </c>
      <c r="G4366" s="1" t="s">
        <v>519</v>
      </c>
      <c r="H4366" s="6" t="str">
        <f>IFERROR(__xludf.DUMMYFUNCTION("IF(REGEXMATCH(LOWER(G4366), ""^(\?)+\s*(missing)?\s*(\?)*$""), """", PROPER(SUBSTITUTE(SUBSTITUTE(G4366, ""?"", """"), ""*"", """")))"),"Fawn Blue Hot Water Bottle")</f>
        <v>Fawn Blue Hot Water Bottle</v>
      </c>
      <c r="I4366" s="3">
        <v>1.0</v>
      </c>
      <c r="J4366" s="7">
        <v>40886.43263888889</v>
      </c>
      <c r="K4366" s="8" t="str">
        <f t="shared" si="4"/>
        <v>2011-12</v>
      </c>
      <c r="L4366" s="5">
        <v>8.29</v>
      </c>
      <c r="M4366" s="10"/>
      <c r="N4366" s="1" t="str">
        <f t="shared" si="5"/>
        <v>Guest</v>
      </c>
      <c r="O4366" s="1" t="s">
        <v>19</v>
      </c>
      <c r="P4366" s="9" t="str">
        <f t="shared" si="6"/>
        <v>UK</v>
      </c>
      <c r="Q4366" s="8">
        <f t="shared" si="7"/>
        <v>8.29</v>
      </c>
    </row>
    <row r="4367">
      <c r="A4367" s="1">
        <v>581497.0</v>
      </c>
      <c r="B4367" s="1" t="str">
        <f t="shared" si="1"/>
        <v>581497</v>
      </c>
      <c r="C4367" s="1" t="str">
        <f t="shared" si="2"/>
        <v>Sale</v>
      </c>
      <c r="D4367" s="1">
        <v>21481.0</v>
      </c>
      <c r="E4367" s="1" t="str">
        <f>IFERROR(__xludf.DUMMYFUNCTION("IF(LEN(D4367)&gt;4, IFERROR(REGEXEXTRACT(TO_TEXT(D4367),""\d+""),""""),"""")"),"21481")</f>
        <v>21481</v>
      </c>
      <c r="F4367" s="6" t="str">
        <f t="shared" si="3"/>
        <v>Product</v>
      </c>
      <c r="G4367" s="1" t="s">
        <v>519</v>
      </c>
      <c r="H4367" s="6" t="str">
        <f>IFERROR(__xludf.DUMMYFUNCTION("IF(REGEXMATCH(LOWER(G4367), ""^(\?)+\s*(missing)?\s*(\?)*$""), """", PROPER(SUBSTITUTE(SUBSTITUTE(G4367, ""?"", """"), ""*"", """")))"),"Fawn Blue Hot Water Bottle")</f>
        <v>Fawn Blue Hot Water Bottle</v>
      </c>
      <c r="I4367" s="3">
        <v>1.0</v>
      </c>
      <c r="J4367" s="7">
        <v>40886.43263888889</v>
      </c>
      <c r="K4367" s="8" t="str">
        <f t="shared" si="4"/>
        <v>2011-12</v>
      </c>
      <c r="L4367" s="5">
        <v>10.29</v>
      </c>
      <c r="M4367" s="10"/>
      <c r="N4367" s="1" t="str">
        <f t="shared" si="5"/>
        <v>Guest</v>
      </c>
      <c r="O4367" s="1" t="s">
        <v>19</v>
      </c>
      <c r="P4367" s="9" t="str">
        <f t="shared" si="6"/>
        <v>UK</v>
      </c>
      <c r="Q4367" s="8">
        <f t="shared" si="7"/>
        <v>10.29</v>
      </c>
    </row>
    <row r="4368">
      <c r="A4368" s="1">
        <v>581497.0</v>
      </c>
      <c r="B4368" s="1" t="str">
        <f t="shared" si="1"/>
        <v>581497</v>
      </c>
      <c r="C4368" s="1" t="str">
        <f t="shared" si="2"/>
        <v>Sale</v>
      </c>
      <c r="D4368" s="1">
        <v>21484.0</v>
      </c>
      <c r="E4368" s="1" t="str">
        <f>IFERROR(__xludf.DUMMYFUNCTION("IF(LEN(D4368)&gt;4, IFERROR(REGEXEXTRACT(TO_TEXT(D4368),""\d+""),""""),"""")"),"21484")</f>
        <v>21484</v>
      </c>
      <c r="F4368" s="6" t="str">
        <f t="shared" si="3"/>
        <v>Product</v>
      </c>
      <c r="G4368" s="1" t="s">
        <v>232</v>
      </c>
      <c r="H4368" s="6" t="str">
        <f>IFERROR(__xludf.DUMMYFUNCTION("IF(REGEXMATCH(LOWER(G4368), ""^(\?)+\s*(missing)?\s*(\?)*$""), """", PROPER(SUBSTITUTE(SUBSTITUTE(G4368, ""?"", """"), ""*"", """")))"),"Chick Grey Hot Water Bottle")</f>
        <v>Chick Grey Hot Water Bottle</v>
      </c>
      <c r="I4368" s="3">
        <v>1.0</v>
      </c>
      <c r="J4368" s="7">
        <v>40886.43263888889</v>
      </c>
      <c r="K4368" s="8" t="str">
        <f t="shared" si="4"/>
        <v>2011-12</v>
      </c>
      <c r="L4368" s="5">
        <v>9.13</v>
      </c>
      <c r="M4368" s="10"/>
      <c r="N4368" s="1" t="str">
        <f t="shared" si="5"/>
        <v>Guest</v>
      </c>
      <c r="O4368" s="1" t="s">
        <v>19</v>
      </c>
      <c r="P4368" s="9" t="str">
        <f t="shared" si="6"/>
        <v>UK</v>
      </c>
      <c r="Q4368" s="8">
        <f t="shared" si="7"/>
        <v>9.13</v>
      </c>
    </row>
    <row r="4369">
      <c r="A4369" s="1">
        <v>581497.0</v>
      </c>
      <c r="B4369" s="1" t="str">
        <f t="shared" si="1"/>
        <v>581497</v>
      </c>
      <c r="C4369" s="1" t="str">
        <f t="shared" si="2"/>
        <v>Sale</v>
      </c>
      <c r="D4369" s="1">
        <v>21668.0</v>
      </c>
      <c r="E4369" s="1" t="str">
        <f>IFERROR(__xludf.DUMMYFUNCTION("IF(LEN(D4369)&gt;4, IFERROR(REGEXEXTRACT(TO_TEXT(D4369),""\d+""),""""),"""")"),"21668")</f>
        <v>21668</v>
      </c>
      <c r="F4369" s="6" t="str">
        <f t="shared" si="3"/>
        <v>Product</v>
      </c>
      <c r="G4369" s="1" t="s">
        <v>769</v>
      </c>
      <c r="H4369" s="6" t="str">
        <f>IFERROR(__xludf.DUMMYFUNCTION("IF(REGEXMATCH(LOWER(G4369), ""^(\?)+\s*(missing)?\s*(\?)*$""), """", PROPER(SUBSTITUTE(SUBSTITUTE(G4369, ""?"", """"), ""*"", """")))"),"Red Stripe Ceramic Drawer Knob")</f>
        <v>Red Stripe Ceramic Drawer Knob</v>
      </c>
      <c r="I4369" s="3">
        <v>1.0</v>
      </c>
      <c r="J4369" s="7">
        <v>40886.43263888889</v>
      </c>
      <c r="K4369" s="8" t="str">
        <f t="shared" si="4"/>
        <v>2011-12</v>
      </c>
      <c r="L4369" s="5">
        <v>3.29</v>
      </c>
      <c r="M4369" s="10"/>
      <c r="N4369" s="1" t="str">
        <f t="shared" si="5"/>
        <v>Guest</v>
      </c>
      <c r="O4369" s="1" t="s">
        <v>19</v>
      </c>
      <c r="P4369" s="9" t="str">
        <f t="shared" si="6"/>
        <v>UK</v>
      </c>
      <c r="Q4369" s="8">
        <f t="shared" si="7"/>
        <v>3.29</v>
      </c>
    </row>
    <row r="4370">
      <c r="A4370" s="1">
        <v>581497.0</v>
      </c>
      <c r="B4370" s="1" t="str">
        <f t="shared" si="1"/>
        <v>581497</v>
      </c>
      <c r="C4370" s="1" t="str">
        <f t="shared" si="2"/>
        <v>Sale</v>
      </c>
      <c r="D4370" s="1">
        <v>21670.0</v>
      </c>
      <c r="E4370" s="1" t="str">
        <f>IFERROR(__xludf.DUMMYFUNCTION("IF(LEN(D4370)&gt;4, IFERROR(REGEXEXTRACT(TO_TEXT(D4370),""\d+""),""""),"""")"),"21670")</f>
        <v>21670</v>
      </c>
      <c r="F4370" s="6" t="str">
        <f t="shared" si="3"/>
        <v>Product</v>
      </c>
      <c r="G4370" s="1" t="s">
        <v>768</v>
      </c>
      <c r="H4370" s="6" t="str">
        <f>IFERROR(__xludf.DUMMYFUNCTION("IF(REGEXMATCH(LOWER(G4370), ""^(\?)+\s*(missing)?\s*(\?)*$""), """", PROPER(SUBSTITUTE(SUBSTITUTE(G4370, ""?"", """"), ""*"", """")))"),"Blue Spot Ceramic Drawer Knob")</f>
        <v>Blue Spot Ceramic Drawer Knob</v>
      </c>
      <c r="I4370" s="3">
        <v>1.0</v>
      </c>
      <c r="J4370" s="7">
        <v>40886.43263888889</v>
      </c>
      <c r="K4370" s="8" t="str">
        <f t="shared" si="4"/>
        <v>2011-12</v>
      </c>
      <c r="L4370" s="5">
        <v>3.29</v>
      </c>
      <c r="M4370" s="10"/>
      <c r="N4370" s="1" t="str">
        <f t="shared" si="5"/>
        <v>Guest</v>
      </c>
      <c r="O4370" s="1" t="s">
        <v>19</v>
      </c>
      <c r="P4370" s="9" t="str">
        <f t="shared" si="6"/>
        <v>UK</v>
      </c>
      <c r="Q4370" s="8">
        <f t="shared" si="7"/>
        <v>3.29</v>
      </c>
    </row>
    <row r="4371">
      <c r="A4371" s="1">
        <v>581497.0</v>
      </c>
      <c r="B4371" s="1" t="str">
        <f t="shared" si="1"/>
        <v>581497</v>
      </c>
      <c r="C4371" s="1" t="str">
        <f t="shared" si="2"/>
        <v>Sale</v>
      </c>
      <c r="D4371" s="1">
        <v>21671.0</v>
      </c>
      <c r="E4371" s="1" t="str">
        <f>IFERROR(__xludf.DUMMYFUNCTION("IF(LEN(D4371)&gt;4, IFERROR(REGEXEXTRACT(TO_TEXT(D4371),""\d+""),""""),"""")"),"21671")</f>
        <v>21671</v>
      </c>
      <c r="F4371" s="6" t="str">
        <f t="shared" si="3"/>
        <v>Product</v>
      </c>
      <c r="G4371" s="1" t="s">
        <v>770</v>
      </c>
      <c r="H4371" s="6" t="str">
        <f>IFERROR(__xludf.DUMMYFUNCTION("IF(REGEXMATCH(LOWER(G4371), ""^(\?)+\s*(missing)?\s*(\?)*$""), """", PROPER(SUBSTITUTE(SUBSTITUTE(G4371, ""?"", """"), ""*"", """")))"),"Red Spot Ceramic Drawer Knob")</f>
        <v>Red Spot Ceramic Drawer Knob</v>
      </c>
      <c r="I4371" s="3">
        <v>1.0</v>
      </c>
      <c r="J4371" s="7">
        <v>40886.43263888889</v>
      </c>
      <c r="K4371" s="8" t="str">
        <f t="shared" si="4"/>
        <v>2011-12</v>
      </c>
      <c r="L4371" s="5">
        <v>3.29</v>
      </c>
      <c r="M4371" s="10"/>
      <c r="N4371" s="1" t="str">
        <f t="shared" si="5"/>
        <v>Guest</v>
      </c>
      <c r="O4371" s="1" t="s">
        <v>19</v>
      </c>
      <c r="P4371" s="9" t="str">
        <f t="shared" si="6"/>
        <v>UK</v>
      </c>
      <c r="Q4371" s="8">
        <f t="shared" si="7"/>
        <v>3.29</v>
      </c>
    </row>
    <row r="4372">
      <c r="A4372" s="1">
        <v>581497.0</v>
      </c>
      <c r="B4372" s="1" t="str">
        <f t="shared" si="1"/>
        <v>581497</v>
      </c>
      <c r="C4372" s="1" t="str">
        <f t="shared" si="2"/>
        <v>Sale</v>
      </c>
      <c r="D4372" s="1">
        <v>21672.0</v>
      </c>
      <c r="E4372" s="1" t="str">
        <f>IFERROR(__xludf.DUMMYFUNCTION("IF(LEN(D4372)&gt;4, IFERROR(REGEXEXTRACT(TO_TEXT(D4372),""\d+""),""""),"""")"),"21672")</f>
        <v>21672</v>
      </c>
      <c r="F4372" s="6" t="str">
        <f t="shared" si="3"/>
        <v>Product</v>
      </c>
      <c r="G4372" s="1" t="s">
        <v>114</v>
      </c>
      <c r="H4372" s="6" t="str">
        <f>IFERROR(__xludf.DUMMYFUNCTION("IF(REGEXMATCH(LOWER(G4372), ""^(\?)+\s*(missing)?\s*(\?)*$""), """", PROPER(SUBSTITUTE(SUBSTITUTE(G4372, ""?"", """"), ""*"", """")))"),"White Spot Red Ceramic Drawer Knob")</f>
        <v>White Spot Red Ceramic Drawer Knob</v>
      </c>
      <c r="I4372" s="3">
        <v>6.0</v>
      </c>
      <c r="J4372" s="7">
        <v>40886.43263888889</v>
      </c>
      <c r="K4372" s="8" t="str">
        <f t="shared" si="4"/>
        <v>2011-12</v>
      </c>
      <c r="L4372" s="5">
        <v>3.29</v>
      </c>
      <c r="M4372" s="10"/>
      <c r="N4372" s="1" t="str">
        <f t="shared" si="5"/>
        <v>Guest</v>
      </c>
      <c r="O4372" s="1" t="s">
        <v>19</v>
      </c>
      <c r="P4372" s="9" t="str">
        <f t="shared" si="6"/>
        <v>UK</v>
      </c>
      <c r="Q4372" s="8">
        <f t="shared" si="7"/>
        <v>19.74</v>
      </c>
    </row>
    <row r="4373">
      <c r="A4373" s="1">
        <v>581497.0</v>
      </c>
      <c r="B4373" s="1" t="str">
        <f t="shared" si="1"/>
        <v>581497</v>
      </c>
      <c r="C4373" s="1" t="str">
        <f t="shared" si="2"/>
        <v>Sale</v>
      </c>
      <c r="D4373" s="1">
        <v>21673.0</v>
      </c>
      <c r="E4373" s="1" t="str">
        <f>IFERROR(__xludf.DUMMYFUNCTION("IF(LEN(D4373)&gt;4, IFERROR(REGEXEXTRACT(TO_TEXT(D4373),""\d+""),""""),"""")"),"21673")</f>
        <v>21673</v>
      </c>
      <c r="F4373" s="6" t="str">
        <f t="shared" si="3"/>
        <v>Product</v>
      </c>
      <c r="G4373" s="1" t="s">
        <v>767</v>
      </c>
      <c r="H4373" s="6" t="str">
        <f>IFERROR(__xludf.DUMMYFUNCTION("IF(REGEXMATCH(LOWER(G4373), ""^(\?)+\s*(missing)?\s*(\?)*$""), """", PROPER(SUBSTITUTE(SUBSTITUTE(G4373, ""?"", """"), ""*"", """")))"),"White Spot Blue Ceramic Drawer Knob")</f>
        <v>White Spot Blue Ceramic Drawer Knob</v>
      </c>
      <c r="I4373" s="3">
        <v>1.0</v>
      </c>
      <c r="J4373" s="7">
        <v>40886.43263888889</v>
      </c>
      <c r="K4373" s="8" t="str">
        <f t="shared" si="4"/>
        <v>2011-12</v>
      </c>
      <c r="L4373" s="5">
        <v>3.29</v>
      </c>
      <c r="M4373" s="10"/>
      <c r="N4373" s="1" t="str">
        <f t="shared" si="5"/>
        <v>Guest</v>
      </c>
      <c r="O4373" s="1" t="s">
        <v>19</v>
      </c>
      <c r="P4373" s="9" t="str">
        <f t="shared" si="6"/>
        <v>UK</v>
      </c>
      <c r="Q4373" s="8">
        <f t="shared" si="7"/>
        <v>3.29</v>
      </c>
    </row>
    <row r="4374">
      <c r="A4374" s="1">
        <v>581497.0</v>
      </c>
      <c r="B4374" s="1" t="str">
        <f t="shared" si="1"/>
        <v>581497</v>
      </c>
      <c r="C4374" s="1" t="str">
        <f t="shared" si="2"/>
        <v>Sale</v>
      </c>
      <c r="D4374" s="1">
        <v>21714.0</v>
      </c>
      <c r="E4374" s="1" t="str">
        <f>IFERROR(__xludf.DUMMYFUNCTION("IF(LEN(D4374)&gt;4, IFERROR(REGEXEXTRACT(TO_TEXT(D4374),""\d+""),""""),"""")"),"21714")</f>
        <v>21714</v>
      </c>
      <c r="F4374" s="6" t="str">
        <f t="shared" si="3"/>
        <v>Product</v>
      </c>
      <c r="G4374" s="1" t="s">
        <v>1176</v>
      </c>
      <c r="H4374" s="6" t="str">
        <f>IFERROR(__xludf.DUMMYFUNCTION("IF(REGEXMATCH(LOWER(G4374), ""^(\?)+\s*(missing)?\s*(\?)*$""), """", PROPER(SUBSTITUTE(SUBSTITUTE(G4374, ""?"", """"), ""*"", """")))"),"Citronella Candle Garden Pot")</f>
        <v>Citronella Candle Garden Pot</v>
      </c>
      <c r="I4374" s="3">
        <v>2.0</v>
      </c>
      <c r="J4374" s="7">
        <v>40886.43263888889</v>
      </c>
      <c r="K4374" s="8" t="str">
        <f t="shared" si="4"/>
        <v>2011-12</v>
      </c>
      <c r="L4374" s="5">
        <v>3.29</v>
      </c>
      <c r="M4374" s="10"/>
      <c r="N4374" s="1" t="str">
        <f t="shared" si="5"/>
        <v>Guest</v>
      </c>
      <c r="O4374" s="1" t="s">
        <v>19</v>
      </c>
      <c r="P4374" s="9" t="str">
        <f t="shared" si="6"/>
        <v>UK</v>
      </c>
      <c r="Q4374" s="8">
        <f t="shared" si="7"/>
        <v>6.58</v>
      </c>
    </row>
    <row r="4375">
      <c r="A4375" s="1">
        <v>581497.0</v>
      </c>
      <c r="B4375" s="1" t="str">
        <f t="shared" si="1"/>
        <v>581497</v>
      </c>
      <c r="C4375" s="1" t="str">
        <f t="shared" si="2"/>
        <v>Sale</v>
      </c>
      <c r="D4375" s="1">
        <v>22110.0</v>
      </c>
      <c r="E4375" s="1" t="str">
        <f>IFERROR(__xludf.DUMMYFUNCTION("IF(LEN(D4375)&gt;4, IFERROR(REGEXEXTRACT(TO_TEXT(D4375),""\d+""),""""),"""")"),"22110")</f>
        <v>22110</v>
      </c>
      <c r="F4375" s="6" t="str">
        <f t="shared" si="3"/>
        <v>Product</v>
      </c>
      <c r="G4375" s="1" t="s">
        <v>271</v>
      </c>
      <c r="H4375" s="6" t="str">
        <f>IFERROR(__xludf.DUMMYFUNCTION("IF(REGEXMATCH(LOWER(G4375), ""^(\?)+\s*(missing)?\s*(\?)*$""), """", PROPER(SUBSTITUTE(SUBSTITUTE(G4375, ""?"", """"), ""*"", """")))"),"Bird House Hot Water Bottle")</f>
        <v>Bird House Hot Water Bottle</v>
      </c>
      <c r="I4375" s="3">
        <v>7.0</v>
      </c>
      <c r="J4375" s="7">
        <v>40886.43263888889</v>
      </c>
      <c r="K4375" s="8" t="str">
        <f t="shared" si="4"/>
        <v>2011-12</v>
      </c>
      <c r="L4375" s="5">
        <v>5.79</v>
      </c>
      <c r="M4375" s="10"/>
      <c r="N4375" s="1" t="str">
        <f t="shared" si="5"/>
        <v>Guest</v>
      </c>
      <c r="O4375" s="1" t="s">
        <v>19</v>
      </c>
      <c r="P4375" s="9" t="str">
        <f t="shared" si="6"/>
        <v>UK</v>
      </c>
      <c r="Q4375" s="8">
        <f t="shared" si="7"/>
        <v>40.53</v>
      </c>
    </row>
    <row r="4376">
      <c r="A4376" s="1">
        <v>581497.0</v>
      </c>
      <c r="B4376" s="1" t="str">
        <f t="shared" si="1"/>
        <v>581497</v>
      </c>
      <c r="C4376" s="1" t="str">
        <f t="shared" si="2"/>
        <v>Sale</v>
      </c>
      <c r="D4376" s="1">
        <v>22111.0</v>
      </c>
      <c r="E4376" s="1" t="str">
        <f>IFERROR(__xludf.DUMMYFUNCTION("IF(LEN(D4376)&gt;4, IFERROR(REGEXEXTRACT(TO_TEXT(D4376),""\d+""),""""),"""")"),"22111")</f>
        <v>22111</v>
      </c>
      <c r="F4376" s="6" t="str">
        <f t="shared" si="3"/>
        <v>Product</v>
      </c>
      <c r="G4376" s="1" t="s">
        <v>270</v>
      </c>
      <c r="H4376" s="6" t="str">
        <f>IFERROR(__xludf.DUMMYFUNCTION("IF(REGEXMATCH(LOWER(G4376), ""^(\?)+\s*(missing)?\s*(\?)*$""), """", PROPER(SUBSTITUTE(SUBSTITUTE(G4376, ""?"", """"), ""*"", """")))"),"Scottie Dog Hot Water Bottle")</f>
        <v>Scottie Dog Hot Water Bottle</v>
      </c>
      <c r="I4376" s="3">
        <v>5.0</v>
      </c>
      <c r="J4376" s="7">
        <v>40886.43263888889</v>
      </c>
      <c r="K4376" s="8" t="str">
        <f t="shared" si="4"/>
        <v>2011-12</v>
      </c>
      <c r="L4376" s="5">
        <v>12.46</v>
      </c>
      <c r="M4376" s="10"/>
      <c r="N4376" s="1" t="str">
        <f t="shared" si="5"/>
        <v>Guest</v>
      </c>
      <c r="O4376" s="1" t="s">
        <v>19</v>
      </c>
      <c r="P4376" s="9" t="str">
        <f t="shared" si="6"/>
        <v>UK</v>
      </c>
      <c r="Q4376" s="8">
        <f t="shared" si="7"/>
        <v>62.3</v>
      </c>
    </row>
    <row r="4377">
      <c r="A4377" s="1">
        <v>581497.0</v>
      </c>
      <c r="B4377" s="1" t="str">
        <f t="shared" si="1"/>
        <v>581497</v>
      </c>
      <c r="C4377" s="1" t="str">
        <f t="shared" si="2"/>
        <v>Sale</v>
      </c>
      <c r="D4377" s="1">
        <v>22112.0</v>
      </c>
      <c r="E4377" s="1" t="str">
        <f>IFERROR(__xludf.DUMMYFUNCTION("IF(LEN(D4377)&gt;4, IFERROR(REGEXEXTRACT(TO_TEXT(D4377),""\d+""),""""),"""")"),"22112")</f>
        <v>22112</v>
      </c>
      <c r="F4377" s="6" t="str">
        <f t="shared" si="3"/>
        <v>Product</v>
      </c>
      <c r="G4377" s="1" t="s">
        <v>268</v>
      </c>
      <c r="H4377" s="6" t="str">
        <f>IFERROR(__xludf.DUMMYFUNCTION("IF(REGEXMATCH(LOWER(G4377), ""^(\?)+\s*(missing)?\s*(\?)*$""), """", PROPER(SUBSTITUTE(SUBSTITUTE(G4377, ""?"", """"), ""*"", """")))"),"Chocolate Hot Water Bottle")</f>
        <v>Chocolate Hot Water Bottle</v>
      </c>
      <c r="I4377" s="3">
        <v>13.0</v>
      </c>
      <c r="J4377" s="7">
        <v>40886.43263888889</v>
      </c>
      <c r="K4377" s="8" t="str">
        <f t="shared" si="4"/>
        <v>2011-12</v>
      </c>
      <c r="L4377" s="5">
        <v>12.46</v>
      </c>
      <c r="M4377" s="10"/>
      <c r="N4377" s="1" t="str">
        <f t="shared" si="5"/>
        <v>Guest</v>
      </c>
      <c r="O4377" s="1" t="s">
        <v>19</v>
      </c>
      <c r="P4377" s="9" t="str">
        <f t="shared" si="6"/>
        <v>UK</v>
      </c>
      <c r="Q4377" s="8">
        <f t="shared" si="7"/>
        <v>161.98</v>
      </c>
    </row>
    <row r="4378">
      <c r="A4378" s="1">
        <v>581497.0</v>
      </c>
      <c r="B4378" s="1" t="str">
        <f t="shared" si="1"/>
        <v>581497</v>
      </c>
      <c r="C4378" s="1" t="str">
        <f t="shared" si="2"/>
        <v>Sale</v>
      </c>
      <c r="D4378" s="1">
        <v>22114.0</v>
      </c>
      <c r="E4378" s="1" t="str">
        <f>IFERROR(__xludf.DUMMYFUNCTION("IF(LEN(D4378)&gt;4, IFERROR(REGEXEXTRACT(TO_TEXT(D4378),""\d+""),""""),"""")"),"22114")</f>
        <v>22114</v>
      </c>
      <c r="F4378" s="6" t="str">
        <f t="shared" si="3"/>
        <v>Product</v>
      </c>
      <c r="G4378" s="1" t="s">
        <v>82</v>
      </c>
      <c r="H4378" s="6" t="str">
        <f>IFERROR(__xludf.DUMMYFUNCTION("IF(REGEXMATCH(LOWER(G4378), ""^(\?)+\s*(missing)?\s*(\?)*$""), """", PROPER(SUBSTITUTE(SUBSTITUTE(G4378, ""?"", """"), ""*"", """")))"),"Hot Water Bottle Tea And Sympathy")</f>
        <v>Hot Water Bottle Tea And Sympathy</v>
      </c>
      <c r="I4378" s="3">
        <v>48.0</v>
      </c>
      <c r="J4378" s="7">
        <v>40886.43263888889</v>
      </c>
      <c r="K4378" s="8" t="str">
        <f t="shared" si="4"/>
        <v>2011-12</v>
      </c>
      <c r="L4378" s="5">
        <v>9.13</v>
      </c>
      <c r="M4378" s="10"/>
      <c r="N4378" s="1" t="str">
        <f t="shared" si="5"/>
        <v>Guest</v>
      </c>
      <c r="O4378" s="1" t="s">
        <v>19</v>
      </c>
      <c r="P4378" s="9" t="str">
        <f t="shared" si="6"/>
        <v>UK</v>
      </c>
      <c r="Q4378" s="8">
        <f t="shared" si="7"/>
        <v>438.24</v>
      </c>
    </row>
    <row r="4379">
      <c r="A4379" s="1">
        <v>581497.0</v>
      </c>
      <c r="B4379" s="1" t="str">
        <f t="shared" si="1"/>
        <v>581497</v>
      </c>
      <c r="C4379" s="1" t="str">
        <f t="shared" si="2"/>
        <v>Sale</v>
      </c>
      <c r="D4379" s="1">
        <v>22197.0</v>
      </c>
      <c r="E4379" s="1" t="str">
        <f>IFERROR(__xludf.DUMMYFUNCTION("IF(LEN(D4379)&gt;4, IFERROR(REGEXEXTRACT(TO_TEXT(D4379),""\d+""),""""),"""")"),"22197")</f>
        <v>22197</v>
      </c>
      <c r="F4379" s="6" t="str">
        <f t="shared" si="3"/>
        <v>Product</v>
      </c>
      <c r="G4379" s="1" t="s">
        <v>1440</v>
      </c>
      <c r="H4379" s="6" t="str">
        <f>IFERROR(__xludf.DUMMYFUNCTION("IF(REGEXMATCH(LOWER(G4379), ""^(\?)+\s*(missing)?\s*(\?)*$""), """", PROPER(SUBSTITUTE(SUBSTITUTE(G4379, ""?"", """"), ""*"", """")))"),"Popcorn Holder")</f>
        <v>Popcorn Holder</v>
      </c>
      <c r="I4379" s="3">
        <v>68.0</v>
      </c>
      <c r="J4379" s="7">
        <v>40886.43263888889</v>
      </c>
      <c r="K4379" s="8" t="str">
        <f t="shared" si="4"/>
        <v>2011-12</v>
      </c>
      <c r="L4379" s="5">
        <v>2.46</v>
      </c>
      <c r="M4379" s="10"/>
      <c r="N4379" s="1" t="str">
        <f t="shared" si="5"/>
        <v>Guest</v>
      </c>
      <c r="O4379" s="1" t="s">
        <v>19</v>
      </c>
      <c r="P4379" s="9" t="str">
        <f t="shared" si="6"/>
        <v>UK</v>
      </c>
      <c r="Q4379" s="8">
        <f t="shared" si="7"/>
        <v>167.28</v>
      </c>
    </row>
    <row r="4380">
      <c r="A4380" s="1">
        <v>581497.0</v>
      </c>
      <c r="B4380" s="1" t="str">
        <f t="shared" si="1"/>
        <v>581497</v>
      </c>
      <c r="C4380" s="1" t="str">
        <f t="shared" si="2"/>
        <v>Sale</v>
      </c>
      <c r="D4380" s="1">
        <v>22355.0</v>
      </c>
      <c r="E4380" s="1" t="str">
        <f>IFERROR(__xludf.DUMMYFUNCTION("IF(LEN(D4380)&gt;4, IFERROR(REGEXEXTRACT(TO_TEXT(D4380),""\d+""),""""),"""")"),"22355")</f>
        <v>22355</v>
      </c>
      <c r="F4380" s="6" t="str">
        <f t="shared" si="3"/>
        <v>Product</v>
      </c>
      <c r="G4380" s="1" t="s">
        <v>1169</v>
      </c>
      <c r="H4380" s="6" t="str">
        <f>IFERROR(__xludf.DUMMYFUNCTION("IF(REGEXMATCH(LOWER(G4380), ""^(\?)+\s*(missing)?\s*(\?)*$""), """", PROPER(SUBSTITUTE(SUBSTITUTE(G4380, ""?"", """"), ""*"", """")))"),"Charlotte Bag Suki Design")</f>
        <v>Charlotte Bag Suki Design</v>
      </c>
      <c r="I4380" s="3">
        <v>110.0</v>
      </c>
      <c r="J4380" s="7">
        <v>40886.43263888889</v>
      </c>
      <c r="K4380" s="8" t="str">
        <f t="shared" si="4"/>
        <v>2011-12</v>
      </c>
      <c r="L4380" s="5">
        <v>2.46</v>
      </c>
      <c r="M4380" s="10"/>
      <c r="N4380" s="1" t="str">
        <f t="shared" si="5"/>
        <v>Guest</v>
      </c>
      <c r="O4380" s="1" t="s">
        <v>19</v>
      </c>
      <c r="P4380" s="9" t="str">
        <f t="shared" si="6"/>
        <v>UK</v>
      </c>
      <c r="Q4380" s="8">
        <f t="shared" si="7"/>
        <v>270.6</v>
      </c>
    </row>
    <row r="4381">
      <c r="A4381" s="1">
        <v>581497.0</v>
      </c>
      <c r="B4381" s="1" t="str">
        <f t="shared" si="1"/>
        <v>581497</v>
      </c>
      <c r="C4381" s="1" t="str">
        <f t="shared" si="2"/>
        <v>Sale</v>
      </c>
      <c r="D4381" s="1">
        <v>22356.0</v>
      </c>
      <c r="E4381" s="1" t="str">
        <f>IFERROR(__xludf.DUMMYFUNCTION("IF(LEN(D4381)&gt;4, IFERROR(REGEXEXTRACT(TO_TEXT(D4381),""\d+""),""""),"""")"),"22356")</f>
        <v>22356</v>
      </c>
      <c r="F4381" s="6" t="str">
        <f t="shared" si="3"/>
        <v>Product</v>
      </c>
      <c r="G4381" s="1" t="s">
        <v>808</v>
      </c>
      <c r="H4381" s="6" t="str">
        <f>IFERROR(__xludf.DUMMYFUNCTION("IF(REGEXMATCH(LOWER(G4381), ""^(\?)+\s*(missing)?\s*(\?)*$""), """", PROPER(SUBSTITUTE(SUBSTITUTE(G4381, ""?"", """"), ""*"", """")))"),"Charlotte Bag Pink Polkadot")</f>
        <v>Charlotte Bag Pink Polkadot</v>
      </c>
      <c r="I4381" s="3">
        <v>25.0</v>
      </c>
      <c r="J4381" s="7">
        <v>40886.43263888889</v>
      </c>
      <c r="K4381" s="8" t="str">
        <f t="shared" si="4"/>
        <v>2011-12</v>
      </c>
      <c r="L4381" s="5">
        <v>2.46</v>
      </c>
      <c r="M4381" s="10"/>
      <c r="N4381" s="1" t="str">
        <f t="shared" si="5"/>
        <v>Guest</v>
      </c>
      <c r="O4381" s="1" t="s">
        <v>19</v>
      </c>
      <c r="P4381" s="9" t="str">
        <f t="shared" si="6"/>
        <v>UK</v>
      </c>
      <c r="Q4381" s="8">
        <f t="shared" si="7"/>
        <v>61.5</v>
      </c>
    </row>
    <row r="4382">
      <c r="A4382" s="1">
        <v>581497.0</v>
      </c>
      <c r="B4382" s="1" t="str">
        <f t="shared" si="1"/>
        <v>581497</v>
      </c>
      <c r="C4382" s="1" t="str">
        <f t="shared" si="2"/>
        <v>Sale</v>
      </c>
      <c r="D4382" s="1">
        <v>22356.0</v>
      </c>
      <c r="E4382" s="1" t="str">
        <f>IFERROR(__xludf.DUMMYFUNCTION("IF(LEN(D4382)&gt;4, IFERROR(REGEXEXTRACT(TO_TEXT(D4382),""\d+""),""""),"""")"),"22356")</f>
        <v>22356</v>
      </c>
      <c r="F4382" s="6" t="str">
        <f t="shared" si="3"/>
        <v>Product</v>
      </c>
      <c r="G4382" s="1" t="s">
        <v>808</v>
      </c>
      <c r="H4382" s="6" t="str">
        <f>IFERROR(__xludf.DUMMYFUNCTION("IF(REGEXMATCH(LOWER(G4382), ""^(\?)+\s*(missing)?\s*(\?)*$""), """", PROPER(SUBSTITUTE(SUBSTITUTE(G4382, ""?"", """"), ""*"", """")))"),"Charlotte Bag Pink Polkadot")</f>
        <v>Charlotte Bag Pink Polkadot</v>
      </c>
      <c r="I4382" s="3">
        <v>1.0</v>
      </c>
      <c r="J4382" s="7">
        <v>40886.43263888889</v>
      </c>
      <c r="K4382" s="8" t="str">
        <f t="shared" si="4"/>
        <v>2011-12</v>
      </c>
      <c r="L4382" s="5">
        <v>5.63</v>
      </c>
      <c r="M4382" s="10"/>
      <c r="N4382" s="1" t="str">
        <f t="shared" si="5"/>
        <v>Guest</v>
      </c>
      <c r="O4382" s="1" t="s">
        <v>19</v>
      </c>
      <c r="P4382" s="9" t="str">
        <f t="shared" si="6"/>
        <v>UK</v>
      </c>
      <c r="Q4382" s="8">
        <f t="shared" si="7"/>
        <v>5.63</v>
      </c>
    </row>
    <row r="4383">
      <c r="A4383" s="1">
        <v>581497.0</v>
      </c>
      <c r="B4383" s="1" t="str">
        <f t="shared" si="1"/>
        <v>581497</v>
      </c>
      <c r="C4383" s="1" t="str">
        <f t="shared" si="2"/>
        <v>Sale</v>
      </c>
      <c r="D4383" s="1">
        <v>22383.0</v>
      </c>
      <c r="E4383" s="1" t="str">
        <f>IFERROR(__xludf.DUMMYFUNCTION("IF(LEN(D4383)&gt;4, IFERROR(REGEXEXTRACT(TO_TEXT(D4383),""\d+""),""""),"""")"),"22383")</f>
        <v>22383</v>
      </c>
      <c r="F4383" s="6" t="str">
        <f t="shared" si="3"/>
        <v>Product</v>
      </c>
      <c r="G4383" s="1" t="s">
        <v>355</v>
      </c>
      <c r="H4383" s="6" t="str">
        <f>IFERROR(__xludf.DUMMYFUNCTION("IF(REGEXMATCH(LOWER(G4383), ""^(\?)+\s*(missing)?\s*(\?)*$""), """", PROPER(SUBSTITUTE(SUBSTITUTE(G4383, ""?"", """"), ""*"", """")))"),"Lunch Bag Suki Design")</f>
        <v>Lunch Bag Suki Design</v>
      </c>
      <c r="I4383" s="3">
        <v>2.0</v>
      </c>
      <c r="J4383" s="7">
        <v>40886.43263888889</v>
      </c>
      <c r="K4383" s="8" t="str">
        <f t="shared" si="4"/>
        <v>2011-12</v>
      </c>
      <c r="L4383" s="5">
        <v>4.96</v>
      </c>
      <c r="M4383" s="10"/>
      <c r="N4383" s="1" t="str">
        <f t="shared" si="5"/>
        <v>Guest</v>
      </c>
      <c r="O4383" s="1" t="s">
        <v>19</v>
      </c>
      <c r="P4383" s="9" t="str">
        <f t="shared" si="6"/>
        <v>UK</v>
      </c>
      <c r="Q4383" s="8">
        <f t="shared" si="7"/>
        <v>9.92</v>
      </c>
    </row>
    <row r="4384">
      <c r="A4384" s="1">
        <v>581497.0</v>
      </c>
      <c r="B4384" s="1" t="str">
        <f t="shared" si="1"/>
        <v>581497</v>
      </c>
      <c r="C4384" s="1" t="str">
        <f t="shared" si="2"/>
        <v>Sale</v>
      </c>
      <c r="D4384" s="1">
        <v>22423.0</v>
      </c>
      <c r="E4384" s="1" t="str">
        <f>IFERROR(__xludf.DUMMYFUNCTION("IF(LEN(D4384)&gt;4, IFERROR(REGEXEXTRACT(TO_TEXT(D4384),""\d+""),""""),"""")"),"22423")</f>
        <v>22423</v>
      </c>
      <c r="F4384" s="6" t="str">
        <f t="shared" si="3"/>
        <v>Product</v>
      </c>
      <c r="G4384" s="1" t="s">
        <v>619</v>
      </c>
      <c r="H4384" s="6" t="str">
        <f>IFERROR(__xludf.DUMMYFUNCTION("IF(REGEXMATCH(LOWER(G4384), ""^(\?)+\s*(missing)?\s*(\?)*$""), """", PROPER(SUBSTITUTE(SUBSTITUTE(G4384, ""?"", """"), ""*"", """")))"),"Regency Cakestand 3 Tier")</f>
        <v>Regency Cakestand 3 Tier</v>
      </c>
      <c r="I4384" s="3">
        <v>8.0</v>
      </c>
      <c r="J4384" s="7">
        <v>40886.43263888889</v>
      </c>
      <c r="K4384" s="8" t="str">
        <f t="shared" si="4"/>
        <v>2011-12</v>
      </c>
      <c r="L4384" s="5">
        <v>24.96</v>
      </c>
      <c r="M4384" s="10"/>
      <c r="N4384" s="1" t="str">
        <f t="shared" si="5"/>
        <v>Guest</v>
      </c>
      <c r="O4384" s="1" t="s">
        <v>19</v>
      </c>
      <c r="P4384" s="9" t="str">
        <f t="shared" si="6"/>
        <v>UK</v>
      </c>
      <c r="Q4384" s="8">
        <f t="shared" si="7"/>
        <v>199.68</v>
      </c>
    </row>
    <row r="4385">
      <c r="A4385" s="1">
        <v>581497.0</v>
      </c>
      <c r="B4385" s="1" t="str">
        <f t="shared" si="1"/>
        <v>581497</v>
      </c>
      <c r="C4385" s="1" t="str">
        <f t="shared" si="2"/>
        <v>Sale</v>
      </c>
      <c r="D4385" s="1">
        <v>22725.0</v>
      </c>
      <c r="E4385" s="1" t="str">
        <f>IFERROR(__xludf.DUMMYFUNCTION("IF(LEN(D4385)&gt;4, IFERROR(REGEXEXTRACT(TO_TEXT(D4385),""\d+""),""""),"""")"),"22725")</f>
        <v>22725</v>
      </c>
      <c r="F4385" s="6" t="str">
        <f t="shared" si="3"/>
        <v>Product</v>
      </c>
      <c r="G4385" s="1" t="s">
        <v>1407</v>
      </c>
      <c r="H4385" s="6" t="str">
        <f>IFERROR(__xludf.DUMMYFUNCTION("IF(REGEXMATCH(LOWER(G4385), ""^(\?)+\s*(missing)?\s*(\?)*$""), """", PROPER(SUBSTITUTE(SUBSTITUTE(G4385, ""?"", """"), ""*"", """")))"),"Alarm Clock Bakelike Chocolate")</f>
        <v>Alarm Clock Bakelike Chocolate</v>
      </c>
      <c r="I4385" s="3">
        <v>3.0</v>
      </c>
      <c r="J4385" s="7">
        <v>40886.43263888889</v>
      </c>
      <c r="K4385" s="8" t="str">
        <f t="shared" si="4"/>
        <v>2011-12</v>
      </c>
      <c r="L4385" s="5">
        <v>8.29</v>
      </c>
      <c r="M4385" s="10"/>
      <c r="N4385" s="1" t="str">
        <f t="shared" si="5"/>
        <v>Guest</v>
      </c>
      <c r="O4385" s="1" t="s">
        <v>19</v>
      </c>
      <c r="P4385" s="9" t="str">
        <f t="shared" si="6"/>
        <v>UK</v>
      </c>
      <c r="Q4385" s="8">
        <f t="shared" si="7"/>
        <v>24.87</v>
      </c>
    </row>
    <row r="4386">
      <c r="A4386" s="1">
        <v>581497.0</v>
      </c>
      <c r="B4386" s="1" t="str">
        <f t="shared" si="1"/>
        <v>581497</v>
      </c>
      <c r="C4386" s="1" t="str">
        <f t="shared" si="2"/>
        <v>Sale</v>
      </c>
      <c r="D4386" s="1">
        <v>22726.0</v>
      </c>
      <c r="E4386" s="1" t="str">
        <f>IFERROR(__xludf.DUMMYFUNCTION("IF(LEN(D4386)&gt;4, IFERROR(REGEXEXTRACT(TO_TEXT(D4386),""\d+""),""""),"""")"),"22726")</f>
        <v>22726</v>
      </c>
      <c r="F4386" s="6" t="str">
        <f t="shared" si="3"/>
        <v>Product</v>
      </c>
      <c r="G4386" s="1" t="s">
        <v>51</v>
      </c>
      <c r="H4386" s="6" t="str">
        <f>IFERROR(__xludf.DUMMYFUNCTION("IF(REGEXMATCH(LOWER(G4386), ""^(\?)+\s*(missing)?\s*(\?)*$""), """", PROPER(SUBSTITUTE(SUBSTITUTE(G4386, ""?"", """"), ""*"", """")))"),"Alarm Clock Bakelike Green")</f>
        <v>Alarm Clock Bakelike Green</v>
      </c>
      <c r="I4386" s="3">
        <v>1.0</v>
      </c>
      <c r="J4386" s="7">
        <v>40886.43263888889</v>
      </c>
      <c r="K4386" s="8" t="str">
        <f t="shared" si="4"/>
        <v>2011-12</v>
      </c>
      <c r="L4386" s="5">
        <v>8.29</v>
      </c>
      <c r="M4386" s="10"/>
      <c r="N4386" s="1" t="str">
        <f t="shared" si="5"/>
        <v>Guest</v>
      </c>
      <c r="O4386" s="1" t="s">
        <v>19</v>
      </c>
      <c r="P4386" s="9" t="str">
        <f t="shared" si="6"/>
        <v>UK</v>
      </c>
      <c r="Q4386" s="8">
        <f t="shared" si="7"/>
        <v>8.29</v>
      </c>
    </row>
    <row r="4387">
      <c r="A4387" s="1">
        <v>581497.0</v>
      </c>
      <c r="B4387" s="1" t="str">
        <f t="shared" si="1"/>
        <v>581497</v>
      </c>
      <c r="C4387" s="1" t="str">
        <f t="shared" si="2"/>
        <v>Sale</v>
      </c>
      <c r="D4387" s="1">
        <v>22727.0</v>
      </c>
      <c r="E4387" s="1" t="str">
        <f>IFERROR(__xludf.DUMMYFUNCTION("IF(LEN(D4387)&gt;4, IFERROR(REGEXEXTRACT(TO_TEXT(D4387),""\d+""),""""),"""")"),"22727")</f>
        <v>22727</v>
      </c>
      <c r="F4387" s="6" t="str">
        <f t="shared" si="3"/>
        <v>Product</v>
      </c>
      <c r="G4387" s="1" t="s">
        <v>50</v>
      </c>
      <c r="H4387" s="6" t="str">
        <f>IFERROR(__xludf.DUMMYFUNCTION("IF(REGEXMATCH(LOWER(G4387), ""^(\?)+\s*(missing)?\s*(\?)*$""), """", PROPER(SUBSTITUTE(SUBSTITUTE(G4387, ""?"", """"), ""*"", """")))"),"Alarm Clock Bakelike Red")</f>
        <v>Alarm Clock Bakelike Red</v>
      </c>
      <c r="I4387" s="3">
        <v>10.0</v>
      </c>
      <c r="J4387" s="7">
        <v>40886.43263888889</v>
      </c>
      <c r="K4387" s="8" t="str">
        <f t="shared" si="4"/>
        <v>2011-12</v>
      </c>
      <c r="L4387" s="5">
        <v>8.29</v>
      </c>
      <c r="M4387" s="10"/>
      <c r="N4387" s="1" t="str">
        <f t="shared" si="5"/>
        <v>Guest</v>
      </c>
      <c r="O4387" s="1" t="s">
        <v>19</v>
      </c>
      <c r="P4387" s="9" t="str">
        <f t="shared" si="6"/>
        <v>UK</v>
      </c>
      <c r="Q4387" s="8">
        <f t="shared" si="7"/>
        <v>82.9</v>
      </c>
    </row>
    <row r="4388">
      <c r="A4388" s="1">
        <v>581497.0</v>
      </c>
      <c r="B4388" s="1" t="str">
        <f t="shared" si="1"/>
        <v>581497</v>
      </c>
      <c r="C4388" s="1" t="str">
        <f t="shared" si="2"/>
        <v>Sale</v>
      </c>
      <c r="D4388" s="1">
        <v>22730.0</v>
      </c>
      <c r="E4388" s="1" t="str">
        <f>IFERROR(__xludf.DUMMYFUNCTION("IF(LEN(D4388)&gt;4, IFERROR(REGEXEXTRACT(TO_TEXT(D4388),""\d+""),""""),"""")"),"22730")</f>
        <v>22730</v>
      </c>
      <c r="F4388" s="6" t="str">
        <f t="shared" si="3"/>
        <v>Product</v>
      </c>
      <c r="G4388" s="1" t="s">
        <v>255</v>
      </c>
      <c r="H4388" s="6" t="str">
        <f>IFERROR(__xludf.DUMMYFUNCTION("IF(REGEXMATCH(LOWER(G4388), ""^(\?)+\s*(missing)?\s*(\?)*$""), """", PROPER(SUBSTITUTE(SUBSTITUTE(G4388, ""?"", """"), ""*"", """")))"),"Alarm Clock Bakelike Ivory")</f>
        <v>Alarm Clock Bakelike Ivory</v>
      </c>
      <c r="I4388" s="3">
        <v>5.0</v>
      </c>
      <c r="J4388" s="7">
        <v>40886.43263888889</v>
      </c>
      <c r="K4388" s="8" t="str">
        <f t="shared" si="4"/>
        <v>2011-12</v>
      </c>
      <c r="L4388" s="5">
        <v>8.29</v>
      </c>
      <c r="M4388" s="10"/>
      <c r="N4388" s="1" t="str">
        <f t="shared" si="5"/>
        <v>Guest</v>
      </c>
      <c r="O4388" s="1" t="s">
        <v>19</v>
      </c>
      <c r="P4388" s="9" t="str">
        <f t="shared" si="6"/>
        <v>UK</v>
      </c>
      <c r="Q4388" s="8">
        <f t="shared" si="7"/>
        <v>41.45</v>
      </c>
    </row>
    <row r="4389">
      <c r="A4389" s="1">
        <v>581497.0</v>
      </c>
      <c r="B4389" s="1" t="str">
        <f t="shared" si="1"/>
        <v>581497</v>
      </c>
      <c r="C4389" s="1" t="str">
        <f t="shared" si="2"/>
        <v>Sale</v>
      </c>
      <c r="D4389" s="1">
        <v>22735.0</v>
      </c>
      <c r="E4389" s="1" t="str">
        <f>IFERROR(__xludf.DUMMYFUNCTION("IF(LEN(D4389)&gt;4, IFERROR(REGEXEXTRACT(TO_TEXT(D4389),""\d+""),""""),"""")"),"22735")</f>
        <v>22735</v>
      </c>
      <c r="F4389" s="6" t="str">
        <f t="shared" si="3"/>
        <v>Product</v>
      </c>
      <c r="G4389" s="1" t="s">
        <v>585</v>
      </c>
      <c r="H4389" s="6" t="str">
        <f>IFERROR(__xludf.DUMMYFUNCTION("IF(REGEXMATCH(LOWER(G4389), ""^(\?)+\s*(missing)?\s*(\?)*$""), """", PROPER(SUBSTITUTE(SUBSTITUTE(G4389, ""?"", """"), ""*"", """")))"),"Ribbon Reel Socks And Mittens")</f>
        <v>Ribbon Reel Socks And Mittens</v>
      </c>
      <c r="I4389" s="3">
        <v>2.0</v>
      </c>
      <c r="J4389" s="7">
        <v>40886.43263888889</v>
      </c>
      <c r="K4389" s="8" t="str">
        <f t="shared" si="4"/>
        <v>2011-12</v>
      </c>
      <c r="L4389" s="5">
        <v>7.5</v>
      </c>
      <c r="M4389" s="10"/>
      <c r="N4389" s="1" t="str">
        <f t="shared" si="5"/>
        <v>Guest</v>
      </c>
      <c r="O4389" s="1" t="s">
        <v>19</v>
      </c>
      <c r="P4389" s="9" t="str">
        <f t="shared" si="6"/>
        <v>UK</v>
      </c>
      <c r="Q4389" s="8">
        <f t="shared" si="7"/>
        <v>15</v>
      </c>
    </row>
    <row r="4390">
      <c r="A4390" s="1">
        <v>581497.0</v>
      </c>
      <c r="B4390" s="1" t="str">
        <f t="shared" si="1"/>
        <v>581497</v>
      </c>
      <c r="C4390" s="1" t="str">
        <f t="shared" si="2"/>
        <v>Sale</v>
      </c>
      <c r="D4390" s="1">
        <v>22736.0</v>
      </c>
      <c r="E4390" s="1" t="str">
        <f>IFERROR(__xludf.DUMMYFUNCTION("IF(LEN(D4390)&gt;4, IFERROR(REGEXEXTRACT(TO_TEXT(D4390),""\d+""),""""),"""")"),"22736")</f>
        <v>22736</v>
      </c>
      <c r="F4390" s="6" t="str">
        <f t="shared" si="3"/>
        <v>Product</v>
      </c>
      <c r="G4390" s="1" t="s">
        <v>387</v>
      </c>
      <c r="H4390" s="6" t="str">
        <f>IFERROR(__xludf.DUMMYFUNCTION("IF(REGEXMATCH(LOWER(G4390), ""^(\?)+\s*(missing)?\s*(\?)*$""), """", PROPER(SUBSTITUTE(SUBSTITUTE(G4390, ""?"", """"), ""*"", """")))"),"Ribbon Reel Making Snowmen")</f>
        <v>Ribbon Reel Making Snowmen</v>
      </c>
      <c r="I4390" s="3">
        <v>3.0</v>
      </c>
      <c r="J4390" s="7">
        <v>40886.43263888889</v>
      </c>
      <c r="K4390" s="8" t="str">
        <f t="shared" si="4"/>
        <v>2011-12</v>
      </c>
      <c r="L4390" s="5">
        <v>4.13</v>
      </c>
      <c r="M4390" s="10"/>
      <c r="N4390" s="1" t="str">
        <f t="shared" si="5"/>
        <v>Guest</v>
      </c>
      <c r="O4390" s="1" t="s">
        <v>19</v>
      </c>
      <c r="P4390" s="9" t="str">
        <f t="shared" si="6"/>
        <v>UK</v>
      </c>
      <c r="Q4390" s="8">
        <f t="shared" si="7"/>
        <v>12.39</v>
      </c>
    </row>
    <row r="4391">
      <c r="A4391" s="1">
        <v>581497.0</v>
      </c>
      <c r="B4391" s="1" t="str">
        <f t="shared" si="1"/>
        <v>581497</v>
      </c>
      <c r="C4391" s="1" t="str">
        <f t="shared" si="2"/>
        <v>Sale</v>
      </c>
      <c r="D4391" s="1">
        <v>22738.0</v>
      </c>
      <c r="E4391" s="1" t="str">
        <f>IFERROR(__xludf.DUMMYFUNCTION("IF(LEN(D4391)&gt;4, IFERROR(REGEXEXTRACT(TO_TEXT(D4391),""\d+""),""""),"""")"),"22738")</f>
        <v>22738</v>
      </c>
      <c r="F4391" s="6" t="str">
        <f t="shared" si="3"/>
        <v>Product</v>
      </c>
      <c r="G4391" s="1" t="s">
        <v>467</v>
      </c>
      <c r="H4391" s="6" t="str">
        <f>IFERROR(__xludf.DUMMYFUNCTION("IF(REGEXMATCH(LOWER(G4391), ""^(\?)+\s*(missing)?\s*(\?)*$""), """", PROPER(SUBSTITUTE(SUBSTITUTE(G4391, ""?"", """"), ""*"", """")))"),"Ribbon Reel Snowy Village")</f>
        <v>Ribbon Reel Snowy Village</v>
      </c>
      <c r="I4391" s="3">
        <v>1.0</v>
      </c>
      <c r="J4391" s="7">
        <v>40886.43263888889</v>
      </c>
      <c r="K4391" s="8" t="str">
        <f t="shared" si="4"/>
        <v>2011-12</v>
      </c>
      <c r="L4391" s="5">
        <v>7.5</v>
      </c>
      <c r="M4391" s="10"/>
      <c r="N4391" s="1" t="str">
        <f t="shared" si="5"/>
        <v>Guest</v>
      </c>
      <c r="O4391" s="1" t="s">
        <v>19</v>
      </c>
      <c r="P4391" s="9" t="str">
        <f t="shared" si="6"/>
        <v>UK</v>
      </c>
      <c r="Q4391" s="8">
        <f t="shared" si="7"/>
        <v>7.5</v>
      </c>
    </row>
    <row r="4392">
      <c r="A4392" s="1">
        <v>581497.0</v>
      </c>
      <c r="B4392" s="1" t="str">
        <f t="shared" si="1"/>
        <v>581497</v>
      </c>
      <c r="C4392" s="1" t="str">
        <f t="shared" si="2"/>
        <v>Sale</v>
      </c>
      <c r="D4392" s="1">
        <v>22805.0</v>
      </c>
      <c r="E4392" s="1" t="str">
        <f>IFERROR(__xludf.DUMMYFUNCTION("IF(LEN(D4392)&gt;4, IFERROR(REGEXEXTRACT(TO_TEXT(D4392),""\d+""),""""),"""")"),"22805")</f>
        <v>22805</v>
      </c>
      <c r="F4392" s="6" t="str">
        <f t="shared" si="3"/>
        <v>Product</v>
      </c>
      <c r="G4392" s="1" t="s">
        <v>337</v>
      </c>
      <c r="H4392" s="6" t="str">
        <f>IFERROR(__xludf.DUMMYFUNCTION("IF(REGEXMATCH(LOWER(G4392), ""^(\?)+\s*(missing)?\s*(\?)*$""), """", PROPER(SUBSTITUTE(SUBSTITUTE(G4392, ""?"", """"), ""*"", """")))"),"Blue Drawer Knob Acrylic Edwardian")</f>
        <v>Blue Drawer Knob Acrylic Edwardian</v>
      </c>
      <c r="I4392" s="3">
        <v>1.0</v>
      </c>
      <c r="J4392" s="7">
        <v>40886.43263888889</v>
      </c>
      <c r="K4392" s="8" t="str">
        <f t="shared" si="4"/>
        <v>2011-12</v>
      </c>
      <c r="L4392" s="5">
        <v>3.29</v>
      </c>
      <c r="M4392" s="10"/>
      <c r="N4392" s="1" t="str">
        <f t="shared" si="5"/>
        <v>Guest</v>
      </c>
      <c r="O4392" s="1" t="s">
        <v>19</v>
      </c>
      <c r="P4392" s="9" t="str">
        <f t="shared" si="6"/>
        <v>UK</v>
      </c>
      <c r="Q4392" s="8">
        <f t="shared" si="7"/>
        <v>3.29</v>
      </c>
    </row>
    <row r="4393">
      <c r="A4393" s="1">
        <v>581497.0</v>
      </c>
      <c r="B4393" s="1" t="str">
        <f t="shared" si="1"/>
        <v>581497</v>
      </c>
      <c r="C4393" s="1" t="str">
        <f t="shared" si="2"/>
        <v>Sale</v>
      </c>
      <c r="D4393" s="1">
        <v>22835.0</v>
      </c>
      <c r="E4393" s="1" t="str">
        <f>IFERROR(__xludf.DUMMYFUNCTION("IF(LEN(D4393)&gt;4, IFERROR(REGEXEXTRACT(TO_TEXT(D4393),""\d+""),""""),"""")"),"22835")</f>
        <v>22835</v>
      </c>
      <c r="F4393" s="6" t="str">
        <f t="shared" si="3"/>
        <v>Product</v>
      </c>
      <c r="G4393" s="1" t="s">
        <v>267</v>
      </c>
      <c r="H4393" s="6" t="str">
        <f>IFERROR(__xludf.DUMMYFUNCTION("IF(REGEXMATCH(LOWER(G4393), ""^(\?)+\s*(missing)?\s*(\?)*$""), """", PROPER(SUBSTITUTE(SUBSTITUTE(G4393, ""?"", """"), ""*"", """")))"),"Hot Water Bottle I Am So Poorly")</f>
        <v>Hot Water Bottle I Am So Poorly</v>
      </c>
      <c r="I4393" s="3">
        <v>4.0</v>
      </c>
      <c r="J4393" s="7">
        <v>40886.43263888889</v>
      </c>
      <c r="K4393" s="8" t="str">
        <f t="shared" si="4"/>
        <v>2011-12</v>
      </c>
      <c r="L4393" s="5">
        <v>12.46</v>
      </c>
      <c r="M4393" s="10"/>
      <c r="N4393" s="1" t="str">
        <f t="shared" si="5"/>
        <v>Guest</v>
      </c>
      <c r="O4393" s="1" t="s">
        <v>19</v>
      </c>
      <c r="P4393" s="9" t="str">
        <f t="shared" si="6"/>
        <v>UK</v>
      </c>
      <c r="Q4393" s="8">
        <f t="shared" si="7"/>
        <v>49.84</v>
      </c>
    </row>
    <row r="4394">
      <c r="A4394" s="1">
        <v>581497.0</v>
      </c>
      <c r="B4394" s="1" t="str">
        <f t="shared" si="1"/>
        <v>581497</v>
      </c>
      <c r="C4394" s="1" t="str">
        <f t="shared" si="2"/>
        <v>Sale</v>
      </c>
      <c r="D4394" s="1">
        <v>22895.0</v>
      </c>
      <c r="E4394" s="1" t="str">
        <f>IFERROR(__xludf.DUMMYFUNCTION("IF(LEN(D4394)&gt;4, IFERROR(REGEXEXTRACT(TO_TEXT(D4394),""\d+""),""""),"""")"),"22895")</f>
        <v>22895</v>
      </c>
      <c r="F4394" s="6" t="str">
        <f t="shared" si="3"/>
        <v>Product</v>
      </c>
      <c r="G4394" s="1" t="s">
        <v>643</v>
      </c>
      <c r="H4394" s="6" t="str">
        <f>IFERROR(__xludf.DUMMYFUNCTION("IF(REGEXMATCH(LOWER(G4394), ""^(\?)+\s*(missing)?\s*(\?)*$""), """", PROPER(SUBSTITUTE(SUBSTITUTE(G4394, ""?"", """"), ""*"", """")))"),"Set Of 2 Tea Towels Apple And Pears")</f>
        <v>Set Of 2 Tea Towels Apple And Pears</v>
      </c>
      <c r="I4394" s="3">
        <v>1.0</v>
      </c>
      <c r="J4394" s="7">
        <v>40886.43263888889</v>
      </c>
      <c r="K4394" s="8" t="str">
        <f t="shared" si="4"/>
        <v>2011-12</v>
      </c>
      <c r="L4394" s="5">
        <v>6.63</v>
      </c>
      <c r="M4394" s="10"/>
      <c r="N4394" s="1" t="str">
        <f t="shared" si="5"/>
        <v>Guest</v>
      </c>
      <c r="O4394" s="1" t="s">
        <v>19</v>
      </c>
      <c r="P4394" s="9" t="str">
        <f t="shared" si="6"/>
        <v>UK</v>
      </c>
      <c r="Q4394" s="8">
        <f t="shared" si="7"/>
        <v>6.63</v>
      </c>
    </row>
    <row r="4395">
      <c r="A4395" s="1">
        <v>581497.0</v>
      </c>
      <c r="B4395" s="1" t="str">
        <f t="shared" si="1"/>
        <v>581497</v>
      </c>
      <c r="C4395" s="1" t="str">
        <f t="shared" si="2"/>
        <v>Sale</v>
      </c>
      <c r="D4395" s="1">
        <v>22896.0</v>
      </c>
      <c r="E4395" s="1" t="str">
        <f>IFERROR(__xludf.DUMMYFUNCTION("IF(LEN(D4395)&gt;4, IFERROR(REGEXEXTRACT(TO_TEXT(D4395),""\d+""),""""),"""")"),"22896")</f>
        <v>22896</v>
      </c>
      <c r="F4395" s="6" t="str">
        <f t="shared" si="3"/>
        <v>Product</v>
      </c>
      <c r="G4395" s="1" t="s">
        <v>822</v>
      </c>
      <c r="H4395" s="6" t="str">
        <f>IFERROR(__xludf.DUMMYFUNCTION("IF(REGEXMATCH(LOWER(G4395), ""^(\?)+\s*(missing)?\s*(\?)*$""), """", PROPER(SUBSTITUTE(SUBSTITUTE(G4395, ""?"", """"), ""*"", """")))"),"Peg Bag Apples Design")</f>
        <v>Peg Bag Apples Design</v>
      </c>
      <c r="I4395" s="3">
        <v>2.0</v>
      </c>
      <c r="J4395" s="7">
        <v>40886.43263888889</v>
      </c>
      <c r="K4395" s="8" t="str">
        <f t="shared" si="4"/>
        <v>2011-12</v>
      </c>
      <c r="L4395" s="5">
        <v>5.79</v>
      </c>
      <c r="M4395" s="10"/>
      <c r="N4395" s="1" t="str">
        <f t="shared" si="5"/>
        <v>Guest</v>
      </c>
      <c r="O4395" s="1" t="s">
        <v>19</v>
      </c>
      <c r="P4395" s="9" t="str">
        <f t="shared" si="6"/>
        <v>UK</v>
      </c>
      <c r="Q4395" s="8">
        <f t="shared" si="7"/>
        <v>11.58</v>
      </c>
    </row>
    <row r="4396">
      <c r="A4396" s="1">
        <v>581497.0</v>
      </c>
      <c r="B4396" s="1" t="str">
        <f t="shared" si="1"/>
        <v>581497</v>
      </c>
      <c r="C4396" s="1" t="str">
        <f t="shared" si="2"/>
        <v>Sale</v>
      </c>
      <c r="D4396" s="1">
        <v>22898.0</v>
      </c>
      <c r="E4396" s="1" t="str">
        <f>IFERROR(__xludf.DUMMYFUNCTION("IF(LEN(D4396)&gt;4, IFERROR(REGEXEXTRACT(TO_TEXT(D4396),""\d+""),""""),"""")"),"22898")</f>
        <v>22898</v>
      </c>
      <c r="F4396" s="6" t="str">
        <f t="shared" si="3"/>
        <v>Product</v>
      </c>
      <c r="G4396" s="1" t="s">
        <v>824</v>
      </c>
      <c r="H4396" s="6" t="str">
        <f>IFERROR(__xludf.DUMMYFUNCTION("IF(REGEXMATCH(LOWER(G4396), ""^(\?)+\s*(missing)?\s*(\?)*$""), """", PROPER(SUBSTITUTE(SUBSTITUTE(G4396, ""?"", """"), ""*"", """")))"),"Childrens Apron Apples Design")</f>
        <v>Childrens Apron Apples Design</v>
      </c>
      <c r="I4396" s="3">
        <v>2.0</v>
      </c>
      <c r="J4396" s="7">
        <v>40886.43263888889</v>
      </c>
      <c r="K4396" s="8" t="str">
        <f t="shared" si="4"/>
        <v>2011-12</v>
      </c>
      <c r="L4396" s="5">
        <v>4.96</v>
      </c>
      <c r="M4396" s="10"/>
      <c r="N4396" s="1" t="str">
        <f t="shared" si="5"/>
        <v>Guest</v>
      </c>
      <c r="O4396" s="1" t="s">
        <v>19</v>
      </c>
      <c r="P4396" s="9" t="str">
        <f t="shared" si="6"/>
        <v>UK</v>
      </c>
      <c r="Q4396" s="8">
        <f t="shared" si="7"/>
        <v>9.92</v>
      </c>
    </row>
    <row r="4397">
      <c r="A4397" s="1">
        <v>581497.0</v>
      </c>
      <c r="B4397" s="1" t="str">
        <f t="shared" si="1"/>
        <v>581497</v>
      </c>
      <c r="C4397" s="1" t="str">
        <f t="shared" si="2"/>
        <v>Sale</v>
      </c>
      <c r="D4397" s="1">
        <v>22943.0</v>
      </c>
      <c r="E4397" s="1" t="str">
        <f>IFERROR(__xludf.DUMMYFUNCTION("IF(LEN(D4397)&gt;4, IFERROR(REGEXEXTRACT(TO_TEXT(D4397),""\d+""),""""),"""")"),"22943")</f>
        <v>22943</v>
      </c>
      <c r="F4397" s="6" t="str">
        <f t="shared" si="3"/>
        <v>Product</v>
      </c>
      <c r="G4397" s="1" t="s">
        <v>1959</v>
      </c>
      <c r="H4397" s="6" t="str">
        <f>IFERROR(__xludf.DUMMYFUNCTION("IF(REGEXMATCH(LOWER(G4397), ""^(\?)+\s*(missing)?\s*(\?)*$""), """", PROPER(SUBSTITUTE(SUBSTITUTE(G4397, ""?"", """"), ""*"", """")))"),"Christmas Lights 10 Vintage Baubles")</f>
        <v>Christmas Lights 10 Vintage Baubles</v>
      </c>
      <c r="I4397" s="3">
        <v>1.0</v>
      </c>
      <c r="J4397" s="7">
        <v>40886.43263888889</v>
      </c>
      <c r="K4397" s="8" t="str">
        <f t="shared" si="4"/>
        <v>2011-12</v>
      </c>
      <c r="L4397" s="5">
        <v>10.79</v>
      </c>
      <c r="M4397" s="10"/>
      <c r="N4397" s="1" t="str">
        <f t="shared" si="5"/>
        <v>Guest</v>
      </c>
      <c r="O4397" s="1" t="s">
        <v>19</v>
      </c>
      <c r="P4397" s="9" t="str">
        <f t="shared" si="6"/>
        <v>UK</v>
      </c>
      <c r="Q4397" s="8">
        <f t="shared" si="7"/>
        <v>10.79</v>
      </c>
    </row>
    <row r="4398">
      <c r="A4398" s="1">
        <v>581497.0</v>
      </c>
      <c r="B4398" s="1" t="str">
        <f t="shared" si="1"/>
        <v>581497</v>
      </c>
      <c r="C4398" s="1" t="str">
        <f t="shared" si="2"/>
        <v>Sale</v>
      </c>
      <c r="D4398" s="1">
        <v>23084.0</v>
      </c>
      <c r="E4398" s="1" t="str">
        <f>IFERROR(__xludf.DUMMYFUNCTION("IF(LEN(D4398)&gt;4, IFERROR(REGEXEXTRACT(TO_TEXT(D4398),""\d+""),""""),"""")"),"23084")</f>
        <v>23084</v>
      </c>
      <c r="F4398" s="6" t="str">
        <f t="shared" si="3"/>
        <v>Product</v>
      </c>
      <c r="G4398" s="1" t="s">
        <v>1473</v>
      </c>
      <c r="H4398" s="6" t="str">
        <f>IFERROR(__xludf.DUMMYFUNCTION("IF(REGEXMATCH(LOWER(G4398), ""^(\?)+\s*(missing)?\s*(\?)*$""), """", PROPER(SUBSTITUTE(SUBSTITUTE(G4398, ""?"", """"), ""*"", """")))"),"Rabbit Night Light")</f>
        <v>Rabbit Night Light</v>
      </c>
      <c r="I4398" s="3">
        <v>37.0</v>
      </c>
      <c r="J4398" s="7">
        <v>40886.43263888889</v>
      </c>
      <c r="K4398" s="8" t="str">
        <f t="shared" si="4"/>
        <v>2011-12</v>
      </c>
      <c r="L4398" s="5">
        <v>4.96</v>
      </c>
      <c r="M4398" s="10"/>
      <c r="N4398" s="1" t="str">
        <f t="shared" si="5"/>
        <v>Guest</v>
      </c>
      <c r="O4398" s="1" t="s">
        <v>19</v>
      </c>
      <c r="P4398" s="9" t="str">
        <f t="shared" si="6"/>
        <v>UK</v>
      </c>
      <c r="Q4398" s="8">
        <f t="shared" si="7"/>
        <v>183.52</v>
      </c>
    </row>
    <row r="4399">
      <c r="A4399" s="1">
        <v>581497.0</v>
      </c>
      <c r="B4399" s="1" t="str">
        <f t="shared" si="1"/>
        <v>581497</v>
      </c>
      <c r="C4399" s="1" t="str">
        <f t="shared" si="2"/>
        <v>Sale</v>
      </c>
      <c r="D4399" s="1">
        <v>23168.0</v>
      </c>
      <c r="E4399" s="1" t="str">
        <f>IFERROR(__xludf.DUMMYFUNCTION("IF(LEN(D4399)&gt;4, IFERROR(REGEXEXTRACT(TO_TEXT(D4399),""\d+""),""""),"""")"),"23168")</f>
        <v>23168</v>
      </c>
      <c r="F4399" s="6" t="str">
        <f t="shared" si="3"/>
        <v>Product</v>
      </c>
      <c r="G4399" s="1" t="s">
        <v>1594</v>
      </c>
      <c r="H4399" s="6" t="str">
        <f>IFERROR(__xludf.DUMMYFUNCTION("IF(REGEXMATCH(LOWER(G4399), ""^(\?)+\s*(missing)?\s*(\?)*$""), """", PROPER(SUBSTITUTE(SUBSTITUTE(G4399, ""?"", """"), ""*"", """")))"),"Classic Cafe Sugar Dispenser")</f>
        <v>Classic Cafe Sugar Dispenser</v>
      </c>
      <c r="I4399" s="3">
        <v>1.0</v>
      </c>
      <c r="J4399" s="7">
        <v>40886.43263888889</v>
      </c>
      <c r="K4399" s="8" t="str">
        <f t="shared" si="4"/>
        <v>2011-12</v>
      </c>
      <c r="L4399" s="5">
        <v>6.54</v>
      </c>
      <c r="M4399" s="10"/>
      <c r="N4399" s="1" t="str">
        <f t="shared" si="5"/>
        <v>Guest</v>
      </c>
      <c r="O4399" s="1" t="s">
        <v>19</v>
      </c>
      <c r="P4399" s="9" t="str">
        <f t="shared" si="6"/>
        <v>UK</v>
      </c>
      <c r="Q4399" s="8">
        <f t="shared" si="7"/>
        <v>6.54</v>
      </c>
    </row>
    <row r="4400">
      <c r="A4400" s="1">
        <v>581497.0</v>
      </c>
      <c r="B4400" s="1" t="str">
        <f t="shared" si="1"/>
        <v>581497</v>
      </c>
      <c r="C4400" s="1" t="str">
        <f t="shared" si="2"/>
        <v>Sale</v>
      </c>
      <c r="D4400" s="1">
        <v>23204.0</v>
      </c>
      <c r="E4400" s="1" t="str">
        <f>IFERROR(__xludf.DUMMYFUNCTION("IF(LEN(D4400)&gt;4, IFERROR(REGEXEXTRACT(TO_TEXT(D4400),""\d+""),""""),"""")"),"23204")</f>
        <v>23204</v>
      </c>
      <c r="F4400" s="6" t="str">
        <f t="shared" si="3"/>
        <v>Product</v>
      </c>
      <c r="G4400" s="1" t="s">
        <v>1997</v>
      </c>
      <c r="H4400" s="6" t="str">
        <f>IFERROR(__xludf.DUMMYFUNCTION("IF(REGEXMATCH(LOWER(G4400), ""^(\?)+\s*(missing)?\s*(\?)*$""), """", PROPER(SUBSTITUTE(SUBSTITUTE(G4400, ""?"", """"), ""*"", """")))"),"Charlotte Bag Apples Design")</f>
        <v>Charlotte Bag Apples Design</v>
      </c>
      <c r="I4400" s="3">
        <v>13.0</v>
      </c>
      <c r="J4400" s="7">
        <v>40886.43263888889</v>
      </c>
      <c r="K4400" s="8" t="str">
        <f t="shared" si="4"/>
        <v>2011-12</v>
      </c>
      <c r="L4400" s="5">
        <v>2.46</v>
      </c>
      <c r="M4400" s="10"/>
      <c r="N4400" s="1" t="str">
        <f t="shared" si="5"/>
        <v>Guest</v>
      </c>
      <c r="O4400" s="1" t="s">
        <v>19</v>
      </c>
      <c r="P4400" s="9" t="str">
        <f t="shared" si="6"/>
        <v>UK</v>
      </c>
      <c r="Q4400" s="8">
        <f t="shared" si="7"/>
        <v>31.98</v>
      </c>
    </row>
    <row r="4401">
      <c r="A4401" s="1">
        <v>581497.0</v>
      </c>
      <c r="B4401" s="1" t="str">
        <f t="shared" si="1"/>
        <v>581497</v>
      </c>
      <c r="C4401" s="1" t="str">
        <f t="shared" si="2"/>
        <v>Sale</v>
      </c>
      <c r="D4401" s="1">
        <v>23205.0</v>
      </c>
      <c r="E4401" s="1" t="str">
        <f>IFERROR(__xludf.DUMMYFUNCTION("IF(LEN(D4401)&gt;4, IFERROR(REGEXEXTRACT(TO_TEXT(D4401),""\d+""),""""),"""")"),"23205")</f>
        <v>23205</v>
      </c>
      <c r="F4401" s="6" t="str">
        <f t="shared" si="3"/>
        <v>Product</v>
      </c>
      <c r="G4401" s="1" t="s">
        <v>1998</v>
      </c>
      <c r="H4401" s="6" t="str">
        <f>IFERROR(__xludf.DUMMYFUNCTION("IF(REGEXMATCH(LOWER(G4401), ""^(\?)+\s*(missing)?\s*(\?)*$""), """", PROPER(SUBSTITUTE(SUBSTITUTE(G4401, ""?"", """"), ""*"", """")))"),"Charlotte Bag Vintage Alphabet")</f>
        <v>Charlotte Bag Vintage Alphabet</v>
      </c>
      <c r="I4401" s="3">
        <v>8.0</v>
      </c>
      <c r="J4401" s="7">
        <v>40886.43263888889</v>
      </c>
      <c r="K4401" s="8" t="str">
        <f t="shared" si="4"/>
        <v>2011-12</v>
      </c>
      <c r="L4401" s="5">
        <v>2.46</v>
      </c>
      <c r="M4401" s="10"/>
      <c r="N4401" s="1" t="str">
        <f t="shared" si="5"/>
        <v>Guest</v>
      </c>
      <c r="O4401" s="1" t="s">
        <v>19</v>
      </c>
      <c r="P4401" s="9" t="str">
        <f t="shared" si="6"/>
        <v>UK</v>
      </c>
      <c r="Q4401" s="8">
        <f t="shared" si="7"/>
        <v>19.68</v>
      </c>
    </row>
    <row r="4402">
      <c r="A4402" s="1">
        <v>581497.0</v>
      </c>
      <c r="B4402" s="1" t="str">
        <f t="shared" si="1"/>
        <v>581497</v>
      </c>
      <c r="C4402" s="1" t="str">
        <f t="shared" si="2"/>
        <v>Sale</v>
      </c>
      <c r="D4402" s="1">
        <v>23206.0</v>
      </c>
      <c r="E4402" s="1" t="str">
        <f>IFERROR(__xludf.DUMMYFUNCTION("IF(LEN(D4402)&gt;4, IFERROR(REGEXEXTRACT(TO_TEXT(D4402),""\d+""),""""),"""")"),"23206")</f>
        <v>23206</v>
      </c>
      <c r="F4402" s="6" t="str">
        <f t="shared" si="3"/>
        <v>Product</v>
      </c>
      <c r="G4402" s="1" t="s">
        <v>1420</v>
      </c>
      <c r="H4402" s="6" t="str">
        <f>IFERROR(__xludf.DUMMYFUNCTION("IF(REGEXMATCH(LOWER(G4402), ""^(\?)+\s*(missing)?\s*(\?)*$""), """", PROPER(SUBSTITUTE(SUBSTITUTE(G4402, ""?"", """"), ""*"", """")))"),"Lunch Bag Apple Design")</f>
        <v>Lunch Bag Apple Design</v>
      </c>
      <c r="I4402" s="3">
        <v>3.0</v>
      </c>
      <c r="J4402" s="7">
        <v>40886.43263888889</v>
      </c>
      <c r="K4402" s="8" t="str">
        <f t="shared" si="4"/>
        <v>2011-12</v>
      </c>
      <c r="L4402" s="5">
        <v>4.96</v>
      </c>
      <c r="M4402" s="10"/>
      <c r="N4402" s="1" t="str">
        <f t="shared" si="5"/>
        <v>Guest</v>
      </c>
      <c r="O4402" s="1" t="s">
        <v>19</v>
      </c>
      <c r="P4402" s="9" t="str">
        <f t="shared" si="6"/>
        <v>UK</v>
      </c>
      <c r="Q4402" s="8">
        <f t="shared" si="7"/>
        <v>14.88</v>
      </c>
    </row>
    <row r="4403">
      <c r="A4403" s="1">
        <v>581497.0</v>
      </c>
      <c r="B4403" s="1" t="str">
        <f t="shared" si="1"/>
        <v>581497</v>
      </c>
      <c r="C4403" s="1" t="str">
        <f t="shared" si="2"/>
        <v>Sale</v>
      </c>
      <c r="D4403" s="1">
        <v>23206.0</v>
      </c>
      <c r="E4403" s="1" t="str">
        <f>IFERROR(__xludf.DUMMYFUNCTION("IF(LEN(D4403)&gt;4, IFERROR(REGEXEXTRACT(TO_TEXT(D4403),""\d+""),""""),"""")"),"23206")</f>
        <v>23206</v>
      </c>
      <c r="F4403" s="6" t="str">
        <f t="shared" si="3"/>
        <v>Product</v>
      </c>
      <c r="G4403" s="1" t="s">
        <v>1420</v>
      </c>
      <c r="H4403" s="6" t="str">
        <f>IFERROR(__xludf.DUMMYFUNCTION("IF(REGEXMATCH(LOWER(G4403), ""^(\?)+\s*(missing)?\s*(\?)*$""), """", PROPER(SUBSTITUTE(SUBSTITUTE(G4403, ""?"", """"), ""*"", """")))"),"Lunch Bag Apple Design")</f>
        <v>Lunch Bag Apple Design</v>
      </c>
      <c r="I4403" s="3">
        <v>1.0</v>
      </c>
      <c r="J4403" s="7">
        <v>40886.43263888889</v>
      </c>
      <c r="K4403" s="8" t="str">
        <f t="shared" si="4"/>
        <v>2011-12</v>
      </c>
      <c r="L4403" s="5">
        <v>8.33</v>
      </c>
      <c r="M4403" s="10"/>
      <c r="N4403" s="1" t="str">
        <f t="shared" si="5"/>
        <v>Guest</v>
      </c>
      <c r="O4403" s="1" t="s">
        <v>19</v>
      </c>
      <c r="P4403" s="9" t="str">
        <f t="shared" si="6"/>
        <v>UK</v>
      </c>
      <c r="Q4403" s="8">
        <f t="shared" si="7"/>
        <v>8.33</v>
      </c>
    </row>
    <row r="4404">
      <c r="A4404" s="1">
        <v>581497.0</v>
      </c>
      <c r="B4404" s="1" t="str">
        <f t="shared" si="1"/>
        <v>581497</v>
      </c>
      <c r="C4404" s="1" t="str">
        <f t="shared" si="2"/>
        <v>Sale</v>
      </c>
      <c r="D4404" s="1">
        <v>23207.0</v>
      </c>
      <c r="E4404" s="1" t="str">
        <f>IFERROR(__xludf.DUMMYFUNCTION("IF(LEN(D4404)&gt;4, IFERROR(REGEXEXTRACT(TO_TEXT(D4404),""\d+""),""""),"""")"),"23207")</f>
        <v>23207</v>
      </c>
      <c r="F4404" s="6" t="str">
        <f t="shared" si="3"/>
        <v>Product</v>
      </c>
      <c r="G4404" s="1" t="s">
        <v>1564</v>
      </c>
      <c r="H4404" s="6" t="str">
        <f>IFERROR(__xludf.DUMMYFUNCTION("IF(REGEXMATCH(LOWER(G4404), ""^(\?)+\s*(missing)?\s*(\?)*$""), """", PROPER(SUBSTITUTE(SUBSTITUTE(G4404, ""?"", """"), ""*"", """")))"),"Lunch Bag Alphabet Design")</f>
        <v>Lunch Bag Alphabet Design</v>
      </c>
      <c r="I4404" s="3">
        <v>1.0</v>
      </c>
      <c r="J4404" s="7">
        <v>40886.43263888889</v>
      </c>
      <c r="K4404" s="8" t="str">
        <f t="shared" si="4"/>
        <v>2011-12</v>
      </c>
      <c r="L4404" s="5">
        <v>4.96</v>
      </c>
      <c r="M4404" s="10"/>
      <c r="N4404" s="1" t="str">
        <f t="shared" si="5"/>
        <v>Guest</v>
      </c>
      <c r="O4404" s="1" t="s">
        <v>19</v>
      </c>
      <c r="P4404" s="9" t="str">
        <f t="shared" si="6"/>
        <v>UK</v>
      </c>
      <c r="Q4404" s="8">
        <f t="shared" si="7"/>
        <v>4.96</v>
      </c>
    </row>
    <row r="4405">
      <c r="A4405" s="1">
        <v>581497.0</v>
      </c>
      <c r="B4405" s="1" t="str">
        <f t="shared" si="1"/>
        <v>581497</v>
      </c>
      <c r="C4405" s="1" t="str">
        <f t="shared" si="2"/>
        <v>Sale</v>
      </c>
      <c r="D4405" s="1">
        <v>23208.0</v>
      </c>
      <c r="E4405" s="1" t="str">
        <f>IFERROR(__xludf.DUMMYFUNCTION("IF(LEN(D4405)&gt;4, IFERROR(REGEXEXTRACT(TO_TEXT(D4405),""\d+""),""""),"""")"),"23208")</f>
        <v>23208</v>
      </c>
      <c r="F4405" s="6" t="str">
        <f t="shared" si="3"/>
        <v>Product</v>
      </c>
      <c r="G4405" s="1" t="s">
        <v>1999</v>
      </c>
      <c r="H4405" s="6" t="str">
        <f>IFERROR(__xludf.DUMMYFUNCTION("IF(REGEXMATCH(LOWER(G4405), ""^(\?)+\s*(missing)?\s*(\?)*$""), """", PROPER(SUBSTITUTE(SUBSTITUTE(G4405, ""?"", """"), ""*"", """")))"),"Lunch Bag Vintage Leaf Design")</f>
        <v>Lunch Bag Vintage Leaf Design</v>
      </c>
      <c r="I4405" s="3">
        <v>3.0</v>
      </c>
      <c r="J4405" s="7">
        <v>40886.43263888889</v>
      </c>
      <c r="K4405" s="8" t="str">
        <f t="shared" si="4"/>
        <v>2011-12</v>
      </c>
      <c r="L4405" s="5">
        <v>4.96</v>
      </c>
      <c r="M4405" s="10"/>
      <c r="N4405" s="1" t="str">
        <f t="shared" si="5"/>
        <v>Guest</v>
      </c>
      <c r="O4405" s="1" t="s">
        <v>19</v>
      </c>
      <c r="P4405" s="9" t="str">
        <f t="shared" si="6"/>
        <v>UK</v>
      </c>
      <c r="Q4405" s="8">
        <f t="shared" si="7"/>
        <v>14.88</v>
      </c>
    </row>
    <row r="4406">
      <c r="A4406" s="1">
        <v>581497.0</v>
      </c>
      <c r="B4406" s="1" t="str">
        <f t="shared" si="1"/>
        <v>581497</v>
      </c>
      <c r="C4406" s="1" t="str">
        <f t="shared" si="2"/>
        <v>Sale</v>
      </c>
      <c r="D4406" s="1">
        <v>23301.0</v>
      </c>
      <c r="E4406" s="1" t="str">
        <f>IFERROR(__xludf.DUMMYFUNCTION("IF(LEN(D4406)&gt;4, IFERROR(REGEXEXTRACT(TO_TEXT(D4406),""\d+""),""""),"""")"),"23301")</f>
        <v>23301</v>
      </c>
      <c r="F4406" s="6" t="str">
        <f t="shared" si="3"/>
        <v>Product</v>
      </c>
      <c r="G4406" s="1" t="s">
        <v>1542</v>
      </c>
      <c r="H4406" s="6" t="str">
        <f>IFERROR(__xludf.DUMMYFUNCTION("IF(REGEXMATCH(LOWER(G4406), ""^(\?)+\s*(missing)?\s*(\?)*$""), """", PROPER(SUBSTITUTE(SUBSTITUTE(G4406, ""?"", """"), ""*"", """")))"),"Gardeners Kneeling Pad Keep Calm")</f>
        <v>Gardeners Kneeling Pad Keep Calm</v>
      </c>
      <c r="I4406" s="3">
        <v>1.0</v>
      </c>
      <c r="J4406" s="7">
        <v>40886.43263888889</v>
      </c>
      <c r="K4406" s="8" t="str">
        <f t="shared" si="4"/>
        <v>2011-12</v>
      </c>
      <c r="L4406" s="5">
        <v>4.13</v>
      </c>
      <c r="M4406" s="10"/>
      <c r="N4406" s="1" t="str">
        <f t="shared" si="5"/>
        <v>Guest</v>
      </c>
      <c r="O4406" s="1" t="s">
        <v>19</v>
      </c>
      <c r="P4406" s="9" t="str">
        <f t="shared" si="6"/>
        <v>UK</v>
      </c>
      <c r="Q4406" s="8">
        <f t="shared" si="7"/>
        <v>4.13</v>
      </c>
    </row>
    <row r="4407">
      <c r="A4407" s="1">
        <v>581497.0</v>
      </c>
      <c r="B4407" s="1" t="str">
        <f t="shared" si="1"/>
        <v>581497</v>
      </c>
      <c r="C4407" s="1" t="str">
        <f t="shared" si="2"/>
        <v>Sale</v>
      </c>
      <c r="D4407" s="1">
        <v>23355.0</v>
      </c>
      <c r="E4407" s="1" t="str">
        <f>IFERROR(__xludf.DUMMYFUNCTION("IF(LEN(D4407)&gt;4, IFERROR(REGEXEXTRACT(TO_TEXT(D4407),""\d+""),""""),"""")"),"23355")</f>
        <v>23355</v>
      </c>
      <c r="F4407" s="6" t="str">
        <f t="shared" si="3"/>
        <v>Product</v>
      </c>
      <c r="G4407" s="1" t="s">
        <v>1625</v>
      </c>
      <c r="H4407" s="6" t="str">
        <f>IFERROR(__xludf.DUMMYFUNCTION("IF(REGEXMATCH(LOWER(G4407), ""^(\?)+\s*(missing)?\s*(\?)*$""), """", PROPER(SUBSTITUTE(SUBSTITUTE(G4407, ""?"", """"), ""*"", """")))"),"Hot Water Bottle Keep Calm")</f>
        <v>Hot Water Bottle Keep Calm</v>
      </c>
      <c r="I4407" s="3">
        <v>36.0</v>
      </c>
      <c r="J4407" s="7">
        <v>40886.43263888889</v>
      </c>
      <c r="K4407" s="8" t="str">
        <f t="shared" si="4"/>
        <v>2011-12</v>
      </c>
      <c r="L4407" s="5">
        <v>8.29</v>
      </c>
      <c r="M4407" s="10"/>
      <c r="N4407" s="1" t="str">
        <f t="shared" si="5"/>
        <v>Guest</v>
      </c>
      <c r="O4407" s="1" t="s">
        <v>19</v>
      </c>
      <c r="P4407" s="9" t="str">
        <f t="shared" si="6"/>
        <v>UK</v>
      </c>
      <c r="Q4407" s="8">
        <f t="shared" si="7"/>
        <v>298.44</v>
      </c>
    </row>
    <row r="4408">
      <c r="A4408" s="1">
        <v>581497.0</v>
      </c>
      <c r="B4408" s="1" t="str">
        <f t="shared" si="1"/>
        <v>581497</v>
      </c>
      <c r="C4408" s="1" t="str">
        <f t="shared" si="2"/>
        <v>Sale</v>
      </c>
      <c r="D4408" s="1">
        <v>23356.0</v>
      </c>
      <c r="E4408" s="1" t="str">
        <f>IFERROR(__xludf.DUMMYFUNCTION("IF(LEN(D4408)&gt;4, IFERROR(REGEXEXTRACT(TO_TEXT(D4408),""\d+""),""""),"""")"),"23356")</f>
        <v>23356</v>
      </c>
      <c r="F4408" s="6" t="str">
        <f t="shared" si="3"/>
        <v>Product</v>
      </c>
      <c r="G4408" s="1" t="s">
        <v>1437</v>
      </c>
      <c r="H4408" s="6" t="str">
        <f>IFERROR(__xludf.DUMMYFUNCTION("IF(REGEXMATCH(LOWER(G4408), ""^(\?)+\s*(missing)?\s*(\?)*$""), """", PROPER(SUBSTITUTE(SUBSTITUTE(G4408, ""?"", """"), ""*"", """")))"),"Love Hot Water Bottle")</f>
        <v>Love Hot Water Bottle</v>
      </c>
      <c r="I4408" s="3">
        <v>1.0</v>
      </c>
      <c r="J4408" s="7">
        <v>40886.43263888889</v>
      </c>
      <c r="K4408" s="8" t="str">
        <f t="shared" si="4"/>
        <v>2011-12</v>
      </c>
      <c r="L4408" s="5">
        <v>12.46</v>
      </c>
      <c r="M4408" s="10"/>
      <c r="N4408" s="1" t="str">
        <f t="shared" si="5"/>
        <v>Guest</v>
      </c>
      <c r="O4408" s="1" t="s">
        <v>19</v>
      </c>
      <c r="P4408" s="9" t="str">
        <f t="shared" si="6"/>
        <v>UK</v>
      </c>
      <c r="Q4408" s="8">
        <f t="shared" si="7"/>
        <v>12.46</v>
      </c>
    </row>
    <row r="4409">
      <c r="A4409" s="1">
        <v>581497.0</v>
      </c>
      <c r="B4409" s="1" t="str">
        <f t="shared" si="1"/>
        <v>581497</v>
      </c>
      <c r="C4409" s="1" t="str">
        <f t="shared" si="2"/>
        <v>Sale</v>
      </c>
      <c r="D4409" s="1">
        <v>23357.0</v>
      </c>
      <c r="E4409" s="1" t="str">
        <f>IFERROR(__xludf.DUMMYFUNCTION("IF(LEN(D4409)&gt;4, IFERROR(REGEXEXTRACT(TO_TEXT(D4409),""\d+""),""""),"""")"),"23357")</f>
        <v>23357</v>
      </c>
      <c r="F4409" s="6" t="str">
        <f t="shared" si="3"/>
        <v>Product</v>
      </c>
      <c r="G4409" s="1" t="s">
        <v>1489</v>
      </c>
      <c r="H4409" s="6" t="str">
        <f>IFERROR(__xludf.DUMMYFUNCTION("IF(REGEXMATCH(LOWER(G4409), ""^(\?)+\s*(missing)?\s*(\?)*$""), """", PROPER(SUBSTITUTE(SUBSTITUTE(G4409, ""?"", """"), ""*"", """")))"),"Hot Water Bottle Sex Bomb")</f>
        <v>Hot Water Bottle Sex Bomb</v>
      </c>
      <c r="I4409" s="3">
        <v>2.0</v>
      </c>
      <c r="J4409" s="7">
        <v>40886.43263888889</v>
      </c>
      <c r="K4409" s="8" t="str">
        <f t="shared" si="4"/>
        <v>2011-12</v>
      </c>
      <c r="L4409" s="5">
        <v>5.79</v>
      </c>
      <c r="M4409" s="10"/>
      <c r="N4409" s="1" t="str">
        <f t="shared" si="5"/>
        <v>Guest</v>
      </c>
      <c r="O4409" s="1" t="s">
        <v>19</v>
      </c>
      <c r="P4409" s="9" t="str">
        <f t="shared" si="6"/>
        <v>UK</v>
      </c>
      <c r="Q4409" s="8">
        <f t="shared" si="7"/>
        <v>11.58</v>
      </c>
    </row>
    <row r="4410">
      <c r="A4410" s="1">
        <v>581497.0</v>
      </c>
      <c r="B4410" s="1" t="str">
        <f t="shared" si="1"/>
        <v>581497</v>
      </c>
      <c r="C4410" s="1" t="str">
        <f t="shared" si="2"/>
        <v>Sale</v>
      </c>
      <c r="D4410" s="1">
        <v>23358.0</v>
      </c>
      <c r="E4410" s="1" t="str">
        <f>IFERROR(__xludf.DUMMYFUNCTION("IF(LEN(D4410)&gt;4, IFERROR(REGEXEXTRACT(TO_TEXT(D4410),""\d+""),""""),"""")"),"23358")</f>
        <v>23358</v>
      </c>
      <c r="F4410" s="6" t="str">
        <f t="shared" si="3"/>
        <v>Product</v>
      </c>
      <c r="G4410" s="1" t="s">
        <v>1490</v>
      </c>
      <c r="H4410" s="6" t="str">
        <f>IFERROR(__xludf.DUMMYFUNCTION("IF(REGEXMATCH(LOWER(G4410), ""^(\?)+\s*(missing)?\s*(\?)*$""), """", PROPER(SUBSTITUTE(SUBSTITUTE(G4410, ""?"", """"), ""*"", """")))"),"Hot Stuff Hot Water Bottle")</f>
        <v>Hot Stuff Hot Water Bottle</v>
      </c>
      <c r="I4410" s="3">
        <v>2.0</v>
      </c>
      <c r="J4410" s="7">
        <v>40886.43263888889</v>
      </c>
      <c r="K4410" s="8" t="str">
        <f t="shared" si="4"/>
        <v>2011-12</v>
      </c>
      <c r="L4410" s="5">
        <v>5.79</v>
      </c>
      <c r="M4410" s="10"/>
      <c r="N4410" s="1" t="str">
        <f t="shared" si="5"/>
        <v>Guest</v>
      </c>
      <c r="O4410" s="1" t="s">
        <v>19</v>
      </c>
      <c r="P4410" s="9" t="str">
        <f t="shared" si="6"/>
        <v>UK</v>
      </c>
      <c r="Q4410" s="8">
        <f t="shared" si="7"/>
        <v>11.58</v>
      </c>
    </row>
    <row r="4411">
      <c r="A4411" s="1">
        <v>581497.0</v>
      </c>
      <c r="B4411" s="1" t="str">
        <f t="shared" si="1"/>
        <v>581497</v>
      </c>
      <c r="C4411" s="1" t="str">
        <f t="shared" si="2"/>
        <v>Sale</v>
      </c>
      <c r="D4411" s="1">
        <v>35970.0</v>
      </c>
      <c r="E4411" s="1" t="str">
        <f>IFERROR(__xludf.DUMMYFUNCTION("IF(LEN(D4411)&gt;4, IFERROR(REGEXEXTRACT(TO_TEXT(D4411),""\d+""),""""),"""")"),"35970")</f>
        <v>35970</v>
      </c>
      <c r="F4411" s="6" t="str">
        <f t="shared" si="3"/>
        <v>Product</v>
      </c>
      <c r="G4411" s="1" t="s">
        <v>1702</v>
      </c>
      <c r="H4411" s="6" t="str">
        <f>IFERROR(__xludf.DUMMYFUNCTION("IF(REGEXMATCH(LOWER(G4411), ""^(\?)+\s*(missing)?\s*(\?)*$""), """", PROPER(SUBSTITUTE(SUBSTITUTE(G4411, ""?"", """"), ""*"", """")))"),"Zinc Folkart Sleigh Bells")</f>
        <v>Zinc Folkart Sleigh Bells</v>
      </c>
      <c r="I4411" s="3">
        <v>2.0</v>
      </c>
      <c r="J4411" s="7">
        <v>40886.43263888889</v>
      </c>
      <c r="K4411" s="8" t="str">
        <f t="shared" si="4"/>
        <v>2011-12</v>
      </c>
      <c r="L4411" s="5">
        <v>4.13</v>
      </c>
      <c r="M4411" s="10"/>
      <c r="N4411" s="1" t="str">
        <f t="shared" si="5"/>
        <v>Guest</v>
      </c>
      <c r="O4411" s="1" t="s">
        <v>19</v>
      </c>
      <c r="P4411" s="9" t="str">
        <f t="shared" si="6"/>
        <v>UK</v>
      </c>
      <c r="Q4411" s="8">
        <f t="shared" si="7"/>
        <v>8.26</v>
      </c>
    </row>
    <row r="4412">
      <c r="A4412" s="1">
        <v>581497.0</v>
      </c>
      <c r="B4412" s="1" t="str">
        <f t="shared" si="1"/>
        <v>581497</v>
      </c>
      <c r="C4412" s="1" t="str">
        <f t="shared" si="2"/>
        <v>Sale</v>
      </c>
      <c r="D4412" s="1">
        <v>47566.0</v>
      </c>
      <c r="E4412" s="1" t="str">
        <f>IFERROR(__xludf.DUMMYFUNCTION("IF(LEN(D4412)&gt;4, IFERROR(REGEXEXTRACT(TO_TEXT(D4412),""\d+""),""""),"""")"),"47566")</f>
        <v>47566</v>
      </c>
      <c r="F4412" s="6" t="str">
        <f t="shared" si="3"/>
        <v>Product</v>
      </c>
      <c r="G4412" s="1" t="s">
        <v>1002</v>
      </c>
      <c r="H4412" s="6" t="str">
        <f>IFERROR(__xludf.DUMMYFUNCTION("IF(REGEXMATCH(LOWER(G4412), ""^(\?)+\s*(missing)?\s*(\?)*$""), """", PROPER(SUBSTITUTE(SUBSTITUTE(G4412, ""?"", """"), ""*"", """")))"),"Party Bunting")</f>
        <v>Party Bunting</v>
      </c>
      <c r="I4412" s="3">
        <v>5.0</v>
      </c>
      <c r="J4412" s="7">
        <v>40886.43263888889</v>
      </c>
      <c r="K4412" s="8" t="str">
        <f t="shared" si="4"/>
        <v>2011-12</v>
      </c>
      <c r="L4412" s="5">
        <v>10.79</v>
      </c>
      <c r="M4412" s="10"/>
      <c r="N4412" s="1" t="str">
        <f t="shared" si="5"/>
        <v>Guest</v>
      </c>
      <c r="O4412" s="1" t="s">
        <v>19</v>
      </c>
      <c r="P4412" s="9" t="str">
        <f t="shared" si="6"/>
        <v>UK</v>
      </c>
      <c r="Q4412" s="8">
        <f t="shared" si="7"/>
        <v>53.95</v>
      </c>
    </row>
    <row r="4413">
      <c r="A4413" s="1">
        <v>581497.0</v>
      </c>
      <c r="B4413" s="1" t="str">
        <f t="shared" si="1"/>
        <v>581497</v>
      </c>
      <c r="C4413" s="1" t="str">
        <f t="shared" si="2"/>
        <v>Sale</v>
      </c>
      <c r="D4413" s="1">
        <v>82583.0</v>
      </c>
      <c r="E4413" s="1" t="str">
        <f>IFERROR(__xludf.DUMMYFUNCTION("IF(LEN(D4413)&gt;4, IFERROR(REGEXEXTRACT(TO_TEXT(D4413),""\d+""),""""),"""")"),"82583")</f>
        <v>82583</v>
      </c>
      <c r="F4413" s="6" t="str">
        <f t="shared" si="3"/>
        <v>Product</v>
      </c>
      <c r="G4413" s="1" t="s">
        <v>2062</v>
      </c>
      <c r="H4413" s="6" t="str">
        <f>IFERROR(__xludf.DUMMYFUNCTION("IF(REGEXMATCH(LOWER(G4413), ""^(\?)+\s*(missing)?\s*(\?)*$""), """", PROPER(SUBSTITUTE(SUBSTITUTE(G4413, ""?"", """"), ""*"", """")))"),"Hot Baths Metal Sign")</f>
        <v>Hot Baths Metal Sign</v>
      </c>
      <c r="I4413" s="3">
        <v>4.0</v>
      </c>
      <c r="J4413" s="7">
        <v>40886.43263888889</v>
      </c>
      <c r="K4413" s="8" t="str">
        <f t="shared" si="4"/>
        <v>2011-12</v>
      </c>
      <c r="L4413" s="5">
        <v>4.96</v>
      </c>
      <c r="M4413" s="10"/>
      <c r="N4413" s="1" t="str">
        <f t="shared" si="5"/>
        <v>Guest</v>
      </c>
      <c r="O4413" s="1" t="s">
        <v>19</v>
      </c>
      <c r="P4413" s="9" t="str">
        <f t="shared" si="6"/>
        <v>UK</v>
      </c>
      <c r="Q4413" s="8">
        <f t="shared" si="7"/>
        <v>19.84</v>
      </c>
    </row>
    <row r="4414">
      <c r="A4414" s="1">
        <v>581497.0</v>
      </c>
      <c r="B4414" s="1" t="str">
        <f t="shared" si="1"/>
        <v>581497</v>
      </c>
      <c r="C4414" s="1" t="str">
        <f t="shared" si="2"/>
        <v>Sale</v>
      </c>
      <c r="D4414" s="1" t="s">
        <v>23</v>
      </c>
      <c r="E4414" s="1" t="str">
        <f>IFERROR(__xludf.DUMMYFUNCTION("IF(LEN(D4414)&gt;4, IFERROR(REGEXEXTRACT(TO_TEXT(D4414),""\d+""),""""),"""")"),"84029")</f>
        <v>84029</v>
      </c>
      <c r="F4414" s="6" t="str">
        <f t="shared" si="3"/>
        <v>Product</v>
      </c>
      <c r="G4414" s="1" t="s">
        <v>24</v>
      </c>
      <c r="H4414" s="6" t="str">
        <f>IFERROR(__xludf.DUMMYFUNCTION("IF(REGEXMATCH(LOWER(G4414), ""^(\?)+\s*(missing)?\s*(\?)*$""), """", PROPER(SUBSTITUTE(SUBSTITUTE(G4414, ""?"", """"), ""*"", """")))"),"Knitted Union Flag Hot Water Bottle")</f>
        <v>Knitted Union Flag Hot Water Bottle</v>
      </c>
      <c r="I4414" s="3">
        <v>11.0</v>
      </c>
      <c r="J4414" s="7">
        <v>40886.43263888889</v>
      </c>
      <c r="K4414" s="8" t="str">
        <f t="shared" si="4"/>
        <v>2011-12</v>
      </c>
      <c r="L4414" s="5">
        <v>8.29</v>
      </c>
      <c r="M4414" s="10"/>
      <c r="N4414" s="1" t="str">
        <f t="shared" si="5"/>
        <v>Guest</v>
      </c>
      <c r="O4414" s="1" t="s">
        <v>19</v>
      </c>
      <c r="P4414" s="9" t="str">
        <f t="shared" si="6"/>
        <v>UK</v>
      </c>
      <c r="Q4414" s="8">
        <f t="shared" si="7"/>
        <v>91.19</v>
      </c>
    </row>
    <row r="4415">
      <c r="A4415" s="1">
        <v>581497.0</v>
      </c>
      <c r="B4415" s="1" t="str">
        <f t="shared" si="1"/>
        <v>581497</v>
      </c>
      <c r="C4415" s="1" t="str">
        <f t="shared" si="2"/>
        <v>Sale</v>
      </c>
      <c r="D4415" s="1" t="s">
        <v>2063</v>
      </c>
      <c r="E4415" s="1" t="str">
        <f>IFERROR(__xludf.DUMMYFUNCTION("IF(LEN(D4415)&gt;4, IFERROR(REGEXEXTRACT(TO_TEXT(D4415),""\d+""),""""),"""")"),"84997")</f>
        <v>84997</v>
      </c>
      <c r="F4415" s="6" t="str">
        <f t="shared" si="3"/>
        <v>Product</v>
      </c>
      <c r="G4415" s="1" t="s">
        <v>1323</v>
      </c>
      <c r="H4415" s="6" t="str">
        <f>IFERROR(__xludf.DUMMYFUNCTION("IF(REGEXMATCH(LOWER(G4415), ""^(\?)+\s*(missing)?\s*(\?)*$""), """", PROPER(SUBSTITUTE(SUBSTITUTE(G4415, ""?"", """"), ""*"", """")))"),"Childrens Cutlery Polkadot Blue")</f>
        <v>Childrens Cutlery Polkadot Blue</v>
      </c>
      <c r="I4415" s="3">
        <v>3.0</v>
      </c>
      <c r="J4415" s="7">
        <v>40886.43263888889</v>
      </c>
      <c r="K4415" s="8" t="str">
        <f t="shared" si="4"/>
        <v>2011-12</v>
      </c>
      <c r="L4415" s="5">
        <v>8.29</v>
      </c>
      <c r="M4415" s="10"/>
      <c r="N4415" s="1" t="str">
        <f t="shared" si="5"/>
        <v>Guest</v>
      </c>
      <c r="O4415" s="1" t="s">
        <v>19</v>
      </c>
      <c r="P4415" s="9" t="str">
        <f t="shared" si="6"/>
        <v>UK</v>
      </c>
      <c r="Q4415" s="8">
        <f t="shared" si="7"/>
        <v>24.87</v>
      </c>
    </row>
    <row r="4416">
      <c r="A4416" s="1">
        <v>581497.0</v>
      </c>
      <c r="B4416" s="1" t="str">
        <f t="shared" si="1"/>
        <v>581497</v>
      </c>
      <c r="C4416" s="1" t="str">
        <f t="shared" si="2"/>
        <v>Sale</v>
      </c>
      <c r="D4416" s="1" t="s">
        <v>2064</v>
      </c>
      <c r="E4416" s="1" t="str">
        <f>IFERROR(__xludf.DUMMYFUNCTION("IF(LEN(D4416)&gt;4, IFERROR(REGEXEXTRACT(TO_TEXT(D4416),""\d+""),""""),"""")"),"85049")</f>
        <v>85049</v>
      </c>
      <c r="F4416" s="6" t="str">
        <f t="shared" si="3"/>
        <v>Product</v>
      </c>
      <c r="G4416" s="1" t="s">
        <v>345</v>
      </c>
      <c r="H4416" s="6" t="str">
        <f>IFERROR(__xludf.DUMMYFUNCTION("IF(REGEXMATCH(LOWER(G4416), ""^(\?)+\s*(missing)?\s*(\?)*$""), """", PROPER(SUBSTITUTE(SUBSTITUTE(G4416, ""?"", """"), ""*"", """")))"),"Chocolate Box Ribbons")</f>
        <v>Chocolate Box Ribbons</v>
      </c>
      <c r="I4416" s="3">
        <v>2.0</v>
      </c>
      <c r="J4416" s="7">
        <v>40886.43263888889</v>
      </c>
      <c r="K4416" s="8" t="str">
        <f t="shared" si="4"/>
        <v>2011-12</v>
      </c>
      <c r="L4416" s="5">
        <v>2.46</v>
      </c>
      <c r="M4416" s="10"/>
      <c r="N4416" s="1" t="str">
        <f t="shared" si="5"/>
        <v>Guest</v>
      </c>
      <c r="O4416" s="1" t="s">
        <v>19</v>
      </c>
      <c r="P4416" s="9" t="str">
        <f t="shared" si="6"/>
        <v>UK</v>
      </c>
      <c r="Q4416" s="8">
        <f t="shared" si="7"/>
        <v>4.92</v>
      </c>
    </row>
    <row r="4417">
      <c r="A4417" s="1">
        <v>581498.0</v>
      </c>
      <c r="B4417" s="1" t="str">
        <f t="shared" si="1"/>
        <v>581498</v>
      </c>
      <c r="C4417" s="1" t="str">
        <f t="shared" si="2"/>
        <v>Sale</v>
      </c>
      <c r="D4417" s="1" t="s">
        <v>2065</v>
      </c>
      <c r="E4417" s="1" t="str">
        <f>IFERROR(__xludf.DUMMYFUNCTION("IF(LEN(D4417)&gt;4, IFERROR(REGEXEXTRACT(TO_TEXT(D4417),""\d+""),""""),"""")"),"15056")</f>
        <v>15056</v>
      </c>
      <c r="F4417" s="6" t="str">
        <f t="shared" si="3"/>
        <v>Product</v>
      </c>
      <c r="G4417" s="1" t="s">
        <v>138</v>
      </c>
      <c r="H4417" s="6" t="str">
        <f>IFERROR(__xludf.DUMMYFUNCTION("IF(REGEXMATCH(LOWER(G4417), ""^(\?)+\s*(missing)?\s*(\?)*$""), """", PROPER(SUBSTITUTE(SUBSTITUTE(G4417, ""?"", """"), ""*"", """")))"),"Edwardian Parasol Black")</f>
        <v>Edwardian Parasol Black</v>
      </c>
      <c r="I4417" s="3">
        <v>2.0</v>
      </c>
      <c r="J4417" s="7">
        <v>40886.43472222222</v>
      </c>
      <c r="K4417" s="8" t="str">
        <f t="shared" si="4"/>
        <v>2011-12</v>
      </c>
      <c r="L4417" s="5">
        <v>12.46</v>
      </c>
      <c r="M4417" s="10"/>
      <c r="N4417" s="1" t="str">
        <f t="shared" si="5"/>
        <v>Guest</v>
      </c>
      <c r="O4417" s="1" t="s">
        <v>19</v>
      </c>
      <c r="P4417" s="9" t="str">
        <f t="shared" si="6"/>
        <v>UK</v>
      </c>
      <c r="Q4417" s="8">
        <f t="shared" si="7"/>
        <v>24.92</v>
      </c>
    </row>
    <row r="4418">
      <c r="A4418" s="1">
        <v>581498.0</v>
      </c>
      <c r="B4418" s="1" t="str">
        <f t="shared" si="1"/>
        <v>581498</v>
      </c>
      <c r="C4418" s="1" t="str">
        <f t="shared" si="2"/>
        <v>Sale</v>
      </c>
      <c r="D4418" s="1">
        <v>20669.0</v>
      </c>
      <c r="E4418" s="1" t="str">
        <f>IFERROR(__xludf.DUMMYFUNCTION("IF(LEN(D4418)&gt;4, IFERROR(REGEXEXTRACT(TO_TEXT(D4418),""\d+""),""""),"""")"),"20669")</f>
        <v>20669</v>
      </c>
      <c r="F4418" s="6" t="str">
        <f t="shared" si="3"/>
        <v>Product</v>
      </c>
      <c r="G4418" s="1" t="s">
        <v>400</v>
      </c>
      <c r="H4418" s="6" t="str">
        <f>IFERROR(__xludf.DUMMYFUNCTION("IF(REGEXMATCH(LOWER(G4418), ""^(\?)+\s*(missing)?\s*(\?)*$""), """", PROPER(SUBSTITUTE(SUBSTITUTE(G4418, ""?"", """"), ""*"", """")))"),"Red Heart Luggage Tag")</f>
        <v>Red Heart Luggage Tag</v>
      </c>
      <c r="I4418" s="3">
        <v>3.0</v>
      </c>
      <c r="J4418" s="7">
        <v>40886.43472222222</v>
      </c>
      <c r="K4418" s="8" t="str">
        <f t="shared" si="4"/>
        <v>2011-12</v>
      </c>
      <c r="L4418" s="5">
        <v>2.46</v>
      </c>
      <c r="M4418" s="10"/>
      <c r="N4418" s="1" t="str">
        <f t="shared" si="5"/>
        <v>Guest</v>
      </c>
      <c r="O4418" s="1" t="s">
        <v>19</v>
      </c>
      <c r="P4418" s="9" t="str">
        <f t="shared" si="6"/>
        <v>UK</v>
      </c>
      <c r="Q4418" s="8">
        <f t="shared" si="7"/>
        <v>7.38</v>
      </c>
    </row>
    <row r="4419">
      <c r="A4419" s="1">
        <v>581498.0</v>
      </c>
      <c r="B4419" s="1" t="str">
        <f t="shared" si="1"/>
        <v>581498</v>
      </c>
      <c r="C4419" s="1" t="str">
        <f t="shared" si="2"/>
        <v>Sale</v>
      </c>
      <c r="D4419" s="1">
        <v>20679.0</v>
      </c>
      <c r="E4419" s="1" t="str">
        <f>IFERROR(__xludf.DUMMYFUNCTION("IF(LEN(D4419)&gt;4, IFERROR(REGEXEXTRACT(TO_TEXT(D4419),""\d+""),""""),"""")"),"20679")</f>
        <v>20679</v>
      </c>
      <c r="F4419" s="6" t="str">
        <f t="shared" si="3"/>
        <v>Product</v>
      </c>
      <c r="G4419" s="1" t="s">
        <v>71</v>
      </c>
      <c r="H4419" s="6" t="str">
        <f>IFERROR(__xludf.DUMMYFUNCTION("IF(REGEXMATCH(LOWER(G4419), ""^(\?)+\s*(missing)?\s*(\?)*$""), """", PROPER(SUBSTITUTE(SUBSTITUTE(G4419, ""?"", """"), ""*"", """")))"),"Edwardian Parasol Red")</f>
        <v>Edwardian Parasol Red</v>
      </c>
      <c r="I4419" s="3">
        <v>5.0</v>
      </c>
      <c r="J4419" s="7">
        <v>40886.43472222222</v>
      </c>
      <c r="K4419" s="8" t="str">
        <f t="shared" si="4"/>
        <v>2011-12</v>
      </c>
      <c r="L4419" s="5">
        <v>12.46</v>
      </c>
      <c r="M4419" s="10"/>
      <c r="N4419" s="1" t="str">
        <f t="shared" si="5"/>
        <v>Guest</v>
      </c>
      <c r="O4419" s="1" t="s">
        <v>19</v>
      </c>
      <c r="P4419" s="9" t="str">
        <f t="shared" si="6"/>
        <v>UK</v>
      </c>
      <c r="Q4419" s="8">
        <f t="shared" si="7"/>
        <v>62.3</v>
      </c>
    </row>
    <row r="4420">
      <c r="A4420" s="1">
        <v>581498.0</v>
      </c>
      <c r="B4420" s="1" t="str">
        <f t="shared" si="1"/>
        <v>581498</v>
      </c>
      <c r="C4420" s="1" t="str">
        <f t="shared" si="2"/>
        <v>Sale</v>
      </c>
      <c r="D4420" s="1">
        <v>20712.0</v>
      </c>
      <c r="E4420" s="1" t="str">
        <f>IFERROR(__xludf.DUMMYFUNCTION("IF(LEN(D4420)&gt;4, IFERROR(REGEXEXTRACT(TO_TEXT(D4420),""\d+""),""""),"""")"),"20712")</f>
        <v>20712</v>
      </c>
      <c r="F4420" s="6" t="str">
        <f t="shared" si="3"/>
        <v>Product</v>
      </c>
      <c r="G4420" s="1" t="s">
        <v>698</v>
      </c>
      <c r="H4420" s="6" t="str">
        <f>IFERROR(__xludf.DUMMYFUNCTION("IF(REGEXMATCH(LOWER(G4420), ""^(\?)+\s*(missing)?\s*(\?)*$""), """", PROPER(SUBSTITUTE(SUBSTITUTE(G4420, ""?"", """"), ""*"", """")))"),"Jumbo Bag Woodland Animals")</f>
        <v>Jumbo Bag Woodland Animals</v>
      </c>
      <c r="I4420" s="3">
        <v>3.0</v>
      </c>
      <c r="J4420" s="7">
        <v>40886.43472222222</v>
      </c>
      <c r="K4420" s="8" t="str">
        <f t="shared" si="4"/>
        <v>2011-12</v>
      </c>
      <c r="L4420" s="5">
        <v>4.13</v>
      </c>
      <c r="M4420" s="10"/>
      <c r="N4420" s="1" t="str">
        <f t="shared" si="5"/>
        <v>Guest</v>
      </c>
      <c r="O4420" s="1" t="s">
        <v>19</v>
      </c>
      <c r="P4420" s="9" t="str">
        <f t="shared" si="6"/>
        <v>UK</v>
      </c>
      <c r="Q4420" s="8">
        <f t="shared" si="7"/>
        <v>12.39</v>
      </c>
    </row>
    <row r="4421">
      <c r="A4421" s="1">
        <v>581498.0</v>
      </c>
      <c r="B4421" s="1" t="str">
        <f t="shared" si="1"/>
        <v>581498</v>
      </c>
      <c r="C4421" s="1" t="str">
        <f t="shared" si="2"/>
        <v>Sale</v>
      </c>
      <c r="D4421" s="1">
        <v>20713.0</v>
      </c>
      <c r="E4421" s="1" t="str">
        <f>IFERROR(__xludf.DUMMYFUNCTION("IF(LEN(D4421)&gt;4, IFERROR(REGEXEXTRACT(TO_TEXT(D4421),""\d+""),""""),"""")"),"20713")</f>
        <v>20713</v>
      </c>
      <c r="F4421" s="6" t="str">
        <f t="shared" si="3"/>
        <v>Product</v>
      </c>
      <c r="G4421" s="1" t="s">
        <v>423</v>
      </c>
      <c r="H4421" s="6" t="str">
        <f>IFERROR(__xludf.DUMMYFUNCTION("IF(REGEXMATCH(LOWER(G4421), ""^(\?)+\s*(missing)?\s*(\?)*$""), """", PROPER(SUBSTITUTE(SUBSTITUTE(G4421, ""?"", """"), ""*"", """")))"),"Jumbo Bag Owls")</f>
        <v>Jumbo Bag Owls</v>
      </c>
      <c r="I4421" s="3">
        <v>8.0</v>
      </c>
      <c r="J4421" s="7">
        <v>40886.43472222222</v>
      </c>
      <c r="K4421" s="8" t="str">
        <f t="shared" si="4"/>
        <v>2011-12</v>
      </c>
      <c r="L4421" s="5">
        <v>4.13</v>
      </c>
      <c r="M4421" s="10"/>
      <c r="N4421" s="1" t="str">
        <f t="shared" si="5"/>
        <v>Guest</v>
      </c>
      <c r="O4421" s="1" t="s">
        <v>19</v>
      </c>
      <c r="P4421" s="9" t="str">
        <f t="shared" si="6"/>
        <v>UK</v>
      </c>
      <c r="Q4421" s="8">
        <f t="shared" si="7"/>
        <v>33.04</v>
      </c>
    </row>
    <row r="4422">
      <c r="A4422" s="1">
        <v>581498.0</v>
      </c>
      <c r="B4422" s="1" t="str">
        <f t="shared" si="1"/>
        <v>581498</v>
      </c>
      <c r="C4422" s="1" t="str">
        <f t="shared" si="2"/>
        <v>Sale</v>
      </c>
      <c r="D4422" s="1">
        <v>20717.0</v>
      </c>
      <c r="E4422" s="1" t="str">
        <f>IFERROR(__xludf.DUMMYFUNCTION("IF(LEN(D4422)&gt;4, IFERROR(REGEXEXTRACT(TO_TEXT(D4422),""\d+""),""""),"""")"),"20717")</f>
        <v>20717</v>
      </c>
      <c r="F4422" s="6" t="str">
        <f t="shared" si="3"/>
        <v>Product</v>
      </c>
      <c r="G4422" s="1" t="s">
        <v>430</v>
      </c>
      <c r="H4422" s="6" t="str">
        <f>IFERROR(__xludf.DUMMYFUNCTION("IF(REGEXMATCH(LOWER(G4422), ""^(\?)+\s*(missing)?\s*(\?)*$""), """", PROPER(SUBSTITUTE(SUBSTITUTE(G4422, ""?"", """"), ""*"", """")))"),"Strawberry Shopper Bag")</f>
        <v>Strawberry Shopper Bag</v>
      </c>
      <c r="I4422" s="3">
        <v>1.0</v>
      </c>
      <c r="J4422" s="7">
        <v>40886.43472222222</v>
      </c>
      <c r="K4422" s="8" t="str">
        <f t="shared" si="4"/>
        <v>2011-12</v>
      </c>
      <c r="L4422" s="5">
        <v>2.46</v>
      </c>
      <c r="M4422" s="10"/>
      <c r="N4422" s="1" t="str">
        <f t="shared" si="5"/>
        <v>Guest</v>
      </c>
      <c r="O4422" s="1" t="s">
        <v>19</v>
      </c>
      <c r="P4422" s="9" t="str">
        <f t="shared" si="6"/>
        <v>UK</v>
      </c>
      <c r="Q4422" s="8">
        <f t="shared" si="7"/>
        <v>2.46</v>
      </c>
    </row>
    <row r="4423">
      <c r="A4423" s="1">
        <v>581498.0</v>
      </c>
      <c r="B4423" s="1" t="str">
        <f t="shared" si="1"/>
        <v>581498</v>
      </c>
      <c r="C4423" s="1" t="str">
        <f t="shared" si="2"/>
        <v>Sale</v>
      </c>
      <c r="D4423" s="1">
        <v>20718.0</v>
      </c>
      <c r="E4423" s="1" t="str">
        <f>IFERROR(__xludf.DUMMYFUNCTION("IF(LEN(D4423)&gt;4, IFERROR(REGEXEXTRACT(TO_TEXT(D4423),""\d+""),""""),"""")"),"20718")</f>
        <v>20718</v>
      </c>
      <c r="F4423" s="6" t="str">
        <f t="shared" si="3"/>
        <v>Product</v>
      </c>
      <c r="G4423" s="1" t="s">
        <v>699</v>
      </c>
      <c r="H4423" s="6" t="str">
        <f>IFERROR(__xludf.DUMMYFUNCTION("IF(REGEXMATCH(LOWER(G4423), ""^(\?)+\s*(missing)?\s*(\?)*$""), """", PROPER(SUBSTITUTE(SUBSTITUTE(G4423, ""?"", """"), ""*"", """")))"),"Red Retrospot Shopper Bag")</f>
        <v>Red Retrospot Shopper Bag</v>
      </c>
      <c r="I4423" s="3">
        <v>1.0</v>
      </c>
      <c r="J4423" s="7">
        <v>40886.43472222222</v>
      </c>
      <c r="K4423" s="8" t="str">
        <f t="shared" si="4"/>
        <v>2011-12</v>
      </c>
      <c r="L4423" s="5">
        <v>3.29</v>
      </c>
      <c r="M4423" s="10"/>
      <c r="N4423" s="1" t="str">
        <f t="shared" si="5"/>
        <v>Guest</v>
      </c>
      <c r="O4423" s="1" t="s">
        <v>19</v>
      </c>
      <c r="P4423" s="9" t="str">
        <f t="shared" si="6"/>
        <v>UK</v>
      </c>
      <c r="Q4423" s="8">
        <f t="shared" si="7"/>
        <v>3.29</v>
      </c>
    </row>
    <row r="4424">
      <c r="A4424" s="1">
        <v>581498.0</v>
      </c>
      <c r="B4424" s="1" t="str">
        <f t="shared" si="1"/>
        <v>581498</v>
      </c>
      <c r="C4424" s="1" t="str">
        <f t="shared" si="2"/>
        <v>Sale</v>
      </c>
      <c r="D4424" s="1">
        <v>20726.0</v>
      </c>
      <c r="E4424" s="1" t="str">
        <f>IFERROR(__xludf.DUMMYFUNCTION("IF(LEN(D4424)&gt;4, IFERROR(REGEXEXTRACT(TO_TEXT(D4424),""\d+""),""""),"""")"),"20726")</f>
        <v>20726</v>
      </c>
      <c r="F4424" s="6" t="str">
        <f t="shared" si="3"/>
        <v>Product</v>
      </c>
      <c r="G4424" s="1" t="s">
        <v>321</v>
      </c>
      <c r="H4424" s="6" t="str">
        <f>IFERROR(__xludf.DUMMYFUNCTION("IF(REGEXMATCH(LOWER(G4424), ""^(\?)+\s*(missing)?\s*(\?)*$""), """", PROPER(SUBSTITUTE(SUBSTITUTE(G4424, ""?"", """"), ""*"", """")))"),"Lunch Bag Woodland")</f>
        <v>Lunch Bag Woodland</v>
      </c>
      <c r="I4424" s="3">
        <v>3.0</v>
      </c>
      <c r="J4424" s="7">
        <v>40886.43472222222</v>
      </c>
      <c r="K4424" s="8" t="str">
        <f t="shared" si="4"/>
        <v>2011-12</v>
      </c>
      <c r="L4424" s="5">
        <v>4.13</v>
      </c>
      <c r="M4424" s="10"/>
      <c r="N4424" s="1" t="str">
        <f t="shared" si="5"/>
        <v>Guest</v>
      </c>
      <c r="O4424" s="1" t="s">
        <v>19</v>
      </c>
      <c r="P4424" s="9" t="str">
        <f t="shared" si="6"/>
        <v>UK</v>
      </c>
      <c r="Q4424" s="8">
        <f t="shared" si="7"/>
        <v>12.39</v>
      </c>
    </row>
    <row r="4425">
      <c r="A4425" s="1">
        <v>581498.0</v>
      </c>
      <c r="B4425" s="1" t="str">
        <f t="shared" si="1"/>
        <v>581498</v>
      </c>
      <c r="C4425" s="1" t="str">
        <f t="shared" si="2"/>
        <v>Sale</v>
      </c>
      <c r="D4425" s="1">
        <v>20728.0</v>
      </c>
      <c r="E4425" s="1" t="str">
        <f>IFERROR(__xludf.DUMMYFUNCTION("IF(LEN(D4425)&gt;4, IFERROR(REGEXEXTRACT(TO_TEXT(D4425),""\d+""),""""),"""")"),"20728")</f>
        <v>20728</v>
      </c>
      <c r="F4425" s="6" t="str">
        <f t="shared" si="3"/>
        <v>Product</v>
      </c>
      <c r="G4425" s="1" t="s">
        <v>356</v>
      </c>
      <c r="H4425" s="6" t="str">
        <f>IFERROR(__xludf.DUMMYFUNCTION("IF(REGEXMATCH(LOWER(G4425), ""^(\?)+\s*(missing)?\s*(\?)*$""), """", PROPER(SUBSTITUTE(SUBSTITUTE(G4425, ""?"", """"), ""*"", """")))"),"Lunch Bag Cars Blue")</f>
        <v>Lunch Bag Cars Blue</v>
      </c>
      <c r="I4425" s="3">
        <v>4.0</v>
      </c>
      <c r="J4425" s="7">
        <v>40886.43472222222</v>
      </c>
      <c r="K4425" s="8" t="str">
        <f t="shared" si="4"/>
        <v>2011-12</v>
      </c>
      <c r="L4425" s="5">
        <v>4.13</v>
      </c>
      <c r="M4425" s="10"/>
      <c r="N4425" s="1" t="str">
        <f t="shared" si="5"/>
        <v>Guest</v>
      </c>
      <c r="O4425" s="1" t="s">
        <v>19</v>
      </c>
      <c r="P4425" s="9" t="str">
        <f t="shared" si="6"/>
        <v>UK</v>
      </c>
      <c r="Q4425" s="8">
        <f t="shared" si="7"/>
        <v>16.52</v>
      </c>
    </row>
    <row r="4426">
      <c r="A4426" s="1">
        <v>581498.0</v>
      </c>
      <c r="B4426" s="1" t="str">
        <f t="shared" si="1"/>
        <v>581498</v>
      </c>
      <c r="C4426" s="1" t="str">
        <f t="shared" si="2"/>
        <v>Sale</v>
      </c>
      <c r="D4426" s="1">
        <v>20750.0</v>
      </c>
      <c r="E4426" s="1" t="str">
        <f>IFERROR(__xludf.DUMMYFUNCTION("IF(LEN(D4426)&gt;4, IFERROR(REGEXEXTRACT(TO_TEXT(D4426),""\d+""),""""),"""")"),"20750")</f>
        <v>20750</v>
      </c>
      <c r="F4426" s="6" t="str">
        <f t="shared" si="3"/>
        <v>Product</v>
      </c>
      <c r="G4426" s="1" t="s">
        <v>464</v>
      </c>
      <c r="H4426" s="6" t="str">
        <f>IFERROR(__xludf.DUMMYFUNCTION("IF(REGEXMATCH(LOWER(G4426), ""^(\?)+\s*(missing)?\s*(\?)*$""), """", PROPER(SUBSTITUTE(SUBSTITUTE(G4426, ""?"", """"), ""*"", """")))"),"Red Retrospot Mini Cases")</f>
        <v>Red Retrospot Mini Cases</v>
      </c>
      <c r="I4426" s="3">
        <v>1.0</v>
      </c>
      <c r="J4426" s="7">
        <v>40886.43472222222</v>
      </c>
      <c r="K4426" s="8" t="str">
        <f t="shared" si="4"/>
        <v>2011-12</v>
      </c>
      <c r="L4426" s="5">
        <v>16.63</v>
      </c>
      <c r="M4426" s="10"/>
      <c r="N4426" s="1" t="str">
        <f t="shared" si="5"/>
        <v>Guest</v>
      </c>
      <c r="O4426" s="1" t="s">
        <v>19</v>
      </c>
      <c r="P4426" s="9" t="str">
        <f t="shared" si="6"/>
        <v>UK</v>
      </c>
      <c r="Q4426" s="8">
        <f t="shared" si="7"/>
        <v>16.63</v>
      </c>
    </row>
    <row r="4427">
      <c r="A4427" s="1">
        <v>581498.0</v>
      </c>
      <c r="B4427" s="1" t="str">
        <f t="shared" si="1"/>
        <v>581498</v>
      </c>
      <c r="C4427" s="1" t="str">
        <f t="shared" si="2"/>
        <v>Sale</v>
      </c>
      <c r="D4427" s="1">
        <v>20961.0</v>
      </c>
      <c r="E4427" s="1" t="str">
        <f>IFERROR(__xludf.DUMMYFUNCTION("IF(LEN(D4427)&gt;4, IFERROR(REGEXEXTRACT(TO_TEXT(D4427),""\d+""),""""),"""")"),"20961")</f>
        <v>20961</v>
      </c>
      <c r="F4427" s="6" t="str">
        <f t="shared" si="3"/>
        <v>Product</v>
      </c>
      <c r="G4427" s="1" t="s">
        <v>309</v>
      </c>
      <c r="H4427" s="6" t="str">
        <f>IFERROR(__xludf.DUMMYFUNCTION("IF(REGEXMATCH(LOWER(G4427), ""^(\?)+\s*(missing)?\s*(\?)*$""), """", PROPER(SUBSTITUTE(SUBSTITUTE(G4427, ""?"", """"), ""*"", """")))"),"Strawberry Bath Sponge")</f>
        <v>Strawberry Bath Sponge</v>
      </c>
      <c r="I4427" s="3">
        <v>1.0</v>
      </c>
      <c r="J4427" s="7">
        <v>40886.43472222222</v>
      </c>
      <c r="K4427" s="8" t="str">
        <f t="shared" si="4"/>
        <v>2011-12</v>
      </c>
      <c r="L4427" s="5">
        <v>2.46</v>
      </c>
      <c r="M4427" s="10"/>
      <c r="N4427" s="1" t="str">
        <f t="shared" si="5"/>
        <v>Guest</v>
      </c>
      <c r="O4427" s="1" t="s">
        <v>19</v>
      </c>
      <c r="P4427" s="9" t="str">
        <f t="shared" si="6"/>
        <v>UK</v>
      </c>
      <c r="Q4427" s="8">
        <f t="shared" si="7"/>
        <v>2.46</v>
      </c>
    </row>
    <row r="4428">
      <c r="A4428" s="1">
        <v>581498.0</v>
      </c>
      <c r="B4428" s="1" t="str">
        <f t="shared" si="1"/>
        <v>581498</v>
      </c>
      <c r="C4428" s="1" t="str">
        <f t="shared" si="2"/>
        <v>Sale</v>
      </c>
      <c r="D4428" s="1">
        <v>20963.0</v>
      </c>
      <c r="E4428" s="1" t="str">
        <f>IFERROR(__xludf.DUMMYFUNCTION("IF(LEN(D4428)&gt;4, IFERROR(REGEXEXTRACT(TO_TEXT(D4428),""\d+""),""""),"""")"),"20963")</f>
        <v>20963</v>
      </c>
      <c r="F4428" s="6" t="str">
        <f t="shared" si="3"/>
        <v>Product</v>
      </c>
      <c r="G4428" s="1" t="s">
        <v>308</v>
      </c>
      <c r="H4428" s="6" t="str">
        <f>IFERROR(__xludf.DUMMYFUNCTION("IF(REGEXMATCH(LOWER(G4428), ""^(\?)+\s*(missing)?\s*(\?)*$""), """", PROPER(SUBSTITUTE(SUBSTITUTE(G4428, ""?"", """"), ""*"", """")))"),"Apple Bath Sponge")</f>
        <v>Apple Bath Sponge</v>
      </c>
      <c r="I4428" s="3">
        <v>1.0</v>
      </c>
      <c r="J4428" s="7">
        <v>40886.43472222222</v>
      </c>
      <c r="K4428" s="8" t="str">
        <f t="shared" si="4"/>
        <v>2011-12</v>
      </c>
      <c r="L4428" s="5">
        <v>2.46</v>
      </c>
      <c r="M4428" s="10"/>
      <c r="N4428" s="1" t="str">
        <f t="shared" si="5"/>
        <v>Guest</v>
      </c>
      <c r="O4428" s="1" t="s">
        <v>19</v>
      </c>
      <c r="P4428" s="9" t="str">
        <f t="shared" si="6"/>
        <v>UK</v>
      </c>
      <c r="Q4428" s="8">
        <f t="shared" si="7"/>
        <v>2.46</v>
      </c>
    </row>
    <row r="4429">
      <c r="A4429" s="1">
        <v>581498.0</v>
      </c>
      <c r="B4429" s="1" t="str">
        <f t="shared" si="1"/>
        <v>581498</v>
      </c>
      <c r="C4429" s="1" t="str">
        <f t="shared" si="2"/>
        <v>Sale</v>
      </c>
      <c r="D4429" s="1">
        <v>21115.0</v>
      </c>
      <c r="E4429" s="1" t="str">
        <f>IFERROR(__xludf.DUMMYFUNCTION("IF(LEN(D4429)&gt;4, IFERROR(REGEXEXTRACT(TO_TEXT(D4429),""\d+""),""""),"""")"),"21115")</f>
        <v>21115</v>
      </c>
      <c r="F4429" s="6" t="str">
        <f t="shared" si="3"/>
        <v>Product</v>
      </c>
      <c r="G4429" s="1" t="s">
        <v>194</v>
      </c>
      <c r="H4429" s="6" t="str">
        <f>IFERROR(__xludf.DUMMYFUNCTION("IF(REGEXMATCH(LOWER(G4429), ""^(\?)+\s*(missing)?\s*(\?)*$""), """", PROPER(SUBSTITUTE(SUBSTITUTE(G4429, ""?"", """"), ""*"", """")))"),"Rose Caravan Doorstop")</f>
        <v>Rose Caravan Doorstop</v>
      </c>
      <c r="I4429" s="3">
        <v>1.0</v>
      </c>
      <c r="J4429" s="7">
        <v>40886.43472222222</v>
      </c>
      <c r="K4429" s="8" t="str">
        <f t="shared" si="4"/>
        <v>2011-12</v>
      </c>
      <c r="L4429" s="5">
        <v>14.13</v>
      </c>
      <c r="M4429" s="10"/>
      <c r="N4429" s="1" t="str">
        <f t="shared" si="5"/>
        <v>Guest</v>
      </c>
      <c r="O4429" s="1" t="s">
        <v>19</v>
      </c>
      <c r="P4429" s="9" t="str">
        <f t="shared" si="6"/>
        <v>UK</v>
      </c>
      <c r="Q4429" s="8">
        <f t="shared" si="7"/>
        <v>14.13</v>
      </c>
    </row>
    <row r="4430">
      <c r="A4430" s="1">
        <v>581498.0</v>
      </c>
      <c r="B4430" s="1" t="str">
        <f t="shared" si="1"/>
        <v>581498</v>
      </c>
      <c r="C4430" s="1" t="str">
        <f t="shared" si="2"/>
        <v>Sale</v>
      </c>
      <c r="D4430" s="1">
        <v>21125.0</v>
      </c>
      <c r="E4430" s="1" t="str">
        <f>IFERROR(__xludf.DUMMYFUNCTION("IF(LEN(D4430)&gt;4, IFERROR(REGEXEXTRACT(TO_TEXT(D4430),""\d+""),""""),"""")"),"21125")</f>
        <v>21125</v>
      </c>
      <c r="F4430" s="6" t="str">
        <f t="shared" si="3"/>
        <v>Product</v>
      </c>
      <c r="G4430" s="1" t="s">
        <v>338</v>
      </c>
      <c r="H4430" s="6" t="str">
        <f>IFERROR(__xludf.DUMMYFUNCTION("IF(REGEXMATCH(LOWER(G4430), ""^(\?)+\s*(missing)?\s*(\?)*$""), """", PROPER(SUBSTITUTE(SUBSTITUTE(G4430, ""?"", """"), ""*"", """")))"),"Set 6 Football Celebration Candles")</f>
        <v>Set 6 Football Celebration Candles</v>
      </c>
      <c r="I4430" s="3">
        <v>3.0</v>
      </c>
      <c r="J4430" s="7">
        <v>40886.43472222222</v>
      </c>
      <c r="K4430" s="8" t="str">
        <f t="shared" si="4"/>
        <v>2011-12</v>
      </c>
      <c r="L4430" s="5">
        <v>2.46</v>
      </c>
      <c r="M4430" s="10"/>
      <c r="N4430" s="1" t="str">
        <f t="shared" si="5"/>
        <v>Guest</v>
      </c>
      <c r="O4430" s="1" t="s">
        <v>19</v>
      </c>
      <c r="P4430" s="9" t="str">
        <f t="shared" si="6"/>
        <v>UK</v>
      </c>
      <c r="Q4430" s="8">
        <f t="shared" si="7"/>
        <v>7.38</v>
      </c>
    </row>
    <row r="4431">
      <c r="A4431" s="1">
        <v>581498.0</v>
      </c>
      <c r="B4431" s="1" t="str">
        <f t="shared" si="1"/>
        <v>581498</v>
      </c>
      <c r="C4431" s="1" t="str">
        <f t="shared" si="2"/>
        <v>Sale</v>
      </c>
      <c r="D4431" s="1">
        <v>21137.0</v>
      </c>
      <c r="E4431" s="1" t="str">
        <f>IFERROR(__xludf.DUMMYFUNCTION("IF(LEN(D4431)&gt;4, IFERROR(REGEXEXTRACT(TO_TEXT(D4431),""\d+""),""""),"""")"),"21137")</f>
        <v>21137</v>
      </c>
      <c r="F4431" s="6" t="str">
        <f t="shared" si="3"/>
        <v>Product</v>
      </c>
      <c r="G4431" s="1" t="s">
        <v>803</v>
      </c>
      <c r="H4431" s="6" t="str">
        <f>IFERROR(__xludf.DUMMYFUNCTION("IF(REGEXMATCH(LOWER(G4431), ""^(\?)+\s*(missing)?\s*(\?)*$""), """", PROPER(SUBSTITUTE(SUBSTITUTE(G4431, ""?"", """"), ""*"", """")))"),"Black Record Cover Frame")</f>
        <v>Black Record Cover Frame</v>
      </c>
      <c r="I4431" s="3">
        <v>4.0</v>
      </c>
      <c r="J4431" s="7">
        <v>40886.43472222222</v>
      </c>
      <c r="K4431" s="8" t="str">
        <f t="shared" si="4"/>
        <v>2011-12</v>
      </c>
      <c r="L4431" s="5">
        <v>7.46</v>
      </c>
      <c r="M4431" s="10"/>
      <c r="N4431" s="1" t="str">
        <f t="shared" si="5"/>
        <v>Guest</v>
      </c>
      <c r="O4431" s="1" t="s">
        <v>19</v>
      </c>
      <c r="P4431" s="9" t="str">
        <f t="shared" si="6"/>
        <v>UK</v>
      </c>
      <c r="Q4431" s="8">
        <f t="shared" si="7"/>
        <v>29.84</v>
      </c>
    </row>
    <row r="4432">
      <c r="A4432" s="1">
        <v>581498.0</v>
      </c>
      <c r="B4432" s="1" t="str">
        <f t="shared" si="1"/>
        <v>581498</v>
      </c>
      <c r="C4432" s="1" t="str">
        <f t="shared" si="2"/>
        <v>Sale</v>
      </c>
      <c r="D4432" s="1">
        <v>21155.0</v>
      </c>
      <c r="E4432" s="1" t="str">
        <f>IFERROR(__xludf.DUMMYFUNCTION("IF(LEN(D4432)&gt;4, IFERROR(REGEXEXTRACT(TO_TEXT(D4432),""\d+""),""""),"""")"),"21155")</f>
        <v>21155</v>
      </c>
      <c r="F4432" s="6" t="str">
        <f t="shared" si="3"/>
        <v>Product</v>
      </c>
      <c r="G4432" s="1" t="s">
        <v>1159</v>
      </c>
      <c r="H4432" s="6" t="str">
        <f>IFERROR(__xludf.DUMMYFUNCTION("IF(REGEXMATCH(LOWER(G4432), ""^(\?)+\s*(missing)?\s*(\?)*$""), """", PROPER(SUBSTITUTE(SUBSTITUTE(G4432, ""?"", """"), ""*"", """")))"),"Red Retrospot Peg Bag")</f>
        <v>Red Retrospot Peg Bag</v>
      </c>
      <c r="I4432" s="3">
        <v>4.0</v>
      </c>
      <c r="J4432" s="7">
        <v>40886.43472222222</v>
      </c>
      <c r="K4432" s="8" t="str">
        <f t="shared" si="4"/>
        <v>2011-12</v>
      </c>
      <c r="L4432" s="5">
        <v>4.96</v>
      </c>
      <c r="M4432" s="10"/>
      <c r="N4432" s="1" t="str">
        <f t="shared" si="5"/>
        <v>Guest</v>
      </c>
      <c r="O4432" s="1" t="s">
        <v>19</v>
      </c>
      <c r="P4432" s="9" t="str">
        <f t="shared" si="6"/>
        <v>UK</v>
      </c>
      <c r="Q4432" s="8">
        <f t="shared" si="7"/>
        <v>19.84</v>
      </c>
    </row>
    <row r="4433">
      <c r="A4433" s="1">
        <v>581498.0</v>
      </c>
      <c r="B4433" s="1" t="str">
        <f t="shared" si="1"/>
        <v>581498</v>
      </c>
      <c r="C4433" s="1" t="str">
        <f t="shared" si="2"/>
        <v>Sale</v>
      </c>
      <c r="D4433" s="1">
        <v>21166.0</v>
      </c>
      <c r="E4433" s="1" t="str">
        <f>IFERROR(__xludf.DUMMYFUNCTION("IF(LEN(D4433)&gt;4, IFERROR(REGEXEXTRACT(TO_TEXT(D4433),""\d+""),""""),"""")"),"21166")</f>
        <v>21166</v>
      </c>
      <c r="F4433" s="6" t="str">
        <f t="shared" si="3"/>
        <v>Product</v>
      </c>
      <c r="G4433" s="1" t="s">
        <v>122</v>
      </c>
      <c r="H4433" s="6" t="str">
        <f>IFERROR(__xludf.DUMMYFUNCTION("IF(REGEXMATCH(LOWER(G4433), ""^(\?)+\s*(missing)?\s*(\?)*$""), """", PROPER(SUBSTITUTE(SUBSTITUTE(G4433, ""?"", """"), ""*"", """")))"),"Cook With Wine Metal Sign")</f>
        <v>Cook With Wine Metal Sign</v>
      </c>
      <c r="I4433" s="3">
        <v>3.0</v>
      </c>
      <c r="J4433" s="7">
        <v>40886.43472222222</v>
      </c>
      <c r="K4433" s="8" t="str">
        <f t="shared" si="4"/>
        <v>2011-12</v>
      </c>
      <c r="L4433" s="5">
        <v>4.13</v>
      </c>
      <c r="M4433" s="10"/>
      <c r="N4433" s="1" t="str">
        <f t="shared" si="5"/>
        <v>Guest</v>
      </c>
      <c r="O4433" s="1" t="s">
        <v>19</v>
      </c>
      <c r="P4433" s="9" t="str">
        <f t="shared" si="6"/>
        <v>UK</v>
      </c>
      <c r="Q4433" s="8">
        <f t="shared" si="7"/>
        <v>12.39</v>
      </c>
    </row>
    <row r="4434">
      <c r="A4434" s="1">
        <v>581498.0</v>
      </c>
      <c r="B4434" s="1" t="str">
        <f t="shared" si="1"/>
        <v>581498</v>
      </c>
      <c r="C4434" s="1" t="str">
        <f t="shared" si="2"/>
        <v>Sale</v>
      </c>
      <c r="D4434" s="1">
        <v>21169.0</v>
      </c>
      <c r="E4434" s="1" t="str">
        <f>IFERROR(__xludf.DUMMYFUNCTION("IF(LEN(D4434)&gt;4, IFERROR(REGEXEXTRACT(TO_TEXT(D4434),""\d+""),""""),"""")"),"21169")</f>
        <v>21169</v>
      </c>
      <c r="F4434" s="6" t="str">
        <f t="shared" si="3"/>
        <v>Product</v>
      </c>
      <c r="G4434" s="1" t="s">
        <v>121</v>
      </c>
      <c r="H4434" s="6" t="str">
        <f>IFERROR(__xludf.DUMMYFUNCTION("IF(REGEXMATCH(LOWER(G4434), ""^(\?)+\s*(missing)?\s*(\?)*$""), """", PROPER(SUBSTITUTE(SUBSTITUTE(G4434, ""?"", """"), ""*"", """")))"),"You'Re Confusing Me Metal Sign")</f>
        <v>You'Re Confusing Me Metal Sign</v>
      </c>
      <c r="I4434" s="3">
        <v>2.0</v>
      </c>
      <c r="J4434" s="7">
        <v>40886.43472222222</v>
      </c>
      <c r="K4434" s="8" t="str">
        <f t="shared" si="4"/>
        <v>2011-12</v>
      </c>
      <c r="L4434" s="5">
        <v>4.13</v>
      </c>
      <c r="M4434" s="10"/>
      <c r="N4434" s="1" t="str">
        <f t="shared" si="5"/>
        <v>Guest</v>
      </c>
      <c r="O4434" s="1" t="s">
        <v>19</v>
      </c>
      <c r="P4434" s="9" t="str">
        <f t="shared" si="6"/>
        <v>UK</v>
      </c>
      <c r="Q4434" s="8">
        <f t="shared" si="7"/>
        <v>8.26</v>
      </c>
    </row>
    <row r="4435">
      <c r="A4435" s="1">
        <v>581498.0</v>
      </c>
      <c r="B4435" s="1" t="str">
        <f t="shared" si="1"/>
        <v>581498</v>
      </c>
      <c r="C4435" s="1" t="str">
        <f t="shared" si="2"/>
        <v>Sale</v>
      </c>
      <c r="D4435" s="1">
        <v>21174.0</v>
      </c>
      <c r="E4435" s="1" t="str">
        <f>IFERROR(__xludf.DUMMYFUNCTION("IF(LEN(D4435)&gt;4, IFERROR(REGEXEXTRACT(TO_TEXT(D4435),""\d+""),""""),"""")"),"21174")</f>
        <v>21174</v>
      </c>
      <c r="F4435" s="6" t="str">
        <f t="shared" si="3"/>
        <v>Product</v>
      </c>
      <c r="G4435" s="1" t="s">
        <v>1392</v>
      </c>
      <c r="H4435" s="6" t="str">
        <f>IFERROR(__xludf.DUMMYFUNCTION("IF(REGEXMATCH(LOWER(G4435), ""^(\?)+\s*(missing)?\s*(\?)*$""), """", PROPER(SUBSTITUTE(SUBSTITUTE(G4435, ""?"", """"), ""*"", """")))"),"Pottering In The Shed Metal Sign")</f>
        <v>Pottering In The Shed Metal Sign</v>
      </c>
      <c r="I4435" s="3">
        <v>2.0</v>
      </c>
      <c r="J4435" s="7">
        <v>40886.43472222222</v>
      </c>
      <c r="K4435" s="8" t="str">
        <f t="shared" si="4"/>
        <v>2011-12</v>
      </c>
      <c r="L4435" s="5">
        <v>4.13</v>
      </c>
      <c r="M4435" s="10"/>
      <c r="N4435" s="1" t="str">
        <f t="shared" si="5"/>
        <v>Guest</v>
      </c>
      <c r="O4435" s="1" t="s">
        <v>19</v>
      </c>
      <c r="P4435" s="9" t="str">
        <f t="shared" si="6"/>
        <v>UK</v>
      </c>
      <c r="Q4435" s="8">
        <f t="shared" si="7"/>
        <v>8.26</v>
      </c>
    </row>
    <row r="4436">
      <c r="A4436" s="1">
        <v>581498.0</v>
      </c>
      <c r="B4436" s="1" t="str">
        <f t="shared" si="1"/>
        <v>581498</v>
      </c>
      <c r="C4436" s="1" t="str">
        <f t="shared" si="2"/>
        <v>Sale</v>
      </c>
      <c r="D4436" s="1">
        <v>21181.0</v>
      </c>
      <c r="E4436" s="1" t="str">
        <f>IFERROR(__xludf.DUMMYFUNCTION("IF(LEN(D4436)&gt;4, IFERROR(REGEXEXTRACT(TO_TEXT(D4436),""\d+""),""""),"""")"),"21181")</f>
        <v>21181</v>
      </c>
      <c r="F4436" s="6" t="str">
        <f t="shared" si="3"/>
        <v>Product</v>
      </c>
      <c r="G4436" s="1" t="s">
        <v>776</v>
      </c>
      <c r="H4436" s="6" t="str">
        <f>IFERROR(__xludf.DUMMYFUNCTION("IF(REGEXMATCH(LOWER(G4436), ""^(\?)+\s*(missing)?\s*(\?)*$""), """", PROPER(SUBSTITUTE(SUBSTITUTE(G4436, ""?"", """"), ""*"", """")))"),"Please One Person Metal Sign")</f>
        <v>Please One Person Metal Sign</v>
      </c>
      <c r="I4436" s="3">
        <v>6.0</v>
      </c>
      <c r="J4436" s="7">
        <v>40886.43472222222</v>
      </c>
      <c r="K4436" s="8" t="str">
        <f t="shared" si="4"/>
        <v>2011-12</v>
      </c>
      <c r="L4436" s="5">
        <v>4.13</v>
      </c>
      <c r="M4436" s="10"/>
      <c r="N4436" s="1" t="str">
        <f t="shared" si="5"/>
        <v>Guest</v>
      </c>
      <c r="O4436" s="1" t="s">
        <v>19</v>
      </c>
      <c r="P4436" s="9" t="str">
        <f t="shared" si="6"/>
        <v>UK</v>
      </c>
      <c r="Q4436" s="8">
        <f t="shared" si="7"/>
        <v>24.78</v>
      </c>
    </row>
    <row r="4437">
      <c r="A4437" s="1">
        <v>581498.0</v>
      </c>
      <c r="B4437" s="1" t="str">
        <f t="shared" si="1"/>
        <v>581498</v>
      </c>
      <c r="C4437" s="1" t="str">
        <f t="shared" si="2"/>
        <v>Sale</v>
      </c>
      <c r="D4437" s="1">
        <v>21216.0</v>
      </c>
      <c r="E4437" s="1" t="str">
        <f>IFERROR(__xludf.DUMMYFUNCTION("IF(LEN(D4437)&gt;4, IFERROR(REGEXEXTRACT(TO_TEXT(D4437),""\d+""),""""),"""")"),"21216")</f>
        <v>21216</v>
      </c>
      <c r="F4437" s="6" t="str">
        <f t="shared" si="3"/>
        <v>Product</v>
      </c>
      <c r="G4437" s="1" t="s">
        <v>819</v>
      </c>
      <c r="H4437" s="6" t="str">
        <f>IFERROR(__xludf.DUMMYFUNCTION("IF(REGEXMATCH(LOWER(G4437), ""^(\?)+\s*(missing)?\s*(\?)*$""), """", PROPER(SUBSTITUTE(SUBSTITUTE(G4437, ""?"", """"), ""*"", """")))"),"Set 3 Retrospot Tea,Coffee,Sugar")</f>
        <v>Set 3 Retrospot Tea,Coffee,Sugar</v>
      </c>
      <c r="I4437" s="3">
        <v>2.0</v>
      </c>
      <c r="J4437" s="7">
        <v>40886.43472222222</v>
      </c>
      <c r="K4437" s="8" t="str">
        <f t="shared" si="4"/>
        <v>2011-12</v>
      </c>
      <c r="L4437" s="5">
        <v>10.79</v>
      </c>
      <c r="M4437" s="10"/>
      <c r="N4437" s="1" t="str">
        <f t="shared" si="5"/>
        <v>Guest</v>
      </c>
      <c r="O4437" s="1" t="s">
        <v>19</v>
      </c>
      <c r="P4437" s="9" t="str">
        <f t="shared" si="6"/>
        <v>UK</v>
      </c>
      <c r="Q4437" s="8">
        <f t="shared" si="7"/>
        <v>21.58</v>
      </c>
    </row>
    <row r="4438">
      <c r="A4438" s="1">
        <v>581498.0</v>
      </c>
      <c r="B4438" s="1" t="str">
        <f t="shared" si="1"/>
        <v>581498</v>
      </c>
      <c r="C4438" s="1" t="str">
        <f t="shared" si="2"/>
        <v>Sale</v>
      </c>
      <c r="D4438" s="1">
        <v>21217.0</v>
      </c>
      <c r="E4438" s="1" t="str">
        <f>IFERROR(__xludf.DUMMYFUNCTION("IF(LEN(D4438)&gt;4, IFERROR(REGEXEXTRACT(TO_TEXT(D4438),""\d+""),""""),"""")"),"21217")</f>
        <v>21217</v>
      </c>
      <c r="F4438" s="6" t="str">
        <f t="shared" si="3"/>
        <v>Product</v>
      </c>
      <c r="G4438" s="1" t="s">
        <v>818</v>
      </c>
      <c r="H4438" s="6" t="str">
        <f>IFERROR(__xludf.DUMMYFUNCTION("IF(REGEXMATCH(LOWER(G4438), ""^(\?)+\s*(missing)?\s*(\?)*$""), """", PROPER(SUBSTITUTE(SUBSTITUTE(G4438, ""?"", """"), ""*"", """")))"),"Red Retrospot Round Cake Tins")</f>
        <v>Red Retrospot Round Cake Tins</v>
      </c>
      <c r="I4438" s="3">
        <v>3.0</v>
      </c>
      <c r="J4438" s="7">
        <v>40886.43472222222</v>
      </c>
      <c r="K4438" s="8" t="str">
        <f t="shared" si="4"/>
        <v>2011-12</v>
      </c>
      <c r="L4438" s="5">
        <v>20.79</v>
      </c>
      <c r="M4438" s="10"/>
      <c r="N4438" s="1" t="str">
        <f t="shared" si="5"/>
        <v>Guest</v>
      </c>
      <c r="O4438" s="1" t="s">
        <v>19</v>
      </c>
      <c r="P4438" s="9" t="str">
        <f t="shared" si="6"/>
        <v>UK</v>
      </c>
      <c r="Q4438" s="8">
        <f t="shared" si="7"/>
        <v>62.37</v>
      </c>
    </row>
    <row r="4439">
      <c r="A4439" s="1">
        <v>581498.0</v>
      </c>
      <c r="B4439" s="1" t="str">
        <f t="shared" si="1"/>
        <v>581498</v>
      </c>
      <c r="C4439" s="1" t="str">
        <f t="shared" si="2"/>
        <v>Sale</v>
      </c>
      <c r="D4439" s="1">
        <v>21218.0</v>
      </c>
      <c r="E4439" s="1" t="str">
        <f>IFERROR(__xludf.DUMMYFUNCTION("IF(LEN(D4439)&gt;4, IFERROR(REGEXEXTRACT(TO_TEXT(D4439),""\d+""),""""),"""")"),"21218")</f>
        <v>21218</v>
      </c>
      <c r="F4439" s="6" t="str">
        <f t="shared" si="3"/>
        <v>Product</v>
      </c>
      <c r="G4439" s="1" t="s">
        <v>1006</v>
      </c>
      <c r="H4439" s="6" t="str">
        <f>IFERROR(__xludf.DUMMYFUNCTION("IF(REGEXMATCH(LOWER(G4439), ""^(\?)+\s*(missing)?\s*(\?)*$""), """", PROPER(SUBSTITUTE(SUBSTITUTE(G4439, ""?"", """"), ""*"", """")))"),"Red Spotty Biscuit Tin")</f>
        <v>Red Spotty Biscuit Tin</v>
      </c>
      <c r="I4439" s="3">
        <v>4.0</v>
      </c>
      <c r="J4439" s="7">
        <v>40886.43472222222</v>
      </c>
      <c r="K4439" s="8" t="str">
        <f t="shared" si="4"/>
        <v>2011-12</v>
      </c>
      <c r="L4439" s="5">
        <v>8.29</v>
      </c>
      <c r="M4439" s="10"/>
      <c r="N4439" s="1" t="str">
        <f t="shared" si="5"/>
        <v>Guest</v>
      </c>
      <c r="O4439" s="1" t="s">
        <v>19</v>
      </c>
      <c r="P4439" s="9" t="str">
        <f t="shared" si="6"/>
        <v>UK</v>
      </c>
      <c r="Q4439" s="8">
        <f t="shared" si="7"/>
        <v>33.16</v>
      </c>
    </row>
    <row r="4440">
      <c r="A4440" s="1">
        <v>581498.0</v>
      </c>
      <c r="B4440" s="1" t="str">
        <f t="shared" si="1"/>
        <v>581498</v>
      </c>
      <c r="C4440" s="1" t="str">
        <f t="shared" si="2"/>
        <v>Sale</v>
      </c>
      <c r="D4440" s="1">
        <v>21232.0</v>
      </c>
      <c r="E4440" s="1" t="str">
        <f>IFERROR(__xludf.DUMMYFUNCTION("IF(LEN(D4440)&gt;4, IFERROR(REGEXEXTRACT(TO_TEXT(D4440),""\d+""),""""),"""")"),"21232")</f>
        <v>21232</v>
      </c>
      <c r="F4440" s="6" t="str">
        <f t="shared" si="3"/>
        <v>Product</v>
      </c>
      <c r="G4440" s="1" t="s">
        <v>1488</v>
      </c>
      <c r="H4440" s="6" t="str">
        <f>IFERROR(__xludf.DUMMYFUNCTION("IF(REGEXMATCH(LOWER(G4440), ""^(\?)+\s*(missing)?\s*(\?)*$""), """", PROPER(SUBSTITUTE(SUBSTITUTE(G4440, ""?"", """"), ""*"", """")))"),"Strawberry Ceramic Trinket Pot")</f>
        <v>Strawberry Ceramic Trinket Pot</v>
      </c>
      <c r="I4440" s="3">
        <v>13.0</v>
      </c>
      <c r="J4440" s="7">
        <v>40886.43472222222</v>
      </c>
      <c r="K4440" s="8" t="str">
        <f t="shared" si="4"/>
        <v>2011-12</v>
      </c>
      <c r="L4440" s="5">
        <v>2.46</v>
      </c>
      <c r="M4440" s="10"/>
      <c r="N4440" s="1" t="str">
        <f t="shared" si="5"/>
        <v>Guest</v>
      </c>
      <c r="O4440" s="1" t="s">
        <v>19</v>
      </c>
      <c r="P4440" s="9" t="str">
        <f t="shared" si="6"/>
        <v>UK</v>
      </c>
      <c r="Q4440" s="8">
        <f t="shared" si="7"/>
        <v>31.98</v>
      </c>
    </row>
    <row r="4441">
      <c r="A4441" s="1">
        <v>581498.0</v>
      </c>
      <c r="B4441" s="1" t="str">
        <f t="shared" si="1"/>
        <v>581498</v>
      </c>
      <c r="C4441" s="1" t="str">
        <f t="shared" si="2"/>
        <v>Sale</v>
      </c>
      <c r="D4441" s="1">
        <v>21239.0</v>
      </c>
      <c r="E4441" s="1" t="str">
        <f>IFERROR(__xludf.DUMMYFUNCTION("IF(LEN(D4441)&gt;4, IFERROR(REGEXEXTRACT(TO_TEXT(D4441),""\d+""),""""),"""")"),"21239")</f>
        <v>21239</v>
      </c>
      <c r="F4441" s="6" t="str">
        <f t="shared" si="3"/>
        <v>Product</v>
      </c>
      <c r="G4441" s="1" t="s">
        <v>953</v>
      </c>
      <c r="H4441" s="6" t="str">
        <f>IFERROR(__xludf.DUMMYFUNCTION("IF(REGEXMATCH(LOWER(G4441), ""^(\?)+\s*(missing)?\s*(\?)*$""), """", PROPER(SUBSTITUTE(SUBSTITUTE(G4441, ""?"", """"), ""*"", """")))"),"Pink Polkadot Cup")</f>
        <v>Pink Polkadot Cup</v>
      </c>
      <c r="I4441" s="3">
        <v>1.0</v>
      </c>
      <c r="J4441" s="7">
        <v>40886.43472222222</v>
      </c>
      <c r="K4441" s="8" t="str">
        <f t="shared" si="4"/>
        <v>2011-12</v>
      </c>
      <c r="L4441" s="5">
        <v>1.63</v>
      </c>
      <c r="M4441" s="10"/>
      <c r="N4441" s="1" t="str">
        <f t="shared" si="5"/>
        <v>Guest</v>
      </c>
      <c r="O4441" s="1" t="s">
        <v>19</v>
      </c>
      <c r="P4441" s="9" t="str">
        <f t="shared" si="6"/>
        <v>UK</v>
      </c>
      <c r="Q4441" s="8">
        <f t="shared" si="7"/>
        <v>1.63</v>
      </c>
    </row>
    <row r="4442">
      <c r="A4442" s="1">
        <v>581498.0</v>
      </c>
      <c r="B4442" s="1" t="str">
        <f t="shared" si="1"/>
        <v>581498</v>
      </c>
      <c r="C4442" s="1" t="str">
        <f t="shared" si="2"/>
        <v>Sale</v>
      </c>
      <c r="D4442" s="1">
        <v>21257.0</v>
      </c>
      <c r="E4442" s="1" t="str">
        <f>IFERROR(__xludf.DUMMYFUNCTION("IF(LEN(D4442)&gt;4, IFERROR(REGEXEXTRACT(TO_TEXT(D4442),""\d+""),""""),"""")"),"21257")</f>
        <v>21257</v>
      </c>
      <c r="F4442" s="6" t="str">
        <f t="shared" si="3"/>
        <v>Product</v>
      </c>
      <c r="G4442" s="1" t="s">
        <v>557</v>
      </c>
      <c r="H4442" s="6" t="str">
        <f>IFERROR(__xludf.DUMMYFUNCTION("IF(REGEXMATCH(LOWER(G4442), ""^(\?)+\s*(missing)?\s*(\?)*$""), """", PROPER(SUBSTITUTE(SUBSTITUTE(G4442, ""?"", """"), ""*"", """")))"),"Victorian Sewing Box Medium")</f>
        <v>Victorian Sewing Box Medium</v>
      </c>
      <c r="I4442" s="3">
        <v>3.0</v>
      </c>
      <c r="J4442" s="7">
        <v>40886.43472222222</v>
      </c>
      <c r="K4442" s="8" t="str">
        <f t="shared" si="4"/>
        <v>2011-12</v>
      </c>
      <c r="L4442" s="5">
        <v>15.79</v>
      </c>
      <c r="M4442" s="10"/>
      <c r="N4442" s="1" t="str">
        <f t="shared" si="5"/>
        <v>Guest</v>
      </c>
      <c r="O4442" s="1" t="s">
        <v>19</v>
      </c>
      <c r="P4442" s="9" t="str">
        <f t="shared" si="6"/>
        <v>UK</v>
      </c>
      <c r="Q4442" s="8">
        <f t="shared" si="7"/>
        <v>47.37</v>
      </c>
    </row>
    <row r="4443">
      <c r="A4443" s="1">
        <v>581498.0</v>
      </c>
      <c r="B4443" s="1" t="str">
        <f t="shared" si="1"/>
        <v>581498</v>
      </c>
      <c r="C4443" s="1" t="str">
        <f t="shared" si="2"/>
        <v>Sale</v>
      </c>
      <c r="D4443" s="1">
        <v>21327.0</v>
      </c>
      <c r="E4443" s="1" t="str">
        <f>IFERROR(__xludf.DUMMYFUNCTION("IF(LEN(D4443)&gt;4, IFERROR(REGEXEXTRACT(TO_TEXT(D4443),""\d+""),""""),"""")"),"21327")</f>
        <v>21327</v>
      </c>
      <c r="F4443" s="6" t="str">
        <f t="shared" si="3"/>
        <v>Product</v>
      </c>
      <c r="G4443" s="1" t="s">
        <v>610</v>
      </c>
      <c r="H4443" s="6" t="str">
        <f>IFERROR(__xludf.DUMMYFUNCTION("IF(REGEXMATCH(LOWER(G4443), ""^(\?)+\s*(missing)?\s*(\?)*$""), """", PROPER(SUBSTITUTE(SUBSTITUTE(G4443, ""?"", """"), ""*"", """")))"),"Skulls Writing Set")</f>
        <v>Skulls Writing Set</v>
      </c>
      <c r="I4443" s="3">
        <v>1.0</v>
      </c>
      <c r="J4443" s="7">
        <v>40886.43472222222</v>
      </c>
      <c r="K4443" s="8" t="str">
        <f t="shared" si="4"/>
        <v>2011-12</v>
      </c>
      <c r="L4443" s="5">
        <v>2.46</v>
      </c>
      <c r="M4443" s="10"/>
      <c r="N4443" s="1" t="str">
        <f t="shared" si="5"/>
        <v>Guest</v>
      </c>
      <c r="O4443" s="1" t="s">
        <v>19</v>
      </c>
      <c r="P4443" s="9" t="str">
        <f t="shared" si="6"/>
        <v>UK</v>
      </c>
      <c r="Q4443" s="8">
        <f t="shared" si="7"/>
        <v>2.46</v>
      </c>
    </row>
    <row r="4444">
      <c r="A4444" s="1">
        <v>581498.0</v>
      </c>
      <c r="B4444" s="1" t="str">
        <f t="shared" si="1"/>
        <v>581498</v>
      </c>
      <c r="C4444" s="1" t="str">
        <f t="shared" si="2"/>
        <v>Sale</v>
      </c>
      <c r="D4444" s="1">
        <v>21328.0</v>
      </c>
      <c r="E4444" s="1" t="str">
        <f>IFERROR(__xludf.DUMMYFUNCTION("IF(LEN(D4444)&gt;4, IFERROR(REGEXEXTRACT(TO_TEXT(D4444),""\d+""),""""),"""")"),"21328")</f>
        <v>21328</v>
      </c>
      <c r="F4444" s="6" t="str">
        <f t="shared" si="3"/>
        <v>Product</v>
      </c>
      <c r="G4444" s="1" t="s">
        <v>280</v>
      </c>
      <c r="H4444" s="6" t="str">
        <f>IFERROR(__xludf.DUMMYFUNCTION("IF(REGEXMATCH(LOWER(G4444), ""^(\?)+\s*(missing)?\s*(\?)*$""), """", PROPER(SUBSTITUTE(SUBSTITUTE(G4444, ""?"", """"), ""*"", """")))"),"Balloons Writing Set")</f>
        <v>Balloons Writing Set</v>
      </c>
      <c r="I4444" s="3">
        <v>1.0</v>
      </c>
      <c r="J4444" s="7">
        <v>40886.43472222222</v>
      </c>
      <c r="K4444" s="8" t="str">
        <f t="shared" si="4"/>
        <v>2011-12</v>
      </c>
      <c r="L4444" s="5">
        <v>3.29</v>
      </c>
      <c r="M4444" s="10"/>
      <c r="N4444" s="1" t="str">
        <f t="shared" si="5"/>
        <v>Guest</v>
      </c>
      <c r="O4444" s="1" t="s">
        <v>19</v>
      </c>
      <c r="P4444" s="9" t="str">
        <f t="shared" si="6"/>
        <v>UK</v>
      </c>
      <c r="Q4444" s="8">
        <f t="shared" si="7"/>
        <v>3.29</v>
      </c>
    </row>
    <row r="4445">
      <c r="A4445" s="1">
        <v>581498.0</v>
      </c>
      <c r="B4445" s="1" t="str">
        <f t="shared" si="1"/>
        <v>581498</v>
      </c>
      <c r="C4445" s="1" t="str">
        <f t="shared" si="2"/>
        <v>Sale</v>
      </c>
      <c r="D4445" s="1">
        <v>21329.0</v>
      </c>
      <c r="E4445" s="1" t="str">
        <f>IFERROR(__xludf.DUMMYFUNCTION("IF(LEN(D4445)&gt;4, IFERROR(REGEXEXTRACT(TO_TEXT(D4445),""\d+""),""""),"""")"),"21329")</f>
        <v>21329</v>
      </c>
      <c r="F4445" s="6" t="str">
        <f t="shared" si="3"/>
        <v>Product</v>
      </c>
      <c r="G4445" s="1" t="s">
        <v>609</v>
      </c>
      <c r="H4445" s="6" t="str">
        <f>IFERROR(__xludf.DUMMYFUNCTION("IF(REGEXMATCH(LOWER(G4445), ""^(\?)+\s*(missing)?\s*(\?)*$""), """", PROPER(SUBSTITUTE(SUBSTITUTE(G4445, ""?"", """"), ""*"", """")))"),"Dinosaurs Writing Set")</f>
        <v>Dinosaurs Writing Set</v>
      </c>
      <c r="I4445" s="3">
        <v>1.0</v>
      </c>
      <c r="J4445" s="7">
        <v>40886.43472222222</v>
      </c>
      <c r="K4445" s="8" t="str">
        <f t="shared" si="4"/>
        <v>2011-12</v>
      </c>
      <c r="L4445" s="5">
        <v>3.29</v>
      </c>
      <c r="M4445" s="10"/>
      <c r="N4445" s="1" t="str">
        <f t="shared" si="5"/>
        <v>Guest</v>
      </c>
      <c r="O4445" s="1" t="s">
        <v>19</v>
      </c>
      <c r="P4445" s="9" t="str">
        <f t="shared" si="6"/>
        <v>UK</v>
      </c>
      <c r="Q4445" s="8">
        <f t="shared" si="7"/>
        <v>3.29</v>
      </c>
    </row>
    <row r="4446">
      <c r="A4446" s="1">
        <v>581498.0</v>
      </c>
      <c r="B4446" s="1" t="str">
        <f t="shared" si="1"/>
        <v>581498</v>
      </c>
      <c r="C4446" s="1" t="str">
        <f t="shared" si="2"/>
        <v>Sale</v>
      </c>
      <c r="D4446" s="1">
        <v>21411.0</v>
      </c>
      <c r="E4446" s="1" t="str">
        <f>IFERROR(__xludf.DUMMYFUNCTION("IF(LEN(D4446)&gt;4, IFERROR(REGEXEXTRACT(TO_TEXT(D4446),""\d+""),""""),"""")"),"21411")</f>
        <v>21411</v>
      </c>
      <c r="F4446" s="6" t="str">
        <f t="shared" si="3"/>
        <v>Product</v>
      </c>
      <c r="G4446" s="1" t="s">
        <v>188</v>
      </c>
      <c r="H4446" s="6" t="str">
        <f>IFERROR(__xludf.DUMMYFUNCTION("IF(REGEXMATCH(LOWER(G4446), ""^(\?)+\s*(missing)?\s*(\?)*$""), """", PROPER(SUBSTITUTE(SUBSTITUTE(G4446, ""?"", """"), ""*"", """")))"),"Gingham Heart Doorstop Red")</f>
        <v>Gingham Heart Doorstop Red</v>
      </c>
      <c r="I4446" s="3">
        <v>1.0</v>
      </c>
      <c r="J4446" s="7">
        <v>40886.43472222222</v>
      </c>
      <c r="K4446" s="8" t="str">
        <f t="shared" si="4"/>
        <v>2011-12</v>
      </c>
      <c r="L4446" s="5">
        <v>8.29</v>
      </c>
      <c r="M4446" s="10"/>
      <c r="N4446" s="1" t="str">
        <f t="shared" si="5"/>
        <v>Guest</v>
      </c>
      <c r="O4446" s="1" t="s">
        <v>19</v>
      </c>
      <c r="P4446" s="9" t="str">
        <f t="shared" si="6"/>
        <v>UK</v>
      </c>
      <c r="Q4446" s="8">
        <f t="shared" si="7"/>
        <v>8.29</v>
      </c>
    </row>
    <row r="4447">
      <c r="A4447" s="1">
        <v>581498.0</v>
      </c>
      <c r="B4447" s="1" t="str">
        <f t="shared" si="1"/>
        <v>581498</v>
      </c>
      <c r="C4447" s="1" t="str">
        <f t="shared" si="2"/>
        <v>Sale</v>
      </c>
      <c r="D4447" s="1">
        <v>21430.0</v>
      </c>
      <c r="E4447" s="1" t="str">
        <f>IFERROR(__xludf.DUMMYFUNCTION("IF(LEN(D4447)&gt;4, IFERROR(REGEXEXTRACT(TO_TEXT(D4447),""\d+""),""""),"""")"),"21430")</f>
        <v>21430</v>
      </c>
      <c r="F4447" s="6" t="str">
        <f t="shared" si="3"/>
        <v>Product</v>
      </c>
      <c r="G4447" s="1" t="s">
        <v>1318</v>
      </c>
      <c r="H4447" s="6" t="str">
        <f>IFERROR(__xludf.DUMMYFUNCTION("IF(REGEXMATCH(LOWER(G4447), ""^(\?)+\s*(missing)?\s*(\?)*$""), """", PROPER(SUBSTITUTE(SUBSTITUTE(G4447, ""?"", """"), ""*"", """")))"),"Set/3 Red Gingham Rose Storage Box")</f>
        <v>Set/3 Red Gingham Rose Storage Box</v>
      </c>
      <c r="I4447" s="3">
        <v>3.0</v>
      </c>
      <c r="J4447" s="7">
        <v>40886.43472222222</v>
      </c>
      <c r="K4447" s="8" t="str">
        <f t="shared" si="4"/>
        <v>2011-12</v>
      </c>
      <c r="L4447" s="5">
        <v>7.46</v>
      </c>
      <c r="M4447" s="10"/>
      <c r="N4447" s="1" t="str">
        <f t="shared" si="5"/>
        <v>Guest</v>
      </c>
      <c r="O4447" s="1" t="s">
        <v>19</v>
      </c>
      <c r="P4447" s="9" t="str">
        <f t="shared" si="6"/>
        <v>UK</v>
      </c>
      <c r="Q4447" s="8">
        <f t="shared" si="7"/>
        <v>22.38</v>
      </c>
    </row>
    <row r="4448">
      <c r="A4448" s="1">
        <v>581498.0</v>
      </c>
      <c r="B4448" s="1" t="str">
        <f t="shared" si="1"/>
        <v>581498</v>
      </c>
      <c r="C4448" s="1" t="str">
        <f t="shared" si="2"/>
        <v>Sale</v>
      </c>
      <c r="D4448" s="1">
        <v>21494.0</v>
      </c>
      <c r="E4448" s="1" t="str">
        <f>IFERROR(__xludf.DUMMYFUNCTION("IF(LEN(D4448)&gt;4, IFERROR(REGEXEXTRACT(TO_TEXT(D4448),""\d+""),""""),"""")"),"21494")</f>
        <v>21494</v>
      </c>
      <c r="F4448" s="6" t="str">
        <f t="shared" si="3"/>
        <v>Product</v>
      </c>
      <c r="G4448" s="1" t="s">
        <v>508</v>
      </c>
      <c r="H4448" s="6" t="str">
        <f>IFERROR(__xludf.DUMMYFUNCTION("IF(REGEXMATCH(LOWER(G4448), ""^(\?)+\s*(missing)?\s*(\?)*$""), """", PROPER(SUBSTITUTE(SUBSTITUTE(G4448, ""?"", """"), ""*"", """")))"),"Rotating Leaves T-Light Holder")</f>
        <v>Rotating Leaves T-Light Holder</v>
      </c>
      <c r="I4448" s="3">
        <v>7.0</v>
      </c>
      <c r="J4448" s="7">
        <v>40886.43472222222</v>
      </c>
      <c r="K4448" s="8" t="str">
        <f t="shared" si="4"/>
        <v>2011-12</v>
      </c>
      <c r="L4448" s="5">
        <v>5.79</v>
      </c>
      <c r="M4448" s="10"/>
      <c r="N4448" s="1" t="str">
        <f t="shared" si="5"/>
        <v>Guest</v>
      </c>
      <c r="O4448" s="1" t="s">
        <v>19</v>
      </c>
      <c r="P4448" s="9" t="str">
        <f t="shared" si="6"/>
        <v>UK</v>
      </c>
      <c r="Q4448" s="8">
        <f t="shared" si="7"/>
        <v>40.53</v>
      </c>
    </row>
    <row r="4449">
      <c r="A4449" s="1">
        <v>581498.0</v>
      </c>
      <c r="B4449" s="1" t="str">
        <f t="shared" si="1"/>
        <v>581498</v>
      </c>
      <c r="C4449" s="1" t="str">
        <f t="shared" si="2"/>
        <v>Sale</v>
      </c>
      <c r="D4449" s="1">
        <v>21523.0</v>
      </c>
      <c r="E4449" s="1" t="str">
        <f>IFERROR(__xludf.DUMMYFUNCTION("IF(LEN(D4449)&gt;4, IFERROR(REGEXEXTRACT(TO_TEXT(D4449),""\d+""),""""),"""")"),"21523")</f>
        <v>21523</v>
      </c>
      <c r="F4449" s="6" t="str">
        <f t="shared" si="3"/>
        <v>Product</v>
      </c>
      <c r="G4449" s="1" t="s">
        <v>146</v>
      </c>
      <c r="H4449" s="6" t="str">
        <f>IFERROR(__xludf.DUMMYFUNCTION("IF(REGEXMATCH(LOWER(G4449), ""^(\?)+\s*(missing)?\s*(\?)*$""), """", PROPER(SUBSTITUTE(SUBSTITUTE(G4449, ""?"", """"), ""*"", """")))"),"Doormat Fancy Font Home Sweet Home")</f>
        <v>Doormat Fancy Font Home Sweet Home</v>
      </c>
      <c r="I4449" s="3">
        <v>1.0</v>
      </c>
      <c r="J4449" s="7">
        <v>40886.43472222222</v>
      </c>
      <c r="K4449" s="8" t="str">
        <f t="shared" si="4"/>
        <v>2011-12</v>
      </c>
      <c r="L4449" s="5">
        <v>16.63</v>
      </c>
      <c r="M4449" s="10"/>
      <c r="N4449" s="1" t="str">
        <f t="shared" si="5"/>
        <v>Guest</v>
      </c>
      <c r="O4449" s="1" t="s">
        <v>19</v>
      </c>
      <c r="P4449" s="9" t="str">
        <f t="shared" si="6"/>
        <v>UK</v>
      </c>
      <c r="Q4449" s="8">
        <f t="shared" si="7"/>
        <v>16.63</v>
      </c>
    </row>
    <row r="4450">
      <c r="A4450" s="1">
        <v>581498.0</v>
      </c>
      <c r="B4450" s="1" t="str">
        <f t="shared" si="1"/>
        <v>581498</v>
      </c>
      <c r="C4450" s="1" t="str">
        <f t="shared" si="2"/>
        <v>Sale</v>
      </c>
      <c r="D4450" s="1">
        <v>21557.0</v>
      </c>
      <c r="E4450" s="1" t="str">
        <f>IFERROR(__xludf.DUMMYFUNCTION("IF(LEN(D4450)&gt;4, IFERROR(REGEXEXTRACT(TO_TEXT(D4450),""\d+""),""""),"""")"),"21557")</f>
        <v>21557</v>
      </c>
      <c r="F4450" s="6" t="str">
        <f t="shared" si="3"/>
        <v>Product</v>
      </c>
      <c r="G4450" s="1" t="s">
        <v>136</v>
      </c>
      <c r="H4450" s="6" t="str">
        <f>IFERROR(__xludf.DUMMYFUNCTION("IF(REGEXMATCH(LOWER(G4450), ""^(\?)+\s*(missing)?\s*(\?)*$""), """", PROPER(SUBSTITUTE(SUBSTITUTE(G4450, ""?"", """"), ""*"", """")))"),"Set Of 6 Funky Beakers")</f>
        <v>Set Of 6 Funky Beakers</v>
      </c>
      <c r="I4450" s="3">
        <v>1.0</v>
      </c>
      <c r="J4450" s="7">
        <v>40886.43472222222</v>
      </c>
      <c r="K4450" s="8" t="str">
        <f t="shared" si="4"/>
        <v>2011-12</v>
      </c>
      <c r="L4450" s="5">
        <v>5.63</v>
      </c>
      <c r="M4450" s="10"/>
      <c r="N4450" s="1" t="str">
        <f t="shared" si="5"/>
        <v>Guest</v>
      </c>
      <c r="O4450" s="1" t="s">
        <v>19</v>
      </c>
      <c r="P4450" s="9" t="str">
        <f t="shared" si="6"/>
        <v>UK</v>
      </c>
      <c r="Q4450" s="8">
        <f t="shared" si="7"/>
        <v>5.63</v>
      </c>
    </row>
    <row r="4451">
      <c r="A4451" s="1">
        <v>581498.0</v>
      </c>
      <c r="B4451" s="1" t="str">
        <f t="shared" si="1"/>
        <v>581498</v>
      </c>
      <c r="C4451" s="1" t="str">
        <f t="shared" si="2"/>
        <v>Sale</v>
      </c>
      <c r="D4451" s="1">
        <v>21558.0</v>
      </c>
      <c r="E4451" s="1" t="str">
        <f>IFERROR(__xludf.DUMMYFUNCTION("IF(LEN(D4451)&gt;4, IFERROR(REGEXEXTRACT(TO_TEXT(D4451),""\d+""),""""),"""")"),"21558")</f>
        <v>21558</v>
      </c>
      <c r="F4451" s="6" t="str">
        <f t="shared" si="3"/>
        <v>Product</v>
      </c>
      <c r="G4451" s="1" t="s">
        <v>810</v>
      </c>
      <c r="H4451" s="6" t="str">
        <f>IFERROR(__xludf.DUMMYFUNCTION("IF(REGEXMATCH(LOWER(G4451), ""^(\?)+\s*(missing)?\s*(\?)*$""), """", PROPER(SUBSTITUTE(SUBSTITUTE(G4451, ""?"", """"), ""*"", """")))"),"Skull Lunch Box With Cutlery")</f>
        <v>Skull Lunch Box With Cutlery</v>
      </c>
      <c r="I4451" s="3">
        <v>1.0</v>
      </c>
      <c r="J4451" s="7">
        <v>40886.43472222222</v>
      </c>
      <c r="K4451" s="8" t="str">
        <f t="shared" si="4"/>
        <v>2011-12</v>
      </c>
      <c r="L4451" s="5">
        <v>4.96</v>
      </c>
      <c r="M4451" s="10"/>
      <c r="N4451" s="1" t="str">
        <f t="shared" si="5"/>
        <v>Guest</v>
      </c>
      <c r="O4451" s="1" t="s">
        <v>19</v>
      </c>
      <c r="P4451" s="9" t="str">
        <f t="shared" si="6"/>
        <v>UK</v>
      </c>
      <c r="Q4451" s="8">
        <f t="shared" si="7"/>
        <v>4.96</v>
      </c>
    </row>
    <row r="4452">
      <c r="A4452" s="1">
        <v>581498.0</v>
      </c>
      <c r="B4452" s="1" t="str">
        <f t="shared" si="1"/>
        <v>581498</v>
      </c>
      <c r="C4452" s="1" t="str">
        <f t="shared" si="2"/>
        <v>Sale</v>
      </c>
      <c r="D4452" s="1">
        <v>21731.0</v>
      </c>
      <c r="E4452" s="1" t="str">
        <f>IFERROR(__xludf.DUMMYFUNCTION("IF(LEN(D4452)&gt;4, IFERROR(REGEXEXTRACT(TO_TEXT(D4452),""\d+""),""""),"""")"),"21731")</f>
        <v>21731</v>
      </c>
      <c r="F4452" s="6" t="str">
        <f t="shared" si="3"/>
        <v>Product</v>
      </c>
      <c r="G4452" s="1" t="s">
        <v>62</v>
      </c>
      <c r="H4452" s="6" t="str">
        <f>IFERROR(__xludf.DUMMYFUNCTION("IF(REGEXMATCH(LOWER(G4452), ""^(\?)+\s*(missing)?\s*(\?)*$""), """", PROPER(SUBSTITUTE(SUBSTITUTE(G4452, ""?"", """"), ""*"", """")))"),"Red Toadstool Led Night Light")</f>
        <v>Red Toadstool Led Night Light</v>
      </c>
      <c r="I4452" s="3">
        <v>9.0</v>
      </c>
      <c r="J4452" s="7">
        <v>40886.43472222222</v>
      </c>
      <c r="K4452" s="8" t="str">
        <f t="shared" si="4"/>
        <v>2011-12</v>
      </c>
      <c r="L4452" s="5">
        <v>4.13</v>
      </c>
      <c r="M4452" s="10"/>
      <c r="N4452" s="1" t="str">
        <f t="shared" si="5"/>
        <v>Guest</v>
      </c>
      <c r="O4452" s="1" t="s">
        <v>19</v>
      </c>
      <c r="P4452" s="9" t="str">
        <f t="shared" si="6"/>
        <v>UK</v>
      </c>
      <c r="Q4452" s="8">
        <f t="shared" si="7"/>
        <v>37.17</v>
      </c>
    </row>
    <row r="4453">
      <c r="A4453" s="1">
        <v>581498.0</v>
      </c>
      <c r="B4453" s="1" t="str">
        <f t="shared" si="1"/>
        <v>581498</v>
      </c>
      <c r="C4453" s="1" t="str">
        <f t="shared" si="2"/>
        <v>Sale</v>
      </c>
      <c r="D4453" s="1">
        <v>21754.0</v>
      </c>
      <c r="E4453" s="1" t="str">
        <f>IFERROR(__xludf.DUMMYFUNCTION("IF(LEN(D4453)&gt;4, IFERROR(REGEXEXTRACT(TO_TEXT(D4453),""\d+""),""""),"""")"),"21754")</f>
        <v>21754</v>
      </c>
      <c r="F4453" s="6" t="str">
        <f t="shared" si="3"/>
        <v>Product</v>
      </c>
      <c r="G4453" s="1" t="s">
        <v>39</v>
      </c>
      <c r="H4453" s="6" t="str">
        <f>IFERROR(__xludf.DUMMYFUNCTION("IF(REGEXMATCH(LOWER(G4453), ""^(\?)+\s*(missing)?\s*(\?)*$""), """", PROPER(SUBSTITUTE(SUBSTITUTE(G4453, ""?"", """"), ""*"", """")))"),"Home Building Block Word")</f>
        <v>Home Building Block Word</v>
      </c>
      <c r="I4453" s="3">
        <v>2.0</v>
      </c>
      <c r="J4453" s="7">
        <v>40886.43472222222</v>
      </c>
      <c r="K4453" s="8" t="str">
        <f t="shared" si="4"/>
        <v>2011-12</v>
      </c>
      <c r="L4453" s="5">
        <v>11.63</v>
      </c>
      <c r="M4453" s="10"/>
      <c r="N4453" s="1" t="str">
        <f t="shared" si="5"/>
        <v>Guest</v>
      </c>
      <c r="O4453" s="1" t="s">
        <v>19</v>
      </c>
      <c r="P4453" s="9" t="str">
        <f t="shared" si="6"/>
        <v>UK</v>
      </c>
      <c r="Q4453" s="8">
        <f t="shared" si="7"/>
        <v>23.26</v>
      </c>
    </row>
    <row r="4454">
      <c r="A4454" s="1">
        <v>581498.0</v>
      </c>
      <c r="B4454" s="1" t="str">
        <f t="shared" si="1"/>
        <v>581498</v>
      </c>
      <c r="C4454" s="1" t="str">
        <f t="shared" si="2"/>
        <v>Sale</v>
      </c>
      <c r="D4454" s="1">
        <v>21790.0</v>
      </c>
      <c r="E4454" s="1" t="str">
        <f>IFERROR(__xludf.DUMMYFUNCTION("IF(LEN(D4454)&gt;4, IFERROR(REGEXEXTRACT(TO_TEXT(D4454),""\d+""),""""),"""")"),"21790")</f>
        <v>21790</v>
      </c>
      <c r="F4454" s="6" t="str">
        <f t="shared" si="3"/>
        <v>Product</v>
      </c>
      <c r="G4454" s="1" t="s">
        <v>477</v>
      </c>
      <c r="H4454" s="6" t="str">
        <f>IFERROR(__xludf.DUMMYFUNCTION("IF(REGEXMATCH(LOWER(G4454), ""^(\?)+\s*(missing)?\s*(\?)*$""), """", PROPER(SUBSTITUTE(SUBSTITUTE(G4454, ""?"", """"), ""*"", """")))"),"Vintage Snap Cards")</f>
        <v>Vintage Snap Cards</v>
      </c>
      <c r="I4454" s="3">
        <v>1.0</v>
      </c>
      <c r="J4454" s="7">
        <v>40886.43472222222</v>
      </c>
      <c r="K4454" s="8" t="str">
        <f t="shared" si="4"/>
        <v>2011-12</v>
      </c>
      <c r="L4454" s="5">
        <v>1.63</v>
      </c>
      <c r="M4454" s="10"/>
      <c r="N4454" s="1" t="str">
        <f t="shared" si="5"/>
        <v>Guest</v>
      </c>
      <c r="O4454" s="1" t="s">
        <v>19</v>
      </c>
      <c r="P4454" s="9" t="str">
        <f t="shared" si="6"/>
        <v>UK</v>
      </c>
      <c r="Q4454" s="8">
        <f t="shared" si="7"/>
        <v>1.63</v>
      </c>
    </row>
    <row r="4455">
      <c r="A4455" s="1">
        <v>581498.0</v>
      </c>
      <c r="B4455" s="1" t="str">
        <f t="shared" si="1"/>
        <v>581498</v>
      </c>
      <c r="C4455" s="1" t="str">
        <f t="shared" si="2"/>
        <v>Sale</v>
      </c>
      <c r="D4455" s="1">
        <v>21843.0</v>
      </c>
      <c r="E4455" s="1" t="str">
        <f>IFERROR(__xludf.DUMMYFUNCTION("IF(LEN(D4455)&gt;4, IFERROR(REGEXEXTRACT(TO_TEXT(D4455),""\d+""),""""),"""")"),"21843")</f>
        <v>21843</v>
      </c>
      <c r="F4455" s="6" t="str">
        <f t="shared" si="3"/>
        <v>Product</v>
      </c>
      <c r="G4455" s="1" t="s">
        <v>816</v>
      </c>
      <c r="H4455" s="6" t="str">
        <f>IFERROR(__xludf.DUMMYFUNCTION("IF(REGEXMATCH(LOWER(G4455), ""^(\?)+\s*(missing)?\s*(\?)*$""), """", PROPER(SUBSTITUTE(SUBSTITUTE(G4455, ""?"", """"), ""*"", """")))"),"Red Retrospot Cake Stand")</f>
        <v>Red Retrospot Cake Stand</v>
      </c>
      <c r="I4455" s="3">
        <v>5.0</v>
      </c>
      <c r="J4455" s="7">
        <v>40886.43472222222</v>
      </c>
      <c r="K4455" s="8" t="str">
        <f t="shared" si="4"/>
        <v>2011-12</v>
      </c>
      <c r="L4455" s="5">
        <v>20.79</v>
      </c>
      <c r="M4455" s="10"/>
      <c r="N4455" s="1" t="str">
        <f t="shared" si="5"/>
        <v>Guest</v>
      </c>
      <c r="O4455" s="1" t="s">
        <v>19</v>
      </c>
      <c r="P4455" s="9" t="str">
        <f t="shared" si="6"/>
        <v>UK</v>
      </c>
      <c r="Q4455" s="8">
        <f t="shared" si="7"/>
        <v>103.95</v>
      </c>
    </row>
    <row r="4456">
      <c r="A4456" s="1">
        <v>581498.0</v>
      </c>
      <c r="B4456" s="1" t="str">
        <f t="shared" si="1"/>
        <v>581498</v>
      </c>
      <c r="C4456" s="1" t="str">
        <f t="shared" si="2"/>
        <v>Sale</v>
      </c>
      <c r="D4456" s="1">
        <v>21864.0</v>
      </c>
      <c r="E4456" s="1" t="str">
        <f>IFERROR(__xludf.DUMMYFUNCTION("IF(LEN(D4456)&gt;4, IFERROR(REGEXEXTRACT(TO_TEXT(D4456),""\d+""),""""),"""")"),"21864")</f>
        <v>21864</v>
      </c>
      <c r="F4456" s="6" t="str">
        <f t="shared" si="3"/>
        <v>Product</v>
      </c>
      <c r="G4456" s="1" t="s">
        <v>1029</v>
      </c>
      <c r="H4456" s="6" t="str">
        <f>IFERROR(__xludf.DUMMYFUNCTION("IF(REGEXMATCH(LOWER(G4456), ""^(\?)+\s*(missing)?\s*(\?)*$""), """", PROPER(SUBSTITUTE(SUBSTITUTE(G4456, ""?"", """"), ""*"", """")))"),"Union Jack Flag Passport Cover")</f>
        <v>Union Jack Flag Passport Cover</v>
      </c>
      <c r="I4456" s="3">
        <v>2.0</v>
      </c>
      <c r="J4456" s="7">
        <v>40886.43472222222</v>
      </c>
      <c r="K4456" s="8" t="str">
        <f t="shared" si="4"/>
        <v>2011-12</v>
      </c>
      <c r="L4456" s="5">
        <v>4.13</v>
      </c>
      <c r="M4456" s="10"/>
      <c r="N4456" s="1" t="str">
        <f t="shared" si="5"/>
        <v>Guest</v>
      </c>
      <c r="O4456" s="1" t="s">
        <v>19</v>
      </c>
      <c r="P4456" s="9" t="str">
        <f t="shared" si="6"/>
        <v>UK</v>
      </c>
      <c r="Q4456" s="8">
        <f t="shared" si="7"/>
        <v>8.26</v>
      </c>
    </row>
    <row r="4457">
      <c r="A4457" s="1">
        <v>581498.0</v>
      </c>
      <c r="B4457" s="1" t="str">
        <f t="shared" si="1"/>
        <v>581498</v>
      </c>
      <c r="C4457" s="1" t="str">
        <f t="shared" si="2"/>
        <v>Sale</v>
      </c>
      <c r="D4457" s="1">
        <v>21874.0</v>
      </c>
      <c r="E4457" s="1" t="str">
        <f>IFERROR(__xludf.DUMMYFUNCTION("IF(LEN(D4457)&gt;4, IFERROR(REGEXEXTRACT(TO_TEXT(D4457),""\d+""),""""),"""")"),"21874")</f>
        <v>21874</v>
      </c>
      <c r="F4457" s="6" t="str">
        <f t="shared" si="3"/>
        <v>Product</v>
      </c>
      <c r="G4457" s="1" t="s">
        <v>1599</v>
      </c>
      <c r="H4457" s="6" t="str">
        <f>IFERROR(__xludf.DUMMYFUNCTION("IF(REGEXMATCH(LOWER(G4457), ""^(\?)+\s*(missing)?\s*(\?)*$""), """", PROPER(SUBSTITUTE(SUBSTITUTE(G4457, ""?"", """"), ""*"", """")))"),"Gin And Tonic Mug")</f>
        <v>Gin And Tonic Mug</v>
      </c>
      <c r="I4457" s="3">
        <v>2.0</v>
      </c>
      <c r="J4457" s="7">
        <v>40886.43472222222</v>
      </c>
      <c r="K4457" s="8" t="str">
        <f t="shared" si="4"/>
        <v>2011-12</v>
      </c>
      <c r="L4457" s="5">
        <v>3.29</v>
      </c>
      <c r="M4457" s="10"/>
      <c r="N4457" s="1" t="str">
        <f t="shared" si="5"/>
        <v>Guest</v>
      </c>
      <c r="O4457" s="1" t="s">
        <v>19</v>
      </c>
      <c r="P4457" s="9" t="str">
        <f t="shared" si="6"/>
        <v>UK</v>
      </c>
      <c r="Q4457" s="8">
        <f t="shared" si="7"/>
        <v>6.58</v>
      </c>
    </row>
    <row r="4458">
      <c r="A4458" s="1">
        <v>581498.0</v>
      </c>
      <c r="B4458" s="1" t="str">
        <f t="shared" si="1"/>
        <v>581498</v>
      </c>
      <c r="C4458" s="1" t="str">
        <f t="shared" si="2"/>
        <v>Sale</v>
      </c>
      <c r="D4458" s="1">
        <v>21876.0</v>
      </c>
      <c r="E4458" s="1" t="str">
        <f>IFERROR(__xludf.DUMMYFUNCTION("IF(LEN(D4458)&gt;4, IFERROR(REGEXEXTRACT(TO_TEXT(D4458),""\d+""),""""),"""")"),"21876")</f>
        <v>21876</v>
      </c>
      <c r="F4458" s="6" t="str">
        <f t="shared" si="3"/>
        <v>Product</v>
      </c>
      <c r="G4458" s="1" t="s">
        <v>1089</v>
      </c>
      <c r="H4458" s="6" t="str">
        <f>IFERROR(__xludf.DUMMYFUNCTION("IF(REGEXMATCH(LOWER(G4458), ""^(\?)+\s*(missing)?\s*(\?)*$""), """", PROPER(SUBSTITUTE(SUBSTITUTE(G4458, ""?"", """"), ""*"", """")))"),"Pottering Mug")</f>
        <v>Pottering Mug</v>
      </c>
      <c r="I4458" s="3">
        <v>4.0</v>
      </c>
      <c r="J4458" s="7">
        <v>40886.43472222222</v>
      </c>
      <c r="K4458" s="8" t="str">
        <f t="shared" si="4"/>
        <v>2011-12</v>
      </c>
      <c r="L4458" s="5">
        <v>3.29</v>
      </c>
      <c r="M4458" s="10"/>
      <c r="N4458" s="1" t="str">
        <f t="shared" si="5"/>
        <v>Guest</v>
      </c>
      <c r="O4458" s="1" t="s">
        <v>19</v>
      </c>
      <c r="P4458" s="9" t="str">
        <f t="shared" si="6"/>
        <v>UK</v>
      </c>
      <c r="Q4458" s="8">
        <f t="shared" si="7"/>
        <v>13.16</v>
      </c>
    </row>
    <row r="4459">
      <c r="A4459" s="1">
        <v>581498.0</v>
      </c>
      <c r="B4459" s="1" t="str">
        <f t="shared" si="1"/>
        <v>581498</v>
      </c>
      <c r="C4459" s="1" t="str">
        <f t="shared" si="2"/>
        <v>Sale</v>
      </c>
      <c r="D4459" s="1">
        <v>21890.0</v>
      </c>
      <c r="E4459" s="1" t="str">
        <f>IFERROR(__xludf.DUMMYFUNCTION("IF(LEN(D4459)&gt;4, IFERROR(REGEXEXTRACT(TO_TEXT(D4459),""\d+""),""""),"""")"),"21890")</f>
        <v>21890</v>
      </c>
      <c r="F4459" s="6" t="str">
        <f t="shared" si="3"/>
        <v>Product</v>
      </c>
      <c r="G4459" s="1" t="s">
        <v>511</v>
      </c>
      <c r="H4459" s="6" t="str">
        <f>IFERROR(__xludf.DUMMYFUNCTION("IF(REGEXMATCH(LOWER(G4459), ""^(\?)+\s*(missing)?\s*(\?)*$""), """", PROPER(SUBSTITUTE(SUBSTITUTE(G4459, ""?"", """"), ""*"", """")))"),"S/6 Wooden Skittles In Cotton Bag")</f>
        <v>S/6 Wooden Skittles In Cotton Bag</v>
      </c>
      <c r="I4459" s="3">
        <v>1.0</v>
      </c>
      <c r="J4459" s="7">
        <v>40886.43472222222</v>
      </c>
      <c r="K4459" s="8" t="str">
        <f t="shared" si="4"/>
        <v>2011-12</v>
      </c>
      <c r="L4459" s="5">
        <v>5.79</v>
      </c>
      <c r="M4459" s="10"/>
      <c r="N4459" s="1" t="str">
        <f t="shared" si="5"/>
        <v>Guest</v>
      </c>
      <c r="O4459" s="1" t="s">
        <v>19</v>
      </c>
      <c r="P4459" s="9" t="str">
        <f t="shared" si="6"/>
        <v>UK</v>
      </c>
      <c r="Q4459" s="8">
        <f t="shared" si="7"/>
        <v>5.79</v>
      </c>
    </row>
    <row r="4460">
      <c r="A4460" s="1">
        <v>581498.0</v>
      </c>
      <c r="B4460" s="1" t="str">
        <f t="shared" si="1"/>
        <v>581498</v>
      </c>
      <c r="C4460" s="1" t="str">
        <f t="shared" si="2"/>
        <v>Sale</v>
      </c>
      <c r="D4460" s="1">
        <v>21912.0</v>
      </c>
      <c r="E4460" s="1" t="str">
        <f>IFERROR(__xludf.DUMMYFUNCTION("IF(LEN(D4460)&gt;4, IFERROR(REGEXEXTRACT(TO_TEXT(D4460),""\d+""),""""),"""")"),"21912")</f>
        <v>21912</v>
      </c>
      <c r="F4460" s="6" t="str">
        <f t="shared" si="3"/>
        <v>Product</v>
      </c>
      <c r="G4460" s="1" t="s">
        <v>150</v>
      </c>
      <c r="H4460" s="6" t="str">
        <f>IFERROR(__xludf.DUMMYFUNCTION("IF(REGEXMATCH(LOWER(G4460), ""^(\?)+\s*(missing)?\s*(\?)*$""), """", PROPER(SUBSTITUTE(SUBSTITUTE(G4460, ""?"", """"), ""*"", """")))"),"Vintage Snakes &amp; Ladders")</f>
        <v>Vintage Snakes &amp; Ladders</v>
      </c>
      <c r="I4460" s="3">
        <v>1.0</v>
      </c>
      <c r="J4460" s="7">
        <v>40886.43472222222</v>
      </c>
      <c r="K4460" s="8" t="str">
        <f t="shared" si="4"/>
        <v>2011-12</v>
      </c>
      <c r="L4460" s="5">
        <v>7.46</v>
      </c>
      <c r="M4460" s="10"/>
      <c r="N4460" s="1" t="str">
        <f t="shared" si="5"/>
        <v>Guest</v>
      </c>
      <c r="O4460" s="1" t="s">
        <v>19</v>
      </c>
      <c r="P4460" s="9" t="str">
        <f t="shared" si="6"/>
        <v>UK</v>
      </c>
      <c r="Q4460" s="8">
        <f t="shared" si="7"/>
        <v>7.46</v>
      </c>
    </row>
    <row r="4461">
      <c r="A4461" s="1">
        <v>581498.0</v>
      </c>
      <c r="B4461" s="1" t="str">
        <f t="shared" si="1"/>
        <v>581498</v>
      </c>
      <c r="C4461" s="1" t="str">
        <f t="shared" si="2"/>
        <v>Sale</v>
      </c>
      <c r="D4461" s="1">
        <v>21916.0</v>
      </c>
      <c r="E4461" s="1" t="str">
        <f>IFERROR(__xludf.DUMMYFUNCTION("IF(LEN(D4461)&gt;4, IFERROR(REGEXEXTRACT(TO_TEXT(D4461),""\d+""),""""),"""")"),"21916")</f>
        <v>21916</v>
      </c>
      <c r="F4461" s="6" t="str">
        <f t="shared" si="3"/>
        <v>Product</v>
      </c>
      <c r="G4461" s="1" t="s">
        <v>493</v>
      </c>
      <c r="H4461" s="6" t="str">
        <f>IFERROR(__xludf.DUMMYFUNCTION("IF(REGEXMATCH(LOWER(G4461), ""^(\?)+\s*(missing)?\s*(\?)*$""), """", PROPER(SUBSTITUTE(SUBSTITUTE(G4461, ""?"", """"), ""*"", """")))"),"Set 12 Retro White Chalk Sticks")</f>
        <v>Set 12 Retro White Chalk Sticks</v>
      </c>
      <c r="I4461" s="3">
        <v>7.0</v>
      </c>
      <c r="J4461" s="7">
        <v>40886.43472222222</v>
      </c>
      <c r="K4461" s="8" t="str">
        <f t="shared" si="4"/>
        <v>2011-12</v>
      </c>
      <c r="L4461" s="5">
        <v>0.79</v>
      </c>
      <c r="M4461" s="10"/>
      <c r="N4461" s="1" t="str">
        <f t="shared" si="5"/>
        <v>Guest</v>
      </c>
      <c r="O4461" s="1" t="s">
        <v>19</v>
      </c>
      <c r="P4461" s="9" t="str">
        <f t="shared" si="6"/>
        <v>UK</v>
      </c>
      <c r="Q4461" s="8">
        <f t="shared" si="7"/>
        <v>5.53</v>
      </c>
    </row>
    <row r="4462">
      <c r="A4462" s="1">
        <v>581498.0</v>
      </c>
      <c r="B4462" s="1" t="str">
        <f t="shared" si="1"/>
        <v>581498</v>
      </c>
      <c r="C4462" s="1" t="str">
        <f t="shared" si="2"/>
        <v>Sale</v>
      </c>
      <c r="D4462" s="1">
        <v>21928.0</v>
      </c>
      <c r="E4462" s="1" t="str">
        <f>IFERROR(__xludf.DUMMYFUNCTION("IF(LEN(D4462)&gt;4, IFERROR(REGEXEXTRACT(TO_TEXT(D4462),""\d+""),""""),"""")"),"21928")</f>
        <v>21928</v>
      </c>
      <c r="F4462" s="6" t="str">
        <f t="shared" si="3"/>
        <v>Product</v>
      </c>
      <c r="G4462" s="1" t="s">
        <v>1177</v>
      </c>
      <c r="H4462" s="6" t="str">
        <f>IFERROR(__xludf.DUMMYFUNCTION("IF(REGEXMATCH(LOWER(G4462), ""^(\?)+\s*(missing)?\s*(\?)*$""), """", PROPER(SUBSTITUTE(SUBSTITUTE(G4462, ""?"", """"), ""*"", """")))"),"Jumbo Bag Scandinavian Blue Paisley")</f>
        <v>Jumbo Bag Scandinavian Blue Paisley</v>
      </c>
      <c r="I4462" s="3">
        <v>2.0</v>
      </c>
      <c r="J4462" s="7">
        <v>40886.43472222222</v>
      </c>
      <c r="K4462" s="8" t="str">
        <f t="shared" si="4"/>
        <v>2011-12</v>
      </c>
      <c r="L4462" s="5">
        <v>4.13</v>
      </c>
      <c r="M4462" s="10"/>
      <c r="N4462" s="1" t="str">
        <f t="shared" si="5"/>
        <v>Guest</v>
      </c>
      <c r="O4462" s="1" t="s">
        <v>19</v>
      </c>
      <c r="P4462" s="9" t="str">
        <f t="shared" si="6"/>
        <v>UK</v>
      </c>
      <c r="Q4462" s="8">
        <f t="shared" si="7"/>
        <v>8.26</v>
      </c>
    </row>
    <row r="4463">
      <c r="A4463" s="1">
        <v>581498.0</v>
      </c>
      <c r="B4463" s="1" t="str">
        <f t="shared" si="1"/>
        <v>581498</v>
      </c>
      <c r="C4463" s="1" t="str">
        <f t="shared" si="2"/>
        <v>Sale</v>
      </c>
      <c r="D4463" s="1">
        <v>21930.0</v>
      </c>
      <c r="E4463" s="1" t="str">
        <f>IFERROR(__xludf.DUMMYFUNCTION("IF(LEN(D4463)&gt;4, IFERROR(REGEXEXTRACT(TO_TEXT(D4463),""\d+""),""""),"""")"),"21930")</f>
        <v>21930</v>
      </c>
      <c r="F4463" s="6" t="str">
        <f t="shared" si="3"/>
        <v>Product</v>
      </c>
      <c r="G4463" s="1" t="s">
        <v>805</v>
      </c>
      <c r="H4463" s="6" t="str">
        <f>IFERROR(__xludf.DUMMYFUNCTION("IF(REGEXMATCH(LOWER(G4463), ""^(\?)+\s*(missing)?\s*(\?)*$""), """", PROPER(SUBSTITUTE(SUBSTITUTE(G4463, ""?"", """"), ""*"", """")))"),"Jumbo Storage Bag Skulls")</f>
        <v>Jumbo Storage Bag Skulls</v>
      </c>
      <c r="I4463" s="3">
        <v>2.0</v>
      </c>
      <c r="J4463" s="7">
        <v>40886.43472222222</v>
      </c>
      <c r="K4463" s="8" t="str">
        <f t="shared" si="4"/>
        <v>2011-12</v>
      </c>
      <c r="L4463" s="5">
        <v>4.13</v>
      </c>
      <c r="M4463" s="10"/>
      <c r="N4463" s="1" t="str">
        <f t="shared" si="5"/>
        <v>Guest</v>
      </c>
      <c r="O4463" s="1" t="s">
        <v>19</v>
      </c>
      <c r="P4463" s="9" t="str">
        <f t="shared" si="6"/>
        <v>UK</v>
      </c>
      <c r="Q4463" s="8">
        <f t="shared" si="7"/>
        <v>8.26</v>
      </c>
    </row>
    <row r="4464">
      <c r="A4464" s="1">
        <v>581498.0</v>
      </c>
      <c r="B4464" s="1" t="str">
        <f t="shared" si="1"/>
        <v>581498</v>
      </c>
      <c r="C4464" s="1" t="str">
        <f t="shared" si="2"/>
        <v>Sale</v>
      </c>
      <c r="D4464" s="1">
        <v>21931.0</v>
      </c>
      <c r="E4464" s="1" t="str">
        <f>IFERROR(__xludf.DUMMYFUNCTION("IF(LEN(D4464)&gt;4, IFERROR(REGEXEXTRACT(TO_TEXT(D4464),""\d+""),""""),"""")"),"21931")</f>
        <v>21931</v>
      </c>
      <c r="F4464" s="6" t="str">
        <f t="shared" si="3"/>
        <v>Product</v>
      </c>
      <c r="G4464" s="1" t="s">
        <v>107</v>
      </c>
      <c r="H4464" s="6" t="str">
        <f>IFERROR(__xludf.DUMMYFUNCTION("IF(REGEXMATCH(LOWER(G4464), ""^(\?)+\s*(missing)?\s*(\?)*$""), """", PROPER(SUBSTITUTE(SUBSTITUTE(G4464, ""?"", """"), ""*"", """")))"),"Jumbo Storage Bag Suki")</f>
        <v>Jumbo Storage Bag Suki</v>
      </c>
      <c r="I4464" s="3">
        <v>6.0</v>
      </c>
      <c r="J4464" s="7">
        <v>40886.43472222222</v>
      </c>
      <c r="K4464" s="8" t="str">
        <f t="shared" si="4"/>
        <v>2011-12</v>
      </c>
      <c r="L4464" s="5">
        <v>4.13</v>
      </c>
      <c r="M4464" s="10"/>
      <c r="N4464" s="1" t="str">
        <f t="shared" si="5"/>
        <v>Guest</v>
      </c>
      <c r="O4464" s="1" t="s">
        <v>19</v>
      </c>
      <c r="P4464" s="9" t="str">
        <f t="shared" si="6"/>
        <v>UK</v>
      </c>
      <c r="Q4464" s="8">
        <f t="shared" si="7"/>
        <v>24.78</v>
      </c>
    </row>
    <row r="4465">
      <c r="A4465" s="1">
        <v>581498.0</v>
      </c>
      <c r="B4465" s="1" t="str">
        <f t="shared" si="1"/>
        <v>581498</v>
      </c>
      <c r="C4465" s="1" t="str">
        <f t="shared" si="2"/>
        <v>Sale</v>
      </c>
      <c r="D4465" s="1">
        <v>21934.0</v>
      </c>
      <c r="E4465" s="1" t="str">
        <f>IFERROR(__xludf.DUMMYFUNCTION("IF(LEN(D4465)&gt;4, IFERROR(REGEXEXTRACT(TO_TEXT(D4465),""\d+""),""""),"""")"),"21934")</f>
        <v>21934</v>
      </c>
      <c r="F4465" s="6" t="str">
        <f t="shared" si="3"/>
        <v>Product</v>
      </c>
      <c r="G4465" s="1" t="s">
        <v>120</v>
      </c>
      <c r="H4465" s="6" t="str">
        <f>IFERROR(__xludf.DUMMYFUNCTION("IF(REGEXMATCH(LOWER(G4465), ""^(\?)+\s*(missing)?\s*(\?)*$""), """", PROPER(SUBSTITUTE(SUBSTITUTE(G4465, ""?"", """"), ""*"", """")))"),"Skull Shoulder Bag")</f>
        <v>Skull Shoulder Bag</v>
      </c>
      <c r="I4465" s="3">
        <v>1.0</v>
      </c>
      <c r="J4465" s="7">
        <v>40886.43472222222</v>
      </c>
      <c r="K4465" s="8" t="str">
        <f t="shared" si="4"/>
        <v>2011-12</v>
      </c>
      <c r="L4465" s="5">
        <v>3.29</v>
      </c>
      <c r="M4465" s="10"/>
      <c r="N4465" s="1" t="str">
        <f t="shared" si="5"/>
        <v>Guest</v>
      </c>
      <c r="O4465" s="1" t="s">
        <v>19</v>
      </c>
      <c r="P4465" s="9" t="str">
        <f t="shared" si="6"/>
        <v>UK</v>
      </c>
      <c r="Q4465" s="8">
        <f t="shared" si="7"/>
        <v>3.29</v>
      </c>
    </row>
    <row r="4466">
      <c r="A4466" s="1">
        <v>581498.0</v>
      </c>
      <c r="B4466" s="1" t="str">
        <f t="shared" si="1"/>
        <v>581498</v>
      </c>
      <c r="C4466" s="1" t="str">
        <f t="shared" si="2"/>
        <v>Sale</v>
      </c>
      <c r="D4466" s="1">
        <v>21935.0</v>
      </c>
      <c r="E4466" s="1" t="str">
        <f>IFERROR(__xludf.DUMMYFUNCTION("IF(LEN(D4466)&gt;4, IFERROR(REGEXEXTRACT(TO_TEXT(D4466),""\d+""),""""),"""")"),"21935")</f>
        <v>21935</v>
      </c>
      <c r="F4466" s="6" t="str">
        <f t="shared" si="3"/>
        <v>Product</v>
      </c>
      <c r="G4466" s="1" t="s">
        <v>1776</v>
      </c>
      <c r="H4466" s="6" t="str">
        <f>IFERROR(__xludf.DUMMYFUNCTION("IF(REGEXMATCH(LOWER(G4466), ""^(\?)+\s*(missing)?\s*(\?)*$""), """", PROPER(SUBSTITUTE(SUBSTITUTE(G4466, ""?"", """"), ""*"", """")))"),"Suki Shoulder Bag")</f>
        <v>Suki Shoulder Bag</v>
      </c>
      <c r="I4466" s="3">
        <v>7.0</v>
      </c>
      <c r="J4466" s="7">
        <v>40886.43472222222</v>
      </c>
      <c r="K4466" s="8" t="str">
        <f t="shared" si="4"/>
        <v>2011-12</v>
      </c>
      <c r="L4466" s="5">
        <v>4.13</v>
      </c>
      <c r="M4466" s="10"/>
      <c r="N4466" s="1" t="str">
        <f t="shared" si="5"/>
        <v>Guest</v>
      </c>
      <c r="O4466" s="1" t="s">
        <v>19</v>
      </c>
      <c r="P4466" s="9" t="str">
        <f t="shared" si="6"/>
        <v>UK</v>
      </c>
      <c r="Q4466" s="8">
        <f t="shared" si="7"/>
        <v>28.91</v>
      </c>
    </row>
    <row r="4467">
      <c r="A4467" s="1">
        <v>581498.0</v>
      </c>
      <c r="B4467" s="1" t="str">
        <f t="shared" si="1"/>
        <v>581498</v>
      </c>
      <c r="C4467" s="1" t="str">
        <f t="shared" si="2"/>
        <v>Sale</v>
      </c>
      <c r="D4467" s="1">
        <v>21942.0</v>
      </c>
      <c r="E4467" s="1" t="str">
        <f>IFERROR(__xludf.DUMMYFUNCTION("IF(LEN(D4467)&gt;4, IFERROR(REGEXEXTRACT(TO_TEXT(D4467),""\d+""),""""),"""")"),"21942")</f>
        <v>21942</v>
      </c>
      <c r="F4467" s="6" t="str">
        <f t="shared" si="3"/>
        <v>Product</v>
      </c>
      <c r="G4467" s="1" t="s">
        <v>1777</v>
      </c>
      <c r="H4467" s="6" t="str">
        <f>IFERROR(__xludf.DUMMYFUNCTION("IF(REGEXMATCH(LOWER(G4467), ""^(\?)+\s*(missing)?\s*(\?)*$""), """", PROPER(SUBSTITUTE(SUBSTITUTE(G4467, ""?"", """"), ""*"", """")))"),"Skulls Design Flannel")</f>
        <v>Skulls Design Flannel</v>
      </c>
      <c r="I4467" s="3">
        <v>1.0</v>
      </c>
      <c r="J4467" s="7">
        <v>40886.43472222222</v>
      </c>
      <c r="K4467" s="8" t="str">
        <f t="shared" si="4"/>
        <v>2011-12</v>
      </c>
      <c r="L4467" s="5">
        <v>1.63</v>
      </c>
      <c r="M4467" s="10"/>
      <c r="N4467" s="1" t="str">
        <f t="shared" si="5"/>
        <v>Guest</v>
      </c>
      <c r="O4467" s="1" t="s">
        <v>19</v>
      </c>
      <c r="P4467" s="9" t="str">
        <f t="shared" si="6"/>
        <v>UK</v>
      </c>
      <c r="Q4467" s="8">
        <f t="shared" si="7"/>
        <v>1.63</v>
      </c>
    </row>
    <row r="4468">
      <c r="A4468" s="1">
        <v>581498.0</v>
      </c>
      <c r="B4468" s="1" t="str">
        <f t="shared" si="1"/>
        <v>581498</v>
      </c>
      <c r="C4468" s="1" t="str">
        <f t="shared" si="2"/>
        <v>Sale</v>
      </c>
      <c r="D4468" s="1">
        <v>21955.0</v>
      </c>
      <c r="E4468" s="1" t="str">
        <f>IFERROR(__xludf.DUMMYFUNCTION("IF(LEN(D4468)&gt;4, IFERROR(REGEXEXTRACT(TO_TEXT(D4468),""\d+""),""""),"""")"),"21955")</f>
        <v>21955</v>
      </c>
      <c r="F4468" s="6" t="str">
        <f t="shared" si="3"/>
        <v>Product</v>
      </c>
      <c r="G4468" s="1" t="s">
        <v>405</v>
      </c>
      <c r="H4468" s="6" t="str">
        <f>IFERROR(__xludf.DUMMYFUNCTION("IF(REGEXMATCH(LOWER(G4468), ""^(\?)+\s*(missing)?\s*(\?)*$""), """", PROPER(SUBSTITUTE(SUBSTITUTE(G4468, ""?"", """"), ""*"", """")))"),"Doormat Union Jack Guns And Roses")</f>
        <v>Doormat Union Jack Guns And Roses</v>
      </c>
      <c r="I4468" s="3">
        <v>1.0</v>
      </c>
      <c r="J4468" s="7">
        <v>40886.43472222222</v>
      </c>
      <c r="K4468" s="8" t="str">
        <f t="shared" si="4"/>
        <v>2011-12</v>
      </c>
      <c r="L4468" s="5">
        <v>12.46</v>
      </c>
      <c r="M4468" s="10"/>
      <c r="N4468" s="1" t="str">
        <f t="shared" si="5"/>
        <v>Guest</v>
      </c>
      <c r="O4468" s="1" t="s">
        <v>19</v>
      </c>
      <c r="P4468" s="9" t="str">
        <f t="shared" si="6"/>
        <v>UK</v>
      </c>
      <c r="Q4468" s="8">
        <f t="shared" si="7"/>
        <v>12.46</v>
      </c>
    </row>
    <row r="4469">
      <c r="A4469" s="1">
        <v>581498.0</v>
      </c>
      <c r="B4469" s="1" t="str">
        <f t="shared" si="1"/>
        <v>581498</v>
      </c>
      <c r="C4469" s="1" t="str">
        <f t="shared" si="2"/>
        <v>Sale</v>
      </c>
      <c r="D4469" s="1">
        <v>21977.0</v>
      </c>
      <c r="E4469" s="1" t="str">
        <f>IFERROR(__xludf.DUMMYFUNCTION("IF(LEN(D4469)&gt;4, IFERROR(REGEXEXTRACT(TO_TEXT(D4469),""\d+""),""""),"""")"),"21977")</f>
        <v>21977</v>
      </c>
      <c r="F4469" s="6" t="str">
        <f t="shared" si="3"/>
        <v>Product</v>
      </c>
      <c r="G4469" s="1" t="s">
        <v>99</v>
      </c>
      <c r="H4469" s="6" t="str">
        <f>IFERROR(__xludf.DUMMYFUNCTION("IF(REGEXMATCH(LOWER(G4469), ""^(\?)+\s*(missing)?\s*(\?)*$""), """", PROPER(SUBSTITUTE(SUBSTITUTE(G4469, ""?"", """"), ""*"", """")))"),"Pack Of 60 Pink Paisley Cake Cases")</f>
        <v>Pack Of 60 Pink Paisley Cake Cases</v>
      </c>
      <c r="I4469" s="3">
        <v>1.0</v>
      </c>
      <c r="J4469" s="7">
        <v>40886.43472222222</v>
      </c>
      <c r="K4469" s="8" t="str">
        <f t="shared" si="4"/>
        <v>2011-12</v>
      </c>
      <c r="L4469" s="5">
        <v>2.08</v>
      </c>
      <c r="M4469" s="10"/>
      <c r="N4469" s="1" t="str">
        <f t="shared" si="5"/>
        <v>Guest</v>
      </c>
      <c r="O4469" s="1" t="s">
        <v>19</v>
      </c>
      <c r="P4469" s="9" t="str">
        <f t="shared" si="6"/>
        <v>UK</v>
      </c>
      <c r="Q4469" s="8">
        <f t="shared" si="7"/>
        <v>2.08</v>
      </c>
    </row>
    <row r="4470">
      <c r="A4470" s="1">
        <v>581498.0</v>
      </c>
      <c r="B4470" s="1" t="str">
        <f t="shared" si="1"/>
        <v>581498</v>
      </c>
      <c r="C4470" s="1" t="str">
        <f t="shared" si="2"/>
        <v>Sale</v>
      </c>
      <c r="D4470" s="1">
        <v>21983.0</v>
      </c>
      <c r="E4470" s="1" t="str">
        <f>IFERROR(__xludf.DUMMYFUNCTION("IF(LEN(D4470)&gt;4, IFERROR(REGEXEXTRACT(TO_TEXT(D4470),""\d+""),""""),"""")"),"21983")</f>
        <v>21983</v>
      </c>
      <c r="F4470" s="6" t="str">
        <f t="shared" si="3"/>
        <v>Product</v>
      </c>
      <c r="G4470" s="1" t="s">
        <v>230</v>
      </c>
      <c r="H4470" s="6" t="str">
        <f>IFERROR(__xludf.DUMMYFUNCTION("IF(REGEXMATCH(LOWER(G4470), ""^(\?)+\s*(missing)?\s*(\?)*$""), """", PROPER(SUBSTITUTE(SUBSTITUTE(G4470, ""?"", """"), ""*"", """")))"),"Pack Of 12 Blue Paisley Tissues")</f>
        <v>Pack Of 12 Blue Paisley Tissues</v>
      </c>
      <c r="I4470" s="3">
        <v>1.0</v>
      </c>
      <c r="J4470" s="7">
        <v>40886.43472222222</v>
      </c>
      <c r="K4470" s="8" t="str">
        <f t="shared" si="4"/>
        <v>2011-12</v>
      </c>
      <c r="L4470" s="5">
        <v>0.79</v>
      </c>
      <c r="M4470" s="10"/>
      <c r="N4470" s="1" t="str">
        <f t="shared" si="5"/>
        <v>Guest</v>
      </c>
      <c r="O4470" s="1" t="s">
        <v>19</v>
      </c>
      <c r="P4470" s="9" t="str">
        <f t="shared" si="6"/>
        <v>UK</v>
      </c>
      <c r="Q4470" s="8">
        <f t="shared" si="7"/>
        <v>0.79</v>
      </c>
    </row>
    <row r="4471">
      <c r="A4471" s="1">
        <v>581498.0</v>
      </c>
      <c r="B4471" s="1" t="str">
        <f t="shared" si="1"/>
        <v>581498</v>
      </c>
      <c r="C4471" s="1" t="str">
        <f t="shared" si="2"/>
        <v>Sale</v>
      </c>
      <c r="D4471" s="1">
        <v>21987.0</v>
      </c>
      <c r="E4471" s="1" t="str">
        <f>IFERROR(__xludf.DUMMYFUNCTION("IF(LEN(D4471)&gt;4, IFERROR(REGEXEXTRACT(TO_TEXT(D4471),""\d+""),""""),"""")"),"21987")</f>
        <v>21987</v>
      </c>
      <c r="F4471" s="6" t="str">
        <f t="shared" si="3"/>
        <v>Product</v>
      </c>
      <c r="G4471" s="1" t="s">
        <v>976</v>
      </c>
      <c r="H4471" s="6" t="str">
        <f>IFERROR(__xludf.DUMMYFUNCTION("IF(REGEXMATCH(LOWER(G4471), ""^(\?)+\s*(missing)?\s*(\?)*$""), """", PROPER(SUBSTITUTE(SUBSTITUTE(G4471, ""?"", """"), ""*"", """")))"),"Pack Of 6 Skull Paper Cups")</f>
        <v>Pack Of 6 Skull Paper Cups</v>
      </c>
      <c r="I4471" s="3">
        <v>2.0</v>
      </c>
      <c r="J4471" s="7">
        <v>40886.43472222222</v>
      </c>
      <c r="K4471" s="8" t="str">
        <f t="shared" si="4"/>
        <v>2011-12</v>
      </c>
      <c r="L4471" s="5">
        <v>1.63</v>
      </c>
      <c r="M4471" s="10"/>
      <c r="N4471" s="1" t="str">
        <f t="shared" si="5"/>
        <v>Guest</v>
      </c>
      <c r="O4471" s="1" t="s">
        <v>19</v>
      </c>
      <c r="P4471" s="9" t="str">
        <f t="shared" si="6"/>
        <v>UK</v>
      </c>
      <c r="Q4471" s="8">
        <f t="shared" si="7"/>
        <v>3.26</v>
      </c>
    </row>
    <row r="4472">
      <c r="A4472" s="1">
        <v>581498.0</v>
      </c>
      <c r="B4472" s="1" t="str">
        <f t="shared" si="1"/>
        <v>581498</v>
      </c>
      <c r="C4472" s="1" t="str">
        <f t="shared" si="2"/>
        <v>Sale</v>
      </c>
      <c r="D4472" s="1">
        <v>21989.0</v>
      </c>
      <c r="E4472" s="1" t="str">
        <f>IFERROR(__xludf.DUMMYFUNCTION("IF(LEN(D4472)&gt;4, IFERROR(REGEXEXTRACT(TO_TEXT(D4472),""\d+""),""""),"""")"),"21989")</f>
        <v>21989</v>
      </c>
      <c r="F4472" s="6" t="str">
        <f t="shared" si="3"/>
        <v>Product</v>
      </c>
      <c r="G4472" s="1" t="s">
        <v>1113</v>
      </c>
      <c r="H4472" s="6" t="str">
        <f>IFERROR(__xludf.DUMMYFUNCTION("IF(REGEXMATCH(LOWER(G4472), ""^(\?)+\s*(missing)?\s*(\?)*$""), """", PROPER(SUBSTITUTE(SUBSTITUTE(G4472, ""?"", """"), ""*"", """")))"),"Pack Of 20 Skull Paper Napkins")</f>
        <v>Pack Of 20 Skull Paper Napkins</v>
      </c>
      <c r="I4472" s="3">
        <v>1.0</v>
      </c>
      <c r="J4472" s="7">
        <v>40886.43472222222</v>
      </c>
      <c r="K4472" s="8" t="str">
        <f t="shared" si="4"/>
        <v>2011-12</v>
      </c>
      <c r="L4472" s="5">
        <v>1.63</v>
      </c>
      <c r="M4472" s="10"/>
      <c r="N4472" s="1" t="str">
        <f t="shared" si="5"/>
        <v>Guest</v>
      </c>
      <c r="O4472" s="1" t="s">
        <v>19</v>
      </c>
      <c r="P4472" s="9" t="str">
        <f t="shared" si="6"/>
        <v>UK</v>
      </c>
      <c r="Q4472" s="8">
        <f t="shared" si="7"/>
        <v>1.63</v>
      </c>
    </row>
    <row r="4473">
      <c r="A4473" s="1">
        <v>581498.0</v>
      </c>
      <c r="B4473" s="1" t="str">
        <f t="shared" si="1"/>
        <v>581498</v>
      </c>
      <c r="C4473" s="1" t="str">
        <f t="shared" si="2"/>
        <v>Sale</v>
      </c>
      <c r="D4473" s="1">
        <v>22041.0</v>
      </c>
      <c r="E4473" s="1" t="str">
        <f>IFERROR(__xludf.DUMMYFUNCTION("IF(LEN(D4473)&gt;4, IFERROR(REGEXEXTRACT(TO_TEXT(D4473),""\d+""),""""),"""")"),"22041")</f>
        <v>22041</v>
      </c>
      <c r="F4473" s="6" t="str">
        <f t="shared" si="3"/>
        <v>Product</v>
      </c>
      <c r="G4473" s="1" t="s">
        <v>615</v>
      </c>
      <c r="H4473" s="6" t="str">
        <f>IFERROR(__xludf.DUMMYFUNCTION("IF(REGEXMATCH(LOWER(G4473), ""^(\?)+\s*(missing)?\s*(\?)*$""), """", PROPER(SUBSTITUTE(SUBSTITUTE(G4473, ""?"", """"), ""*"", """")))"),"Record Frame 7"" Single Size")</f>
        <v>Record Frame 7" Single Size</v>
      </c>
      <c r="I4473" s="3">
        <v>2.0</v>
      </c>
      <c r="J4473" s="7">
        <v>40886.43472222222</v>
      </c>
      <c r="K4473" s="8" t="str">
        <f t="shared" si="4"/>
        <v>2011-12</v>
      </c>
      <c r="L4473" s="5">
        <v>5.79</v>
      </c>
      <c r="M4473" s="10"/>
      <c r="N4473" s="1" t="str">
        <f t="shared" si="5"/>
        <v>Guest</v>
      </c>
      <c r="O4473" s="1" t="s">
        <v>19</v>
      </c>
      <c r="P4473" s="9" t="str">
        <f t="shared" si="6"/>
        <v>UK</v>
      </c>
      <c r="Q4473" s="8">
        <f t="shared" si="7"/>
        <v>11.58</v>
      </c>
    </row>
    <row r="4474">
      <c r="A4474" s="1">
        <v>581498.0</v>
      </c>
      <c r="B4474" s="1" t="str">
        <f t="shared" si="1"/>
        <v>581498</v>
      </c>
      <c r="C4474" s="1" t="str">
        <f t="shared" si="2"/>
        <v>Sale</v>
      </c>
      <c r="D4474" s="1">
        <v>22059.0</v>
      </c>
      <c r="E4474" s="1" t="str">
        <f>IFERROR(__xludf.DUMMYFUNCTION("IF(LEN(D4474)&gt;4, IFERROR(REGEXEXTRACT(TO_TEXT(D4474),""\d+""),""""),"""")"),"22059")</f>
        <v>22059</v>
      </c>
      <c r="F4474" s="6" t="str">
        <f t="shared" si="3"/>
        <v>Product</v>
      </c>
      <c r="G4474" s="1" t="s">
        <v>529</v>
      </c>
      <c r="H4474" s="6" t="str">
        <f>IFERROR(__xludf.DUMMYFUNCTION("IF(REGEXMATCH(LOWER(G4474), ""^(\?)+\s*(missing)?\s*(\?)*$""), """", PROPER(SUBSTITUTE(SUBSTITUTE(G4474, ""?"", """"), ""*"", """")))"),"Ceramic Strawberry Design Mug")</f>
        <v>Ceramic Strawberry Design Mug</v>
      </c>
      <c r="I4474" s="3">
        <v>1.0</v>
      </c>
      <c r="J4474" s="7">
        <v>40886.43472222222</v>
      </c>
      <c r="K4474" s="8" t="str">
        <f t="shared" si="4"/>
        <v>2011-12</v>
      </c>
      <c r="L4474" s="5">
        <v>3.29</v>
      </c>
      <c r="M4474" s="10"/>
      <c r="N4474" s="1" t="str">
        <f t="shared" si="5"/>
        <v>Guest</v>
      </c>
      <c r="O4474" s="1" t="s">
        <v>19</v>
      </c>
      <c r="P4474" s="9" t="str">
        <f t="shared" si="6"/>
        <v>UK</v>
      </c>
      <c r="Q4474" s="8">
        <f t="shared" si="7"/>
        <v>3.29</v>
      </c>
    </row>
    <row r="4475">
      <c r="A4475" s="1">
        <v>581498.0</v>
      </c>
      <c r="B4475" s="1" t="str">
        <f t="shared" si="1"/>
        <v>581498</v>
      </c>
      <c r="C4475" s="1" t="str">
        <f t="shared" si="2"/>
        <v>Sale</v>
      </c>
      <c r="D4475" s="1">
        <v>22069.0</v>
      </c>
      <c r="E4475" s="1" t="str">
        <f>IFERROR(__xludf.DUMMYFUNCTION("IF(LEN(D4475)&gt;4, IFERROR(REGEXEXTRACT(TO_TEXT(D4475),""\d+""),""""),"""")"),"22069")</f>
        <v>22069</v>
      </c>
      <c r="F4475" s="6" t="str">
        <f t="shared" si="3"/>
        <v>Product</v>
      </c>
      <c r="G4475" s="1" t="s">
        <v>2066</v>
      </c>
      <c r="H4475" s="6" t="str">
        <f>IFERROR(__xludf.DUMMYFUNCTION("IF(REGEXMATCH(LOWER(G4475), ""^(\?)+\s*(missing)?\s*(\?)*$""), """", PROPER(SUBSTITUTE(SUBSTITUTE(G4475, ""?"", """"), ""*"", """")))"),"Brown Pirate Treasure Chest")</f>
        <v>Brown Pirate Treasure Chest</v>
      </c>
      <c r="I4475" s="3">
        <v>3.0</v>
      </c>
      <c r="J4475" s="7">
        <v>40886.43472222222</v>
      </c>
      <c r="K4475" s="8" t="str">
        <f t="shared" si="4"/>
        <v>2011-12</v>
      </c>
      <c r="L4475" s="5">
        <v>4.13</v>
      </c>
      <c r="M4475" s="10"/>
      <c r="N4475" s="1" t="str">
        <f t="shared" si="5"/>
        <v>Guest</v>
      </c>
      <c r="O4475" s="1" t="s">
        <v>19</v>
      </c>
      <c r="P4475" s="9" t="str">
        <f t="shared" si="6"/>
        <v>UK</v>
      </c>
      <c r="Q4475" s="8">
        <f t="shared" si="7"/>
        <v>12.39</v>
      </c>
    </row>
    <row r="4476">
      <c r="A4476" s="1">
        <v>581498.0</v>
      </c>
      <c r="B4476" s="1" t="str">
        <f t="shared" si="1"/>
        <v>581498</v>
      </c>
      <c r="C4476" s="1" t="str">
        <f t="shared" si="2"/>
        <v>Sale</v>
      </c>
      <c r="D4476" s="1">
        <v>22077.0</v>
      </c>
      <c r="E4476" s="1" t="str">
        <f>IFERROR(__xludf.DUMMYFUNCTION("IF(LEN(D4476)&gt;4, IFERROR(REGEXEXTRACT(TO_TEXT(D4476),""\d+""),""""),"""")"),"22077")</f>
        <v>22077</v>
      </c>
      <c r="F4476" s="6" t="str">
        <f t="shared" si="3"/>
        <v>Product</v>
      </c>
      <c r="G4476" s="1" t="s">
        <v>443</v>
      </c>
      <c r="H4476" s="6" t="str">
        <f>IFERROR(__xludf.DUMMYFUNCTION("IF(REGEXMATCH(LOWER(G4476), ""^(\?)+\s*(missing)?\s*(\?)*$""), """", PROPER(SUBSTITUTE(SUBSTITUTE(G4476, ""?"", """"), ""*"", """")))"),"6 Ribbons Rustic Charm")</f>
        <v>6 Ribbons Rustic Charm</v>
      </c>
      <c r="I4476" s="3">
        <v>2.0</v>
      </c>
      <c r="J4476" s="7">
        <v>40886.43472222222</v>
      </c>
      <c r="K4476" s="8" t="str">
        <f t="shared" si="4"/>
        <v>2011-12</v>
      </c>
      <c r="L4476" s="5">
        <v>4.13</v>
      </c>
      <c r="M4476" s="10"/>
      <c r="N4476" s="1" t="str">
        <f t="shared" si="5"/>
        <v>Guest</v>
      </c>
      <c r="O4476" s="1" t="s">
        <v>19</v>
      </c>
      <c r="P4476" s="9" t="str">
        <f t="shared" si="6"/>
        <v>UK</v>
      </c>
      <c r="Q4476" s="8">
        <f t="shared" si="7"/>
        <v>8.26</v>
      </c>
    </row>
    <row r="4477">
      <c r="A4477" s="1">
        <v>581498.0</v>
      </c>
      <c r="B4477" s="1" t="str">
        <f t="shared" si="1"/>
        <v>581498</v>
      </c>
      <c r="C4477" s="1" t="str">
        <f t="shared" si="2"/>
        <v>Sale</v>
      </c>
      <c r="D4477" s="1">
        <v>22083.0</v>
      </c>
      <c r="E4477" s="1" t="str">
        <f>IFERROR(__xludf.DUMMYFUNCTION("IF(LEN(D4477)&gt;4, IFERROR(REGEXEXTRACT(TO_TEXT(D4477),""\d+""),""""),"""")"),"22083")</f>
        <v>22083</v>
      </c>
      <c r="F4477" s="6" t="str">
        <f t="shared" si="3"/>
        <v>Product</v>
      </c>
      <c r="G4477" s="1" t="s">
        <v>128</v>
      </c>
      <c r="H4477" s="6" t="str">
        <f>IFERROR(__xludf.DUMMYFUNCTION("IF(REGEXMATCH(LOWER(G4477), ""^(\?)+\s*(missing)?\s*(\?)*$""), """", PROPER(SUBSTITUTE(SUBSTITUTE(G4477, ""?"", """"), ""*"", """")))"),"Paper Chain Kit Retrospot")</f>
        <v>Paper Chain Kit Retrospot</v>
      </c>
      <c r="I4477" s="3">
        <v>2.0</v>
      </c>
      <c r="J4477" s="7">
        <v>40886.43472222222</v>
      </c>
      <c r="K4477" s="8" t="str">
        <f t="shared" si="4"/>
        <v>2011-12</v>
      </c>
      <c r="L4477" s="5">
        <v>5.79</v>
      </c>
      <c r="M4477" s="10"/>
      <c r="N4477" s="1" t="str">
        <f t="shared" si="5"/>
        <v>Guest</v>
      </c>
      <c r="O4477" s="1" t="s">
        <v>19</v>
      </c>
      <c r="P4477" s="9" t="str">
        <f t="shared" si="6"/>
        <v>UK</v>
      </c>
      <c r="Q4477" s="8">
        <f t="shared" si="7"/>
        <v>11.58</v>
      </c>
    </row>
    <row r="4478">
      <c r="A4478" s="1">
        <v>581498.0</v>
      </c>
      <c r="B4478" s="1" t="str">
        <f t="shared" si="1"/>
        <v>581498</v>
      </c>
      <c r="C4478" s="1" t="str">
        <f t="shared" si="2"/>
        <v>Sale</v>
      </c>
      <c r="D4478" s="1">
        <v>22086.0</v>
      </c>
      <c r="E4478" s="1" t="str">
        <f>IFERROR(__xludf.DUMMYFUNCTION("IF(LEN(D4478)&gt;4, IFERROR(REGEXEXTRACT(TO_TEXT(D4478),""\d+""),""""),"""")"),"22086")</f>
        <v>22086</v>
      </c>
      <c r="F4478" s="6" t="str">
        <f t="shared" si="3"/>
        <v>Product</v>
      </c>
      <c r="G4478" s="1" t="s">
        <v>70</v>
      </c>
      <c r="H4478" s="6" t="str">
        <f>IFERROR(__xludf.DUMMYFUNCTION("IF(REGEXMATCH(LOWER(G4478), ""^(\?)+\s*(missing)?\s*(\?)*$""), """", PROPER(SUBSTITUTE(SUBSTITUTE(G4478, ""?"", """"), ""*"", """")))"),"Paper Chain Kit 50'S Christmas")</f>
        <v>Paper Chain Kit 50'S Christmas</v>
      </c>
      <c r="I4478" s="3">
        <v>52.0</v>
      </c>
      <c r="J4478" s="7">
        <v>40886.43472222222</v>
      </c>
      <c r="K4478" s="8" t="str">
        <f t="shared" si="4"/>
        <v>2011-12</v>
      </c>
      <c r="L4478" s="5">
        <v>5.79</v>
      </c>
      <c r="M4478" s="10"/>
      <c r="N4478" s="1" t="str">
        <f t="shared" si="5"/>
        <v>Guest</v>
      </c>
      <c r="O4478" s="1" t="s">
        <v>19</v>
      </c>
      <c r="P4478" s="9" t="str">
        <f t="shared" si="6"/>
        <v>UK</v>
      </c>
      <c r="Q4478" s="8">
        <f t="shared" si="7"/>
        <v>301.08</v>
      </c>
    </row>
    <row r="4479">
      <c r="A4479" s="1">
        <v>581498.0</v>
      </c>
      <c r="B4479" s="1" t="str">
        <f t="shared" si="1"/>
        <v>581498</v>
      </c>
      <c r="C4479" s="1" t="str">
        <f t="shared" si="2"/>
        <v>Sale</v>
      </c>
      <c r="D4479" s="1">
        <v>22099.0</v>
      </c>
      <c r="E4479" s="1" t="str">
        <f>IFERROR(__xludf.DUMMYFUNCTION("IF(LEN(D4479)&gt;4, IFERROR(REGEXEXTRACT(TO_TEXT(D4479),""\d+""),""""),"""")"),"22099")</f>
        <v>22099</v>
      </c>
      <c r="F4479" s="6" t="str">
        <f t="shared" si="3"/>
        <v>Product</v>
      </c>
      <c r="G4479" s="1" t="s">
        <v>660</v>
      </c>
      <c r="H4479" s="6" t="str">
        <f>IFERROR(__xludf.DUMMYFUNCTION("IF(REGEXMATCH(LOWER(G4479), ""^(\?)+\s*(missing)?\s*(\?)*$""), """", PROPER(SUBSTITUTE(SUBSTITUTE(G4479, ""?"", """"), ""*"", """")))"),"Caravan Square Tissue Box")</f>
        <v>Caravan Square Tissue Box</v>
      </c>
      <c r="I4479" s="3">
        <v>2.0</v>
      </c>
      <c r="J4479" s="7">
        <v>40886.43472222222</v>
      </c>
      <c r="K4479" s="8" t="str">
        <f t="shared" si="4"/>
        <v>2011-12</v>
      </c>
      <c r="L4479" s="5">
        <v>2.46</v>
      </c>
      <c r="M4479" s="10"/>
      <c r="N4479" s="1" t="str">
        <f t="shared" si="5"/>
        <v>Guest</v>
      </c>
      <c r="O4479" s="1" t="s">
        <v>19</v>
      </c>
      <c r="P4479" s="9" t="str">
        <f t="shared" si="6"/>
        <v>UK</v>
      </c>
      <c r="Q4479" s="8">
        <f t="shared" si="7"/>
        <v>4.92</v>
      </c>
    </row>
    <row r="4480">
      <c r="A4480" s="1">
        <v>581498.0</v>
      </c>
      <c r="B4480" s="1" t="str">
        <f t="shared" si="1"/>
        <v>581498</v>
      </c>
      <c r="C4480" s="1" t="str">
        <f t="shared" si="2"/>
        <v>Sale</v>
      </c>
      <c r="D4480" s="1">
        <v>22114.0</v>
      </c>
      <c r="E4480" s="1" t="str">
        <f>IFERROR(__xludf.DUMMYFUNCTION("IF(LEN(D4480)&gt;4, IFERROR(REGEXEXTRACT(TO_TEXT(D4480),""\d+""),""""),"""")"),"22114")</f>
        <v>22114</v>
      </c>
      <c r="F4480" s="6" t="str">
        <f t="shared" si="3"/>
        <v>Product</v>
      </c>
      <c r="G4480" s="1" t="s">
        <v>82</v>
      </c>
      <c r="H4480" s="6" t="str">
        <f>IFERROR(__xludf.DUMMYFUNCTION("IF(REGEXMATCH(LOWER(G4480), ""^(\?)+\s*(missing)?\s*(\?)*$""), """", PROPER(SUBSTITUTE(SUBSTITUTE(G4480, ""?"", """"), ""*"", """")))"),"Hot Water Bottle Tea And Sympathy")</f>
        <v>Hot Water Bottle Tea And Sympathy</v>
      </c>
      <c r="I4480" s="3">
        <v>4.0</v>
      </c>
      <c r="J4480" s="7">
        <v>40886.43472222222</v>
      </c>
      <c r="K4480" s="8" t="str">
        <f t="shared" si="4"/>
        <v>2011-12</v>
      </c>
      <c r="L4480" s="5">
        <v>8.29</v>
      </c>
      <c r="M4480" s="10"/>
      <c r="N4480" s="1" t="str">
        <f t="shared" si="5"/>
        <v>Guest</v>
      </c>
      <c r="O4480" s="1" t="s">
        <v>19</v>
      </c>
      <c r="P4480" s="9" t="str">
        <f t="shared" si="6"/>
        <v>UK</v>
      </c>
      <c r="Q4480" s="8">
        <f t="shared" si="7"/>
        <v>33.16</v>
      </c>
    </row>
    <row r="4481">
      <c r="A4481" s="1">
        <v>581498.0</v>
      </c>
      <c r="B4481" s="1" t="str">
        <f t="shared" si="1"/>
        <v>581498</v>
      </c>
      <c r="C4481" s="1" t="str">
        <f t="shared" si="2"/>
        <v>Sale</v>
      </c>
      <c r="D4481" s="1">
        <v>22139.0</v>
      </c>
      <c r="E4481" s="1" t="str">
        <f>IFERROR(__xludf.DUMMYFUNCTION("IF(LEN(D4481)&gt;4, IFERROR(REGEXEXTRACT(TO_TEXT(D4481),""\d+""),""""),"""")"),"22139")</f>
        <v>22139</v>
      </c>
      <c r="F4481" s="6" t="str">
        <f t="shared" si="3"/>
        <v>Product</v>
      </c>
      <c r="G4481" s="1" t="s">
        <v>110</v>
      </c>
      <c r="H4481" s="6" t="str">
        <f>IFERROR(__xludf.DUMMYFUNCTION("IF(REGEXMATCH(LOWER(G4481), ""^(\?)+\s*(missing)?\s*(\?)*$""), """", PROPER(SUBSTITUTE(SUBSTITUTE(G4481, ""?"", """"), ""*"", """")))"),"Retrospot Tea Set Ceramic 11 Pc")</f>
        <v>Retrospot Tea Set Ceramic 11 Pc</v>
      </c>
      <c r="I4481" s="3">
        <v>2.0</v>
      </c>
      <c r="J4481" s="7">
        <v>40886.43472222222</v>
      </c>
      <c r="K4481" s="8" t="str">
        <f t="shared" si="4"/>
        <v>2011-12</v>
      </c>
      <c r="L4481" s="5">
        <v>10.79</v>
      </c>
      <c r="M4481" s="10"/>
      <c r="N4481" s="1" t="str">
        <f t="shared" si="5"/>
        <v>Guest</v>
      </c>
      <c r="O4481" s="1" t="s">
        <v>19</v>
      </c>
      <c r="P4481" s="9" t="str">
        <f t="shared" si="6"/>
        <v>UK</v>
      </c>
      <c r="Q4481" s="8">
        <f t="shared" si="7"/>
        <v>21.58</v>
      </c>
    </row>
    <row r="4482">
      <c r="A4482" s="1">
        <v>581498.0</v>
      </c>
      <c r="B4482" s="1" t="str">
        <f t="shared" si="1"/>
        <v>581498</v>
      </c>
      <c r="C4482" s="1" t="str">
        <f t="shared" si="2"/>
        <v>Sale</v>
      </c>
      <c r="D4482" s="1">
        <v>22141.0</v>
      </c>
      <c r="E4482" s="1" t="str">
        <f>IFERROR(__xludf.DUMMYFUNCTION("IF(LEN(D4482)&gt;4, IFERROR(REGEXEXTRACT(TO_TEXT(D4482),""\d+""),""""),"""")"),"22141")</f>
        <v>22141</v>
      </c>
      <c r="F4482" s="6" t="str">
        <f t="shared" si="3"/>
        <v>Product</v>
      </c>
      <c r="G4482" s="1" t="s">
        <v>446</v>
      </c>
      <c r="H4482" s="6" t="str">
        <f>IFERROR(__xludf.DUMMYFUNCTION("IF(REGEXMATCH(LOWER(G4482), ""^(\?)+\s*(missing)?\s*(\?)*$""), """", PROPER(SUBSTITUTE(SUBSTITUTE(G4482, ""?"", """"), ""*"", """")))"),"Christmas Craft Tree Top Angel")</f>
        <v>Christmas Craft Tree Top Angel</v>
      </c>
      <c r="I4482" s="3">
        <v>7.0</v>
      </c>
      <c r="J4482" s="7">
        <v>40886.43472222222</v>
      </c>
      <c r="K4482" s="8" t="str">
        <f t="shared" si="4"/>
        <v>2011-12</v>
      </c>
      <c r="L4482" s="5">
        <v>4.13</v>
      </c>
      <c r="M4482" s="10"/>
      <c r="N4482" s="1" t="str">
        <f t="shared" si="5"/>
        <v>Guest</v>
      </c>
      <c r="O4482" s="1" t="s">
        <v>19</v>
      </c>
      <c r="P4482" s="9" t="str">
        <f t="shared" si="6"/>
        <v>UK</v>
      </c>
      <c r="Q4482" s="8">
        <f t="shared" si="7"/>
        <v>28.91</v>
      </c>
    </row>
    <row r="4483">
      <c r="A4483" s="1">
        <v>581498.0</v>
      </c>
      <c r="B4483" s="1" t="str">
        <f t="shared" si="1"/>
        <v>581498</v>
      </c>
      <c r="C4483" s="1" t="str">
        <f t="shared" si="2"/>
        <v>Sale</v>
      </c>
      <c r="D4483" s="1">
        <v>22142.0</v>
      </c>
      <c r="E4483" s="1" t="str">
        <f>IFERROR(__xludf.DUMMYFUNCTION("IF(LEN(D4483)&gt;4, IFERROR(REGEXEXTRACT(TO_TEXT(D4483),""\d+""),""""),"""")"),"22142")</f>
        <v>22142</v>
      </c>
      <c r="F4483" s="6" t="str">
        <f t="shared" si="3"/>
        <v>Product</v>
      </c>
      <c r="G4483" s="1" t="s">
        <v>532</v>
      </c>
      <c r="H4483" s="6" t="str">
        <f>IFERROR(__xludf.DUMMYFUNCTION("IF(REGEXMATCH(LOWER(G4483), ""^(\?)+\s*(missing)?\s*(\?)*$""), """", PROPER(SUBSTITUTE(SUBSTITUTE(G4483, ""?"", """"), ""*"", """")))"),"Christmas Craft White Fairy")</f>
        <v>Christmas Craft White Fairy</v>
      </c>
      <c r="I4483" s="3">
        <v>2.0</v>
      </c>
      <c r="J4483" s="7">
        <v>40886.43472222222</v>
      </c>
      <c r="K4483" s="8" t="str">
        <f t="shared" si="4"/>
        <v>2011-12</v>
      </c>
      <c r="L4483" s="5">
        <v>3.29</v>
      </c>
      <c r="M4483" s="10"/>
      <c r="N4483" s="1" t="str">
        <f t="shared" si="5"/>
        <v>Guest</v>
      </c>
      <c r="O4483" s="1" t="s">
        <v>19</v>
      </c>
      <c r="P4483" s="9" t="str">
        <f t="shared" si="6"/>
        <v>UK</v>
      </c>
      <c r="Q4483" s="8">
        <f t="shared" si="7"/>
        <v>6.58</v>
      </c>
    </row>
    <row r="4484">
      <c r="A4484" s="1">
        <v>581498.0</v>
      </c>
      <c r="B4484" s="1" t="str">
        <f t="shared" si="1"/>
        <v>581498</v>
      </c>
      <c r="C4484" s="1" t="str">
        <f t="shared" si="2"/>
        <v>Sale</v>
      </c>
      <c r="D4484" s="1">
        <v>22144.0</v>
      </c>
      <c r="E4484" s="1" t="str">
        <f>IFERROR(__xludf.DUMMYFUNCTION("IF(LEN(D4484)&gt;4, IFERROR(REGEXEXTRACT(TO_TEXT(D4484),""\d+""),""""),"""")"),"22144")</f>
        <v>22144</v>
      </c>
      <c r="F4484" s="6" t="str">
        <f t="shared" si="3"/>
        <v>Product</v>
      </c>
      <c r="G4484" s="1" t="s">
        <v>447</v>
      </c>
      <c r="H4484" s="6" t="str">
        <f>IFERROR(__xludf.DUMMYFUNCTION("IF(REGEXMATCH(LOWER(G4484), ""^(\?)+\s*(missing)?\s*(\?)*$""), """", PROPER(SUBSTITUTE(SUBSTITUTE(G4484, ""?"", """"), ""*"", """")))"),"Christmas Craft Little Friends")</f>
        <v>Christmas Craft Little Friends</v>
      </c>
      <c r="I4484" s="3">
        <v>8.0</v>
      </c>
      <c r="J4484" s="7">
        <v>40886.43472222222</v>
      </c>
      <c r="K4484" s="8" t="str">
        <f t="shared" si="4"/>
        <v>2011-12</v>
      </c>
      <c r="L4484" s="5">
        <v>4.13</v>
      </c>
      <c r="M4484" s="10"/>
      <c r="N4484" s="1" t="str">
        <f t="shared" si="5"/>
        <v>Guest</v>
      </c>
      <c r="O4484" s="1" t="s">
        <v>19</v>
      </c>
      <c r="P4484" s="9" t="str">
        <f t="shared" si="6"/>
        <v>UK</v>
      </c>
      <c r="Q4484" s="8">
        <f t="shared" si="7"/>
        <v>33.04</v>
      </c>
    </row>
    <row r="4485">
      <c r="A4485" s="1">
        <v>581498.0</v>
      </c>
      <c r="B4485" s="1" t="str">
        <f t="shared" si="1"/>
        <v>581498</v>
      </c>
      <c r="C4485" s="1" t="str">
        <f t="shared" si="2"/>
        <v>Sale</v>
      </c>
      <c r="D4485" s="1">
        <v>22161.0</v>
      </c>
      <c r="E4485" s="1" t="str">
        <f>IFERROR(__xludf.DUMMYFUNCTION("IF(LEN(D4485)&gt;4, IFERROR(REGEXEXTRACT(TO_TEXT(D4485),""\d+""),""""),"""")"),"22161")</f>
        <v>22161</v>
      </c>
      <c r="F4485" s="6" t="str">
        <f t="shared" si="3"/>
        <v>Product</v>
      </c>
      <c r="G4485" s="1" t="s">
        <v>2067</v>
      </c>
      <c r="H4485" s="6" t="str">
        <f>IFERROR(__xludf.DUMMYFUNCTION("IF(REGEXMATCH(LOWER(G4485), ""^(\?)+\s*(missing)?\s*(\?)*$""), """", PROPER(SUBSTITUTE(SUBSTITUTE(G4485, ""?"", """"), ""*"", """")))"),"Heart Decoration Rustic Hanging")</f>
        <v>Heart Decoration Rustic Hanging</v>
      </c>
      <c r="I4485" s="3">
        <v>2.0</v>
      </c>
      <c r="J4485" s="7">
        <v>40886.43472222222</v>
      </c>
      <c r="K4485" s="8" t="str">
        <f t="shared" si="4"/>
        <v>2011-12</v>
      </c>
      <c r="L4485" s="5">
        <v>1.63</v>
      </c>
      <c r="M4485" s="10"/>
      <c r="N4485" s="1" t="str">
        <f t="shared" si="5"/>
        <v>Guest</v>
      </c>
      <c r="O4485" s="1" t="s">
        <v>19</v>
      </c>
      <c r="P4485" s="9" t="str">
        <f t="shared" si="6"/>
        <v>UK</v>
      </c>
      <c r="Q4485" s="8">
        <f t="shared" si="7"/>
        <v>3.26</v>
      </c>
    </row>
    <row r="4486">
      <c r="A4486" s="1">
        <v>581498.0</v>
      </c>
      <c r="B4486" s="1" t="str">
        <f t="shared" si="1"/>
        <v>581498</v>
      </c>
      <c r="C4486" s="1" t="str">
        <f t="shared" si="2"/>
        <v>Sale</v>
      </c>
      <c r="D4486" s="1">
        <v>22173.0</v>
      </c>
      <c r="E4486" s="1" t="str">
        <f>IFERROR(__xludf.DUMMYFUNCTION("IF(LEN(D4486)&gt;4, IFERROR(REGEXEXTRACT(TO_TEXT(D4486),""\d+""),""""),"""")"),"22173")</f>
        <v>22173</v>
      </c>
      <c r="F4486" s="6" t="str">
        <f t="shared" si="3"/>
        <v>Product</v>
      </c>
      <c r="G4486" s="1" t="s">
        <v>717</v>
      </c>
      <c r="H4486" s="6" t="str">
        <f>IFERROR(__xludf.DUMMYFUNCTION("IF(REGEXMATCH(LOWER(G4486), ""^(\?)+\s*(missing)?\s*(\?)*$""), """", PROPER(SUBSTITUTE(SUBSTITUTE(G4486, ""?"", """"), ""*"", """")))"),"Metal 4 Hook Hanger French Chateau")</f>
        <v>Metal 4 Hook Hanger French Chateau</v>
      </c>
      <c r="I4486" s="3">
        <v>3.0</v>
      </c>
      <c r="J4486" s="7">
        <v>40886.43472222222</v>
      </c>
      <c r="K4486" s="8" t="str">
        <f t="shared" si="4"/>
        <v>2011-12</v>
      </c>
      <c r="L4486" s="5">
        <v>5.79</v>
      </c>
      <c r="M4486" s="10"/>
      <c r="N4486" s="1" t="str">
        <f t="shared" si="5"/>
        <v>Guest</v>
      </c>
      <c r="O4486" s="1" t="s">
        <v>19</v>
      </c>
      <c r="P4486" s="9" t="str">
        <f t="shared" si="6"/>
        <v>UK</v>
      </c>
      <c r="Q4486" s="8">
        <f t="shared" si="7"/>
        <v>17.37</v>
      </c>
    </row>
    <row r="4487">
      <c r="A4487" s="1">
        <v>581498.0</v>
      </c>
      <c r="B4487" s="1" t="str">
        <f t="shared" si="1"/>
        <v>581498</v>
      </c>
      <c r="C4487" s="1" t="str">
        <f t="shared" si="2"/>
        <v>Sale</v>
      </c>
      <c r="D4487" s="1">
        <v>22174.0</v>
      </c>
      <c r="E4487" s="1" t="str">
        <f>IFERROR(__xludf.DUMMYFUNCTION("IF(LEN(D4487)&gt;4, IFERROR(REGEXEXTRACT(TO_TEXT(D4487),""\d+""),""""),"""")"),"22174")</f>
        <v>22174</v>
      </c>
      <c r="F4487" s="6" t="str">
        <f t="shared" si="3"/>
        <v>Product</v>
      </c>
      <c r="G4487" s="1" t="s">
        <v>226</v>
      </c>
      <c r="H4487" s="6" t="str">
        <f>IFERROR(__xludf.DUMMYFUNCTION("IF(REGEXMATCH(LOWER(G4487), ""^(\?)+\s*(missing)?\s*(\?)*$""), """", PROPER(SUBSTITUTE(SUBSTITUTE(G4487, ""?"", """"), ""*"", """")))"),"Photo Cube")</f>
        <v>Photo Cube</v>
      </c>
      <c r="I4487" s="3">
        <v>3.0</v>
      </c>
      <c r="J4487" s="7">
        <v>40886.43472222222</v>
      </c>
      <c r="K4487" s="8" t="str">
        <f t="shared" si="4"/>
        <v>2011-12</v>
      </c>
      <c r="L4487" s="5">
        <v>4.13</v>
      </c>
      <c r="M4487" s="10"/>
      <c r="N4487" s="1" t="str">
        <f t="shared" si="5"/>
        <v>Guest</v>
      </c>
      <c r="O4487" s="1" t="s">
        <v>19</v>
      </c>
      <c r="P4487" s="9" t="str">
        <f t="shared" si="6"/>
        <v>UK</v>
      </c>
      <c r="Q4487" s="8">
        <f t="shared" si="7"/>
        <v>12.39</v>
      </c>
    </row>
    <row r="4488">
      <c r="A4488" s="1">
        <v>581498.0</v>
      </c>
      <c r="B4488" s="1" t="str">
        <f t="shared" si="1"/>
        <v>581498</v>
      </c>
      <c r="C4488" s="1" t="str">
        <f t="shared" si="2"/>
        <v>Sale</v>
      </c>
      <c r="D4488" s="1">
        <v>22175.0</v>
      </c>
      <c r="E4488" s="1" t="str">
        <f>IFERROR(__xludf.DUMMYFUNCTION("IF(LEN(D4488)&gt;4, IFERROR(REGEXEXTRACT(TO_TEXT(D4488),""\d+""),""""),"""")"),"22175")</f>
        <v>22175</v>
      </c>
      <c r="F4488" s="6" t="str">
        <f t="shared" si="3"/>
        <v>Product</v>
      </c>
      <c r="G4488" s="1" t="s">
        <v>843</v>
      </c>
      <c r="H4488" s="6" t="str">
        <f>IFERROR(__xludf.DUMMYFUNCTION("IF(REGEXMATCH(LOWER(G4488), ""^(\?)+\s*(missing)?\s*(\?)*$""), """", PROPER(SUBSTITUTE(SUBSTITUTE(G4488, ""?"", """"), ""*"", """")))"),"Pink Owl Soft Toy")</f>
        <v>Pink Owl Soft Toy</v>
      </c>
      <c r="I4488" s="3">
        <v>1.0</v>
      </c>
      <c r="J4488" s="7">
        <v>40886.43472222222</v>
      </c>
      <c r="K4488" s="8" t="str">
        <f t="shared" si="4"/>
        <v>2011-12</v>
      </c>
      <c r="L4488" s="5">
        <v>5.79</v>
      </c>
      <c r="M4488" s="10"/>
      <c r="N4488" s="1" t="str">
        <f t="shared" si="5"/>
        <v>Guest</v>
      </c>
      <c r="O4488" s="1" t="s">
        <v>19</v>
      </c>
      <c r="P4488" s="9" t="str">
        <f t="shared" si="6"/>
        <v>UK</v>
      </c>
      <c r="Q4488" s="8">
        <f t="shared" si="7"/>
        <v>5.79</v>
      </c>
    </row>
    <row r="4489">
      <c r="A4489" s="1">
        <v>581498.0</v>
      </c>
      <c r="B4489" s="1" t="str">
        <f t="shared" si="1"/>
        <v>581498</v>
      </c>
      <c r="C4489" s="1" t="str">
        <f t="shared" si="2"/>
        <v>Sale</v>
      </c>
      <c r="D4489" s="1">
        <v>22178.0</v>
      </c>
      <c r="E4489" s="1" t="str">
        <f>IFERROR(__xludf.DUMMYFUNCTION("IF(LEN(D4489)&gt;4, IFERROR(REGEXEXTRACT(TO_TEXT(D4489),""\d+""),""""),"""")"),"22178")</f>
        <v>22178</v>
      </c>
      <c r="F4489" s="6" t="str">
        <f t="shared" si="3"/>
        <v>Product</v>
      </c>
      <c r="G4489" s="1" t="s">
        <v>369</v>
      </c>
      <c r="H4489" s="6" t="str">
        <f>IFERROR(__xludf.DUMMYFUNCTION("IF(REGEXMATCH(LOWER(G4489), ""^(\?)+\s*(missing)?\s*(\?)*$""), """", PROPER(SUBSTITUTE(SUBSTITUTE(G4489, ""?"", """"), ""*"", """")))"),"Victorian Glass Hanging T-Light")</f>
        <v>Victorian Glass Hanging T-Light</v>
      </c>
      <c r="I4489" s="3">
        <v>1.0</v>
      </c>
      <c r="J4489" s="7">
        <v>40886.43472222222</v>
      </c>
      <c r="K4489" s="8" t="str">
        <f t="shared" si="4"/>
        <v>2011-12</v>
      </c>
      <c r="L4489" s="5">
        <v>2.46</v>
      </c>
      <c r="M4489" s="10"/>
      <c r="N4489" s="1" t="str">
        <f t="shared" si="5"/>
        <v>Guest</v>
      </c>
      <c r="O4489" s="1" t="s">
        <v>19</v>
      </c>
      <c r="P4489" s="9" t="str">
        <f t="shared" si="6"/>
        <v>UK</v>
      </c>
      <c r="Q4489" s="8">
        <f t="shared" si="7"/>
        <v>2.46</v>
      </c>
    </row>
    <row r="4490">
      <c r="A4490" s="1">
        <v>581498.0</v>
      </c>
      <c r="B4490" s="1" t="str">
        <f t="shared" si="1"/>
        <v>581498</v>
      </c>
      <c r="C4490" s="1" t="str">
        <f t="shared" si="2"/>
        <v>Sale</v>
      </c>
      <c r="D4490" s="1">
        <v>22179.0</v>
      </c>
      <c r="E4490" s="1" t="str">
        <f>IFERROR(__xludf.DUMMYFUNCTION("IF(LEN(D4490)&gt;4, IFERROR(REGEXEXTRACT(TO_TEXT(D4490),""\d+""),""""),"""")"),"22179")</f>
        <v>22179</v>
      </c>
      <c r="F4490" s="6" t="str">
        <f t="shared" si="3"/>
        <v>Product</v>
      </c>
      <c r="G4490" s="1" t="s">
        <v>1642</v>
      </c>
      <c r="H4490" s="6" t="str">
        <f>IFERROR(__xludf.DUMMYFUNCTION("IF(REGEXMATCH(LOWER(G4490), ""^(\?)+\s*(missing)?\s*(\?)*$""), """", PROPER(SUBSTITUTE(SUBSTITUTE(G4490, ""?"", """"), ""*"", """")))"),"Set 10 Night Owl Lights")</f>
        <v>Set 10 Night Owl Lights</v>
      </c>
      <c r="I4490" s="3">
        <v>1.0</v>
      </c>
      <c r="J4490" s="7">
        <v>40886.43472222222</v>
      </c>
      <c r="K4490" s="8" t="str">
        <f t="shared" si="4"/>
        <v>2011-12</v>
      </c>
      <c r="L4490" s="5">
        <v>13.29</v>
      </c>
      <c r="M4490" s="10"/>
      <c r="N4490" s="1" t="str">
        <f t="shared" si="5"/>
        <v>Guest</v>
      </c>
      <c r="O4490" s="1" t="s">
        <v>19</v>
      </c>
      <c r="P4490" s="9" t="str">
        <f t="shared" si="6"/>
        <v>UK</v>
      </c>
      <c r="Q4490" s="8">
        <f t="shared" si="7"/>
        <v>13.29</v>
      </c>
    </row>
    <row r="4491">
      <c r="A4491" s="1">
        <v>581498.0</v>
      </c>
      <c r="B4491" s="1" t="str">
        <f t="shared" si="1"/>
        <v>581498</v>
      </c>
      <c r="C4491" s="1" t="str">
        <f t="shared" si="2"/>
        <v>Sale</v>
      </c>
      <c r="D4491" s="1">
        <v>22186.0</v>
      </c>
      <c r="E4491" s="1" t="str">
        <f>IFERROR(__xludf.DUMMYFUNCTION("IF(LEN(D4491)&gt;4, IFERROR(REGEXEXTRACT(TO_TEXT(D4491),""\d+""),""""),"""")"),"22186")</f>
        <v>22186</v>
      </c>
      <c r="F4491" s="6" t="str">
        <f t="shared" si="3"/>
        <v>Product</v>
      </c>
      <c r="G4491" s="1" t="s">
        <v>471</v>
      </c>
      <c r="H4491" s="6" t="str">
        <f>IFERROR(__xludf.DUMMYFUNCTION("IF(REGEXMATCH(LOWER(G4491), ""^(\?)+\s*(missing)?\s*(\?)*$""), """", PROPER(SUBSTITUTE(SUBSTITUTE(G4491, ""?"", """"), ""*"", """")))"),"Red Star Card Holder")</f>
        <v>Red Star Card Holder</v>
      </c>
      <c r="I4491" s="3">
        <v>1.0</v>
      </c>
      <c r="J4491" s="7">
        <v>40886.43472222222</v>
      </c>
      <c r="K4491" s="8" t="str">
        <f t="shared" si="4"/>
        <v>2011-12</v>
      </c>
      <c r="L4491" s="5">
        <v>5.79</v>
      </c>
      <c r="M4491" s="10"/>
      <c r="N4491" s="1" t="str">
        <f t="shared" si="5"/>
        <v>Guest</v>
      </c>
      <c r="O4491" s="1" t="s">
        <v>19</v>
      </c>
      <c r="P4491" s="9" t="str">
        <f t="shared" si="6"/>
        <v>UK</v>
      </c>
      <c r="Q4491" s="8">
        <f t="shared" si="7"/>
        <v>5.79</v>
      </c>
    </row>
    <row r="4492">
      <c r="A4492" s="1">
        <v>581498.0</v>
      </c>
      <c r="B4492" s="1" t="str">
        <f t="shared" si="1"/>
        <v>581498</v>
      </c>
      <c r="C4492" s="1" t="str">
        <f t="shared" si="2"/>
        <v>Sale</v>
      </c>
      <c r="D4492" s="1">
        <v>22187.0</v>
      </c>
      <c r="E4492" s="1" t="str">
        <f>IFERROR(__xludf.DUMMYFUNCTION("IF(LEN(D4492)&gt;4, IFERROR(REGEXEXTRACT(TO_TEXT(D4492),""\d+""),""""),"""")"),"22187")</f>
        <v>22187</v>
      </c>
      <c r="F4492" s="6" t="str">
        <f t="shared" si="3"/>
        <v>Product</v>
      </c>
      <c r="G4492" s="1" t="s">
        <v>2068</v>
      </c>
      <c r="H4492" s="6" t="str">
        <f>IFERROR(__xludf.DUMMYFUNCTION("IF(REGEXMATCH(LOWER(G4492), ""^(\?)+\s*(missing)?\s*(\?)*$""), """", PROPER(SUBSTITUTE(SUBSTITUTE(G4492, ""?"", """"), ""*"", """")))"),"Green Christmas Tree Card Holder")</f>
        <v>Green Christmas Tree Card Holder</v>
      </c>
      <c r="I4492" s="3">
        <v>6.0</v>
      </c>
      <c r="J4492" s="7">
        <v>40886.43472222222</v>
      </c>
      <c r="K4492" s="8" t="str">
        <f t="shared" si="4"/>
        <v>2011-12</v>
      </c>
      <c r="L4492" s="5">
        <v>8.29</v>
      </c>
      <c r="M4492" s="10"/>
      <c r="N4492" s="1" t="str">
        <f t="shared" si="5"/>
        <v>Guest</v>
      </c>
      <c r="O4492" s="1" t="s">
        <v>19</v>
      </c>
      <c r="P4492" s="9" t="str">
        <f t="shared" si="6"/>
        <v>UK</v>
      </c>
      <c r="Q4492" s="8">
        <f t="shared" si="7"/>
        <v>49.74</v>
      </c>
    </row>
    <row r="4493">
      <c r="A4493" s="1">
        <v>581498.0</v>
      </c>
      <c r="B4493" s="1" t="str">
        <f t="shared" si="1"/>
        <v>581498</v>
      </c>
      <c r="C4493" s="1" t="str">
        <f t="shared" si="2"/>
        <v>Sale</v>
      </c>
      <c r="D4493" s="1">
        <v>22193.0</v>
      </c>
      <c r="E4493" s="1" t="str">
        <f>IFERROR(__xludf.DUMMYFUNCTION("IF(LEN(D4493)&gt;4, IFERROR(REGEXEXTRACT(TO_TEXT(D4493),""\d+""),""""),"""")"),"22193")</f>
        <v>22193</v>
      </c>
      <c r="F4493" s="6" t="str">
        <f t="shared" si="3"/>
        <v>Product</v>
      </c>
      <c r="G4493" s="1" t="s">
        <v>205</v>
      </c>
      <c r="H4493" s="6" t="str">
        <f>IFERROR(__xludf.DUMMYFUNCTION("IF(REGEXMATCH(LOWER(G4493), ""^(\?)+\s*(missing)?\s*(\?)*$""), """", PROPER(SUBSTITUTE(SUBSTITUTE(G4493, ""?"", """"), ""*"", """")))"),"Red Diner Wall Clock")</f>
        <v>Red Diner Wall Clock</v>
      </c>
      <c r="I4493" s="3">
        <v>1.0</v>
      </c>
      <c r="J4493" s="7">
        <v>40886.43472222222</v>
      </c>
      <c r="K4493" s="8" t="str">
        <f t="shared" si="4"/>
        <v>2011-12</v>
      </c>
      <c r="L4493" s="5">
        <v>16.63</v>
      </c>
      <c r="M4493" s="10"/>
      <c r="N4493" s="1" t="str">
        <f t="shared" si="5"/>
        <v>Guest</v>
      </c>
      <c r="O4493" s="1" t="s">
        <v>19</v>
      </c>
      <c r="P4493" s="9" t="str">
        <f t="shared" si="6"/>
        <v>UK</v>
      </c>
      <c r="Q4493" s="8">
        <f t="shared" si="7"/>
        <v>16.63</v>
      </c>
    </row>
    <row r="4494">
      <c r="A4494" s="1">
        <v>581498.0</v>
      </c>
      <c r="B4494" s="1" t="str">
        <f t="shared" si="1"/>
        <v>581498</v>
      </c>
      <c r="C4494" s="1" t="str">
        <f t="shared" si="2"/>
        <v>Sale</v>
      </c>
      <c r="D4494" s="1">
        <v>22195.0</v>
      </c>
      <c r="E4494" s="1" t="str">
        <f>IFERROR(__xludf.DUMMYFUNCTION("IF(LEN(D4494)&gt;4, IFERROR(REGEXEXTRACT(TO_TEXT(D4494),""\d+""),""""),"""")"),"22195")</f>
        <v>22195</v>
      </c>
      <c r="F4494" s="6" t="str">
        <f t="shared" si="3"/>
        <v>Product</v>
      </c>
      <c r="G4494" s="1" t="s">
        <v>208</v>
      </c>
      <c r="H4494" s="6" t="str">
        <f>IFERROR(__xludf.DUMMYFUNCTION("IF(REGEXMATCH(LOWER(G4494), ""^(\?)+\s*(missing)?\s*(\?)*$""), """", PROPER(SUBSTITUTE(SUBSTITUTE(G4494, ""?"", """"), ""*"", """")))"),"Large Heart Measuring Spoons")</f>
        <v>Large Heart Measuring Spoons</v>
      </c>
      <c r="I4494" s="3">
        <v>3.0</v>
      </c>
      <c r="J4494" s="7">
        <v>40886.43472222222</v>
      </c>
      <c r="K4494" s="8" t="str">
        <f t="shared" si="4"/>
        <v>2011-12</v>
      </c>
      <c r="L4494" s="5">
        <v>3.29</v>
      </c>
      <c r="M4494" s="10"/>
      <c r="N4494" s="1" t="str">
        <f t="shared" si="5"/>
        <v>Guest</v>
      </c>
      <c r="O4494" s="1" t="s">
        <v>19</v>
      </c>
      <c r="P4494" s="9" t="str">
        <f t="shared" si="6"/>
        <v>UK</v>
      </c>
      <c r="Q4494" s="8">
        <f t="shared" si="7"/>
        <v>9.87</v>
      </c>
    </row>
    <row r="4495">
      <c r="A4495" s="1">
        <v>581498.0</v>
      </c>
      <c r="B4495" s="1" t="str">
        <f t="shared" si="1"/>
        <v>581498</v>
      </c>
      <c r="C4495" s="1" t="str">
        <f t="shared" si="2"/>
        <v>Sale</v>
      </c>
      <c r="D4495" s="1">
        <v>22196.0</v>
      </c>
      <c r="E4495" s="1" t="str">
        <f>IFERROR(__xludf.DUMMYFUNCTION("IF(LEN(D4495)&gt;4, IFERROR(REGEXEXTRACT(TO_TEXT(D4495),""\d+""),""""),"""")"),"22196")</f>
        <v>22196</v>
      </c>
      <c r="F4495" s="6" t="str">
        <f t="shared" si="3"/>
        <v>Product</v>
      </c>
      <c r="G4495" s="1" t="s">
        <v>209</v>
      </c>
      <c r="H4495" s="6" t="str">
        <f>IFERROR(__xludf.DUMMYFUNCTION("IF(REGEXMATCH(LOWER(G4495), ""^(\?)+\s*(missing)?\s*(\?)*$""), """", PROPER(SUBSTITUTE(SUBSTITUTE(G4495, ""?"", """"), ""*"", """")))"),"Small Heart Measuring Spoons")</f>
        <v>Small Heart Measuring Spoons</v>
      </c>
      <c r="I4495" s="3">
        <v>2.0</v>
      </c>
      <c r="J4495" s="7">
        <v>40886.43472222222</v>
      </c>
      <c r="K4495" s="8" t="str">
        <f t="shared" si="4"/>
        <v>2011-12</v>
      </c>
      <c r="L4495" s="5">
        <v>1.63</v>
      </c>
      <c r="M4495" s="10"/>
      <c r="N4495" s="1" t="str">
        <f t="shared" si="5"/>
        <v>Guest</v>
      </c>
      <c r="O4495" s="1" t="s">
        <v>19</v>
      </c>
      <c r="P4495" s="9" t="str">
        <f t="shared" si="6"/>
        <v>UK</v>
      </c>
      <c r="Q4495" s="8">
        <f t="shared" si="7"/>
        <v>3.26</v>
      </c>
    </row>
    <row r="4496">
      <c r="A4496" s="1">
        <v>581498.0</v>
      </c>
      <c r="B4496" s="1" t="str">
        <f t="shared" si="1"/>
        <v>581498</v>
      </c>
      <c r="C4496" s="1" t="str">
        <f t="shared" si="2"/>
        <v>Sale</v>
      </c>
      <c r="D4496" s="1">
        <v>22207.0</v>
      </c>
      <c r="E4496" s="1" t="str">
        <f>IFERROR(__xludf.DUMMYFUNCTION("IF(LEN(D4496)&gt;4, IFERROR(REGEXEXTRACT(TO_TEXT(D4496),""\d+""),""""),"""")"),"22207")</f>
        <v>22207</v>
      </c>
      <c r="F4496" s="6" t="str">
        <f t="shared" si="3"/>
        <v>Product</v>
      </c>
      <c r="G4496" s="1" t="s">
        <v>2069</v>
      </c>
      <c r="H4496" s="6" t="str">
        <f>IFERROR(__xludf.DUMMYFUNCTION("IF(REGEXMATCH(LOWER(G4496), ""^(\?)+\s*(missing)?\s*(\?)*$""), """", PROPER(SUBSTITUTE(SUBSTITUTE(G4496, ""?"", """"), ""*"", """")))"),"Frying Pan Union Flag")</f>
        <v>Frying Pan Union Flag</v>
      </c>
      <c r="I4496" s="3">
        <v>1.0</v>
      </c>
      <c r="J4496" s="7">
        <v>40886.43472222222</v>
      </c>
      <c r="K4496" s="8" t="str">
        <f t="shared" si="4"/>
        <v>2011-12</v>
      </c>
      <c r="L4496" s="5">
        <v>8.29</v>
      </c>
      <c r="M4496" s="10"/>
      <c r="N4496" s="1" t="str">
        <f t="shared" si="5"/>
        <v>Guest</v>
      </c>
      <c r="O4496" s="1" t="s">
        <v>19</v>
      </c>
      <c r="P4496" s="9" t="str">
        <f t="shared" si="6"/>
        <v>UK</v>
      </c>
      <c r="Q4496" s="8">
        <f t="shared" si="7"/>
        <v>8.29</v>
      </c>
    </row>
    <row r="4497">
      <c r="A4497" s="1">
        <v>581498.0</v>
      </c>
      <c r="B4497" s="1" t="str">
        <f t="shared" si="1"/>
        <v>581498</v>
      </c>
      <c r="C4497" s="1" t="str">
        <f t="shared" si="2"/>
        <v>Sale</v>
      </c>
      <c r="D4497" s="1">
        <v>22278.0</v>
      </c>
      <c r="E4497" s="1" t="str">
        <f>IFERROR(__xludf.DUMMYFUNCTION("IF(LEN(D4497)&gt;4, IFERROR(REGEXEXTRACT(TO_TEXT(D4497),""\d+""),""""),"""")"),"22278")</f>
        <v>22278</v>
      </c>
      <c r="F4497" s="6" t="str">
        <f t="shared" si="3"/>
        <v>Product</v>
      </c>
      <c r="G4497" s="1" t="s">
        <v>1026</v>
      </c>
      <c r="H4497" s="6" t="str">
        <f>IFERROR(__xludf.DUMMYFUNCTION("IF(REGEXMATCH(LOWER(G4497), ""^(\?)+\s*(missing)?\s*(\?)*$""), """", PROPER(SUBSTITUTE(SUBSTITUTE(G4497, ""?"", """"), ""*"", """")))"),"Overnight Bag Vintage Rose Paisley")</f>
        <v>Overnight Bag Vintage Rose Paisley</v>
      </c>
      <c r="I4497" s="3">
        <v>2.0</v>
      </c>
      <c r="J4497" s="7">
        <v>40886.43472222222</v>
      </c>
      <c r="K4497" s="8" t="str">
        <f t="shared" si="4"/>
        <v>2011-12</v>
      </c>
      <c r="L4497" s="5">
        <v>10.79</v>
      </c>
      <c r="M4497" s="10"/>
      <c r="N4497" s="1" t="str">
        <f t="shared" si="5"/>
        <v>Guest</v>
      </c>
      <c r="O4497" s="1" t="s">
        <v>19</v>
      </c>
      <c r="P4497" s="9" t="str">
        <f t="shared" si="6"/>
        <v>UK</v>
      </c>
      <c r="Q4497" s="8">
        <f t="shared" si="7"/>
        <v>21.58</v>
      </c>
    </row>
    <row r="4498">
      <c r="A4498" s="1">
        <v>581498.0</v>
      </c>
      <c r="B4498" s="1" t="str">
        <f t="shared" si="1"/>
        <v>581498</v>
      </c>
      <c r="C4498" s="1" t="str">
        <f t="shared" si="2"/>
        <v>Sale</v>
      </c>
      <c r="D4498" s="1">
        <v>22301.0</v>
      </c>
      <c r="E4498" s="1" t="str">
        <f>IFERROR(__xludf.DUMMYFUNCTION("IF(LEN(D4498)&gt;4, IFERROR(REGEXEXTRACT(TO_TEXT(D4498),""\d+""),""""),"""")"),"22301")</f>
        <v>22301</v>
      </c>
      <c r="F4498" s="6" t="str">
        <f t="shared" si="3"/>
        <v>Product</v>
      </c>
      <c r="G4498" s="1" t="s">
        <v>827</v>
      </c>
      <c r="H4498" s="6" t="str">
        <f>IFERROR(__xludf.DUMMYFUNCTION("IF(REGEXMATCH(LOWER(G4498), ""^(\?)+\s*(missing)?\s*(\?)*$""), """", PROPER(SUBSTITUTE(SUBSTITUTE(G4498, ""?"", """"), ""*"", """")))"),"Coffee Mug Cat + Bird Design")</f>
        <v>Coffee Mug Cat + Bird Design</v>
      </c>
      <c r="I4498" s="3">
        <v>2.0</v>
      </c>
      <c r="J4498" s="7">
        <v>40886.43472222222</v>
      </c>
      <c r="K4498" s="8" t="str">
        <f t="shared" si="4"/>
        <v>2011-12</v>
      </c>
      <c r="L4498" s="5">
        <v>4.96</v>
      </c>
      <c r="M4498" s="10"/>
      <c r="N4498" s="1" t="str">
        <f t="shared" si="5"/>
        <v>Guest</v>
      </c>
      <c r="O4498" s="1" t="s">
        <v>19</v>
      </c>
      <c r="P4498" s="9" t="str">
        <f t="shared" si="6"/>
        <v>UK</v>
      </c>
      <c r="Q4498" s="8">
        <f t="shared" si="7"/>
        <v>9.92</v>
      </c>
    </row>
    <row r="4499">
      <c r="A4499" s="1">
        <v>581498.0</v>
      </c>
      <c r="B4499" s="1" t="str">
        <f t="shared" si="1"/>
        <v>581498</v>
      </c>
      <c r="C4499" s="1" t="str">
        <f t="shared" si="2"/>
        <v>Sale</v>
      </c>
      <c r="D4499" s="1">
        <v>22302.0</v>
      </c>
      <c r="E4499" s="1" t="str">
        <f>IFERROR(__xludf.DUMMYFUNCTION("IF(LEN(D4499)&gt;4, IFERROR(REGEXEXTRACT(TO_TEXT(D4499),""\d+""),""""),"""")"),"22302")</f>
        <v>22302</v>
      </c>
      <c r="F4499" s="6" t="str">
        <f t="shared" si="3"/>
        <v>Product</v>
      </c>
      <c r="G4499" s="1" t="s">
        <v>820</v>
      </c>
      <c r="H4499" s="6" t="str">
        <f>IFERROR(__xludf.DUMMYFUNCTION("IF(REGEXMATCH(LOWER(G4499), ""^(\?)+\s*(missing)?\s*(\?)*$""), """", PROPER(SUBSTITUTE(SUBSTITUTE(G4499, ""?"", """"), ""*"", """")))"),"Coffee Mug Pears Design")</f>
        <v>Coffee Mug Pears Design</v>
      </c>
      <c r="I4499" s="3">
        <v>4.0</v>
      </c>
      <c r="J4499" s="7">
        <v>40886.43472222222</v>
      </c>
      <c r="K4499" s="8" t="str">
        <f t="shared" si="4"/>
        <v>2011-12</v>
      </c>
      <c r="L4499" s="5">
        <v>4.96</v>
      </c>
      <c r="M4499" s="10"/>
      <c r="N4499" s="1" t="str">
        <f t="shared" si="5"/>
        <v>Guest</v>
      </c>
      <c r="O4499" s="1" t="s">
        <v>19</v>
      </c>
      <c r="P4499" s="9" t="str">
        <f t="shared" si="6"/>
        <v>UK</v>
      </c>
      <c r="Q4499" s="8">
        <f t="shared" si="7"/>
        <v>19.84</v>
      </c>
    </row>
    <row r="4500">
      <c r="A4500" s="1">
        <v>581498.0</v>
      </c>
      <c r="B4500" s="1" t="str">
        <f t="shared" si="1"/>
        <v>581498</v>
      </c>
      <c r="C4500" s="1" t="str">
        <f t="shared" si="2"/>
        <v>Sale</v>
      </c>
      <c r="D4500" s="1">
        <v>22303.0</v>
      </c>
      <c r="E4500" s="1" t="str">
        <f>IFERROR(__xludf.DUMMYFUNCTION("IF(LEN(D4500)&gt;4, IFERROR(REGEXEXTRACT(TO_TEXT(D4500),""\d+""),""""),"""")"),"22303")</f>
        <v>22303</v>
      </c>
      <c r="F4500" s="6" t="str">
        <f t="shared" si="3"/>
        <v>Product</v>
      </c>
      <c r="G4500" s="1" t="s">
        <v>821</v>
      </c>
      <c r="H4500" s="6" t="str">
        <f>IFERROR(__xludf.DUMMYFUNCTION("IF(REGEXMATCH(LOWER(G4500), ""^(\?)+\s*(missing)?\s*(\?)*$""), """", PROPER(SUBSTITUTE(SUBSTITUTE(G4500, ""?"", """"), ""*"", """")))"),"Coffee Mug Apples Design")</f>
        <v>Coffee Mug Apples Design</v>
      </c>
      <c r="I4500" s="3">
        <v>4.0</v>
      </c>
      <c r="J4500" s="7">
        <v>40886.43472222222</v>
      </c>
      <c r="K4500" s="8" t="str">
        <f t="shared" si="4"/>
        <v>2011-12</v>
      </c>
      <c r="L4500" s="5">
        <v>4.96</v>
      </c>
      <c r="M4500" s="10"/>
      <c r="N4500" s="1" t="str">
        <f t="shared" si="5"/>
        <v>Guest</v>
      </c>
      <c r="O4500" s="1" t="s">
        <v>19</v>
      </c>
      <c r="P4500" s="9" t="str">
        <f t="shared" si="6"/>
        <v>UK</v>
      </c>
      <c r="Q4500" s="8">
        <f t="shared" si="7"/>
        <v>19.84</v>
      </c>
    </row>
    <row r="4501">
      <c r="A4501" s="1">
        <v>581498.0</v>
      </c>
      <c r="B4501" s="1" t="str">
        <f t="shared" si="1"/>
        <v>581498</v>
      </c>
      <c r="C4501" s="1" t="str">
        <f t="shared" si="2"/>
        <v>Sale</v>
      </c>
      <c r="D4501" s="1">
        <v>22304.0</v>
      </c>
      <c r="E4501" s="1" t="str">
        <f>IFERROR(__xludf.DUMMYFUNCTION("IF(LEN(D4501)&gt;4, IFERROR(REGEXEXTRACT(TO_TEXT(D4501),""\d+""),""""),"""")"),"22304")</f>
        <v>22304</v>
      </c>
      <c r="F4501" s="6" t="str">
        <f t="shared" si="3"/>
        <v>Product</v>
      </c>
      <c r="G4501" s="1" t="s">
        <v>2070</v>
      </c>
      <c r="H4501" s="6" t="str">
        <f>IFERROR(__xludf.DUMMYFUNCTION("IF(REGEXMATCH(LOWER(G4501), ""^(\?)+\s*(missing)?\s*(\?)*$""), """", PROPER(SUBSTITUTE(SUBSTITUTE(G4501, ""?"", """"), ""*"", """")))"),"Coffee Mug Blue Paisley Design")</f>
        <v>Coffee Mug Blue Paisley Design</v>
      </c>
      <c r="I4501" s="3">
        <v>1.0</v>
      </c>
      <c r="J4501" s="7">
        <v>40886.43472222222</v>
      </c>
      <c r="K4501" s="8" t="str">
        <f t="shared" si="4"/>
        <v>2011-12</v>
      </c>
      <c r="L4501" s="5">
        <v>4.96</v>
      </c>
      <c r="M4501" s="10"/>
      <c r="N4501" s="1" t="str">
        <f t="shared" si="5"/>
        <v>Guest</v>
      </c>
      <c r="O4501" s="1" t="s">
        <v>19</v>
      </c>
      <c r="P4501" s="9" t="str">
        <f t="shared" si="6"/>
        <v>UK</v>
      </c>
      <c r="Q4501" s="8">
        <f t="shared" si="7"/>
        <v>4.96</v>
      </c>
    </row>
    <row r="4502">
      <c r="A4502" s="1">
        <v>581498.0</v>
      </c>
      <c r="B4502" s="1" t="str">
        <f t="shared" si="1"/>
        <v>581498</v>
      </c>
      <c r="C4502" s="1" t="str">
        <f t="shared" si="2"/>
        <v>Sale</v>
      </c>
      <c r="D4502" s="1">
        <v>22308.0</v>
      </c>
      <c r="E4502" s="1" t="str">
        <f>IFERROR(__xludf.DUMMYFUNCTION("IF(LEN(D4502)&gt;4, IFERROR(REGEXEXTRACT(TO_TEXT(D4502),""\d+""),""""),"""")"),"22308")</f>
        <v>22308</v>
      </c>
      <c r="F4502" s="6" t="str">
        <f t="shared" si="3"/>
        <v>Product</v>
      </c>
      <c r="G4502" s="1" t="s">
        <v>906</v>
      </c>
      <c r="H4502" s="6" t="str">
        <f>IFERROR(__xludf.DUMMYFUNCTION("IF(REGEXMATCH(LOWER(G4502), ""^(\?)+\s*(missing)?\s*(\?)*$""), """", PROPER(SUBSTITUTE(SUBSTITUTE(G4502, ""?"", """"), ""*"", """")))"),"Tea Cosy Blue Stripe")</f>
        <v>Tea Cosy Blue Stripe</v>
      </c>
      <c r="I4502" s="3">
        <v>2.0</v>
      </c>
      <c r="J4502" s="7">
        <v>40886.43472222222</v>
      </c>
      <c r="K4502" s="8" t="str">
        <f t="shared" si="4"/>
        <v>2011-12</v>
      </c>
      <c r="L4502" s="5">
        <v>4.96</v>
      </c>
      <c r="M4502" s="10"/>
      <c r="N4502" s="1" t="str">
        <f t="shared" si="5"/>
        <v>Guest</v>
      </c>
      <c r="O4502" s="1" t="s">
        <v>19</v>
      </c>
      <c r="P4502" s="9" t="str">
        <f t="shared" si="6"/>
        <v>UK</v>
      </c>
      <c r="Q4502" s="8">
        <f t="shared" si="7"/>
        <v>9.92</v>
      </c>
    </row>
    <row r="4503">
      <c r="A4503" s="1">
        <v>581498.0</v>
      </c>
      <c r="B4503" s="1" t="str">
        <f t="shared" si="1"/>
        <v>581498</v>
      </c>
      <c r="C4503" s="1" t="str">
        <f t="shared" si="2"/>
        <v>Sale</v>
      </c>
      <c r="D4503" s="1">
        <v>22327.0</v>
      </c>
      <c r="E4503" s="1" t="str">
        <f>IFERROR(__xludf.DUMMYFUNCTION("IF(LEN(D4503)&gt;4, IFERROR(REGEXEXTRACT(TO_TEXT(D4503),""\d+""),""""),"""")"),"22327")</f>
        <v>22327</v>
      </c>
      <c r="F4503" s="6" t="str">
        <f t="shared" si="3"/>
        <v>Product</v>
      </c>
      <c r="G4503" s="1" t="s">
        <v>432</v>
      </c>
      <c r="H4503" s="6" t="str">
        <f>IFERROR(__xludf.DUMMYFUNCTION("IF(REGEXMATCH(LOWER(G4503), ""^(\?)+\s*(missing)?\s*(\?)*$""), """", PROPER(SUBSTITUTE(SUBSTITUTE(G4503, ""?"", """"), ""*"", """")))"),"Round Snack Boxes Set Of 4 Skulls")</f>
        <v>Round Snack Boxes Set Of 4 Skulls</v>
      </c>
      <c r="I4503" s="3">
        <v>4.0</v>
      </c>
      <c r="J4503" s="7">
        <v>40886.43472222222</v>
      </c>
      <c r="K4503" s="8" t="str">
        <f t="shared" si="4"/>
        <v>2011-12</v>
      </c>
      <c r="L4503" s="5">
        <v>6.63</v>
      </c>
      <c r="M4503" s="10"/>
      <c r="N4503" s="1" t="str">
        <f t="shared" si="5"/>
        <v>Guest</v>
      </c>
      <c r="O4503" s="1" t="s">
        <v>19</v>
      </c>
      <c r="P4503" s="9" t="str">
        <f t="shared" si="6"/>
        <v>UK</v>
      </c>
      <c r="Q4503" s="8">
        <f t="shared" si="7"/>
        <v>26.52</v>
      </c>
    </row>
    <row r="4504">
      <c r="A4504" s="1">
        <v>581498.0</v>
      </c>
      <c r="B4504" s="1" t="str">
        <f t="shared" si="1"/>
        <v>581498</v>
      </c>
      <c r="C4504" s="1" t="str">
        <f t="shared" si="2"/>
        <v>Sale</v>
      </c>
      <c r="D4504" s="1">
        <v>22328.0</v>
      </c>
      <c r="E4504" s="1" t="str">
        <f>IFERROR(__xludf.DUMMYFUNCTION("IF(LEN(D4504)&gt;4, IFERROR(REGEXEXTRACT(TO_TEXT(D4504),""\d+""),""""),"""")"),"22328")</f>
        <v>22328</v>
      </c>
      <c r="F4504" s="6" t="str">
        <f t="shared" si="3"/>
        <v>Product</v>
      </c>
      <c r="G4504" s="1" t="s">
        <v>431</v>
      </c>
      <c r="H4504" s="6" t="str">
        <f>IFERROR(__xludf.DUMMYFUNCTION("IF(REGEXMATCH(LOWER(G4504), ""^(\?)+\s*(missing)?\s*(\?)*$""), """", PROPER(SUBSTITUTE(SUBSTITUTE(G4504, ""?"", """"), ""*"", """")))"),"Round Snack Boxes Set Of 4 Fruits")</f>
        <v>Round Snack Boxes Set Of 4 Fruits</v>
      </c>
      <c r="I4504" s="3">
        <v>4.0</v>
      </c>
      <c r="J4504" s="7">
        <v>40886.43472222222</v>
      </c>
      <c r="K4504" s="8" t="str">
        <f t="shared" si="4"/>
        <v>2011-12</v>
      </c>
      <c r="L4504" s="5">
        <v>4.13</v>
      </c>
      <c r="M4504" s="10"/>
      <c r="N4504" s="1" t="str">
        <f t="shared" si="5"/>
        <v>Guest</v>
      </c>
      <c r="O4504" s="1" t="s">
        <v>19</v>
      </c>
      <c r="P4504" s="9" t="str">
        <f t="shared" si="6"/>
        <v>UK</v>
      </c>
      <c r="Q4504" s="8">
        <f t="shared" si="7"/>
        <v>16.52</v>
      </c>
    </row>
    <row r="4505">
      <c r="A4505" s="1">
        <v>581498.0</v>
      </c>
      <c r="B4505" s="1" t="str">
        <f t="shared" si="1"/>
        <v>581498</v>
      </c>
      <c r="C4505" s="1" t="str">
        <f t="shared" si="2"/>
        <v>Sale</v>
      </c>
      <c r="D4505" s="1">
        <v>22352.0</v>
      </c>
      <c r="E4505" s="1" t="str">
        <f>IFERROR(__xludf.DUMMYFUNCTION("IF(LEN(D4505)&gt;4, IFERROR(REGEXEXTRACT(TO_TEXT(D4505),""\d+""),""""),"""")"),"22352")</f>
        <v>22352</v>
      </c>
      <c r="F4505" s="6" t="str">
        <f t="shared" si="3"/>
        <v>Product</v>
      </c>
      <c r="G4505" s="1" t="s">
        <v>96</v>
      </c>
      <c r="H4505" s="6" t="str">
        <f>IFERROR(__xludf.DUMMYFUNCTION("IF(REGEXMATCH(LOWER(G4505), ""^(\?)+\s*(missing)?\s*(\?)*$""), """", PROPER(SUBSTITUTE(SUBSTITUTE(G4505, ""?"", """"), ""*"", """")))"),"Lunch Box With Cutlery Retrospot")</f>
        <v>Lunch Box With Cutlery Retrospot</v>
      </c>
      <c r="I4505" s="3">
        <v>6.0</v>
      </c>
      <c r="J4505" s="7">
        <v>40886.43472222222</v>
      </c>
      <c r="K4505" s="8" t="str">
        <f t="shared" si="4"/>
        <v>2011-12</v>
      </c>
      <c r="L4505" s="5">
        <v>4.13</v>
      </c>
      <c r="M4505" s="10"/>
      <c r="N4505" s="1" t="str">
        <f t="shared" si="5"/>
        <v>Guest</v>
      </c>
      <c r="O4505" s="1" t="s">
        <v>19</v>
      </c>
      <c r="P4505" s="9" t="str">
        <f t="shared" si="6"/>
        <v>UK</v>
      </c>
      <c r="Q4505" s="8">
        <f t="shared" si="7"/>
        <v>24.78</v>
      </c>
    </row>
    <row r="4506">
      <c r="A4506" s="1">
        <v>581498.0</v>
      </c>
      <c r="B4506" s="1" t="str">
        <f t="shared" si="1"/>
        <v>581498</v>
      </c>
      <c r="C4506" s="1" t="str">
        <f t="shared" si="2"/>
        <v>Sale</v>
      </c>
      <c r="D4506" s="1">
        <v>22357.0</v>
      </c>
      <c r="E4506" s="1" t="str">
        <f>IFERROR(__xludf.DUMMYFUNCTION("IF(LEN(D4506)&gt;4, IFERROR(REGEXEXTRACT(TO_TEXT(D4506),""\d+""),""""),"""")"),"22357")</f>
        <v>22357</v>
      </c>
      <c r="F4506" s="6" t="str">
        <f t="shared" si="3"/>
        <v>Product</v>
      </c>
      <c r="G4506" s="1" t="s">
        <v>517</v>
      </c>
      <c r="H4506" s="6" t="str">
        <f>IFERROR(__xludf.DUMMYFUNCTION("IF(REGEXMATCH(LOWER(G4506), ""^(\?)+\s*(missing)?\s*(\?)*$""), """", PROPER(SUBSTITUTE(SUBSTITUTE(G4506, ""?"", """"), ""*"", """")))"),"Kings Choice Biscuit Tin")</f>
        <v>Kings Choice Biscuit Tin</v>
      </c>
      <c r="I4506" s="3">
        <v>1.0</v>
      </c>
      <c r="J4506" s="7">
        <v>40886.43472222222</v>
      </c>
      <c r="K4506" s="8" t="str">
        <f t="shared" si="4"/>
        <v>2011-12</v>
      </c>
      <c r="L4506" s="5">
        <v>8.29</v>
      </c>
      <c r="M4506" s="10"/>
      <c r="N4506" s="1" t="str">
        <f t="shared" si="5"/>
        <v>Guest</v>
      </c>
      <c r="O4506" s="1" t="s">
        <v>19</v>
      </c>
      <c r="P4506" s="9" t="str">
        <f t="shared" si="6"/>
        <v>UK</v>
      </c>
      <c r="Q4506" s="8">
        <f t="shared" si="7"/>
        <v>8.29</v>
      </c>
    </row>
    <row r="4507">
      <c r="A4507" s="1">
        <v>581498.0</v>
      </c>
      <c r="B4507" s="1" t="str">
        <f t="shared" si="1"/>
        <v>581498</v>
      </c>
      <c r="C4507" s="1" t="str">
        <f t="shared" si="2"/>
        <v>Sale</v>
      </c>
      <c r="D4507" s="1">
        <v>22358.0</v>
      </c>
      <c r="E4507" s="1" t="str">
        <f>IFERROR(__xludf.DUMMYFUNCTION("IF(LEN(D4507)&gt;4, IFERROR(REGEXEXTRACT(TO_TEXT(D4507),""\d+""),""""),"""")"),"22358")</f>
        <v>22358</v>
      </c>
      <c r="F4507" s="6" t="str">
        <f t="shared" si="3"/>
        <v>Product</v>
      </c>
      <c r="G4507" s="1" t="s">
        <v>516</v>
      </c>
      <c r="H4507" s="6" t="str">
        <f>IFERROR(__xludf.DUMMYFUNCTION("IF(REGEXMATCH(LOWER(G4507), ""^(\?)+\s*(missing)?\s*(\?)*$""), """", PROPER(SUBSTITUTE(SUBSTITUTE(G4507, ""?"", """"), ""*"", """")))"),"Kings Choice Tea Caddy")</f>
        <v>Kings Choice Tea Caddy</v>
      </c>
      <c r="I4507" s="3">
        <v>1.0</v>
      </c>
      <c r="J4507" s="7">
        <v>40886.43472222222</v>
      </c>
      <c r="K4507" s="8" t="str">
        <f t="shared" si="4"/>
        <v>2011-12</v>
      </c>
      <c r="L4507" s="5">
        <v>5.79</v>
      </c>
      <c r="M4507" s="10"/>
      <c r="N4507" s="1" t="str">
        <f t="shared" si="5"/>
        <v>Guest</v>
      </c>
      <c r="O4507" s="1" t="s">
        <v>19</v>
      </c>
      <c r="P4507" s="9" t="str">
        <f t="shared" si="6"/>
        <v>UK</v>
      </c>
      <c r="Q4507" s="8">
        <f t="shared" si="7"/>
        <v>5.79</v>
      </c>
    </row>
    <row r="4508">
      <c r="A4508" s="1">
        <v>581498.0</v>
      </c>
      <c r="B4508" s="1" t="str">
        <f t="shared" si="1"/>
        <v>581498</v>
      </c>
      <c r="C4508" s="1" t="str">
        <f t="shared" si="2"/>
        <v>Sale</v>
      </c>
      <c r="D4508" s="1">
        <v>22367.0</v>
      </c>
      <c r="E4508" s="1" t="str">
        <f>IFERROR(__xludf.DUMMYFUNCTION("IF(LEN(D4508)&gt;4, IFERROR(REGEXEXTRACT(TO_TEXT(D4508),""\d+""),""""),"""")"),"22367")</f>
        <v>22367</v>
      </c>
      <c r="F4508" s="6" t="str">
        <f t="shared" si="3"/>
        <v>Product</v>
      </c>
      <c r="G4508" s="1" t="s">
        <v>488</v>
      </c>
      <c r="H4508" s="6" t="str">
        <f>IFERROR(__xludf.DUMMYFUNCTION("IF(REGEXMATCH(LOWER(G4508), ""^(\?)+\s*(missing)?\s*(\?)*$""), """", PROPER(SUBSTITUTE(SUBSTITUTE(G4508, ""?"", """"), ""*"", """")))"),"Childrens Apron Spaceboy Design")</f>
        <v>Childrens Apron Spaceboy Design</v>
      </c>
      <c r="I4508" s="3">
        <v>7.0</v>
      </c>
      <c r="J4508" s="7">
        <v>40886.43472222222</v>
      </c>
      <c r="K4508" s="8" t="str">
        <f t="shared" si="4"/>
        <v>2011-12</v>
      </c>
      <c r="L4508" s="5">
        <v>4.96</v>
      </c>
      <c r="M4508" s="10"/>
      <c r="N4508" s="1" t="str">
        <f t="shared" si="5"/>
        <v>Guest</v>
      </c>
      <c r="O4508" s="1" t="s">
        <v>19</v>
      </c>
      <c r="P4508" s="9" t="str">
        <f t="shared" si="6"/>
        <v>UK</v>
      </c>
      <c r="Q4508" s="8">
        <f t="shared" si="7"/>
        <v>34.72</v>
      </c>
    </row>
    <row r="4509">
      <c r="A4509" s="1">
        <v>581498.0</v>
      </c>
      <c r="B4509" s="1" t="str">
        <f t="shared" si="1"/>
        <v>581498</v>
      </c>
      <c r="C4509" s="1" t="str">
        <f t="shared" si="2"/>
        <v>Sale</v>
      </c>
      <c r="D4509" s="1">
        <v>22371.0</v>
      </c>
      <c r="E4509" s="1" t="str">
        <f>IFERROR(__xludf.DUMMYFUNCTION("IF(LEN(D4509)&gt;4, IFERROR(REGEXEXTRACT(TO_TEXT(D4509),""\d+""),""""),"""")"),"22371")</f>
        <v>22371</v>
      </c>
      <c r="F4509" s="6" t="str">
        <f t="shared" si="3"/>
        <v>Product</v>
      </c>
      <c r="G4509" s="1" t="s">
        <v>381</v>
      </c>
      <c r="H4509" s="6" t="str">
        <f>IFERROR(__xludf.DUMMYFUNCTION("IF(REGEXMATCH(LOWER(G4509), ""^(\?)+\s*(missing)?\s*(\?)*$""), """", PROPER(SUBSTITUTE(SUBSTITUTE(G4509, ""?"", """"), ""*"", """")))"),"Airline Bag Vintage Tokyo 78")</f>
        <v>Airline Bag Vintage Tokyo 78</v>
      </c>
      <c r="I4509" s="3">
        <v>1.0</v>
      </c>
      <c r="J4509" s="7">
        <v>40886.43472222222</v>
      </c>
      <c r="K4509" s="8" t="str">
        <f t="shared" si="4"/>
        <v>2011-12</v>
      </c>
      <c r="L4509" s="5">
        <v>4.13</v>
      </c>
      <c r="M4509" s="10"/>
      <c r="N4509" s="1" t="str">
        <f t="shared" si="5"/>
        <v>Guest</v>
      </c>
      <c r="O4509" s="1" t="s">
        <v>19</v>
      </c>
      <c r="P4509" s="9" t="str">
        <f t="shared" si="6"/>
        <v>UK</v>
      </c>
      <c r="Q4509" s="8">
        <f t="shared" si="7"/>
        <v>4.13</v>
      </c>
    </row>
    <row r="4510">
      <c r="A4510" s="1">
        <v>581498.0</v>
      </c>
      <c r="B4510" s="1" t="str">
        <f t="shared" si="1"/>
        <v>581498</v>
      </c>
      <c r="C4510" s="1" t="str">
        <f t="shared" si="2"/>
        <v>Sale</v>
      </c>
      <c r="D4510" s="1">
        <v>22374.0</v>
      </c>
      <c r="E4510" s="1" t="str">
        <f>IFERROR(__xludf.DUMMYFUNCTION("IF(LEN(D4510)&gt;4, IFERROR(REGEXEXTRACT(TO_TEXT(D4510),""\d+""),""""),"""")"),"22374")</f>
        <v>22374</v>
      </c>
      <c r="F4510" s="6" t="str">
        <f t="shared" si="3"/>
        <v>Product</v>
      </c>
      <c r="G4510" s="1" t="s">
        <v>841</v>
      </c>
      <c r="H4510" s="6" t="str">
        <f>IFERROR(__xludf.DUMMYFUNCTION("IF(REGEXMATCH(LOWER(G4510), ""^(\?)+\s*(missing)?\s*(\?)*$""), """", PROPER(SUBSTITUTE(SUBSTITUTE(G4510, ""?"", """"), ""*"", """")))"),"Airline Bag Vintage Jet Set Red")</f>
        <v>Airline Bag Vintage Jet Set Red</v>
      </c>
      <c r="I4510" s="3">
        <v>1.0</v>
      </c>
      <c r="J4510" s="7">
        <v>40886.43472222222</v>
      </c>
      <c r="K4510" s="8" t="str">
        <f t="shared" si="4"/>
        <v>2011-12</v>
      </c>
      <c r="L4510" s="5">
        <v>4.13</v>
      </c>
      <c r="M4510" s="10"/>
      <c r="N4510" s="1" t="str">
        <f t="shared" si="5"/>
        <v>Guest</v>
      </c>
      <c r="O4510" s="1" t="s">
        <v>19</v>
      </c>
      <c r="P4510" s="9" t="str">
        <f t="shared" si="6"/>
        <v>UK</v>
      </c>
      <c r="Q4510" s="8">
        <f t="shared" si="7"/>
        <v>4.13</v>
      </c>
    </row>
    <row r="4511">
      <c r="A4511" s="1">
        <v>581498.0</v>
      </c>
      <c r="B4511" s="1" t="str">
        <f t="shared" si="1"/>
        <v>581498</v>
      </c>
      <c r="C4511" s="1" t="str">
        <f t="shared" si="2"/>
        <v>Sale</v>
      </c>
      <c r="D4511" s="1">
        <v>22378.0</v>
      </c>
      <c r="E4511" s="1" t="str">
        <f>IFERROR(__xludf.DUMMYFUNCTION("IF(LEN(D4511)&gt;4, IFERROR(REGEXEXTRACT(TO_TEXT(D4511),""\d+""),""""),"""")"),"22378")</f>
        <v>22378</v>
      </c>
      <c r="F4511" s="6" t="str">
        <f t="shared" si="3"/>
        <v>Product</v>
      </c>
      <c r="G4511" s="1" t="s">
        <v>1078</v>
      </c>
      <c r="H4511" s="6" t="str">
        <f>IFERROR(__xludf.DUMMYFUNCTION("IF(REGEXMATCH(LOWER(G4511), ""^(\?)+\s*(missing)?\s*(\?)*$""), """", PROPER(SUBSTITUTE(SUBSTITUTE(G4511, ""?"", """"), ""*"", """")))"),"Wall Tidy Retrospot")</f>
        <v>Wall Tidy Retrospot</v>
      </c>
      <c r="I4511" s="3">
        <v>2.0</v>
      </c>
      <c r="J4511" s="7">
        <v>40886.43472222222</v>
      </c>
      <c r="K4511" s="8" t="str">
        <f t="shared" si="4"/>
        <v>2011-12</v>
      </c>
      <c r="L4511" s="5">
        <v>4.96</v>
      </c>
      <c r="M4511" s="10"/>
      <c r="N4511" s="1" t="str">
        <f t="shared" si="5"/>
        <v>Guest</v>
      </c>
      <c r="O4511" s="1" t="s">
        <v>19</v>
      </c>
      <c r="P4511" s="9" t="str">
        <f t="shared" si="6"/>
        <v>UK</v>
      </c>
      <c r="Q4511" s="8">
        <f t="shared" si="7"/>
        <v>9.92</v>
      </c>
    </row>
    <row r="4512">
      <c r="A4512" s="1">
        <v>581498.0</v>
      </c>
      <c r="B4512" s="1" t="str">
        <f t="shared" si="1"/>
        <v>581498</v>
      </c>
      <c r="C4512" s="1" t="str">
        <f t="shared" si="2"/>
        <v>Sale</v>
      </c>
      <c r="D4512" s="1">
        <v>22379.0</v>
      </c>
      <c r="E4512" s="1" t="str">
        <f>IFERROR(__xludf.DUMMYFUNCTION("IF(LEN(D4512)&gt;4, IFERROR(REGEXEXTRACT(TO_TEXT(D4512),""\d+""),""""),"""")"),"22379")</f>
        <v>22379</v>
      </c>
      <c r="F4512" s="6" t="str">
        <f t="shared" si="3"/>
        <v>Product</v>
      </c>
      <c r="G4512" s="1" t="s">
        <v>152</v>
      </c>
      <c r="H4512" s="6" t="str">
        <f>IFERROR(__xludf.DUMMYFUNCTION("IF(REGEXMATCH(LOWER(G4512), ""^(\?)+\s*(missing)?\s*(\?)*$""), """", PROPER(SUBSTITUTE(SUBSTITUTE(G4512, ""?"", """"), ""*"", """")))"),"Recycling Bag Retrospot")</f>
        <v>Recycling Bag Retrospot</v>
      </c>
      <c r="I4512" s="3">
        <v>4.0</v>
      </c>
      <c r="J4512" s="7">
        <v>40886.43472222222</v>
      </c>
      <c r="K4512" s="8" t="str">
        <f t="shared" si="4"/>
        <v>2011-12</v>
      </c>
      <c r="L4512" s="5">
        <v>4.96</v>
      </c>
      <c r="M4512" s="10"/>
      <c r="N4512" s="1" t="str">
        <f t="shared" si="5"/>
        <v>Guest</v>
      </c>
      <c r="O4512" s="1" t="s">
        <v>19</v>
      </c>
      <c r="P4512" s="9" t="str">
        <f t="shared" si="6"/>
        <v>UK</v>
      </c>
      <c r="Q4512" s="8">
        <f t="shared" si="7"/>
        <v>19.84</v>
      </c>
    </row>
    <row r="4513">
      <c r="A4513" s="1">
        <v>581498.0</v>
      </c>
      <c r="B4513" s="1" t="str">
        <f t="shared" si="1"/>
        <v>581498</v>
      </c>
      <c r="C4513" s="1" t="str">
        <f t="shared" si="2"/>
        <v>Sale</v>
      </c>
      <c r="D4513" s="1">
        <v>22381.0</v>
      </c>
      <c r="E4513" s="1" t="str">
        <f>IFERROR(__xludf.DUMMYFUNCTION("IF(LEN(D4513)&gt;4, IFERROR(REGEXEXTRACT(TO_TEXT(D4513),""\d+""),""""),"""")"),"22381")</f>
        <v>22381</v>
      </c>
      <c r="F4513" s="6" t="str">
        <f t="shared" si="3"/>
        <v>Product</v>
      </c>
      <c r="G4513" s="1" t="s">
        <v>153</v>
      </c>
      <c r="H4513" s="6" t="str">
        <f>IFERROR(__xludf.DUMMYFUNCTION("IF(REGEXMATCH(LOWER(G4513), ""^(\?)+\s*(missing)?\s*(\?)*$""), """", PROPER(SUBSTITUTE(SUBSTITUTE(G4513, ""?"", """"), ""*"", """")))"),"Toy Tidy Pink Polkadot")</f>
        <v>Toy Tidy Pink Polkadot</v>
      </c>
      <c r="I4513" s="3">
        <v>1.0</v>
      </c>
      <c r="J4513" s="7">
        <v>40886.43472222222</v>
      </c>
      <c r="K4513" s="8" t="str">
        <f t="shared" si="4"/>
        <v>2011-12</v>
      </c>
      <c r="L4513" s="5">
        <v>4.96</v>
      </c>
      <c r="M4513" s="10"/>
      <c r="N4513" s="1" t="str">
        <f t="shared" si="5"/>
        <v>Guest</v>
      </c>
      <c r="O4513" s="1" t="s">
        <v>19</v>
      </c>
      <c r="P4513" s="9" t="str">
        <f t="shared" si="6"/>
        <v>UK</v>
      </c>
      <c r="Q4513" s="8">
        <f t="shared" si="7"/>
        <v>4.96</v>
      </c>
    </row>
    <row r="4514">
      <c r="A4514" s="1">
        <v>581498.0</v>
      </c>
      <c r="B4514" s="1" t="str">
        <f t="shared" si="1"/>
        <v>581498</v>
      </c>
      <c r="C4514" s="1" t="str">
        <f t="shared" si="2"/>
        <v>Sale</v>
      </c>
      <c r="D4514" s="1">
        <v>22384.0</v>
      </c>
      <c r="E4514" s="1" t="str">
        <f>IFERROR(__xludf.DUMMYFUNCTION("IF(LEN(D4514)&gt;4, IFERROR(REGEXEXTRACT(TO_TEXT(D4514),""\d+""),""""),"""")"),"22384")</f>
        <v>22384</v>
      </c>
      <c r="F4514" s="6" t="str">
        <f t="shared" si="3"/>
        <v>Product</v>
      </c>
      <c r="G4514" s="1" t="s">
        <v>322</v>
      </c>
      <c r="H4514" s="6" t="str">
        <f>IFERROR(__xludf.DUMMYFUNCTION("IF(REGEXMATCH(LOWER(G4514), ""^(\?)+\s*(missing)?\s*(\?)*$""), """", PROPER(SUBSTITUTE(SUBSTITUTE(G4514, ""?"", """"), ""*"", """")))"),"Lunch Bag Pink Polkadot")</f>
        <v>Lunch Bag Pink Polkadot</v>
      </c>
      <c r="I4514" s="3">
        <v>1.0</v>
      </c>
      <c r="J4514" s="7">
        <v>40886.43472222222</v>
      </c>
      <c r="K4514" s="8" t="str">
        <f t="shared" si="4"/>
        <v>2011-12</v>
      </c>
      <c r="L4514" s="5">
        <v>4.96</v>
      </c>
      <c r="M4514" s="10"/>
      <c r="N4514" s="1" t="str">
        <f t="shared" si="5"/>
        <v>Guest</v>
      </c>
      <c r="O4514" s="1" t="s">
        <v>19</v>
      </c>
      <c r="P4514" s="9" t="str">
        <f t="shared" si="6"/>
        <v>UK</v>
      </c>
      <c r="Q4514" s="8">
        <f t="shared" si="7"/>
        <v>4.96</v>
      </c>
    </row>
    <row r="4515">
      <c r="A4515" s="1">
        <v>581498.0</v>
      </c>
      <c r="B4515" s="1" t="str">
        <f t="shared" si="1"/>
        <v>581498</v>
      </c>
      <c r="C4515" s="1" t="str">
        <f t="shared" si="2"/>
        <v>Sale</v>
      </c>
      <c r="D4515" s="1">
        <v>22386.0</v>
      </c>
      <c r="E4515" s="1" t="str">
        <f>IFERROR(__xludf.DUMMYFUNCTION("IF(LEN(D4515)&gt;4, IFERROR(REGEXEXTRACT(TO_TEXT(D4515),""\d+""),""""),"""")"),"22386")</f>
        <v>22386</v>
      </c>
      <c r="F4515" s="6" t="str">
        <f t="shared" si="3"/>
        <v>Product</v>
      </c>
      <c r="G4515" s="1" t="s">
        <v>84</v>
      </c>
      <c r="H4515" s="6" t="str">
        <f>IFERROR(__xludf.DUMMYFUNCTION("IF(REGEXMATCH(LOWER(G4515), ""^(\?)+\s*(missing)?\s*(\?)*$""), """", PROPER(SUBSTITUTE(SUBSTITUTE(G4515, ""?"", """"), ""*"", """")))"),"Jumbo Bag Pink Polkadot")</f>
        <v>Jumbo Bag Pink Polkadot</v>
      </c>
      <c r="I4515" s="3">
        <v>1.0</v>
      </c>
      <c r="J4515" s="7">
        <v>40886.43472222222</v>
      </c>
      <c r="K4515" s="8" t="str">
        <f t="shared" si="4"/>
        <v>2011-12</v>
      </c>
      <c r="L4515" s="5">
        <v>4.13</v>
      </c>
      <c r="M4515" s="10"/>
      <c r="N4515" s="1" t="str">
        <f t="shared" si="5"/>
        <v>Guest</v>
      </c>
      <c r="O4515" s="1" t="s">
        <v>19</v>
      </c>
      <c r="P4515" s="9" t="str">
        <f t="shared" si="6"/>
        <v>UK</v>
      </c>
      <c r="Q4515" s="8">
        <f t="shared" si="7"/>
        <v>4.13</v>
      </c>
    </row>
    <row r="4516">
      <c r="A4516" s="1">
        <v>581498.0</v>
      </c>
      <c r="B4516" s="1" t="str">
        <f t="shared" si="1"/>
        <v>581498</v>
      </c>
      <c r="C4516" s="1" t="str">
        <f t="shared" si="2"/>
        <v>Sale</v>
      </c>
      <c r="D4516" s="1">
        <v>22411.0</v>
      </c>
      <c r="E4516" s="1" t="str">
        <f>IFERROR(__xludf.DUMMYFUNCTION("IF(LEN(D4516)&gt;4, IFERROR(REGEXEXTRACT(TO_TEXT(D4516),""\d+""),""""),"""")"),"22411")</f>
        <v>22411</v>
      </c>
      <c r="F4516" s="6" t="str">
        <f t="shared" si="3"/>
        <v>Product</v>
      </c>
      <c r="G4516" s="1" t="s">
        <v>112</v>
      </c>
      <c r="H4516" s="6" t="str">
        <f>IFERROR(__xludf.DUMMYFUNCTION("IF(REGEXMATCH(LOWER(G4516), ""^(\?)+\s*(missing)?\s*(\?)*$""), """", PROPER(SUBSTITUTE(SUBSTITUTE(G4516, ""?"", """"), ""*"", """")))"),"Jumbo Shopper Vintage Red Paisley")</f>
        <v>Jumbo Shopper Vintage Red Paisley</v>
      </c>
      <c r="I4516" s="3">
        <v>2.0</v>
      </c>
      <c r="J4516" s="7">
        <v>40886.43472222222</v>
      </c>
      <c r="K4516" s="8" t="str">
        <f t="shared" si="4"/>
        <v>2011-12</v>
      </c>
      <c r="L4516" s="5">
        <v>4.13</v>
      </c>
      <c r="M4516" s="10"/>
      <c r="N4516" s="1" t="str">
        <f t="shared" si="5"/>
        <v>Guest</v>
      </c>
      <c r="O4516" s="1" t="s">
        <v>19</v>
      </c>
      <c r="P4516" s="9" t="str">
        <f t="shared" si="6"/>
        <v>UK</v>
      </c>
      <c r="Q4516" s="8">
        <f t="shared" si="7"/>
        <v>8.26</v>
      </c>
    </row>
    <row r="4517">
      <c r="A4517" s="1">
        <v>581498.0</v>
      </c>
      <c r="B4517" s="1" t="str">
        <f t="shared" si="1"/>
        <v>581498</v>
      </c>
      <c r="C4517" s="1" t="str">
        <f t="shared" si="2"/>
        <v>Sale</v>
      </c>
      <c r="D4517" s="1">
        <v>22422.0</v>
      </c>
      <c r="E4517" s="1" t="str">
        <f>IFERROR(__xludf.DUMMYFUNCTION("IF(LEN(D4517)&gt;4, IFERROR(REGEXEXTRACT(TO_TEXT(D4517),""\d+""),""""),"""")"),"22422")</f>
        <v>22422</v>
      </c>
      <c r="F4517" s="6" t="str">
        <f t="shared" si="3"/>
        <v>Product</v>
      </c>
      <c r="G4517" s="1" t="s">
        <v>1934</v>
      </c>
      <c r="H4517" s="6" t="str">
        <f>IFERROR(__xludf.DUMMYFUNCTION("IF(REGEXMATCH(LOWER(G4517), ""^(\?)+\s*(missing)?\s*(\?)*$""), """", PROPER(SUBSTITUTE(SUBSTITUTE(G4517, ""?"", """"), ""*"", """")))"),"Toothpaste Tube Pen")</f>
        <v>Toothpaste Tube Pen</v>
      </c>
      <c r="I4517" s="3">
        <v>1.0</v>
      </c>
      <c r="J4517" s="7">
        <v>40886.43472222222</v>
      </c>
      <c r="K4517" s="8" t="str">
        <f t="shared" si="4"/>
        <v>2011-12</v>
      </c>
      <c r="L4517" s="5">
        <v>1.25</v>
      </c>
      <c r="M4517" s="10"/>
      <c r="N4517" s="1" t="str">
        <f t="shared" si="5"/>
        <v>Guest</v>
      </c>
      <c r="O4517" s="1" t="s">
        <v>19</v>
      </c>
      <c r="P4517" s="9" t="str">
        <f t="shared" si="6"/>
        <v>UK</v>
      </c>
      <c r="Q4517" s="8">
        <f t="shared" si="7"/>
        <v>1.25</v>
      </c>
    </row>
    <row r="4518">
      <c r="A4518" s="1">
        <v>581498.0</v>
      </c>
      <c r="B4518" s="1" t="str">
        <f t="shared" si="1"/>
        <v>581498</v>
      </c>
      <c r="C4518" s="1" t="str">
        <f t="shared" si="2"/>
        <v>Sale</v>
      </c>
      <c r="D4518" s="1">
        <v>22424.0</v>
      </c>
      <c r="E4518" s="1" t="str">
        <f>IFERROR(__xludf.DUMMYFUNCTION("IF(LEN(D4518)&gt;4, IFERROR(REGEXEXTRACT(TO_TEXT(D4518),""\d+""),""""),"""")"),"22424")</f>
        <v>22424</v>
      </c>
      <c r="F4518" s="6" t="str">
        <f t="shared" si="3"/>
        <v>Product</v>
      </c>
      <c r="G4518" s="1" t="s">
        <v>174</v>
      </c>
      <c r="H4518" s="6" t="str">
        <f>IFERROR(__xludf.DUMMYFUNCTION("IF(REGEXMATCH(LOWER(G4518), ""^(\?)+\s*(missing)?\s*(\?)*$""), """", PROPER(SUBSTITUTE(SUBSTITUTE(G4518, ""?"", """"), ""*"", """")))"),"Enamel Bread Bin Cream")</f>
        <v>Enamel Bread Bin Cream</v>
      </c>
      <c r="I4518" s="3">
        <v>1.0</v>
      </c>
      <c r="J4518" s="7">
        <v>40886.43472222222</v>
      </c>
      <c r="K4518" s="8" t="str">
        <f t="shared" si="4"/>
        <v>2011-12</v>
      </c>
      <c r="L4518" s="5">
        <v>24.96</v>
      </c>
      <c r="M4518" s="10"/>
      <c r="N4518" s="1" t="str">
        <f t="shared" si="5"/>
        <v>Guest</v>
      </c>
      <c r="O4518" s="1" t="s">
        <v>19</v>
      </c>
      <c r="P4518" s="9" t="str">
        <f t="shared" si="6"/>
        <v>UK</v>
      </c>
      <c r="Q4518" s="8">
        <f t="shared" si="7"/>
        <v>24.96</v>
      </c>
    </row>
    <row r="4519">
      <c r="A4519" s="1">
        <v>581498.0</v>
      </c>
      <c r="B4519" s="1" t="str">
        <f t="shared" si="1"/>
        <v>581498</v>
      </c>
      <c r="C4519" s="1" t="str">
        <f t="shared" si="2"/>
        <v>Sale</v>
      </c>
      <c r="D4519" s="1">
        <v>22429.0</v>
      </c>
      <c r="E4519" s="1" t="str">
        <f>IFERROR(__xludf.DUMMYFUNCTION("IF(LEN(D4519)&gt;4, IFERROR(REGEXEXTRACT(TO_TEXT(D4519),""\d+""),""""),"""")"),"22429")</f>
        <v>22429</v>
      </c>
      <c r="F4519" s="6" t="str">
        <f t="shared" si="3"/>
        <v>Product</v>
      </c>
      <c r="G4519" s="1" t="s">
        <v>790</v>
      </c>
      <c r="H4519" s="6" t="str">
        <f>IFERROR(__xludf.DUMMYFUNCTION("IF(REGEXMATCH(LOWER(G4519), ""^(\?)+\s*(missing)?\s*(\?)*$""), """", PROPER(SUBSTITUTE(SUBSTITUTE(G4519, ""?"", """"), ""*"", """")))"),"Enamel Measuring Jug Cream")</f>
        <v>Enamel Measuring Jug Cream</v>
      </c>
      <c r="I4519" s="3">
        <v>1.0</v>
      </c>
      <c r="J4519" s="7">
        <v>40886.43472222222</v>
      </c>
      <c r="K4519" s="8" t="str">
        <f t="shared" si="4"/>
        <v>2011-12</v>
      </c>
      <c r="L4519" s="5">
        <v>8.29</v>
      </c>
      <c r="M4519" s="10"/>
      <c r="N4519" s="1" t="str">
        <f t="shared" si="5"/>
        <v>Guest</v>
      </c>
      <c r="O4519" s="1" t="s">
        <v>19</v>
      </c>
      <c r="P4519" s="9" t="str">
        <f t="shared" si="6"/>
        <v>UK</v>
      </c>
      <c r="Q4519" s="8">
        <f t="shared" si="7"/>
        <v>8.29</v>
      </c>
    </row>
    <row r="4520">
      <c r="A4520" s="1">
        <v>581498.0</v>
      </c>
      <c r="B4520" s="1" t="str">
        <f t="shared" si="1"/>
        <v>581498</v>
      </c>
      <c r="C4520" s="1" t="str">
        <f t="shared" si="2"/>
        <v>Sale</v>
      </c>
      <c r="D4520" s="1">
        <v>22456.0</v>
      </c>
      <c r="E4520" s="1" t="str">
        <f>IFERROR(__xludf.DUMMYFUNCTION("IF(LEN(D4520)&gt;4, IFERROR(REGEXEXTRACT(TO_TEXT(D4520),""\d+""),""""),"""")"),"22456")</f>
        <v>22456</v>
      </c>
      <c r="F4520" s="6" t="str">
        <f t="shared" si="3"/>
        <v>Product</v>
      </c>
      <c r="G4520" s="1" t="s">
        <v>793</v>
      </c>
      <c r="H4520" s="6" t="str">
        <f>IFERROR(__xludf.DUMMYFUNCTION("IF(REGEXMATCH(LOWER(G4520), ""^(\?)+\s*(missing)?\s*(\?)*$""), """", PROPER(SUBSTITUTE(SUBSTITUTE(G4520, ""?"", """"), ""*"", """")))"),"Natural Slate Chalkboard Large")</f>
        <v>Natural Slate Chalkboard Large</v>
      </c>
      <c r="I4520" s="3">
        <v>4.0</v>
      </c>
      <c r="J4520" s="7">
        <v>40886.43472222222</v>
      </c>
      <c r="K4520" s="8" t="str">
        <f t="shared" si="4"/>
        <v>2011-12</v>
      </c>
      <c r="L4520" s="5">
        <v>9.96</v>
      </c>
      <c r="M4520" s="10"/>
      <c r="N4520" s="1" t="str">
        <f t="shared" si="5"/>
        <v>Guest</v>
      </c>
      <c r="O4520" s="1" t="s">
        <v>19</v>
      </c>
      <c r="P4520" s="9" t="str">
        <f t="shared" si="6"/>
        <v>UK</v>
      </c>
      <c r="Q4520" s="8">
        <f t="shared" si="7"/>
        <v>39.84</v>
      </c>
    </row>
    <row r="4521">
      <c r="A4521" s="1">
        <v>581498.0</v>
      </c>
      <c r="B4521" s="1" t="str">
        <f t="shared" si="1"/>
        <v>581498</v>
      </c>
      <c r="C4521" s="1" t="str">
        <f t="shared" si="2"/>
        <v>Sale</v>
      </c>
      <c r="D4521" s="1">
        <v>22457.0</v>
      </c>
      <c r="E4521" s="1" t="str">
        <f>IFERROR(__xludf.DUMMYFUNCTION("IF(LEN(D4521)&gt;4, IFERROR(REGEXEXTRACT(TO_TEXT(D4521),""\d+""),""""),"""")"),"22457")</f>
        <v>22457</v>
      </c>
      <c r="F4521" s="6" t="str">
        <f t="shared" si="3"/>
        <v>Product</v>
      </c>
      <c r="G4521" s="1" t="s">
        <v>166</v>
      </c>
      <c r="H4521" s="6" t="str">
        <f>IFERROR(__xludf.DUMMYFUNCTION("IF(REGEXMATCH(LOWER(G4521), ""^(\?)+\s*(missing)?\s*(\?)*$""), """", PROPER(SUBSTITUTE(SUBSTITUTE(G4521, ""?"", """"), ""*"", """")))"),"Natural Slate Heart Chalkboard")</f>
        <v>Natural Slate Heart Chalkboard</v>
      </c>
      <c r="I4521" s="3">
        <v>2.0</v>
      </c>
      <c r="J4521" s="7">
        <v>40886.43472222222</v>
      </c>
      <c r="K4521" s="8" t="str">
        <f t="shared" si="4"/>
        <v>2011-12</v>
      </c>
      <c r="L4521" s="5">
        <v>5.79</v>
      </c>
      <c r="M4521" s="10"/>
      <c r="N4521" s="1" t="str">
        <f t="shared" si="5"/>
        <v>Guest</v>
      </c>
      <c r="O4521" s="1" t="s">
        <v>19</v>
      </c>
      <c r="P4521" s="9" t="str">
        <f t="shared" si="6"/>
        <v>UK</v>
      </c>
      <c r="Q4521" s="8">
        <f t="shared" si="7"/>
        <v>11.58</v>
      </c>
    </row>
    <row r="4522">
      <c r="A4522" s="1">
        <v>581498.0</v>
      </c>
      <c r="B4522" s="1" t="str">
        <f t="shared" si="1"/>
        <v>581498</v>
      </c>
      <c r="C4522" s="1" t="str">
        <f t="shared" si="2"/>
        <v>Sale</v>
      </c>
      <c r="D4522" s="1">
        <v>22471.0</v>
      </c>
      <c r="E4522" s="1" t="str">
        <f>IFERROR(__xludf.DUMMYFUNCTION("IF(LEN(D4522)&gt;4, IFERROR(REGEXEXTRACT(TO_TEXT(D4522),""\d+""),""""),"""")"),"22471")</f>
        <v>22471</v>
      </c>
      <c r="F4522" s="6" t="str">
        <f t="shared" si="3"/>
        <v>Product</v>
      </c>
      <c r="G4522" s="1" t="s">
        <v>2071</v>
      </c>
      <c r="H4522" s="6" t="str">
        <f>IFERROR(__xludf.DUMMYFUNCTION("IF(REGEXMATCH(LOWER(G4522), ""^(\?)+\s*(missing)?\s*(\?)*$""), """", PROPER(SUBSTITUTE(SUBSTITUTE(G4522, ""?"", """"), ""*"", """")))"),"Tv Dinner Tray Air Hostess")</f>
        <v>Tv Dinner Tray Air Hostess</v>
      </c>
      <c r="I4522" s="3">
        <v>1.0</v>
      </c>
      <c r="J4522" s="7">
        <v>40886.43472222222</v>
      </c>
      <c r="K4522" s="8" t="str">
        <f t="shared" si="4"/>
        <v>2011-12</v>
      </c>
      <c r="L4522" s="5">
        <v>10.79</v>
      </c>
      <c r="M4522" s="10"/>
      <c r="N4522" s="1" t="str">
        <f t="shared" si="5"/>
        <v>Guest</v>
      </c>
      <c r="O4522" s="1" t="s">
        <v>19</v>
      </c>
      <c r="P4522" s="9" t="str">
        <f t="shared" si="6"/>
        <v>UK</v>
      </c>
      <c r="Q4522" s="8">
        <f t="shared" si="7"/>
        <v>10.79</v>
      </c>
    </row>
    <row r="4523">
      <c r="A4523" s="1">
        <v>581498.0</v>
      </c>
      <c r="B4523" s="1" t="str">
        <f t="shared" si="1"/>
        <v>581498</v>
      </c>
      <c r="C4523" s="1" t="str">
        <f t="shared" si="2"/>
        <v>Sale</v>
      </c>
      <c r="D4523" s="1">
        <v>22474.0</v>
      </c>
      <c r="E4523" s="1" t="str">
        <f>IFERROR(__xludf.DUMMYFUNCTION("IF(LEN(D4523)&gt;4, IFERROR(REGEXEXTRACT(TO_TEXT(D4523),""\d+""),""""),"""")"),"22474")</f>
        <v>22474</v>
      </c>
      <c r="F4523" s="6" t="str">
        <f t="shared" si="3"/>
        <v>Product</v>
      </c>
      <c r="G4523" s="1" t="s">
        <v>1294</v>
      </c>
      <c r="H4523" s="6" t="str">
        <f>IFERROR(__xludf.DUMMYFUNCTION("IF(REGEXMATCH(LOWER(G4523), ""^(\?)+\s*(missing)?\s*(\?)*$""), """", PROPER(SUBSTITUTE(SUBSTITUTE(G4523, ""?"", """"), ""*"", """")))"),"Spaceboy Tv Dinner Tray")</f>
        <v>Spaceboy Tv Dinner Tray</v>
      </c>
      <c r="I4523" s="3">
        <v>1.0</v>
      </c>
      <c r="J4523" s="7">
        <v>40886.43472222222</v>
      </c>
      <c r="K4523" s="8" t="str">
        <f t="shared" si="4"/>
        <v>2011-12</v>
      </c>
      <c r="L4523" s="5">
        <v>10.79</v>
      </c>
      <c r="M4523" s="10"/>
      <c r="N4523" s="1" t="str">
        <f t="shared" si="5"/>
        <v>Guest</v>
      </c>
      <c r="O4523" s="1" t="s">
        <v>19</v>
      </c>
      <c r="P4523" s="9" t="str">
        <f t="shared" si="6"/>
        <v>UK</v>
      </c>
      <c r="Q4523" s="8">
        <f t="shared" si="7"/>
        <v>10.79</v>
      </c>
    </row>
    <row r="4524">
      <c r="A4524" s="1">
        <v>581498.0</v>
      </c>
      <c r="B4524" s="1" t="str">
        <f t="shared" si="1"/>
        <v>581498</v>
      </c>
      <c r="C4524" s="1" t="str">
        <f t="shared" si="2"/>
        <v>Sale</v>
      </c>
      <c r="D4524" s="1">
        <v>22488.0</v>
      </c>
      <c r="E4524" s="1" t="str">
        <f>IFERROR(__xludf.DUMMYFUNCTION("IF(LEN(D4524)&gt;4, IFERROR(REGEXEXTRACT(TO_TEXT(D4524),""\d+""),""""),"""")"),"22488")</f>
        <v>22488</v>
      </c>
      <c r="F4524" s="6" t="str">
        <f t="shared" si="3"/>
        <v>Product</v>
      </c>
      <c r="G4524" s="1" t="s">
        <v>376</v>
      </c>
      <c r="H4524" s="6" t="str">
        <f>IFERROR(__xludf.DUMMYFUNCTION("IF(REGEXMATCH(LOWER(G4524), ""^(\?)+\s*(missing)?\s*(\?)*$""), """", PROPER(SUBSTITUTE(SUBSTITUTE(G4524, ""?"", """"), ""*"", """")))"),"Natural Slate Rectangle Chalkboard")</f>
        <v>Natural Slate Rectangle Chalkboard</v>
      </c>
      <c r="I4524" s="3">
        <v>2.0</v>
      </c>
      <c r="J4524" s="7">
        <v>40886.43472222222</v>
      </c>
      <c r="K4524" s="8" t="str">
        <f t="shared" si="4"/>
        <v>2011-12</v>
      </c>
      <c r="L4524" s="5">
        <v>3.29</v>
      </c>
      <c r="M4524" s="10"/>
      <c r="N4524" s="1" t="str">
        <f t="shared" si="5"/>
        <v>Guest</v>
      </c>
      <c r="O4524" s="1" t="s">
        <v>19</v>
      </c>
      <c r="P4524" s="9" t="str">
        <f t="shared" si="6"/>
        <v>UK</v>
      </c>
      <c r="Q4524" s="8">
        <f t="shared" si="7"/>
        <v>6.58</v>
      </c>
    </row>
    <row r="4525">
      <c r="A4525" s="1">
        <v>581498.0</v>
      </c>
      <c r="B4525" s="1" t="str">
        <f t="shared" si="1"/>
        <v>581498</v>
      </c>
      <c r="C4525" s="1" t="str">
        <f t="shared" si="2"/>
        <v>Sale</v>
      </c>
      <c r="D4525" s="1">
        <v>22498.0</v>
      </c>
      <c r="E4525" s="1" t="str">
        <f>IFERROR(__xludf.DUMMYFUNCTION("IF(LEN(D4525)&gt;4, IFERROR(REGEXEXTRACT(TO_TEXT(D4525),""\d+""),""""),"""")"),"22498")</f>
        <v>22498</v>
      </c>
      <c r="F4525" s="6" t="str">
        <f t="shared" si="3"/>
        <v>Product</v>
      </c>
      <c r="G4525" s="1" t="s">
        <v>2072</v>
      </c>
      <c r="H4525" s="6" t="str">
        <f>IFERROR(__xludf.DUMMYFUNCTION("IF(REGEXMATCH(LOWER(G4525), ""^(\?)+\s*(missing)?\s*(\?)*$""), """", PROPER(SUBSTITUTE(SUBSTITUTE(G4525, ""?"", """"), ""*"", """")))"),"Wooden Regatta Bunting")</f>
        <v>Wooden Regatta Bunting</v>
      </c>
      <c r="I4525" s="3">
        <v>1.0</v>
      </c>
      <c r="J4525" s="7">
        <v>40886.43472222222</v>
      </c>
      <c r="K4525" s="8" t="str">
        <f t="shared" si="4"/>
        <v>2011-12</v>
      </c>
      <c r="L4525" s="5">
        <v>8.29</v>
      </c>
      <c r="M4525" s="10"/>
      <c r="N4525" s="1" t="str">
        <f t="shared" si="5"/>
        <v>Guest</v>
      </c>
      <c r="O4525" s="1" t="s">
        <v>19</v>
      </c>
      <c r="P4525" s="9" t="str">
        <f t="shared" si="6"/>
        <v>UK</v>
      </c>
      <c r="Q4525" s="8">
        <f t="shared" si="7"/>
        <v>8.29</v>
      </c>
    </row>
    <row r="4526">
      <c r="A4526" s="1">
        <v>581498.0</v>
      </c>
      <c r="B4526" s="1" t="str">
        <f t="shared" si="1"/>
        <v>581498</v>
      </c>
      <c r="C4526" s="1" t="str">
        <f t="shared" si="2"/>
        <v>Sale</v>
      </c>
      <c r="D4526" s="1">
        <v>22507.0</v>
      </c>
      <c r="E4526" s="1" t="str">
        <f>IFERROR(__xludf.DUMMYFUNCTION("IF(LEN(D4526)&gt;4, IFERROR(REGEXEXTRACT(TO_TEXT(D4526),""\d+""),""""),"""")"),"22507")</f>
        <v>22507</v>
      </c>
      <c r="F4526" s="6" t="str">
        <f t="shared" si="3"/>
        <v>Product</v>
      </c>
      <c r="G4526" s="1" t="s">
        <v>812</v>
      </c>
      <c r="H4526" s="6" t="str">
        <f>IFERROR(__xludf.DUMMYFUNCTION("IF(REGEXMATCH(LOWER(G4526), ""^(\?)+\s*(missing)?\s*(\?)*$""), """", PROPER(SUBSTITUTE(SUBSTITUTE(G4526, ""?"", """"), ""*"", """")))"),"Memo Board Retrospot Design")</f>
        <v>Memo Board Retrospot Design</v>
      </c>
      <c r="I4526" s="3">
        <v>1.0</v>
      </c>
      <c r="J4526" s="7">
        <v>40886.43472222222</v>
      </c>
      <c r="K4526" s="8" t="str">
        <f t="shared" si="4"/>
        <v>2011-12</v>
      </c>
      <c r="L4526" s="5">
        <v>10.79</v>
      </c>
      <c r="M4526" s="10"/>
      <c r="N4526" s="1" t="str">
        <f t="shared" si="5"/>
        <v>Guest</v>
      </c>
      <c r="O4526" s="1" t="s">
        <v>19</v>
      </c>
      <c r="P4526" s="9" t="str">
        <f t="shared" si="6"/>
        <v>UK</v>
      </c>
      <c r="Q4526" s="8">
        <f t="shared" si="7"/>
        <v>10.79</v>
      </c>
    </row>
    <row r="4527">
      <c r="A4527" s="1">
        <v>581498.0</v>
      </c>
      <c r="B4527" s="1" t="str">
        <f t="shared" si="1"/>
        <v>581498</v>
      </c>
      <c r="C4527" s="1" t="str">
        <f t="shared" si="2"/>
        <v>Sale</v>
      </c>
      <c r="D4527" s="1">
        <v>22526.0</v>
      </c>
      <c r="E4527" s="1" t="str">
        <f>IFERROR(__xludf.DUMMYFUNCTION("IF(LEN(D4527)&gt;4, IFERROR(REGEXEXTRACT(TO_TEXT(D4527),""\d+""),""""),"""")"),"22526")</f>
        <v>22526</v>
      </c>
      <c r="F4527" s="6" t="str">
        <f t="shared" si="3"/>
        <v>Product</v>
      </c>
      <c r="G4527" s="1" t="s">
        <v>2073</v>
      </c>
      <c r="H4527" s="6" t="str">
        <f>IFERROR(__xludf.DUMMYFUNCTION("IF(REGEXMATCH(LOWER(G4527), ""^(\?)+\s*(missing)?\s*(\?)*$""), """", PROPER(SUBSTITUTE(SUBSTITUTE(G4527, ""?"", """"), ""*"", """")))"),"Wheelbarrow For Children")</f>
        <v>Wheelbarrow For Children</v>
      </c>
      <c r="I4527" s="3">
        <v>1.0</v>
      </c>
      <c r="J4527" s="7">
        <v>40886.43472222222</v>
      </c>
      <c r="K4527" s="8" t="str">
        <f t="shared" si="4"/>
        <v>2011-12</v>
      </c>
      <c r="L4527" s="5">
        <v>24.96</v>
      </c>
      <c r="M4527" s="10"/>
      <c r="N4527" s="1" t="str">
        <f t="shared" si="5"/>
        <v>Guest</v>
      </c>
      <c r="O4527" s="1" t="s">
        <v>19</v>
      </c>
      <c r="P4527" s="9" t="str">
        <f t="shared" si="6"/>
        <v>UK</v>
      </c>
      <c r="Q4527" s="8">
        <f t="shared" si="7"/>
        <v>24.96</v>
      </c>
    </row>
    <row r="4528">
      <c r="A4528" s="1">
        <v>581498.0</v>
      </c>
      <c r="B4528" s="1" t="str">
        <f t="shared" si="1"/>
        <v>581498</v>
      </c>
      <c r="C4528" s="1" t="str">
        <f t="shared" si="2"/>
        <v>Sale</v>
      </c>
      <c r="D4528" s="1">
        <v>22553.0</v>
      </c>
      <c r="E4528" s="1" t="str">
        <f>IFERROR(__xludf.DUMMYFUNCTION("IF(LEN(D4528)&gt;4, IFERROR(REGEXEXTRACT(TO_TEXT(D4528),""\d+""),""""),"""")"),"22553")</f>
        <v>22553</v>
      </c>
      <c r="F4528" s="6" t="str">
        <f t="shared" si="3"/>
        <v>Product</v>
      </c>
      <c r="G4528" s="1" t="s">
        <v>234</v>
      </c>
      <c r="H4528" s="6" t="str">
        <f>IFERROR(__xludf.DUMMYFUNCTION("IF(REGEXMATCH(LOWER(G4528), ""^(\?)+\s*(missing)?\s*(\?)*$""), """", PROPER(SUBSTITUTE(SUBSTITUTE(G4528, ""?"", """"), ""*"", """")))"),"Plasters In Tin Skulls")</f>
        <v>Plasters In Tin Skulls</v>
      </c>
      <c r="I4528" s="3">
        <v>1.0</v>
      </c>
      <c r="J4528" s="7">
        <v>40886.43472222222</v>
      </c>
      <c r="K4528" s="8" t="str">
        <f t="shared" si="4"/>
        <v>2011-12</v>
      </c>
      <c r="L4528" s="5">
        <v>3.29</v>
      </c>
      <c r="M4528" s="10"/>
      <c r="N4528" s="1" t="str">
        <f t="shared" si="5"/>
        <v>Guest</v>
      </c>
      <c r="O4528" s="1" t="s">
        <v>19</v>
      </c>
      <c r="P4528" s="9" t="str">
        <f t="shared" si="6"/>
        <v>UK</v>
      </c>
      <c r="Q4528" s="8">
        <f t="shared" si="7"/>
        <v>3.29</v>
      </c>
    </row>
    <row r="4529">
      <c r="A4529" s="1">
        <v>581498.0</v>
      </c>
      <c r="B4529" s="1" t="str">
        <f t="shared" si="1"/>
        <v>581498</v>
      </c>
      <c r="C4529" s="1" t="str">
        <f t="shared" si="2"/>
        <v>Sale</v>
      </c>
      <c r="D4529" s="1">
        <v>22557.0</v>
      </c>
      <c r="E4529" s="1" t="str">
        <f>IFERROR(__xludf.DUMMYFUNCTION("IF(LEN(D4529)&gt;4, IFERROR(REGEXEXTRACT(TO_TEXT(D4529),""\d+""),""""),"""")"),"22557")</f>
        <v>22557</v>
      </c>
      <c r="F4529" s="6" t="str">
        <f t="shared" si="3"/>
        <v>Product</v>
      </c>
      <c r="G4529" s="1" t="s">
        <v>233</v>
      </c>
      <c r="H4529" s="6" t="str">
        <f>IFERROR(__xludf.DUMMYFUNCTION("IF(REGEXMATCH(LOWER(G4529), ""^(\?)+\s*(missing)?\s*(\?)*$""), """", PROPER(SUBSTITUTE(SUBSTITUTE(G4529, ""?"", """"), ""*"", """")))"),"Plasters In Tin Vintage Paisley")</f>
        <v>Plasters In Tin Vintage Paisley</v>
      </c>
      <c r="I4529" s="3">
        <v>1.0</v>
      </c>
      <c r="J4529" s="7">
        <v>40886.43472222222</v>
      </c>
      <c r="K4529" s="8" t="str">
        <f t="shared" si="4"/>
        <v>2011-12</v>
      </c>
      <c r="L4529" s="5">
        <v>3.29</v>
      </c>
      <c r="M4529" s="10"/>
      <c r="N4529" s="1" t="str">
        <f t="shared" si="5"/>
        <v>Guest</v>
      </c>
      <c r="O4529" s="1" t="s">
        <v>19</v>
      </c>
      <c r="P4529" s="9" t="str">
        <f t="shared" si="6"/>
        <v>UK</v>
      </c>
      <c r="Q4529" s="8">
        <f t="shared" si="7"/>
        <v>3.29</v>
      </c>
    </row>
    <row r="4530">
      <c r="A4530" s="1">
        <v>581498.0</v>
      </c>
      <c r="B4530" s="1" t="str">
        <f t="shared" si="1"/>
        <v>581498</v>
      </c>
      <c r="C4530" s="1" t="str">
        <f t="shared" si="2"/>
        <v>Sale</v>
      </c>
      <c r="D4530" s="1">
        <v>22619.0</v>
      </c>
      <c r="E4530" s="1" t="str">
        <f>IFERROR(__xludf.DUMMYFUNCTION("IF(LEN(D4530)&gt;4, IFERROR(REGEXEXTRACT(TO_TEXT(D4530),""\d+""),""""),"""")"),"22619")</f>
        <v>22619</v>
      </c>
      <c r="F4530" s="6" t="str">
        <f t="shared" si="3"/>
        <v>Product</v>
      </c>
      <c r="G4530" s="1" t="s">
        <v>236</v>
      </c>
      <c r="H4530" s="6" t="str">
        <f>IFERROR(__xludf.DUMMYFUNCTION("IF(REGEXMATCH(LOWER(G4530), ""^(\?)+\s*(missing)?\s*(\?)*$""), """", PROPER(SUBSTITUTE(SUBSTITUTE(G4530, ""?"", """"), ""*"", """")))"),"Set Of 6 Soldier Skittles")</f>
        <v>Set Of 6 Soldier Skittles</v>
      </c>
      <c r="I4530" s="3">
        <v>1.0</v>
      </c>
      <c r="J4530" s="7">
        <v>40886.43472222222</v>
      </c>
      <c r="K4530" s="8" t="str">
        <f t="shared" si="4"/>
        <v>2011-12</v>
      </c>
      <c r="L4530" s="5">
        <v>7.46</v>
      </c>
      <c r="M4530" s="10"/>
      <c r="N4530" s="1" t="str">
        <f t="shared" si="5"/>
        <v>Guest</v>
      </c>
      <c r="O4530" s="1" t="s">
        <v>19</v>
      </c>
      <c r="P4530" s="9" t="str">
        <f t="shared" si="6"/>
        <v>UK</v>
      </c>
      <c r="Q4530" s="8">
        <f t="shared" si="7"/>
        <v>7.46</v>
      </c>
    </row>
    <row r="4531">
      <c r="A4531" s="1">
        <v>581498.0</v>
      </c>
      <c r="B4531" s="1" t="str">
        <f t="shared" si="1"/>
        <v>581498</v>
      </c>
      <c r="C4531" s="1" t="str">
        <f t="shared" si="2"/>
        <v>Sale</v>
      </c>
      <c r="D4531" s="1">
        <v>22622.0</v>
      </c>
      <c r="E4531" s="1" t="str">
        <f>IFERROR(__xludf.DUMMYFUNCTION("IF(LEN(D4531)&gt;4, IFERROR(REGEXEXTRACT(TO_TEXT(D4531),""\d+""),""""),"""")"),"22622")</f>
        <v>22622</v>
      </c>
      <c r="F4531" s="6" t="str">
        <f t="shared" si="3"/>
        <v>Product</v>
      </c>
      <c r="G4531" s="1" t="s">
        <v>38</v>
      </c>
      <c r="H4531" s="6" t="str">
        <f>IFERROR(__xludf.DUMMYFUNCTION("IF(REGEXMATCH(LOWER(G4531), ""^(\?)+\s*(missing)?\s*(\?)*$""), """", PROPER(SUBSTITUTE(SUBSTITUTE(G4531, ""?"", """"), ""*"", """")))"),"Box Of Vintage Alphabet Blocks")</f>
        <v>Box Of Vintage Alphabet Blocks</v>
      </c>
      <c r="I4531" s="3">
        <v>1.0</v>
      </c>
      <c r="J4531" s="7">
        <v>40886.43472222222</v>
      </c>
      <c r="K4531" s="8" t="str">
        <f t="shared" si="4"/>
        <v>2011-12</v>
      </c>
      <c r="L4531" s="5">
        <v>20.79</v>
      </c>
      <c r="M4531" s="10"/>
      <c r="N4531" s="1" t="str">
        <f t="shared" si="5"/>
        <v>Guest</v>
      </c>
      <c r="O4531" s="1" t="s">
        <v>19</v>
      </c>
      <c r="P4531" s="9" t="str">
        <f t="shared" si="6"/>
        <v>UK</v>
      </c>
      <c r="Q4531" s="8">
        <f t="shared" si="7"/>
        <v>20.79</v>
      </c>
    </row>
    <row r="4532">
      <c r="A4532" s="1">
        <v>581498.0</v>
      </c>
      <c r="B4532" s="1" t="str">
        <f t="shared" si="1"/>
        <v>581498</v>
      </c>
      <c r="C4532" s="1" t="str">
        <f t="shared" si="2"/>
        <v>Sale</v>
      </c>
      <c r="D4532" s="1">
        <v>22624.0</v>
      </c>
      <c r="E4532" s="1" t="str">
        <f>IFERROR(__xludf.DUMMYFUNCTION("IF(LEN(D4532)&gt;4, IFERROR(REGEXEXTRACT(TO_TEXT(D4532),""\d+""),""""),"""")"),"22624")</f>
        <v>22624</v>
      </c>
      <c r="F4532" s="6" t="str">
        <f t="shared" si="3"/>
        <v>Product</v>
      </c>
      <c r="G4532" s="1" t="s">
        <v>771</v>
      </c>
      <c r="H4532" s="6" t="str">
        <f>IFERROR(__xludf.DUMMYFUNCTION("IF(REGEXMATCH(LOWER(G4532), ""^(\?)+\s*(missing)?\s*(\?)*$""), """", PROPER(SUBSTITUTE(SUBSTITUTE(G4532, ""?"", """"), ""*"", """")))"),"Ivory Kitchen Scales")</f>
        <v>Ivory Kitchen Scales</v>
      </c>
      <c r="I4532" s="3">
        <v>1.0</v>
      </c>
      <c r="J4532" s="7">
        <v>40886.43472222222</v>
      </c>
      <c r="K4532" s="8" t="str">
        <f t="shared" si="4"/>
        <v>2011-12</v>
      </c>
      <c r="L4532" s="5">
        <v>16.63</v>
      </c>
      <c r="M4532" s="10"/>
      <c r="N4532" s="1" t="str">
        <f t="shared" si="5"/>
        <v>Guest</v>
      </c>
      <c r="O4532" s="1" t="s">
        <v>19</v>
      </c>
      <c r="P4532" s="9" t="str">
        <f t="shared" si="6"/>
        <v>UK</v>
      </c>
      <c r="Q4532" s="8">
        <f t="shared" si="7"/>
        <v>16.63</v>
      </c>
    </row>
    <row r="4533">
      <c r="A4533" s="1">
        <v>581498.0</v>
      </c>
      <c r="B4533" s="1" t="str">
        <f t="shared" si="1"/>
        <v>581498</v>
      </c>
      <c r="C4533" s="1" t="str">
        <f t="shared" si="2"/>
        <v>Sale</v>
      </c>
      <c r="D4533" s="1">
        <v>22629.0</v>
      </c>
      <c r="E4533" s="1" t="str">
        <f>IFERROR(__xludf.DUMMYFUNCTION("IF(LEN(D4533)&gt;4, IFERROR(REGEXEXTRACT(TO_TEXT(D4533),""\d+""),""""),"""")"),"22629")</f>
        <v>22629</v>
      </c>
      <c r="F4533" s="6" t="str">
        <f t="shared" si="3"/>
        <v>Product</v>
      </c>
      <c r="G4533" s="1" t="s">
        <v>58</v>
      </c>
      <c r="H4533" s="6" t="str">
        <f>IFERROR(__xludf.DUMMYFUNCTION("IF(REGEXMATCH(LOWER(G4533), ""^(\?)+\s*(missing)?\s*(\?)*$""), """", PROPER(SUBSTITUTE(SUBSTITUTE(G4533, ""?"", """"), ""*"", """")))"),"Spaceboy Lunch Box")</f>
        <v>Spaceboy Lunch Box</v>
      </c>
      <c r="I4533" s="3">
        <v>2.0</v>
      </c>
      <c r="J4533" s="7">
        <v>40886.43472222222</v>
      </c>
      <c r="K4533" s="8" t="str">
        <f t="shared" si="4"/>
        <v>2011-12</v>
      </c>
      <c r="L4533" s="5">
        <v>2.46</v>
      </c>
      <c r="M4533" s="10"/>
      <c r="N4533" s="1" t="str">
        <f t="shared" si="5"/>
        <v>Guest</v>
      </c>
      <c r="O4533" s="1" t="s">
        <v>19</v>
      </c>
      <c r="P4533" s="9" t="str">
        <f t="shared" si="6"/>
        <v>UK</v>
      </c>
      <c r="Q4533" s="8">
        <f t="shared" si="7"/>
        <v>4.92</v>
      </c>
    </row>
    <row r="4534">
      <c r="A4534" s="1">
        <v>581498.0</v>
      </c>
      <c r="B4534" s="1" t="str">
        <f t="shared" si="1"/>
        <v>581498</v>
      </c>
      <c r="C4534" s="1" t="str">
        <f t="shared" si="2"/>
        <v>Sale</v>
      </c>
      <c r="D4534" s="1">
        <v>22632.0</v>
      </c>
      <c r="E4534" s="1" t="str">
        <f>IFERROR(__xludf.DUMMYFUNCTION("IF(LEN(D4534)&gt;4, IFERROR(REGEXEXTRACT(TO_TEXT(D4534),""\d+""),""""),"""")"),"22632")</f>
        <v>22632</v>
      </c>
      <c r="F4534" s="6" t="str">
        <f t="shared" si="3"/>
        <v>Product</v>
      </c>
      <c r="G4534" s="1" t="s">
        <v>248</v>
      </c>
      <c r="H4534" s="6" t="str">
        <f>IFERROR(__xludf.DUMMYFUNCTION("IF(REGEXMATCH(LOWER(G4534), ""^(\?)+\s*(missing)?\s*(\?)*$""), """", PROPER(SUBSTITUTE(SUBSTITUTE(G4534, ""?"", """"), ""*"", """")))"),"Hand Warmer Red Retrospot")</f>
        <v>Hand Warmer Red Retrospot</v>
      </c>
      <c r="I4534" s="3">
        <v>1.0</v>
      </c>
      <c r="J4534" s="7">
        <v>40886.43472222222</v>
      </c>
      <c r="K4534" s="8" t="str">
        <f t="shared" si="4"/>
        <v>2011-12</v>
      </c>
      <c r="L4534" s="5">
        <v>4.13</v>
      </c>
      <c r="M4534" s="10"/>
      <c r="N4534" s="1" t="str">
        <f t="shared" si="5"/>
        <v>Guest</v>
      </c>
      <c r="O4534" s="1" t="s">
        <v>19</v>
      </c>
      <c r="P4534" s="9" t="str">
        <f t="shared" si="6"/>
        <v>UK</v>
      </c>
      <c r="Q4534" s="8">
        <f t="shared" si="7"/>
        <v>4.13</v>
      </c>
    </row>
    <row r="4535">
      <c r="A4535" s="1">
        <v>581498.0</v>
      </c>
      <c r="B4535" s="1" t="str">
        <f t="shared" si="1"/>
        <v>581498</v>
      </c>
      <c r="C4535" s="1" t="str">
        <f t="shared" si="2"/>
        <v>Sale</v>
      </c>
      <c r="D4535" s="1">
        <v>22645.0</v>
      </c>
      <c r="E4535" s="1" t="str">
        <f>IFERROR(__xludf.DUMMYFUNCTION("IF(LEN(D4535)&gt;4, IFERROR(REGEXEXTRACT(TO_TEXT(D4535),""\d+""),""""),"""")"),"22645")</f>
        <v>22645</v>
      </c>
      <c r="F4535" s="6" t="str">
        <f t="shared" si="3"/>
        <v>Product</v>
      </c>
      <c r="G4535" s="1" t="s">
        <v>522</v>
      </c>
      <c r="H4535" s="6" t="str">
        <f>IFERROR(__xludf.DUMMYFUNCTION("IF(REGEXMATCH(LOWER(G4535), ""^(\?)+\s*(missing)?\s*(\?)*$""), """", PROPER(SUBSTITUTE(SUBSTITUTE(G4535, ""?"", """"), ""*"", """")))"),"Ceramic Heart Fairy Cake Money Bank")</f>
        <v>Ceramic Heart Fairy Cake Money Bank</v>
      </c>
      <c r="I4535" s="3">
        <v>4.0</v>
      </c>
      <c r="J4535" s="7">
        <v>40886.43472222222</v>
      </c>
      <c r="K4535" s="8" t="str">
        <f t="shared" si="4"/>
        <v>2011-12</v>
      </c>
      <c r="L4535" s="5">
        <v>4.13</v>
      </c>
      <c r="M4535" s="10"/>
      <c r="N4535" s="1" t="str">
        <f t="shared" si="5"/>
        <v>Guest</v>
      </c>
      <c r="O4535" s="1" t="s">
        <v>19</v>
      </c>
      <c r="P4535" s="9" t="str">
        <f t="shared" si="6"/>
        <v>UK</v>
      </c>
      <c r="Q4535" s="8">
        <f t="shared" si="7"/>
        <v>16.52</v>
      </c>
    </row>
    <row r="4536">
      <c r="A4536" s="1">
        <v>581498.0</v>
      </c>
      <c r="B4536" s="1" t="str">
        <f t="shared" si="1"/>
        <v>581498</v>
      </c>
      <c r="C4536" s="1" t="str">
        <f t="shared" si="2"/>
        <v>Sale</v>
      </c>
      <c r="D4536" s="1">
        <v>22654.0</v>
      </c>
      <c r="E4536" s="1" t="str">
        <f>IFERROR(__xludf.DUMMYFUNCTION("IF(LEN(D4536)&gt;4, IFERROR(REGEXEXTRACT(TO_TEXT(D4536),""\d+""),""""),"""")"),"22654")</f>
        <v>22654</v>
      </c>
      <c r="F4536" s="6" t="str">
        <f t="shared" si="3"/>
        <v>Product</v>
      </c>
      <c r="G4536" s="1" t="s">
        <v>222</v>
      </c>
      <c r="H4536" s="6" t="str">
        <f>IFERROR(__xludf.DUMMYFUNCTION("IF(REGEXMATCH(LOWER(G4536), ""^(\?)+\s*(missing)?\s*(\?)*$""), """", PROPER(SUBSTITUTE(SUBSTITUTE(G4536, ""?"", """"), ""*"", """")))"),"Deluxe Sewing Kit")</f>
        <v>Deluxe Sewing Kit</v>
      </c>
      <c r="I4536" s="3">
        <v>2.0</v>
      </c>
      <c r="J4536" s="7">
        <v>40886.43472222222</v>
      </c>
      <c r="K4536" s="8" t="str">
        <f t="shared" si="4"/>
        <v>2011-12</v>
      </c>
      <c r="L4536" s="5">
        <v>12.46</v>
      </c>
      <c r="M4536" s="10"/>
      <c r="N4536" s="1" t="str">
        <f t="shared" si="5"/>
        <v>Guest</v>
      </c>
      <c r="O4536" s="1" t="s">
        <v>19</v>
      </c>
      <c r="P4536" s="9" t="str">
        <f t="shared" si="6"/>
        <v>UK</v>
      </c>
      <c r="Q4536" s="8">
        <f t="shared" si="7"/>
        <v>24.92</v>
      </c>
    </row>
    <row r="4537">
      <c r="A4537" s="1">
        <v>581498.0</v>
      </c>
      <c r="B4537" s="1" t="str">
        <f t="shared" si="1"/>
        <v>581498</v>
      </c>
      <c r="C4537" s="1" t="str">
        <f t="shared" si="2"/>
        <v>Sale</v>
      </c>
      <c r="D4537" s="1">
        <v>22659.0</v>
      </c>
      <c r="E4537" s="1" t="str">
        <f>IFERROR(__xludf.DUMMYFUNCTION("IF(LEN(D4537)&gt;4, IFERROR(REGEXEXTRACT(TO_TEXT(D4537),""\d+""),""""),"""")"),"22659")</f>
        <v>22659</v>
      </c>
      <c r="F4537" s="6" t="str">
        <f t="shared" si="3"/>
        <v>Product</v>
      </c>
      <c r="G4537" s="1" t="s">
        <v>59</v>
      </c>
      <c r="H4537" s="6" t="str">
        <f>IFERROR(__xludf.DUMMYFUNCTION("IF(REGEXMATCH(LOWER(G4537), ""^(\?)+\s*(missing)?\s*(\?)*$""), """", PROPER(SUBSTITUTE(SUBSTITUTE(G4537, ""?"", """"), ""*"", """")))"),"Lunch Box I Love London")</f>
        <v>Lunch Box I Love London</v>
      </c>
      <c r="I4537" s="3">
        <v>1.0</v>
      </c>
      <c r="J4537" s="7">
        <v>40886.43472222222</v>
      </c>
      <c r="K4537" s="8" t="str">
        <f t="shared" si="4"/>
        <v>2011-12</v>
      </c>
      <c r="L4537" s="5">
        <v>4.13</v>
      </c>
      <c r="M4537" s="10"/>
      <c r="N4537" s="1" t="str">
        <f t="shared" si="5"/>
        <v>Guest</v>
      </c>
      <c r="O4537" s="1" t="s">
        <v>19</v>
      </c>
      <c r="P4537" s="9" t="str">
        <f t="shared" si="6"/>
        <v>UK</v>
      </c>
      <c r="Q4537" s="8">
        <f t="shared" si="7"/>
        <v>4.13</v>
      </c>
    </row>
    <row r="4538">
      <c r="A4538" s="1">
        <v>581498.0</v>
      </c>
      <c r="B4538" s="1" t="str">
        <f t="shared" si="1"/>
        <v>581498</v>
      </c>
      <c r="C4538" s="1" t="str">
        <f t="shared" si="2"/>
        <v>Sale</v>
      </c>
      <c r="D4538" s="1">
        <v>22663.0</v>
      </c>
      <c r="E4538" s="1" t="str">
        <f>IFERROR(__xludf.DUMMYFUNCTION("IF(LEN(D4538)&gt;4, IFERROR(REGEXEXTRACT(TO_TEXT(D4538),""\d+""),""""),"""")"),"22663")</f>
        <v>22663</v>
      </c>
      <c r="F4538" s="6" t="str">
        <f t="shared" si="3"/>
        <v>Product</v>
      </c>
      <c r="G4538" s="1" t="s">
        <v>175</v>
      </c>
      <c r="H4538" s="6" t="str">
        <f>IFERROR(__xludf.DUMMYFUNCTION("IF(REGEXMATCH(LOWER(G4538), ""^(\?)+\s*(missing)?\s*(\?)*$""), """", PROPER(SUBSTITUTE(SUBSTITUTE(G4538, ""?"", """"), ""*"", """")))"),"Jumbo Bag Dolly Girl Design")</f>
        <v>Jumbo Bag Dolly Girl Design</v>
      </c>
      <c r="I4538" s="3">
        <v>2.0</v>
      </c>
      <c r="J4538" s="7">
        <v>40886.43472222222</v>
      </c>
      <c r="K4538" s="8" t="str">
        <f t="shared" si="4"/>
        <v>2011-12</v>
      </c>
      <c r="L4538" s="5">
        <v>4.13</v>
      </c>
      <c r="M4538" s="10"/>
      <c r="N4538" s="1" t="str">
        <f t="shared" si="5"/>
        <v>Guest</v>
      </c>
      <c r="O4538" s="1" t="s">
        <v>19</v>
      </c>
      <c r="P4538" s="9" t="str">
        <f t="shared" si="6"/>
        <v>UK</v>
      </c>
      <c r="Q4538" s="8">
        <f t="shared" si="7"/>
        <v>8.26</v>
      </c>
    </row>
    <row r="4539">
      <c r="A4539" s="1">
        <v>581498.0</v>
      </c>
      <c r="B4539" s="1" t="str">
        <f t="shared" si="1"/>
        <v>581498</v>
      </c>
      <c r="C4539" s="1" t="str">
        <f t="shared" si="2"/>
        <v>Sale</v>
      </c>
      <c r="D4539" s="1">
        <v>22666.0</v>
      </c>
      <c r="E4539" s="1" t="str">
        <f>IFERROR(__xludf.DUMMYFUNCTION("IF(LEN(D4539)&gt;4, IFERROR(REGEXEXTRACT(TO_TEXT(D4539),""\d+""),""""),"""")"),"22666")</f>
        <v>22666</v>
      </c>
      <c r="F4539" s="6" t="str">
        <f t="shared" si="3"/>
        <v>Product</v>
      </c>
      <c r="G4539" s="1" t="s">
        <v>781</v>
      </c>
      <c r="H4539" s="6" t="str">
        <f>IFERROR(__xludf.DUMMYFUNCTION("IF(REGEXMATCH(LOWER(G4539), ""^(\?)+\s*(missing)?\s*(\?)*$""), """", PROPER(SUBSTITUTE(SUBSTITUTE(G4539, ""?"", """"), ""*"", """")))"),"Recipe Box Pantry Yellow Design")</f>
        <v>Recipe Box Pantry Yellow Design</v>
      </c>
      <c r="I4539" s="3">
        <v>11.0</v>
      </c>
      <c r="J4539" s="7">
        <v>40886.43472222222</v>
      </c>
      <c r="K4539" s="8" t="str">
        <f t="shared" si="4"/>
        <v>2011-12</v>
      </c>
      <c r="L4539" s="5">
        <v>5.79</v>
      </c>
      <c r="M4539" s="10"/>
      <c r="N4539" s="1" t="str">
        <f t="shared" si="5"/>
        <v>Guest</v>
      </c>
      <c r="O4539" s="1" t="s">
        <v>19</v>
      </c>
      <c r="P4539" s="9" t="str">
        <f t="shared" si="6"/>
        <v>UK</v>
      </c>
      <c r="Q4539" s="8">
        <f t="shared" si="7"/>
        <v>63.69</v>
      </c>
    </row>
    <row r="4540">
      <c r="A4540" s="1">
        <v>581498.0</v>
      </c>
      <c r="B4540" s="1" t="str">
        <f t="shared" si="1"/>
        <v>581498</v>
      </c>
      <c r="C4540" s="1" t="str">
        <f t="shared" si="2"/>
        <v>Sale</v>
      </c>
      <c r="D4540" s="1">
        <v>22676.0</v>
      </c>
      <c r="E4540" s="1" t="str">
        <f>IFERROR(__xludf.DUMMYFUNCTION("IF(LEN(D4540)&gt;4, IFERROR(REGEXEXTRACT(TO_TEXT(D4540),""\d+""),""""),"""")"),"22676")</f>
        <v>22676</v>
      </c>
      <c r="F4540" s="6" t="str">
        <f t="shared" si="3"/>
        <v>Product</v>
      </c>
      <c r="G4540" s="1" t="s">
        <v>833</v>
      </c>
      <c r="H4540" s="6" t="str">
        <f>IFERROR(__xludf.DUMMYFUNCTION("IF(REGEXMATCH(LOWER(G4540), ""^(\?)+\s*(missing)?\s*(\?)*$""), """", PROPER(SUBSTITUTE(SUBSTITUTE(G4540, ""?"", """"), ""*"", """")))"),"French Blue Metal Door Sign 1")</f>
        <v>French Blue Metal Door Sign 1</v>
      </c>
      <c r="I4540" s="3">
        <v>1.0</v>
      </c>
      <c r="J4540" s="7">
        <v>40886.43472222222</v>
      </c>
      <c r="K4540" s="8" t="str">
        <f t="shared" si="4"/>
        <v>2011-12</v>
      </c>
      <c r="L4540" s="5">
        <v>2.46</v>
      </c>
      <c r="M4540" s="10"/>
      <c r="N4540" s="1" t="str">
        <f t="shared" si="5"/>
        <v>Guest</v>
      </c>
      <c r="O4540" s="1" t="s">
        <v>19</v>
      </c>
      <c r="P4540" s="9" t="str">
        <f t="shared" si="6"/>
        <v>UK</v>
      </c>
      <c r="Q4540" s="8">
        <f t="shared" si="7"/>
        <v>2.46</v>
      </c>
    </row>
    <row r="4541">
      <c r="A4541" s="1">
        <v>581498.0</v>
      </c>
      <c r="B4541" s="1" t="str">
        <f t="shared" si="1"/>
        <v>581498</v>
      </c>
      <c r="C4541" s="1" t="str">
        <f t="shared" si="2"/>
        <v>Sale</v>
      </c>
      <c r="D4541" s="1">
        <v>22684.0</v>
      </c>
      <c r="E4541" s="1" t="str">
        <f>IFERROR(__xludf.DUMMYFUNCTION("IF(LEN(D4541)&gt;4, IFERROR(REGEXEXTRACT(TO_TEXT(D4541),""\d+""),""""),"""")"),"22684")</f>
        <v>22684</v>
      </c>
      <c r="F4541" s="6" t="str">
        <f t="shared" si="3"/>
        <v>Product</v>
      </c>
      <c r="G4541" s="1" t="s">
        <v>830</v>
      </c>
      <c r="H4541" s="6" t="str">
        <f>IFERROR(__xludf.DUMMYFUNCTION("IF(REGEXMATCH(LOWER(G4541), ""^(\?)+\s*(missing)?\s*(\?)*$""), """", PROPER(SUBSTITUTE(SUBSTITUTE(G4541, ""?"", """"), ""*"", """")))"),"French Blue Metal Door Sign 9")</f>
        <v>French Blue Metal Door Sign 9</v>
      </c>
      <c r="I4541" s="3">
        <v>1.0</v>
      </c>
      <c r="J4541" s="7">
        <v>40886.43472222222</v>
      </c>
      <c r="K4541" s="8" t="str">
        <f t="shared" si="4"/>
        <v>2011-12</v>
      </c>
      <c r="L4541" s="5">
        <v>2.46</v>
      </c>
      <c r="M4541" s="10"/>
      <c r="N4541" s="1" t="str">
        <f t="shared" si="5"/>
        <v>Guest</v>
      </c>
      <c r="O4541" s="1" t="s">
        <v>19</v>
      </c>
      <c r="P4541" s="9" t="str">
        <f t="shared" si="6"/>
        <v>UK</v>
      </c>
      <c r="Q4541" s="8">
        <f t="shared" si="7"/>
        <v>2.46</v>
      </c>
    </row>
    <row r="4542">
      <c r="A4542" s="1">
        <v>581498.0</v>
      </c>
      <c r="B4542" s="1" t="str">
        <f t="shared" si="1"/>
        <v>581498</v>
      </c>
      <c r="C4542" s="1" t="str">
        <f t="shared" si="2"/>
        <v>Sale</v>
      </c>
      <c r="D4542" s="1">
        <v>22694.0</v>
      </c>
      <c r="E4542" s="1" t="str">
        <f>IFERROR(__xludf.DUMMYFUNCTION("IF(LEN(D4542)&gt;4, IFERROR(REGEXEXTRACT(TO_TEXT(D4542),""\d+""),""""),"""")"),"22694")</f>
        <v>22694</v>
      </c>
      <c r="F4542" s="6" t="str">
        <f t="shared" si="3"/>
        <v>Product</v>
      </c>
      <c r="G4542" s="1" t="s">
        <v>476</v>
      </c>
      <c r="H4542" s="6" t="str">
        <f>IFERROR(__xludf.DUMMYFUNCTION("IF(REGEXMATCH(LOWER(G4542), ""^(\?)+\s*(missing)?\s*(\?)*$""), """", PROPER(SUBSTITUTE(SUBSTITUTE(G4542, ""?"", """"), ""*"", """")))"),"Wicker Star")</f>
        <v>Wicker Star</v>
      </c>
      <c r="I4542" s="3">
        <v>1.0</v>
      </c>
      <c r="J4542" s="7">
        <v>40886.43472222222</v>
      </c>
      <c r="K4542" s="8" t="str">
        <f t="shared" si="4"/>
        <v>2011-12</v>
      </c>
      <c r="L4542" s="5">
        <v>3.29</v>
      </c>
      <c r="M4542" s="10"/>
      <c r="N4542" s="1" t="str">
        <f t="shared" si="5"/>
        <v>Guest</v>
      </c>
      <c r="O4542" s="1" t="s">
        <v>19</v>
      </c>
      <c r="P4542" s="9" t="str">
        <f t="shared" si="6"/>
        <v>UK</v>
      </c>
      <c r="Q4542" s="8">
        <f t="shared" si="7"/>
        <v>3.29</v>
      </c>
    </row>
    <row r="4543">
      <c r="A4543" s="1">
        <v>581498.0</v>
      </c>
      <c r="B4543" s="1" t="str">
        <f t="shared" si="1"/>
        <v>581498</v>
      </c>
      <c r="C4543" s="1" t="str">
        <f t="shared" si="2"/>
        <v>Sale</v>
      </c>
      <c r="D4543" s="1">
        <v>22697.0</v>
      </c>
      <c r="E4543" s="1" t="str">
        <f>IFERROR(__xludf.DUMMYFUNCTION("IF(LEN(D4543)&gt;4, IFERROR(REGEXEXTRACT(TO_TEXT(D4543),""\d+""),""""),"""")"),"22697")</f>
        <v>22697</v>
      </c>
      <c r="F4543" s="6" t="str">
        <f t="shared" si="3"/>
        <v>Product</v>
      </c>
      <c r="G4543" s="1" t="s">
        <v>682</v>
      </c>
      <c r="H4543" s="6" t="str">
        <f>IFERROR(__xludf.DUMMYFUNCTION("IF(REGEXMATCH(LOWER(G4543), ""^(\?)+\s*(missing)?\s*(\?)*$""), """", PROPER(SUBSTITUTE(SUBSTITUTE(G4543, ""?"", """"), ""*"", """")))"),"Green Regency Teacup And Saucer")</f>
        <v>Green Regency Teacup And Saucer</v>
      </c>
      <c r="I4543" s="3">
        <v>6.0</v>
      </c>
      <c r="J4543" s="7">
        <v>40886.43472222222</v>
      </c>
      <c r="K4543" s="8" t="str">
        <f t="shared" si="4"/>
        <v>2011-12</v>
      </c>
      <c r="L4543" s="5">
        <v>5.79</v>
      </c>
      <c r="M4543" s="10"/>
      <c r="N4543" s="1" t="str">
        <f t="shared" si="5"/>
        <v>Guest</v>
      </c>
      <c r="O4543" s="1" t="s">
        <v>19</v>
      </c>
      <c r="P4543" s="9" t="str">
        <f t="shared" si="6"/>
        <v>UK</v>
      </c>
      <c r="Q4543" s="8">
        <f t="shared" si="7"/>
        <v>34.74</v>
      </c>
    </row>
    <row r="4544">
      <c r="A4544" s="1">
        <v>581498.0</v>
      </c>
      <c r="B4544" s="1" t="str">
        <f t="shared" si="1"/>
        <v>581498</v>
      </c>
      <c r="C4544" s="1" t="str">
        <f t="shared" si="2"/>
        <v>Sale</v>
      </c>
      <c r="D4544" s="1">
        <v>22698.0</v>
      </c>
      <c r="E4544" s="1" t="str">
        <f>IFERROR(__xludf.DUMMYFUNCTION("IF(LEN(D4544)&gt;4, IFERROR(REGEXEXTRACT(TO_TEXT(D4544),""\d+""),""""),"""")"),"22698")</f>
        <v>22698</v>
      </c>
      <c r="F4544" s="6" t="str">
        <f t="shared" si="3"/>
        <v>Product</v>
      </c>
      <c r="G4544" s="1" t="s">
        <v>683</v>
      </c>
      <c r="H4544" s="6" t="str">
        <f>IFERROR(__xludf.DUMMYFUNCTION("IF(REGEXMATCH(LOWER(G4544), ""^(\?)+\s*(missing)?\s*(\?)*$""), """", PROPER(SUBSTITUTE(SUBSTITUTE(G4544, ""?"", """"), ""*"", """")))"),"Pink Regency Teacup And Saucer")</f>
        <v>Pink Regency Teacup And Saucer</v>
      </c>
      <c r="I4544" s="3">
        <v>9.0</v>
      </c>
      <c r="J4544" s="7">
        <v>40886.43472222222</v>
      </c>
      <c r="K4544" s="8" t="str">
        <f t="shared" si="4"/>
        <v>2011-12</v>
      </c>
      <c r="L4544" s="5">
        <v>5.79</v>
      </c>
      <c r="M4544" s="10"/>
      <c r="N4544" s="1" t="str">
        <f t="shared" si="5"/>
        <v>Guest</v>
      </c>
      <c r="O4544" s="1" t="s">
        <v>19</v>
      </c>
      <c r="P4544" s="9" t="str">
        <f t="shared" si="6"/>
        <v>UK</v>
      </c>
      <c r="Q4544" s="8">
        <f t="shared" si="7"/>
        <v>52.11</v>
      </c>
    </row>
    <row r="4545">
      <c r="A4545" s="1">
        <v>581498.0</v>
      </c>
      <c r="B4545" s="1" t="str">
        <f t="shared" si="1"/>
        <v>581498</v>
      </c>
      <c r="C4545" s="1" t="str">
        <f t="shared" si="2"/>
        <v>Sale</v>
      </c>
      <c r="D4545" s="1">
        <v>22699.0</v>
      </c>
      <c r="E4545" s="1" t="str">
        <f>IFERROR(__xludf.DUMMYFUNCTION("IF(LEN(D4545)&gt;4, IFERROR(REGEXEXTRACT(TO_TEXT(D4545),""\d+""),""""),"""")"),"22699")</f>
        <v>22699</v>
      </c>
      <c r="F4545" s="6" t="str">
        <f t="shared" si="3"/>
        <v>Product</v>
      </c>
      <c r="G4545" s="1" t="s">
        <v>684</v>
      </c>
      <c r="H4545" s="6" t="str">
        <f>IFERROR(__xludf.DUMMYFUNCTION("IF(REGEXMATCH(LOWER(G4545), ""^(\?)+\s*(missing)?\s*(\?)*$""), """", PROPER(SUBSTITUTE(SUBSTITUTE(G4545, ""?"", """"), ""*"", """")))"),"Roses Regency Teacup And Saucer")</f>
        <v>Roses Regency Teacup And Saucer</v>
      </c>
      <c r="I4545" s="3">
        <v>6.0</v>
      </c>
      <c r="J4545" s="7">
        <v>40886.43472222222</v>
      </c>
      <c r="K4545" s="8" t="str">
        <f t="shared" si="4"/>
        <v>2011-12</v>
      </c>
      <c r="L4545" s="5">
        <v>5.79</v>
      </c>
      <c r="M4545" s="10"/>
      <c r="N4545" s="1" t="str">
        <f t="shared" si="5"/>
        <v>Guest</v>
      </c>
      <c r="O4545" s="1" t="s">
        <v>19</v>
      </c>
      <c r="P4545" s="9" t="str">
        <f t="shared" si="6"/>
        <v>UK</v>
      </c>
      <c r="Q4545" s="8">
        <f t="shared" si="7"/>
        <v>34.74</v>
      </c>
    </row>
    <row r="4546">
      <c r="A4546" s="1">
        <v>581498.0</v>
      </c>
      <c r="B4546" s="1" t="str">
        <f t="shared" si="1"/>
        <v>581498</v>
      </c>
      <c r="C4546" s="1" t="str">
        <f t="shared" si="2"/>
        <v>Sale</v>
      </c>
      <c r="D4546" s="1">
        <v>22722.0</v>
      </c>
      <c r="E4546" s="1" t="str">
        <f>IFERROR(__xludf.DUMMYFUNCTION("IF(LEN(D4546)&gt;4, IFERROR(REGEXEXTRACT(TO_TEXT(D4546),""\d+""),""""),"""")"),"22722")</f>
        <v>22722</v>
      </c>
      <c r="F4546" s="6" t="str">
        <f t="shared" si="3"/>
        <v>Product</v>
      </c>
      <c r="G4546" s="1" t="s">
        <v>686</v>
      </c>
      <c r="H4546" s="6" t="str">
        <f>IFERROR(__xludf.DUMMYFUNCTION("IF(REGEXMATCH(LOWER(G4546), ""^(\?)+\s*(missing)?\s*(\?)*$""), """", PROPER(SUBSTITUTE(SUBSTITUTE(G4546, ""?"", """"), ""*"", """")))"),"Set Of 6 Spice Tins Pantry Design")</f>
        <v>Set Of 6 Spice Tins Pantry Design</v>
      </c>
      <c r="I4546" s="3">
        <v>3.0</v>
      </c>
      <c r="J4546" s="7">
        <v>40886.43472222222</v>
      </c>
      <c r="K4546" s="8" t="str">
        <f t="shared" si="4"/>
        <v>2011-12</v>
      </c>
      <c r="L4546" s="5">
        <v>8.29</v>
      </c>
      <c r="M4546" s="10"/>
      <c r="N4546" s="1" t="str">
        <f t="shared" si="5"/>
        <v>Guest</v>
      </c>
      <c r="O4546" s="1" t="s">
        <v>19</v>
      </c>
      <c r="P4546" s="9" t="str">
        <f t="shared" si="6"/>
        <v>UK</v>
      </c>
      <c r="Q4546" s="8">
        <f t="shared" si="7"/>
        <v>24.87</v>
      </c>
    </row>
    <row r="4547">
      <c r="A4547" s="1">
        <v>581498.0</v>
      </c>
      <c r="B4547" s="1" t="str">
        <f t="shared" si="1"/>
        <v>581498</v>
      </c>
      <c r="C4547" s="1" t="str">
        <f t="shared" si="2"/>
        <v>Sale</v>
      </c>
      <c r="D4547" s="1">
        <v>22733.0</v>
      </c>
      <c r="E4547" s="1" t="str">
        <f>IFERROR(__xludf.DUMMYFUNCTION("IF(LEN(D4547)&gt;4, IFERROR(REGEXEXTRACT(TO_TEXT(D4547),""\d+""),""""),"""")"),"22733")</f>
        <v>22733</v>
      </c>
      <c r="F4547" s="6" t="str">
        <f t="shared" si="3"/>
        <v>Product</v>
      </c>
      <c r="G4547" s="1" t="s">
        <v>2074</v>
      </c>
      <c r="H4547" s="6" t="str">
        <f>IFERROR(__xludf.DUMMYFUNCTION("IF(REGEXMATCH(LOWER(G4547), ""^(\?)+\s*(missing)?\s*(\?)*$""), """", PROPER(SUBSTITUTE(SUBSTITUTE(G4547, ""?"", """"), ""*"", """")))"),"3D Traditional Christmas Stickers")</f>
        <v>3D Traditional Christmas Stickers</v>
      </c>
      <c r="I4547" s="3">
        <v>1.0</v>
      </c>
      <c r="J4547" s="7">
        <v>40886.43472222222</v>
      </c>
      <c r="K4547" s="8" t="str">
        <f t="shared" si="4"/>
        <v>2011-12</v>
      </c>
      <c r="L4547" s="5">
        <v>1.63</v>
      </c>
      <c r="M4547" s="10"/>
      <c r="N4547" s="1" t="str">
        <f t="shared" si="5"/>
        <v>Guest</v>
      </c>
      <c r="O4547" s="1" t="s">
        <v>19</v>
      </c>
      <c r="P4547" s="9" t="str">
        <f t="shared" si="6"/>
        <v>UK</v>
      </c>
      <c r="Q4547" s="8">
        <f t="shared" si="7"/>
        <v>1.63</v>
      </c>
    </row>
    <row r="4548">
      <c r="A4548" s="1">
        <v>581498.0</v>
      </c>
      <c r="B4548" s="1" t="str">
        <f t="shared" si="1"/>
        <v>581498</v>
      </c>
      <c r="C4548" s="1" t="str">
        <f t="shared" si="2"/>
        <v>Sale</v>
      </c>
      <c r="D4548" s="1">
        <v>22734.0</v>
      </c>
      <c r="E4548" s="1" t="str">
        <f>IFERROR(__xludf.DUMMYFUNCTION("IF(LEN(D4548)&gt;4, IFERROR(REGEXEXTRACT(TO_TEXT(D4548),""\d+""),""""),"""")"),"22734")</f>
        <v>22734</v>
      </c>
      <c r="F4548" s="6" t="str">
        <f t="shared" si="3"/>
        <v>Product</v>
      </c>
      <c r="G4548" s="1" t="s">
        <v>2075</v>
      </c>
      <c r="H4548" s="6" t="str">
        <f>IFERROR(__xludf.DUMMYFUNCTION("IF(REGEXMATCH(LOWER(G4548), ""^(\?)+\s*(missing)?\s*(\?)*$""), """", PROPER(SUBSTITUTE(SUBSTITUTE(G4548, ""?"", """"), ""*"", """")))"),"Set Of 6 Ribbons Vintage Christmas")</f>
        <v>Set Of 6 Ribbons Vintage Christmas</v>
      </c>
      <c r="I4548" s="3">
        <v>5.0</v>
      </c>
      <c r="J4548" s="7">
        <v>40886.43472222222</v>
      </c>
      <c r="K4548" s="8" t="str">
        <f t="shared" si="4"/>
        <v>2011-12</v>
      </c>
      <c r="L4548" s="5">
        <v>5.79</v>
      </c>
      <c r="M4548" s="10"/>
      <c r="N4548" s="1" t="str">
        <f t="shared" si="5"/>
        <v>Guest</v>
      </c>
      <c r="O4548" s="1" t="s">
        <v>19</v>
      </c>
      <c r="P4548" s="9" t="str">
        <f t="shared" si="6"/>
        <v>UK</v>
      </c>
      <c r="Q4548" s="8">
        <f t="shared" si="7"/>
        <v>28.95</v>
      </c>
    </row>
    <row r="4549">
      <c r="A4549" s="1">
        <v>581498.0</v>
      </c>
      <c r="B4549" s="1" t="str">
        <f t="shared" si="1"/>
        <v>581498</v>
      </c>
      <c r="C4549" s="1" t="str">
        <f t="shared" si="2"/>
        <v>Sale</v>
      </c>
      <c r="D4549" s="1">
        <v>22776.0</v>
      </c>
      <c r="E4549" s="1" t="str">
        <f>IFERROR(__xludf.DUMMYFUNCTION("IF(LEN(D4549)&gt;4, IFERROR(REGEXEXTRACT(TO_TEXT(D4549),""\d+""),""""),"""")"),"22776")</f>
        <v>22776</v>
      </c>
      <c r="F4549" s="6" t="str">
        <f t="shared" si="3"/>
        <v>Product</v>
      </c>
      <c r="G4549" s="1" t="s">
        <v>1952</v>
      </c>
      <c r="H4549" s="6" t="str">
        <f>IFERROR(__xludf.DUMMYFUNCTION("IF(REGEXMATCH(LOWER(G4549), ""^(\?)+\s*(missing)?\s*(\?)*$""), """", PROPER(SUBSTITUTE(SUBSTITUTE(G4549, ""?"", """"), ""*"", """")))"),"Sweetheart 3 Tier Cake Stand")</f>
        <v>Sweetheart 3 Tier Cake Stand</v>
      </c>
      <c r="I4549" s="3">
        <v>1.0</v>
      </c>
      <c r="J4549" s="7">
        <v>40886.43472222222</v>
      </c>
      <c r="K4549" s="8" t="str">
        <f t="shared" si="4"/>
        <v>2011-12</v>
      </c>
      <c r="L4549" s="5">
        <v>19.96</v>
      </c>
      <c r="M4549" s="10"/>
      <c r="N4549" s="1" t="str">
        <f t="shared" si="5"/>
        <v>Guest</v>
      </c>
      <c r="O4549" s="1" t="s">
        <v>19</v>
      </c>
      <c r="P4549" s="9" t="str">
        <f t="shared" si="6"/>
        <v>UK</v>
      </c>
      <c r="Q4549" s="8">
        <f t="shared" si="7"/>
        <v>19.96</v>
      </c>
    </row>
    <row r="4550">
      <c r="A4550" s="1">
        <v>581498.0</v>
      </c>
      <c r="B4550" s="1" t="str">
        <f t="shared" si="1"/>
        <v>581498</v>
      </c>
      <c r="C4550" s="1" t="str">
        <f t="shared" si="2"/>
        <v>Sale</v>
      </c>
      <c r="D4550" s="1">
        <v>22795.0</v>
      </c>
      <c r="E4550" s="1" t="str">
        <f>IFERROR(__xludf.DUMMYFUNCTION("IF(LEN(D4550)&gt;4, IFERROR(REGEXEXTRACT(TO_TEXT(D4550),""\d+""),""""),"""")"),"22795")</f>
        <v>22795</v>
      </c>
      <c r="F4550" s="6" t="str">
        <f t="shared" si="3"/>
        <v>Product</v>
      </c>
      <c r="G4550" s="1" t="s">
        <v>1555</v>
      </c>
      <c r="H4550" s="6" t="str">
        <f>IFERROR(__xludf.DUMMYFUNCTION("IF(REGEXMATCH(LOWER(G4550), ""^(\?)+\s*(missing)?\s*(\?)*$""), """", PROPER(SUBSTITUTE(SUBSTITUTE(G4550, ""?"", """"), ""*"", """")))"),"Sweetheart Recipe Book Stand")</f>
        <v>Sweetheart Recipe Book Stand</v>
      </c>
      <c r="I4550" s="3">
        <v>1.0</v>
      </c>
      <c r="J4550" s="7">
        <v>40886.43472222222</v>
      </c>
      <c r="K4550" s="8" t="str">
        <f t="shared" si="4"/>
        <v>2011-12</v>
      </c>
      <c r="L4550" s="5">
        <v>13.29</v>
      </c>
      <c r="M4550" s="10"/>
      <c r="N4550" s="1" t="str">
        <f t="shared" si="5"/>
        <v>Guest</v>
      </c>
      <c r="O4550" s="1" t="s">
        <v>19</v>
      </c>
      <c r="P4550" s="9" t="str">
        <f t="shared" si="6"/>
        <v>UK</v>
      </c>
      <c r="Q4550" s="8">
        <f t="shared" si="7"/>
        <v>13.29</v>
      </c>
    </row>
    <row r="4551">
      <c r="A4551" s="1">
        <v>581498.0</v>
      </c>
      <c r="B4551" s="1" t="str">
        <f t="shared" si="1"/>
        <v>581498</v>
      </c>
      <c r="C4551" s="1" t="str">
        <f t="shared" si="2"/>
        <v>Sale</v>
      </c>
      <c r="D4551" s="1">
        <v>22807.0</v>
      </c>
      <c r="E4551" s="1" t="str">
        <f>IFERROR(__xludf.DUMMYFUNCTION("IF(LEN(D4551)&gt;4, IFERROR(REGEXEXTRACT(TO_TEXT(D4551),""\d+""),""""),"""")"),"22807")</f>
        <v>22807</v>
      </c>
      <c r="F4551" s="6" t="str">
        <f t="shared" si="3"/>
        <v>Product</v>
      </c>
      <c r="G4551" s="1" t="s">
        <v>507</v>
      </c>
      <c r="H4551" s="6" t="str">
        <f>IFERROR(__xludf.DUMMYFUNCTION("IF(REGEXMATCH(LOWER(G4551), ""^(\?)+\s*(missing)?\s*(\?)*$""), """", PROPER(SUBSTITUTE(SUBSTITUTE(G4551, ""?"", """"), ""*"", """")))"),"Set Of 6 T-Lights Toadstools")</f>
        <v>Set Of 6 T-Lights Toadstools</v>
      </c>
      <c r="I4551" s="3">
        <v>2.0</v>
      </c>
      <c r="J4551" s="7">
        <v>40886.43472222222</v>
      </c>
      <c r="K4551" s="8" t="str">
        <f t="shared" si="4"/>
        <v>2011-12</v>
      </c>
      <c r="L4551" s="5">
        <v>5.79</v>
      </c>
      <c r="M4551" s="10"/>
      <c r="N4551" s="1" t="str">
        <f t="shared" si="5"/>
        <v>Guest</v>
      </c>
      <c r="O4551" s="1" t="s">
        <v>19</v>
      </c>
      <c r="P4551" s="9" t="str">
        <f t="shared" si="6"/>
        <v>UK</v>
      </c>
      <c r="Q4551" s="8">
        <f t="shared" si="7"/>
        <v>11.58</v>
      </c>
    </row>
    <row r="4552">
      <c r="A4552" s="1">
        <v>581498.0</v>
      </c>
      <c r="B4552" s="1" t="str">
        <f t="shared" si="1"/>
        <v>581498</v>
      </c>
      <c r="C4552" s="1" t="str">
        <f t="shared" si="2"/>
        <v>Sale</v>
      </c>
      <c r="D4552" s="1">
        <v>22813.0</v>
      </c>
      <c r="E4552" s="1" t="str">
        <f>IFERROR(__xludf.DUMMYFUNCTION("IF(LEN(D4552)&gt;4, IFERROR(REGEXEXTRACT(TO_TEXT(D4552),""\d+""),""""),"""")"),"22813")</f>
        <v>22813</v>
      </c>
      <c r="F4552" s="6" t="str">
        <f t="shared" si="3"/>
        <v>Product</v>
      </c>
      <c r="G4552" s="1" t="s">
        <v>2076</v>
      </c>
      <c r="H4552" s="6" t="str">
        <f>IFERROR(__xludf.DUMMYFUNCTION("IF(REGEXMATCH(LOWER(G4552), ""^(\?)+\s*(missing)?\s*(\?)*$""), """", PROPER(SUBSTITUTE(SUBSTITUTE(G4552, ""?"", """"), ""*"", """")))"),"Pack 3 Boxes Bird Panettone")</f>
        <v>Pack 3 Boxes Bird Panettone</v>
      </c>
      <c r="I4552" s="3">
        <v>4.0</v>
      </c>
      <c r="J4552" s="7">
        <v>40886.43472222222</v>
      </c>
      <c r="K4552" s="8" t="str">
        <f t="shared" si="4"/>
        <v>2011-12</v>
      </c>
      <c r="L4552" s="5">
        <v>4.13</v>
      </c>
      <c r="M4552" s="10"/>
      <c r="N4552" s="1" t="str">
        <f t="shared" si="5"/>
        <v>Guest</v>
      </c>
      <c r="O4552" s="1" t="s">
        <v>19</v>
      </c>
      <c r="P4552" s="9" t="str">
        <f t="shared" si="6"/>
        <v>UK</v>
      </c>
      <c r="Q4552" s="8">
        <f t="shared" si="7"/>
        <v>16.52</v>
      </c>
    </row>
    <row r="4553">
      <c r="A4553" s="1">
        <v>581498.0</v>
      </c>
      <c r="B4553" s="1" t="str">
        <f t="shared" si="1"/>
        <v>581498</v>
      </c>
      <c r="C4553" s="1" t="str">
        <f t="shared" si="2"/>
        <v>Sale</v>
      </c>
      <c r="D4553" s="1">
        <v>22838.0</v>
      </c>
      <c r="E4553" s="1" t="str">
        <f>IFERROR(__xludf.DUMMYFUNCTION("IF(LEN(D4553)&gt;4, IFERROR(REGEXEXTRACT(TO_TEXT(D4553),""\d+""),""""),"""")"),"22838")</f>
        <v>22838</v>
      </c>
      <c r="F4553" s="6" t="str">
        <f t="shared" si="3"/>
        <v>Product</v>
      </c>
      <c r="G4553" s="1" t="s">
        <v>157</v>
      </c>
      <c r="H4553" s="6" t="str">
        <f>IFERROR(__xludf.DUMMYFUNCTION("IF(REGEXMATCH(LOWER(G4553), ""^(\?)+\s*(missing)?\s*(\?)*$""), """", PROPER(SUBSTITUTE(SUBSTITUTE(G4553, ""?"", """"), ""*"", """")))"),"3 Tier Cake Tin Red And Cream")</f>
        <v>3 Tier Cake Tin Red And Cream</v>
      </c>
      <c r="I4553" s="3">
        <v>1.0</v>
      </c>
      <c r="J4553" s="7">
        <v>40886.43472222222</v>
      </c>
      <c r="K4553" s="8" t="str">
        <f t="shared" si="4"/>
        <v>2011-12</v>
      </c>
      <c r="L4553" s="5">
        <v>29.17</v>
      </c>
      <c r="M4553" s="10"/>
      <c r="N4553" s="1" t="str">
        <f t="shared" si="5"/>
        <v>Guest</v>
      </c>
      <c r="O4553" s="1" t="s">
        <v>19</v>
      </c>
      <c r="P4553" s="9" t="str">
        <f t="shared" si="6"/>
        <v>UK</v>
      </c>
      <c r="Q4553" s="8">
        <f t="shared" si="7"/>
        <v>29.17</v>
      </c>
    </row>
    <row r="4554">
      <c r="A4554" s="1">
        <v>581498.0</v>
      </c>
      <c r="B4554" s="1" t="str">
        <f t="shared" si="1"/>
        <v>581498</v>
      </c>
      <c r="C4554" s="1" t="str">
        <f t="shared" si="2"/>
        <v>Sale</v>
      </c>
      <c r="D4554" s="1">
        <v>22844.0</v>
      </c>
      <c r="E4554" s="1" t="str">
        <f>IFERROR(__xludf.DUMMYFUNCTION("IF(LEN(D4554)&gt;4, IFERROR(REGEXEXTRACT(TO_TEXT(D4554),""\d+""),""""),"""")"),"22844")</f>
        <v>22844</v>
      </c>
      <c r="F4554" s="6" t="str">
        <f t="shared" si="3"/>
        <v>Product</v>
      </c>
      <c r="G4554" s="1" t="s">
        <v>786</v>
      </c>
      <c r="H4554" s="6" t="str">
        <f>IFERROR(__xludf.DUMMYFUNCTION("IF(REGEXMATCH(LOWER(G4554), ""^(\?)+\s*(missing)?\s*(\?)*$""), """", PROPER(SUBSTITUTE(SUBSTITUTE(G4554, ""?"", """"), ""*"", """")))"),"Vintage Cream Dog Food Container")</f>
        <v>Vintage Cream Dog Food Container</v>
      </c>
      <c r="I4554" s="3">
        <v>2.0</v>
      </c>
      <c r="J4554" s="7">
        <v>40886.43472222222</v>
      </c>
      <c r="K4554" s="8" t="str">
        <f t="shared" si="4"/>
        <v>2011-12</v>
      </c>
      <c r="L4554" s="5">
        <v>16.63</v>
      </c>
      <c r="M4554" s="10"/>
      <c r="N4554" s="1" t="str">
        <f t="shared" si="5"/>
        <v>Guest</v>
      </c>
      <c r="O4554" s="1" t="s">
        <v>19</v>
      </c>
      <c r="P4554" s="9" t="str">
        <f t="shared" si="6"/>
        <v>UK</v>
      </c>
      <c r="Q4554" s="8">
        <f t="shared" si="7"/>
        <v>33.26</v>
      </c>
    </row>
    <row r="4555">
      <c r="A4555" s="1">
        <v>581498.0</v>
      </c>
      <c r="B4555" s="1" t="str">
        <f t="shared" si="1"/>
        <v>581498</v>
      </c>
      <c r="C4555" s="1" t="str">
        <f t="shared" si="2"/>
        <v>Sale</v>
      </c>
      <c r="D4555" s="1">
        <v>22845.0</v>
      </c>
      <c r="E4555" s="1" t="str">
        <f>IFERROR(__xludf.DUMMYFUNCTION("IF(LEN(D4555)&gt;4, IFERROR(REGEXEXTRACT(TO_TEXT(D4555),""\d+""),""""),"""")"),"22845")</f>
        <v>22845</v>
      </c>
      <c r="F4555" s="6" t="str">
        <f t="shared" si="3"/>
        <v>Product</v>
      </c>
      <c r="G4555" s="1" t="s">
        <v>787</v>
      </c>
      <c r="H4555" s="6" t="str">
        <f>IFERROR(__xludf.DUMMYFUNCTION("IF(REGEXMATCH(LOWER(G4555), ""^(\?)+\s*(missing)?\s*(\?)*$""), """", PROPER(SUBSTITUTE(SUBSTITUTE(G4555, ""?"", """"), ""*"", """")))"),"Vintage Cream Cat Food Container")</f>
        <v>Vintage Cream Cat Food Container</v>
      </c>
      <c r="I4555" s="3">
        <v>1.0</v>
      </c>
      <c r="J4555" s="7">
        <v>40886.43472222222</v>
      </c>
      <c r="K4555" s="8" t="str">
        <f t="shared" si="4"/>
        <v>2011-12</v>
      </c>
      <c r="L4555" s="5">
        <v>12.46</v>
      </c>
      <c r="M4555" s="10"/>
      <c r="N4555" s="1" t="str">
        <f t="shared" si="5"/>
        <v>Guest</v>
      </c>
      <c r="O4555" s="1" t="s">
        <v>19</v>
      </c>
      <c r="P4555" s="9" t="str">
        <f t="shared" si="6"/>
        <v>UK</v>
      </c>
      <c r="Q4555" s="8">
        <f t="shared" si="7"/>
        <v>12.46</v>
      </c>
    </row>
    <row r="4556">
      <c r="A4556" s="1">
        <v>581498.0</v>
      </c>
      <c r="B4556" s="1" t="str">
        <f t="shared" si="1"/>
        <v>581498</v>
      </c>
      <c r="C4556" s="1" t="str">
        <f t="shared" si="2"/>
        <v>Sale</v>
      </c>
      <c r="D4556" s="1">
        <v>22865.0</v>
      </c>
      <c r="E4556" s="1" t="str">
        <f>IFERROR(__xludf.DUMMYFUNCTION("IF(LEN(D4556)&gt;4, IFERROR(REGEXEXTRACT(TO_TEXT(D4556),""\d+""),""""),"""")"),"22865")</f>
        <v>22865</v>
      </c>
      <c r="F4556" s="6" t="str">
        <f t="shared" si="3"/>
        <v>Product</v>
      </c>
      <c r="G4556" s="1" t="s">
        <v>247</v>
      </c>
      <c r="H4556" s="6" t="str">
        <f>IFERROR(__xludf.DUMMYFUNCTION("IF(REGEXMATCH(LOWER(G4556), ""^(\?)+\s*(missing)?\s*(\?)*$""), """", PROPER(SUBSTITUTE(SUBSTITUTE(G4556, ""?"", """"), ""*"", """")))"),"Hand Warmer Owl Design")</f>
        <v>Hand Warmer Owl Design</v>
      </c>
      <c r="I4556" s="3">
        <v>1.0</v>
      </c>
      <c r="J4556" s="7">
        <v>40886.43472222222</v>
      </c>
      <c r="K4556" s="8" t="str">
        <f t="shared" si="4"/>
        <v>2011-12</v>
      </c>
      <c r="L4556" s="5">
        <v>4.96</v>
      </c>
      <c r="M4556" s="10"/>
      <c r="N4556" s="1" t="str">
        <f t="shared" si="5"/>
        <v>Guest</v>
      </c>
      <c r="O4556" s="1" t="s">
        <v>19</v>
      </c>
      <c r="P4556" s="9" t="str">
        <f t="shared" si="6"/>
        <v>UK</v>
      </c>
      <c r="Q4556" s="8">
        <f t="shared" si="7"/>
        <v>4.96</v>
      </c>
    </row>
    <row r="4557">
      <c r="A4557" s="1">
        <v>581498.0</v>
      </c>
      <c r="B4557" s="1" t="str">
        <f t="shared" si="1"/>
        <v>581498</v>
      </c>
      <c r="C4557" s="1" t="str">
        <f t="shared" si="2"/>
        <v>Sale</v>
      </c>
      <c r="D4557" s="1">
        <v>22866.0</v>
      </c>
      <c r="E4557" s="1" t="str">
        <f>IFERROR(__xludf.DUMMYFUNCTION("IF(LEN(D4557)&gt;4, IFERROR(REGEXEXTRACT(TO_TEXT(D4557),""\d+""),""""),"""")"),"22866")</f>
        <v>22866</v>
      </c>
      <c r="F4557" s="6" t="str">
        <f t="shared" si="3"/>
        <v>Product</v>
      </c>
      <c r="G4557" s="1" t="s">
        <v>246</v>
      </c>
      <c r="H4557" s="6" t="str">
        <f>IFERROR(__xludf.DUMMYFUNCTION("IF(REGEXMATCH(LOWER(G4557), ""^(\?)+\s*(missing)?\s*(\?)*$""), """", PROPER(SUBSTITUTE(SUBSTITUTE(G4557, ""?"", """"), ""*"", """")))"),"Hand Warmer Scotty Dog Design")</f>
        <v>Hand Warmer Scotty Dog Design</v>
      </c>
      <c r="I4557" s="3">
        <v>2.0</v>
      </c>
      <c r="J4557" s="7">
        <v>40886.43472222222</v>
      </c>
      <c r="K4557" s="8" t="str">
        <f t="shared" si="4"/>
        <v>2011-12</v>
      </c>
      <c r="L4557" s="5">
        <v>4.13</v>
      </c>
      <c r="M4557" s="10"/>
      <c r="N4557" s="1" t="str">
        <f t="shared" si="5"/>
        <v>Guest</v>
      </c>
      <c r="O4557" s="1" t="s">
        <v>19</v>
      </c>
      <c r="P4557" s="9" t="str">
        <f t="shared" si="6"/>
        <v>UK</v>
      </c>
      <c r="Q4557" s="8">
        <f t="shared" si="7"/>
        <v>8.26</v>
      </c>
    </row>
    <row r="4558">
      <c r="A4558" s="1">
        <v>581498.0</v>
      </c>
      <c r="B4558" s="1" t="str">
        <f t="shared" si="1"/>
        <v>581498</v>
      </c>
      <c r="C4558" s="1" t="str">
        <f t="shared" si="2"/>
        <v>Sale</v>
      </c>
      <c r="D4558" s="1">
        <v>22891.0</v>
      </c>
      <c r="E4558" s="1" t="str">
        <f>IFERROR(__xludf.DUMMYFUNCTION("IF(LEN(D4558)&gt;4, IFERROR(REGEXEXTRACT(TO_TEXT(D4558),""\d+""),""""),"""")"),"22891")</f>
        <v>22891</v>
      </c>
      <c r="F4558" s="6" t="str">
        <f t="shared" si="3"/>
        <v>Product</v>
      </c>
      <c r="G4558" s="1" t="s">
        <v>1273</v>
      </c>
      <c r="H4558" s="6" t="str">
        <f>IFERROR(__xludf.DUMMYFUNCTION("IF(REGEXMATCH(LOWER(G4558), ""^(\?)+\s*(missing)?\s*(\?)*$""), """", PROPER(SUBSTITUTE(SUBSTITUTE(G4558, ""?"", """"), ""*"", """")))"),"Tea For One Polkadot")</f>
        <v>Tea For One Polkadot</v>
      </c>
      <c r="I4558" s="3">
        <v>1.0</v>
      </c>
      <c r="J4558" s="7">
        <v>40886.43472222222</v>
      </c>
      <c r="K4558" s="8" t="str">
        <f t="shared" si="4"/>
        <v>2011-12</v>
      </c>
      <c r="L4558" s="5">
        <v>8.29</v>
      </c>
      <c r="M4558" s="10"/>
      <c r="N4558" s="1" t="str">
        <f t="shared" si="5"/>
        <v>Guest</v>
      </c>
      <c r="O4558" s="1" t="s">
        <v>19</v>
      </c>
      <c r="P4558" s="9" t="str">
        <f t="shared" si="6"/>
        <v>UK</v>
      </c>
      <c r="Q4558" s="8">
        <f t="shared" si="7"/>
        <v>8.29</v>
      </c>
    </row>
    <row r="4559">
      <c r="A4559" s="1">
        <v>581498.0</v>
      </c>
      <c r="B4559" s="1" t="str">
        <f t="shared" si="1"/>
        <v>581498</v>
      </c>
      <c r="C4559" s="1" t="str">
        <f t="shared" si="2"/>
        <v>Sale</v>
      </c>
      <c r="D4559" s="1">
        <v>22900.0</v>
      </c>
      <c r="E4559" s="1" t="str">
        <f>IFERROR(__xludf.DUMMYFUNCTION("IF(LEN(D4559)&gt;4, IFERROR(REGEXEXTRACT(TO_TEXT(D4559),""\d+""),""""),"""")"),"22900")</f>
        <v>22900</v>
      </c>
      <c r="F4559" s="6" t="str">
        <f t="shared" si="3"/>
        <v>Product</v>
      </c>
      <c r="G4559" s="1" t="s">
        <v>63</v>
      </c>
      <c r="H4559" s="6" t="str">
        <f>IFERROR(__xludf.DUMMYFUNCTION("IF(REGEXMATCH(LOWER(G4559), ""^(\?)+\s*(missing)?\s*(\?)*$""), """", PROPER(SUBSTITUTE(SUBSTITUTE(G4559, ""?"", """"), ""*"", """")))"),"Set 2 Tea Towels I Love London")</f>
        <v>Set 2 Tea Towels I Love London</v>
      </c>
      <c r="I4559" s="3">
        <v>2.0</v>
      </c>
      <c r="J4559" s="7">
        <v>40886.43472222222</v>
      </c>
      <c r="K4559" s="8" t="str">
        <f t="shared" si="4"/>
        <v>2011-12</v>
      </c>
      <c r="L4559" s="5">
        <v>4.13</v>
      </c>
      <c r="M4559" s="10"/>
      <c r="N4559" s="1" t="str">
        <f t="shared" si="5"/>
        <v>Guest</v>
      </c>
      <c r="O4559" s="1" t="s">
        <v>19</v>
      </c>
      <c r="P4559" s="9" t="str">
        <f t="shared" si="6"/>
        <v>UK</v>
      </c>
      <c r="Q4559" s="8">
        <f t="shared" si="7"/>
        <v>8.26</v>
      </c>
    </row>
    <row r="4560">
      <c r="A4560" s="1">
        <v>581498.0</v>
      </c>
      <c r="B4560" s="1" t="str">
        <f t="shared" si="1"/>
        <v>581498</v>
      </c>
      <c r="C4560" s="1" t="str">
        <f t="shared" si="2"/>
        <v>Sale</v>
      </c>
      <c r="D4560" s="1">
        <v>22910.0</v>
      </c>
      <c r="E4560" s="1" t="str">
        <f>IFERROR(__xludf.DUMMYFUNCTION("IF(LEN(D4560)&gt;4, IFERROR(REGEXEXTRACT(TO_TEXT(D4560),""\d+""),""""),"""")"),"22910")</f>
        <v>22910</v>
      </c>
      <c r="F4560" s="6" t="str">
        <f t="shared" si="3"/>
        <v>Product</v>
      </c>
      <c r="G4560" s="1" t="s">
        <v>215</v>
      </c>
      <c r="H4560" s="6" t="str">
        <f>IFERROR(__xludf.DUMMYFUNCTION("IF(REGEXMATCH(LOWER(G4560), ""^(\?)+\s*(missing)?\s*(\?)*$""), """", PROPER(SUBSTITUTE(SUBSTITUTE(G4560, ""?"", """"), ""*"", """")))"),"Paper Chain Kit Vintage Christmas")</f>
        <v>Paper Chain Kit Vintage Christmas</v>
      </c>
      <c r="I4560" s="3">
        <v>5.0</v>
      </c>
      <c r="J4560" s="7">
        <v>40886.43472222222</v>
      </c>
      <c r="K4560" s="8" t="str">
        <f t="shared" si="4"/>
        <v>2011-12</v>
      </c>
      <c r="L4560" s="5">
        <v>5.79</v>
      </c>
      <c r="M4560" s="10"/>
      <c r="N4560" s="1" t="str">
        <f t="shared" si="5"/>
        <v>Guest</v>
      </c>
      <c r="O4560" s="1" t="s">
        <v>19</v>
      </c>
      <c r="P4560" s="9" t="str">
        <f t="shared" si="6"/>
        <v>UK</v>
      </c>
      <c r="Q4560" s="8">
        <f t="shared" si="7"/>
        <v>28.95</v>
      </c>
    </row>
    <row r="4561">
      <c r="A4561" s="1">
        <v>581498.0</v>
      </c>
      <c r="B4561" s="1" t="str">
        <f t="shared" si="1"/>
        <v>581498</v>
      </c>
      <c r="C4561" s="1" t="str">
        <f t="shared" si="2"/>
        <v>Sale</v>
      </c>
      <c r="D4561" s="1">
        <v>22952.0</v>
      </c>
      <c r="E4561" s="1" t="str">
        <f>IFERROR(__xludf.DUMMYFUNCTION("IF(LEN(D4561)&gt;4, IFERROR(REGEXEXTRACT(TO_TEXT(D4561),""\d+""),""""),"""")"),"22952")</f>
        <v>22952</v>
      </c>
      <c r="F4561" s="6" t="str">
        <f t="shared" si="3"/>
        <v>Product</v>
      </c>
      <c r="G4561" s="1" t="s">
        <v>465</v>
      </c>
      <c r="H4561" s="6" t="str">
        <f>IFERROR(__xludf.DUMMYFUNCTION("IF(REGEXMATCH(LOWER(G4561), ""^(\?)+\s*(missing)?\s*(\?)*$""), """", PROPER(SUBSTITUTE(SUBSTITUTE(G4561, ""?"", """"), ""*"", """")))"),"60 Cake Cases Vintage Christmas")</f>
        <v>60 Cake Cases Vintage Christmas</v>
      </c>
      <c r="I4561" s="3">
        <v>7.0</v>
      </c>
      <c r="J4561" s="7">
        <v>40886.43472222222</v>
      </c>
      <c r="K4561" s="8" t="str">
        <f t="shared" si="4"/>
        <v>2011-12</v>
      </c>
      <c r="L4561" s="5">
        <v>1.25</v>
      </c>
      <c r="M4561" s="10"/>
      <c r="N4561" s="1" t="str">
        <f t="shared" si="5"/>
        <v>Guest</v>
      </c>
      <c r="O4561" s="1" t="s">
        <v>19</v>
      </c>
      <c r="P4561" s="9" t="str">
        <f t="shared" si="6"/>
        <v>UK</v>
      </c>
      <c r="Q4561" s="8">
        <f t="shared" si="7"/>
        <v>8.75</v>
      </c>
    </row>
    <row r="4562">
      <c r="A4562" s="1">
        <v>581498.0</v>
      </c>
      <c r="B4562" s="1" t="str">
        <f t="shared" si="1"/>
        <v>581498</v>
      </c>
      <c r="C4562" s="1" t="str">
        <f t="shared" si="2"/>
        <v>Sale</v>
      </c>
      <c r="D4562" s="1">
        <v>22960.0</v>
      </c>
      <c r="E4562" s="1" t="str">
        <f>IFERROR(__xludf.DUMMYFUNCTION("IF(LEN(D4562)&gt;4, IFERROR(REGEXEXTRACT(TO_TEXT(D4562),""\d+""),""""),"""")"),"22960")</f>
        <v>22960</v>
      </c>
      <c r="F4562" s="6" t="str">
        <f t="shared" si="3"/>
        <v>Product</v>
      </c>
      <c r="G4562" s="1" t="s">
        <v>43</v>
      </c>
      <c r="H4562" s="6" t="str">
        <f>IFERROR(__xludf.DUMMYFUNCTION("IF(REGEXMATCH(LOWER(G4562), ""^(\?)+\s*(missing)?\s*(\?)*$""), """", PROPER(SUBSTITUTE(SUBSTITUTE(G4562, ""?"", """"), ""*"", """")))"),"Jam Making Set With Jars")</f>
        <v>Jam Making Set With Jars</v>
      </c>
      <c r="I4562" s="3">
        <v>5.0</v>
      </c>
      <c r="J4562" s="7">
        <v>40886.43472222222</v>
      </c>
      <c r="K4562" s="8" t="str">
        <f t="shared" si="4"/>
        <v>2011-12</v>
      </c>
      <c r="L4562" s="5">
        <v>8.29</v>
      </c>
      <c r="M4562" s="10"/>
      <c r="N4562" s="1" t="str">
        <f t="shared" si="5"/>
        <v>Guest</v>
      </c>
      <c r="O4562" s="1" t="s">
        <v>19</v>
      </c>
      <c r="P4562" s="9" t="str">
        <f t="shared" si="6"/>
        <v>UK</v>
      </c>
      <c r="Q4562" s="8">
        <f t="shared" si="7"/>
        <v>41.45</v>
      </c>
    </row>
    <row r="4563">
      <c r="A4563" s="1">
        <v>581498.0</v>
      </c>
      <c r="B4563" s="1" t="str">
        <f t="shared" si="1"/>
        <v>581498</v>
      </c>
      <c r="C4563" s="1" t="str">
        <f t="shared" si="2"/>
        <v>Sale</v>
      </c>
      <c r="D4563" s="1">
        <v>22961.0</v>
      </c>
      <c r="E4563" s="1" t="str">
        <f>IFERROR(__xludf.DUMMYFUNCTION("IF(LEN(D4563)&gt;4, IFERROR(REGEXEXTRACT(TO_TEXT(D4563),""\d+""),""""),"""")"),"22961")</f>
        <v>22961</v>
      </c>
      <c r="F4563" s="6" t="str">
        <f t="shared" si="3"/>
        <v>Product</v>
      </c>
      <c r="G4563" s="1" t="s">
        <v>109</v>
      </c>
      <c r="H4563" s="6" t="str">
        <f>IFERROR(__xludf.DUMMYFUNCTION("IF(REGEXMATCH(LOWER(G4563), ""^(\?)+\s*(missing)?\s*(\?)*$""), """", PROPER(SUBSTITUTE(SUBSTITUTE(G4563, ""?"", """"), ""*"", """")))"),"Jam Making Set Printed")</f>
        <v>Jam Making Set Printed</v>
      </c>
      <c r="I4563" s="3">
        <v>4.0</v>
      </c>
      <c r="J4563" s="7">
        <v>40886.43472222222</v>
      </c>
      <c r="K4563" s="8" t="str">
        <f t="shared" si="4"/>
        <v>2011-12</v>
      </c>
      <c r="L4563" s="5">
        <v>3.29</v>
      </c>
      <c r="M4563" s="10"/>
      <c r="N4563" s="1" t="str">
        <f t="shared" si="5"/>
        <v>Guest</v>
      </c>
      <c r="O4563" s="1" t="s">
        <v>19</v>
      </c>
      <c r="P4563" s="9" t="str">
        <f t="shared" si="6"/>
        <v>UK</v>
      </c>
      <c r="Q4563" s="8">
        <f t="shared" si="7"/>
        <v>13.16</v>
      </c>
    </row>
    <row r="4564">
      <c r="A4564" s="1">
        <v>581498.0</v>
      </c>
      <c r="B4564" s="1" t="str">
        <f t="shared" si="1"/>
        <v>581498</v>
      </c>
      <c r="C4564" s="1" t="str">
        <f t="shared" si="2"/>
        <v>Sale</v>
      </c>
      <c r="D4564" s="1">
        <v>22966.0</v>
      </c>
      <c r="E4564" s="1" t="str">
        <f>IFERROR(__xludf.DUMMYFUNCTION("IF(LEN(D4564)&gt;4, IFERROR(REGEXEXTRACT(TO_TEXT(D4564),""\d+""),""""),"""")"),"22966")</f>
        <v>22966</v>
      </c>
      <c r="F4564" s="6" t="str">
        <f t="shared" si="3"/>
        <v>Product</v>
      </c>
      <c r="G4564" s="1" t="s">
        <v>779</v>
      </c>
      <c r="H4564" s="6" t="str">
        <f>IFERROR(__xludf.DUMMYFUNCTION("IF(REGEXMATCH(LOWER(G4564), ""^(\?)+\s*(missing)?\s*(\?)*$""), """", PROPER(SUBSTITUTE(SUBSTITUTE(G4564, ""?"", """"), ""*"", """")))"),"Gingerbread Man Cookie Cutter")</f>
        <v>Gingerbread Man Cookie Cutter</v>
      </c>
      <c r="I4564" s="3">
        <v>2.0</v>
      </c>
      <c r="J4564" s="7">
        <v>40886.43472222222</v>
      </c>
      <c r="K4564" s="8" t="str">
        <f t="shared" si="4"/>
        <v>2011-12</v>
      </c>
      <c r="L4564" s="5">
        <v>2.46</v>
      </c>
      <c r="M4564" s="10"/>
      <c r="N4564" s="1" t="str">
        <f t="shared" si="5"/>
        <v>Guest</v>
      </c>
      <c r="O4564" s="1" t="s">
        <v>19</v>
      </c>
      <c r="P4564" s="9" t="str">
        <f t="shared" si="6"/>
        <v>UK</v>
      </c>
      <c r="Q4564" s="8">
        <f t="shared" si="7"/>
        <v>4.92</v>
      </c>
    </row>
    <row r="4565">
      <c r="A4565" s="1">
        <v>581498.0</v>
      </c>
      <c r="B4565" s="1" t="str">
        <f t="shared" si="1"/>
        <v>581498</v>
      </c>
      <c r="C4565" s="1" t="str">
        <f t="shared" si="2"/>
        <v>Sale</v>
      </c>
      <c r="D4565" s="1">
        <v>22993.0</v>
      </c>
      <c r="E4565" s="1" t="str">
        <f>IFERROR(__xludf.DUMMYFUNCTION("IF(LEN(D4565)&gt;4, IFERROR(REGEXEXTRACT(TO_TEXT(D4565),""\d+""),""""),"""")"),"22993")</f>
        <v>22993</v>
      </c>
      <c r="F4565" s="6" t="str">
        <f t="shared" si="3"/>
        <v>Product</v>
      </c>
      <c r="G4565" s="1" t="s">
        <v>709</v>
      </c>
      <c r="H4565" s="6" t="str">
        <f>IFERROR(__xludf.DUMMYFUNCTION("IF(REGEXMATCH(LOWER(G4565), ""^(\?)+\s*(missing)?\s*(\?)*$""), """", PROPER(SUBSTITUTE(SUBSTITUTE(G4565, ""?"", """"), ""*"", """")))"),"Set Of 4 Pantry Jelly Moulds")</f>
        <v>Set Of 4 Pantry Jelly Moulds</v>
      </c>
      <c r="I4565" s="3">
        <v>2.0</v>
      </c>
      <c r="J4565" s="7">
        <v>40886.43472222222</v>
      </c>
      <c r="K4565" s="8" t="str">
        <f t="shared" si="4"/>
        <v>2011-12</v>
      </c>
      <c r="L4565" s="5">
        <v>3.29</v>
      </c>
      <c r="M4565" s="10"/>
      <c r="N4565" s="1" t="str">
        <f t="shared" si="5"/>
        <v>Guest</v>
      </c>
      <c r="O4565" s="1" t="s">
        <v>19</v>
      </c>
      <c r="P4565" s="9" t="str">
        <f t="shared" si="6"/>
        <v>UK</v>
      </c>
      <c r="Q4565" s="8">
        <f t="shared" si="7"/>
        <v>6.58</v>
      </c>
    </row>
    <row r="4566">
      <c r="A4566" s="1">
        <v>581498.0</v>
      </c>
      <c r="B4566" s="1" t="str">
        <f t="shared" si="1"/>
        <v>581498</v>
      </c>
      <c r="C4566" s="1" t="str">
        <f t="shared" si="2"/>
        <v>Sale</v>
      </c>
      <c r="D4566" s="1">
        <v>23012.0</v>
      </c>
      <c r="E4566" s="1" t="str">
        <f>IFERROR(__xludf.DUMMYFUNCTION("IF(LEN(D4566)&gt;4, IFERROR(REGEXEXTRACT(TO_TEXT(D4566),""\d+""),""""),"""")"),"23012")</f>
        <v>23012</v>
      </c>
      <c r="F4566" s="6" t="str">
        <f t="shared" si="3"/>
        <v>Product</v>
      </c>
      <c r="G4566" s="1" t="s">
        <v>1967</v>
      </c>
      <c r="H4566" s="6" t="str">
        <f>IFERROR(__xludf.DUMMYFUNCTION("IF(REGEXMATCH(LOWER(G4566), ""^(\?)+\s*(missing)?\s*(\?)*$""), """", PROPER(SUBSTITUTE(SUBSTITUTE(G4566, ""?"", """"), ""*"", """")))"),"Glass Apothecary Bottle Perfume")</f>
        <v>Glass Apothecary Bottle Perfume</v>
      </c>
      <c r="I4566" s="3">
        <v>1.0</v>
      </c>
      <c r="J4566" s="7">
        <v>40886.43472222222</v>
      </c>
      <c r="K4566" s="8" t="str">
        <f t="shared" si="4"/>
        <v>2011-12</v>
      </c>
      <c r="L4566" s="5">
        <v>8.29</v>
      </c>
      <c r="M4566" s="10"/>
      <c r="N4566" s="1" t="str">
        <f t="shared" si="5"/>
        <v>Guest</v>
      </c>
      <c r="O4566" s="1" t="s">
        <v>19</v>
      </c>
      <c r="P4566" s="9" t="str">
        <f t="shared" si="6"/>
        <v>UK</v>
      </c>
      <c r="Q4566" s="8">
        <f t="shared" si="7"/>
        <v>8.29</v>
      </c>
    </row>
    <row r="4567">
      <c r="A4567" s="1">
        <v>581498.0</v>
      </c>
      <c r="B4567" s="1" t="str">
        <f t="shared" si="1"/>
        <v>581498</v>
      </c>
      <c r="C4567" s="1" t="str">
        <f t="shared" si="2"/>
        <v>Sale</v>
      </c>
      <c r="D4567" s="1">
        <v>23013.0</v>
      </c>
      <c r="E4567" s="1" t="str">
        <f>IFERROR(__xludf.DUMMYFUNCTION("IF(LEN(D4567)&gt;4, IFERROR(REGEXEXTRACT(TO_TEXT(D4567),""\d+""),""""),"""")"),"23013")</f>
        <v>23013</v>
      </c>
      <c r="F4567" s="6" t="str">
        <f t="shared" si="3"/>
        <v>Product</v>
      </c>
      <c r="G4567" s="1" t="s">
        <v>1968</v>
      </c>
      <c r="H4567" s="6" t="str">
        <f>IFERROR(__xludf.DUMMYFUNCTION("IF(REGEXMATCH(LOWER(G4567), ""^(\?)+\s*(missing)?\s*(\?)*$""), """", PROPER(SUBSTITUTE(SUBSTITUTE(G4567, ""?"", """"), ""*"", """")))"),"Glass Apothecary Bottle Tonic")</f>
        <v>Glass Apothecary Bottle Tonic</v>
      </c>
      <c r="I4567" s="3">
        <v>1.0</v>
      </c>
      <c r="J4567" s="7">
        <v>40886.43472222222</v>
      </c>
      <c r="K4567" s="8" t="str">
        <f t="shared" si="4"/>
        <v>2011-12</v>
      </c>
      <c r="L4567" s="5">
        <v>8.29</v>
      </c>
      <c r="M4567" s="10"/>
      <c r="N4567" s="1" t="str">
        <f t="shared" si="5"/>
        <v>Guest</v>
      </c>
      <c r="O4567" s="1" t="s">
        <v>19</v>
      </c>
      <c r="P4567" s="9" t="str">
        <f t="shared" si="6"/>
        <v>UK</v>
      </c>
      <c r="Q4567" s="8">
        <f t="shared" si="7"/>
        <v>8.29</v>
      </c>
    </row>
    <row r="4568">
      <c r="A4568" s="1">
        <v>581498.0</v>
      </c>
      <c r="B4568" s="1" t="str">
        <f t="shared" si="1"/>
        <v>581498</v>
      </c>
      <c r="C4568" s="1" t="str">
        <f t="shared" si="2"/>
        <v>Sale</v>
      </c>
      <c r="D4568" s="1">
        <v>23014.0</v>
      </c>
      <c r="E4568" s="1" t="str">
        <f>IFERROR(__xludf.DUMMYFUNCTION("IF(LEN(D4568)&gt;4, IFERROR(REGEXEXTRACT(TO_TEXT(D4568),""\d+""),""""),"""")"),"23014")</f>
        <v>23014</v>
      </c>
      <c r="F4568" s="6" t="str">
        <f t="shared" si="3"/>
        <v>Product</v>
      </c>
      <c r="G4568" s="1" t="s">
        <v>1969</v>
      </c>
      <c r="H4568" s="6" t="str">
        <f>IFERROR(__xludf.DUMMYFUNCTION("IF(REGEXMATCH(LOWER(G4568), ""^(\?)+\s*(missing)?\s*(\?)*$""), """", PROPER(SUBSTITUTE(SUBSTITUTE(G4568, ""?"", """"), ""*"", """")))"),"Glass Apothecary Bottle Elixir")</f>
        <v>Glass Apothecary Bottle Elixir</v>
      </c>
      <c r="I4568" s="3">
        <v>2.0</v>
      </c>
      <c r="J4568" s="7">
        <v>40886.43472222222</v>
      </c>
      <c r="K4568" s="8" t="str">
        <f t="shared" si="4"/>
        <v>2011-12</v>
      </c>
      <c r="L4568" s="5">
        <v>8.29</v>
      </c>
      <c r="M4568" s="10"/>
      <c r="N4568" s="1" t="str">
        <f t="shared" si="5"/>
        <v>Guest</v>
      </c>
      <c r="O4568" s="1" t="s">
        <v>19</v>
      </c>
      <c r="P4568" s="9" t="str">
        <f t="shared" si="6"/>
        <v>UK</v>
      </c>
      <c r="Q4568" s="8">
        <f t="shared" si="7"/>
        <v>16.58</v>
      </c>
    </row>
    <row r="4569">
      <c r="A4569" s="1">
        <v>581498.0</v>
      </c>
      <c r="B4569" s="1" t="str">
        <f t="shared" si="1"/>
        <v>581498</v>
      </c>
      <c r="C4569" s="1" t="str">
        <f t="shared" si="2"/>
        <v>Sale</v>
      </c>
      <c r="D4569" s="1">
        <v>23080.0</v>
      </c>
      <c r="E4569" s="1" t="str">
        <f>IFERROR(__xludf.DUMMYFUNCTION("IF(LEN(D4569)&gt;4, IFERROR(REGEXEXTRACT(TO_TEXT(D4569),""\d+""),""""),"""")"),"23080")</f>
        <v>23080</v>
      </c>
      <c r="F4569" s="6" t="str">
        <f t="shared" si="3"/>
        <v>Product</v>
      </c>
      <c r="G4569" s="1" t="s">
        <v>1572</v>
      </c>
      <c r="H4569" s="6" t="str">
        <f>IFERROR(__xludf.DUMMYFUNCTION("IF(REGEXMATCH(LOWER(G4569), ""^(\?)+\s*(missing)?\s*(\?)*$""), """", PROPER(SUBSTITUTE(SUBSTITUTE(G4569, ""?"", """"), ""*"", """")))"),"Red Metal Box Top Secret")</f>
        <v>Red Metal Box Top Secret</v>
      </c>
      <c r="I4569" s="3">
        <v>5.0</v>
      </c>
      <c r="J4569" s="7">
        <v>40886.43472222222</v>
      </c>
      <c r="K4569" s="8" t="str">
        <f t="shared" si="4"/>
        <v>2011-12</v>
      </c>
      <c r="L4569" s="5">
        <v>16.63</v>
      </c>
      <c r="M4569" s="10"/>
      <c r="N4569" s="1" t="str">
        <f t="shared" si="5"/>
        <v>Guest</v>
      </c>
      <c r="O4569" s="1" t="s">
        <v>19</v>
      </c>
      <c r="P4569" s="9" t="str">
        <f t="shared" si="6"/>
        <v>UK</v>
      </c>
      <c r="Q4569" s="8">
        <f t="shared" si="7"/>
        <v>83.15</v>
      </c>
    </row>
    <row r="4570">
      <c r="A4570" s="1">
        <v>581498.0</v>
      </c>
      <c r="B4570" s="1" t="str">
        <f t="shared" si="1"/>
        <v>581498</v>
      </c>
      <c r="C4570" s="1" t="str">
        <f t="shared" si="2"/>
        <v>Sale</v>
      </c>
      <c r="D4570" s="1">
        <v>23170.0</v>
      </c>
      <c r="E4570" s="1" t="str">
        <f>IFERROR(__xludf.DUMMYFUNCTION("IF(LEN(D4570)&gt;4, IFERROR(REGEXEXTRACT(TO_TEXT(D4570),""\d+""),""""),"""")"),"23170")</f>
        <v>23170</v>
      </c>
      <c r="F4570" s="6" t="str">
        <f t="shared" si="3"/>
        <v>Product</v>
      </c>
      <c r="G4570" s="1" t="s">
        <v>1559</v>
      </c>
      <c r="H4570" s="6" t="str">
        <f>IFERROR(__xludf.DUMMYFUNCTION("IF(REGEXMATCH(LOWER(G4570), ""^(\?)+\s*(missing)?\s*(\?)*$""), """", PROPER(SUBSTITUTE(SUBSTITUTE(G4570, ""?"", """"), ""*"", """")))"),"Regency Tea Plate Roses")</f>
        <v>Regency Tea Plate Roses</v>
      </c>
      <c r="I4570" s="3">
        <v>4.0</v>
      </c>
      <c r="J4570" s="7">
        <v>40886.43472222222</v>
      </c>
      <c r="K4570" s="8" t="str">
        <f t="shared" si="4"/>
        <v>2011-12</v>
      </c>
      <c r="L4570" s="5">
        <v>3.29</v>
      </c>
      <c r="M4570" s="10"/>
      <c r="N4570" s="1" t="str">
        <f t="shared" si="5"/>
        <v>Guest</v>
      </c>
      <c r="O4570" s="1" t="s">
        <v>19</v>
      </c>
      <c r="P4570" s="9" t="str">
        <f t="shared" si="6"/>
        <v>UK</v>
      </c>
      <c r="Q4570" s="8">
        <f t="shared" si="7"/>
        <v>13.16</v>
      </c>
    </row>
    <row r="4571">
      <c r="A4571" s="1">
        <v>581498.0</v>
      </c>
      <c r="B4571" s="1" t="str">
        <f t="shared" si="1"/>
        <v>581498</v>
      </c>
      <c r="C4571" s="1" t="str">
        <f t="shared" si="2"/>
        <v>Sale</v>
      </c>
      <c r="D4571" s="1">
        <v>23171.0</v>
      </c>
      <c r="E4571" s="1" t="str">
        <f>IFERROR(__xludf.DUMMYFUNCTION("IF(LEN(D4571)&gt;4, IFERROR(REGEXEXTRACT(TO_TEXT(D4571),""\d+""),""""),"""")"),"23171")</f>
        <v>23171</v>
      </c>
      <c r="F4571" s="6" t="str">
        <f t="shared" si="3"/>
        <v>Product</v>
      </c>
      <c r="G4571" s="1" t="s">
        <v>1561</v>
      </c>
      <c r="H4571" s="6" t="str">
        <f>IFERROR(__xludf.DUMMYFUNCTION("IF(REGEXMATCH(LOWER(G4571), ""^(\?)+\s*(missing)?\s*(\?)*$""), """", PROPER(SUBSTITUTE(SUBSTITUTE(G4571, ""?"", """"), ""*"", """")))"),"Regency Tea Plate Green")</f>
        <v>Regency Tea Plate Green</v>
      </c>
      <c r="I4571" s="3">
        <v>5.0</v>
      </c>
      <c r="J4571" s="7">
        <v>40886.43472222222</v>
      </c>
      <c r="K4571" s="8" t="str">
        <f t="shared" si="4"/>
        <v>2011-12</v>
      </c>
      <c r="L4571" s="5">
        <v>3.29</v>
      </c>
      <c r="M4571" s="10"/>
      <c r="N4571" s="1" t="str">
        <f t="shared" si="5"/>
        <v>Guest</v>
      </c>
      <c r="O4571" s="1" t="s">
        <v>19</v>
      </c>
      <c r="P4571" s="9" t="str">
        <f t="shared" si="6"/>
        <v>UK</v>
      </c>
      <c r="Q4571" s="8">
        <f t="shared" si="7"/>
        <v>16.45</v>
      </c>
    </row>
    <row r="4572">
      <c r="A4572" s="1">
        <v>581498.0</v>
      </c>
      <c r="B4572" s="1" t="str">
        <f t="shared" si="1"/>
        <v>581498</v>
      </c>
      <c r="C4572" s="1" t="str">
        <f t="shared" si="2"/>
        <v>Sale</v>
      </c>
      <c r="D4572" s="1">
        <v>23172.0</v>
      </c>
      <c r="E4572" s="1" t="str">
        <f>IFERROR(__xludf.DUMMYFUNCTION("IF(LEN(D4572)&gt;4, IFERROR(REGEXEXTRACT(TO_TEXT(D4572),""\d+""),""""),"""")"),"23172")</f>
        <v>23172</v>
      </c>
      <c r="F4572" s="6" t="str">
        <f t="shared" si="3"/>
        <v>Product</v>
      </c>
      <c r="G4572" s="1" t="s">
        <v>1560</v>
      </c>
      <c r="H4572" s="6" t="str">
        <f>IFERROR(__xludf.DUMMYFUNCTION("IF(REGEXMATCH(LOWER(G4572), ""^(\?)+\s*(missing)?\s*(\?)*$""), """", PROPER(SUBSTITUTE(SUBSTITUTE(G4572, ""?"", """"), ""*"", """")))"),"Regency Tea Plate Pink")</f>
        <v>Regency Tea Plate Pink</v>
      </c>
      <c r="I4572" s="3">
        <v>4.0</v>
      </c>
      <c r="J4572" s="7">
        <v>40886.43472222222</v>
      </c>
      <c r="K4572" s="8" t="str">
        <f t="shared" si="4"/>
        <v>2011-12</v>
      </c>
      <c r="L4572" s="5">
        <v>3.29</v>
      </c>
      <c r="M4572" s="10"/>
      <c r="N4572" s="1" t="str">
        <f t="shared" si="5"/>
        <v>Guest</v>
      </c>
      <c r="O4572" s="1" t="s">
        <v>19</v>
      </c>
      <c r="P4572" s="9" t="str">
        <f t="shared" si="6"/>
        <v>UK</v>
      </c>
      <c r="Q4572" s="8">
        <f t="shared" si="7"/>
        <v>13.16</v>
      </c>
    </row>
    <row r="4573">
      <c r="A4573" s="1">
        <v>581498.0</v>
      </c>
      <c r="B4573" s="1" t="str">
        <f t="shared" si="1"/>
        <v>581498</v>
      </c>
      <c r="C4573" s="1" t="str">
        <f t="shared" si="2"/>
        <v>Sale</v>
      </c>
      <c r="D4573" s="1">
        <v>23181.0</v>
      </c>
      <c r="E4573" s="1" t="str">
        <f>IFERROR(__xludf.DUMMYFUNCTION("IF(LEN(D4573)&gt;4, IFERROR(REGEXEXTRACT(TO_TEXT(D4573),""\d+""),""""),"""")"),"23181")</f>
        <v>23181</v>
      </c>
      <c r="F4573" s="6" t="str">
        <f t="shared" si="3"/>
        <v>Product</v>
      </c>
      <c r="G4573" s="1" t="s">
        <v>2077</v>
      </c>
      <c r="H4573" s="6" t="str">
        <f>IFERROR(__xludf.DUMMYFUNCTION("IF(REGEXMATCH(LOWER(G4573), ""^(\?)+\s*(missing)?\s*(\?)*$""), """", PROPER(SUBSTITUTE(SUBSTITUTE(G4573, ""?"", """"), ""*"", """")))"),"Bull Dog Bottle Top Wall Clock")</f>
        <v>Bull Dog Bottle Top Wall Clock</v>
      </c>
      <c r="I4573" s="3">
        <v>1.0</v>
      </c>
      <c r="J4573" s="7">
        <v>40886.43472222222</v>
      </c>
      <c r="K4573" s="8" t="str">
        <f t="shared" si="4"/>
        <v>2011-12</v>
      </c>
      <c r="L4573" s="5">
        <v>16.63</v>
      </c>
      <c r="M4573" s="10"/>
      <c r="N4573" s="1" t="str">
        <f t="shared" si="5"/>
        <v>Guest</v>
      </c>
      <c r="O4573" s="1" t="s">
        <v>19</v>
      </c>
      <c r="P4573" s="9" t="str">
        <f t="shared" si="6"/>
        <v>UK</v>
      </c>
      <c r="Q4573" s="8">
        <f t="shared" si="7"/>
        <v>16.63</v>
      </c>
    </row>
    <row r="4574">
      <c r="A4574" s="1">
        <v>581498.0</v>
      </c>
      <c r="B4574" s="1" t="str">
        <f t="shared" si="1"/>
        <v>581498</v>
      </c>
      <c r="C4574" s="1" t="str">
        <f t="shared" si="2"/>
        <v>Sale</v>
      </c>
      <c r="D4574" s="1">
        <v>23196.0</v>
      </c>
      <c r="E4574" s="1" t="str">
        <f>IFERROR(__xludf.DUMMYFUNCTION("IF(LEN(D4574)&gt;4, IFERROR(REGEXEXTRACT(TO_TEXT(D4574),""\d+""),""""),"""")"),"23196")</f>
        <v>23196</v>
      </c>
      <c r="F4574" s="6" t="str">
        <f t="shared" si="3"/>
        <v>Product</v>
      </c>
      <c r="G4574" s="1" t="s">
        <v>1993</v>
      </c>
      <c r="H4574" s="6" t="str">
        <f>IFERROR(__xludf.DUMMYFUNCTION("IF(REGEXMATCH(LOWER(G4574), ""^(\?)+\s*(missing)?\s*(\?)*$""), """", PROPER(SUBSTITUTE(SUBSTITUTE(G4574, ""?"", """"), ""*"", """")))"),"Vintage Leaf Magnetic Notepad")</f>
        <v>Vintage Leaf Magnetic Notepad</v>
      </c>
      <c r="I4574" s="3">
        <v>1.0</v>
      </c>
      <c r="J4574" s="7">
        <v>40886.43472222222</v>
      </c>
      <c r="K4574" s="8" t="str">
        <f t="shared" si="4"/>
        <v>2011-12</v>
      </c>
      <c r="L4574" s="5">
        <v>3.29</v>
      </c>
      <c r="M4574" s="10"/>
      <c r="N4574" s="1" t="str">
        <f t="shared" si="5"/>
        <v>Guest</v>
      </c>
      <c r="O4574" s="1" t="s">
        <v>19</v>
      </c>
      <c r="P4574" s="9" t="str">
        <f t="shared" si="6"/>
        <v>UK</v>
      </c>
      <c r="Q4574" s="8">
        <f t="shared" si="7"/>
        <v>3.29</v>
      </c>
    </row>
    <row r="4575">
      <c r="A4575" s="1">
        <v>581498.0</v>
      </c>
      <c r="B4575" s="1" t="str">
        <f t="shared" si="1"/>
        <v>581498</v>
      </c>
      <c r="C4575" s="1" t="str">
        <f t="shared" si="2"/>
        <v>Sale</v>
      </c>
      <c r="D4575" s="1">
        <v>23198.0</v>
      </c>
      <c r="E4575" s="1" t="str">
        <f>IFERROR(__xludf.DUMMYFUNCTION("IF(LEN(D4575)&gt;4, IFERROR(REGEXEXTRACT(TO_TEXT(D4575),""\d+""),""""),"""")"),"23198")</f>
        <v>23198</v>
      </c>
      <c r="F4575" s="6" t="str">
        <f t="shared" si="3"/>
        <v>Product</v>
      </c>
      <c r="G4575" s="1" t="s">
        <v>1423</v>
      </c>
      <c r="H4575" s="6" t="str">
        <f>IFERROR(__xludf.DUMMYFUNCTION("IF(REGEXMATCH(LOWER(G4575), ""^(\?)+\s*(missing)?\s*(\?)*$""), """", PROPER(SUBSTITUTE(SUBSTITUTE(G4575, ""?"", """"), ""*"", """")))"),"Pantry Magnetic Shopping List")</f>
        <v>Pantry Magnetic Shopping List</v>
      </c>
      <c r="I4575" s="3">
        <v>2.0</v>
      </c>
      <c r="J4575" s="7">
        <v>40886.43472222222</v>
      </c>
      <c r="K4575" s="8" t="str">
        <f t="shared" si="4"/>
        <v>2011-12</v>
      </c>
      <c r="L4575" s="5">
        <v>3.29</v>
      </c>
      <c r="M4575" s="10"/>
      <c r="N4575" s="1" t="str">
        <f t="shared" si="5"/>
        <v>Guest</v>
      </c>
      <c r="O4575" s="1" t="s">
        <v>19</v>
      </c>
      <c r="P4575" s="9" t="str">
        <f t="shared" si="6"/>
        <v>UK</v>
      </c>
      <c r="Q4575" s="8">
        <f t="shared" si="7"/>
        <v>6.58</v>
      </c>
    </row>
    <row r="4576">
      <c r="A4576" s="1">
        <v>581498.0</v>
      </c>
      <c r="B4576" s="1" t="str">
        <f t="shared" si="1"/>
        <v>581498</v>
      </c>
      <c r="C4576" s="1" t="str">
        <f t="shared" si="2"/>
        <v>Sale</v>
      </c>
      <c r="D4576" s="1">
        <v>23199.0</v>
      </c>
      <c r="E4576" s="1" t="str">
        <f>IFERROR(__xludf.DUMMYFUNCTION("IF(LEN(D4576)&gt;4, IFERROR(REGEXEXTRACT(TO_TEXT(D4576),""\d+""),""""),"""")"),"23199")</f>
        <v>23199</v>
      </c>
      <c r="F4576" s="6" t="str">
        <f t="shared" si="3"/>
        <v>Product</v>
      </c>
      <c r="G4576" s="1" t="s">
        <v>1994</v>
      </c>
      <c r="H4576" s="6" t="str">
        <f>IFERROR(__xludf.DUMMYFUNCTION("IF(REGEXMATCH(LOWER(G4576), ""^(\?)+\s*(missing)?\s*(\?)*$""), """", PROPER(SUBSTITUTE(SUBSTITUTE(G4576, ""?"", """"), ""*"", """")))"),"Jumbo Bag Apples")</f>
        <v>Jumbo Bag Apples</v>
      </c>
      <c r="I4576" s="3">
        <v>6.0</v>
      </c>
      <c r="J4576" s="7">
        <v>40886.43472222222</v>
      </c>
      <c r="K4576" s="8" t="str">
        <f t="shared" si="4"/>
        <v>2011-12</v>
      </c>
      <c r="L4576" s="5">
        <v>4.13</v>
      </c>
      <c r="M4576" s="10"/>
      <c r="N4576" s="1" t="str">
        <f t="shared" si="5"/>
        <v>Guest</v>
      </c>
      <c r="O4576" s="1" t="s">
        <v>19</v>
      </c>
      <c r="P4576" s="9" t="str">
        <f t="shared" si="6"/>
        <v>UK</v>
      </c>
      <c r="Q4576" s="8">
        <f t="shared" si="7"/>
        <v>24.78</v>
      </c>
    </row>
    <row r="4577">
      <c r="A4577" s="1">
        <v>581498.0</v>
      </c>
      <c r="B4577" s="1" t="str">
        <f t="shared" si="1"/>
        <v>581498</v>
      </c>
      <c r="C4577" s="1" t="str">
        <f t="shared" si="2"/>
        <v>Sale</v>
      </c>
      <c r="D4577" s="1">
        <v>23201.0</v>
      </c>
      <c r="E4577" s="1" t="str">
        <f>IFERROR(__xludf.DUMMYFUNCTION("IF(LEN(D4577)&gt;4, IFERROR(REGEXEXTRACT(TO_TEXT(D4577),""\d+""),""""),"""")"),"23201")</f>
        <v>23201</v>
      </c>
      <c r="F4577" s="6" t="str">
        <f t="shared" si="3"/>
        <v>Product</v>
      </c>
      <c r="G4577" s="1" t="s">
        <v>1636</v>
      </c>
      <c r="H4577" s="6" t="str">
        <f>IFERROR(__xludf.DUMMYFUNCTION("IF(REGEXMATCH(LOWER(G4577), ""^(\?)+\s*(missing)?\s*(\?)*$""), """", PROPER(SUBSTITUTE(SUBSTITUTE(G4577, ""?"", """"), ""*"", """")))"),"Jumbo Bag Alphabet")</f>
        <v>Jumbo Bag Alphabet</v>
      </c>
      <c r="I4577" s="3">
        <v>6.0</v>
      </c>
      <c r="J4577" s="7">
        <v>40886.43472222222</v>
      </c>
      <c r="K4577" s="8" t="str">
        <f t="shared" si="4"/>
        <v>2011-12</v>
      </c>
      <c r="L4577" s="5">
        <v>4.13</v>
      </c>
      <c r="M4577" s="10"/>
      <c r="N4577" s="1" t="str">
        <f t="shared" si="5"/>
        <v>Guest</v>
      </c>
      <c r="O4577" s="1" t="s">
        <v>19</v>
      </c>
      <c r="P4577" s="9" t="str">
        <f t="shared" si="6"/>
        <v>UK</v>
      </c>
      <c r="Q4577" s="8">
        <f t="shared" si="7"/>
        <v>24.78</v>
      </c>
    </row>
    <row r="4578">
      <c r="A4578" s="1">
        <v>581498.0</v>
      </c>
      <c r="B4578" s="1" t="str">
        <f t="shared" si="1"/>
        <v>581498</v>
      </c>
      <c r="C4578" s="1" t="str">
        <f t="shared" si="2"/>
        <v>Sale</v>
      </c>
      <c r="D4578" s="1">
        <v>23245.0</v>
      </c>
      <c r="E4578" s="1" t="str">
        <f>IFERROR(__xludf.DUMMYFUNCTION("IF(LEN(D4578)&gt;4, IFERROR(REGEXEXTRACT(TO_TEXT(D4578),""\d+""),""""),"""")"),"23245")</f>
        <v>23245</v>
      </c>
      <c r="F4578" s="6" t="str">
        <f t="shared" si="3"/>
        <v>Product</v>
      </c>
      <c r="G4578" s="1" t="s">
        <v>1580</v>
      </c>
      <c r="H4578" s="6" t="str">
        <f>IFERROR(__xludf.DUMMYFUNCTION("IF(REGEXMATCH(LOWER(G4578), ""^(\?)+\s*(missing)?\s*(\?)*$""), """", PROPER(SUBSTITUTE(SUBSTITUTE(G4578, ""?"", """"), ""*"", """")))"),"Set Of 3 Regency Cake Tins")</f>
        <v>Set Of 3 Regency Cake Tins</v>
      </c>
      <c r="I4578" s="3">
        <v>5.0</v>
      </c>
      <c r="J4578" s="7">
        <v>40886.43472222222</v>
      </c>
      <c r="K4578" s="8" t="str">
        <f t="shared" si="4"/>
        <v>2011-12</v>
      </c>
      <c r="L4578" s="5">
        <v>10.79</v>
      </c>
      <c r="M4578" s="10"/>
      <c r="N4578" s="1" t="str">
        <f t="shared" si="5"/>
        <v>Guest</v>
      </c>
      <c r="O4578" s="1" t="s">
        <v>19</v>
      </c>
      <c r="P4578" s="9" t="str">
        <f t="shared" si="6"/>
        <v>UK</v>
      </c>
      <c r="Q4578" s="8">
        <f t="shared" si="7"/>
        <v>53.95</v>
      </c>
    </row>
    <row r="4579">
      <c r="A4579" s="1">
        <v>581498.0</v>
      </c>
      <c r="B4579" s="1" t="str">
        <f t="shared" si="1"/>
        <v>581498</v>
      </c>
      <c r="C4579" s="1" t="str">
        <f t="shared" si="2"/>
        <v>Sale</v>
      </c>
      <c r="D4579" s="1">
        <v>23295.0</v>
      </c>
      <c r="E4579" s="1" t="str">
        <f>IFERROR(__xludf.DUMMYFUNCTION("IF(LEN(D4579)&gt;4, IFERROR(REGEXEXTRACT(TO_TEXT(D4579),""\d+""),""""),"""")"),"23295")</f>
        <v>23295</v>
      </c>
      <c r="F4579" s="6" t="str">
        <f t="shared" si="3"/>
        <v>Product</v>
      </c>
      <c r="G4579" s="1" t="s">
        <v>1574</v>
      </c>
      <c r="H4579" s="6" t="str">
        <f>IFERROR(__xludf.DUMMYFUNCTION("IF(REGEXMATCH(LOWER(G4579), ""^(\?)+\s*(missing)?\s*(\?)*$""), """", PROPER(SUBSTITUTE(SUBSTITUTE(G4579, ""?"", """"), ""*"", """")))"),"Set Of 12 Mini Loaf Baking Cases")</f>
        <v>Set Of 12 Mini Loaf Baking Cases</v>
      </c>
      <c r="I4579" s="3">
        <v>1.0</v>
      </c>
      <c r="J4579" s="7">
        <v>40886.43472222222</v>
      </c>
      <c r="K4579" s="8" t="str">
        <f t="shared" si="4"/>
        <v>2011-12</v>
      </c>
      <c r="L4579" s="5">
        <v>2.46</v>
      </c>
      <c r="M4579" s="10"/>
      <c r="N4579" s="1" t="str">
        <f t="shared" si="5"/>
        <v>Guest</v>
      </c>
      <c r="O4579" s="1" t="s">
        <v>19</v>
      </c>
      <c r="P4579" s="9" t="str">
        <f t="shared" si="6"/>
        <v>UK</v>
      </c>
      <c r="Q4579" s="8">
        <f t="shared" si="7"/>
        <v>2.46</v>
      </c>
    </row>
    <row r="4580">
      <c r="A4580" s="1">
        <v>581498.0</v>
      </c>
      <c r="B4580" s="1" t="str">
        <f t="shared" si="1"/>
        <v>581498</v>
      </c>
      <c r="C4580" s="1" t="str">
        <f t="shared" si="2"/>
        <v>Sale</v>
      </c>
      <c r="D4580" s="1">
        <v>23298.0</v>
      </c>
      <c r="E4580" s="1" t="str">
        <f>IFERROR(__xludf.DUMMYFUNCTION("IF(LEN(D4580)&gt;4, IFERROR(REGEXEXTRACT(TO_TEXT(D4580),""\d+""),""""),"""")"),"23298")</f>
        <v>23298</v>
      </c>
      <c r="F4580" s="6" t="str">
        <f t="shared" si="3"/>
        <v>Product</v>
      </c>
      <c r="G4580" s="1" t="s">
        <v>1558</v>
      </c>
      <c r="H4580" s="6" t="str">
        <f>IFERROR(__xludf.DUMMYFUNCTION("IF(REGEXMATCH(LOWER(G4580), ""^(\?)+\s*(missing)?\s*(\?)*$""), """", PROPER(SUBSTITUTE(SUBSTITUTE(G4580, ""?"", """"), ""*"", """")))"),"Spotty Bunting")</f>
        <v>Spotty Bunting</v>
      </c>
      <c r="I4580" s="3">
        <v>1.0</v>
      </c>
      <c r="J4580" s="7">
        <v>40886.43472222222</v>
      </c>
      <c r="K4580" s="8" t="str">
        <f t="shared" si="4"/>
        <v>2011-12</v>
      </c>
      <c r="L4580" s="5">
        <v>10.79</v>
      </c>
      <c r="M4580" s="10"/>
      <c r="N4580" s="1" t="str">
        <f t="shared" si="5"/>
        <v>Guest</v>
      </c>
      <c r="O4580" s="1" t="s">
        <v>19</v>
      </c>
      <c r="P4580" s="9" t="str">
        <f t="shared" si="6"/>
        <v>UK</v>
      </c>
      <c r="Q4580" s="8">
        <f t="shared" si="7"/>
        <v>10.79</v>
      </c>
    </row>
    <row r="4581">
      <c r="A4581" s="1">
        <v>581498.0</v>
      </c>
      <c r="B4581" s="1" t="str">
        <f t="shared" si="1"/>
        <v>581498</v>
      </c>
      <c r="C4581" s="1" t="str">
        <f t="shared" si="2"/>
        <v>Sale</v>
      </c>
      <c r="D4581" s="1">
        <v>23300.0</v>
      </c>
      <c r="E4581" s="1" t="str">
        <f>IFERROR(__xludf.DUMMYFUNCTION("IF(LEN(D4581)&gt;4, IFERROR(REGEXEXTRACT(TO_TEXT(D4581),""\d+""),""""),"""")"),"23300")</f>
        <v>23300</v>
      </c>
      <c r="F4581" s="6" t="str">
        <f t="shared" si="3"/>
        <v>Product</v>
      </c>
      <c r="G4581" s="1" t="s">
        <v>1563</v>
      </c>
      <c r="H4581" s="6" t="str">
        <f>IFERROR(__xludf.DUMMYFUNCTION("IF(REGEXMATCH(LOWER(G4581), ""^(\?)+\s*(missing)?\s*(\?)*$""), """", PROPER(SUBSTITUTE(SUBSTITUTE(G4581, ""?"", """"), ""*"", """")))"),"Gardeners Kneeling Pad Cup Of Tea")</f>
        <v>Gardeners Kneeling Pad Cup Of Tea</v>
      </c>
      <c r="I4581" s="3">
        <v>9.0</v>
      </c>
      <c r="J4581" s="7">
        <v>40886.43472222222</v>
      </c>
      <c r="K4581" s="8" t="str">
        <f t="shared" si="4"/>
        <v>2011-12</v>
      </c>
      <c r="L4581" s="5">
        <v>3.29</v>
      </c>
      <c r="M4581" s="10"/>
      <c r="N4581" s="1" t="str">
        <f t="shared" si="5"/>
        <v>Guest</v>
      </c>
      <c r="O4581" s="1" t="s">
        <v>19</v>
      </c>
      <c r="P4581" s="9" t="str">
        <f t="shared" si="6"/>
        <v>UK</v>
      </c>
      <c r="Q4581" s="8">
        <f t="shared" si="7"/>
        <v>29.61</v>
      </c>
    </row>
    <row r="4582">
      <c r="A4582" s="1">
        <v>581498.0</v>
      </c>
      <c r="B4582" s="1" t="str">
        <f t="shared" si="1"/>
        <v>581498</v>
      </c>
      <c r="C4582" s="1" t="str">
        <f t="shared" si="2"/>
        <v>Sale</v>
      </c>
      <c r="D4582" s="1">
        <v>23301.0</v>
      </c>
      <c r="E4582" s="1" t="str">
        <f>IFERROR(__xludf.DUMMYFUNCTION("IF(LEN(D4582)&gt;4, IFERROR(REGEXEXTRACT(TO_TEXT(D4582),""\d+""),""""),"""")"),"23301")</f>
        <v>23301</v>
      </c>
      <c r="F4582" s="6" t="str">
        <f t="shared" si="3"/>
        <v>Product</v>
      </c>
      <c r="G4582" s="1" t="s">
        <v>1542</v>
      </c>
      <c r="H4582" s="6" t="str">
        <f>IFERROR(__xludf.DUMMYFUNCTION("IF(REGEXMATCH(LOWER(G4582), ""^(\?)+\s*(missing)?\s*(\?)*$""), """", PROPER(SUBSTITUTE(SUBSTITUTE(G4582, ""?"", """"), ""*"", """")))"),"Gardeners Kneeling Pad Keep Calm")</f>
        <v>Gardeners Kneeling Pad Keep Calm</v>
      </c>
      <c r="I4582" s="3">
        <v>32.0</v>
      </c>
      <c r="J4582" s="7">
        <v>40886.43472222222</v>
      </c>
      <c r="K4582" s="8" t="str">
        <f t="shared" si="4"/>
        <v>2011-12</v>
      </c>
      <c r="L4582" s="5">
        <v>3.29</v>
      </c>
      <c r="M4582" s="10"/>
      <c r="N4582" s="1" t="str">
        <f t="shared" si="5"/>
        <v>Guest</v>
      </c>
      <c r="O4582" s="1" t="s">
        <v>19</v>
      </c>
      <c r="P4582" s="9" t="str">
        <f t="shared" si="6"/>
        <v>UK</v>
      </c>
      <c r="Q4582" s="8">
        <f t="shared" si="7"/>
        <v>105.28</v>
      </c>
    </row>
    <row r="4583">
      <c r="A4583" s="1">
        <v>581498.0</v>
      </c>
      <c r="B4583" s="1" t="str">
        <f t="shared" si="1"/>
        <v>581498</v>
      </c>
      <c r="C4583" s="1" t="str">
        <f t="shared" si="2"/>
        <v>Sale</v>
      </c>
      <c r="D4583" s="1">
        <v>23311.0</v>
      </c>
      <c r="E4583" s="1" t="str">
        <f>IFERROR(__xludf.DUMMYFUNCTION("IF(LEN(D4583)&gt;4, IFERROR(REGEXEXTRACT(TO_TEXT(D4583),""\d+""),""""),"""")"),"23311")</f>
        <v>23311</v>
      </c>
      <c r="F4583" s="6" t="str">
        <f t="shared" si="3"/>
        <v>Product</v>
      </c>
      <c r="G4583" s="1" t="s">
        <v>2022</v>
      </c>
      <c r="H4583" s="6" t="str">
        <f>IFERROR(__xludf.DUMMYFUNCTION("IF(REGEXMATCH(LOWER(G4583), ""^(\?)+\s*(missing)?\s*(\?)*$""), """", PROPER(SUBSTITUTE(SUBSTITUTE(G4583, ""?"", """"), ""*"", """")))"),"Vintage Christmas Stocking")</f>
        <v>Vintage Christmas Stocking</v>
      </c>
      <c r="I4583" s="3">
        <v>6.0</v>
      </c>
      <c r="J4583" s="7">
        <v>40886.43472222222</v>
      </c>
      <c r="K4583" s="8" t="str">
        <f t="shared" si="4"/>
        <v>2011-12</v>
      </c>
      <c r="L4583" s="5">
        <v>4.96</v>
      </c>
      <c r="M4583" s="10"/>
      <c r="N4583" s="1" t="str">
        <f t="shared" si="5"/>
        <v>Guest</v>
      </c>
      <c r="O4583" s="1" t="s">
        <v>19</v>
      </c>
      <c r="P4583" s="9" t="str">
        <f t="shared" si="6"/>
        <v>UK</v>
      </c>
      <c r="Q4583" s="8">
        <f t="shared" si="7"/>
        <v>29.76</v>
      </c>
    </row>
    <row r="4584">
      <c r="A4584" s="1">
        <v>581498.0</v>
      </c>
      <c r="B4584" s="1" t="str">
        <f t="shared" si="1"/>
        <v>581498</v>
      </c>
      <c r="C4584" s="1" t="str">
        <f t="shared" si="2"/>
        <v>Sale</v>
      </c>
      <c r="D4584" s="1">
        <v>23312.0</v>
      </c>
      <c r="E4584" s="1" t="str">
        <f>IFERROR(__xludf.DUMMYFUNCTION("IF(LEN(D4584)&gt;4, IFERROR(REGEXEXTRACT(TO_TEXT(D4584),""\d+""),""""),"""")"),"23312")</f>
        <v>23312</v>
      </c>
      <c r="F4584" s="6" t="str">
        <f t="shared" si="3"/>
        <v>Product</v>
      </c>
      <c r="G4584" s="1" t="s">
        <v>2023</v>
      </c>
      <c r="H4584" s="6" t="str">
        <f>IFERROR(__xludf.DUMMYFUNCTION("IF(REGEXMATCH(LOWER(G4584), ""^(\?)+\s*(missing)?\s*(\?)*$""), """", PROPER(SUBSTITUTE(SUBSTITUTE(G4584, ""?"", """"), ""*"", """")))"),"Vintage Christmas Gift Sack")</f>
        <v>Vintage Christmas Gift Sack</v>
      </c>
      <c r="I4584" s="3">
        <v>3.0</v>
      </c>
      <c r="J4584" s="7">
        <v>40886.43472222222</v>
      </c>
      <c r="K4584" s="8" t="str">
        <f t="shared" si="4"/>
        <v>2011-12</v>
      </c>
      <c r="L4584" s="5">
        <v>8.29</v>
      </c>
      <c r="M4584" s="10"/>
      <c r="N4584" s="1" t="str">
        <f t="shared" si="5"/>
        <v>Guest</v>
      </c>
      <c r="O4584" s="1" t="s">
        <v>19</v>
      </c>
      <c r="P4584" s="9" t="str">
        <f t="shared" si="6"/>
        <v>UK</v>
      </c>
      <c r="Q4584" s="8">
        <f t="shared" si="7"/>
        <v>24.87</v>
      </c>
    </row>
    <row r="4585">
      <c r="A4585" s="1">
        <v>581498.0</v>
      </c>
      <c r="B4585" s="1" t="str">
        <f t="shared" si="1"/>
        <v>581498</v>
      </c>
      <c r="C4585" s="1" t="str">
        <f t="shared" si="2"/>
        <v>Sale</v>
      </c>
      <c r="D4585" s="1">
        <v>23328.0</v>
      </c>
      <c r="E4585" s="1" t="str">
        <f>IFERROR(__xludf.DUMMYFUNCTION("IF(LEN(D4585)&gt;4, IFERROR(REGEXEXTRACT(TO_TEXT(D4585),""\d+""),""""),"""")"),"23328")</f>
        <v>23328</v>
      </c>
      <c r="F4585" s="6" t="str">
        <f t="shared" si="3"/>
        <v>Product</v>
      </c>
      <c r="G4585" s="1" t="s">
        <v>2028</v>
      </c>
      <c r="H4585" s="6" t="str">
        <f>IFERROR(__xludf.DUMMYFUNCTION("IF(REGEXMATCH(LOWER(G4585), ""^(\?)+\s*(missing)?\s*(\?)*$""), """", PROPER(SUBSTITUTE(SUBSTITUTE(G4585, ""?"", """"), ""*"", """")))"),"Set 6 School Milk Bottles In Crate")</f>
        <v>Set 6 School Milk Bottles In Crate</v>
      </c>
      <c r="I4585" s="3">
        <v>6.0</v>
      </c>
      <c r="J4585" s="7">
        <v>40886.43472222222</v>
      </c>
      <c r="K4585" s="8" t="str">
        <f t="shared" si="4"/>
        <v>2011-12</v>
      </c>
      <c r="L4585" s="5">
        <v>7.46</v>
      </c>
      <c r="M4585" s="10"/>
      <c r="N4585" s="1" t="str">
        <f t="shared" si="5"/>
        <v>Guest</v>
      </c>
      <c r="O4585" s="1" t="s">
        <v>19</v>
      </c>
      <c r="P4585" s="9" t="str">
        <f t="shared" si="6"/>
        <v>UK</v>
      </c>
      <c r="Q4585" s="8">
        <f t="shared" si="7"/>
        <v>44.76</v>
      </c>
    </row>
    <row r="4586">
      <c r="A4586" s="1">
        <v>581498.0</v>
      </c>
      <c r="B4586" s="1" t="str">
        <f t="shared" si="1"/>
        <v>581498</v>
      </c>
      <c r="C4586" s="1" t="str">
        <f t="shared" si="2"/>
        <v>Sale</v>
      </c>
      <c r="D4586" s="1">
        <v>23349.0</v>
      </c>
      <c r="E4586" s="1" t="str">
        <f>IFERROR(__xludf.DUMMYFUNCTION("IF(LEN(D4586)&gt;4, IFERROR(REGEXEXTRACT(TO_TEXT(D4586),""\d+""),""""),"""")"),"23349")</f>
        <v>23349</v>
      </c>
      <c r="F4586" s="6" t="str">
        <f t="shared" si="3"/>
        <v>Product</v>
      </c>
      <c r="G4586" s="1" t="s">
        <v>2036</v>
      </c>
      <c r="H4586" s="6" t="str">
        <f>IFERROR(__xludf.DUMMYFUNCTION("IF(REGEXMATCH(LOWER(G4586), ""^(\?)+\s*(missing)?\s*(\?)*$""), """", PROPER(SUBSTITUTE(SUBSTITUTE(G4586, ""?"", """"), ""*"", """")))"),"Roll Wrap Vintage Christmas")</f>
        <v>Roll Wrap Vintage Christmas</v>
      </c>
      <c r="I4586" s="3">
        <v>8.0</v>
      </c>
      <c r="J4586" s="7">
        <v>40886.43472222222</v>
      </c>
      <c r="K4586" s="8" t="str">
        <f t="shared" si="4"/>
        <v>2011-12</v>
      </c>
      <c r="L4586" s="5">
        <v>2.46</v>
      </c>
      <c r="M4586" s="10"/>
      <c r="N4586" s="1" t="str">
        <f t="shared" si="5"/>
        <v>Guest</v>
      </c>
      <c r="O4586" s="1" t="s">
        <v>19</v>
      </c>
      <c r="P4586" s="9" t="str">
        <f t="shared" si="6"/>
        <v>UK</v>
      </c>
      <c r="Q4586" s="8">
        <f t="shared" si="7"/>
        <v>19.68</v>
      </c>
    </row>
    <row r="4587">
      <c r="A4587" s="1">
        <v>581498.0</v>
      </c>
      <c r="B4587" s="1" t="str">
        <f t="shared" si="1"/>
        <v>581498</v>
      </c>
      <c r="C4587" s="1" t="str">
        <f t="shared" si="2"/>
        <v>Sale</v>
      </c>
      <c r="D4587" s="1">
        <v>23351.0</v>
      </c>
      <c r="E4587" s="1" t="str">
        <f>IFERROR(__xludf.DUMMYFUNCTION("IF(LEN(D4587)&gt;4, IFERROR(REGEXEXTRACT(TO_TEXT(D4587),""\d+""),""""),"""")"),"23351")</f>
        <v>23351</v>
      </c>
      <c r="F4587" s="6" t="str">
        <f t="shared" si="3"/>
        <v>Product</v>
      </c>
      <c r="G4587" s="1" t="s">
        <v>1570</v>
      </c>
      <c r="H4587" s="6" t="str">
        <f>IFERROR(__xludf.DUMMYFUNCTION("IF(REGEXMATCH(LOWER(G4587), ""^(\?)+\s*(missing)?\s*(\?)*$""), """", PROPER(SUBSTITUTE(SUBSTITUTE(G4587, ""?"", """"), ""*"", """")))"),"Roll Wrap 50'S Christmas")</f>
        <v>Roll Wrap 50'S Christmas</v>
      </c>
      <c r="I4587" s="3">
        <v>22.0</v>
      </c>
      <c r="J4587" s="7">
        <v>40886.43472222222</v>
      </c>
      <c r="K4587" s="8" t="str">
        <f t="shared" si="4"/>
        <v>2011-12</v>
      </c>
      <c r="L4587" s="5">
        <v>2.46</v>
      </c>
      <c r="M4587" s="10"/>
      <c r="N4587" s="1" t="str">
        <f t="shared" si="5"/>
        <v>Guest</v>
      </c>
      <c r="O4587" s="1" t="s">
        <v>19</v>
      </c>
      <c r="P4587" s="9" t="str">
        <f t="shared" si="6"/>
        <v>UK</v>
      </c>
      <c r="Q4587" s="8">
        <f t="shared" si="7"/>
        <v>54.12</v>
      </c>
    </row>
    <row r="4588">
      <c r="A4588" s="1">
        <v>581498.0</v>
      </c>
      <c r="B4588" s="1" t="str">
        <f t="shared" si="1"/>
        <v>581498</v>
      </c>
      <c r="C4588" s="1" t="str">
        <f t="shared" si="2"/>
        <v>Sale</v>
      </c>
      <c r="D4588" s="1">
        <v>23352.0</v>
      </c>
      <c r="E4588" s="1" t="str">
        <f>IFERROR(__xludf.DUMMYFUNCTION("IF(LEN(D4588)&gt;4, IFERROR(REGEXEXTRACT(TO_TEXT(D4588),""\d+""),""""),"""")"),"23352")</f>
        <v>23352</v>
      </c>
      <c r="F4588" s="6" t="str">
        <f t="shared" si="3"/>
        <v>Product</v>
      </c>
      <c r="G4588" s="1" t="s">
        <v>1569</v>
      </c>
      <c r="H4588" s="6" t="str">
        <f>IFERROR(__xludf.DUMMYFUNCTION("IF(REGEXMATCH(LOWER(G4588), ""^(\?)+\s*(missing)?\s*(\?)*$""), """", PROPER(SUBSTITUTE(SUBSTITUTE(G4588, ""?"", """"), ""*"", """")))"),"Roll Wrap 50'S Red Christmas")</f>
        <v>Roll Wrap 50'S Red Christmas</v>
      </c>
      <c r="I4588" s="3">
        <v>8.0</v>
      </c>
      <c r="J4588" s="7">
        <v>40886.43472222222</v>
      </c>
      <c r="K4588" s="8" t="str">
        <f t="shared" si="4"/>
        <v>2011-12</v>
      </c>
      <c r="L4588" s="5">
        <v>2.46</v>
      </c>
      <c r="M4588" s="10"/>
      <c r="N4588" s="1" t="str">
        <f t="shared" si="5"/>
        <v>Guest</v>
      </c>
      <c r="O4588" s="1" t="s">
        <v>19</v>
      </c>
      <c r="P4588" s="9" t="str">
        <f t="shared" si="6"/>
        <v>UK</v>
      </c>
      <c r="Q4588" s="8">
        <f t="shared" si="7"/>
        <v>19.68</v>
      </c>
    </row>
    <row r="4589">
      <c r="A4589" s="1">
        <v>581498.0</v>
      </c>
      <c r="B4589" s="1" t="str">
        <f t="shared" si="1"/>
        <v>581498</v>
      </c>
      <c r="C4589" s="1" t="str">
        <f t="shared" si="2"/>
        <v>Sale</v>
      </c>
      <c r="D4589" s="1">
        <v>23353.0</v>
      </c>
      <c r="E4589" s="1" t="str">
        <f>IFERROR(__xludf.DUMMYFUNCTION("IF(LEN(D4589)&gt;4, IFERROR(REGEXEXTRACT(TO_TEXT(D4589),""\d+""),""""),"""")"),"23353")</f>
        <v>23353</v>
      </c>
      <c r="F4589" s="6" t="str">
        <f t="shared" si="3"/>
        <v>Product</v>
      </c>
      <c r="G4589" s="1" t="s">
        <v>2037</v>
      </c>
      <c r="H4589" s="6" t="str">
        <f>IFERROR(__xludf.DUMMYFUNCTION("IF(REGEXMATCH(LOWER(G4589), ""^(\?)+\s*(missing)?\s*(\?)*$""), """", PROPER(SUBSTITUTE(SUBSTITUTE(G4589, ""?"", """"), ""*"", """")))"),"6 Gift Tags Vintage Christmas")</f>
        <v>6 Gift Tags Vintage Christmas</v>
      </c>
      <c r="I4589" s="3">
        <v>10.0</v>
      </c>
      <c r="J4589" s="7">
        <v>40886.43472222222</v>
      </c>
      <c r="K4589" s="8" t="str">
        <f t="shared" si="4"/>
        <v>2011-12</v>
      </c>
      <c r="L4589" s="5">
        <v>1.63</v>
      </c>
      <c r="M4589" s="10"/>
      <c r="N4589" s="1" t="str">
        <f t="shared" si="5"/>
        <v>Guest</v>
      </c>
      <c r="O4589" s="1" t="s">
        <v>19</v>
      </c>
      <c r="P4589" s="9" t="str">
        <f t="shared" si="6"/>
        <v>UK</v>
      </c>
      <c r="Q4589" s="8">
        <f t="shared" si="7"/>
        <v>16.3</v>
      </c>
    </row>
    <row r="4590">
      <c r="A4590" s="1">
        <v>581498.0</v>
      </c>
      <c r="B4590" s="1" t="str">
        <f t="shared" si="1"/>
        <v>581498</v>
      </c>
      <c r="C4590" s="1" t="str">
        <f t="shared" si="2"/>
        <v>Sale</v>
      </c>
      <c r="D4590" s="1">
        <v>23354.0</v>
      </c>
      <c r="E4590" s="1" t="str">
        <f>IFERROR(__xludf.DUMMYFUNCTION("IF(LEN(D4590)&gt;4, IFERROR(REGEXEXTRACT(TO_TEXT(D4590),""\d+""),""""),"""")"),"23354")</f>
        <v>23354</v>
      </c>
      <c r="F4590" s="6" t="str">
        <f t="shared" si="3"/>
        <v>Product</v>
      </c>
      <c r="G4590" s="1" t="s">
        <v>2038</v>
      </c>
      <c r="H4590" s="6" t="str">
        <f>IFERROR(__xludf.DUMMYFUNCTION("IF(REGEXMATCH(LOWER(G4590), ""^(\?)+\s*(missing)?\s*(\?)*$""), """", PROPER(SUBSTITUTE(SUBSTITUTE(G4590, ""?"", """"), ""*"", """")))"),"6 Gift Tags 50'S Christmas")</f>
        <v>6 Gift Tags 50'S Christmas</v>
      </c>
      <c r="I4590" s="3">
        <v>9.0</v>
      </c>
      <c r="J4590" s="7">
        <v>40886.43472222222</v>
      </c>
      <c r="K4590" s="8" t="str">
        <f t="shared" si="4"/>
        <v>2011-12</v>
      </c>
      <c r="L4590" s="5">
        <v>1.63</v>
      </c>
      <c r="M4590" s="10"/>
      <c r="N4590" s="1" t="str">
        <f t="shared" si="5"/>
        <v>Guest</v>
      </c>
      <c r="O4590" s="1" t="s">
        <v>19</v>
      </c>
      <c r="P4590" s="9" t="str">
        <f t="shared" si="6"/>
        <v>UK</v>
      </c>
      <c r="Q4590" s="8">
        <f t="shared" si="7"/>
        <v>14.67</v>
      </c>
    </row>
    <row r="4591">
      <c r="A4591" s="1">
        <v>581498.0</v>
      </c>
      <c r="B4591" s="1" t="str">
        <f t="shared" si="1"/>
        <v>581498</v>
      </c>
      <c r="C4591" s="1" t="str">
        <f t="shared" si="2"/>
        <v>Sale</v>
      </c>
      <c r="D4591" s="1">
        <v>23368.0</v>
      </c>
      <c r="E4591" s="1" t="str">
        <f>IFERROR(__xludf.DUMMYFUNCTION("IF(LEN(D4591)&gt;4, IFERROR(REGEXEXTRACT(TO_TEXT(D4591),""\d+""),""""),"""")"),"23368")</f>
        <v>23368</v>
      </c>
      <c r="F4591" s="6" t="str">
        <f t="shared" si="3"/>
        <v>Product</v>
      </c>
      <c r="G4591" s="1" t="s">
        <v>2042</v>
      </c>
      <c r="H4591" s="6" t="str">
        <f>IFERROR(__xludf.DUMMYFUNCTION("IF(REGEXMATCH(LOWER(G4591), ""^(\?)+\s*(missing)?\s*(\?)*$""), """", PROPER(SUBSTITUTE(SUBSTITUTE(G4591, ""?"", """"), ""*"", """")))"),"Set 12 Colour Pencils Dolly Girl")</f>
        <v>Set 12 Colour Pencils Dolly Girl</v>
      </c>
      <c r="I4591" s="3">
        <v>3.0</v>
      </c>
      <c r="J4591" s="7">
        <v>40886.43472222222</v>
      </c>
      <c r="K4591" s="8" t="str">
        <f t="shared" si="4"/>
        <v>2011-12</v>
      </c>
      <c r="L4591" s="5">
        <v>1.25</v>
      </c>
      <c r="M4591" s="10"/>
      <c r="N4591" s="1" t="str">
        <f t="shared" si="5"/>
        <v>Guest</v>
      </c>
      <c r="O4591" s="1" t="s">
        <v>19</v>
      </c>
      <c r="P4591" s="9" t="str">
        <f t="shared" si="6"/>
        <v>UK</v>
      </c>
      <c r="Q4591" s="8">
        <f t="shared" si="7"/>
        <v>3.75</v>
      </c>
    </row>
    <row r="4592">
      <c r="A4592" s="1">
        <v>581498.0</v>
      </c>
      <c r="B4592" s="1" t="str">
        <f t="shared" si="1"/>
        <v>581498</v>
      </c>
      <c r="C4592" s="1" t="str">
        <f t="shared" si="2"/>
        <v>Sale</v>
      </c>
      <c r="D4592" s="1">
        <v>23369.0</v>
      </c>
      <c r="E4592" s="1" t="str">
        <f>IFERROR(__xludf.DUMMYFUNCTION("IF(LEN(D4592)&gt;4, IFERROR(REGEXEXTRACT(TO_TEXT(D4592),""\d+""),""""),"""")"),"23369")</f>
        <v>23369</v>
      </c>
      <c r="F4592" s="6" t="str">
        <f t="shared" si="3"/>
        <v>Product</v>
      </c>
      <c r="G4592" s="1" t="s">
        <v>1646</v>
      </c>
      <c r="H4592" s="6" t="str">
        <f>IFERROR(__xludf.DUMMYFUNCTION("IF(REGEXMATCH(LOWER(G4592), ""^(\?)+\s*(missing)?\s*(\?)*$""), """", PROPER(SUBSTITUTE(SUBSTITUTE(G4592, ""?"", """"), ""*"", """")))"),"Set 36 Colour Pencils Love London")</f>
        <v>Set 36 Colour Pencils Love London</v>
      </c>
      <c r="I4592" s="3">
        <v>1.0</v>
      </c>
      <c r="J4592" s="7">
        <v>40886.43472222222</v>
      </c>
      <c r="K4592" s="8" t="str">
        <f t="shared" si="4"/>
        <v>2011-12</v>
      </c>
      <c r="L4592" s="5">
        <v>1.25</v>
      </c>
      <c r="M4592" s="10"/>
      <c r="N4592" s="1" t="str">
        <f t="shared" si="5"/>
        <v>Guest</v>
      </c>
      <c r="O4592" s="1" t="s">
        <v>19</v>
      </c>
      <c r="P4592" s="9" t="str">
        <f t="shared" si="6"/>
        <v>UK</v>
      </c>
      <c r="Q4592" s="8">
        <f t="shared" si="7"/>
        <v>1.25</v>
      </c>
    </row>
    <row r="4593">
      <c r="A4593" s="1">
        <v>581498.0</v>
      </c>
      <c r="B4593" s="1" t="str">
        <f t="shared" si="1"/>
        <v>581498</v>
      </c>
      <c r="C4593" s="1" t="str">
        <f t="shared" si="2"/>
        <v>Sale</v>
      </c>
      <c r="D4593" s="1">
        <v>23370.0</v>
      </c>
      <c r="E4593" s="1" t="str">
        <f>IFERROR(__xludf.DUMMYFUNCTION("IF(LEN(D4593)&gt;4, IFERROR(REGEXEXTRACT(TO_TEXT(D4593),""\d+""),""""),"""")"),"23370")</f>
        <v>23370</v>
      </c>
      <c r="F4593" s="6" t="str">
        <f t="shared" si="3"/>
        <v>Product</v>
      </c>
      <c r="G4593" s="1" t="s">
        <v>1647</v>
      </c>
      <c r="H4593" s="6" t="str">
        <f>IFERROR(__xludf.DUMMYFUNCTION("IF(REGEXMATCH(LOWER(G4593), ""^(\?)+\s*(missing)?\s*(\?)*$""), """", PROPER(SUBSTITUTE(SUBSTITUTE(G4593, ""?"", """"), ""*"", """")))"),"Set 36 Colouring Pencils Doily")</f>
        <v>Set 36 Colouring Pencils Doily</v>
      </c>
      <c r="I4593" s="3">
        <v>3.0</v>
      </c>
      <c r="J4593" s="7">
        <v>40886.43472222222</v>
      </c>
      <c r="K4593" s="8" t="str">
        <f t="shared" si="4"/>
        <v>2011-12</v>
      </c>
      <c r="L4593" s="5">
        <v>1.25</v>
      </c>
      <c r="M4593" s="10"/>
      <c r="N4593" s="1" t="str">
        <f t="shared" si="5"/>
        <v>Guest</v>
      </c>
      <c r="O4593" s="1" t="s">
        <v>19</v>
      </c>
      <c r="P4593" s="9" t="str">
        <f t="shared" si="6"/>
        <v>UK</v>
      </c>
      <c r="Q4593" s="8">
        <f t="shared" si="7"/>
        <v>3.75</v>
      </c>
    </row>
    <row r="4594">
      <c r="A4594" s="1">
        <v>581498.0</v>
      </c>
      <c r="B4594" s="1" t="str">
        <f t="shared" si="1"/>
        <v>581498</v>
      </c>
      <c r="C4594" s="1" t="str">
        <f t="shared" si="2"/>
        <v>Sale</v>
      </c>
      <c r="D4594" s="1">
        <v>23382.0</v>
      </c>
      <c r="E4594" s="1" t="str">
        <f>IFERROR(__xludf.DUMMYFUNCTION("IF(LEN(D4594)&gt;4, IFERROR(REGEXEXTRACT(TO_TEXT(D4594),""\d+""),""""),"""")"),"23382")</f>
        <v>23382</v>
      </c>
      <c r="F4594" s="6" t="str">
        <f t="shared" si="3"/>
        <v>Product</v>
      </c>
      <c r="G4594" s="1" t="s">
        <v>1657</v>
      </c>
      <c r="H4594" s="6" t="str">
        <f>IFERROR(__xludf.DUMMYFUNCTION("IF(REGEXMATCH(LOWER(G4594), ""^(\?)+\s*(missing)?\s*(\?)*$""), """", PROPER(SUBSTITUTE(SUBSTITUTE(G4594, ""?"", """"), ""*"", """")))"),"Box Of 6 Christmas Cake Decorations")</f>
        <v>Box Of 6 Christmas Cake Decorations</v>
      </c>
      <c r="I4594" s="3">
        <v>10.0</v>
      </c>
      <c r="J4594" s="7">
        <v>40886.43472222222</v>
      </c>
      <c r="K4594" s="8" t="str">
        <f t="shared" si="4"/>
        <v>2011-12</v>
      </c>
      <c r="L4594" s="5">
        <v>7.46</v>
      </c>
      <c r="M4594" s="10"/>
      <c r="N4594" s="1" t="str">
        <f t="shared" si="5"/>
        <v>Guest</v>
      </c>
      <c r="O4594" s="1" t="s">
        <v>19</v>
      </c>
      <c r="P4594" s="9" t="str">
        <f t="shared" si="6"/>
        <v>UK</v>
      </c>
      <c r="Q4594" s="8">
        <f t="shared" si="7"/>
        <v>74.6</v>
      </c>
    </row>
    <row r="4595">
      <c r="A4595" s="1">
        <v>581498.0</v>
      </c>
      <c r="B4595" s="1" t="str">
        <f t="shared" si="1"/>
        <v>581498</v>
      </c>
      <c r="C4595" s="1" t="str">
        <f t="shared" si="2"/>
        <v>Sale</v>
      </c>
      <c r="D4595" s="1">
        <v>23388.0</v>
      </c>
      <c r="E4595" s="1" t="str">
        <f>IFERROR(__xludf.DUMMYFUNCTION("IF(LEN(D4595)&gt;4, IFERROR(REGEXEXTRACT(TO_TEXT(D4595),""\d+""),""""),"""")"),"23388")</f>
        <v>23388</v>
      </c>
      <c r="F4595" s="6" t="str">
        <f t="shared" si="3"/>
        <v>Product</v>
      </c>
      <c r="G4595" s="1" t="s">
        <v>2050</v>
      </c>
      <c r="H4595" s="6" t="str">
        <f>IFERROR(__xludf.DUMMYFUNCTION("IF(REGEXMATCH(LOWER(G4595), ""^(\?)+\s*(missing)?\s*(\?)*$""), """", PROPER(SUBSTITUTE(SUBSTITUTE(G4595, ""?"", """"), ""*"", """")))"),"Woodland Mini Backpack")</f>
        <v>Woodland Mini Backpack</v>
      </c>
      <c r="I4595" s="3">
        <v>1.0</v>
      </c>
      <c r="J4595" s="7">
        <v>40886.43472222222</v>
      </c>
      <c r="K4595" s="8" t="str">
        <f t="shared" si="4"/>
        <v>2011-12</v>
      </c>
      <c r="L4595" s="5">
        <v>8.29</v>
      </c>
      <c r="M4595" s="10"/>
      <c r="N4595" s="1" t="str">
        <f t="shared" si="5"/>
        <v>Guest</v>
      </c>
      <c r="O4595" s="1" t="s">
        <v>19</v>
      </c>
      <c r="P4595" s="9" t="str">
        <f t="shared" si="6"/>
        <v>UK</v>
      </c>
      <c r="Q4595" s="8">
        <f t="shared" si="7"/>
        <v>8.29</v>
      </c>
    </row>
    <row r="4596">
      <c r="A4596" s="1">
        <v>581498.0</v>
      </c>
      <c r="B4596" s="1" t="str">
        <f t="shared" si="1"/>
        <v>581498</v>
      </c>
      <c r="C4596" s="1" t="str">
        <f t="shared" si="2"/>
        <v>Sale</v>
      </c>
      <c r="D4596" s="1">
        <v>23437.0</v>
      </c>
      <c r="E4596" s="1" t="str">
        <f>IFERROR(__xludf.DUMMYFUNCTION("IF(LEN(D4596)&gt;4, IFERROR(REGEXEXTRACT(TO_TEXT(D4596),""\d+""),""""),"""")"),"23437")</f>
        <v>23437</v>
      </c>
      <c r="F4596" s="6" t="str">
        <f t="shared" si="3"/>
        <v>Product</v>
      </c>
      <c r="G4596" s="1" t="s">
        <v>1666</v>
      </c>
      <c r="H4596" s="6" t="str">
        <f>IFERROR(__xludf.DUMMYFUNCTION("IF(REGEXMATCH(LOWER(G4596), ""^(\?)+\s*(missing)?\s*(\?)*$""), """", PROPER(SUBSTITUTE(SUBSTITUTE(G4596, ""?"", """"), ""*"", """")))"),"50'S Christmas Gift Bag Large")</f>
        <v>50'S Christmas Gift Bag Large</v>
      </c>
      <c r="I4596" s="3">
        <v>1.0</v>
      </c>
      <c r="J4596" s="7">
        <v>40886.43472222222</v>
      </c>
      <c r="K4596" s="8" t="str">
        <f t="shared" si="4"/>
        <v>2011-12</v>
      </c>
      <c r="L4596" s="5">
        <v>2.46</v>
      </c>
      <c r="M4596" s="10"/>
      <c r="N4596" s="1" t="str">
        <f t="shared" si="5"/>
        <v>Guest</v>
      </c>
      <c r="O4596" s="1" t="s">
        <v>19</v>
      </c>
      <c r="P4596" s="9" t="str">
        <f t="shared" si="6"/>
        <v>UK</v>
      </c>
      <c r="Q4596" s="8">
        <f t="shared" si="7"/>
        <v>2.46</v>
      </c>
    </row>
    <row r="4597">
      <c r="A4597" s="1">
        <v>581498.0</v>
      </c>
      <c r="B4597" s="1" t="str">
        <f t="shared" si="1"/>
        <v>581498</v>
      </c>
      <c r="C4597" s="1" t="str">
        <f t="shared" si="2"/>
        <v>Sale</v>
      </c>
      <c r="D4597" s="1">
        <v>23480.0</v>
      </c>
      <c r="E4597" s="1" t="str">
        <f>IFERROR(__xludf.DUMMYFUNCTION("IF(LEN(D4597)&gt;4, IFERROR(REGEXEXTRACT(TO_TEXT(D4597),""\d+""),""""),"""")"),"23480")</f>
        <v>23480</v>
      </c>
      <c r="F4597" s="6" t="str">
        <f t="shared" si="3"/>
        <v>Product</v>
      </c>
      <c r="G4597" s="1" t="s">
        <v>1476</v>
      </c>
      <c r="H4597" s="6" t="str">
        <f>IFERROR(__xludf.DUMMYFUNCTION("IF(REGEXMATCH(LOWER(G4597), ""^(\?)+\s*(missing)?\s*(\?)*$""), """", PROPER(SUBSTITUTE(SUBSTITUTE(G4597, ""?"", """"), ""*"", """")))"),"Mini Lights Woodland Mushrooms")</f>
        <v>Mini Lights Woodland Mushrooms</v>
      </c>
      <c r="I4597" s="3">
        <v>1.0</v>
      </c>
      <c r="J4597" s="7">
        <v>40886.43472222222</v>
      </c>
      <c r="K4597" s="8" t="str">
        <f t="shared" si="4"/>
        <v>2011-12</v>
      </c>
      <c r="L4597" s="5">
        <v>7.46</v>
      </c>
      <c r="M4597" s="10"/>
      <c r="N4597" s="1" t="str">
        <f t="shared" si="5"/>
        <v>Guest</v>
      </c>
      <c r="O4597" s="1" t="s">
        <v>19</v>
      </c>
      <c r="P4597" s="9" t="str">
        <f t="shared" si="6"/>
        <v>UK</v>
      </c>
      <c r="Q4597" s="8">
        <f t="shared" si="7"/>
        <v>7.46</v>
      </c>
    </row>
    <row r="4598">
      <c r="A4598" s="1">
        <v>581498.0</v>
      </c>
      <c r="B4598" s="1" t="str">
        <f t="shared" si="1"/>
        <v>581498</v>
      </c>
      <c r="C4598" s="1" t="str">
        <f t="shared" si="2"/>
        <v>Sale</v>
      </c>
      <c r="D4598" s="1">
        <v>23493.0</v>
      </c>
      <c r="E4598" s="1" t="str">
        <f>IFERROR(__xludf.DUMMYFUNCTION("IF(LEN(D4598)&gt;4, IFERROR(REGEXEXTRACT(TO_TEXT(D4598),""\d+""),""""),"""")"),"23493")</f>
        <v>23493</v>
      </c>
      <c r="F4598" s="6" t="str">
        <f t="shared" si="3"/>
        <v>Product</v>
      </c>
      <c r="G4598" s="1" t="s">
        <v>1609</v>
      </c>
      <c r="H4598" s="6" t="str">
        <f>IFERROR(__xludf.DUMMYFUNCTION("IF(REGEXMATCH(LOWER(G4598), ""^(\?)+\s*(missing)?\s*(\?)*$""), """", PROPER(SUBSTITUTE(SUBSTITUTE(G4598, ""?"", """"), ""*"", """")))"),"Vintage Doily Travel Sewing Kit")</f>
        <v>Vintage Doily Travel Sewing Kit</v>
      </c>
      <c r="I4598" s="3">
        <v>1.0</v>
      </c>
      <c r="J4598" s="7">
        <v>40886.43472222222</v>
      </c>
      <c r="K4598" s="8" t="str">
        <f t="shared" si="4"/>
        <v>2011-12</v>
      </c>
      <c r="L4598" s="5">
        <v>3.29</v>
      </c>
      <c r="M4598" s="10"/>
      <c r="N4598" s="1" t="str">
        <f t="shared" si="5"/>
        <v>Guest</v>
      </c>
      <c r="O4598" s="1" t="s">
        <v>19</v>
      </c>
      <c r="P4598" s="9" t="str">
        <f t="shared" si="6"/>
        <v>UK</v>
      </c>
      <c r="Q4598" s="8">
        <f t="shared" si="7"/>
        <v>3.29</v>
      </c>
    </row>
    <row r="4599">
      <c r="A4599" s="1">
        <v>581498.0</v>
      </c>
      <c r="B4599" s="1" t="str">
        <f t="shared" si="1"/>
        <v>581498</v>
      </c>
      <c r="C4599" s="1" t="str">
        <f t="shared" si="2"/>
        <v>Sale</v>
      </c>
      <c r="D4599" s="1">
        <v>23494.0</v>
      </c>
      <c r="E4599" s="1" t="str">
        <f>IFERROR(__xludf.DUMMYFUNCTION("IF(LEN(D4599)&gt;4, IFERROR(REGEXEXTRACT(TO_TEXT(D4599),""\d+""),""""),"""")"),"23494")</f>
        <v>23494</v>
      </c>
      <c r="F4599" s="6" t="str">
        <f t="shared" si="3"/>
        <v>Product</v>
      </c>
      <c r="G4599" s="1" t="s">
        <v>1670</v>
      </c>
      <c r="H4599" s="6" t="str">
        <f>IFERROR(__xludf.DUMMYFUNCTION("IF(REGEXMATCH(LOWER(G4599), ""^(\?)+\s*(missing)?\s*(\?)*$""), """", PROPER(SUBSTITUTE(SUBSTITUTE(G4599, ""?"", """"), ""*"", """")))"),"Vintage Doily Deluxe Sewing Kit")</f>
        <v>Vintage Doily Deluxe Sewing Kit</v>
      </c>
      <c r="I4599" s="3">
        <v>1.0</v>
      </c>
      <c r="J4599" s="7">
        <v>40886.43472222222</v>
      </c>
      <c r="K4599" s="8" t="str">
        <f t="shared" si="4"/>
        <v>2011-12</v>
      </c>
      <c r="L4599" s="5">
        <v>12.46</v>
      </c>
      <c r="M4599" s="10"/>
      <c r="N4599" s="1" t="str">
        <f t="shared" si="5"/>
        <v>Guest</v>
      </c>
      <c r="O4599" s="1" t="s">
        <v>19</v>
      </c>
      <c r="P4599" s="9" t="str">
        <f t="shared" si="6"/>
        <v>UK</v>
      </c>
      <c r="Q4599" s="8">
        <f t="shared" si="7"/>
        <v>12.46</v>
      </c>
    </row>
    <row r="4600">
      <c r="A4600" s="1">
        <v>581498.0</v>
      </c>
      <c r="B4600" s="1" t="str">
        <f t="shared" si="1"/>
        <v>581498</v>
      </c>
      <c r="C4600" s="1" t="str">
        <f t="shared" si="2"/>
        <v>Sale</v>
      </c>
      <c r="D4600" s="1">
        <v>23497.0</v>
      </c>
      <c r="E4600" s="1" t="str">
        <f>IFERROR(__xludf.DUMMYFUNCTION("IF(LEN(D4600)&gt;4, IFERROR(REGEXEXTRACT(TO_TEXT(D4600),""\d+""),""""),"""")"),"23497")</f>
        <v>23497</v>
      </c>
      <c r="F4600" s="6" t="str">
        <f t="shared" si="3"/>
        <v>Product</v>
      </c>
      <c r="G4600" s="1" t="s">
        <v>1439</v>
      </c>
      <c r="H4600" s="6" t="str">
        <f>IFERROR(__xludf.DUMMYFUNCTION("IF(REGEXMATCH(LOWER(G4600), ""^(\?)+\s*(missing)?\s*(\?)*$""), """", PROPER(SUBSTITUTE(SUBSTITUTE(G4600, ""?"", """"), ""*"", """")))"),"Classic Chrome Bicycle Bell")</f>
        <v>Classic Chrome Bicycle Bell</v>
      </c>
      <c r="I4600" s="3">
        <v>1.0</v>
      </c>
      <c r="J4600" s="7">
        <v>40886.43472222222</v>
      </c>
      <c r="K4600" s="8" t="str">
        <f t="shared" si="4"/>
        <v>2011-12</v>
      </c>
      <c r="L4600" s="5">
        <v>3.29</v>
      </c>
      <c r="M4600" s="10"/>
      <c r="N4600" s="1" t="str">
        <f t="shared" si="5"/>
        <v>Guest</v>
      </c>
      <c r="O4600" s="1" t="s">
        <v>19</v>
      </c>
      <c r="P4600" s="9" t="str">
        <f t="shared" si="6"/>
        <v>UK</v>
      </c>
      <c r="Q4600" s="8">
        <f t="shared" si="7"/>
        <v>3.29</v>
      </c>
    </row>
    <row r="4601">
      <c r="A4601" s="1">
        <v>581498.0</v>
      </c>
      <c r="B4601" s="1" t="str">
        <f t="shared" si="1"/>
        <v>581498</v>
      </c>
      <c r="C4601" s="1" t="str">
        <f t="shared" si="2"/>
        <v>Sale</v>
      </c>
      <c r="D4601" s="1">
        <v>23501.0</v>
      </c>
      <c r="E4601" s="1" t="str">
        <f>IFERROR(__xludf.DUMMYFUNCTION("IF(LEN(D4601)&gt;4, IFERROR(REGEXEXTRACT(TO_TEXT(D4601),""\d+""),""""),"""")"),"23501")</f>
        <v>23501</v>
      </c>
      <c r="F4601" s="6" t="str">
        <f t="shared" si="3"/>
        <v>Product</v>
      </c>
      <c r="G4601" s="1" t="s">
        <v>1673</v>
      </c>
      <c r="H4601" s="6" t="str">
        <f>IFERROR(__xludf.DUMMYFUNCTION("IF(REGEXMATCH(LOWER(G4601), ""^(\?)+\s*(missing)?\s*(\?)*$""), """", PROPER(SUBSTITUTE(SUBSTITUTE(G4601, ""?"", """"), ""*"", """")))"),"Key Ring Baseball Boot Union Jack")</f>
        <v>Key Ring Baseball Boot Union Jack</v>
      </c>
      <c r="I4601" s="3">
        <v>1.0</v>
      </c>
      <c r="J4601" s="7">
        <v>40886.43472222222</v>
      </c>
      <c r="K4601" s="8" t="str">
        <f t="shared" si="4"/>
        <v>2011-12</v>
      </c>
      <c r="L4601" s="5">
        <v>2.46</v>
      </c>
      <c r="M4601" s="10"/>
      <c r="N4601" s="1" t="str">
        <f t="shared" si="5"/>
        <v>Guest</v>
      </c>
      <c r="O4601" s="1" t="s">
        <v>19</v>
      </c>
      <c r="P4601" s="9" t="str">
        <f t="shared" si="6"/>
        <v>UK</v>
      </c>
      <c r="Q4601" s="8">
        <f t="shared" si="7"/>
        <v>2.46</v>
      </c>
    </row>
    <row r="4602">
      <c r="A4602" s="1">
        <v>581498.0</v>
      </c>
      <c r="B4602" s="1" t="str">
        <f t="shared" si="1"/>
        <v>581498</v>
      </c>
      <c r="C4602" s="1" t="str">
        <f t="shared" si="2"/>
        <v>Sale</v>
      </c>
      <c r="D4602" s="1">
        <v>23564.0</v>
      </c>
      <c r="E4602" s="1" t="str">
        <f>IFERROR(__xludf.DUMMYFUNCTION("IF(LEN(D4602)&gt;4, IFERROR(REGEXEXTRACT(TO_TEXT(D4602),""\d+""),""""),"""")"),"23564")</f>
        <v>23564</v>
      </c>
      <c r="F4602" s="6" t="str">
        <f t="shared" si="3"/>
        <v>Product</v>
      </c>
      <c r="G4602" s="1" t="s">
        <v>1684</v>
      </c>
      <c r="H4602" s="6" t="str">
        <f>IFERROR(__xludf.DUMMYFUNCTION("IF(REGEXMATCH(LOWER(G4602), ""^(\?)+\s*(missing)?\s*(\?)*$""), """", PROPER(SUBSTITUTE(SUBSTITUTE(G4602, ""?"", """"), ""*"", """")))"),"Egg Cup Milkmaid Ingrid")</f>
        <v>Egg Cup Milkmaid Ingrid</v>
      </c>
      <c r="I4602" s="3">
        <v>1.0</v>
      </c>
      <c r="J4602" s="7">
        <v>40886.43472222222</v>
      </c>
      <c r="K4602" s="8" t="str">
        <f t="shared" si="4"/>
        <v>2011-12</v>
      </c>
      <c r="L4602" s="5">
        <v>2.46</v>
      </c>
      <c r="M4602" s="10"/>
      <c r="N4602" s="1" t="str">
        <f t="shared" si="5"/>
        <v>Guest</v>
      </c>
      <c r="O4602" s="1" t="s">
        <v>19</v>
      </c>
      <c r="P4602" s="9" t="str">
        <f t="shared" si="6"/>
        <v>UK</v>
      </c>
      <c r="Q4602" s="8">
        <f t="shared" si="7"/>
        <v>2.46</v>
      </c>
    </row>
    <row r="4603">
      <c r="A4603" s="1">
        <v>581498.0</v>
      </c>
      <c r="B4603" s="1" t="str">
        <f t="shared" si="1"/>
        <v>581498</v>
      </c>
      <c r="C4603" s="1" t="str">
        <f t="shared" si="2"/>
        <v>Sale</v>
      </c>
      <c r="D4603" s="1">
        <v>35970.0</v>
      </c>
      <c r="E4603" s="1" t="str">
        <f>IFERROR(__xludf.DUMMYFUNCTION("IF(LEN(D4603)&gt;4, IFERROR(REGEXEXTRACT(TO_TEXT(D4603),""\d+""),""""),"""")"),"35970")</f>
        <v>35970</v>
      </c>
      <c r="F4603" s="6" t="str">
        <f t="shared" si="3"/>
        <v>Product</v>
      </c>
      <c r="G4603" s="1" t="s">
        <v>1702</v>
      </c>
      <c r="H4603" s="6" t="str">
        <f>IFERROR(__xludf.DUMMYFUNCTION("IF(REGEXMATCH(LOWER(G4603), ""^(\?)+\s*(missing)?\s*(\?)*$""), """", PROPER(SUBSTITUTE(SUBSTITUTE(G4603, ""?"", """"), ""*"", """")))"),"Zinc Folkart Sleigh Bells")</f>
        <v>Zinc Folkart Sleigh Bells</v>
      </c>
      <c r="I4603" s="3">
        <v>6.0</v>
      </c>
      <c r="J4603" s="7">
        <v>40886.43472222222</v>
      </c>
      <c r="K4603" s="8" t="str">
        <f t="shared" si="4"/>
        <v>2011-12</v>
      </c>
      <c r="L4603" s="5">
        <v>4.13</v>
      </c>
      <c r="M4603" s="10"/>
      <c r="N4603" s="1" t="str">
        <f t="shared" si="5"/>
        <v>Guest</v>
      </c>
      <c r="O4603" s="1" t="s">
        <v>19</v>
      </c>
      <c r="P4603" s="9" t="str">
        <f t="shared" si="6"/>
        <v>UK</v>
      </c>
      <c r="Q4603" s="8">
        <f t="shared" si="7"/>
        <v>24.78</v>
      </c>
    </row>
    <row r="4604">
      <c r="A4604" s="1">
        <v>581498.0</v>
      </c>
      <c r="B4604" s="1" t="str">
        <f t="shared" si="1"/>
        <v>581498</v>
      </c>
      <c r="C4604" s="1" t="str">
        <f t="shared" si="2"/>
        <v>Sale</v>
      </c>
      <c r="D4604" s="1">
        <v>48138.0</v>
      </c>
      <c r="E4604" s="1" t="str">
        <f>IFERROR(__xludf.DUMMYFUNCTION("IF(LEN(D4604)&gt;4, IFERROR(REGEXEXTRACT(TO_TEXT(D4604),""\d+""),""""),"""")"),"48138")</f>
        <v>48138</v>
      </c>
      <c r="F4604" s="6" t="str">
        <f t="shared" si="3"/>
        <v>Product</v>
      </c>
      <c r="G4604" s="1" t="s">
        <v>1372</v>
      </c>
      <c r="H4604" s="6" t="str">
        <f>IFERROR(__xludf.DUMMYFUNCTION("IF(REGEXMATCH(LOWER(G4604), ""^(\?)+\s*(missing)?\s*(\?)*$""), """", PROPER(SUBSTITUTE(SUBSTITUTE(G4604, ""?"", """"), ""*"", """")))"),"Doormat Union Flag")</f>
        <v>Doormat Union Flag</v>
      </c>
      <c r="I4604" s="3">
        <v>1.0</v>
      </c>
      <c r="J4604" s="7">
        <v>40886.43472222222</v>
      </c>
      <c r="K4604" s="8" t="str">
        <f t="shared" si="4"/>
        <v>2011-12</v>
      </c>
      <c r="L4604" s="5">
        <v>14.13</v>
      </c>
      <c r="M4604" s="10"/>
      <c r="N4604" s="1" t="str">
        <f t="shared" si="5"/>
        <v>Guest</v>
      </c>
      <c r="O4604" s="1" t="s">
        <v>19</v>
      </c>
      <c r="P4604" s="9" t="str">
        <f t="shared" si="6"/>
        <v>UK</v>
      </c>
      <c r="Q4604" s="8">
        <f t="shared" si="7"/>
        <v>14.13</v>
      </c>
    </row>
    <row r="4605">
      <c r="A4605" s="1">
        <v>581498.0</v>
      </c>
      <c r="B4605" s="1" t="str">
        <f t="shared" si="1"/>
        <v>581498</v>
      </c>
      <c r="C4605" s="1" t="str">
        <f t="shared" si="2"/>
        <v>Sale</v>
      </c>
      <c r="D4605" s="1">
        <v>71053.0</v>
      </c>
      <c r="E4605" s="1" t="str">
        <f>IFERROR(__xludf.DUMMYFUNCTION("IF(LEN(D4605)&gt;4, IFERROR(REGEXEXTRACT(TO_TEXT(D4605),""\d+""),""""),"""")"),"71053")</f>
        <v>71053</v>
      </c>
      <c r="F4605" s="6" t="str">
        <f t="shared" si="3"/>
        <v>Product</v>
      </c>
      <c r="G4605" s="1" t="s">
        <v>2078</v>
      </c>
      <c r="H4605" s="6" t="str">
        <f>IFERROR(__xludf.DUMMYFUNCTION("IF(REGEXMATCH(LOWER(G4605), ""^(\?)+\s*(missing)?\s*(\?)*$""), """", PROPER(SUBSTITUTE(SUBSTITUTE(G4605, ""?"", """"), ""*"", """")))"),"White Moroccan Metal Lantern")</f>
        <v>White Moroccan Metal Lantern</v>
      </c>
      <c r="I4605" s="3">
        <v>1.0</v>
      </c>
      <c r="J4605" s="7">
        <v>40886.43472222222</v>
      </c>
      <c r="K4605" s="8" t="str">
        <f t="shared" si="4"/>
        <v>2011-12</v>
      </c>
      <c r="L4605" s="5">
        <v>8.29</v>
      </c>
      <c r="M4605" s="10"/>
      <c r="N4605" s="1" t="str">
        <f t="shared" si="5"/>
        <v>Guest</v>
      </c>
      <c r="O4605" s="1" t="s">
        <v>19</v>
      </c>
      <c r="P4605" s="9" t="str">
        <f t="shared" si="6"/>
        <v>UK</v>
      </c>
      <c r="Q4605" s="8">
        <f t="shared" si="7"/>
        <v>8.29</v>
      </c>
    </row>
    <row r="4606">
      <c r="A4606" s="1">
        <v>581498.0</v>
      </c>
      <c r="B4606" s="1" t="str">
        <f t="shared" si="1"/>
        <v>581498</v>
      </c>
      <c r="C4606" s="1" t="str">
        <f t="shared" si="2"/>
        <v>Sale</v>
      </c>
      <c r="D4606" s="1" t="s">
        <v>2079</v>
      </c>
      <c r="E4606" s="1" t="str">
        <f>IFERROR(__xludf.DUMMYFUNCTION("IF(LEN(D4606)&gt;4, IFERROR(REGEXEXTRACT(TO_TEXT(D4606),""\d+""),""""),"""")"),"72349")</f>
        <v>72349</v>
      </c>
      <c r="F4606" s="6" t="str">
        <f t="shared" si="3"/>
        <v>Product</v>
      </c>
      <c r="G4606" s="1" t="s">
        <v>1724</v>
      </c>
      <c r="H4606" s="6" t="str">
        <f>IFERROR(__xludf.DUMMYFUNCTION("IF(REGEXMATCH(LOWER(G4606), ""^(\?)+\s*(missing)?\s*(\?)*$""), """", PROPER(SUBSTITUTE(SUBSTITUTE(G4606, ""?"", """"), ""*"", """")))"),"Set/6 Purple Butterfly T-Lights")</f>
        <v>Set/6 Purple Butterfly T-Lights</v>
      </c>
      <c r="I4606" s="3">
        <v>2.0</v>
      </c>
      <c r="J4606" s="7">
        <v>40886.43472222222</v>
      </c>
      <c r="K4606" s="8" t="str">
        <f t="shared" si="4"/>
        <v>2011-12</v>
      </c>
      <c r="L4606" s="5">
        <v>4.13</v>
      </c>
      <c r="M4606" s="10"/>
      <c r="N4606" s="1" t="str">
        <f t="shared" si="5"/>
        <v>Guest</v>
      </c>
      <c r="O4606" s="1" t="s">
        <v>19</v>
      </c>
      <c r="P4606" s="9" t="str">
        <f t="shared" si="6"/>
        <v>UK</v>
      </c>
      <c r="Q4606" s="8">
        <f t="shared" si="7"/>
        <v>8.26</v>
      </c>
    </row>
    <row r="4607">
      <c r="A4607" s="1">
        <v>581498.0</v>
      </c>
      <c r="B4607" s="1" t="str">
        <f t="shared" si="1"/>
        <v>581498</v>
      </c>
      <c r="C4607" s="1" t="str">
        <f t="shared" si="2"/>
        <v>Sale</v>
      </c>
      <c r="D4607" s="1">
        <v>79321.0</v>
      </c>
      <c r="E4607" s="1" t="str">
        <f>IFERROR(__xludf.DUMMYFUNCTION("IF(LEN(D4607)&gt;4, IFERROR(REGEXEXTRACT(TO_TEXT(D4607),""\d+""),""""),"""")"),"79321")</f>
        <v>79321</v>
      </c>
      <c r="F4607" s="6" t="str">
        <f t="shared" si="3"/>
        <v>Product</v>
      </c>
      <c r="G4607" s="1" t="s">
        <v>183</v>
      </c>
      <c r="H4607" s="6" t="str">
        <f>IFERROR(__xludf.DUMMYFUNCTION("IF(REGEXMATCH(LOWER(G4607), ""^(\?)+\s*(missing)?\s*(\?)*$""), """", PROPER(SUBSTITUTE(SUBSTITUTE(G4607, ""?"", """"), ""*"", """")))"),"Chilli Lights")</f>
        <v>Chilli Lights</v>
      </c>
      <c r="I4607" s="3">
        <v>10.0</v>
      </c>
      <c r="J4607" s="7">
        <v>40886.43472222222</v>
      </c>
      <c r="K4607" s="8" t="str">
        <f t="shared" si="4"/>
        <v>2011-12</v>
      </c>
      <c r="L4607" s="5">
        <v>12.46</v>
      </c>
      <c r="M4607" s="10"/>
      <c r="N4607" s="1" t="str">
        <f t="shared" si="5"/>
        <v>Guest</v>
      </c>
      <c r="O4607" s="1" t="s">
        <v>19</v>
      </c>
      <c r="P4607" s="9" t="str">
        <f t="shared" si="6"/>
        <v>UK</v>
      </c>
      <c r="Q4607" s="8">
        <f t="shared" si="7"/>
        <v>124.6</v>
      </c>
    </row>
    <row r="4608">
      <c r="A4608" s="1">
        <v>581498.0</v>
      </c>
      <c r="B4608" s="1" t="str">
        <f t="shared" si="1"/>
        <v>581498</v>
      </c>
      <c r="C4608" s="1" t="str">
        <f t="shared" si="2"/>
        <v>Sale</v>
      </c>
      <c r="D4608" s="1" t="s">
        <v>2080</v>
      </c>
      <c r="E4608" s="1" t="str">
        <f>IFERROR(__xludf.DUMMYFUNCTION("IF(LEN(D4608)&gt;4, IFERROR(REGEXEXTRACT(TO_TEXT(D4608),""\d+""),""""),"""")"),"82001")</f>
        <v>82001</v>
      </c>
      <c r="F4608" s="6" t="str">
        <f t="shared" si="3"/>
        <v>Product</v>
      </c>
      <c r="G4608" s="1" t="s">
        <v>2081</v>
      </c>
      <c r="H4608" s="6" t="str">
        <f>IFERROR(__xludf.DUMMYFUNCTION("IF(REGEXMATCH(LOWER(G4608), ""^(\?)+\s*(missing)?\s*(\?)*$""), """", PROPER(SUBSTITUTE(SUBSTITUTE(G4608, ""?"", """"), ""*"", """")))"),"Silver Record Cover Frame")</f>
        <v>Silver Record Cover Frame</v>
      </c>
      <c r="I4608" s="3">
        <v>2.0</v>
      </c>
      <c r="J4608" s="7">
        <v>40886.43472222222</v>
      </c>
      <c r="K4608" s="8" t="str">
        <f t="shared" si="4"/>
        <v>2011-12</v>
      </c>
      <c r="L4608" s="5">
        <v>7.46</v>
      </c>
      <c r="M4608" s="10"/>
      <c r="N4608" s="1" t="str">
        <f t="shared" si="5"/>
        <v>Guest</v>
      </c>
      <c r="O4608" s="1" t="s">
        <v>19</v>
      </c>
      <c r="P4608" s="9" t="str">
        <f t="shared" si="6"/>
        <v>UK</v>
      </c>
      <c r="Q4608" s="8">
        <f t="shared" si="7"/>
        <v>14.92</v>
      </c>
    </row>
    <row r="4609">
      <c r="A4609" s="1">
        <v>581498.0</v>
      </c>
      <c r="B4609" s="1" t="str">
        <f t="shared" si="1"/>
        <v>581498</v>
      </c>
      <c r="C4609" s="1" t="str">
        <f t="shared" si="2"/>
        <v>Sale</v>
      </c>
      <c r="D4609" s="1">
        <v>82482.0</v>
      </c>
      <c r="E4609" s="1" t="str">
        <f>IFERROR(__xludf.DUMMYFUNCTION("IF(LEN(D4609)&gt;4, IFERROR(REGEXEXTRACT(TO_TEXT(D4609),""\d+""),""""),"""")"),"82482")</f>
        <v>82482</v>
      </c>
      <c r="F4609" s="6" t="str">
        <f t="shared" si="3"/>
        <v>Product</v>
      </c>
      <c r="G4609" s="1" t="s">
        <v>78</v>
      </c>
      <c r="H4609" s="6" t="str">
        <f>IFERROR(__xludf.DUMMYFUNCTION("IF(REGEXMATCH(LOWER(G4609), ""^(\?)+\s*(missing)?\s*(\?)*$""), """", PROPER(SUBSTITUTE(SUBSTITUTE(G4609, ""?"", """"), ""*"", """")))"),"Wooden Picture Frame White Finish")</f>
        <v>Wooden Picture Frame White Finish</v>
      </c>
      <c r="I4609" s="3">
        <v>4.0</v>
      </c>
      <c r="J4609" s="7">
        <v>40886.43472222222</v>
      </c>
      <c r="K4609" s="8" t="str">
        <f t="shared" si="4"/>
        <v>2011-12</v>
      </c>
      <c r="L4609" s="5">
        <v>4.96</v>
      </c>
      <c r="M4609" s="10"/>
      <c r="N4609" s="1" t="str">
        <f t="shared" si="5"/>
        <v>Guest</v>
      </c>
      <c r="O4609" s="1" t="s">
        <v>19</v>
      </c>
      <c r="P4609" s="9" t="str">
        <f t="shared" si="6"/>
        <v>UK</v>
      </c>
      <c r="Q4609" s="8">
        <f t="shared" si="7"/>
        <v>19.84</v>
      </c>
    </row>
    <row r="4610">
      <c r="A4610" s="1">
        <v>581498.0</v>
      </c>
      <c r="B4610" s="1" t="str">
        <f t="shared" si="1"/>
        <v>581498</v>
      </c>
      <c r="C4610" s="1" t="str">
        <f t="shared" si="2"/>
        <v>Sale</v>
      </c>
      <c r="D4610" s="1">
        <v>82552.0</v>
      </c>
      <c r="E4610" s="1" t="str">
        <f>IFERROR(__xludf.DUMMYFUNCTION("IF(LEN(D4610)&gt;4, IFERROR(REGEXEXTRACT(TO_TEXT(D4610),""\d+""),""""),"""")"),"82552")</f>
        <v>82552</v>
      </c>
      <c r="F4610" s="6" t="str">
        <f t="shared" si="3"/>
        <v>Product</v>
      </c>
      <c r="G4610" s="1" t="s">
        <v>559</v>
      </c>
      <c r="H4610" s="6" t="str">
        <f>IFERROR(__xludf.DUMMYFUNCTION("IF(REGEXMATCH(LOWER(G4610), ""^(\?)+\s*(missing)?\s*(\?)*$""), """", PROPER(SUBSTITUTE(SUBSTITUTE(G4610, ""?"", """"), ""*"", """")))"),"Washroom Metal Sign")</f>
        <v>Washroom Metal Sign</v>
      </c>
      <c r="I4610" s="3">
        <v>1.0</v>
      </c>
      <c r="J4610" s="7">
        <v>40886.43472222222</v>
      </c>
      <c r="K4610" s="8" t="str">
        <f t="shared" si="4"/>
        <v>2011-12</v>
      </c>
      <c r="L4610" s="5">
        <v>2.46</v>
      </c>
      <c r="M4610" s="10"/>
      <c r="N4610" s="1" t="str">
        <f t="shared" si="5"/>
        <v>Guest</v>
      </c>
      <c r="O4610" s="1" t="s">
        <v>19</v>
      </c>
      <c r="P4610" s="9" t="str">
        <f t="shared" si="6"/>
        <v>UK</v>
      </c>
      <c r="Q4610" s="8">
        <f t="shared" si="7"/>
        <v>2.46</v>
      </c>
    </row>
    <row r="4611">
      <c r="A4611" s="1">
        <v>581498.0</v>
      </c>
      <c r="B4611" s="1" t="str">
        <f t="shared" si="1"/>
        <v>581498</v>
      </c>
      <c r="C4611" s="1" t="str">
        <f t="shared" si="2"/>
        <v>Sale</v>
      </c>
      <c r="D4611" s="1">
        <v>82580.0</v>
      </c>
      <c r="E4611" s="1" t="str">
        <f>IFERROR(__xludf.DUMMYFUNCTION("IF(LEN(D4611)&gt;4, IFERROR(REGEXEXTRACT(TO_TEXT(D4611),""\d+""),""""),"""")"),"82580")</f>
        <v>82580</v>
      </c>
      <c r="F4611" s="6" t="str">
        <f t="shared" si="3"/>
        <v>Product</v>
      </c>
      <c r="G4611" s="1" t="s">
        <v>296</v>
      </c>
      <c r="H4611" s="6" t="str">
        <f>IFERROR(__xludf.DUMMYFUNCTION("IF(REGEXMATCH(LOWER(G4611), ""^(\?)+\s*(missing)?\s*(\?)*$""), """", PROPER(SUBSTITUTE(SUBSTITUTE(G4611, ""?"", """"), ""*"", """")))"),"Bathroom Metal Sign")</f>
        <v>Bathroom Metal Sign</v>
      </c>
      <c r="I4611" s="3">
        <v>1.0</v>
      </c>
      <c r="J4611" s="7">
        <v>40886.43472222222</v>
      </c>
      <c r="K4611" s="8" t="str">
        <f t="shared" si="4"/>
        <v>2011-12</v>
      </c>
      <c r="L4611" s="5">
        <v>1.25</v>
      </c>
      <c r="M4611" s="10"/>
      <c r="N4611" s="1" t="str">
        <f t="shared" si="5"/>
        <v>Guest</v>
      </c>
      <c r="O4611" s="1" t="s">
        <v>19</v>
      </c>
      <c r="P4611" s="9" t="str">
        <f t="shared" si="6"/>
        <v>UK</v>
      </c>
      <c r="Q4611" s="8">
        <f t="shared" si="7"/>
        <v>1.25</v>
      </c>
    </row>
    <row r="4612">
      <c r="A4612" s="1">
        <v>581498.0</v>
      </c>
      <c r="B4612" s="1" t="str">
        <f t="shared" si="1"/>
        <v>581498</v>
      </c>
      <c r="C4612" s="1" t="str">
        <f t="shared" si="2"/>
        <v>Sale</v>
      </c>
      <c r="D4612" s="1">
        <v>82581.0</v>
      </c>
      <c r="E4612" s="1" t="str">
        <f>IFERROR(__xludf.DUMMYFUNCTION("IF(LEN(D4612)&gt;4, IFERROR(REGEXEXTRACT(TO_TEXT(D4612),""\d+""),""""),"""")"),"82581")</f>
        <v>82581</v>
      </c>
      <c r="F4612" s="6" t="str">
        <f t="shared" si="3"/>
        <v>Product</v>
      </c>
      <c r="G4612" s="1" t="s">
        <v>298</v>
      </c>
      <c r="H4612" s="6" t="str">
        <f>IFERROR(__xludf.DUMMYFUNCTION("IF(REGEXMATCH(LOWER(G4612), ""^(\?)+\s*(missing)?\s*(\?)*$""), """", PROPER(SUBSTITUTE(SUBSTITUTE(G4612, ""?"", """"), ""*"", """")))"),"Toilet Metal Sign")</f>
        <v>Toilet Metal Sign</v>
      </c>
      <c r="I4612" s="3">
        <v>1.0</v>
      </c>
      <c r="J4612" s="7">
        <v>40886.43472222222</v>
      </c>
      <c r="K4612" s="8" t="str">
        <f t="shared" si="4"/>
        <v>2011-12</v>
      </c>
      <c r="L4612" s="5">
        <v>1.25</v>
      </c>
      <c r="M4612" s="10"/>
      <c r="N4612" s="1" t="str">
        <f t="shared" si="5"/>
        <v>Guest</v>
      </c>
      <c r="O4612" s="1" t="s">
        <v>19</v>
      </c>
      <c r="P4612" s="9" t="str">
        <f t="shared" si="6"/>
        <v>UK</v>
      </c>
      <c r="Q4612" s="8">
        <f t="shared" si="7"/>
        <v>1.25</v>
      </c>
    </row>
    <row r="4613">
      <c r="A4613" s="1">
        <v>581498.0</v>
      </c>
      <c r="B4613" s="1" t="str">
        <f t="shared" si="1"/>
        <v>581498</v>
      </c>
      <c r="C4613" s="1" t="str">
        <f t="shared" si="2"/>
        <v>Sale</v>
      </c>
      <c r="D4613" s="1">
        <v>82600.0</v>
      </c>
      <c r="E4613" s="1" t="str">
        <f>IFERROR(__xludf.DUMMYFUNCTION("IF(LEN(D4613)&gt;4, IFERROR(REGEXEXTRACT(TO_TEXT(D4613),""\d+""),""""),"""")"),"82600")</f>
        <v>82600</v>
      </c>
      <c r="F4613" s="6" t="str">
        <f t="shared" si="3"/>
        <v>Product</v>
      </c>
      <c r="G4613" s="1" t="s">
        <v>1562</v>
      </c>
      <c r="H4613" s="6" t="str">
        <f>IFERROR(__xludf.DUMMYFUNCTION("IF(REGEXMATCH(LOWER(G4613), ""^(\?)+\s*(missing)?\s*(\?)*$""), """", PROPER(SUBSTITUTE(SUBSTITUTE(G4613, ""?"", """"), ""*"", """")))"),"N0 Singing Metal Sign")</f>
        <v>N0 Singing Metal Sign</v>
      </c>
      <c r="I4613" s="3">
        <v>4.0</v>
      </c>
      <c r="J4613" s="7">
        <v>40886.43472222222</v>
      </c>
      <c r="K4613" s="8" t="str">
        <f t="shared" si="4"/>
        <v>2011-12</v>
      </c>
      <c r="L4613" s="5">
        <v>4.13</v>
      </c>
      <c r="M4613" s="10"/>
      <c r="N4613" s="1" t="str">
        <f t="shared" si="5"/>
        <v>Guest</v>
      </c>
      <c r="O4613" s="1" t="s">
        <v>19</v>
      </c>
      <c r="P4613" s="9" t="str">
        <f t="shared" si="6"/>
        <v>UK</v>
      </c>
      <c r="Q4613" s="8">
        <f t="shared" si="7"/>
        <v>16.52</v>
      </c>
    </row>
    <row r="4614">
      <c r="A4614" s="1">
        <v>581498.0</v>
      </c>
      <c r="B4614" s="1" t="str">
        <f t="shared" si="1"/>
        <v>581498</v>
      </c>
      <c r="C4614" s="1" t="str">
        <f t="shared" si="2"/>
        <v>Sale</v>
      </c>
      <c r="D4614" s="1" t="s">
        <v>25</v>
      </c>
      <c r="E4614" s="1" t="str">
        <f>IFERROR(__xludf.DUMMYFUNCTION("IF(LEN(D4614)&gt;4, IFERROR(REGEXEXTRACT(TO_TEXT(D4614),""\d+""),""""),"""")"),"84029")</f>
        <v>84029</v>
      </c>
      <c r="F4614" s="6" t="str">
        <f t="shared" si="3"/>
        <v>Product</v>
      </c>
      <c r="G4614" s="1" t="s">
        <v>26</v>
      </c>
      <c r="H4614" s="6" t="str">
        <f>IFERROR(__xludf.DUMMYFUNCTION("IF(REGEXMATCH(LOWER(G4614), ""^(\?)+\s*(missing)?\s*(\?)*$""), """", PROPER(SUBSTITUTE(SUBSTITUTE(G4614, ""?"", """"), ""*"", """")))"),"Red Woolly Hottie White Heart.")</f>
        <v>Red Woolly Hottie White Heart.</v>
      </c>
      <c r="I4614" s="3">
        <v>4.0</v>
      </c>
      <c r="J4614" s="7">
        <v>40886.43472222222</v>
      </c>
      <c r="K4614" s="8" t="str">
        <f t="shared" si="4"/>
        <v>2011-12</v>
      </c>
      <c r="L4614" s="5">
        <v>8.29</v>
      </c>
      <c r="M4614" s="10"/>
      <c r="N4614" s="1" t="str">
        <f t="shared" si="5"/>
        <v>Guest</v>
      </c>
      <c r="O4614" s="1" t="s">
        <v>19</v>
      </c>
      <c r="P4614" s="9" t="str">
        <f t="shared" si="6"/>
        <v>UK</v>
      </c>
      <c r="Q4614" s="8">
        <f t="shared" si="7"/>
        <v>33.16</v>
      </c>
    </row>
    <row r="4615">
      <c r="A4615" s="1">
        <v>581498.0</v>
      </c>
      <c r="B4615" s="1" t="str">
        <f t="shared" si="1"/>
        <v>581498</v>
      </c>
      <c r="C4615" s="1" t="str">
        <f t="shared" si="2"/>
        <v>Sale</v>
      </c>
      <c r="D4615" s="1" t="s">
        <v>2082</v>
      </c>
      <c r="E4615" s="1" t="str">
        <f>IFERROR(__xludf.DUMMYFUNCTION("IF(LEN(D4615)&gt;4, IFERROR(REGEXEXTRACT(TO_TEXT(D4615),""\d+""),""""),"""")"),"84032")</f>
        <v>84032</v>
      </c>
      <c r="F4615" s="6" t="str">
        <f t="shared" si="3"/>
        <v>Product</v>
      </c>
      <c r="G4615" s="1" t="s">
        <v>2083</v>
      </c>
      <c r="H4615" s="6" t="str">
        <f>IFERROR(__xludf.DUMMYFUNCTION("IF(REGEXMATCH(LOWER(G4615), ""^(\?)+\s*(missing)?\s*(\?)*$""), """", PROPER(SUBSTITUTE(SUBSTITUTE(G4615, ""?"", """"), ""*"", """")))"),"Charlie+Lola Pink Hot Water Bottle")</f>
        <v>Charlie+Lola Pink Hot Water Bottle</v>
      </c>
      <c r="I4615" s="3">
        <v>4.0</v>
      </c>
      <c r="J4615" s="7">
        <v>40886.43472222222</v>
      </c>
      <c r="K4615" s="8" t="str">
        <f t="shared" si="4"/>
        <v>2011-12</v>
      </c>
      <c r="L4615" s="5">
        <v>5.79</v>
      </c>
      <c r="M4615" s="10"/>
      <c r="N4615" s="1" t="str">
        <f t="shared" si="5"/>
        <v>Guest</v>
      </c>
      <c r="O4615" s="1" t="s">
        <v>19</v>
      </c>
      <c r="P4615" s="9" t="str">
        <f t="shared" si="6"/>
        <v>UK</v>
      </c>
      <c r="Q4615" s="8">
        <f t="shared" si="7"/>
        <v>23.16</v>
      </c>
    </row>
    <row r="4616">
      <c r="A4616" s="1">
        <v>581498.0</v>
      </c>
      <c r="B4616" s="1" t="str">
        <f t="shared" si="1"/>
        <v>581498</v>
      </c>
      <c r="C4616" s="1" t="str">
        <f t="shared" si="2"/>
        <v>Sale</v>
      </c>
      <c r="D4616" s="1" t="s">
        <v>503</v>
      </c>
      <c r="E4616" s="1" t="str">
        <f>IFERROR(__xludf.DUMMYFUNCTION("IF(LEN(D4616)&gt;4, IFERROR(REGEXEXTRACT(TO_TEXT(D4616),""\d+""),""""),"""")"),"84032")</f>
        <v>84032</v>
      </c>
      <c r="F4616" s="6" t="str">
        <f t="shared" si="3"/>
        <v>Product</v>
      </c>
      <c r="G4616" s="1" t="s">
        <v>504</v>
      </c>
      <c r="H4616" s="6" t="str">
        <f>IFERROR(__xludf.DUMMYFUNCTION("IF(REGEXMATCH(LOWER(G4616), ""^(\?)+\s*(missing)?\s*(\?)*$""), """", PROPER(SUBSTITUTE(SUBSTITUTE(G4616, ""?"", """"), ""*"", """")))"),"Charlie + Lola Red Hot Water Bottle")</f>
        <v>Charlie + Lola Red Hot Water Bottle</v>
      </c>
      <c r="I4616" s="3">
        <v>3.0</v>
      </c>
      <c r="J4616" s="7">
        <v>40886.43472222222</v>
      </c>
      <c r="K4616" s="8" t="str">
        <f t="shared" si="4"/>
        <v>2011-12</v>
      </c>
      <c r="L4616" s="5">
        <v>3.29</v>
      </c>
      <c r="M4616" s="10"/>
      <c r="N4616" s="1" t="str">
        <f t="shared" si="5"/>
        <v>Guest</v>
      </c>
      <c r="O4616" s="1" t="s">
        <v>19</v>
      </c>
      <c r="P4616" s="9" t="str">
        <f t="shared" si="6"/>
        <v>UK</v>
      </c>
      <c r="Q4616" s="8">
        <f t="shared" si="7"/>
        <v>9.87</v>
      </c>
    </row>
    <row r="4617">
      <c r="A4617" s="1">
        <v>581498.0</v>
      </c>
      <c r="B4617" s="1" t="str">
        <f t="shared" si="1"/>
        <v>581498</v>
      </c>
      <c r="C4617" s="1" t="str">
        <f t="shared" si="2"/>
        <v>Sale</v>
      </c>
      <c r="D4617" s="1">
        <v>84375.0</v>
      </c>
      <c r="E4617" s="1" t="str">
        <f>IFERROR(__xludf.DUMMYFUNCTION("IF(LEN(D4617)&gt;4, IFERROR(REGEXEXTRACT(TO_TEXT(D4617),""\d+""),""""),"""")"),"84375")</f>
        <v>84375</v>
      </c>
      <c r="F4617" s="6" t="str">
        <f t="shared" si="3"/>
        <v>Product</v>
      </c>
      <c r="G4617" s="1" t="s">
        <v>367</v>
      </c>
      <c r="H4617" s="6" t="str">
        <f>IFERROR(__xludf.DUMMYFUNCTION("IF(REGEXMATCH(LOWER(G4617), ""^(\?)+\s*(missing)?\s*(\?)*$""), """", PROPER(SUBSTITUTE(SUBSTITUTE(G4617, ""?"", """"), ""*"", """")))"),"Set Of 20 Kids Cookie Cutters")</f>
        <v>Set Of 20 Kids Cookie Cutters</v>
      </c>
      <c r="I4617" s="3">
        <v>3.0</v>
      </c>
      <c r="J4617" s="7">
        <v>40886.43472222222</v>
      </c>
      <c r="K4617" s="8" t="str">
        <f t="shared" si="4"/>
        <v>2011-12</v>
      </c>
      <c r="L4617" s="5">
        <v>4.13</v>
      </c>
      <c r="M4617" s="10"/>
      <c r="N4617" s="1" t="str">
        <f t="shared" si="5"/>
        <v>Guest</v>
      </c>
      <c r="O4617" s="1" t="s">
        <v>19</v>
      </c>
      <c r="P4617" s="9" t="str">
        <f t="shared" si="6"/>
        <v>UK</v>
      </c>
      <c r="Q4617" s="8">
        <f t="shared" si="7"/>
        <v>12.39</v>
      </c>
    </row>
    <row r="4618">
      <c r="A4618" s="1">
        <v>581498.0</v>
      </c>
      <c r="B4618" s="1" t="str">
        <f t="shared" si="1"/>
        <v>581498</v>
      </c>
      <c r="C4618" s="1" t="str">
        <f t="shared" si="2"/>
        <v>Sale</v>
      </c>
      <c r="D4618" s="1" t="s">
        <v>2084</v>
      </c>
      <c r="E4618" s="1" t="str">
        <f>IFERROR(__xludf.DUMMYFUNCTION("IF(LEN(D4618)&gt;4, IFERROR(REGEXEXTRACT(TO_TEXT(D4618),""\d+""),""""),"""")"),"84509")</f>
        <v>84509</v>
      </c>
      <c r="F4618" s="6" t="str">
        <f t="shared" si="3"/>
        <v>Product</v>
      </c>
      <c r="G4618" s="1" t="s">
        <v>285</v>
      </c>
      <c r="H4618" s="6" t="str">
        <f>IFERROR(__xludf.DUMMYFUNCTION("IF(REGEXMATCH(LOWER(G4618), ""^(\?)+\s*(missing)?\s*(\?)*$""), """", PROPER(SUBSTITUTE(SUBSTITUTE(G4618, ""?"", """"), ""*"", """")))"),"Set Of 4 English Rose Placemats")</f>
        <v>Set Of 4 English Rose Placemats</v>
      </c>
      <c r="I4618" s="3">
        <v>1.0</v>
      </c>
      <c r="J4618" s="7">
        <v>40886.43472222222</v>
      </c>
      <c r="K4618" s="8" t="str">
        <f t="shared" si="4"/>
        <v>2011-12</v>
      </c>
      <c r="L4618" s="5">
        <v>7.46</v>
      </c>
      <c r="M4618" s="10"/>
      <c r="N4618" s="1" t="str">
        <f t="shared" si="5"/>
        <v>Guest</v>
      </c>
      <c r="O4618" s="1" t="s">
        <v>19</v>
      </c>
      <c r="P4618" s="9" t="str">
        <f t="shared" si="6"/>
        <v>UK</v>
      </c>
      <c r="Q4618" s="8">
        <f t="shared" si="7"/>
        <v>7.46</v>
      </c>
    </row>
    <row r="4619">
      <c r="A4619" s="1">
        <v>581498.0</v>
      </c>
      <c r="B4619" s="1" t="str">
        <f t="shared" si="1"/>
        <v>581498</v>
      </c>
      <c r="C4619" s="1" t="str">
        <f t="shared" si="2"/>
        <v>Sale</v>
      </c>
      <c r="D4619" s="1" t="s">
        <v>2085</v>
      </c>
      <c r="E4619" s="1" t="str">
        <f>IFERROR(__xludf.DUMMYFUNCTION("IF(LEN(D4619)&gt;4, IFERROR(REGEXEXTRACT(TO_TEXT(D4619),""\d+""),""""),"""")"),"84558")</f>
        <v>84558</v>
      </c>
      <c r="F4619" s="6" t="str">
        <f t="shared" si="3"/>
        <v>Product</v>
      </c>
      <c r="G4619" s="1" t="s">
        <v>624</v>
      </c>
      <c r="H4619" s="6" t="str">
        <f>IFERROR(__xludf.DUMMYFUNCTION("IF(REGEXMATCH(LOWER(G4619), ""^(\?)+\s*(missing)?\s*(\?)*$""), """", PROPER(SUBSTITUTE(SUBSTITUTE(G4619, ""?"", """"), ""*"", """")))"),"3D Dog Picture Playing Cards")</f>
        <v>3D Dog Picture Playing Cards</v>
      </c>
      <c r="I4619" s="3">
        <v>1.0</v>
      </c>
      <c r="J4619" s="7">
        <v>40886.43472222222</v>
      </c>
      <c r="K4619" s="8" t="str">
        <f t="shared" si="4"/>
        <v>2011-12</v>
      </c>
      <c r="L4619" s="5">
        <v>5.79</v>
      </c>
      <c r="M4619" s="10"/>
      <c r="N4619" s="1" t="str">
        <f t="shared" si="5"/>
        <v>Guest</v>
      </c>
      <c r="O4619" s="1" t="s">
        <v>19</v>
      </c>
      <c r="P4619" s="9" t="str">
        <f t="shared" si="6"/>
        <v>UK</v>
      </c>
      <c r="Q4619" s="8">
        <f t="shared" si="7"/>
        <v>5.79</v>
      </c>
    </row>
    <row r="4620">
      <c r="A4620" s="1">
        <v>581498.0</v>
      </c>
      <c r="B4620" s="1" t="str">
        <f t="shared" si="1"/>
        <v>581498</v>
      </c>
      <c r="C4620" s="1" t="str">
        <f t="shared" si="2"/>
        <v>Sale</v>
      </c>
      <c r="D4620" s="1">
        <v>84832.0</v>
      </c>
      <c r="E4620" s="1" t="str">
        <f>IFERROR(__xludf.DUMMYFUNCTION("IF(LEN(D4620)&gt;4, IFERROR(REGEXEXTRACT(TO_TEXT(D4620),""\d+""),""""),"""")"),"84832")</f>
        <v>84832</v>
      </c>
      <c r="F4620" s="6" t="str">
        <f t="shared" si="3"/>
        <v>Product</v>
      </c>
      <c r="G4620" s="1" t="s">
        <v>133</v>
      </c>
      <c r="H4620" s="6" t="str">
        <f>IFERROR(__xludf.DUMMYFUNCTION("IF(REGEXMATCH(LOWER(G4620), ""^(\?)+\s*(missing)?\s*(\?)*$""), """", PROPER(SUBSTITUTE(SUBSTITUTE(G4620, ""?"", """"), ""*"", """")))"),"Zinc Willie Winkie Candle Stick")</f>
        <v>Zinc Willie Winkie Candle Stick</v>
      </c>
      <c r="I4620" s="3">
        <v>26.0</v>
      </c>
      <c r="J4620" s="7">
        <v>40886.43472222222</v>
      </c>
      <c r="K4620" s="8" t="str">
        <f t="shared" si="4"/>
        <v>2011-12</v>
      </c>
      <c r="L4620" s="5">
        <v>1.63</v>
      </c>
      <c r="M4620" s="10"/>
      <c r="N4620" s="1" t="str">
        <f t="shared" si="5"/>
        <v>Guest</v>
      </c>
      <c r="O4620" s="1" t="s">
        <v>19</v>
      </c>
      <c r="P4620" s="9" t="str">
        <f t="shared" si="6"/>
        <v>UK</v>
      </c>
      <c r="Q4620" s="8">
        <f t="shared" si="7"/>
        <v>42.38</v>
      </c>
    </row>
    <row r="4621">
      <c r="A4621" s="1">
        <v>581498.0</v>
      </c>
      <c r="B4621" s="1" t="str">
        <f t="shared" si="1"/>
        <v>581498</v>
      </c>
      <c r="C4621" s="1" t="str">
        <f t="shared" si="2"/>
        <v>Sale</v>
      </c>
      <c r="D4621" s="1" t="s">
        <v>2086</v>
      </c>
      <c r="E4621" s="1" t="str">
        <f>IFERROR(__xludf.DUMMYFUNCTION("IF(LEN(D4621)&gt;4, IFERROR(REGEXEXTRACT(TO_TEXT(D4621),""\d+""),""""),"""")"),"84968")</f>
        <v>84968</v>
      </c>
      <c r="F4621" s="6" t="str">
        <f t="shared" si="3"/>
        <v>Product</v>
      </c>
      <c r="G4621" s="1" t="s">
        <v>2087</v>
      </c>
      <c r="H4621" s="6" t="str">
        <f>IFERROR(__xludf.DUMMYFUNCTION("IF(REGEXMATCH(LOWER(G4621), ""^(\?)+\s*(missing)?\s*(\?)*$""), """", PROPER(SUBSTITUTE(SUBSTITUTE(G4621, ""?"", """"), ""*"", """")))"),"Set Of 16 Vintage Black Cutlery")</f>
        <v>Set Of 16 Vintage Black Cutlery</v>
      </c>
      <c r="I4621" s="3">
        <v>1.0</v>
      </c>
      <c r="J4621" s="7">
        <v>40886.43472222222</v>
      </c>
      <c r="K4621" s="8" t="str">
        <f t="shared" si="4"/>
        <v>2011-12</v>
      </c>
      <c r="L4621" s="5">
        <v>24.96</v>
      </c>
      <c r="M4621" s="10"/>
      <c r="N4621" s="1" t="str">
        <f t="shared" si="5"/>
        <v>Guest</v>
      </c>
      <c r="O4621" s="1" t="s">
        <v>19</v>
      </c>
      <c r="P4621" s="9" t="str">
        <f t="shared" si="6"/>
        <v>UK</v>
      </c>
      <c r="Q4621" s="8">
        <f t="shared" si="7"/>
        <v>24.96</v>
      </c>
    </row>
    <row r="4622">
      <c r="A4622" s="1">
        <v>581498.0</v>
      </c>
      <c r="B4622" s="1" t="str">
        <f t="shared" si="1"/>
        <v>581498</v>
      </c>
      <c r="C4622" s="1" t="str">
        <f t="shared" si="2"/>
        <v>Sale</v>
      </c>
      <c r="D4622" s="1" t="s">
        <v>2088</v>
      </c>
      <c r="E4622" s="1" t="str">
        <f>IFERROR(__xludf.DUMMYFUNCTION("IF(LEN(D4622)&gt;4, IFERROR(REGEXEXTRACT(TO_TEXT(D4622),""\d+""),""""),"""")"),"84970")</f>
        <v>84970</v>
      </c>
      <c r="F4622" s="6" t="str">
        <f t="shared" si="3"/>
        <v>Product</v>
      </c>
      <c r="G4622" s="1" t="s">
        <v>214</v>
      </c>
      <c r="H4622" s="6" t="str">
        <f>IFERROR(__xludf.DUMMYFUNCTION("IF(REGEXMATCH(LOWER(G4622), ""^(\?)+\s*(missing)?\s*(\?)*$""), """", PROPER(SUBSTITUTE(SUBSTITUTE(G4622, ""?"", """"), ""*"", """")))"),"Hanging Heart Zinc T-Light Holder")</f>
        <v>Hanging Heart Zinc T-Light Holder</v>
      </c>
      <c r="I4622" s="3">
        <v>1.0</v>
      </c>
      <c r="J4622" s="7">
        <v>40886.43472222222</v>
      </c>
      <c r="K4622" s="8" t="str">
        <f t="shared" si="4"/>
        <v>2011-12</v>
      </c>
      <c r="L4622" s="5">
        <v>2.08</v>
      </c>
      <c r="M4622" s="10"/>
      <c r="N4622" s="1" t="str">
        <f t="shared" si="5"/>
        <v>Guest</v>
      </c>
      <c r="O4622" s="1" t="s">
        <v>19</v>
      </c>
      <c r="P4622" s="9" t="str">
        <f t="shared" si="6"/>
        <v>UK</v>
      </c>
      <c r="Q4622" s="8">
        <f t="shared" si="7"/>
        <v>2.08</v>
      </c>
    </row>
    <row r="4623">
      <c r="A4623" s="1">
        <v>581498.0</v>
      </c>
      <c r="B4623" s="1" t="str">
        <f t="shared" si="1"/>
        <v>581498</v>
      </c>
      <c r="C4623" s="1" t="str">
        <f t="shared" si="2"/>
        <v>Sale</v>
      </c>
      <c r="D4623" s="1" t="s">
        <v>2089</v>
      </c>
      <c r="E4623" s="1" t="str">
        <f>IFERROR(__xludf.DUMMYFUNCTION("IF(LEN(D4623)&gt;4, IFERROR(REGEXEXTRACT(TO_TEXT(D4623),""\d+""),""""),"""")"),"84997")</f>
        <v>84997</v>
      </c>
      <c r="F4623" s="6" t="str">
        <f t="shared" si="3"/>
        <v>Product</v>
      </c>
      <c r="G4623" s="1" t="s">
        <v>1316</v>
      </c>
      <c r="H4623" s="6" t="str">
        <f>IFERROR(__xludf.DUMMYFUNCTION("IF(REGEXMATCH(LOWER(G4623), ""^(\?)+\s*(missing)?\s*(\?)*$""), """", PROPER(SUBSTITUTE(SUBSTITUTE(G4623, ""?"", """"), ""*"", """")))"),"Childrens Cutlery Polkadot Green")</f>
        <v>Childrens Cutlery Polkadot Green</v>
      </c>
      <c r="I4623" s="3">
        <v>2.0</v>
      </c>
      <c r="J4623" s="7">
        <v>40886.43472222222</v>
      </c>
      <c r="K4623" s="8" t="str">
        <f t="shared" si="4"/>
        <v>2011-12</v>
      </c>
      <c r="L4623" s="5">
        <v>8.29</v>
      </c>
      <c r="M4623" s="10"/>
      <c r="N4623" s="1" t="str">
        <f t="shared" si="5"/>
        <v>Guest</v>
      </c>
      <c r="O4623" s="1" t="s">
        <v>19</v>
      </c>
      <c r="P4623" s="9" t="str">
        <f t="shared" si="6"/>
        <v>UK</v>
      </c>
      <c r="Q4623" s="8">
        <f t="shared" si="7"/>
        <v>16.58</v>
      </c>
    </row>
    <row r="4624">
      <c r="A4624" s="1">
        <v>581498.0</v>
      </c>
      <c r="B4624" s="1" t="str">
        <f t="shared" si="1"/>
        <v>581498</v>
      </c>
      <c r="C4624" s="1" t="str">
        <f t="shared" si="2"/>
        <v>Sale</v>
      </c>
      <c r="D4624" s="1" t="s">
        <v>2090</v>
      </c>
      <c r="E4624" s="1" t="str">
        <f>IFERROR(__xludf.DUMMYFUNCTION("IF(LEN(D4624)&gt;4, IFERROR(REGEXEXTRACT(TO_TEXT(D4624),""\d+""),""""),"""")"),"84997")</f>
        <v>84997</v>
      </c>
      <c r="F4624" s="6" t="str">
        <f t="shared" si="3"/>
        <v>Product</v>
      </c>
      <c r="G4624" s="1" t="s">
        <v>1317</v>
      </c>
      <c r="H4624" s="6" t="str">
        <f>IFERROR(__xludf.DUMMYFUNCTION("IF(REGEXMATCH(LOWER(G4624), ""^(\?)+\s*(missing)?\s*(\?)*$""), """", PROPER(SUBSTITUTE(SUBSTITUTE(G4624, ""?"", """"), ""*"", """")))"),"Childrens Cutlery Retrospot Red")</f>
        <v>Childrens Cutlery Retrospot Red</v>
      </c>
      <c r="I4624" s="3">
        <v>3.0</v>
      </c>
      <c r="J4624" s="7">
        <v>40886.43472222222</v>
      </c>
      <c r="K4624" s="8" t="str">
        <f t="shared" si="4"/>
        <v>2011-12</v>
      </c>
      <c r="L4624" s="5">
        <v>8.29</v>
      </c>
      <c r="M4624" s="10"/>
      <c r="N4624" s="1" t="str">
        <f t="shared" si="5"/>
        <v>Guest</v>
      </c>
      <c r="O4624" s="1" t="s">
        <v>19</v>
      </c>
      <c r="P4624" s="9" t="str">
        <f t="shared" si="6"/>
        <v>UK</v>
      </c>
      <c r="Q4624" s="8">
        <f t="shared" si="7"/>
        <v>24.87</v>
      </c>
    </row>
    <row r="4625">
      <c r="A4625" s="1">
        <v>581498.0</v>
      </c>
      <c r="B4625" s="1" t="str">
        <f t="shared" si="1"/>
        <v>581498</v>
      </c>
      <c r="C4625" s="1" t="str">
        <f t="shared" si="2"/>
        <v>Sale</v>
      </c>
      <c r="D4625" s="1" t="s">
        <v>2091</v>
      </c>
      <c r="E4625" s="1" t="str">
        <f>IFERROR(__xludf.DUMMYFUNCTION("IF(LEN(D4625)&gt;4, IFERROR(REGEXEXTRACT(TO_TEXT(D4625),""\d+""),""""),"""")"),"84997")</f>
        <v>84997</v>
      </c>
      <c r="F4625" s="6" t="str">
        <f t="shared" si="3"/>
        <v>Product</v>
      </c>
      <c r="G4625" s="1" t="s">
        <v>1118</v>
      </c>
      <c r="H4625" s="6" t="str">
        <f>IFERROR(__xludf.DUMMYFUNCTION("IF(REGEXMATCH(LOWER(G4625), ""^(\?)+\s*(missing)?\s*(\?)*$""), """", PROPER(SUBSTITUTE(SUBSTITUTE(G4625, ""?"", """"), ""*"", """")))"),"Childrens Cutlery Polkadot Pink")</f>
        <v>Childrens Cutlery Polkadot Pink</v>
      </c>
      <c r="I4625" s="3">
        <v>1.0</v>
      </c>
      <c r="J4625" s="7">
        <v>40886.43472222222</v>
      </c>
      <c r="K4625" s="8" t="str">
        <f t="shared" si="4"/>
        <v>2011-12</v>
      </c>
      <c r="L4625" s="5">
        <v>8.29</v>
      </c>
      <c r="M4625" s="10"/>
      <c r="N4625" s="1" t="str">
        <f t="shared" si="5"/>
        <v>Guest</v>
      </c>
      <c r="O4625" s="1" t="s">
        <v>19</v>
      </c>
      <c r="P4625" s="9" t="str">
        <f t="shared" si="6"/>
        <v>UK</v>
      </c>
      <c r="Q4625" s="8">
        <f t="shared" si="7"/>
        <v>8.29</v>
      </c>
    </row>
    <row r="4626">
      <c r="A4626" s="1">
        <v>581498.0</v>
      </c>
      <c r="B4626" s="1" t="str">
        <f t="shared" si="1"/>
        <v>581498</v>
      </c>
      <c r="C4626" s="1" t="str">
        <f t="shared" si="2"/>
        <v>Sale</v>
      </c>
      <c r="D4626" s="1">
        <v>85038.0</v>
      </c>
      <c r="E4626" s="1" t="str">
        <f>IFERROR(__xludf.DUMMYFUNCTION("IF(LEN(D4626)&gt;4, IFERROR(REGEXEXTRACT(TO_TEXT(D4626),""\d+""),""""),"""")"),"85038")</f>
        <v>85038</v>
      </c>
      <c r="F4626" s="6" t="str">
        <f t="shared" si="3"/>
        <v>Product</v>
      </c>
      <c r="G4626" s="1" t="s">
        <v>1817</v>
      </c>
      <c r="H4626" s="6" t="str">
        <f>IFERROR(__xludf.DUMMYFUNCTION("IF(REGEXMATCH(LOWER(G4626), ""^(\?)+\s*(missing)?\s*(\?)*$""), """", PROPER(SUBSTITUTE(SUBSTITUTE(G4626, ""?"", """"), ""*"", """")))"),"6 Chocolate Love Heart T-Lights")</f>
        <v>6 Chocolate Love Heart T-Lights</v>
      </c>
      <c r="I4626" s="3">
        <v>1.0</v>
      </c>
      <c r="J4626" s="7">
        <v>40886.43472222222</v>
      </c>
      <c r="K4626" s="8" t="str">
        <f t="shared" si="4"/>
        <v>2011-12</v>
      </c>
      <c r="L4626" s="5">
        <v>4.13</v>
      </c>
      <c r="M4626" s="10"/>
      <c r="N4626" s="1" t="str">
        <f t="shared" si="5"/>
        <v>Guest</v>
      </c>
      <c r="O4626" s="1" t="s">
        <v>19</v>
      </c>
      <c r="P4626" s="9" t="str">
        <f t="shared" si="6"/>
        <v>UK</v>
      </c>
      <c r="Q4626" s="8">
        <f t="shared" si="7"/>
        <v>4.13</v>
      </c>
    </row>
    <row r="4627">
      <c r="A4627" s="1">
        <v>581498.0</v>
      </c>
      <c r="B4627" s="1" t="str">
        <f t="shared" si="1"/>
        <v>581498</v>
      </c>
      <c r="C4627" s="1" t="str">
        <f t="shared" si="2"/>
        <v>Sale</v>
      </c>
      <c r="D4627" s="1">
        <v>85048.0</v>
      </c>
      <c r="E4627" s="1" t="str">
        <f>IFERROR(__xludf.DUMMYFUNCTION("IF(LEN(D4627)&gt;4, IFERROR(REGEXEXTRACT(TO_TEXT(D4627),""\d+""),""""),"""")"),"85048")</f>
        <v>85048</v>
      </c>
      <c r="F4627" s="6" t="str">
        <f t="shared" si="3"/>
        <v>Product</v>
      </c>
      <c r="G4627" s="1" t="s">
        <v>1481</v>
      </c>
      <c r="H4627" s="6" t="str">
        <f>IFERROR(__xludf.DUMMYFUNCTION("IF(REGEXMATCH(LOWER(G4627), ""^(\?)+\s*(missing)?\s*(\?)*$""), """", PROPER(SUBSTITUTE(SUBSTITUTE(G4627, ""?"", """"), ""*"", """")))"),"15Cm Christmas Glass Ball 20 Lights")</f>
        <v>15Cm Christmas Glass Ball 20 Lights</v>
      </c>
      <c r="I4627" s="3">
        <v>1.0</v>
      </c>
      <c r="J4627" s="7">
        <v>40886.43472222222</v>
      </c>
      <c r="K4627" s="8" t="str">
        <f t="shared" si="4"/>
        <v>2011-12</v>
      </c>
      <c r="L4627" s="5">
        <v>16.63</v>
      </c>
      <c r="M4627" s="10"/>
      <c r="N4627" s="1" t="str">
        <f t="shared" si="5"/>
        <v>Guest</v>
      </c>
      <c r="O4627" s="1" t="s">
        <v>19</v>
      </c>
      <c r="P4627" s="9" t="str">
        <f t="shared" si="6"/>
        <v>UK</v>
      </c>
      <c r="Q4627" s="8">
        <f t="shared" si="7"/>
        <v>16.63</v>
      </c>
    </row>
    <row r="4628">
      <c r="A4628" s="1">
        <v>581498.0</v>
      </c>
      <c r="B4628" s="1" t="str">
        <f t="shared" si="1"/>
        <v>581498</v>
      </c>
      <c r="C4628" s="1" t="str">
        <f t="shared" si="2"/>
        <v>Sale</v>
      </c>
      <c r="D4628" s="1" t="s">
        <v>2092</v>
      </c>
      <c r="E4628" s="1" t="str">
        <f>IFERROR(__xludf.DUMMYFUNCTION("IF(LEN(D4628)&gt;4, IFERROR(REGEXEXTRACT(TO_TEXT(D4628),""\d+""),""""),"""")"),"85049")</f>
        <v>85049</v>
      </c>
      <c r="F4628" s="6" t="str">
        <f t="shared" si="3"/>
        <v>Product</v>
      </c>
      <c r="G4628" s="1" t="s">
        <v>177</v>
      </c>
      <c r="H4628" s="6" t="str">
        <f>IFERROR(__xludf.DUMMYFUNCTION("IF(REGEXMATCH(LOWER(G4628), ""^(\?)+\s*(missing)?\s*(\?)*$""), """", PROPER(SUBSTITUTE(SUBSTITUTE(G4628, ""?"", """"), ""*"", """")))"),"Traditional Christmas Ribbons")</f>
        <v>Traditional Christmas Ribbons</v>
      </c>
      <c r="I4628" s="3">
        <v>5.0</v>
      </c>
      <c r="J4628" s="7">
        <v>40886.43472222222</v>
      </c>
      <c r="K4628" s="8" t="str">
        <f t="shared" si="4"/>
        <v>2011-12</v>
      </c>
      <c r="L4628" s="5">
        <v>3.29</v>
      </c>
      <c r="M4628" s="10"/>
      <c r="N4628" s="1" t="str">
        <f t="shared" si="5"/>
        <v>Guest</v>
      </c>
      <c r="O4628" s="1" t="s">
        <v>19</v>
      </c>
      <c r="P4628" s="9" t="str">
        <f t="shared" si="6"/>
        <v>UK</v>
      </c>
      <c r="Q4628" s="8">
        <f t="shared" si="7"/>
        <v>16.45</v>
      </c>
    </row>
    <row r="4629">
      <c r="A4629" s="1">
        <v>581498.0</v>
      </c>
      <c r="B4629" s="1" t="str">
        <f t="shared" si="1"/>
        <v>581498</v>
      </c>
      <c r="C4629" s="1" t="str">
        <f t="shared" si="2"/>
        <v>Sale</v>
      </c>
      <c r="D4629" s="1" t="s">
        <v>2093</v>
      </c>
      <c r="E4629" s="1" t="str">
        <f>IFERROR(__xludf.DUMMYFUNCTION("IF(LEN(D4629)&gt;4, IFERROR(REGEXEXTRACT(TO_TEXT(D4629),""\d+""),""""),"""")"),"85049")</f>
        <v>85049</v>
      </c>
      <c r="F4629" s="6" t="str">
        <f t="shared" si="3"/>
        <v>Product</v>
      </c>
      <c r="G4629" s="1" t="s">
        <v>279</v>
      </c>
      <c r="H4629" s="6" t="str">
        <f>IFERROR(__xludf.DUMMYFUNCTION("IF(REGEXMATCH(LOWER(G4629), ""^(\?)+\s*(missing)?\s*(\?)*$""), """", PROPER(SUBSTITUTE(SUBSTITUTE(G4629, ""?"", """"), ""*"", """")))"),"Scandinavian Reds Ribbons")</f>
        <v>Scandinavian Reds Ribbons</v>
      </c>
      <c r="I4629" s="3">
        <v>4.0</v>
      </c>
      <c r="J4629" s="7">
        <v>40886.43472222222</v>
      </c>
      <c r="K4629" s="8" t="str">
        <f t="shared" si="4"/>
        <v>2011-12</v>
      </c>
      <c r="L4629" s="5">
        <v>3.29</v>
      </c>
      <c r="M4629" s="10"/>
      <c r="N4629" s="1" t="str">
        <f t="shared" si="5"/>
        <v>Guest</v>
      </c>
      <c r="O4629" s="1" t="s">
        <v>19</v>
      </c>
      <c r="P4629" s="9" t="str">
        <f t="shared" si="6"/>
        <v>UK</v>
      </c>
      <c r="Q4629" s="8">
        <f t="shared" si="7"/>
        <v>13.16</v>
      </c>
    </row>
    <row r="4630">
      <c r="A4630" s="1">
        <v>581498.0</v>
      </c>
      <c r="B4630" s="1" t="str">
        <f t="shared" si="1"/>
        <v>581498</v>
      </c>
      <c r="C4630" s="1" t="str">
        <f t="shared" si="2"/>
        <v>Sale</v>
      </c>
      <c r="D4630" s="1" t="s">
        <v>181</v>
      </c>
      <c r="E4630" s="1" t="str">
        <f>IFERROR(__xludf.DUMMYFUNCTION("IF(LEN(D4630)&gt;4, IFERROR(REGEXEXTRACT(TO_TEXT(D4630),""\d+""),""""),"""")"),"85099")</f>
        <v>85099</v>
      </c>
      <c r="F4630" s="6" t="str">
        <f t="shared" si="3"/>
        <v>Product</v>
      </c>
      <c r="G4630" s="1" t="s">
        <v>182</v>
      </c>
      <c r="H4630" s="6" t="str">
        <f>IFERROR(__xludf.DUMMYFUNCTION("IF(REGEXMATCH(LOWER(G4630), ""^(\?)+\s*(missing)?\s*(\?)*$""), """", PROPER(SUBSTITUTE(SUBSTITUTE(G4630, ""?"", """"), ""*"", """")))"),"Jumbo Bag Red Retrospot")</f>
        <v>Jumbo Bag Red Retrospot</v>
      </c>
      <c r="I4630" s="3">
        <v>5.0</v>
      </c>
      <c r="J4630" s="7">
        <v>40886.43472222222</v>
      </c>
      <c r="K4630" s="8" t="str">
        <f t="shared" si="4"/>
        <v>2011-12</v>
      </c>
      <c r="L4630" s="5">
        <v>4.13</v>
      </c>
      <c r="M4630" s="10"/>
      <c r="N4630" s="1" t="str">
        <f t="shared" si="5"/>
        <v>Guest</v>
      </c>
      <c r="O4630" s="1" t="s">
        <v>19</v>
      </c>
      <c r="P4630" s="9" t="str">
        <f t="shared" si="6"/>
        <v>UK</v>
      </c>
      <c r="Q4630" s="8">
        <f t="shared" si="7"/>
        <v>20.65</v>
      </c>
    </row>
    <row r="4631">
      <c r="A4631" s="1">
        <v>581498.0</v>
      </c>
      <c r="B4631" s="1" t="str">
        <f t="shared" si="1"/>
        <v>581498</v>
      </c>
      <c r="C4631" s="1" t="str">
        <f t="shared" si="2"/>
        <v>Sale</v>
      </c>
      <c r="D4631" s="1" t="s">
        <v>85</v>
      </c>
      <c r="E4631" s="1" t="str">
        <f>IFERROR(__xludf.DUMMYFUNCTION("IF(LEN(D4631)&gt;4, IFERROR(REGEXEXTRACT(TO_TEXT(D4631),""\d+""),""""),"""")"),"85099")</f>
        <v>85099</v>
      </c>
      <c r="F4631" s="6" t="str">
        <f t="shared" si="3"/>
        <v>Product</v>
      </c>
      <c r="G4631" s="1" t="s">
        <v>86</v>
      </c>
      <c r="H4631" s="6" t="str">
        <f>IFERROR(__xludf.DUMMYFUNCTION("IF(REGEXMATCH(LOWER(G4631), ""^(\?)+\s*(missing)?\s*(\?)*$""), """", PROPER(SUBSTITUTE(SUBSTITUTE(G4631, ""?"", """"), ""*"", """")))"),"Jumbo Bag Baroque Black White")</f>
        <v>Jumbo Bag Baroque Black White</v>
      </c>
      <c r="I4631" s="3">
        <v>4.0</v>
      </c>
      <c r="J4631" s="7">
        <v>40886.43472222222</v>
      </c>
      <c r="K4631" s="8" t="str">
        <f t="shared" si="4"/>
        <v>2011-12</v>
      </c>
      <c r="L4631" s="5">
        <v>4.13</v>
      </c>
      <c r="M4631" s="10"/>
      <c r="N4631" s="1" t="str">
        <f t="shared" si="5"/>
        <v>Guest</v>
      </c>
      <c r="O4631" s="1" t="s">
        <v>19</v>
      </c>
      <c r="P4631" s="9" t="str">
        <f t="shared" si="6"/>
        <v>UK</v>
      </c>
      <c r="Q4631" s="8">
        <f t="shared" si="7"/>
        <v>16.52</v>
      </c>
    </row>
    <row r="4632">
      <c r="A4632" s="1">
        <v>581498.0</v>
      </c>
      <c r="B4632" s="1" t="str">
        <f t="shared" si="1"/>
        <v>581498</v>
      </c>
      <c r="C4632" s="1" t="str">
        <f t="shared" si="2"/>
        <v>Sale</v>
      </c>
      <c r="D4632" s="1">
        <v>85150.0</v>
      </c>
      <c r="E4632" s="1" t="str">
        <f>IFERROR(__xludf.DUMMYFUNCTION("IF(LEN(D4632)&gt;4, IFERROR(REGEXEXTRACT(TO_TEXT(D4632),""\d+""),""""),"""")"),"85150")</f>
        <v>85150</v>
      </c>
      <c r="F4632" s="6" t="str">
        <f t="shared" si="3"/>
        <v>Product</v>
      </c>
      <c r="G4632" s="1" t="s">
        <v>293</v>
      </c>
      <c r="H4632" s="6" t="str">
        <f>IFERROR(__xludf.DUMMYFUNCTION("IF(REGEXMATCH(LOWER(G4632), ""^(\?)+\s*(missing)?\s*(\?)*$""), """", PROPER(SUBSTITUTE(SUBSTITUTE(G4632, ""?"", """"), ""*"", """")))"),"Ladies &amp; Gentlemen Metal Sign")</f>
        <v>Ladies &amp; Gentlemen Metal Sign</v>
      </c>
      <c r="I4632" s="3">
        <v>1.0</v>
      </c>
      <c r="J4632" s="7">
        <v>40886.43472222222</v>
      </c>
      <c r="K4632" s="8" t="str">
        <f t="shared" si="4"/>
        <v>2011-12</v>
      </c>
      <c r="L4632" s="5">
        <v>4.96</v>
      </c>
      <c r="M4632" s="10"/>
      <c r="N4632" s="1" t="str">
        <f t="shared" si="5"/>
        <v>Guest</v>
      </c>
      <c r="O4632" s="1" t="s">
        <v>19</v>
      </c>
      <c r="P4632" s="9" t="str">
        <f t="shared" si="6"/>
        <v>UK</v>
      </c>
      <c r="Q4632" s="8">
        <f t="shared" si="7"/>
        <v>4.96</v>
      </c>
    </row>
    <row r="4633">
      <c r="A4633" s="1">
        <v>581498.0</v>
      </c>
      <c r="B4633" s="1" t="str">
        <f t="shared" si="1"/>
        <v>581498</v>
      </c>
      <c r="C4633" s="1" t="str">
        <f t="shared" si="2"/>
        <v>Sale</v>
      </c>
      <c r="D4633" s="1">
        <v>85174.0</v>
      </c>
      <c r="E4633" s="1" t="str">
        <f>IFERROR(__xludf.DUMMYFUNCTION("IF(LEN(D4633)&gt;4, IFERROR(REGEXEXTRACT(TO_TEXT(D4633),""\d+""),""""),"""")"),"85174")</f>
        <v>85174</v>
      </c>
      <c r="F4633" s="6" t="str">
        <f t="shared" si="3"/>
        <v>Product</v>
      </c>
      <c r="G4633" s="1" t="s">
        <v>1495</v>
      </c>
      <c r="H4633" s="6" t="str">
        <f>IFERROR(__xludf.DUMMYFUNCTION("IF(REGEXMATCH(LOWER(G4633), ""^(\?)+\s*(missing)?\s*(\?)*$""), """", PROPER(SUBSTITUTE(SUBSTITUTE(G4633, ""?"", """"), ""*"", """")))"),"S/4 Cacti Candles")</f>
        <v>S/4 Cacti Candles</v>
      </c>
      <c r="I4633" s="3">
        <v>1.0</v>
      </c>
      <c r="J4633" s="7">
        <v>40886.43472222222</v>
      </c>
      <c r="K4633" s="8" t="str">
        <f t="shared" si="4"/>
        <v>2011-12</v>
      </c>
      <c r="L4633" s="5">
        <v>10.79</v>
      </c>
      <c r="M4633" s="10"/>
      <c r="N4633" s="1" t="str">
        <f t="shared" si="5"/>
        <v>Guest</v>
      </c>
      <c r="O4633" s="1" t="s">
        <v>19</v>
      </c>
      <c r="P4633" s="9" t="str">
        <f t="shared" si="6"/>
        <v>UK</v>
      </c>
      <c r="Q4633" s="8">
        <f t="shared" si="7"/>
        <v>10.79</v>
      </c>
    </row>
    <row r="4634">
      <c r="A4634" s="1">
        <v>581498.0</v>
      </c>
      <c r="B4634" s="1" t="str">
        <f t="shared" si="1"/>
        <v>581498</v>
      </c>
      <c r="C4634" s="1" t="str">
        <f t="shared" si="2"/>
        <v>Sale</v>
      </c>
      <c r="D4634" s="1" t="s">
        <v>1241</v>
      </c>
      <c r="E4634" s="1" t="str">
        <f>IFERROR(__xludf.DUMMYFUNCTION("IF(LEN(D4634)&gt;4, IFERROR(REGEXEXTRACT(TO_TEXT(D4634),""\d+""),""""),"""")"),"")</f>
        <v/>
      </c>
      <c r="F4634" s="6" t="str">
        <f t="shared" si="3"/>
        <v>Shipping</v>
      </c>
      <c r="G4634" s="1" t="s">
        <v>1242</v>
      </c>
      <c r="H4634" s="6" t="str">
        <f>IFERROR(__xludf.DUMMYFUNCTION("IF(REGEXMATCH(LOWER(G4634), ""^(\?)+\s*(missing)?\s*(\?)*$""), """", PROPER(SUBSTITUTE(SUBSTITUTE(G4634, ""?"", """"), ""*"", """")))"),"Dotcom Postage")</f>
        <v>Dotcom Postage</v>
      </c>
      <c r="I4634" s="3">
        <v>1.0</v>
      </c>
      <c r="J4634" s="7">
        <v>40886.43472222222</v>
      </c>
      <c r="K4634" s="8" t="str">
        <f t="shared" si="4"/>
        <v>2011-12</v>
      </c>
      <c r="L4634" s="5">
        <v>1714.17</v>
      </c>
      <c r="M4634" s="10"/>
      <c r="N4634" s="1" t="str">
        <f t="shared" si="5"/>
        <v>Guest</v>
      </c>
      <c r="O4634" s="1" t="s">
        <v>19</v>
      </c>
      <c r="P4634" s="9" t="str">
        <f t="shared" si="6"/>
        <v>UK</v>
      </c>
      <c r="Q4634" s="8">
        <f t="shared" si="7"/>
        <v>1714.17</v>
      </c>
    </row>
    <row r="4635">
      <c r="A4635" s="1" t="s">
        <v>2094</v>
      </c>
      <c r="B4635" s="1" t="str">
        <f t="shared" si="1"/>
        <v>581499</v>
      </c>
      <c r="C4635" s="1" t="str">
        <f t="shared" si="2"/>
        <v>Return</v>
      </c>
      <c r="D4635" s="1" t="s">
        <v>721</v>
      </c>
      <c r="E4635" s="1" t="str">
        <f>IFERROR(__xludf.DUMMYFUNCTION("IF(LEN(D4635)&gt;4, IFERROR(REGEXEXTRACT(TO_TEXT(D4635),""\d+""),""""),"""")"),"")</f>
        <v/>
      </c>
      <c r="F4635" s="6" t="str">
        <f t="shared" si="3"/>
        <v>Adjustment</v>
      </c>
      <c r="G4635" s="1" t="s">
        <v>722</v>
      </c>
      <c r="H4635" s="6" t="str">
        <f>IFERROR(__xludf.DUMMYFUNCTION("IF(REGEXMATCH(LOWER(G4635), ""^(\?)+\s*(missing)?\s*(\?)*$""), """", PROPER(SUBSTITUTE(SUBSTITUTE(G4635, ""?"", """"), ""*"", """")))"),"Manual")</f>
        <v>Manual</v>
      </c>
      <c r="I4635" s="3">
        <v>-1.0</v>
      </c>
      <c r="J4635" s="7">
        <v>40886.436111111114</v>
      </c>
      <c r="K4635" s="8" t="str">
        <f t="shared" si="4"/>
        <v>2011-12</v>
      </c>
      <c r="L4635" s="5">
        <v>224.69</v>
      </c>
      <c r="M4635" s="3">
        <v>15498.0</v>
      </c>
      <c r="N4635" s="1" t="str">
        <f t="shared" si="5"/>
        <v>Registered</v>
      </c>
      <c r="O4635" s="1" t="s">
        <v>19</v>
      </c>
      <c r="P4635" s="9" t="str">
        <f t="shared" si="6"/>
        <v>UK</v>
      </c>
      <c r="Q4635" s="8">
        <f t="shared" si="7"/>
        <v>-224.69</v>
      </c>
    </row>
    <row r="4636">
      <c r="A4636" s="1">
        <v>581500.0</v>
      </c>
      <c r="B4636" s="1" t="str">
        <f t="shared" si="1"/>
        <v>581500</v>
      </c>
      <c r="C4636" s="1" t="str">
        <f t="shared" si="2"/>
        <v>Sale</v>
      </c>
      <c r="D4636" s="1">
        <v>82486.0</v>
      </c>
      <c r="E4636" s="1" t="str">
        <f>IFERROR(__xludf.DUMMYFUNCTION("IF(LEN(D4636)&gt;4, IFERROR(REGEXEXTRACT(TO_TEXT(D4636),""\d+""),""""),"""")"),"82486")</f>
        <v>82486</v>
      </c>
      <c r="F4636" s="6" t="str">
        <f t="shared" si="3"/>
        <v>Product</v>
      </c>
      <c r="G4636" s="1" t="s">
        <v>2095</v>
      </c>
      <c r="H4636" s="6" t="str">
        <f>IFERROR(__xludf.DUMMYFUNCTION("IF(REGEXMATCH(LOWER(G4636), ""^(\?)+\s*(missing)?\s*(\?)*$""), """", PROPER(SUBSTITUTE(SUBSTITUTE(G4636, ""?"", """"), ""*"", """")))"),"3 Drawer Antique White Wood Cabinet")</f>
        <v>3 Drawer Antique White Wood Cabinet</v>
      </c>
      <c r="I4636" s="3">
        <v>4.0</v>
      </c>
      <c r="J4636" s="7">
        <v>40886.447916666664</v>
      </c>
      <c r="K4636" s="8" t="str">
        <f t="shared" si="4"/>
        <v>2011-12</v>
      </c>
      <c r="L4636" s="5">
        <v>8.95</v>
      </c>
      <c r="M4636" s="3">
        <v>15344.0</v>
      </c>
      <c r="N4636" s="1" t="str">
        <f t="shared" si="5"/>
        <v>Registered</v>
      </c>
      <c r="O4636" s="1" t="s">
        <v>19</v>
      </c>
      <c r="P4636" s="9" t="str">
        <f t="shared" si="6"/>
        <v>UK</v>
      </c>
      <c r="Q4636" s="8">
        <f t="shared" si="7"/>
        <v>35.8</v>
      </c>
    </row>
    <row r="4637">
      <c r="A4637" s="1">
        <v>581500.0</v>
      </c>
      <c r="B4637" s="1" t="str">
        <f t="shared" si="1"/>
        <v>581500</v>
      </c>
      <c r="C4637" s="1" t="str">
        <f t="shared" si="2"/>
        <v>Sale</v>
      </c>
      <c r="D4637" s="1">
        <v>85066.0</v>
      </c>
      <c r="E4637" s="1" t="str">
        <f>IFERROR(__xludf.DUMMYFUNCTION("IF(LEN(D4637)&gt;4, IFERROR(REGEXEXTRACT(TO_TEXT(D4637),""\d+""),""""),"""")"),"85066")</f>
        <v>85066</v>
      </c>
      <c r="F4637" s="6" t="str">
        <f t="shared" si="3"/>
        <v>Product</v>
      </c>
      <c r="G4637" s="1" t="s">
        <v>879</v>
      </c>
      <c r="H4637" s="6" t="str">
        <f>IFERROR(__xludf.DUMMYFUNCTION("IF(REGEXMATCH(LOWER(G4637), ""^(\?)+\s*(missing)?\s*(\?)*$""), """", PROPER(SUBSTITUTE(SUBSTITUTE(G4637, ""?"", """"), ""*"", """")))"),"Cream Sweetheart Mini Chest")</f>
        <v>Cream Sweetheart Mini Chest</v>
      </c>
      <c r="I4637" s="3">
        <v>4.0</v>
      </c>
      <c r="J4637" s="7">
        <v>40886.447916666664</v>
      </c>
      <c r="K4637" s="8" t="str">
        <f t="shared" si="4"/>
        <v>2011-12</v>
      </c>
      <c r="L4637" s="5">
        <v>12.75</v>
      </c>
      <c r="M4637" s="3">
        <v>15344.0</v>
      </c>
      <c r="N4637" s="1" t="str">
        <f t="shared" si="5"/>
        <v>Registered</v>
      </c>
      <c r="O4637" s="1" t="s">
        <v>19</v>
      </c>
      <c r="P4637" s="9" t="str">
        <f t="shared" si="6"/>
        <v>UK</v>
      </c>
      <c r="Q4637" s="8">
        <f t="shared" si="7"/>
        <v>51</v>
      </c>
    </row>
    <row r="4638">
      <c r="A4638" s="1">
        <v>581500.0</v>
      </c>
      <c r="B4638" s="1" t="str">
        <f t="shared" si="1"/>
        <v>581500</v>
      </c>
      <c r="C4638" s="1" t="str">
        <f t="shared" si="2"/>
        <v>Sale</v>
      </c>
      <c r="D4638" s="1">
        <v>48187.0</v>
      </c>
      <c r="E4638" s="1" t="str">
        <f>IFERROR(__xludf.DUMMYFUNCTION("IF(LEN(D4638)&gt;4, IFERROR(REGEXEXTRACT(TO_TEXT(D4638),""\d+""),""""),"""")"),"48187")</f>
        <v>48187</v>
      </c>
      <c r="F4638" s="6" t="str">
        <f t="shared" si="3"/>
        <v>Product</v>
      </c>
      <c r="G4638" s="1" t="s">
        <v>42</v>
      </c>
      <c r="H4638" s="6" t="str">
        <f>IFERROR(__xludf.DUMMYFUNCTION("IF(REGEXMATCH(LOWER(G4638), ""^(\?)+\s*(missing)?\s*(\?)*$""), """", PROPER(SUBSTITUTE(SUBSTITUTE(G4638, ""?"", """"), ""*"", """")))"),"Doormat New England")</f>
        <v>Doormat New England</v>
      </c>
      <c r="I4638" s="3">
        <v>2.0</v>
      </c>
      <c r="J4638" s="7">
        <v>40886.447916666664</v>
      </c>
      <c r="K4638" s="8" t="str">
        <f t="shared" si="4"/>
        <v>2011-12</v>
      </c>
      <c r="L4638" s="5">
        <v>8.25</v>
      </c>
      <c r="M4638" s="3">
        <v>15344.0</v>
      </c>
      <c r="N4638" s="1" t="str">
        <f t="shared" si="5"/>
        <v>Registered</v>
      </c>
      <c r="O4638" s="1" t="s">
        <v>19</v>
      </c>
      <c r="P4638" s="9" t="str">
        <f t="shared" si="6"/>
        <v>UK</v>
      </c>
      <c r="Q4638" s="8">
        <f t="shared" si="7"/>
        <v>16.5</v>
      </c>
    </row>
    <row r="4639">
      <c r="A4639" s="1">
        <v>581501.0</v>
      </c>
      <c r="B4639" s="1" t="str">
        <f t="shared" si="1"/>
        <v>581501</v>
      </c>
      <c r="C4639" s="1" t="str">
        <f t="shared" si="2"/>
        <v>Sale</v>
      </c>
      <c r="D4639" s="1">
        <v>22319.0</v>
      </c>
      <c r="E4639" s="1" t="str">
        <f>IFERROR(__xludf.DUMMYFUNCTION("IF(LEN(D4639)&gt;4, IFERROR(REGEXEXTRACT(TO_TEXT(D4639),""\d+""),""""),"""")"),"22319")</f>
        <v>22319</v>
      </c>
      <c r="F4639" s="6" t="str">
        <f t="shared" si="3"/>
        <v>Product</v>
      </c>
      <c r="G4639" s="1" t="s">
        <v>1376</v>
      </c>
      <c r="H4639" s="6" t="str">
        <f>IFERROR(__xludf.DUMMYFUNCTION("IF(REGEXMATCH(LOWER(G4639), ""^(\?)+\s*(missing)?\s*(\?)*$""), """", PROPER(SUBSTITUTE(SUBSTITUTE(G4639, ""?"", """"), ""*"", """")))"),"Hairclips Forties Fabric Assorted")</f>
        <v>Hairclips Forties Fabric Assorted</v>
      </c>
      <c r="I4639" s="3">
        <v>180.0</v>
      </c>
      <c r="J4639" s="7">
        <v>40886.44861111111</v>
      </c>
      <c r="K4639" s="8" t="str">
        <f t="shared" si="4"/>
        <v>2011-12</v>
      </c>
      <c r="L4639" s="5">
        <v>0.19</v>
      </c>
      <c r="M4639" s="3">
        <v>12985.0</v>
      </c>
      <c r="N4639" s="1" t="str">
        <f t="shared" si="5"/>
        <v>Registered</v>
      </c>
      <c r="O4639" s="1" t="s">
        <v>19</v>
      </c>
      <c r="P4639" s="9" t="str">
        <f t="shared" si="6"/>
        <v>UK</v>
      </c>
      <c r="Q4639" s="8">
        <f t="shared" si="7"/>
        <v>34.2</v>
      </c>
    </row>
    <row r="4640">
      <c r="A4640" s="1">
        <v>581501.0</v>
      </c>
      <c r="B4640" s="1" t="str">
        <f t="shared" si="1"/>
        <v>581501</v>
      </c>
      <c r="C4640" s="1" t="str">
        <f t="shared" si="2"/>
        <v>Sale</v>
      </c>
      <c r="D4640" s="1">
        <v>20704.0</v>
      </c>
      <c r="E4640" s="1" t="str">
        <f>IFERROR(__xludf.DUMMYFUNCTION("IF(LEN(D4640)&gt;4, IFERROR(REGEXEXTRACT(TO_TEXT(D4640),""\d+""),""""),"""")"),"20704")</f>
        <v>20704</v>
      </c>
      <c r="F4640" s="6" t="str">
        <f t="shared" si="3"/>
        <v>Product</v>
      </c>
      <c r="G4640" s="1" t="s">
        <v>2096</v>
      </c>
      <c r="H4640" s="6" t="str">
        <f>IFERROR(__xludf.DUMMYFUNCTION("IF(REGEXMATCH(LOWER(G4640), ""^(\?)+\s*(missing)?\s*(\?)*$""), """", PROPER(SUBSTITUTE(SUBSTITUTE(G4640, ""?"", """"), ""*"", """")))"),"Mr Robot Soft Toy")</f>
        <v>Mr Robot Soft Toy</v>
      </c>
      <c r="I4640" s="3">
        <v>8.0</v>
      </c>
      <c r="J4640" s="7">
        <v>40886.44861111111</v>
      </c>
      <c r="K4640" s="8" t="str">
        <f t="shared" si="4"/>
        <v>2011-12</v>
      </c>
      <c r="L4640" s="5">
        <v>1.95</v>
      </c>
      <c r="M4640" s="3">
        <v>12985.0</v>
      </c>
      <c r="N4640" s="1" t="str">
        <f t="shared" si="5"/>
        <v>Registered</v>
      </c>
      <c r="O4640" s="1" t="s">
        <v>19</v>
      </c>
      <c r="P4640" s="9" t="str">
        <f t="shared" si="6"/>
        <v>UK</v>
      </c>
      <c r="Q4640" s="8">
        <f t="shared" si="7"/>
        <v>15.6</v>
      </c>
    </row>
    <row r="4641">
      <c r="A4641" s="1">
        <v>581501.0</v>
      </c>
      <c r="B4641" s="1" t="str">
        <f t="shared" si="1"/>
        <v>581501</v>
      </c>
      <c r="C4641" s="1" t="str">
        <f t="shared" si="2"/>
        <v>Sale</v>
      </c>
      <c r="D4641" s="1">
        <v>21564.0</v>
      </c>
      <c r="E4641" s="1" t="str">
        <f>IFERROR(__xludf.DUMMYFUNCTION("IF(LEN(D4641)&gt;4, IFERROR(REGEXEXTRACT(TO_TEXT(D4641),""\d+""),""""),"""")"),"21564")</f>
        <v>21564</v>
      </c>
      <c r="F4641" s="6" t="str">
        <f t="shared" si="3"/>
        <v>Product</v>
      </c>
      <c r="G4641" s="1" t="s">
        <v>2097</v>
      </c>
      <c r="H4641" s="6" t="str">
        <f>IFERROR(__xludf.DUMMYFUNCTION("IF(REGEXMATCH(LOWER(G4641), ""^(\?)+\s*(missing)?\s*(\?)*$""), """", PROPER(SUBSTITUTE(SUBSTITUTE(G4641, ""?"", """"), ""*"", """")))"),"Pink Heart Shape Love Bucket")</f>
        <v>Pink Heart Shape Love Bucket</v>
      </c>
      <c r="I4641" s="3">
        <v>24.0</v>
      </c>
      <c r="J4641" s="7">
        <v>40886.44861111111</v>
      </c>
      <c r="K4641" s="8" t="str">
        <f t="shared" si="4"/>
        <v>2011-12</v>
      </c>
      <c r="L4641" s="5">
        <v>0.79</v>
      </c>
      <c r="M4641" s="3">
        <v>12985.0</v>
      </c>
      <c r="N4641" s="1" t="str">
        <f t="shared" si="5"/>
        <v>Registered</v>
      </c>
      <c r="O4641" s="1" t="s">
        <v>19</v>
      </c>
      <c r="P4641" s="9" t="str">
        <f t="shared" si="6"/>
        <v>UK</v>
      </c>
      <c r="Q4641" s="8">
        <f t="shared" si="7"/>
        <v>18.96</v>
      </c>
    </row>
    <row r="4642">
      <c r="A4642" s="1">
        <v>581501.0</v>
      </c>
      <c r="B4642" s="1" t="str">
        <f t="shared" si="1"/>
        <v>581501</v>
      </c>
      <c r="C4642" s="1" t="str">
        <f t="shared" si="2"/>
        <v>Sale</v>
      </c>
      <c r="D4642" s="1">
        <v>21563.0</v>
      </c>
      <c r="E4642" s="1" t="str">
        <f>IFERROR(__xludf.DUMMYFUNCTION("IF(LEN(D4642)&gt;4, IFERROR(REGEXEXTRACT(TO_TEXT(D4642),""\d+""),""""),"""")"),"21563")</f>
        <v>21563</v>
      </c>
      <c r="F4642" s="6" t="str">
        <f t="shared" si="3"/>
        <v>Product</v>
      </c>
      <c r="G4642" s="1" t="s">
        <v>1048</v>
      </c>
      <c r="H4642" s="6" t="str">
        <f>IFERROR(__xludf.DUMMYFUNCTION("IF(REGEXMATCH(LOWER(G4642), ""^(\?)+\s*(missing)?\s*(\?)*$""), """", PROPER(SUBSTITUTE(SUBSTITUTE(G4642, ""?"", """"), ""*"", """")))"),"Red Heart Shape Love Bucket")</f>
        <v>Red Heart Shape Love Bucket</v>
      </c>
      <c r="I4642" s="3">
        <v>24.0</v>
      </c>
      <c r="J4642" s="7">
        <v>40886.44861111111</v>
      </c>
      <c r="K4642" s="8" t="str">
        <f t="shared" si="4"/>
        <v>2011-12</v>
      </c>
      <c r="L4642" s="5">
        <v>0.79</v>
      </c>
      <c r="M4642" s="3">
        <v>12985.0</v>
      </c>
      <c r="N4642" s="1" t="str">
        <f t="shared" si="5"/>
        <v>Registered</v>
      </c>
      <c r="O4642" s="1" t="s">
        <v>19</v>
      </c>
      <c r="P4642" s="9" t="str">
        <f t="shared" si="6"/>
        <v>UK</v>
      </c>
      <c r="Q4642" s="8">
        <f t="shared" si="7"/>
        <v>18.96</v>
      </c>
    </row>
    <row r="4643">
      <c r="A4643" s="1">
        <v>581501.0</v>
      </c>
      <c r="B4643" s="1" t="str">
        <f t="shared" si="1"/>
        <v>581501</v>
      </c>
      <c r="C4643" s="1" t="str">
        <f t="shared" si="2"/>
        <v>Sale</v>
      </c>
      <c r="D4643" s="1">
        <v>22165.0</v>
      </c>
      <c r="E4643" s="1" t="str">
        <f>IFERROR(__xludf.DUMMYFUNCTION("IF(LEN(D4643)&gt;4, IFERROR(REGEXEXTRACT(TO_TEXT(D4643),""\d+""),""""),"""")"),"22165")</f>
        <v>22165</v>
      </c>
      <c r="F4643" s="6" t="str">
        <f t="shared" si="3"/>
        <v>Product</v>
      </c>
      <c r="G4643" s="1" t="s">
        <v>1544</v>
      </c>
      <c r="H4643" s="6" t="str">
        <f>IFERROR(__xludf.DUMMYFUNCTION("IF(REGEXMATCH(LOWER(G4643), ""^(\?)+\s*(missing)?\s*(\?)*$""), """", PROPER(SUBSTITUTE(SUBSTITUTE(G4643, ""?"", """"), ""*"", """")))"),"Diamante Heart Shaped Wall Mirror,")</f>
        <v>Diamante Heart Shaped Wall Mirror,</v>
      </c>
      <c r="I4643" s="3">
        <v>12.0</v>
      </c>
      <c r="J4643" s="7">
        <v>40886.44861111111</v>
      </c>
      <c r="K4643" s="8" t="str">
        <f t="shared" si="4"/>
        <v>2011-12</v>
      </c>
      <c r="L4643" s="5">
        <v>3.95</v>
      </c>
      <c r="M4643" s="3">
        <v>12985.0</v>
      </c>
      <c r="N4643" s="1" t="str">
        <f t="shared" si="5"/>
        <v>Registered</v>
      </c>
      <c r="O4643" s="1" t="s">
        <v>19</v>
      </c>
      <c r="P4643" s="9" t="str">
        <f t="shared" si="6"/>
        <v>UK</v>
      </c>
      <c r="Q4643" s="8">
        <f t="shared" si="7"/>
        <v>47.4</v>
      </c>
    </row>
    <row r="4644">
      <c r="A4644" s="1">
        <v>581501.0</v>
      </c>
      <c r="B4644" s="1" t="str">
        <f t="shared" si="1"/>
        <v>581501</v>
      </c>
      <c r="C4644" s="1" t="str">
        <f t="shared" si="2"/>
        <v>Sale</v>
      </c>
      <c r="D4644" s="1">
        <v>22299.0</v>
      </c>
      <c r="E4644" s="1" t="str">
        <f>IFERROR(__xludf.DUMMYFUNCTION("IF(LEN(D4644)&gt;4, IFERROR(REGEXEXTRACT(TO_TEXT(D4644),""\d+""),""""),"""")"),"22299")</f>
        <v>22299</v>
      </c>
      <c r="F4644" s="6" t="str">
        <f t="shared" si="3"/>
        <v>Product</v>
      </c>
      <c r="G4644" s="1" t="s">
        <v>2098</v>
      </c>
      <c r="H4644" s="6" t="str">
        <f>IFERROR(__xludf.DUMMYFUNCTION("IF(REGEXMATCH(LOWER(G4644), ""^(\?)+\s*(missing)?\s*(\?)*$""), """", PROPER(SUBSTITUTE(SUBSTITUTE(G4644, ""?"", """"), ""*"", """")))"),"Pig Keyring With Light &amp; Sound")</f>
        <v>Pig Keyring With Light &amp; Sound</v>
      </c>
      <c r="I4644" s="3">
        <v>48.0</v>
      </c>
      <c r="J4644" s="7">
        <v>40886.44861111111</v>
      </c>
      <c r="K4644" s="8" t="str">
        <f t="shared" si="4"/>
        <v>2011-12</v>
      </c>
      <c r="L4644" s="5">
        <v>0.39</v>
      </c>
      <c r="M4644" s="3">
        <v>12985.0</v>
      </c>
      <c r="N4644" s="1" t="str">
        <f t="shared" si="5"/>
        <v>Registered</v>
      </c>
      <c r="O4644" s="1" t="s">
        <v>19</v>
      </c>
      <c r="P4644" s="9" t="str">
        <f t="shared" si="6"/>
        <v>UK</v>
      </c>
      <c r="Q4644" s="8">
        <f t="shared" si="7"/>
        <v>18.72</v>
      </c>
    </row>
    <row r="4645">
      <c r="A4645" s="1">
        <v>581501.0</v>
      </c>
      <c r="B4645" s="1" t="str">
        <f t="shared" si="1"/>
        <v>581501</v>
      </c>
      <c r="C4645" s="1" t="str">
        <f t="shared" si="2"/>
        <v>Sale</v>
      </c>
      <c r="D4645" s="1">
        <v>22447.0</v>
      </c>
      <c r="E4645" s="1" t="str">
        <f>IFERROR(__xludf.DUMMYFUNCTION("IF(LEN(D4645)&gt;4, IFERROR(REGEXEXTRACT(TO_TEXT(D4645),""\d+""),""""),"""")"),"22447")</f>
        <v>22447</v>
      </c>
      <c r="F4645" s="6" t="str">
        <f t="shared" si="3"/>
        <v>Product</v>
      </c>
      <c r="G4645" s="1" t="s">
        <v>2099</v>
      </c>
      <c r="H4645" s="6" t="str">
        <f>IFERROR(__xludf.DUMMYFUNCTION("IF(REGEXMATCH(LOWER(G4645), ""^(\?)+\s*(missing)?\s*(\?)*$""), """", PROPER(SUBSTITUTE(SUBSTITUTE(G4645, ""?"", """"), ""*"", """")))"),"Pin Cushion Babushka Blue")</f>
        <v>Pin Cushion Babushka Blue</v>
      </c>
      <c r="I4645" s="3">
        <v>12.0</v>
      </c>
      <c r="J4645" s="7">
        <v>40886.44861111111</v>
      </c>
      <c r="K4645" s="8" t="str">
        <f t="shared" si="4"/>
        <v>2011-12</v>
      </c>
      <c r="L4645" s="5">
        <v>1.25</v>
      </c>
      <c r="M4645" s="3">
        <v>12985.0</v>
      </c>
      <c r="N4645" s="1" t="str">
        <f t="shared" si="5"/>
        <v>Registered</v>
      </c>
      <c r="O4645" s="1" t="s">
        <v>19</v>
      </c>
      <c r="P4645" s="9" t="str">
        <f t="shared" si="6"/>
        <v>UK</v>
      </c>
      <c r="Q4645" s="8">
        <f t="shared" si="7"/>
        <v>15</v>
      </c>
    </row>
    <row r="4646">
      <c r="A4646" s="1">
        <v>581501.0</v>
      </c>
      <c r="B4646" s="1" t="str">
        <f t="shared" si="1"/>
        <v>581501</v>
      </c>
      <c r="C4646" s="1" t="str">
        <f t="shared" si="2"/>
        <v>Sale</v>
      </c>
      <c r="D4646" s="1">
        <v>22442.0</v>
      </c>
      <c r="E4646" s="1" t="str">
        <f>IFERROR(__xludf.DUMMYFUNCTION("IF(LEN(D4646)&gt;4, IFERROR(REGEXEXTRACT(TO_TEXT(D4646),""\d+""),""""),"""")"),"22442")</f>
        <v>22442</v>
      </c>
      <c r="F4646" s="6" t="str">
        <f t="shared" si="3"/>
        <v>Product</v>
      </c>
      <c r="G4646" s="1" t="s">
        <v>1428</v>
      </c>
      <c r="H4646" s="6" t="str">
        <f>IFERROR(__xludf.DUMMYFUNCTION("IF(REGEXMATCH(LOWER(G4646), ""^(\?)+\s*(missing)?\s*(\?)*$""), """", PROPER(SUBSTITUTE(SUBSTITUTE(G4646, ""?"", """"), ""*"", """")))"),"Grow Your Own Flowers Set Of 3")</f>
        <v>Grow Your Own Flowers Set Of 3</v>
      </c>
      <c r="I4646" s="3">
        <v>12.0</v>
      </c>
      <c r="J4646" s="7">
        <v>40886.44861111111</v>
      </c>
      <c r="K4646" s="8" t="str">
        <f t="shared" si="4"/>
        <v>2011-12</v>
      </c>
      <c r="L4646" s="5">
        <v>1.95</v>
      </c>
      <c r="M4646" s="3">
        <v>12985.0</v>
      </c>
      <c r="N4646" s="1" t="str">
        <f t="shared" si="5"/>
        <v>Registered</v>
      </c>
      <c r="O4646" s="1" t="s">
        <v>19</v>
      </c>
      <c r="P4646" s="9" t="str">
        <f t="shared" si="6"/>
        <v>UK</v>
      </c>
      <c r="Q4646" s="8">
        <f t="shared" si="7"/>
        <v>23.4</v>
      </c>
    </row>
    <row r="4647">
      <c r="A4647" s="1">
        <v>581501.0</v>
      </c>
      <c r="B4647" s="1" t="str">
        <f t="shared" si="1"/>
        <v>581501</v>
      </c>
      <c r="C4647" s="1" t="str">
        <f t="shared" si="2"/>
        <v>Sale</v>
      </c>
      <c r="D4647" s="1">
        <v>22495.0</v>
      </c>
      <c r="E4647" s="1" t="str">
        <f>IFERROR(__xludf.DUMMYFUNCTION("IF(LEN(D4647)&gt;4, IFERROR(REGEXEXTRACT(TO_TEXT(D4647),""\d+""),""""),"""")"),"22495")</f>
        <v>22495</v>
      </c>
      <c r="F4647" s="6" t="str">
        <f t="shared" si="3"/>
        <v>Product</v>
      </c>
      <c r="G4647" s="1" t="s">
        <v>869</v>
      </c>
      <c r="H4647" s="6" t="str">
        <f>IFERROR(__xludf.DUMMYFUNCTION("IF(REGEXMATCH(LOWER(G4647), ""^(\?)+\s*(missing)?\s*(\?)*$""), """", PROPER(SUBSTITUTE(SUBSTITUTE(G4647, ""?"", """"), ""*"", """")))"),"Set Of 2 Round Tins Camembert")</f>
        <v>Set Of 2 Round Tins Camembert</v>
      </c>
      <c r="I4647" s="3">
        <v>12.0</v>
      </c>
      <c r="J4647" s="7">
        <v>40886.44861111111</v>
      </c>
      <c r="K4647" s="8" t="str">
        <f t="shared" si="4"/>
        <v>2011-12</v>
      </c>
      <c r="L4647" s="5">
        <v>0.79</v>
      </c>
      <c r="M4647" s="3">
        <v>12985.0</v>
      </c>
      <c r="N4647" s="1" t="str">
        <f t="shared" si="5"/>
        <v>Registered</v>
      </c>
      <c r="O4647" s="1" t="s">
        <v>19</v>
      </c>
      <c r="P4647" s="9" t="str">
        <f t="shared" si="6"/>
        <v>UK</v>
      </c>
      <c r="Q4647" s="8">
        <f t="shared" si="7"/>
        <v>9.48</v>
      </c>
    </row>
    <row r="4648">
      <c r="A4648" s="1">
        <v>581501.0</v>
      </c>
      <c r="B4648" s="1" t="str">
        <f t="shared" si="1"/>
        <v>581501</v>
      </c>
      <c r="C4648" s="1" t="str">
        <f t="shared" si="2"/>
        <v>Sale</v>
      </c>
      <c r="D4648" s="1">
        <v>22544.0</v>
      </c>
      <c r="E4648" s="1" t="str">
        <f>IFERROR(__xludf.DUMMYFUNCTION("IF(LEN(D4648)&gt;4, IFERROR(REGEXEXTRACT(TO_TEXT(D4648),""\d+""),""""),"""")"),"22544")</f>
        <v>22544</v>
      </c>
      <c r="F4648" s="6" t="str">
        <f t="shared" si="3"/>
        <v>Product</v>
      </c>
      <c r="G4648" s="1" t="s">
        <v>66</v>
      </c>
      <c r="H4648" s="6" t="str">
        <f>IFERROR(__xludf.DUMMYFUNCTION("IF(REGEXMATCH(LOWER(G4648), ""^(\?)+\s*(missing)?\s*(\?)*$""), """", PROPER(SUBSTITUTE(SUBSTITUTE(G4648, ""?"", """"), ""*"", """")))"),"Mini Jigsaw Spaceboy")</f>
        <v>Mini Jigsaw Spaceboy</v>
      </c>
      <c r="I4648" s="3">
        <v>96.0</v>
      </c>
      <c r="J4648" s="7">
        <v>40886.44861111111</v>
      </c>
      <c r="K4648" s="8" t="str">
        <f t="shared" si="4"/>
        <v>2011-12</v>
      </c>
      <c r="L4648" s="5">
        <v>0.19</v>
      </c>
      <c r="M4648" s="3">
        <v>12985.0</v>
      </c>
      <c r="N4648" s="1" t="str">
        <f t="shared" si="5"/>
        <v>Registered</v>
      </c>
      <c r="O4648" s="1" t="s">
        <v>19</v>
      </c>
      <c r="P4648" s="9" t="str">
        <f t="shared" si="6"/>
        <v>UK</v>
      </c>
      <c r="Q4648" s="8">
        <f t="shared" si="7"/>
        <v>18.24</v>
      </c>
    </row>
    <row r="4649">
      <c r="A4649" s="1">
        <v>581501.0</v>
      </c>
      <c r="B4649" s="1" t="str">
        <f t="shared" si="1"/>
        <v>581501</v>
      </c>
      <c r="C4649" s="1" t="str">
        <f t="shared" si="2"/>
        <v>Sale</v>
      </c>
      <c r="D4649" s="1">
        <v>22695.0</v>
      </c>
      <c r="E4649" s="1" t="str">
        <f>IFERROR(__xludf.DUMMYFUNCTION("IF(LEN(D4649)&gt;4, IFERROR(REGEXEXTRACT(TO_TEXT(D4649),""\d+""),""""),"""")"),"22695")</f>
        <v>22695</v>
      </c>
      <c r="F4649" s="6" t="str">
        <f t="shared" si="3"/>
        <v>Product</v>
      </c>
      <c r="G4649" s="1" t="s">
        <v>472</v>
      </c>
      <c r="H4649" s="6" t="str">
        <f>IFERROR(__xludf.DUMMYFUNCTION("IF(REGEXMATCH(LOWER(G4649), ""^(\?)+\s*(missing)?\s*(\?)*$""), """", PROPER(SUBSTITUTE(SUBSTITUTE(G4649, ""?"", """"), ""*"", """")))"),"Wicker Wreath Small")</f>
        <v>Wicker Wreath Small</v>
      </c>
      <c r="I4649" s="3">
        <v>24.0</v>
      </c>
      <c r="J4649" s="7">
        <v>40886.44861111111</v>
      </c>
      <c r="K4649" s="8" t="str">
        <f t="shared" si="4"/>
        <v>2011-12</v>
      </c>
      <c r="L4649" s="5">
        <v>0.59</v>
      </c>
      <c r="M4649" s="3">
        <v>12985.0</v>
      </c>
      <c r="N4649" s="1" t="str">
        <f t="shared" si="5"/>
        <v>Registered</v>
      </c>
      <c r="O4649" s="1" t="s">
        <v>19</v>
      </c>
      <c r="P4649" s="9" t="str">
        <f t="shared" si="6"/>
        <v>UK</v>
      </c>
      <c r="Q4649" s="8">
        <f t="shared" si="7"/>
        <v>14.16</v>
      </c>
    </row>
    <row r="4650">
      <c r="A4650" s="1">
        <v>581501.0</v>
      </c>
      <c r="B4650" s="1" t="str">
        <f t="shared" si="1"/>
        <v>581501</v>
      </c>
      <c r="C4650" s="1" t="str">
        <f t="shared" si="2"/>
        <v>Sale</v>
      </c>
      <c r="D4650" s="1">
        <v>22785.0</v>
      </c>
      <c r="E4650" s="1" t="str">
        <f>IFERROR(__xludf.DUMMYFUNCTION("IF(LEN(D4650)&gt;4, IFERROR(REGEXEXTRACT(TO_TEXT(D4650),""\d+""),""""),"""")"),"22785")</f>
        <v>22785</v>
      </c>
      <c r="F4650" s="6" t="str">
        <f t="shared" si="3"/>
        <v>Product</v>
      </c>
      <c r="G4650" s="1" t="s">
        <v>1589</v>
      </c>
      <c r="H4650" s="6" t="str">
        <f>IFERROR(__xludf.DUMMYFUNCTION("IF(REGEXMATCH(LOWER(G4650), ""^(\?)+\s*(missing)?\s*(\?)*$""), """", PROPER(SUBSTITUTE(SUBSTITUTE(G4650, ""?"", """"), ""*"", """")))"),"Squarecushion Cover Pink Union Jack")</f>
        <v>Squarecushion Cover Pink Union Jack</v>
      </c>
      <c r="I4650" s="3">
        <v>12.0</v>
      </c>
      <c r="J4650" s="7">
        <v>40886.44861111111</v>
      </c>
      <c r="K4650" s="8" t="str">
        <f t="shared" si="4"/>
        <v>2011-12</v>
      </c>
      <c r="L4650" s="5">
        <v>1.25</v>
      </c>
      <c r="M4650" s="3">
        <v>12985.0</v>
      </c>
      <c r="N4650" s="1" t="str">
        <f t="shared" si="5"/>
        <v>Registered</v>
      </c>
      <c r="O4650" s="1" t="s">
        <v>19</v>
      </c>
      <c r="P4650" s="9" t="str">
        <f t="shared" si="6"/>
        <v>UK</v>
      </c>
      <c r="Q4650" s="8">
        <f t="shared" si="7"/>
        <v>15</v>
      </c>
    </row>
    <row r="4651">
      <c r="A4651" s="1">
        <v>581501.0</v>
      </c>
      <c r="B4651" s="1" t="str">
        <f t="shared" si="1"/>
        <v>581501</v>
      </c>
      <c r="C4651" s="1" t="str">
        <f t="shared" si="2"/>
        <v>Sale</v>
      </c>
      <c r="D4651" s="1">
        <v>22811.0</v>
      </c>
      <c r="E4651" s="1" t="str">
        <f>IFERROR(__xludf.DUMMYFUNCTION("IF(LEN(D4651)&gt;4, IFERROR(REGEXEXTRACT(TO_TEXT(D4651),""\d+""),""""),"""")"),"22811")</f>
        <v>22811</v>
      </c>
      <c r="F4651" s="6" t="str">
        <f t="shared" si="3"/>
        <v>Product</v>
      </c>
      <c r="G4651" s="1" t="s">
        <v>1494</v>
      </c>
      <c r="H4651" s="6" t="str">
        <f>IFERROR(__xludf.DUMMYFUNCTION("IF(REGEXMATCH(LOWER(G4651), ""^(\?)+\s*(missing)?\s*(\?)*$""), """", PROPER(SUBSTITUTE(SUBSTITUTE(G4651, ""?"", """"), ""*"", """")))"),"Set Of 6 T-Lights Cacti")</f>
        <v>Set Of 6 T-Lights Cacti</v>
      </c>
      <c r="I4651" s="3">
        <v>12.0</v>
      </c>
      <c r="J4651" s="7">
        <v>40886.44861111111</v>
      </c>
      <c r="K4651" s="8" t="str">
        <f t="shared" si="4"/>
        <v>2011-12</v>
      </c>
      <c r="L4651" s="5">
        <v>1.25</v>
      </c>
      <c r="M4651" s="3">
        <v>12985.0</v>
      </c>
      <c r="N4651" s="1" t="str">
        <f t="shared" si="5"/>
        <v>Registered</v>
      </c>
      <c r="O4651" s="1" t="s">
        <v>19</v>
      </c>
      <c r="P4651" s="9" t="str">
        <f t="shared" si="6"/>
        <v>UK</v>
      </c>
      <c r="Q4651" s="8">
        <f t="shared" si="7"/>
        <v>15</v>
      </c>
    </row>
    <row r="4652">
      <c r="A4652" s="1">
        <v>581501.0</v>
      </c>
      <c r="B4652" s="1" t="str">
        <f t="shared" si="1"/>
        <v>581501</v>
      </c>
      <c r="C4652" s="1" t="str">
        <f t="shared" si="2"/>
        <v>Sale</v>
      </c>
      <c r="D4652" s="1">
        <v>22807.0</v>
      </c>
      <c r="E4652" s="1" t="str">
        <f>IFERROR(__xludf.DUMMYFUNCTION("IF(LEN(D4652)&gt;4, IFERROR(REGEXEXTRACT(TO_TEXT(D4652),""\d+""),""""),"""")"),"22807")</f>
        <v>22807</v>
      </c>
      <c r="F4652" s="6" t="str">
        <f t="shared" si="3"/>
        <v>Product</v>
      </c>
      <c r="G4652" s="1" t="s">
        <v>507</v>
      </c>
      <c r="H4652" s="6" t="str">
        <f>IFERROR(__xludf.DUMMYFUNCTION("IF(REGEXMATCH(LOWER(G4652), ""^(\?)+\s*(missing)?\s*(\?)*$""), """", PROPER(SUBSTITUTE(SUBSTITUTE(G4652, ""?"", """"), ""*"", """")))"),"Set Of 6 T-Lights Toadstools")</f>
        <v>Set Of 6 T-Lights Toadstools</v>
      </c>
      <c r="I4652" s="3">
        <v>12.0</v>
      </c>
      <c r="J4652" s="7">
        <v>40886.44861111111</v>
      </c>
      <c r="K4652" s="8" t="str">
        <f t="shared" si="4"/>
        <v>2011-12</v>
      </c>
      <c r="L4652" s="5">
        <v>1.25</v>
      </c>
      <c r="M4652" s="3">
        <v>12985.0</v>
      </c>
      <c r="N4652" s="1" t="str">
        <f t="shared" si="5"/>
        <v>Registered</v>
      </c>
      <c r="O4652" s="1" t="s">
        <v>19</v>
      </c>
      <c r="P4652" s="9" t="str">
        <f t="shared" si="6"/>
        <v>UK</v>
      </c>
      <c r="Q4652" s="8">
        <f t="shared" si="7"/>
        <v>15</v>
      </c>
    </row>
    <row r="4653">
      <c r="A4653" s="1">
        <v>581501.0</v>
      </c>
      <c r="B4653" s="1" t="str">
        <f t="shared" si="1"/>
        <v>581501</v>
      </c>
      <c r="C4653" s="1" t="str">
        <f t="shared" si="2"/>
        <v>Sale</v>
      </c>
      <c r="D4653" s="1">
        <v>22942.0</v>
      </c>
      <c r="E4653" s="1" t="str">
        <f>IFERROR(__xludf.DUMMYFUNCTION("IF(LEN(D4653)&gt;4, IFERROR(REGEXEXTRACT(TO_TEXT(D4653),""\d+""),""""),"""")"),"22942")</f>
        <v>22942</v>
      </c>
      <c r="F4653" s="6" t="str">
        <f t="shared" si="3"/>
        <v>Product</v>
      </c>
      <c r="G4653" s="1" t="s">
        <v>489</v>
      </c>
      <c r="H4653" s="6" t="str">
        <f>IFERROR(__xludf.DUMMYFUNCTION("IF(REGEXMATCH(LOWER(G4653), ""^(\?)+\s*(missing)?\s*(\?)*$""), """", PROPER(SUBSTITUTE(SUBSTITUTE(G4653, ""?"", """"), ""*"", """")))"),"Christmas Lights 10 Santas")</f>
        <v>Christmas Lights 10 Santas</v>
      </c>
      <c r="I4653" s="3">
        <v>12.0</v>
      </c>
      <c r="J4653" s="7">
        <v>40886.44861111111</v>
      </c>
      <c r="K4653" s="8" t="str">
        <f t="shared" si="4"/>
        <v>2011-12</v>
      </c>
      <c r="L4653" s="5">
        <v>2.95</v>
      </c>
      <c r="M4653" s="3">
        <v>12985.0</v>
      </c>
      <c r="N4653" s="1" t="str">
        <f t="shared" si="5"/>
        <v>Registered</v>
      </c>
      <c r="O4653" s="1" t="s">
        <v>19</v>
      </c>
      <c r="P4653" s="9" t="str">
        <f t="shared" si="6"/>
        <v>UK</v>
      </c>
      <c r="Q4653" s="8">
        <f t="shared" si="7"/>
        <v>35.4</v>
      </c>
    </row>
    <row r="4654">
      <c r="A4654" s="1">
        <v>581501.0</v>
      </c>
      <c r="B4654" s="1" t="str">
        <f t="shared" si="1"/>
        <v>581501</v>
      </c>
      <c r="C4654" s="1" t="str">
        <f t="shared" si="2"/>
        <v>Sale</v>
      </c>
      <c r="D4654" s="1">
        <v>22808.0</v>
      </c>
      <c r="E4654" s="1" t="str">
        <f>IFERROR(__xludf.DUMMYFUNCTION("IF(LEN(D4654)&gt;4, IFERROR(REGEXEXTRACT(TO_TEXT(D4654),""\d+""),""""),"""")"),"22808")</f>
        <v>22808</v>
      </c>
      <c r="F4654" s="6" t="str">
        <f t="shared" si="3"/>
        <v>Product</v>
      </c>
      <c r="G4654" s="1" t="s">
        <v>1276</v>
      </c>
      <c r="H4654" s="6" t="str">
        <f>IFERROR(__xludf.DUMMYFUNCTION("IF(REGEXMATCH(LOWER(G4654), ""^(\?)+\s*(missing)?\s*(\?)*$""), """", PROPER(SUBSTITUTE(SUBSTITUTE(G4654, ""?"", """"), ""*"", """")))"),"Set Of 6 T-Lights Easter Chicks")</f>
        <v>Set Of 6 T-Lights Easter Chicks</v>
      </c>
      <c r="I4654" s="3">
        <v>12.0</v>
      </c>
      <c r="J4654" s="7">
        <v>40886.44861111111</v>
      </c>
      <c r="K4654" s="8" t="str">
        <f t="shared" si="4"/>
        <v>2011-12</v>
      </c>
      <c r="L4654" s="5">
        <v>1.25</v>
      </c>
      <c r="M4654" s="3">
        <v>12985.0</v>
      </c>
      <c r="N4654" s="1" t="str">
        <f t="shared" si="5"/>
        <v>Registered</v>
      </c>
      <c r="O4654" s="1" t="s">
        <v>19</v>
      </c>
      <c r="P4654" s="9" t="str">
        <f t="shared" si="6"/>
        <v>UK</v>
      </c>
      <c r="Q4654" s="8">
        <f t="shared" si="7"/>
        <v>15</v>
      </c>
    </row>
    <row r="4655">
      <c r="A4655" s="1">
        <v>581501.0</v>
      </c>
      <c r="B4655" s="1" t="str">
        <f t="shared" si="1"/>
        <v>581501</v>
      </c>
      <c r="C4655" s="1" t="str">
        <f t="shared" si="2"/>
        <v>Sale</v>
      </c>
      <c r="D4655" s="1">
        <v>23143.0</v>
      </c>
      <c r="E4655" s="1" t="str">
        <f>IFERROR(__xludf.DUMMYFUNCTION("IF(LEN(D4655)&gt;4, IFERROR(REGEXEXTRACT(TO_TEXT(D4655),""\d+""),""""),"""")"),"23143")</f>
        <v>23143</v>
      </c>
      <c r="F4655" s="6" t="str">
        <f t="shared" si="3"/>
        <v>Product</v>
      </c>
      <c r="G4655" s="1" t="s">
        <v>2100</v>
      </c>
      <c r="H4655" s="6" t="str">
        <f>IFERROR(__xludf.DUMMYFUNCTION("IF(REGEXMATCH(LOWER(G4655), ""^(\?)+\s*(missing)?\s*(\?)*$""), """", PROPER(SUBSTITUTE(SUBSTITUTE(G4655, ""?"", """"), ""*"", """")))"),"Zinc Wire Kitchen Organiser")</f>
        <v>Zinc Wire Kitchen Organiser</v>
      </c>
      <c r="I4655" s="3">
        <v>4.0</v>
      </c>
      <c r="J4655" s="7">
        <v>40886.44861111111</v>
      </c>
      <c r="K4655" s="8" t="str">
        <f t="shared" si="4"/>
        <v>2011-12</v>
      </c>
      <c r="L4655" s="5">
        <v>3.95</v>
      </c>
      <c r="M4655" s="3">
        <v>12985.0</v>
      </c>
      <c r="N4655" s="1" t="str">
        <f t="shared" si="5"/>
        <v>Registered</v>
      </c>
      <c r="O4655" s="1" t="s">
        <v>19</v>
      </c>
      <c r="P4655" s="9" t="str">
        <f t="shared" si="6"/>
        <v>UK</v>
      </c>
      <c r="Q4655" s="8">
        <f t="shared" si="7"/>
        <v>15.8</v>
      </c>
    </row>
    <row r="4656">
      <c r="A4656" s="1">
        <v>581501.0</v>
      </c>
      <c r="B4656" s="1" t="str">
        <f t="shared" si="1"/>
        <v>581501</v>
      </c>
      <c r="C4656" s="1" t="str">
        <f t="shared" si="2"/>
        <v>Sale</v>
      </c>
      <c r="D4656" s="1">
        <v>23151.0</v>
      </c>
      <c r="E4656" s="1" t="str">
        <f>IFERROR(__xludf.DUMMYFUNCTION("IF(LEN(D4656)&gt;4, IFERROR(REGEXEXTRACT(TO_TEXT(D4656),""\d+""),""""),"""")"),"23151")</f>
        <v>23151</v>
      </c>
      <c r="F4656" s="6" t="str">
        <f t="shared" si="3"/>
        <v>Product</v>
      </c>
      <c r="G4656" s="1" t="s">
        <v>1556</v>
      </c>
      <c r="H4656" s="6" t="str">
        <f>IFERROR(__xludf.DUMMYFUNCTION("IF(REGEXMATCH(LOWER(G4656), ""^(\?)+\s*(missing)?\s*(\?)*$""), """", PROPER(SUBSTITUTE(SUBSTITUTE(G4656, ""?"", """"), ""*"", """")))"),"Zinc Sweetheart Soap Dish")</f>
        <v>Zinc Sweetheart Soap Dish</v>
      </c>
      <c r="I4656" s="3">
        <v>12.0</v>
      </c>
      <c r="J4656" s="7">
        <v>40886.44861111111</v>
      </c>
      <c r="K4656" s="8" t="str">
        <f t="shared" si="4"/>
        <v>2011-12</v>
      </c>
      <c r="L4656" s="5">
        <v>0.79</v>
      </c>
      <c r="M4656" s="3">
        <v>12985.0</v>
      </c>
      <c r="N4656" s="1" t="str">
        <f t="shared" si="5"/>
        <v>Registered</v>
      </c>
      <c r="O4656" s="1" t="s">
        <v>19</v>
      </c>
      <c r="P4656" s="9" t="str">
        <f t="shared" si="6"/>
        <v>UK</v>
      </c>
      <c r="Q4656" s="8">
        <f t="shared" si="7"/>
        <v>9.48</v>
      </c>
    </row>
    <row r="4657">
      <c r="A4657" s="1">
        <v>581501.0</v>
      </c>
      <c r="B4657" s="1" t="str">
        <f t="shared" si="1"/>
        <v>581501</v>
      </c>
      <c r="C4657" s="1" t="str">
        <f t="shared" si="2"/>
        <v>Sale</v>
      </c>
      <c r="D4657" s="1">
        <v>23425.0</v>
      </c>
      <c r="E4657" s="1" t="str">
        <f>IFERROR(__xludf.DUMMYFUNCTION("IF(LEN(D4657)&gt;4, IFERROR(REGEXEXTRACT(TO_TEXT(D4657),""\d+""),""""),"""")"),"23425")</f>
        <v>23425</v>
      </c>
      <c r="F4657" s="6" t="str">
        <f t="shared" si="3"/>
        <v>Product</v>
      </c>
      <c r="G4657" s="1" t="s">
        <v>2101</v>
      </c>
      <c r="H4657" s="6" t="str">
        <f>IFERROR(__xludf.DUMMYFUNCTION("IF(REGEXMATCH(LOWER(G4657), ""^(\?)+\s*(missing)?\s*(\?)*$""), """", PROPER(SUBSTITUTE(SUBSTITUTE(G4657, ""?"", """"), ""*"", """")))"),"Storage Tin Home Sweet Home")</f>
        <v>Storage Tin Home Sweet Home</v>
      </c>
      <c r="I4657" s="3">
        <v>12.0</v>
      </c>
      <c r="J4657" s="7">
        <v>40886.44861111111</v>
      </c>
      <c r="K4657" s="8" t="str">
        <f t="shared" si="4"/>
        <v>2011-12</v>
      </c>
      <c r="L4657" s="5">
        <v>0.79</v>
      </c>
      <c r="M4657" s="3">
        <v>12985.0</v>
      </c>
      <c r="N4657" s="1" t="str">
        <f t="shared" si="5"/>
        <v>Registered</v>
      </c>
      <c r="O4657" s="1" t="s">
        <v>19</v>
      </c>
      <c r="P4657" s="9" t="str">
        <f t="shared" si="6"/>
        <v>UK</v>
      </c>
      <c r="Q4657" s="8">
        <f t="shared" si="7"/>
        <v>9.48</v>
      </c>
    </row>
    <row r="4658">
      <c r="A4658" s="1">
        <v>581501.0</v>
      </c>
      <c r="B4658" s="1" t="str">
        <f t="shared" si="1"/>
        <v>581501</v>
      </c>
      <c r="C4658" s="1" t="str">
        <f t="shared" si="2"/>
        <v>Sale</v>
      </c>
      <c r="D4658" s="1">
        <v>84356.0</v>
      </c>
      <c r="E4658" s="1" t="str">
        <f>IFERROR(__xludf.DUMMYFUNCTION("IF(LEN(D4658)&gt;4, IFERROR(REGEXEXTRACT(TO_TEXT(D4658),""\d+""),""""),"""")"),"84356")</f>
        <v>84356</v>
      </c>
      <c r="F4658" s="6" t="str">
        <f t="shared" si="3"/>
        <v>Product</v>
      </c>
      <c r="G4658" s="1" t="s">
        <v>1215</v>
      </c>
      <c r="H4658" s="6" t="str">
        <f>IFERROR(__xludf.DUMMYFUNCTION("IF(REGEXMATCH(LOWER(G4658), ""^(\?)+\s*(missing)?\s*(\?)*$""), """", PROPER(SUBSTITUTE(SUBSTITUTE(G4658, ""?"", """"), ""*"", """")))"),"Pompom Curtain")</f>
        <v>Pompom Curtain</v>
      </c>
      <c r="I4658" s="3">
        <v>12.0</v>
      </c>
      <c r="J4658" s="7">
        <v>40886.44861111111</v>
      </c>
      <c r="K4658" s="8" t="str">
        <f t="shared" si="4"/>
        <v>2011-12</v>
      </c>
      <c r="L4658" s="5">
        <v>1.95</v>
      </c>
      <c r="M4658" s="3">
        <v>12985.0</v>
      </c>
      <c r="N4658" s="1" t="str">
        <f t="shared" si="5"/>
        <v>Registered</v>
      </c>
      <c r="O4658" s="1" t="s">
        <v>19</v>
      </c>
      <c r="P4658" s="9" t="str">
        <f t="shared" si="6"/>
        <v>UK</v>
      </c>
      <c r="Q4658" s="8">
        <f t="shared" si="7"/>
        <v>23.4</v>
      </c>
    </row>
    <row r="4659">
      <c r="A4659" s="1">
        <v>581501.0</v>
      </c>
      <c r="B4659" s="1" t="str">
        <f t="shared" si="1"/>
        <v>581501</v>
      </c>
      <c r="C4659" s="1" t="str">
        <f t="shared" si="2"/>
        <v>Sale</v>
      </c>
      <c r="D4659" s="1">
        <v>85173.0</v>
      </c>
      <c r="E4659" s="1" t="str">
        <f>IFERROR(__xludf.DUMMYFUNCTION("IF(LEN(D4659)&gt;4, IFERROR(REGEXEXTRACT(TO_TEXT(D4659),""\d+""),""""),"""")"),"85173")</f>
        <v>85173</v>
      </c>
      <c r="F4659" s="6" t="str">
        <f t="shared" si="3"/>
        <v>Product</v>
      </c>
      <c r="G4659" s="1" t="s">
        <v>1832</v>
      </c>
      <c r="H4659" s="6" t="str">
        <f>IFERROR(__xludf.DUMMYFUNCTION("IF(REGEXMATCH(LOWER(G4659), ""^(\?)+\s*(missing)?\s*(\?)*$""), """", PROPER(SUBSTITUTE(SUBSTITUTE(G4659, ""?"", """"), ""*"", """")))"),"Set/6 Frog Prince T-Light Candles")</f>
        <v>Set/6 Frog Prince T-Light Candles</v>
      </c>
      <c r="I4659" s="3">
        <v>12.0</v>
      </c>
      <c r="J4659" s="7">
        <v>40886.44861111111</v>
      </c>
      <c r="K4659" s="8" t="str">
        <f t="shared" si="4"/>
        <v>2011-12</v>
      </c>
      <c r="L4659" s="5">
        <v>0.79</v>
      </c>
      <c r="M4659" s="3">
        <v>12985.0</v>
      </c>
      <c r="N4659" s="1" t="str">
        <f t="shared" si="5"/>
        <v>Registered</v>
      </c>
      <c r="O4659" s="1" t="s">
        <v>19</v>
      </c>
      <c r="P4659" s="9" t="str">
        <f t="shared" si="6"/>
        <v>UK</v>
      </c>
      <c r="Q4659" s="8">
        <f t="shared" si="7"/>
        <v>9.48</v>
      </c>
    </row>
    <row r="4660">
      <c r="A4660" s="1">
        <v>581501.0</v>
      </c>
      <c r="B4660" s="1" t="str">
        <f t="shared" si="1"/>
        <v>581501</v>
      </c>
      <c r="C4660" s="1" t="str">
        <f t="shared" si="2"/>
        <v>Sale</v>
      </c>
      <c r="D4660" s="1">
        <v>21731.0</v>
      </c>
      <c r="E4660" s="1" t="str">
        <f>IFERROR(__xludf.DUMMYFUNCTION("IF(LEN(D4660)&gt;4, IFERROR(REGEXEXTRACT(TO_TEXT(D4660),""\d+""),""""),"""")"),"21731")</f>
        <v>21731</v>
      </c>
      <c r="F4660" s="6" t="str">
        <f t="shared" si="3"/>
        <v>Product</v>
      </c>
      <c r="G4660" s="1" t="s">
        <v>62</v>
      </c>
      <c r="H4660" s="6" t="str">
        <f>IFERROR(__xludf.DUMMYFUNCTION("IF(REGEXMATCH(LOWER(G4660), ""^(\?)+\s*(missing)?\s*(\?)*$""), """", PROPER(SUBSTITUTE(SUBSTITUTE(G4660, ""?"", """"), ""*"", """")))"),"Red Toadstool Led Night Light")</f>
        <v>Red Toadstool Led Night Light</v>
      </c>
      <c r="I4660" s="3">
        <v>24.0</v>
      </c>
      <c r="J4660" s="7">
        <v>40886.44861111111</v>
      </c>
      <c r="K4660" s="8" t="str">
        <f t="shared" si="4"/>
        <v>2011-12</v>
      </c>
      <c r="L4660" s="5">
        <v>1.65</v>
      </c>
      <c r="M4660" s="3">
        <v>12985.0</v>
      </c>
      <c r="N4660" s="1" t="str">
        <f t="shared" si="5"/>
        <v>Registered</v>
      </c>
      <c r="O4660" s="1" t="s">
        <v>19</v>
      </c>
      <c r="P4660" s="9" t="str">
        <f t="shared" si="6"/>
        <v>UK</v>
      </c>
      <c r="Q4660" s="8">
        <f t="shared" si="7"/>
        <v>39.6</v>
      </c>
    </row>
    <row r="4661">
      <c r="A4661" s="1">
        <v>581501.0</v>
      </c>
      <c r="B4661" s="1" t="str">
        <f t="shared" si="1"/>
        <v>581501</v>
      </c>
      <c r="C4661" s="1" t="str">
        <f t="shared" si="2"/>
        <v>Sale</v>
      </c>
      <c r="D4661" s="1">
        <v>23480.0</v>
      </c>
      <c r="E4661" s="1" t="str">
        <f>IFERROR(__xludf.DUMMYFUNCTION("IF(LEN(D4661)&gt;4, IFERROR(REGEXEXTRACT(TO_TEXT(D4661),""\d+""),""""),"""")"),"23480")</f>
        <v>23480</v>
      </c>
      <c r="F4661" s="6" t="str">
        <f t="shared" si="3"/>
        <v>Product</v>
      </c>
      <c r="G4661" s="1" t="s">
        <v>1476</v>
      </c>
      <c r="H4661" s="6" t="str">
        <f>IFERROR(__xludf.DUMMYFUNCTION("IF(REGEXMATCH(LOWER(G4661), ""^(\?)+\s*(missing)?\s*(\?)*$""), """", PROPER(SUBSTITUTE(SUBSTITUTE(G4661, ""?"", """"), ""*"", """")))"),"Mini Lights Woodland Mushrooms")</f>
        <v>Mini Lights Woodland Mushrooms</v>
      </c>
      <c r="I4661" s="3">
        <v>8.0</v>
      </c>
      <c r="J4661" s="7">
        <v>40886.44861111111</v>
      </c>
      <c r="K4661" s="8" t="str">
        <f t="shared" si="4"/>
        <v>2011-12</v>
      </c>
      <c r="L4661" s="5">
        <v>3.75</v>
      </c>
      <c r="M4661" s="3">
        <v>12985.0</v>
      </c>
      <c r="N4661" s="1" t="str">
        <f t="shared" si="5"/>
        <v>Registered</v>
      </c>
      <c r="O4661" s="1" t="s">
        <v>19</v>
      </c>
      <c r="P4661" s="9" t="str">
        <f t="shared" si="6"/>
        <v>UK</v>
      </c>
      <c r="Q4661" s="8">
        <f t="shared" si="7"/>
        <v>30</v>
      </c>
    </row>
    <row r="4662">
      <c r="A4662" s="1">
        <v>581501.0</v>
      </c>
      <c r="B4662" s="1" t="str">
        <f t="shared" si="1"/>
        <v>581501</v>
      </c>
      <c r="C4662" s="1" t="str">
        <f t="shared" si="2"/>
        <v>Sale</v>
      </c>
      <c r="D4662" s="1">
        <v>22545.0</v>
      </c>
      <c r="E4662" s="1" t="str">
        <f>IFERROR(__xludf.DUMMYFUNCTION("IF(LEN(D4662)&gt;4, IFERROR(REGEXEXTRACT(TO_TEXT(D4662),""\d+""),""""),"""")"),"22545")</f>
        <v>22545</v>
      </c>
      <c r="F4662" s="6" t="str">
        <f t="shared" si="3"/>
        <v>Product</v>
      </c>
      <c r="G4662" s="1" t="s">
        <v>2102</v>
      </c>
      <c r="H4662" s="6" t="str">
        <f>IFERROR(__xludf.DUMMYFUNCTION("IF(REGEXMATCH(LOWER(G4662), ""^(\?)+\s*(missing)?\s*(\?)*$""), """", PROPER(SUBSTITUTE(SUBSTITUTE(G4662, ""?"", """"), ""*"", """")))"),"Mini Jigsaw Bunnies")</f>
        <v>Mini Jigsaw Bunnies</v>
      </c>
      <c r="I4662" s="3">
        <v>96.0</v>
      </c>
      <c r="J4662" s="7">
        <v>40886.44861111111</v>
      </c>
      <c r="K4662" s="8" t="str">
        <f t="shared" si="4"/>
        <v>2011-12</v>
      </c>
      <c r="L4662" s="5">
        <v>0.19</v>
      </c>
      <c r="M4662" s="3">
        <v>12985.0</v>
      </c>
      <c r="N4662" s="1" t="str">
        <f t="shared" si="5"/>
        <v>Registered</v>
      </c>
      <c r="O4662" s="1" t="s">
        <v>19</v>
      </c>
      <c r="P4662" s="9" t="str">
        <f t="shared" si="6"/>
        <v>UK</v>
      </c>
      <c r="Q4662" s="8">
        <f t="shared" si="7"/>
        <v>18.24</v>
      </c>
    </row>
    <row r="4663">
      <c r="A4663" s="1">
        <v>581502.0</v>
      </c>
      <c r="B4663" s="1" t="str">
        <f t="shared" si="1"/>
        <v>581502</v>
      </c>
      <c r="C4663" s="1" t="str">
        <f t="shared" si="2"/>
        <v>Sale</v>
      </c>
      <c r="D4663" s="1">
        <v>22087.0</v>
      </c>
      <c r="E4663" s="1" t="str">
        <f>IFERROR(__xludf.DUMMYFUNCTION("IF(LEN(D4663)&gt;4, IFERROR(REGEXEXTRACT(TO_TEXT(D4663),""\d+""),""""),"""")"),"22087")</f>
        <v>22087</v>
      </c>
      <c r="F4663" s="6" t="str">
        <f t="shared" si="3"/>
        <v>Product</v>
      </c>
      <c r="G4663" s="1" t="s">
        <v>626</v>
      </c>
      <c r="H4663" s="6" t="str">
        <f>IFERROR(__xludf.DUMMYFUNCTION("IF(REGEXMATCH(LOWER(G4663), ""^(\?)+\s*(missing)?\s*(\?)*$""), """", PROPER(SUBSTITUTE(SUBSTITUTE(G4663, ""?"", """"), ""*"", """")))"),"Paper Bunting White Lace")</f>
        <v>Paper Bunting White Lace</v>
      </c>
      <c r="I4663" s="3">
        <v>6.0</v>
      </c>
      <c r="J4663" s="7">
        <v>40886.45208333333</v>
      </c>
      <c r="K4663" s="8" t="str">
        <f t="shared" si="4"/>
        <v>2011-12</v>
      </c>
      <c r="L4663" s="5">
        <v>2.95</v>
      </c>
      <c r="M4663" s="3">
        <v>15910.0</v>
      </c>
      <c r="N4663" s="1" t="str">
        <f t="shared" si="5"/>
        <v>Registered</v>
      </c>
      <c r="O4663" s="1" t="s">
        <v>19</v>
      </c>
      <c r="P4663" s="9" t="str">
        <f t="shared" si="6"/>
        <v>UK</v>
      </c>
      <c r="Q4663" s="8">
        <f t="shared" si="7"/>
        <v>17.7</v>
      </c>
    </row>
    <row r="4664">
      <c r="A4664" s="1">
        <v>581502.0</v>
      </c>
      <c r="B4664" s="1" t="str">
        <f t="shared" si="1"/>
        <v>581502</v>
      </c>
      <c r="C4664" s="1" t="str">
        <f t="shared" si="2"/>
        <v>Sale</v>
      </c>
      <c r="D4664" s="1">
        <v>21209.0</v>
      </c>
      <c r="E4664" s="1" t="str">
        <f>IFERROR(__xludf.DUMMYFUNCTION("IF(LEN(D4664)&gt;4, IFERROR(REGEXEXTRACT(TO_TEXT(D4664),""\d+""),""""),"""")"),"21209")</f>
        <v>21209</v>
      </c>
      <c r="F4664" s="6" t="str">
        <f t="shared" si="3"/>
        <v>Product</v>
      </c>
      <c r="G4664" s="1" t="s">
        <v>743</v>
      </c>
      <c r="H4664" s="6" t="str">
        <f>IFERROR(__xludf.DUMMYFUNCTION("IF(REGEXMATCH(LOWER(G4664), ""^(\?)+\s*(missing)?\s*(\?)*$""), """", PROPER(SUBSTITUTE(SUBSTITUTE(G4664, ""?"", """"), ""*"", """")))"),"Multicolour Honeycomb Fan")</f>
        <v>Multicolour Honeycomb Fan</v>
      </c>
      <c r="I4664" s="3">
        <v>5.0</v>
      </c>
      <c r="J4664" s="7">
        <v>40886.45208333333</v>
      </c>
      <c r="K4664" s="8" t="str">
        <f t="shared" si="4"/>
        <v>2011-12</v>
      </c>
      <c r="L4664" s="5">
        <v>0.39</v>
      </c>
      <c r="M4664" s="3">
        <v>15910.0</v>
      </c>
      <c r="N4664" s="1" t="str">
        <f t="shared" si="5"/>
        <v>Registered</v>
      </c>
      <c r="O4664" s="1" t="s">
        <v>19</v>
      </c>
      <c r="P4664" s="9" t="str">
        <f t="shared" si="6"/>
        <v>UK</v>
      </c>
      <c r="Q4664" s="8">
        <f t="shared" si="7"/>
        <v>1.95</v>
      </c>
    </row>
    <row r="4665">
      <c r="A4665" s="1">
        <v>581502.0</v>
      </c>
      <c r="B4665" s="1" t="str">
        <f t="shared" si="1"/>
        <v>581502</v>
      </c>
      <c r="C4665" s="1" t="str">
        <f t="shared" si="2"/>
        <v>Sale</v>
      </c>
      <c r="D4665" s="1">
        <v>20668.0</v>
      </c>
      <c r="E4665" s="1" t="str">
        <f>IFERROR(__xludf.DUMMYFUNCTION("IF(LEN(D4665)&gt;4, IFERROR(REGEXEXTRACT(TO_TEXT(D4665),""\d+""),""""),"""")"),"20668")</f>
        <v>20668</v>
      </c>
      <c r="F4665" s="6" t="str">
        <f t="shared" si="3"/>
        <v>Product</v>
      </c>
      <c r="G4665" s="1" t="s">
        <v>216</v>
      </c>
      <c r="H4665" s="6" t="str">
        <f>IFERROR(__xludf.DUMMYFUNCTION("IF(REGEXMATCH(LOWER(G4665), ""^(\?)+\s*(missing)?\s*(\?)*$""), """", PROPER(SUBSTITUTE(SUBSTITUTE(G4665, ""?"", """"), ""*"", """")))"),"Disco Ball Christmas Decoration")</f>
        <v>Disco Ball Christmas Decoration</v>
      </c>
      <c r="I4665" s="3">
        <v>24.0</v>
      </c>
      <c r="J4665" s="7">
        <v>40886.45208333333</v>
      </c>
      <c r="K4665" s="8" t="str">
        <f t="shared" si="4"/>
        <v>2011-12</v>
      </c>
      <c r="L4665" s="5">
        <v>0.12</v>
      </c>
      <c r="M4665" s="3">
        <v>15910.0</v>
      </c>
      <c r="N4665" s="1" t="str">
        <f t="shared" si="5"/>
        <v>Registered</v>
      </c>
      <c r="O4665" s="1" t="s">
        <v>19</v>
      </c>
      <c r="P4665" s="9" t="str">
        <f t="shared" si="6"/>
        <v>UK</v>
      </c>
      <c r="Q4665" s="8">
        <f t="shared" si="7"/>
        <v>2.88</v>
      </c>
    </row>
    <row r="4666">
      <c r="A4666" s="1">
        <v>581502.0</v>
      </c>
      <c r="B4666" s="1" t="str">
        <f t="shared" si="1"/>
        <v>581502</v>
      </c>
      <c r="C4666" s="1" t="str">
        <f t="shared" si="2"/>
        <v>Sale</v>
      </c>
      <c r="D4666" s="1">
        <v>21790.0</v>
      </c>
      <c r="E4666" s="1" t="str">
        <f>IFERROR(__xludf.DUMMYFUNCTION("IF(LEN(D4666)&gt;4, IFERROR(REGEXEXTRACT(TO_TEXT(D4666),""\d+""),""""),"""")"),"21790")</f>
        <v>21790</v>
      </c>
      <c r="F4666" s="6" t="str">
        <f t="shared" si="3"/>
        <v>Product</v>
      </c>
      <c r="G4666" s="1" t="s">
        <v>477</v>
      </c>
      <c r="H4666" s="6" t="str">
        <f>IFERROR(__xludf.DUMMYFUNCTION("IF(REGEXMATCH(LOWER(G4666), ""^(\?)+\s*(missing)?\s*(\?)*$""), """", PROPER(SUBSTITUTE(SUBSTITUTE(G4666, ""?"", """"), ""*"", """")))"),"Vintage Snap Cards")</f>
        <v>Vintage Snap Cards</v>
      </c>
      <c r="I4666" s="3">
        <v>6.0</v>
      </c>
      <c r="J4666" s="7">
        <v>40886.45208333333</v>
      </c>
      <c r="K4666" s="8" t="str">
        <f t="shared" si="4"/>
        <v>2011-12</v>
      </c>
      <c r="L4666" s="5">
        <v>0.85</v>
      </c>
      <c r="M4666" s="3">
        <v>15910.0</v>
      </c>
      <c r="N4666" s="1" t="str">
        <f t="shared" si="5"/>
        <v>Registered</v>
      </c>
      <c r="O4666" s="1" t="s">
        <v>19</v>
      </c>
      <c r="P4666" s="9" t="str">
        <f t="shared" si="6"/>
        <v>UK</v>
      </c>
      <c r="Q4666" s="8">
        <f t="shared" si="7"/>
        <v>5.1</v>
      </c>
    </row>
    <row r="4667">
      <c r="A4667" s="1">
        <v>581502.0</v>
      </c>
      <c r="B4667" s="1" t="str">
        <f t="shared" si="1"/>
        <v>581502</v>
      </c>
      <c r="C4667" s="1" t="str">
        <f t="shared" si="2"/>
        <v>Sale</v>
      </c>
      <c r="D4667" s="1">
        <v>23270.0</v>
      </c>
      <c r="E4667" s="1" t="str">
        <f>IFERROR(__xludf.DUMMYFUNCTION("IF(LEN(D4667)&gt;4, IFERROR(REGEXEXTRACT(TO_TEXT(D4667),""\d+""),""""),"""")"),"23270")</f>
        <v>23270</v>
      </c>
      <c r="F4667" s="6" t="str">
        <f t="shared" si="3"/>
        <v>Product</v>
      </c>
      <c r="G4667" s="1" t="s">
        <v>2103</v>
      </c>
      <c r="H4667" s="6" t="str">
        <f>IFERROR(__xludf.DUMMYFUNCTION("IF(REGEXMATCH(LOWER(G4667), ""^(\?)+\s*(missing)?\s*(\?)*$""), """", PROPER(SUBSTITUTE(SUBSTITUTE(G4667, ""?"", """"), ""*"", """")))"),"Set Of 2 Ceramic Painted Hearts")</f>
        <v>Set Of 2 Ceramic Painted Hearts</v>
      </c>
      <c r="I4667" s="3">
        <v>4.0</v>
      </c>
      <c r="J4667" s="7">
        <v>40886.45208333333</v>
      </c>
      <c r="K4667" s="8" t="str">
        <f t="shared" si="4"/>
        <v>2011-12</v>
      </c>
      <c r="L4667" s="5">
        <v>1.45</v>
      </c>
      <c r="M4667" s="3">
        <v>15910.0</v>
      </c>
      <c r="N4667" s="1" t="str">
        <f t="shared" si="5"/>
        <v>Registered</v>
      </c>
      <c r="O4667" s="1" t="s">
        <v>19</v>
      </c>
      <c r="P4667" s="9" t="str">
        <f t="shared" si="6"/>
        <v>UK</v>
      </c>
      <c r="Q4667" s="8">
        <f t="shared" si="7"/>
        <v>5.8</v>
      </c>
    </row>
    <row r="4668">
      <c r="A4668" s="1">
        <v>581502.0</v>
      </c>
      <c r="B4668" s="1" t="str">
        <f t="shared" si="1"/>
        <v>581502</v>
      </c>
      <c r="C4668" s="1" t="str">
        <f t="shared" si="2"/>
        <v>Sale</v>
      </c>
      <c r="D4668" s="1">
        <v>23103.0</v>
      </c>
      <c r="E4668" s="1" t="str">
        <f>IFERROR(__xludf.DUMMYFUNCTION("IF(LEN(D4668)&gt;4, IFERROR(REGEXEXTRACT(TO_TEXT(D4668),""\d+""),""""),"""")"),"23103")</f>
        <v>23103</v>
      </c>
      <c r="F4668" s="6" t="str">
        <f t="shared" si="3"/>
        <v>Product</v>
      </c>
      <c r="G4668" s="1" t="s">
        <v>1982</v>
      </c>
      <c r="H4668" s="6" t="str">
        <f>IFERROR(__xludf.DUMMYFUNCTION("IF(REGEXMATCH(LOWER(G4668), ""^(\?)+\s*(missing)?\s*(\?)*$""), """", PROPER(SUBSTITUTE(SUBSTITUTE(G4668, ""?"", """"), ""*"", """")))"),"Jingle Bell Heart Decoration")</f>
        <v>Jingle Bell Heart Decoration</v>
      </c>
      <c r="I4668" s="3">
        <v>8.0</v>
      </c>
      <c r="J4668" s="7">
        <v>40886.45208333333</v>
      </c>
      <c r="K4668" s="8" t="str">
        <f t="shared" si="4"/>
        <v>2011-12</v>
      </c>
      <c r="L4668" s="5">
        <v>1.65</v>
      </c>
      <c r="M4668" s="3">
        <v>15910.0</v>
      </c>
      <c r="N4668" s="1" t="str">
        <f t="shared" si="5"/>
        <v>Registered</v>
      </c>
      <c r="O4668" s="1" t="s">
        <v>19</v>
      </c>
      <c r="P4668" s="9" t="str">
        <f t="shared" si="6"/>
        <v>UK</v>
      </c>
      <c r="Q4668" s="8">
        <f t="shared" si="7"/>
        <v>13.2</v>
      </c>
    </row>
    <row r="4669">
      <c r="A4669" s="1">
        <v>581502.0</v>
      </c>
      <c r="B4669" s="1" t="str">
        <f t="shared" si="1"/>
        <v>581502</v>
      </c>
      <c r="C4669" s="1" t="str">
        <f t="shared" si="2"/>
        <v>Sale</v>
      </c>
      <c r="D4669" s="1">
        <v>22576.0</v>
      </c>
      <c r="E4669" s="1" t="str">
        <f>IFERROR(__xludf.DUMMYFUNCTION("IF(LEN(D4669)&gt;4, IFERROR(REGEXEXTRACT(TO_TEXT(D4669),""\d+""),""""),"""")"),"22576")</f>
        <v>22576</v>
      </c>
      <c r="F4669" s="6" t="str">
        <f t="shared" si="3"/>
        <v>Product</v>
      </c>
      <c r="G4669" s="1" t="s">
        <v>730</v>
      </c>
      <c r="H4669" s="6" t="str">
        <f>IFERROR(__xludf.DUMMYFUNCTION("IF(REGEXMATCH(LOWER(G4669), ""^(\?)+\s*(missing)?\s*(\?)*$""), """", PROPER(SUBSTITUTE(SUBSTITUTE(G4669, ""?"", """"), ""*"", """")))"),"Swallow Wooden Christmas Decoration")</f>
        <v>Swallow Wooden Christmas Decoration</v>
      </c>
      <c r="I4669" s="3">
        <v>2.0</v>
      </c>
      <c r="J4669" s="7">
        <v>40886.45208333333</v>
      </c>
      <c r="K4669" s="8" t="str">
        <f t="shared" si="4"/>
        <v>2011-12</v>
      </c>
      <c r="L4669" s="5">
        <v>0.85</v>
      </c>
      <c r="M4669" s="3">
        <v>15910.0</v>
      </c>
      <c r="N4669" s="1" t="str">
        <f t="shared" si="5"/>
        <v>Registered</v>
      </c>
      <c r="O4669" s="1" t="s">
        <v>19</v>
      </c>
      <c r="P4669" s="9" t="str">
        <f t="shared" si="6"/>
        <v>UK</v>
      </c>
      <c r="Q4669" s="8">
        <f t="shared" si="7"/>
        <v>1.7</v>
      </c>
    </row>
    <row r="4670">
      <c r="A4670" s="1">
        <v>581502.0</v>
      </c>
      <c r="B4670" s="1" t="str">
        <f t="shared" si="1"/>
        <v>581502</v>
      </c>
      <c r="C4670" s="1" t="str">
        <f t="shared" si="2"/>
        <v>Sale</v>
      </c>
      <c r="D4670" s="1">
        <v>22153.0</v>
      </c>
      <c r="E4670" s="1" t="str">
        <f>IFERROR(__xludf.DUMMYFUNCTION("IF(LEN(D4670)&gt;4, IFERROR(REGEXEXTRACT(TO_TEXT(D4670),""\d+""),""""),"""")"),"22153")</f>
        <v>22153</v>
      </c>
      <c r="F4670" s="6" t="str">
        <f t="shared" si="3"/>
        <v>Product</v>
      </c>
      <c r="G4670" s="1" t="s">
        <v>427</v>
      </c>
      <c r="H4670" s="6" t="str">
        <f>IFERROR(__xludf.DUMMYFUNCTION("IF(REGEXMATCH(LOWER(G4670), ""^(\?)+\s*(missing)?\s*(\?)*$""), """", PROPER(SUBSTITUTE(SUBSTITUTE(G4670, ""?"", """"), ""*"", """")))"),"Angel Decoration Stars On Dress")</f>
        <v>Angel Decoration Stars On Dress</v>
      </c>
      <c r="I4670" s="3">
        <v>13.0</v>
      </c>
      <c r="J4670" s="7">
        <v>40886.45208333333</v>
      </c>
      <c r="K4670" s="8" t="str">
        <f t="shared" si="4"/>
        <v>2011-12</v>
      </c>
      <c r="L4670" s="5">
        <v>0.42</v>
      </c>
      <c r="M4670" s="3">
        <v>15910.0</v>
      </c>
      <c r="N4670" s="1" t="str">
        <f t="shared" si="5"/>
        <v>Registered</v>
      </c>
      <c r="O4670" s="1" t="s">
        <v>19</v>
      </c>
      <c r="P4670" s="9" t="str">
        <f t="shared" si="6"/>
        <v>UK</v>
      </c>
      <c r="Q4670" s="8">
        <f t="shared" si="7"/>
        <v>5.46</v>
      </c>
    </row>
    <row r="4671">
      <c r="A4671" s="1">
        <v>581502.0</v>
      </c>
      <c r="B4671" s="1" t="str">
        <f t="shared" si="1"/>
        <v>581502</v>
      </c>
      <c r="C4671" s="1" t="str">
        <f t="shared" si="2"/>
        <v>Sale</v>
      </c>
      <c r="D4671" s="1">
        <v>21810.0</v>
      </c>
      <c r="E4671" s="1" t="str">
        <f>IFERROR(__xludf.DUMMYFUNCTION("IF(LEN(D4671)&gt;4, IFERROR(REGEXEXTRACT(TO_TEXT(D4671),""\d+""),""""),"""")"),"21810")</f>
        <v>21810</v>
      </c>
      <c r="F4671" s="6" t="str">
        <f t="shared" si="3"/>
        <v>Product</v>
      </c>
      <c r="G4671" s="1" t="s">
        <v>1766</v>
      </c>
      <c r="H4671" s="6" t="str">
        <f>IFERROR(__xludf.DUMMYFUNCTION("IF(REGEXMATCH(LOWER(G4671), ""^(\?)+\s*(missing)?\s*(\?)*$""), """", PROPER(SUBSTITUTE(SUBSTITUTE(G4671, ""?"", """"), ""*"", """")))"),"Christmas Hanging Star With Bell")</f>
        <v>Christmas Hanging Star With Bell</v>
      </c>
      <c r="I4671" s="3">
        <v>6.0</v>
      </c>
      <c r="J4671" s="7">
        <v>40886.45208333333</v>
      </c>
      <c r="K4671" s="8" t="str">
        <f t="shared" si="4"/>
        <v>2011-12</v>
      </c>
      <c r="L4671" s="5">
        <v>0.39</v>
      </c>
      <c r="M4671" s="3">
        <v>15910.0</v>
      </c>
      <c r="N4671" s="1" t="str">
        <f t="shared" si="5"/>
        <v>Registered</v>
      </c>
      <c r="O4671" s="1" t="s">
        <v>19</v>
      </c>
      <c r="P4671" s="9" t="str">
        <f t="shared" si="6"/>
        <v>UK</v>
      </c>
      <c r="Q4671" s="8">
        <f t="shared" si="7"/>
        <v>2.34</v>
      </c>
    </row>
    <row r="4672">
      <c r="A4672" s="1">
        <v>581502.0</v>
      </c>
      <c r="B4672" s="1" t="str">
        <f t="shared" si="1"/>
        <v>581502</v>
      </c>
      <c r="C4672" s="1" t="str">
        <f t="shared" si="2"/>
        <v>Sale</v>
      </c>
      <c r="D4672" s="1">
        <v>22155.0</v>
      </c>
      <c r="E4672" s="1" t="str">
        <f>IFERROR(__xludf.DUMMYFUNCTION("IF(LEN(D4672)&gt;4, IFERROR(REGEXEXTRACT(TO_TEXT(D4672),""\d+""),""""),"""")"),"22155")</f>
        <v>22155</v>
      </c>
      <c r="F4672" s="6" t="str">
        <f t="shared" si="3"/>
        <v>Product</v>
      </c>
      <c r="G4672" s="1" t="s">
        <v>1803</v>
      </c>
      <c r="H4672" s="6" t="str">
        <f>IFERROR(__xludf.DUMMYFUNCTION("IF(REGEXMATCH(LOWER(G4672), ""^(\?)+\s*(missing)?\s*(\?)*$""), """", PROPER(SUBSTITUTE(SUBSTITUTE(G4672, ""?"", """"), ""*"", """")))"),"Star Decoration Rustic")</f>
        <v>Star Decoration Rustic</v>
      </c>
      <c r="I4672" s="3">
        <v>6.0</v>
      </c>
      <c r="J4672" s="7">
        <v>40886.45208333333</v>
      </c>
      <c r="K4672" s="8" t="str">
        <f t="shared" si="4"/>
        <v>2011-12</v>
      </c>
      <c r="L4672" s="5">
        <v>0.42</v>
      </c>
      <c r="M4672" s="3">
        <v>15910.0</v>
      </c>
      <c r="N4672" s="1" t="str">
        <f t="shared" si="5"/>
        <v>Registered</v>
      </c>
      <c r="O4672" s="1" t="s">
        <v>19</v>
      </c>
      <c r="P4672" s="9" t="str">
        <f t="shared" si="6"/>
        <v>UK</v>
      </c>
      <c r="Q4672" s="8">
        <f t="shared" si="7"/>
        <v>2.52</v>
      </c>
    </row>
    <row r="4673">
      <c r="A4673" s="1">
        <v>581502.0</v>
      </c>
      <c r="B4673" s="1" t="str">
        <f t="shared" si="1"/>
        <v>581502</v>
      </c>
      <c r="C4673" s="1" t="str">
        <f t="shared" si="2"/>
        <v>Sale</v>
      </c>
      <c r="D4673" s="1">
        <v>23210.0</v>
      </c>
      <c r="E4673" s="1" t="str">
        <f>IFERROR(__xludf.DUMMYFUNCTION("IF(LEN(D4673)&gt;4, IFERROR(REGEXEXTRACT(TO_TEXT(D4673),""\d+""),""""),"""")"),"23210")</f>
        <v>23210</v>
      </c>
      <c r="F4673" s="6" t="str">
        <f t="shared" si="3"/>
        <v>Product</v>
      </c>
      <c r="G4673" s="1" t="s">
        <v>2104</v>
      </c>
      <c r="H4673" s="6" t="str">
        <f>IFERROR(__xludf.DUMMYFUNCTION("IF(REGEXMATCH(LOWER(G4673), ""^(\?)+\s*(missing)?\s*(\?)*$""), """", PROPER(SUBSTITUTE(SUBSTITUTE(G4673, ""?"", """"), ""*"", """")))"),"White Rocking Horse Hand Painted")</f>
        <v>White Rocking Horse Hand Painted</v>
      </c>
      <c r="I4673" s="3">
        <v>12.0</v>
      </c>
      <c r="J4673" s="7">
        <v>40886.45208333333</v>
      </c>
      <c r="K4673" s="8" t="str">
        <f t="shared" si="4"/>
        <v>2011-12</v>
      </c>
      <c r="L4673" s="5">
        <v>1.25</v>
      </c>
      <c r="M4673" s="3">
        <v>15910.0</v>
      </c>
      <c r="N4673" s="1" t="str">
        <f t="shared" si="5"/>
        <v>Registered</v>
      </c>
      <c r="O4673" s="1" t="s">
        <v>19</v>
      </c>
      <c r="P4673" s="9" t="str">
        <f t="shared" si="6"/>
        <v>UK</v>
      </c>
      <c r="Q4673" s="8">
        <f t="shared" si="7"/>
        <v>15</v>
      </c>
    </row>
    <row r="4674">
      <c r="A4674" s="1">
        <v>581502.0</v>
      </c>
      <c r="B4674" s="1" t="str">
        <f t="shared" si="1"/>
        <v>581502</v>
      </c>
      <c r="C4674" s="1" t="str">
        <f t="shared" si="2"/>
        <v>Sale</v>
      </c>
      <c r="D4674" s="1">
        <v>22573.0</v>
      </c>
      <c r="E4674" s="1" t="str">
        <f>IFERROR(__xludf.DUMMYFUNCTION("IF(LEN(D4674)&gt;4, IFERROR(REGEXEXTRACT(TO_TEXT(D4674),""\d+""),""""),"""")"),"22573")</f>
        <v>22573</v>
      </c>
      <c r="F4674" s="6" t="str">
        <f t="shared" si="3"/>
        <v>Product</v>
      </c>
      <c r="G4674" s="1" t="s">
        <v>591</v>
      </c>
      <c r="H4674" s="6" t="str">
        <f>IFERROR(__xludf.DUMMYFUNCTION("IF(REGEXMATCH(LOWER(G4674), ""^(\?)+\s*(missing)?\s*(\?)*$""), """", PROPER(SUBSTITUTE(SUBSTITUTE(G4674, ""?"", """"), ""*"", """")))"),"Star Wooden Christmas Decoration")</f>
        <v>Star Wooden Christmas Decoration</v>
      </c>
      <c r="I4674" s="3">
        <v>8.0</v>
      </c>
      <c r="J4674" s="7">
        <v>40886.45208333333</v>
      </c>
      <c r="K4674" s="8" t="str">
        <f t="shared" si="4"/>
        <v>2011-12</v>
      </c>
      <c r="L4674" s="5">
        <v>0.85</v>
      </c>
      <c r="M4674" s="3">
        <v>15910.0</v>
      </c>
      <c r="N4674" s="1" t="str">
        <f t="shared" si="5"/>
        <v>Registered</v>
      </c>
      <c r="O4674" s="1" t="s">
        <v>19</v>
      </c>
      <c r="P4674" s="9" t="str">
        <f t="shared" si="6"/>
        <v>UK</v>
      </c>
      <c r="Q4674" s="8">
        <f t="shared" si="7"/>
        <v>6.8</v>
      </c>
    </row>
    <row r="4675">
      <c r="A4675" s="1">
        <v>581502.0</v>
      </c>
      <c r="B4675" s="1" t="str">
        <f t="shared" si="1"/>
        <v>581502</v>
      </c>
      <c r="C4675" s="1" t="str">
        <f t="shared" si="2"/>
        <v>Sale</v>
      </c>
      <c r="D4675" s="1">
        <v>22075.0</v>
      </c>
      <c r="E4675" s="1" t="str">
        <f>IFERROR(__xludf.DUMMYFUNCTION("IF(LEN(D4675)&gt;4, IFERROR(REGEXEXTRACT(TO_TEXT(D4675),""\d+""),""""),"""")"),"22075")</f>
        <v>22075</v>
      </c>
      <c r="F4675" s="6" t="str">
        <f t="shared" si="3"/>
        <v>Product</v>
      </c>
      <c r="G4675" s="1" t="s">
        <v>419</v>
      </c>
      <c r="H4675" s="6" t="str">
        <f>IFERROR(__xludf.DUMMYFUNCTION("IF(REGEXMATCH(LOWER(G4675), ""^(\?)+\s*(missing)?\s*(\?)*$""), """", PROPER(SUBSTITUTE(SUBSTITUTE(G4675, ""?"", """"), ""*"", """")))"),"6 Ribbons Elegant Christmas")</f>
        <v>6 Ribbons Elegant Christmas</v>
      </c>
      <c r="I4675" s="3">
        <v>4.0</v>
      </c>
      <c r="J4675" s="7">
        <v>40886.45208333333</v>
      </c>
      <c r="K4675" s="8" t="str">
        <f t="shared" si="4"/>
        <v>2011-12</v>
      </c>
      <c r="L4675" s="5">
        <v>0.39</v>
      </c>
      <c r="M4675" s="3">
        <v>15910.0</v>
      </c>
      <c r="N4675" s="1" t="str">
        <f t="shared" si="5"/>
        <v>Registered</v>
      </c>
      <c r="O4675" s="1" t="s">
        <v>19</v>
      </c>
      <c r="P4675" s="9" t="str">
        <f t="shared" si="6"/>
        <v>UK</v>
      </c>
      <c r="Q4675" s="8">
        <f t="shared" si="7"/>
        <v>1.56</v>
      </c>
    </row>
    <row r="4676">
      <c r="A4676" s="1">
        <v>581502.0</v>
      </c>
      <c r="B4676" s="1" t="str">
        <f t="shared" si="1"/>
        <v>581502</v>
      </c>
      <c r="C4676" s="1" t="str">
        <f t="shared" si="2"/>
        <v>Sale</v>
      </c>
      <c r="D4676" s="1" t="s">
        <v>176</v>
      </c>
      <c r="E4676" s="1" t="str">
        <f>IFERROR(__xludf.DUMMYFUNCTION("IF(LEN(D4676)&gt;4, IFERROR(REGEXEXTRACT(TO_TEXT(D4676),""\d+""),""""),"""")"),"85049")</f>
        <v>85049</v>
      </c>
      <c r="F4676" s="6" t="str">
        <f t="shared" si="3"/>
        <v>Product</v>
      </c>
      <c r="G4676" s="1" t="s">
        <v>177</v>
      </c>
      <c r="H4676" s="6" t="str">
        <f>IFERROR(__xludf.DUMMYFUNCTION("IF(REGEXMATCH(LOWER(G4676), ""^(\?)+\s*(missing)?\s*(\?)*$""), """", PROPER(SUBSTITUTE(SUBSTITUTE(G4676, ""?"", """"), ""*"", """")))"),"Traditional Christmas Ribbons")</f>
        <v>Traditional Christmas Ribbons</v>
      </c>
      <c r="I4676" s="3">
        <v>4.0</v>
      </c>
      <c r="J4676" s="7">
        <v>40886.45208333333</v>
      </c>
      <c r="K4676" s="8" t="str">
        <f t="shared" si="4"/>
        <v>2011-12</v>
      </c>
      <c r="L4676" s="5">
        <v>1.25</v>
      </c>
      <c r="M4676" s="3">
        <v>15910.0</v>
      </c>
      <c r="N4676" s="1" t="str">
        <f t="shared" si="5"/>
        <v>Registered</v>
      </c>
      <c r="O4676" s="1" t="s">
        <v>19</v>
      </c>
      <c r="P4676" s="9" t="str">
        <f t="shared" si="6"/>
        <v>UK</v>
      </c>
      <c r="Q4676" s="8">
        <f t="shared" si="7"/>
        <v>5</v>
      </c>
    </row>
    <row r="4677">
      <c r="A4677" s="1">
        <v>581502.0</v>
      </c>
      <c r="B4677" s="1" t="str">
        <f t="shared" si="1"/>
        <v>581502</v>
      </c>
      <c r="C4677" s="1" t="str">
        <f t="shared" si="2"/>
        <v>Sale</v>
      </c>
      <c r="D4677" s="1">
        <v>22734.0</v>
      </c>
      <c r="E4677" s="1" t="str">
        <f>IFERROR(__xludf.DUMMYFUNCTION("IF(LEN(D4677)&gt;4, IFERROR(REGEXEXTRACT(TO_TEXT(D4677),""\d+""),""""),"""")"),"22734")</f>
        <v>22734</v>
      </c>
      <c r="F4677" s="6" t="str">
        <f t="shared" si="3"/>
        <v>Product</v>
      </c>
      <c r="G4677" s="1" t="s">
        <v>2075</v>
      </c>
      <c r="H4677" s="6" t="str">
        <f>IFERROR(__xludf.DUMMYFUNCTION("IF(REGEXMATCH(LOWER(G4677), ""^(\?)+\s*(missing)?\s*(\?)*$""), """", PROPER(SUBSTITUTE(SUBSTITUTE(G4677, ""?"", """"), ""*"", """")))"),"Set Of 6 Ribbons Vintage Christmas")</f>
        <v>Set Of 6 Ribbons Vintage Christmas</v>
      </c>
      <c r="I4677" s="3">
        <v>4.0</v>
      </c>
      <c r="J4677" s="7">
        <v>40886.45208333333</v>
      </c>
      <c r="K4677" s="8" t="str">
        <f t="shared" si="4"/>
        <v>2011-12</v>
      </c>
      <c r="L4677" s="5">
        <v>2.89</v>
      </c>
      <c r="M4677" s="3">
        <v>15910.0</v>
      </c>
      <c r="N4677" s="1" t="str">
        <f t="shared" si="5"/>
        <v>Registered</v>
      </c>
      <c r="O4677" s="1" t="s">
        <v>19</v>
      </c>
      <c r="P4677" s="9" t="str">
        <f t="shared" si="6"/>
        <v>UK</v>
      </c>
      <c r="Q4677" s="8">
        <f t="shared" si="7"/>
        <v>11.56</v>
      </c>
    </row>
    <row r="4678">
      <c r="A4678" s="1">
        <v>581502.0</v>
      </c>
      <c r="B4678" s="1" t="str">
        <f t="shared" si="1"/>
        <v>581502</v>
      </c>
      <c r="C4678" s="1" t="str">
        <f t="shared" si="2"/>
        <v>Sale</v>
      </c>
      <c r="D4678" s="1">
        <v>23274.0</v>
      </c>
      <c r="E4678" s="1" t="str">
        <f>IFERROR(__xludf.DUMMYFUNCTION("IF(LEN(D4678)&gt;4, IFERROR(REGEXEXTRACT(TO_TEXT(D4678),""\d+""),""""),"""")"),"23274")</f>
        <v>23274</v>
      </c>
      <c r="F4678" s="6" t="str">
        <f t="shared" si="3"/>
        <v>Product</v>
      </c>
      <c r="G4678" s="1" t="s">
        <v>2011</v>
      </c>
      <c r="H4678" s="6" t="str">
        <f>IFERROR(__xludf.DUMMYFUNCTION("IF(REGEXMATCH(LOWER(G4678), ""^(\?)+\s*(missing)?\s*(\?)*$""), """", PROPER(SUBSTITUTE(SUBSTITUTE(G4678, ""?"", """"), ""*"", """")))"),"Star T-Light Holder Willie Winkie")</f>
        <v>Star T-Light Holder Willie Winkie</v>
      </c>
      <c r="I4678" s="3">
        <v>8.0</v>
      </c>
      <c r="J4678" s="7">
        <v>40886.45208333333</v>
      </c>
      <c r="K4678" s="8" t="str">
        <f t="shared" si="4"/>
        <v>2011-12</v>
      </c>
      <c r="L4678" s="5">
        <v>1.65</v>
      </c>
      <c r="M4678" s="3">
        <v>15910.0</v>
      </c>
      <c r="N4678" s="1" t="str">
        <f t="shared" si="5"/>
        <v>Registered</v>
      </c>
      <c r="O4678" s="1" t="s">
        <v>19</v>
      </c>
      <c r="P4678" s="9" t="str">
        <f t="shared" si="6"/>
        <v>UK</v>
      </c>
      <c r="Q4678" s="8">
        <f t="shared" si="7"/>
        <v>13.2</v>
      </c>
    </row>
    <row r="4679">
      <c r="A4679" s="1">
        <v>581502.0</v>
      </c>
      <c r="B4679" s="1" t="str">
        <f t="shared" si="1"/>
        <v>581502</v>
      </c>
      <c r="C4679" s="1" t="str">
        <f t="shared" si="2"/>
        <v>Sale</v>
      </c>
      <c r="D4679" s="1">
        <v>22153.0</v>
      </c>
      <c r="E4679" s="1" t="str">
        <f>IFERROR(__xludf.DUMMYFUNCTION("IF(LEN(D4679)&gt;4, IFERROR(REGEXEXTRACT(TO_TEXT(D4679),""\d+""),""""),"""")"),"22153")</f>
        <v>22153</v>
      </c>
      <c r="F4679" s="6" t="str">
        <f t="shared" si="3"/>
        <v>Product</v>
      </c>
      <c r="G4679" s="1" t="s">
        <v>427</v>
      </c>
      <c r="H4679" s="6" t="str">
        <f>IFERROR(__xludf.DUMMYFUNCTION("IF(REGEXMATCH(LOWER(G4679), ""^(\?)+\s*(missing)?\s*(\?)*$""), """", PROPER(SUBSTITUTE(SUBSTITUTE(G4679, ""?"", """"), ""*"", """")))"),"Angel Decoration Stars On Dress")</f>
        <v>Angel Decoration Stars On Dress</v>
      </c>
      <c r="I4679" s="3">
        <v>1.0</v>
      </c>
      <c r="J4679" s="7">
        <v>40886.45208333333</v>
      </c>
      <c r="K4679" s="8" t="str">
        <f t="shared" si="4"/>
        <v>2011-12</v>
      </c>
      <c r="L4679" s="5">
        <v>0.42</v>
      </c>
      <c r="M4679" s="3">
        <v>15910.0</v>
      </c>
      <c r="N4679" s="1" t="str">
        <f t="shared" si="5"/>
        <v>Registered</v>
      </c>
      <c r="O4679" s="1" t="s">
        <v>19</v>
      </c>
      <c r="P4679" s="9" t="str">
        <f t="shared" si="6"/>
        <v>UK</v>
      </c>
      <c r="Q4679" s="8">
        <f t="shared" si="7"/>
        <v>0.42</v>
      </c>
    </row>
    <row r="4680">
      <c r="A4680" s="1">
        <v>581502.0</v>
      </c>
      <c r="B4680" s="1" t="str">
        <f t="shared" si="1"/>
        <v>581502</v>
      </c>
      <c r="C4680" s="1" t="str">
        <f t="shared" si="2"/>
        <v>Sale</v>
      </c>
      <c r="D4680" s="1">
        <v>22596.0</v>
      </c>
      <c r="E4680" s="1" t="str">
        <f>IFERROR(__xludf.DUMMYFUNCTION("IF(LEN(D4680)&gt;4, IFERROR(REGEXEXTRACT(TO_TEXT(D4680),""\d+""),""""),"""")"),"22596")</f>
        <v>22596</v>
      </c>
      <c r="F4680" s="6" t="str">
        <f t="shared" si="3"/>
        <v>Product</v>
      </c>
      <c r="G4680" s="1" t="s">
        <v>1583</v>
      </c>
      <c r="H4680" s="6" t="str">
        <f>IFERROR(__xludf.DUMMYFUNCTION("IF(REGEXMATCH(LOWER(G4680), ""^(\?)+\s*(missing)?\s*(\?)*$""), """", PROPER(SUBSTITUTE(SUBSTITUTE(G4680, ""?"", """"), ""*"", """")))"),"Christmas Star Wish List Chalkboard")</f>
        <v>Christmas Star Wish List Chalkboard</v>
      </c>
      <c r="I4680" s="3">
        <v>24.0</v>
      </c>
      <c r="J4680" s="7">
        <v>40886.45208333333</v>
      </c>
      <c r="K4680" s="8" t="str">
        <f t="shared" si="4"/>
        <v>2011-12</v>
      </c>
      <c r="L4680" s="5">
        <v>0.39</v>
      </c>
      <c r="M4680" s="3">
        <v>15910.0</v>
      </c>
      <c r="N4680" s="1" t="str">
        <f t="shared" si="5"/>
        <v>Registered</v>
      </c>
      <c r="O4680" s="1" t="s">
        <v>19</v>
      </c>
      <c r="P4680" s="9" t="str">
        <f t="shared" si="6"/>
        <v>UK</v>
      </c>
      <c r="Q4680" s="8">
        <f t="shared" si="7"/>
        <v>9.36</v>
      </c>
    </row>
    <row r="4681">
      <c r="A4681" s="1">
        <v>581502.0</v>
      </c>
      <c r="B4681" s="1" t="str">
        <f t="shared" si="1"/>
        <v>581502</v>
      </c>
      <c r="C4681" s="1" t="str">
        <f t="shared" si="2"/>
        <v>Sale</v>
      </c>
      <c r="D4681" s="1">
        <v>22952.0</v>
      </c>
      <c r="E4681" s="1" t="str">
        <f>IFERROR(__xludf.DUMMYFUNCTION("IF(LEN(D4681)&gt;4, IFERROR(REGEXEXTRACT(TO_TEXT(D4681),""\d+""),""""),"""")"),"22952")</f>
        <v>22952</v>
      </c>
      <c r="F4681" s="6" t="str">
        <f t="shared" si="3"/>
        <v>Product</v>
      </c>
      <c r="G4681" s="1" t="s">
        <v>465</v>
      </c>
      <c r="H4681" s="6" t="str">
        <f>IFERROR(__xludf.DUMMYFUNCTION("IF(REGEXMATCH(LOWER(G4681), ""^(\?)+\s*(missing)?\s*(\?)*$""), """", PROPER(SUBSTITUTE(SUBSTITUTE(G4681, ""?"", """"), ""*"", """")))"),"60 Cake Cases Vintage Christmas")</f>
        <v>60 Cake Cases Vintage Christmas</v>
      </c>
      <c r="I4681" s="3">
        <v>10.0</v>
      </c>
      <c r="J4681" s="7">
        <v>40886.45208333333</v>
      </c>
      <c r="K4681" s="8" t="str">
        <f t="shared" si="4"/>
        <v>2011-12</v>
      </c>
      <c r="L4681" s="5">
        <v>0.55</v>
      </c>
      <c r="M4681" s="3">
        <v>15910.0</v>
      </c>
      <c r="N4681" s="1" t="str">
        <f t="shared" si="5"/>
        <v>Registered</v>
      </c>
      <c r="O4681" s="1" t="s">
        <v>19</v>
      </c>
      <c r="P4681" s="9" t="str">
        <f t="shared" si="6"/>
        <v>UK</v>
      </c>
      <c r="Q4681" s="8">
        <f t="shared" si="7"/>
        <v>5.5</v>
      </c>
    </row>
    <row r="4682">
      <c r="A4682" s="1">
        <v>581502.0</v>
      </c>
      <c r="B4682" s="1" t="str">
        <f t="shared" si="1"/>
        <v>581502</v>
      </c>
      <c r="C4682" s="1" t="str">
        <f t="shared" si="2"/>
        <v>Sale</v>
      </c>
      <c r="D4682" s="1">
        <v>22141.0</v>
      </c>
      <c r="E4682" s="1" t="str">
        <f>IFERROR(__xludf.DUMMYFUNCTION("IF(LEN(D4682)&gt;4, IFERROR(REGEXEXTRACT(TO_TEXT(D4682),""\d+""),""""),"""")"),"22141")</f>
        <v>22141</v>
      </c>
      <c r="F4682" s="6" t="str">
        <f t="shared" si="3"/>
        <v>Product</v>
      </c>
      <c r="G4682" s="1" t="s">
        <v>446</v>
      </c>
      <c r="H4682" s="6" t="str">
        <f>IFERROR(__xludf.DUMMYFUNCTION("IF(REGEXMATCH(LOWER(G4682), ""^(\?)+\s*(missing)?\s*(\?)*$""), """", PROPER(SUBSTITUTE(SUBSTITUTE(G4682, ""?"", """"), ""*"", """")))"),"Christmas Craft Tree Top Angel")</f>
        <v>Christmas Craft Tree Top Angel</v>
      </c>
      <c r="I4682" s="3">
        <v>3.0</v>
      </c>
      <c r="J4682" s="7">
        <v>40886.45208333333</v>
      </c>
      <c r="K4682" s="8" t="str">
        <f t="shared" si="4"/>
        <v>2011-12</v>
      </c>
      <c r="L4682" s="5">
        <v>2.1</v>
      </c>
      <c r="M4682" s="3">
        <v>15910.0</v>
      </c>
      <c r="N4682" s="1" t="str">
        <f t="shared" si="5"/>
        <v>Registered</v>
      </c>
      <c r="O4682" s="1" t="s">
        <v>19</v>
      </c>
      <c r="P4682" s="9" t="str">
        <f t="shared" si="6"/>
        <v>UK</v>
      </c>
      <c r="Q4682" s="8">
        <f t="shared" si="7"/>
        <v>6.3</v>
      </c>
    </row>
    <row r="4683">
      <c r="A4683" s="1">
        <v>581514.0</v>
      </c>
      <c r="B4683" s="1" t="str">
        <f t="shared" si="1"/>
        <v>581514</v>
      </c>
      <c r="C4683" s="1" t="str">
        <f t="shared" si="2"/>
        <v>Sale</v>
      </c>
      <c r="D4683" s="1">
        <v>22753.0</v>
      </c>
      <c r="E4683" s="1" t="str">
        <f>IFERROR(__xludf.DUMMYFUNCTION("IF(LEN(D4683)&gt;4, IFERROR(REGEXEXTRACT(TO_TEXT(D4683),""\d+""),""""),"""")"),"22753")</f>
        <v>22753</v>
      </c>
      <c r="F4683" s="6" t="str">
        <f t="shared" si="3"/>
        <v>Product</v>
      </c>
      <c r="G4683" s="1" t="s">
        <v>1512</v>
      </c>
      <c r="H4683" s="6" t="str">
        <f>IFERROR(__xludf.DUMMYFUNCTION("IF(REGEXMATCH(LOWER(G4683), ""^(\?)+\s*(missing)?\s*(\?)*$""), """", PROPER(SUBSTITUTE(SUBSTITUTE(G4683, ""?"", """"), ""*"", """")))"),"Small Yellow Babushka Notebook")</f>
        <v>Small Yellow Babushka Notebook</v>
      </c>
      <c r="I4683" s="3">
        <v>12.0</v>
      </c>
      <c r="J4683" s="7">
        <v>40886.47222222222</v>
      </c>
      <c r="K4683" s="8" t="str">
        <f t="shared" si="4"/>
        <v>2011-12</v>
      </c>
      <c r="L4683" s="5">
        <v>0.21</v>
      </c>
      <c r="M4683" s="3">
        <v>17754.0</v>
      </c>
      <c r="N4683" s="1" t="str">
        <f t="shared" si="5"/>
        <v>Registered</v>
      </c>
      <c r="O4683" s="1" t="s">
        <v>19</v>
      </c>
      <c r="P4683" s="9" t="str">
        <f t="shared" si="6"/>
        <v>UK</v>
      </c>
      <c r="Q4683" s="8">
        <f t="shared" si="7"/>
        <v>2.52</v>
      </c>
    </row>
    <row r="4684">
      <c r="A4684" s="1">
        <v>581514.0</v>
      </c>
      <c r="B4684" s="1" t="str">
        <f t="shared" si="1"/>
        <v>581514</v>
      </c>
      <c r="C4684" s="1" t="str">
        <f t="shared" si="2"/>
        <v>Sale</v>
      </c>
      <c r="D4684" s="1">
        <v>22755.0</v>
      </c>
      <c r="E4684" s="1" t="str">
        <f>IFERROR(__xludf.DUMMYFUNCTION("IF(LEN(D4684)&gt;4, IFERROR(REGEXEXTRACT(TO_TEXT(D4684),""\d+""),""""),"""")"),"22755")</f>
        <v>22755</v>
      </c>
      <c r="F4684" s="6" t="str">
        <f t="shared" si="3"/>
        <v>Product</v>
      </c>
      <c r="G4684" s="1" t="s">
        <v>1287</v>
      </c>
      <c r="H4684" s="6" t="str">
        <f>IFERROR(__xludf.DUMMYFUNCTION("IF(REGEXMATCH(LOWER(G4684), ""^(\?)+\s*(missing)?\s*(\?)*$""), """", PROPER(SUBSTITUTE(SUBSTITUTE(G4684, ""?"", """"), ""*"", """")))"),"Small Purple Babushka Notebook")</f>
        <v>Small Purple Babushka Notebook</v>
      </c>
      <c r="I4684" s="3">
        <v>12.0</v>
      </c>
      <c r="J4684" s="7">
        <v>40886.47222222222</v>
      </c>
      <c r="K4684" s="8" t="str">
        <f t="shared" si="4"/>
        <v>2011-12</v>
      </c>
      <c r="L4684" s="5">
        <v>0.21</v>
      </c>
      <c r="M4684" s="3">
        <v>17754.0</v>
      </c>
      <c r="N4684" s="1" t="str">
        <f t="shared" si="5"/>
        <v>Registered</v>
      </c>
      <c r="O4684" s="1" t="s">
        <v>19</v>
      </c>
      <c r="P4684" s="9" t="str">
        <f t="shared" si="6"/>
        <v>UK</v>
      </c>
      <c r="Q4684" s="8">
        <f t="shared" si="7"/>
        <v>2.52</v>
      </c>
    </row>
    <row r="4685">
      <c r="A4685" s="1">
        <v>581514.0</v>
      </c>
      <c r="B4685" s="1" t="str">
        <f t="shared" si="1"/>
        <v>581514</v>
      </c>
      <c r="C4685" s="1" t="str">
        <f t="shared" si="2"/>
        <v>Sale</v>
      </c>
      <c r="D4685" s="1">
        <v>22754.0</v>
      </c>
      <c r="E4685" s="1" t="str">
        <f>IFERROR(__xludf.DUMMYFUNCTION("IF(LEN(D4685)&gt;4, IFERROR(REGEXEXTRACT(TO_TEXT(D4685),""\d+""),""""),"""")"),"22754")</f>
        <v>22754</v>
      </c>
      <c r="F4685" s="6" t="str">
        <f t="shared" si="3"/>
        <v>Product</v>
      </c>
      <c r="G4685" s="1" t="s">
        <v>663</v>
      </c>
      <c r="H4685" s="6" t="str">
        <f>IFERROR(__xludf.DUMMYFUNCTION("IF(REGEXMATCH(LOWER(G4685), ""^(\?)+\s*(missing)?\s*(\?)*$""), """", PROPER(SUBSTITUTE(SUBSTITUTE(G4685, ""?"", """"), ""*"", """")))"),"Small Red Babushka Notebook")</f>
        <v>Small Red Babushka Notebook</v>
      </c>
      <c r="I4685" s="3">
        <v>12.0</v>
      </c>
      <c r="J4685" s="7">
        <v>40886.47222222222</v>
      </c>
      <c r="K4685" s="8" t="str">
        <f t="shared" si="4"/>
        <v>2011-12</v>
      </c>
      <c r="L4685" s="5">
        <v>0.21</v>
      </c>
      <c r="M4685" s="3">
        <v>17754.0</v>
      </c>
      <c r="N4685" s="1" t="str">
        <f t="shared" si="5"/>
        <v>Registered</v>
      </c>
      <c r="O4685" s="1" t="s">
        <v>19</v>
      </c>
      <c r="P4685" s="9" t="str">
        <f t="shared" si="6"/>
        <v>UK</v>
      </c>
      <c r="Q4685" s="8">
        <f t="shared" si="7"/>
        <v>2.52</v>
      </c>
    </row>
    <row r="4686">
      <c r="A4686" s="1">
        <v>581514.0</v>
      </c>
      <c r="B4686" s="1" t="str">
        <f t="shared" si="1"/>
        <v>581514</v>
      </c>
      <c r="C4686" s="1" t="str">
        <f t="shared" si="2"/>
        <v>Sale</v>
      </c>
      <c r="D4686" s="1">
        <v>22721.0</v>
      </c>
      <c r="E4686" s="1" t="str">
        <f>IFERROR(__xludf.DUMMYFUNCTION("IF(LEN(D4686)&gt;4, IFERROR(REGEXEXTRACT(TO_TEXT(D4686),""\d+""),""""),"""")"),"22721")</f>
        <v>22721</v>
      </c>
      <c r="F4686" s="6" t="str">
        <f t="shared" si="3"/>
        <v>Product</v>
      </c>
      <c r="G4686" s="1" t="s">
        <v>1296</v>
      </c>
      <c r="H4686" s="6" t="str">
        <f>IFERROR(__xludf.DUMMYFUNCTION("IF(REGEXMATCH(LOWER(G4686), ""^(\?)+\s*(missing)?\s*(\?)*$""), """", PROPER(SUBSTITUTE(SUBSTITUTE(G4686, ""?"", """"), ""*"", """")))"),"Set Of 3 Cake Tins Sketchbook")</f>
        <v>Set Of 3 Cake Tins Sketchbook</v>
      </c>
      <c r="I4686" s="3">
        <v>4.0</v>
      </c>
      <c r="J4686" s="7">
        <v>40886.47222222222</v>
      </c>
      <c r="K4686" s="8" t="str">
        <f t="shared" si="4"/>
        <v>2011-12</v>
      </c>
      <c r="L4686" s="5">
        <v>1.95</v>
      </c>
      <c r="M4686" s="3">
        <v>17754.0</v>
      </c>
      <c r="N4686" s="1" t="str">
        <f t="shared" si="5"/>
        <v>Registered</v>
      </c>
      <c r="O4686" s="1" t="s">
        <v>19</v>
      </c>
      <c r="P4686" s="9" t="str">
        <f t="shared" si="6"/>
        <v>UK</v>
      </c>
      <c r="Q4686" s="8">
        <f t="shared" si="7"/>
        <v>7.8</v>
      </c>
    </row>
    <row r="4687">
      <c r="A4687" s="1">
        <v>581514.0</v>
      </c>
      <c r="B4687" s="1" t="str">
        <f t="shared" si="1"/>
        <v>581514</v>
      </c>
      <c r="C4687" s="1" t="str">
        <f t="shared" si="2"/>
        <v>Sale</v>
      </c>
      <c r="D4687" s="1">
        <v>22059.0</v>
      </c>
      <c r="E4687" s="1" t="str">
        <f>IFERROR(__xludf.DUMMYFUNCTION("IF(LEN(D4687)&gt;4, IFERROR(REGEXEXTRACT(TO_TEXT(D4687),""\d+""),""""),"""")"),"22059")</f>
        <v>22059</v>
      </c>
      <c r="F4687" s="6" t="str">
        <f t="shared" si="3"/>
        <v>Product</v>
      </c>
      <c r="G4687" s="1" t="s">
        <v>529</v>
      </c>
      <c r="H4687" s="6" t="str">
        <f>IFERROR(__xludf.DUMMYFUNCTION("IF(REGEXMATCH(LOWER(G4687), ""^(\?)+\s*(missing)?\s*(\?)*$""), """", PROPER(SUBSTITUTE(SUBSTITUTE(G4687, ""?"", """"), ""*"", """")))"),"Ceramic Strawberry Design Mug")</f>
        <v>Ceramic Strawberry Design Mug</v>
      </c>
      <c r="I4687" s="3">
        <v>12.0</v>
      </c>
      <c r="J4687" s="7">
        <v>40886.47222222222</v>
      </c>
      <c r="K4687" s="8" t="str">
        <f t="shared" si="4"/>
        <v>2011-12</v>
      </c>
      <c r="L4687" s="5">
        <v>0.39</v>
      </c>
      <c r="M4687" s="3">
        <v>17754.0</v>
      </c>
      <c r="N4687" s="1" t="str">
        <f t="shared" si="5"/>
        <v>Registered</v>
      </c>
      <c r="O4687" s="1" t="s">
        <v>19</v>
      </c>
      <c r="P4687" s="9" t="str">
        <f t="shared" si="6"/>
        <v>UK</v>
      </c>
      <c r="Q4687" s="8">
        <f t="shared" si="7"/>
        <v>4.68</v>
      </c>
    </row>
    <row r="4688">
      <c r="A4688" s="1">
        <v>581514.0</v>
      </c>
      <c r="B4688" s="1" t="str">
        <f t="shared" si="1"/>
        <v>581514</v>
      </c>
      <c r="C4688" s="1" t="str">
        <f t="shared" si="2"/>
        <v>Sale</v>
      </c>
      <c r="D4688" s="1">
        <v>22199.0</v>
      </c>
      <c r="E4688" s="1" t="str">
        <f>IFERROR(__xludf.DUMMYFUNCTION("IF(LEN(D4688)&gt;4, IFERROR(REGEXEXTRACT(TO_TEXT(D4688),""\d+""),""""),"""")"),"22199")</f>
        <v>22199</v>
      </c>
      <c r="F4688" s="6" t="str">
        <f t="shared" si="3"/>
        <v>Product</v>
      </c>
      <c r="G4688" s="1" t="s">
        <v>1806</v>
      </c>
      <c r="H4688" s="6" t="str">
        <f>IFERROR(__xludf.DUMMYFUNCTION("IF(REGEXMATCH(LOWER(G4688), ""^(\?)+\s*(missing)?\s*(\?)*$""), """", PROPER(SUBSTITUTE(SUBSTITUTE(G4688, ""?"", """"), ""*"", """")))"),"Frying Pan Red Retrospot")</f>
        <v>Frying Pan Red Retrospot</v>
      </c>
      <c r="I4688" s="3">
        <v>13.0</v>
      </c>
      <c r="J4688" s="7">
        <v>40886.47222222222</v>
      </c>
      <c r="K4688" s="8" t="str">
        <f t="shared" si="4"/>
        <v>2011-12</v>
      </c>
      <c r="L4688" s="5">
        <v>1.25</v>
      </c>
      <c r="M4688" s="3">
        <v>17754.0</v>
      </c>
      <c r="N4688" s="1" t="str">
        <f t="shared" si="5"/>
        <v>Registered</v>
      </c>
      <c r="O4688" s="1" t="s">
        <v>19</v>
      </c>
      <c r="P4688" s="9" t="str">
        <f t="shared" si="6"/>
        <v>UK</v>
      </c>
      <c r="Q4688" s="8">
        <f t="shared" si="7"/>
        <v>16.25</v>
      </c>
    </row>
    <row r="4689">
      <c r="A4689" s="1">
        <v>581514.0</v>
      </c>
      <c r="B4689" s="1" t="str">
        <f t="shared" si="1"/>
        <v>581514</v>
      </c>
      <c r="C4689" s="1" t="str">
        <f t="shared" si="2"/>
        <v>Sale</v>
      </c>
      <c r="D4689" s="1">
        <v>22200.0</v>
      </c>
      <c r="E4689" s="1" t="str">
        <f>IFERROR(__xludf.DUMMYFUNCTION("IF(LEN(D4689)&gt;4, IFERROR(REGEXEXTRACT(TO_TEXT(D4689),""\d+""),""""),"""")"),"22200")</f>
        <v>22200</v>
      </c>
      <c r="F4689" s="6" t="str">
        <f t="shared" si="3"/>
        <v>Product</v>
      </c>
      <c r="G4689" s="1" t="s">
        <v>2105</v>
      </c>
      <c r="H4689" s="6" t="str">
        <f>IFERROR(__xludf.DUMMYFUNCTION("IF(REGEXMATCH(LOWER(G4689), ""^(\?)+\s*(missing)?\s*(\?)*$""), """", PROPER(SUBSTITUTE(SUBSTITUTE(G4689, ""?"", """"), ""*"", """")))"),"Frying Pan Pink Polkadot")</f>
        <v>Frying Pan Pink Polkadot</v>
      </c>
      <c r="I4689" s="3">
        <v>2.0</v>
      </c>
      <c r="J4689" s="7">
        <v>40886.47222222222</v>
      </c>
      <c r="K4689" s="8" t="str">
        <f t="shared" si="4"/>
        <v>2011-12</v>
      </c>
      <c r="L4689" s="5">
        <v>1.25</v>
      </c>
      <c r="M4689" s="3">
        <v>17754.0</v>
      </c>
      <c r="N4689" s="1" t="str">
        <f t="shared" si="5"/>
        <v>Registered</v>
      </c>
      <c r="O4689" s="1" t="s">
        <v>19</v>
      </c>
      <c r="P4689" s="9" t="str">
        <f t="shared" si="6"/>
        <v>UK</v>
      </c>
      <c r="Q4689" s="8">
        <f t="shared" si="7"/>
        <v>2.5</v>
      </c>
    </row>
    <row r="4690">
      <c r="A4690" s="1">
        <v>581514.0</v>
      </c>
      <c r="B4690" s="1" t="str">
        <f t="shared" si="1"/>
        <v>581514</v>
      </c>
      <c r="C4690" s="1" t="str">
        <f t="shared" si="2"/>
        <v>Sale</v>
      </c>
      <c r="D4690" s="1" t="s">
        <v>2082</v>
      </c>
      <c r="E4690" s="1" t="str">
        <f>IFERROR(__xludf.DUMMYFUNCTION("IF(LEN(D4690)&gt;4, IFERROR(REGEXEXTRACT(TO_TEXT(D4690),""\d+""),""""),"""")"),"84032")</f>
        <v>84032</v>
      </c>
      <c r="F4690" s="6" t="str">
        <f t="shared" si="3"/>
        <v>Product</v>
      </c>
      <c r="G4690" s="1" t="s">
        <v>2083</v>
      </c>
      <c r="H4690" s="6" t="str">
        <f>IFERROR(__xludf.DUMMYFUNCTION("IF(REGEXMATCH(LOWER(G4690), ""^(\?)+\s*(missing)?\s*(\?)*$""), """", PROPER(SUBSTITUTE(SUBSTITUTE(G4690, ""?"", """"), ""*"", """")))"),"Charlie+Lola Pink Hot Water Bottle")</f>
        <v>Charlie+Lola Pink Hot Water Bottle</v>
      </c>
      <c r="I4690" s="3">
        <v>9.0</v>
      </c>
      <c r="J4690" s="7">
        <v>40886.47222222222</v>
      </c>
      <c r="K4690" s="8" t="str">
        <f t="shared" si="4"/>
        <v>2011-12</v>
      </c>
      <c r="L4690" s="5">
        <v>0.79</v>
      </c>
      <c r="M4690" s="3">
        <v>17754.0</v>
      </c>
      <c r="N4690" s="1" t="str">
        <f t="shared" si="5"/>
        <v>Registered</v>
      </c>
      <c r="O4690" s="1" t="s">
        <v>19</v>
      </c>
      <c r="P4690" s="9" t="str">
        <f t="shared" si="6"/>
        <v>UK</v>
      </c>
      <c r="Q4690" s="8">
        <f t="shared" si="7"/>
        <v>7.11</v>
      </c>
    </row>
    <row r="4691">
      <c r="A4691" s="1">
        <v>581514.0</v>
      </c>
      <c r="B4691" s="1" t="str">
        <f t="shared" si="1"/>
        <v>581514</v>
      </c>
      <c r="C4691" s="1" t="str">
        <f t="shared" si="2"/>
        <v>Sale</v>
      </c>
      <c r="D4691" s="1" t="s">
        <v>503</v>
      </c>
      <c r="E4691" s="1" t="str">
        <f>IFERROR(__xludf.DUMMYFUNCTION("IF(LEN(D4691)&gt;4, IFERROR(REGEXEXTRACT(TO_TEXT(D4691),""\d+""),""""),"""")"),"84032")</f>
        <v>84032</v>
      </c>
      <c r="F4691" s="6" t="str">
        <f t="shared" si="3"/>
        <v>Product</v>
      </c>
      <c r="G4691" s="1" t="s">
        <v>504</v>
      </c>
      <c r="H4691" s="6" t="str">
        <f>IFERROR(__xludf.DUMMYFUNCTION("IF(REGEXMATCH(LOWER(G4691), ""^(\?)+\s*(missing)?\s*(\?)*$""), """", PROPER(SUBSTITUTE(SUBSTITUTE(G4691, ""?"", """"), ""*"", """")))"),"Charlie + Lola Red Hot Water Bottle")</f>
        <v>Charlie + Lola Red Hot Water Bottle</v>
      </c>
      <c r="I4691" s="3">
        <v>9.0</v>
      </c>
      <c r="J4691" s="7">
        <v>40886.47222222222</v>
      </c>
      <c r="K4691" s="8" t="str">
        <f t="shared" si="4"/>
        <v>2011-12</v>
      </c>
      <c r="L4691" s="5">
        <v>0.79</v>
      </c>
      <c r="M4691" s="3">
        <v>17754.0</v>
      </c>
      <c r="N4691" s="1" t="str">
        <f t="shared" si="5"/>
        <v>Registered</v>
      </c>
      <c r="O4691" s="1" t="s">
        <v>19</v>
      </c>
      <c r="P4691" s="9" t="str">
        <f t="shared" si="6"/>
        <v>UK</v>
      </c>
      <c r="Q4691" s="8">
        <f t="shared" si="7"/>
        <v>7.11</v>
      </c>
    </row>
    <row r="4692">
      <c r="A4692" s="1">
        <v>581514.0</v>
      </c>
      <c r="B4692" s="1" t="str">
        <f t="shared" si="1"/>
        <v>581514</v>
      </c>
      <c r="C4692" s="1" t="str">
        <f t="shared" si="2"/>
        <v>Sale</v>
      </c>
      <c r="D4692" s="1" t="s">
        <v>1725</v>
      </c>
      <c r="E4692" s="1" t="str">
        <f>IFERROR(__xludf.DUMMYFUNCTION("IF(LEN(D4692)&gt;4, IFERROR(REGEXEXTRACT(TO_TEXT(D4692),""\d+""),""""),"""")"),"84031")</f>
        <v>84031</v>
      </c>
      <c r="F4692" s="6" t="str">
        <f t="shared" si="3"/>
        <v>Product</v>
      </c>
      <c r="G4692" s="1" t="s">
        <v>1726</v>
      </c>
      <c r="H4692" s="6" t="str">
        <f>IFERROR(__xludf.DUMMYFUNCTION("IF(REGEXMATCH(LOWER(G4692), ""^(\?)+\s*(missing)?\s*(\?)*$""), """", PROPER(SUBSTITUTE(SUBSTITUTE(G4692, ""?"", """"), ""*"", """")))"),"Charlie+Lola Red Hot Water Bottle")</f>
        <v>Charlie+Lola Red Hot Water Bottle</v>
      </c>
      <c r="I4692" s="3">
        <v>10.0</v>
      </c>
      <c r="J4692" s="7">
        <v>40886.47222222222</v>
      </c>
      <c r="K4692" s="8" t="str">
        <f t="shared" si="4"/>
        <v>2011-12</v>
      </c>
      <c r="L4692" s="5">
        <v>1.25</v>
      </c>
      <c r="M4692" s="3">
        <v>17754.0</v>
      </c>
      <c r="N4692" s="1" t="str">
        <f t="shared" si="5"/>
        <v>Registered</v>
      </c>
      <c r="O4692" s="1" t="s">
        <v>19</v>
      </c>
      <c r="P4692" s="9" t="str">
        <f t="shared" si="6"/>
        <v>UK</v>
      </c>
      <c r="Q4692" s="8">
        <f t="shared" si="7"/>
        <v>12.5</v>
      </c>
    </row>
    <row r="4693">
      <c r="A4693" s="1">
        <v>581514.0</v>
      </c>
      <c r="B4693" s="1" t="str">
        <f t="shared" si="1"/>
        <v>581514</v>
      </c>
      <c r="C4693" s="1" t="str">
        <f t="shared" si="2"/>
        <v>Sale</v>
      </c>
      <c r="D4693" s="1" t="s">
        <v>2106</v>
      </c>
      <c r="E4693" s="1" t="str">
        <f>IFERROR(__xludf.DUMMYFUNCTION("IF(LEN(D4693)&gt;4, IFERROR(REGEXEXTRACT(TO_TEXT(D4693),""\d+""),""""),"""")"),"84031")</f>
        <v>84031</v>
      </c>
      <c r="F4693" s="6" t="str">
        <f t="shared" si="3"/>
        <v>Product</v>
      </c>
      <c r="G4693" s="1" t="s">
        <v>2107</v>
      </c>
      <c r="H4693" s="6" t="str">
        <f>IFERROR(__xludf.DUMMYFUNCTION("IF(REGEXMATCH(LOWER(G4693), ""^(\?)+\s*(missing)?\s*(\?)*$""), """", PROPER(SUBSTITUTE(SUBSTITUTE(G4693, ""?"", """"), ""*"", """")))"),"Charlie Lola Blue Hot Water Bottle")</f>
        <v>Charlie Lola Blue Hot Water Bottle</v>
      </c>
      <c r="I4693" s="3">
        <v>14.0</v>
      </c>
      <c r="J4693" s="7">
        <v>40886.47222222222</v>
      </c>
      <c r="K4693" s="8" t="str">
        <f t="shared" si="4"/>
        <v>2011-12</v>
      </c>
      <c r="L4693" s="5">
        <v>1.25</v>
      </c>
      <c r="M4693" s="3">
        <v>17754.0</v>
      </c>
      <c r="N4693" s="1" t="str">
        <f t="shared" si="5"/>
        <v>Registered</v>
      </c>
      <c r="O4693" s="1" t="s">
        <v>19</v>
      </c>
      <c r="P4693" s="9" t="str">
        <f t="shared" si="6"/>
        <v>UK</v>
      </c>
      <c r="Q4693" s="8">
        <f t="shared" si="7"/>
        <v>17.5</v>
      </c>
    </row>
    <row r="4694">
      <c r="A4694" s="1">
        <v>581514.0</v>
      </c>
      <c r="B4694" s="1" t="str">
        <f t="shared" si="1"/>
        <v>581514</v>
      </c>
      <c r="C4694" s="1" t="str">
        <f t="shared" si="2"/>
        <v>Sale</v>
      </c>
      <c r="D4694" s="1">
        <v>22646.0</v>
      </c>
      <c r="E4694" s="1" t="str">
        <f>IFERROR(__xludf.DUMMYFUNCTION("IF(LEN(D4694)&gt;4, IFERROR(REGEXEXTRACT(TO_TEXT(D4694),""\d+""),""""),"""")"),"22646")</f>
        <v>22646</v>
      </c>
      <c r="F4694" s="6" t="str">
        <f t="shared" si="3"/>
        <v>Product</v>
      </c>
      <c r="G4694" s="1" t="s">
        <v>141</v>
      </c>
      <c r="H4694" s="6" t="str">
        <f>IFERROR(__xludf.DUMMYFUNCTION("IF(REGEXMATCH(LOWER(G4694), ""^(\?)+\s*(missing)?\s*(\?)*$""), """", PROPER(SUBSTITUTE(SUBSTITUTE(G4694, ""?"", """"), ""*"", """")))"),"Ceramic Strawberry Cake Money Bank")</f>
        <v>Ceramic Strawberry Cake Money Bank</v>
      </c>
      <c r="I4694" s="3">
        <v>4.0</v>
      </c>
      <c r="J4694" s="7">
        <v>40886.47222222222</v>
      </c>
      <c r="K4694" s="8" t="str">
        <f t="shared" si="4"/>
        <v>2011-12</v>
      </c>
      <c r="L4694" s="5">
        <v>0.39</v>
      </c>
      <c r="M4694" s="3">
        <v>17754.0</v>
      </c>
      <c r="N4694" s="1" t="str">
        <f t="shared" si="5"/>
        <v>Registered</v>
      </c>
      <c r="O4694" s="1" t="s">
        <v>19</v>
      </c>
      <c r="P4694" s="9" t="str">
        <f t="shared" si="6"/>
        <v>UK</v>
      </c>
      <c r="Q4694" s="8">
        <f t="shared" si="7"/>
        <v>1.56</v>
      </c>
    </row>
    <row r="4695">
      <c r="A4695" s="1">
        <v>581514.0</v>
      </c>
      <c r="B4695" s="1" t="str">
        <f t="shared" si="1"/>
        <v>581514</v>
      </c>
      <c r="C4695" s="1" t="str">
        <f t="shared" si="2"/>
        <v>Sale</v>
      </c>
      <c r="D4695" s="1">
        <v>22644.0</v>
      </c>
      <c r="E4695" s="1" t="str">
        <f>IFERROR(__xludf.DUMMYFUNCTION("IF(LEN(D4695)&gt;4, IFERROR(REGEXEXTRACT(TO_TEXT(D4695),""\d+""),""""),"""")"),"22644")</f>
        <v>22644</v>
      </c>
      <c r="F4695" s="6" t="str">
        <f t="shared" si="3"/>
        <v>Product</v>
      </c>
      <c r="G4695" s="1" t="s">
        <v>134</v>
      </c>
      <c r="H4695" s="6" t="str">
        <f>IFERROR(__xludf.DUMMYFUNCTION("IF(REGEXMATCH(LOWER(G4695), ""^(\?)+\s*(missing)?\s*(\?)*$""), """", PROPER(SUBSTITUTE(SUBSTITUTE(G4695, ""?"", """"), ""*"", """")))"),"Ceramic Cherry Cake Money Bank")</f>
        <v>Ceramic Cherry Cake Money Bank</v>
      </c>
      <c r="I4695" s="3">
        <v>4.0</v>
      </c>
      <c r="J4695" s="7">
        <v>40886.47222222222</v>
      </c>
      <c r="K4695" s="8" t="str">
        <f t="shared" si="4"/>
        <v>2011-12</v>
      </c>
      <c r="L4695" s="5">
        <v>0.39</v>
      </c>
      <c r="M4695" s="3">
        <v>17754.0</v>
      </c>
      <c r="N4695" s="1" t="str">
        <f t="shared" si="5"/>
        <v>Registered</v>
      </c>
      <c r="O4695" s="1" t="s">
        <v>19</v>
      </c>
      <c r="P4695" s="9" t="str">
        <f t="shared" si="6"/>
        <v>UK</v>
      </c>
      <c r="Q4695" s="8">
        <f t="shared" si="7"/>
        <v>1.56</v>
      </c>
    </row>
    <row r="4696">
      <c r="A4696" s="1">
        <v>581514.0</v>
      </c>
      <c r="B4696" s="1" t="str">
        <f t="shared" si="1"/>
        <v>581514</v>
      </c>
      <c r="C4696" s="1" t="str">
        <f t="shared" si="2"/>
        <v>Sale</v>
      </c>
      <c r="D4696" s="1">
        <v>22645.0</v>
      </c>
      <c r="E4696" s="1" t="str">
        <f>IFERROR(__xludf.DUMMYFUNCTION("IF(LEN(D4696)&gt;4, IFERROR(REGEXEXTRACT(TO_TEXT(D4696),""\d+""),""""),"""")"),"22645")</f>
        <v>22645</v>
      </c>
      <c r="F4696" s="6" t="str">
        <f t="shared" si="3"/>
        <v>Product</v>
      </c>
      <c r="G4696" s="1" t="s">
        <v>522</v>
      </c>
      <c r="H4696" s="6" t="str">
        <f>IFERROR(__xludf.DUMMYFUNCTION("IF(REGEXMATCH(LOWER(G4696), ""^(\?)+\s*(missing)?\s*(\?)*$""), """", PROPER(SUBSTITUTE(SUBSTITUTE(G4696, ""?"", """"), ""*"", """")))"),"Ceramic Heart Fairy Cake Money Bank")</f>
        <v>Ceramic Heart Fairy Cake Money Bank</v>
      </c>
      <c r="I4696" s="3">
        <v>4.0</v>
      </c>
      <c r="J4696" s="7">
        <v>40886.47222222222</v>
      </c>
      <c r="K4696" s="8" t="str">
        <f t="shared" si="4"/>
        <v>2011-12</v>
      </c>
      <c r="L4696" s="5">
        <v>0.39</v>
      </c>
      <c r="M4696" s="3">
        <v>17754.0</v>
      </c>
      <c r="N4696" s="1" t="str">
        <f t="shared" si="5"/>
        <v>Registered</v>
      </c>
      <c r="O4696" s="1" t="s">
        <v>19</v>
      </c>
      <c r="P4696" s="9" t="str">
        <f t="shared" si="6"/>
        <v>UK</v>
      </c>
      <c r="Q4696" s="8">
        <f t="shared" si="7"/>
        <v>1.56</v>
      </c>
    </row>
    <row r="4697">
      <c r="A4697" s="1">
        <v>581514.0</v>
      </c>
      <c r="B4697" s="1" t="str">
        <f t="shared" si="1"/>
        <v>581514</v>
      </c>
      <c r="C4697" s="1" t="str">
        <f t="shared" si="2"/>
        <v>Sale</v>
      </c>
      <c r="D4697" s="1">
        <v>22394.0</v>
      </c>
      <c r="E4697" s="1" t="str">
        <f>IFERROR(__xludf.DUMMYFUNCTION("IF(LEN(D4697)&gt;4, IFERROR(REGEXEXTRACT(TO_TEXT(D4697),""\d+""),""""),"""")"),"22394")</f>
        <v>22394</v>
      </c>
      <c r="F4697" s="6" t="str">
        <f t="shared" si="3"/>
        <v>Product</v>
      </c>
      <c r="G4697" s="1" t="s">
        <v>2108</v>
      </c>
      <c r="H4697" s="6" t="str">
        <f>IFERROR(__xludf.DUMMYFUNCTION("IF(REGEXMATCH(LOWER(G4697), ""^(\?)+\s*(missing)?\s*(\?)*$""), """", PROPER(SUBSTITUTE(SUBSTITUTE(G4697, ""?"", """"), ""*"", """")))"),"Paperweight Kings Choice")</f>
        <v>Paperweight Kings Choice</v>
      </c>
      <c r="I4697" s="3">
        <v>12.0</v>
      </c>
      <c r="J4697" s="7">
        <v>40886.47222222222</v>
      </c>
      <c r="K4697" s="8" t="str">
        <f t="shared" si="4"/>
        <v>2011-12</v>
      </c>
      <c r="L4697" s="5">
        <v>0.39</v>
      </c>
      <c r="M4697" s="3">
        <v>17754.0</v>
      </c>
      <c r="N4697" s="1" t="str">
        <f t="shared" si="5"/>
        <v>Registered</v>
      </c>
      <c r="O4697" s="1" t="s">
        <v>19</v>
      </c>
      <c r="P4697" s="9" t="str">
        <f t="shared" si="6"/>
        <v>UK</v>
      </c>
      <c r="Q4697" s="8">
        <f t="shared" si="7"/>
        <v>4.68</v>
      </c>
    </row>
    <row r="4698">
      <c r="A4698" s="1">
        <v>581514.0</v>
      </c>
      <c r="B4698" s="1" t="str">
        <f t="shared" si="1"/>
        <v>581514</v>
      </c>
      <c r="C4698" s="1" t="str">
        <f t="shared" si="2"/>
        <v>Sale</v>
      </c>
      <c r="D4698" s="1" t="s">
        <v>2109</v>
      </c>
      <c r="E4698" s="1" t="str">
        <f>IFERROR(__xludf.DUMMYFUNCTION("IF(LEN(D4698)&gt;4, IFERROR(REGEXEXTRACT(TO_TEXT(D4698),""\d+""),""""),"""")"),"17091")</f>
        <v>17091</v>
      </c>
      <c r="F4698" s="6" t="str">
        <f t="shared" si="3"/>
        <v>Product</v>
      </c>
      <c r="G4698" s="1" t="s">
        <v>2110</v>
      </c>
      <c r="H4698" s="6" t="str">
        <f>IFERROR(__xludf.DUMMYFUNCTION("IF(REGEXMATCH(LOWER(G4698), ""^(\?)+\s*(missing)?\s*(\?)*$""), """", PROPER(SUBSTITUTE(SUBSTITUTE(G4698, ""?"", """"), ""*"", """")))"),"Vanilla Incense In Tin")</f>
        <v>Vanilla Incense In Tin</v>
      </c>
      <c r="I4698" s="3">
        <v>66.0</v>
      </c>
      <c r="J4698" s="7">
        <v>40886.47222222222</v>
      </c>
      <c r="K4698" s="8" t="str">
        <f t="shared" si="4"/>
        <v>2011-12</v>
      </c>
      <c r="L4698" s="5">
        <v>0.38</v>
      </c>
      <c r="M4698" s="3">
        <v>17754.0</v>
      </c>
      <c r="N4698" s="1" t="str">
        <f t="shared" si="5"/>
        <v>Registered</v>
      </c>
      <c r="O4698" s="1" t="s">
        <v>19</v>
      </c>
      <c r="P4698" s="9" t="str">
        <f t="shared" si="6"/>
        <v>UK</v>
      </c>
      <c r="Q4698" s="8">
        <f t="shared" si="7"/>
        <v>25.08</v>
      </c>
    </row>
    <row r="4699">
      <c r="A4699" s="1">
        <v>581514.0</v>
      </c>
      <c r="B4699" s="1" t="str">
        <f t="shared" si="1"/>
        <v>581514</v>
      </c>
      <c r="C4699" s="1" t="str">
        <f t="shared" si="2"/>
        <v>Sale</v>
      </c>
      <c r="D4699" s="1" t="s">
        <v>2111</v>
      </c>
      <c r="E4699" s="1" t="str">
        <f>IFERROR(__xludf.DUMMYFUNCTION("IF(LEN(D4699)&gt;4, IFERROR(REGEXEXTRACT(TO_TEXT(D4699),""\d+""),""""),"""")"),"35471")</f>
        <v>35471</v>
      </c>
      <c r="F4699" s="6" t="str">
        <f t="shared" si="3"/>
        <v>Product</v>
      </c>
      <c r="G4699" s="1" t="s">
        <v>2112</v>
      </c>
      <c r="H4699" s="6" t="str">
        <f>IFERROR(__xludf.DUMMYFUNCTION("IF(REGEXMATCH(LOWER(G4699), ""^(\?)+\s*(missing)?\s*(\?)*$""), """", PROPER(SUBSTITUTE(SUBSTITUTE(G4699, ""?"", """"), ""*"", """")))"),"Set Of 3 Bird Light Pink Feather")</f>
        <v>Set Of 3 Bird Light Pink Feather</v>
      </c>
      <c r="I4699" s="3">
        <v>12.0</v>
      </c>
      <c r="J4699" s="7">
        <v>40886.47222222222</v>
      </c>
      <c r="K4699" s="8" t="str">
        <f t="shared" si="4"/>
        <v>2011-12</v>
      </c>
      <c r="L4699" s="5">
        <v>0.39</v>
      </c>
      <c r="M4699" s="3">
        <v>17754.0</v>
      </c>
      <c r="N4699" s="1" t="str">
        <f t="shared" si="5"/>
        <v>Registered</v>
      </c>
      <c r="O4699" s="1" t="s">
        <v>19</v>
      </c>
      <c r="P4699" s="9" t="str">
        <f t="shared" si="6"/>
        <v>UK</v>
      </c>
      <c r="Q4699" s="8">
        <f t="shared" si="7"/>
        <v>4.68</v>
      </c>
    </row>
    <row r="4700">
      <c r="A4700" s="1">
        <v>581514.0</v>
      </c>
      <c r="B4700" s="1" t="str">
        <f t="shared" si="1"/>
        <v>581514</v>
      </c>
      <c r="C4700" s="1" t="str">
        <f t="shared" si="2"/>
        <v>Sale</v>
      </c>
      <c r="D4700" s="1">
        <v>22075.0</v>
      </c>
      <c r="E4700" s="1" t="str">
        <f>IFERROR(__xludf.DUMMYFUNCTION("IF(LEN(D4700)&gt;4, IFERROR(REGEXEXTRACT(TO_TEXT(D4700),""\d+""),""""),"""")"),"22075")</f>
        <v>22075</v>
      </c>
      <c r="F4700" s="6" t="str">
        <f t="shared" si="3"/>
        <v>Product</v>
      </c>
      <c r="G4700" s="1" t="s">
        <v>419</v>
      </c>
      <c r="H4700" s="6" t="str">
        <f>IFERROR(__xludf.DUMMYFUNCTION("IF(REGEXMATCH(LOWER(G4700), ""^(\?)+\s*(missing)?\s*(\?)*$""), """", PROPER(SUBSTITUTE(SUBSTITUTE(G4700, ""?"", """"), ""*"", """")))"),"6 Ribbons Elegant Christmas")</f>
        <v>6 Ribbons Elegant Christmas</v>
      </c>
      <c r="I4700" s="3">
        <v>24.0</v>
      </c>
      <c r="J4700" s="7">
        <v>40886.47222222222</v>
      </c>
      <c r="K4700" s="8" t="str">
        <f t="shared" si="4"/>
        <v>2011-12</v>
      </c>
      <c r="L4700" s="5">
        <v>0.39</v>
      </c>
      <c r="M4700" s="3">
        <v>17754.0</v>
      </c>
      <c r="N4700" s="1" t="str">
        <f t="shared" si="5"/>
        <v>Registered</v>
      </c>
      <c r="O4700" s="1" t="s">
        <v>19</v>
      </c>
      <c r="P4700" s="9" t="str">
        <f t="shared" si="6"/>
        <v>UK</v>
      </c>
      <c r="Q4700" s="8">
        <f t="shared" si="7"/>
        <v>9.36</v>
      </c>
    </row>
    <row r="4701">
      <c r="A4701" s="1">
        <v>581514.0</v>
      </c>
      <c r="B4701" s="1" t="str">
        <f t="shared" si="1"/>
        <v>581514</v>
      </c>
      <c r="C4701" s="1" t="str">
        <f t="shared" si="2"/>
        <v>Sale</v>
      </c>
      <c r="D4701" s="1" t="s">
        <v>2109</v>
      </c>
      <c r="E4701" s="1" t="str">
        <f>IFERROR(__xludf.DUMMYFUNCTION("IF(LEN(D4701)&gt;4, IFERROR(REGEXEXTRACT(TO_TEXT(D4701),""\d+""),""""),"""")"),"17091")</f>
        <v>17091</v>
      </c>
      <c r="F4701" s="6" t="str">
        <f t="shared" si="3"/>
        <v>Product</v>
      </c>
      <c r="G4701" s="1" t="s">
        <v>2110</v>
      </c>
      <c r="H4701" s="6" t="str">
        <f>IFERROR(__xludf.DUMMYFUNCTION("IF(REGEXMATCH(LOWER(G4701), ""^(\?)+\s*(missing)?\s*(\?)*$""), """", PROPER(SUBSTITUTE(SUBSTITUTE(G4701, ""?"", """"), ""*"", """")))"),"Vanilla Incense In Tin")</f>
        <v>Vanilla Incense In Tin</v>
      </c>
      <c r="I4701" s="3">
        <v>24.0</v>
      </c>
      <c r="J4701" s="7">
        <v>40886.47222222222</v>
      </c>
      <c r="K4701" s="8" t="str">
        <f t="shared" si="4"/>
        <v>2011-12</v>
      </c>
      <c r="L4701" s="5">
        <v>0.38</v>
      </c>
      <c r="M4701" s="3">
        <v>17754.0</v>
      </c>
      <c r="N4701" s="1" t="str">
        <f t="shared" si="5"/>
        <v>Registered</v>
      </c>
      <c r="O4701" s="1" t="s">
        <v>19</v>
      </c>
      <c r="P4701" s="9" t="str">
        <f t="shared" si="6"/>
        <v>UK</v>
      </c>
      <c r="Q4701" s="8">
        <f t="shared" si="7"/>
        <v>9.12</v>
      </c>
    </row>
    <row r="4702">
      <c r="A4702" s="1">
        <v>581514.0</v>
      </c>
      <c r="B4702" s="1" t="str">
        <f t="shared" si="1"/>
        <v>581514</v>
      </c>
      <c r="C4702" s="1" t="str">
        <f t="shared" si="2"/>
        <v>Sale</v>
      </c>
      <c r="D4702" s="1">
        <v>22069.0</v>
      </c>
      <c r="E4702" s="1" t="str">
        <f>IFERROR(__xludf.DUMMYFUNCTION("IF(LEN(D4702)&gt;4, IFERROR(REGEXEXTRACT(TO_TEXT(D4702),""\d+""),""""),"""")"),"22069")</f>
        <v>22069</v>
      </c>
      <c r="F4702" s="6" t="str">
        <f t="shared" si="3"/>
        <v>Product</v>
      </c>
      <c r="G4702" s="1" t="s">
        <v>2066</v>
      </c>
      <c r="H4702" s="6" t="str">
        <f>IFERROR(__xludf.DUMMYFUNCTION("IF(REGEXMATCH(LOWER(G4702), ""^(\?)+\s*(missing)?\s*(\?)*$""), """", PROPER(SUBSTITUTE(SUBSTITUTE(G4702, ""?"", """"), ""*"", """")))"),"Brown Pirate Treasure Chest")</f>
        <v>Brown Pirate Treasure Chest</v>
      </c>
      <c r="I4702" s="3">
        <v>20.0</v>
      </c>
      <c r="J4702" s="7">
        <v>40886.47222222222</v>
      </c>
      <c r="K4702" s="8" t="str">
        <f t="shared" si="4"/>
        <v>2011-12</v>
      </c>
      <c r="L4702" s="5">
        <v>0.39</v>
      </c>
      <c r="M4702" s="3">
        <v>17754.0</v>
      </c>
      <c r="N4702" s="1" t="str">
        <f t="shared" si="5"/>
        <v>Registered</v>
      </c>
      <c r="O4702" s="1" t="s">
        <v>19</v>
      </c>
      <c r="P4702" s="9" t="str">
        <f t="shared" si="6"/>
        <v>UK</v>
      </c>
      <c r="Q4702" s="8">
        <f t="shared" si="7"/>
        <v>7.8</v>
      </c>
    </row>
    <row r="4703">
      <c r="A4703" s="1">
        <v>581514.0</v>
      </c>
      <c r="B4703" s="1" t="str">
        <f t="shared" si="1"/>
        <v>581514</v>
      </c>
      <c r="C4703" s="1" t="str">
        <f t="shared" si="2"/>
        <v>Sale</v>
      </c>
      <c r="D4703" s="1">
        <v>22068.0</v>
      </c>
      <c r="E4703" s="1" t="str">
        <f>IFERROR(__xludf.DUMMYFUNCTION("IF(LEN(D4703)&gt;4, IFERROR(REGEXEXTRACT(TO_TEXT(D4703),""\d+""),""""),"""")"),"22068")</f>
        <v>22068</v>
      </c>
      <c r="F4703" s="6" t="str">
        <f t="shared" si="3"/>
        <v>Product</v>
      </c>
      <c r="G4703" s="1" t="s">
        <v>310</v>
      </c>
      <c r="H4703" s="6" t="str">
        <f>IFERROR(__xludf.DUMMYFUNCTION("IF(REGEXMATCH(LOWER(G4703), ""^(\?)+\s*(missing)?\s*(\?)*$""), """", PROPER(SUBSTITUTE(SUBSTITUTE(G4703, ""?"", """"), ""*"", """")))"),"Black Pirate Treasure Chest")</f>
        <v>Black Pirate Treasure Chest</v>
      </c>
      <c r="I4703" s="3">
        <v>14.0</v>
      </c>
      <c r="J4703" s="7">
        <v>40886.47222222222</v>
      </c>
      <c r="K4703" s="8" t="str">
        <f t="shared" si="4"/>
        <v>2011-12</v>
      </c>
      <c r="L4703" s="5">
        <v>0.39</v>
      </c>
      <c r="M4703" s="3">
        <v>17754.0</v>
      </c>
      <c r="N4703" s="1" t="str">
        <f t="shared" si="5"/>
        <v>Registered</v>
      </c>
      <c r="O4703" s="1" t="s">
        <v>19</v>
      </c>
      <c r="P4703" s="9" t="str">
        <f t="shared" si="6"/>
        <v>UK</v>
      </c>
      <c r="Q4703" s="8">
        <f t="shared" si="7"/>
        <v>5.46</v>
      </c>
    </row>
    <row r="4704">
      <c r="A4704" s="1">
        <v>581514.0</v>
      </c>
      <c r="B4704" s="1" t="str">
        <f t="shared" si="1"/>
        <v>581514</v>
      </c>
      <c r="C4704" s="1" t="str">
        <f t="shared" si="2"/>
        <v>Sale</v>
      </c>
      <c r="D4704" s="1">
        <v>22500.0</v>
      </c>
      <c r="E4704" s="1" t="str">
        <f>IFERROR(__xludf.DUMMYFUNCTION("IF(LEN(D4704)&gt;4, IFERROR(REGEXEXTRACT(TO_TEXT(D4704),""\d+""),""""),"""")"),"22500")</f>
        <v>22500</v>
      </c>
      <c r="F4704" s="6" t="str">
        <f t="shared" si="3"/>
        <v>Product</v>
      </c>
      <c r="G4704" s="1" t="s">
        <v>607</v>
      </c>
      <c r="H4704" s="6" t="str">
        <f>IFERROR(__xludf.DUMMYFUNCTION("IF(REGEXMATCH(LOWER(G4704), ""^(\?)+\s*(missing)?\s*(\?)*$""), """", PROPER(SUBSTITUTE(SUBSTITUTE(G4704, ""?"", """"), ""*"", """")))"),"Set Of 2 Tins Jardin De Provence")</f>
        <v>Set Of 2 Tins Jardin De Provence</v>
      </c>
      <c r="I4704" s="3">
        <v>4.0</v>
      </c>
      <c r="J4704" s="7">
        <v>40886.47222222222</v>
      </c>
      <c r="K4704" s="8" t="str">
        <f t="shared" si="4"/>
        <v>2011-12</v>
      </c>
      <c r="L4704" s="5">
        <v>1.25</v>
      </c>
      <c r="M4704" s="3">
        <v>17754.0</v>
      </c>
      <c r="N4704" s="1" t="str">
        <f t="shared" si="5"/>
        <v>Registered</v>
      </c>
      <c r="O4704" s="1" t="s">
        <v>19</v>
      </c>
      <c r="P4704" s="9" t="str">
        <f t="shared" si="6"/>
        <v>UK</v>
      </c>
      <c r="Q4704" s="8">
        <f t="shared" si="7"/>
        <v>5</v>
      </c>
    </row>
    <row r="4705">
      <c r="A4705" s="1">
        <v>581514.0</v>
      </c>
      <c r="B4705" s="1" t="str">
        <f t="shared" si="1"/>
        <v>581514</v>
      </c>
      <c r="C4705" s="1" t="str">
        <f t="shared" si="2"/>
        <v>Sale</v>
      </c>
      <c r="D4705" s="1">
        <v>22075.0</v>
      </c>
      <c r="E4705" s="1" t="str">
        <f>IFERROR(__xludf.DUMMYFUNCTION("IF(LEN(D4705)&gt;4, IFERROR(REGEXEXTRACT(TO_TEXT(D4705),""\d+""),""""),"""")"),"22075")</f>
        <v>22075</v>
      </c>
      <c r="F4705" s="6" t="str">
        <f t="shared" si="3"/>
        <v>Product</v>
      </c>
      <c r="G4705" s="1" t="s">
        <v>419</v>
      </c>
      <c r="H4705" s="6" t="str">
        <f>IFERROR(__xludf.DUMMYFUNCTION("IF(REGEXMATCH(LOWER(G4705), ""^(\?)+\s*(missing)?\s*(\?)*$""), """", PROPER(SUBSTITUTE(SUBSTITUTE(G4705, ""?"", """"), ""*"", """")))"),"6 Ribbons Elegant Christmas")</f>
        <v>6 Ribbons Elegant Christmas</v>
      </c>
      <c r="I4705" s="3">
        <v>24.0</v>
      </c>
      <c r="J4705" s="7">
        <v>40886.47222222222</v>
      </c>
      <c r="K4705" s="8" t="str">
        <f t="shared" si="4"/>
        <v>2011-12</v>
      </c>
      <c r="L4705" s="5">
        <v>0.39</v>
      </c>
      <c r="M4705" s="3">
        <v>17754.0</v>
      </c>
      <c r="N4705" s="1" t="str">
        <f t="shared" si="5"/>
        <v>Registered</v>
      </c>
      <c r="O4705" s="1" t="s">
        <v>19</v>
      </c>
      <c r="P4705" s="9" t="str">
        <f t="shared" si="6"/>
        <v>UK</v>
      </c>
      <c r="Q4705" s="8">
        <f t="shared" si="7"/>
        <v>9.36</v>
      </c>
    </row>
    <row r="4706">
      <c r="A4706" s="1">
        <v>581514.0</v>
      </c>
      <c r="B4706" s="1" t="str">
        <f t="shared" si="1"/>
        <v>581514</v>
      </c>
      <c r="C4706" s="1" t="str">
        <f t="shared" si="2"/>
        <v>Sale</v>
      </c>
      <c r="D4706" s="1">
        <v>21705.0</v>
      </c>
      <c r="E4706" s="1" t="str">
        <f>IFERROR(__xludf.DUMMYFUNCTION("IF(LEN(D4706)&gt;4, IFERROR(REGEXEXTRACT(TO_TEXT(D4706),""\d+""),""""),"""")"),"21705")</f>
        <v>21705</v>
      </c>
      <c r="F4706" s="6" t="str">
        <f t="shared" si="3"/>
        <v>Product</v>
      </c>
      <c r="G4706" s="1" t="s">
        <v>389</v>
      </c>
      <c r="H4706" s="6" t="str">
        <f>IFERROR(__xludf.DUMMYFUNCTION("IF(REGEXMATCH(LOWER(G4706), ""^(\?)+\s*(missing)?\s*(\?)*$""), """", PROPER(SUBSTITUTE(SUBSTITUTE(G4706, ""?"", """"), ""*"", """")))"),"Bag 500G Swirly Marbles")</f>
        <v>Bag 500G Swirly Marbles</v>
      </c>
      <c r="I4706" s="3">
        <v>84.0</v>
      </c>
      <c r="J4706" s="7">
        <v>40886.47222222222</v>
      </c>
      <c r="K4706" s="8" t="str">
        <f t="shared" si="4"/>
        <v>2011-12</v>
      </c>
      <c r="L4706" s="5">
        <v>0.39</v>
      </c>
      <c r="M4706" s="3">
        <v>17754.0</v>
      </c>
      <c r="N4706" s="1" t="str">
        <f t="shared" si="5"/>
        <v>Registered</v>
      </c>
      <c r="O4706" s="1" t="s">
        <v>19</v>
      </c>
      <c r="P4706" s="9" t="str">
        <f t="shared" si="6"/>
        <v>UK</v>
      </c>
      <c r="Q4706" s="8">
        <f t="shared" si="7"/>
        <v>32.76</v>
      </c>
    </row>
    <row r="4707">
      <c r="A4707" s="1">
        <v>581516.0</v>
      </c>
      <c r="B4707" s="1" t="str">
        <f t="shared" si="1"/>
        <v>581516</v>
      </c>
      <c r="C4707" s="1" t="str">
        <f t="shared" si="2"/>
        <v>Sale</v>
      </c>
      <c r="D4707" s="1">
        <v>21109.0</v>
      </c>
      <c r="E4707" s="1" t="str">
        <f>IFERROR(__xludf.DUMMYFUNCTION("IF(LEN(D4707)&gt;4, IFERROR(REGEXEXTRACT(TO_TEXT(D4707),""\d+""),""""),"""")"),"21109")</f>
        <v>21109</v>
      </c>
      <c r="F4707" s="6" t="str">
        <f t="shared" si="3"/>
        <v>Product</v>
      </c>
      <c r="G4707" s="1" t="s">
        <v>1102</v>
      </c>
      <c r="H4707" s="6" t="str">
        <f>IFERROR(__xludf.DUMMYFUNCTION("IF(REGEXMATCH(LOWER(G4707), ""^(\?)+\s*(missing)?\s*(\?)*$""), """", PROPER(SUBSTITUTE(SUBSTITUTE(G4707, ""?"", """"), ""*"", """")))"),"Large Cake Towel Chocolate Spots")</f>
        <v>Large Cake Towel Chocolate Spots</v>
      </c>
      <c r="I4707" s="3">
        <v>12.0</v>
      </c>
      <c r="J4707" s="7">
        <v>40886.47638888889</v>
      </c>
      <c r="K4707" s="8" t="str">
        <f t="shared" si="4"/>
        <v>2011-12</v>
      </c>
      <c r="L4707" s="5">
        <v>1.95</v>
      </c>
      <c r="M4707" s="3">
        <v>14422.0</v>
      </c>
      <c r="N4707" s="1" t="str">
        <f t="shared" si="5"/>
        <v>Registered</v>
      </c>
      <c r="O4707" s="1" t="s">
        <v>19</v>
      </c>
      <c r="P4707" s="9" t="str">
        <f t="shared" si="6"/>
        <v>UK</v>
      </c>
      <c r="Q4707" s="8">
        <f t="shared" si="7"/>
        <v>23.4</v>
      </c>
    </row>
    <row r="4708">
      <c r="A4708" s="1">
        <v>581516.0</v>
      </c>
      <c r="B4708" s="1" t="str">
        <f t="shared" si="1"/>
        <v>581516</v>
      </c>
      <c r="C4708" s="1" t="str">
        <f t="shared" si="2"/>
        <v>Sale</v>
      </c>
      <c r="D4708" s="1">
        <v>21111.0</v>
      </c>
      <c r="E4708" s="1" t="str">
        <f>IFERROR(__xludf.DUMMYFUNCTION("IF(LEN(D4708)&gt;4, IFERROR(REGEXEXTRACT(TO_TEXT(D4708),""\d+""),""""),"""")"),"21111")</f>
        <v>21111</v>
      </c>
      <c r="F4708" s="6" t="str">
        <f t="shared" si="3"/>
        <v>Product</v>
      </c>
      <c r="G4708" s="1" t="s">
        <v>1100</v>
      </c>
      <c r="H4708" s="6" t="str">
        <f>IFERROR(__xludf.DUMMYFUNCTION("IF(REGEXMATCH(LOWER(G4708), ""^(\?)+\s*(missing)?\s*(\?)*$""), """", PROPER(SUBSTITUTE(SUBSTITUTE(G4708, ""?"", """"), ""*"", """")))"),"Swiss Roll Towel, Chocolate Spots")</f>
        <v>Swiss Roll Towel, Chocolate Spots</v>
      </c>
      <c r="I4708" s="3">
        <v>24.0</v>
      </c>
      <c r="J4708" s="7">
        <v>40886.47638888889</v>
      </c>
      <c r="K4708" s="8" t="str">
        <f t="shared" si="4"/>
        <v>2011-12</v>
      </c>
      <c r="L4708" s="5">
        <v>1.25</v>
      </c>
      <c r="M4708" s="3">
        <v>14422.0</v>
      </c>
      <c r="N4708" s="1" t="str">
        <f t="shared" si="5"/>
        <v>Registered</v>
      </c>
      <c r="O4708" s="1" t="s">
        <v>19</v>
      </c>
      <c r="P4708" s="9" t="str">
        <f t="shared" si="6"/>
        <v>UK</v>
      </c>
      <c r="Q4708" s="8">
        <f t="shared" si="7"/>
        <v>30</v>
      </c>
    </row>
    <row r="4709">
      <c r="A4709" s="1">
        <v>581516.0</v>
      </c>
      <c r="B4709" s="1" t="str">
        <f t="shared" si="1"/>
        <v>581516</v>
      </c>
      <c r="C4709" s="1" t="str">
        <f t="shared" si="2"/>
        <v>Sale</v>
      </c>
      <c r="D4709" s="1">
        <v>21705.0</v>
      </c>
      <c r="E4709" s="1" t="str">
        <f>IFERROR(__xludf.DUMMYFUNCTION("IF(LEN(D4709)&gt;4, IFERROR(REGEXEXTRACT(TO_TEXT(D4709),""\d+""),""""),"""")"),"21705")</f>
        <v>21705</v>
      </c>
      <c r="F4709" s="6" t="str">
        <f t="shared" si="3"/>
        <v>Product</v>
      </c>
      <c r="G4709" s="1" t="s">
        <v>389</v>
      </c>
      <c r="H4709" s="6" t="str">
        <f>IFERROR(__xludf.DUMMYFUNCTION("IF(REGEXMATCH(LOWER(G4709), ""^(\?)+\s*(missing)?\s*(\?)*$""), """", PROPER(SUBSTITUTE(SUBSTITUTE(G4709, ""?"", """"), ""*"", """")))"),"Bag 500G Swirly Marbles")</f>
        <v>Bag 500G Swirly Marbles</v>
      </c>
      <c r="I4709" s="3">
        <v>24.0</v>
      </c>
      <c r="J4709" s="7">
        <v>40886.47638888889</v>
      </c>
      <c r="K4709" s="8" t="str">
        <f t="shared" si="4"/>
        <v>2011-12</v>
      </c>
      <c r="L4709" s="5">
        <v>0.39</v>
      </c>
      <c r="M4709" s="3">
        <v>14422.0</v>
      </c>
      <c r="N4709" s="1" t="str">
        <f t="shared" si="5"/>
        <v>Registered</v>
      </c>
      <c r="O4709" s="1" t="s">
        <v>19</v>
      </c>
      <c r="P4709" s="9" t="str">
        <f t="shared" si="6"/>
        <v>UK</v>
      </c>
      <c r="Q4709" s="8">
        <f t="shared" si="7"/>
        <v>9.36</v>
      </c>
    </row>
    <row r="4710">
      <c r="A4710" s="1">
        <v>581516.0</v>
      </c>
      <c r="B4710" s="1" t="str">
        <f t="shared" si="1"/>
        <v>581516</v>
      </c>
      <c r="C4710" s="1" t="str">
        <f t="shared" si="2"/>
        <v>Sale</v>
      </c>
      <c r="D4710" s="1">
        <v>22185.0</v>
      </c>
      <c r="E4710" s="1" t="str">
        <f>IFERROR(__xludf.DUMMYFUNCTION("IF(LEN(D4710)&gt;4, IFERROR(REGEXEXTRACT(TO_TEXT(D4710),""\d+""),""""),"""")"),"22185")</f>
        <v>22185</v>
      </c>
      <c r="F4710" s="6" t="str">
        <f t="shared" si="3"/>
        <v>Product</v>
      </c>
      <c r="G4710" s="1" t="s">
        <v>719</v>
      </c>
      <c r="H4710" s="6" t="str">
        <f>IFERROR(__xludf.DUMMYFUNCTION("IF(REGEXMATCH(LOWER(G4710), ""^(\?)+\s*(missing)?\s*(\?)*$""), """", PROPER(SUBSTITUTE(SUBSTITUTE(G4710, ""?"", """"), ""*"", """")))"),"Slate Tile Natural Hanging")</f>
        <v>Slate Tile Natural Hanging</v>
      </c>
      <c r="I4710" s="3">
        <v>12.0</v>
      </c>
      <c r="J4710" s="7">
        <v>40886.47638888889</v>
      </c>
      <c r="K4710" s="8" t="str">
        <f t="shared" si="4"/>
        <v>2011-12</v>
      </c>
      <c r="L4710" s="5">
        <v>0.79</v>
      </c>
      <c r="M4710" s="3">
        <v>14422.0</v>
      </c>
      <c r="N4710" s="1" t="str">
        <f t="shared" si="5"/>
        <v>Registered</v>
      </c>
      <c r="O4710" s="1" t="s">
        <v>19</v>
      </c>
      <c r="P4710" s="9" t="str">
        <f t="shared" si="6"/>
        <v>UK</v>
      </c>
      <c r="Q4710" s="8">
        <f t="shared" si="7"/>
        <v>9.48</v>
      </c>
    </row>
    <row r="4711">
      <c r="A4711" s="1">
        <v>581516.0</v>
      </c>
      <c r="B4711" s="1" t="str">
        <f t="shared" si="1"/>
        <v>581516</v>
      </c>
      <c r="C4711" s="1" t="str">
        <f t="shared" si="2"/>
        <v>Sale</v>
      </c>
      <c r="D4711" s="1">
        <v>22442.0</v>
      </c>
      <c r="E4711" s="1" t="str">
        <f>IFERROR(__xludf.DUMMYFUNCTION("IF(LEN(D4711)&gt;4, IFERROR(REGEXEXTRACT(TO_TEXT(D4711),""\d+""),""""),"""")"),"22442")</f>
        <v>22442</v>
      </c>
      <c r="F4711" s="6" t="str">
        <f t="shared" si="3"/>
        <v>Product</v>
      </c>
      <c r="G4711" s="1" t="s">
        <v>1428</v>
      </c>
      <c r="H4711" s="6" t="str">
        <f>IFERROR(__xludf.DUMMYFUNCTION("IF(REGEXMATCH(LOWER(G4711), ""^(\?)+\s*(missing)?\s*(\?)*$""), """", PROPER(SUBSTITUTE(SUBSTITUTE(G4711, ""?"", """"), ""*"", """")))"),"Grow Your Own Flowers Set Of 3")</f>
        <v>Grow Your Own Flowers Set Of 3</v>
      </c>
      <c r="I4711" s="3">
        <v>12.0</v>
      </c>
      <c r="J4711" s="7">
        <v>40886.47638888889</v>
      </c>
      <c r="K4711" s="8" t="str">
        <f t="shared" si="4"/>
        <v>2011-12</v>
      </c>
      <c r="L4711" s="5">
        <v>1.95</v>
      </c>
      <c r="M4711" s="3">
        <v>14422.0</v>
      </c>
      <c r="N4711" s="1" t="str">
        <f t="shared" si="5"/>
        <v>Registered</v>
      </c>
      <c r="O4711" s="1" t="s">
        <v>19</v>
      </c>
      <c r="P4711" s="9" t="str">
        <f t="shared" si="6"/>
        <v>UK</v>
      </c>
      <c r="Q4711" s="8">
        <f t="shared" si="7"/>
        <v>23.4</v>
      </c>
    </row>
    <row r="4712">
      <c r="A4712" s="1">
        <v>581516.0</v>
      </c>
      <c r="B4712" s="1" t="str">
        <f t="shared" si="1"/>
        <v>581516</v>
      </c>
      <c r="C4712" s="1" t="str">
        <f t="shared" si="2"/>
        <v>Sale</v>
      </c>
      <c r="D4712" s="1">
        <v>21620.0</v>
      </c>
      <c r="E4712" s="1" t="str">
        <f>IFERROR(__xludf.DUMMYFUNCTION("IF(LEN(D4712)&gt;4, IFERROR(REGEXEXTRACT(TO_TEXT(D4712),""\d+""),""""),"""")"),"21620")</f>
        <v>21620</v>
      </c>
      <c r="F4712" s="6" t="str">
        <f t="shared" si="3"/>
        <v>Product</v>
      </c>
      <c r="G4712" s="1" t="s">
        <v>1760</v>
      </c>
      <c r="H4712" s="6" t="str">
        <f>IFERROR(__xludf.DUMMYFUNCTION("IF(REGEXMATCH(LOWER(G4712), ""^(\?)+\s*(missing)?\s*(\?)*$""), """", PROPER(SUBSTITUTE(SUBSTITUTE(G4712, ""?"", """"), ""*"", """")))"),"Set Of 4 Rose Botanical Candles")</f>
        <v>Set Of 4 Rose Botanical Candles</v>
      </c>
      <c r="I4712" s="3">
        <v>12.0</v>
      </c>
      <c r="J4712" s="7">
        <v>40886.47638888889</v>
      </c>
      <c r="K4712" s="8" t="str">
        <f t="shared" si="4"/>
        <v>2011-12</v>
      </c>
      <c r="L4712" s="5">
        <v>1.25</v>
      </c>
      <c r="M4712" s="3">
        <v>14422.0</v>
      </c>
      <c r="N4712" s="1" t="str">
        <f t="shared" si="5"/>
        <v>Registered</v>
      </c>
      <c r="O4712" s="1" t="s">
        <v>19</v>
      </c>
      <c r="P4712" s="9" t="str">
        <f t="shared" si="6"/>
        <v>UK</v>
      </c>
      <c r="Q4712" s="8">
        <f t="shared" si="7"/>
        <v>15</v>
      </c>
    </row>
    <row r="4713">
      <c r="A4713" s="1">
        <v>581516.0</v>
      </c>
      <c r="B4713" s="1" t="str">
        <f t="shared" si="1"/>
        <v>581516</v>
      </c>
      <c r="C4713" s="1" t="str">
        <f t="shared" si="2"/>
        <v>Sale</v>
      </c>
      <c r="D4713" s="1" t="s">
        <v>23</v>
      </c>
      <c r="E4713" s="1" t="str">
        <f>IFERROR(__xludf.DUMMYFUNCTION("IF(LEN(D4713)&gt;4, IFERROR(REGEXEXTRACT(TO_TEXT(D4713),""\d+""),""""),"""")"),"84029")</f>
        <v>84029</v>
      </c>
      <c r="F4713" s="6" t="str">
        <f t="shared" si="3"/>
        <v>Product</v>
      </c>
      <c r="G4713" s="1" t="s">
        <v>24</v>
      </c>
      <c r="H4713" s="6" t="str">
        <f>IFERROR(__xludf.DUMMYFUNCTION("IF(REGEXMATCH(LOWER(G4713), ""^(\?)+\s*(missing)?\s*(\?)*$""), """", PROPER(SUBSTITUTE(SUBSTITUTE(G4713, ""?"", """"), ""*"", """")))"),"Knitted Union Flag Hot Water Bottle")</f>
        <v>Knitted Union Flag Hot Water Bottle</v>
      </c>
      <c r="I4713" s="3">
        <v>8.0</v>
      </c>
      <c r="J4713" s="7">
        <v>40886.47638888889</v>
      </c>
      <c r="K4713" s="8" t="str">
        <f t="shared" si="4"/>
        <v>2011-12</v>
      </c>
      <c r="L4713" s="5">
        <v>4.25</v>
      </c>
      <c r="M4713" s="3">
        <v>14422.0</v>
      </c>
      <c r="N4713" s="1" t="str">
        <f t="shared" si="5"/>
        <v>Registered</v>
      </c>
      <c r="O4713" s="1" t="s">
        <v>19</v>
      </c>
      <c r="P4713" s="9" t="str">
        <f t="shared" si="6"/>
        <v>UK</v>
      </c>
      <c r="Q4713" s="8">
        <f t="shared" si="7"/>
        <v>34</v>
      </c>
    </row>
    <row r="4714">
      <c r="A4714" s="1">
        <v>581516.0</v>
      </c>
      <c r="B4714" s="1" t="str">
        <f t="shared" si="1"/>
        <v>581516</v>
      </c>
      <c r="C4714" s="1" t="str">
        <f t="shared" si="2"/>
        <v>Sale</v>
      </c>
      <c r="D4714" s="1">
        <v>21485.0</v>
      </c>
      <c r="E4714" s="1" t="str">
        <f>IFERROR(__xludf.DUMMYFUNCTION("IF(LEN(D4714)&gt;4, IFERROR(REGEXEXTRACT(TO_TEXT(D4714),""\d+""),""""),"""")"),"21485")</f>
        <v>21485</v>
      </c>
      <c r="F4714" s="6" t="str">
        <f t="shared" si="3"/>
        <v>Product</v>
      </c>
      <c r="G4714" s="1" t="s">
        <v>223</v>
      </c>
      <c r="H4714" s="6" t="str">
        <f>IFERROR(__xludf.DUMMYFUNCTION("IF(REGEXMATCH(LOWER(G4714), ""^(\?)+\s*(missing)?\s*(\?)*$""), """", PROPER(SUBSTITUTE(SUBSTITUTE(G4714, ""?"", """"), ""*"", """")))"),"Retrospot Heart Hot Water Bottle")</f>
        <v>Retrospot Heart Hot Water Bottle</v>
      </c>
      <c r="I4714" s="3">
        <v>3.0</v>
      </c>
      <c r="J4714" s="7">
        <v>40886.47638888889</v>
      </c>
      <c r="K4714" s="8" t="str">
        <f t="shared" si="4"/>
        <v>2011-12</v>
      </c>
      <c r="L4714" s="5">
        <v>4.95</v>
      </c>
      <c r="M4714" s="3">
        <v>14422.0</v>
      </c>
      <c r="N4714" s="1" t="str">
        <f t="shared" si="5"/>
        <v>Registered</v>
      </c>
      <c r="O4714" s="1" t="s">
        <v>19</v>
      </c>
      <c r="P4714" s="9" t="str">
        <f t="shared" si="6"/>
        <v>UK</v>
      </c>
      <c r="Q4714" s="8">
        <f t="shared" si="7"/>
        <v>14.85</v>
      </c>
    </row>
    <row r="4715">
      <c r="A4715" s="1">
        <v>581516.0</v>
      </c>
      <c r="B4715" s="1" t="str">
        <f t="shared" si="1"/>
        <v>581516</v>
      </c>
      <c r="C4715" s="1" t="str">
        <f t="shared" si="2"/>
        <v>Sale</v>
      </c>
      <c r="D4715" s="1">
        <v>22111.0</v>
      </c>
      <c r="E4715" s="1" t="str">
        <f>IFERROR(__xludf.DUMMYFUNCTION("IF(LEN(D4715)&gt;4, IFERROR(REGEXEXTRACT(TO_TEXT(D4715),""\d+""),""""),"""")"),"22111")</f>
        <v>22111</v>
      </c>
      <c r="F4715" s="6" t="str">
        <f t="shared" si="3"/>
        <v>Product</v>
      </c>
      <c r="G4715" s="1" t="s">
        <v>270</v>
      </c>
      <c r="H4715" s="6" t="str">
        <f>IFERROR(__xludf.DUMMYFUNCTION("IF(REGEXMATCH(LOWER(G4715), ""^(\?)+\s*(missing)?\s*(\?)*$""), """", PROPER(SUBSTITUTE(SUBSTITUTE(G4715, ""?"", """"), ""*"", """")))"),"Scottie Dog Hot Water Bottle")</f>
        <v>Scottie Dog Hot Water Bottle</v>
      </c>
      <c r="I4715" s="3">
        <v>6.0</v>
      </c>
      <c r="J4715" s="7">
        <v>40886.47638888889</v>
      </c>
      <c r="K4715" s="8" t="str">
        <f t="shared" si="4"/>
        <v>2011-12</v>
      </c>
      <c r="L4715" s="5">
        <v>4.95</v>
      </c>
      <c r="M4715" s="3">
        <v>14422.0</v>
      </c>
      <c r="N4715" s="1" t="str">
        <f t="shared" si="5"/>
        <v>Registered</v>
      </c>
      <c r="O4715" s="1" t="s">
        <v>19</v>
      </c>
      <c r="P4715" s="9" t="str">
        <f t="shared" si="6"/>
        <v>UK</v>
      </c>
      <c r="Q4715" s="8">
        <f t="shared" si="7"/>
        <v>29.7</v>
      </c>
    </row>
    <row r="4716">
      <c r="A4716" s="1">
        <v>581516.0</v>
      </c>
      <c r="B4716" s="1" t="str">
        <f t="shared" si="1"/>
        <v>581516</v>
      </c>
      <c r="C4716" s="1" t="str">
        <f t="shared" si="2"/>
        <v>Sale</v>
      </c>
      <c r="D4716" s="1">
        <v>23355.0</v>
      </c>
      <c r="E4716" s="1" t="str">
        <f>IFERROR(__xludf.DUMMYFUNCTION("IF(LEN(D4716)&gt;4, IFERROR(REGEXEXTRACT(TO_TEXT(D4716),""\d+""),""""),"""")"),"23355")</f>
        <v>23355</v>
      </c>
      <c r="F4716" s="6" t="str">
        <f t="shared" si="3"/>
        <v>Product</v>
      </c>
      <c r="G4716" s="1" t="s">
        <v>1625</v>
      </c>
      <c r="H4716" s="6" t="str">
        <f>IFERROR(__xludf.DUMMYFUNCTION("IF(REGEXMATCH(LOWER(G4716), ""^(\?)+\s*(missing)?\s*(\?)*$""), """", PROPER(SUBSTITUTE(SUBSTITUTE(G4716, ""?"", """"), ""*"", """")))"),"Hot Water Bottle Keep Calm")</f>
        <v>Hot Water Bottle Keep Calm</v>
      </c>
      <c r="I4716" s="3">
        <v>8.0</v>
      </c>
      <c r="J4716" s="7">
        <v>40886.47638888889</v>
      </c>
      <c r="K4716" s="8" t="str">
        <f t="shared" si="4"/>
        <v>2011-12</v>
      </c>
      <c r="L4716" s="5">
        <v>4.95</v>
      </c>
      <c r="M4716" s="3">
        <v>14422.0</v>
      </c>
      <c r="N4716" s="1" t="str">
        <f t="shared" si="5"/>
        <v>Registered</v>
      </c>
      <c r="O4716" s="1" t="s">
        <v>19</v>
      </c>
      <c r="P4716" s="9" t="str">
        <f t="shared" si="6"/>
        <v>UK</v>
      </c>
      <c r="Q4716" s="8">
        <f t="shared" si="7"/>
        <v>39.6</v>
      </c>
    </row>
    <row r="4717">
      <c r="A4717" s="1">
        <v>581516.0</v>
      </c>
      <c r="B4717" s="1" t="str">
        <f t="shared" si="1"/>
        <v>581516</v>
      </c>
      <c r="C4717" s="1" t="str">
        <f t="shared" si="2"/>
        <v>Sale</v>
      </c>
      <c r="D4717" s="1">
        <v>22112.0</v>
      </c>
      <c r="E4717" s="1" t="str">
        <f>IFERROR(__xludf.DUMMYFUNCTION("IF(LEN(D4717)&gt;4, IFERROR(REGEXEXTRACT(TO_TEXT(D4717),""\d+""),""""),"""")"),"22112")</f>
        <v>22112</v>
      </c>
      <c r="F4717" s="6" t="str">
        <f t="shared" si="3"/>
        <v>Product</v>
      </c>
      <c r="G4717" s="1" t="s">
        <v>268</v>
      </c>
      <c r="H4717" s="6" t="str">
        <f>IFERROR(__xludf.DUMMYFUNCTION("IF(REGEXMATCH(LOWER(G4717), ""^(\?)+\s*(missing)?\s*(\?)*$""), """", PROPER(SUBSTITUTE(SUBSTITUTE(G4717, ""?"", """"), ""*"", """")))"),"Chocolate Hot Water Bottle")</f>
        <v>Chocolate Hot Water Bottle</v>
      </c>
      <c r="I4717" s="3">
        <v>6.0</v>
      </c>
      <c r="J4717" s="7">
        <v>40886.47638888889</v>
      </c>
      <c r="K4717" s="8" t="str">
        <f t="shared" si="4"/>
        <v>2011-12</v>
      </c>
      <c r="L4717" s="5">
        <v>4.95</v>
      </c>
      <c r="M4717" s="3">
        <v>14422.0</v>
      </c>
      <c r="N4717" s="1" t="str">
        <f t="shared" si="5"/>
        <v>Registered</v>
      </c>
      <c r="O4717" s="1" t="s">
        <v>19</v>
      </c>
      <c r="P4717" s="9" t="str">
        <f t="shared" si="6"/>
        <v>UK</v>
      </c>
      <c r="Q4717" s="8">
        <f t="shared" si="7"/>
        <v>29.7</v>
      </c>
    </row>
    <row r="4718">
      <c r="A4718" s="1">
        <v>581516.0</v>
      </c>
      <c r="B4718" s="1" t="str">
        <f t="shared" si="1"/>
        <v>581516</v>
      </c>
      <c r="C4718" s="1" t="str">
        <f t="shared" si="2"/>
        <v>Sale</v>
      </c>
      <c r="D4718" s="1">
        <v>23356.0</v>
      </c>
      <c r="E4718" s="1" t="str">
        <f>IFERROR(__xludf.DUMMYFUNCTION("IF(LEN(D4718)&gt;4, IFERROR(REGEXEXTRACT(TO_TEXT(D4718),""\d+""),""""),"""")"),"23356")</f>
        <v>23356</v>
      </c>
      <c r="F4718" s="6" t="str">
        <f t="shared" si="3"/>
        <v>Product</v>
      </c>
      <c r="G4718" s="1" t="s">
        <v>1437</v>
      </c>
      <c r="H4718" s="6" t="str">
        <f>IFERROR(__xludf.DUMMYFUNCTION("IF(REGEXMATCH(LOWER(G4718), ""^(\?)+\s*(missing)?\s*(\?)*$""), """", PROPER(SUBSTITUTE(SUBSTITUTE(G4718, ""?"", """"), ""*"", """")))"),"Love Hot Water Bottle")</f>
        <v>Love Hot Water Bottle</v>
      </c>
      <c r="I4718" s="3">
        <v>6.0</v>
      </c>
      <c r="J4718" s="7">
        <v>40886.47638888889</v>
      </c>
      <c r="K4718" s="8" t="str">
        <f t="shared" si="4"/>
        <v>2011-12</v>
      </c>
      <c r="L4718" s="5">
        <v>5.95</v>
      </c>
      <c r="M4718" s="3">
        <v>14422.0</v>
      </c>
      <c r="N4718" s="1" t="str">
        <f t="shared" si="5"/>
        <v>Registered</v>
      </c>
      <c r="O4718" s="1" t="s">
        <v>19</v>
      </c>
      <c r="P4718" s="9" t="str">
        <f t="shared" si="6"/>
        <v>UK</v>
      </c>
      <c r="Q4718" s="8">
        <f t="shared" si="7"/>
        <v>35.7</v>
      </c>
    </row>
    <row r="4719">
      <c r="A4719" s="1">
        <v>581516.0</v>
      </c>
      <c r="B4719" s="1" t="str">
        <f t="shared" si="1"/>
        <v>581516</v>
      </c>
      <c r="C4719" s="1" t="str">
        <f t="shared" si="2"/>
        <v>Sale</v>
      </c>
      <c r="D4719" s="1">
        <v>21108.0</v>
      </c>
      <c r="E4719" s="1" t="str">
        <f>IFERROR(__xludf.DUMMYFUNCTION("IF(LEN(D4719)&gt;4, IFERROR(REGEXEXTRACT(TO_TEXT(D4719),""\d+""),""""),"""")"),"21108")</f>
        <v>21108</v>
      </c>
      <c r="F4719" s="6" t="str">
        <f t="shared" si="3"/>
        <v>Product</v>
      </c>
      <c r="G4719" s="1" t="s">
        <v>328</v>
      </c>
      <c r="H4719" s="6" t="str">
        <f>IFERROR(__xludf.DUMMYFUNCTION("IF(REGEXMATCH(LOWER(G4719), ""^(\?)+\s*(missing)?\s*(\?)*$""), """", PROPER(SUBSTITUTE(SUBSTITUTE(G4719, ""?"", """"), ""*"", """")))"),"Fairy Cake Flannel Assorted Colour")</f>
        <v>Fairy Cake Flannel Assorted Colour</v>
      </c>
      <c r="I4719" s="3">
        <v>18.0</v>
      </c>
      <c r="J4719" s="7">
        <v>40886.47638888889</v>
      </c>
      <c r="K4719" s="8" t="str">
        <f t="shared" si="4"/>
        <v>2011-12</v>
      </c>
      <c r="L4719" s="5">
        <v>0.79</v>
      </c>
      <c r="M4719" s="3">
        <v>14422.0</v>
      </c>
      <c r="N4719" s="1" t="str">
        <f t="shared" si="5"/>
        <v>Registered</v>
      </c>
      <c r="O4719" s="1" t="s">
        <v>19</v>
      </c>
      <c r="P4719" s="9" t="str">
        <f t="shared" si="6"/>
        <v>UK</v>
      </c>
      <c r="Q4719" s="8">
        <f t="shared" si="7"/>
        <v>14.22</v>
      </c>
    </row>
    <row r="4720">
      <c r="A4720" s="1">
        <v>581516.0</v>
      </c>
      <c r="B4720" s="1" t="str">
        <f t="shared" si="1"/>
        <v>581516</v>
      </c>
      <c r="C4720" s="1" t="str">
        <f t="shared" si="2"/>
        <v>Sale</v>
      </c>
      <c r="D4720" s="1">
        <v>22171.0</v>
      </c>
      <c r="E4720" s="1" t="str">
        <f>IFERROR(__xludf.DUMMYFUNCTION("IF(LEN(D4720)&gt;4, IFERROR(REGEXEXTRACT(TO_TEXT(D4720),""\d+""),""""),"""")"),"22171")</f>
        <v>22171</v>
      </c>
      <c r="F4720" s="6" t="str">
        <f t="shared" si="3"/>
        <v>Product</v>
      </c>
      <c r="G4720" s="1" t="s">
        <v>993</v>
      </c>
      <c r="H4720" s="6" t="str">
        <f>IFERROR(__xludf.DUMMYFUNCTION("IF(REGEXMATCH(LOWER(G4720), ""^(\?)+\s*(missing)?\s*(\?)*$""), """", PROPER(SUBSTITUTE(SUBSTITUTE(G4720, ""?"", """"), ""*"", """")))"),"3 Hook Photo Shelf Antique White")</f>
        <v>3 Hook Photo Shelf Antique White</v>
      </c>
      <c r="I4720" s="3">
        <v>4.0</v>
      </c>
      <c r="J4720" s="7">
        <v>40886.47638888889</v>
      </c>
      <c r="K4720" s="8" t="str">
        <f t="shared" si="4"/>
        <v>2011-12</v>
      </c>
      <c r="L4720" s="5">
        <v>8.5</v>
      </c>
      <c r="M4720" s="3">
        <v>14422.0</v>
      </c>
      <c r="N4720" s="1" t="str">
        <f t="shared" si="5"/>
        <v>Registered</v>
      </c>
      <c r="O4720" s="1" t="s">
        <v>19</v>
      </c>
      <c r="P4720" s="9" t="str">
        <f t="shared" si="6"/>
        <v>UK</v>
      </c>
      <c r="Q4720" s="8">
        <f t="shared" si="7"/>
        <v>34</v>
      </c>
    </row>
    <row r="4721">
      <c r="A4721" s="1">
        <v>581516.0</v>
      </c>
      <c r="B4721" s="1" t="str">
        <f t="shared" si="1"/>
        <v>581516</v>
      </c>
      <c r="C4721" s="1" t="str">
        <f t="shared" si="2"/>
        <v>Sale</v>
      </c>
      <c r="D4721" s="1">
        <v>23301.0</v>
      </c>
      <c r="E4721" s="1" t="str">
        <f>IFERROR(__xludf.DUMMYFUNCTION("IF(LEN(D4721)&gt;4, IFERROR(REGEXEXTRACT(TO_TEXT(D4721),""\d+""),""""),"""")"),"23301")</f>
        <v>23301</v>
      </c>
      <c r="F4721" s="6" t="str">
        <f t="shared" si="3"/>
        <v>Product</v>
      </c>
      <c r="G4721" s="1" t="s">
        <v>1542</v>
      </c>
      <c r="H4721" s="6" t="str">
        <f>IFERROR(__xludf.DUMMYFUNCTION("IF(REGEXMATCH(LOWER(G4721), ""^(\?)+\s*(missing)?\s*(\?)*$""), """", PROPER(SUBSTITUTE(SUBSTITUTE(G4721, ""?"", """"), ""*"", """")))"),"Gardeners Kneeling Pad Keep Calm")</f>
        <v>Gardeners Kneeling Pad Keep Calm</v>
      </c>
      <c r="I4721" s="3">
        <v>24.0</v>
      </c>
      <c r="J4721" s="7">
        <v>40886.47638888889</v>
      </c>
      <c r="K4721" s="8" t="str">
        <f t="shared" si="4"/>
        <v>2011-12</v>
      </c>
      <c r="L4721" s="5">
        <v>1.65</v>
      </c>
      <c r="M4721" s="3">
        <v>14422.0</v>
      </c>
      <c r="N4721" s="1" t="str">
        <f t="shared" si="5"/>
        <v>Registered</v>
      </c>
      <c r="O4721" s="1" t="s">
        <v>19</v>
      </c>
      <c r="P4721" s="9" t="str">
        <f t="shared" si="6"/>
        <v>UK</v>
      </c>
      <c r="Q4721" s="8">
        <f t="shared" si="7"/>
        <v>39.6</v>
      </c>
    </row>
    <row r="4722">
      <c r="A4722" s="1">
        <v>581538.0</v>
      </c>
      <c r="B4722" s="1" t="str">
        <f t="shared" si="1"/>
        <v>581538</v>
      </c>
      <c r="C4722" s="1" t="str">
        <f t="shared" si="2"/>
        <v>Sale</v>
      </c>
      <c r="D4722" s="1">
        <v>23193.0</v>
      </c>
      <c r="E4722" s="1" t="str">
        <f>IFERROR(__xludf.DUMMYFUNCTION("IF(LEN(D4722)&gt;4, IFERROR(REGEXEXTRACT(TO_TEXT(D4722),""\d+""),""""),"""")"),"23193")</f>
        <v>23193</v>
      </c>
      <c r="F4722" s="6" t="str">
        <f t="shared" si="3"/>
        <v>Product</v>
      </c>
      <c r="G4722" s="1" t="s">
        <v>2113</v>
      </c>
      <c r="H4722" s="6" t="str">
        <f>IFERROR(__xludf.DUMMYFUNCTION("IF(REGEXMATCH(LOWER(G4722), ""^(\?)+\s*(missing)?\s*(\?)*$""), """", PROPER(SUBSTITUTE(SUBSTITUTE(G4722, ""?"", """"), ""*"", """")))"),"Buffalo Bill Treasure Book Box")</f>
        <v>Buffalo Bill Treasure Book Box</v>
      </c>
      <c r="I4722" s="3">
        <v>6.0</v>
      </c>
      <c r="J4722" s="7">
        <v>40886.481944444444</v>
      </c>
      <c r="K4722" s="8" t="str">
        <f t="shared" si="4"/>
        <v>2011-12</v>
      </c>
      <c r="L4722" s="5">
        <v>2.25</v>
      </c>
      <c r="M4722" s="3">
        <v>14446.0</v>
      </c>
      <c r="N4722" s="1" t="str">
        <f t="shared" si="5"/>
        <v>Registered</v>
      </c>
      <c r="O4722" s="1" t="s">
        <v>19</v>
      </c>
      <c r="P4722" s="9" t="str">
        <f t="shared" si="6"/>
        <v>UK</v>
      </c>
      <c r="Q4722" s="8">
        <f t="shared" si="7"/>
        <v>13.5</v>
      </c>
    </row>
    <row r="4723">
      <c r="A4723" s="1">
        <v>581538.0</v>
      </c>
      <c r="B4723" s="1" t="str">
        <f t="shared" si="1"/>
        <v>581538</v>
      </c>
      <c r="C4723" s="1" t="str">
        <f t="shared" si="2"/>
        <v>Sale</v>
      </c>
      <c r="D4723" s="1">
        <v>23194.0</v>
      </c>
      <c r="E4723" s="1" t="str">
        <f>IFERROR(__xludf.DUMMYFUNCTION("IF(LEN(D4723)&gt;4, IFERROR(REGEXEXTRACT(TO_TEXT(D4723),""\d+""),""""),"""")"),"23194")</f>
        <v>23194</v>
      </c>
      <c r="F4723" s="6" t="str">
        <f t="shared" si="3"/>
        <v>Product</v>
      </c>
      <c r="G4723" s="1" t="s">
        <v>1992</v>
      </c>
      <c r="H4723" s="6" t="str">
        <f>IFERROR(__xludf.DUMMYFUNCTION("IF(REGEXMATCH(LOWER(G4723), ""^(\?)+\s*(missing)?\s*(\?)*$""), """", PROPER(SUBSTITUTE(SUBSTITUTE(G4723, ""?"", """"), ""*"", """")))"),"Gymkhana Treasure Book Box")</f>
        <v>Gymkhana Treasure Book Box</v>
      </c>
      <c r="I4723" s="3">
        <v>1.0</v>
      </c>
      <c r="J4723" s="7">
        <v>40886.481944444444</v>
      </c>
      <c r="K4723" s="8" t="str">
        <f t="shared" si="4"/>
        <v>2011-12</v>
      </c>
      <c r="L4723" s="5">
        <v>2.25</v>
      </c>
      <c r="M4723" s="3">
        <v>14446.0</v>
      </c>
      <c r="N4723" s="1" t="str">
        <f t="shared" si="5"/>
        <v>Registered</v>
      </c>
      <c r="O4723" s="1" t="s">
        <v>19</v>
      </c>
      <c r="P4723" s="9" t="str">
        <f t="shared" si="6"/>
        <v>UK</v>
      </c>
      <c r="Q4723" s="8">
        <f t="shared" si="7"/>
        <v>2.25</v>
      </c>
    </row>
    <row r="4724">
      <c r="A4724" s="1">
        <v>581538.0</v>
      </c>
      <c r="B4724" s="1" t="str">
        <f t="shared" si="1"/>
        <v>581538</v>
      </c>
      <c r="C4724" s="1" t="str">
        <f t="shared" si="2"/>
        <v>Sale</v>
      </c>
      <c r="D4724" s="1">
        <v>23084.0</v>
      </c>
      <c r="E4724" s="1" t="str">
        <f>IFERROR(__xludf.DUMMYFUNCTION("IF(LEN(D4724)&gt;4, IFERROR(REGEXEXTRACT(TO_TEXT(D4724),""\d+""),""""),"""")"),"23084")</f>
        <v>23084</v>
      </c>
      <c r="F4724" s="6" t="str">
        <f t="shared" si="3"/>
        <v>Product</v>
      </c>
      <c r="G4724" s="1" t="s">
        <v>1473</v>
      </c>
      <c r="H4724" s="6" t="str">
        <f>IFERROR(__xludf.DUMMYFUNCTION("IF(REGEXMATCH(LOWER(G4724), ""^(\?)+\s*(missing)?\s*(\?)*$""), """", PROPER(SUBSTITUTE(SUBSTITUTE(G4724, ""?"", """"), ""*"", """")))"),"Rabbit Night Light")</f>
        <v>Rabbit Night Light</v>
      </c>
      <c r="I4724" s="3">
        <v>2.0</v>
      </c>
      <c r="J4724" s="7">
        <v>40886.481944444444</v>
      </c>
      <c r="K4724" s="8" t="str">
        <f t="shared" si="4"/>
        <v>2011-12</v>
      </c>
      <c r="L4724" s="5">
        <v>2.08</v>
      </c>
      <c r="M4724" s="3">
        <v>14446.0</v>
      </c>
      <c r="N4724" s="1" t="str">
        <f t="shared" si="5"/>
        <v>Registered</v>
      </c>
      <c r="O4724" s="1" t="s">
        <v>19</v>
      </c>
      <c r="P4724" s="9" t="str">
        <f t="shared" si="6"/>
        <v>UK</v>
      </c>
      <c r="Q4724" s="8">
        <f t="shared" si="7"/>
        <v>4.16</v>
      </c>
    </row>
    <row r="4725">
      <c r="A4725" s="1">
        <v>581538.0</v>
      </c>
      <c r="B4725" s="1" t="str">
        <f t="shared" si="1"/>
        <v>581538</v>
      </c>
      <c r="C4725" s="1" t="str">
        <f t="shared" si="2"/>
        <v>Sale</v>
      </c>
      <c r="D4725" s="1">
        <v>22068.0</v>
      </c>
      <c r="E4725" s="1" t="str">
        <f>IFERROR(__xludf.DUMMYFUNCTION("IF(LEN(D4725)&gt;4, IFERROR(REGEXEXTRACT(TO_TEXT(D4725),""\d+""),""""),"""")"),"22068")</f>
        <v>22068</v>
      </c>
      <c r="F4725" s="6" t="str">
        <f t="shared" si="3"/>
        <v>Product</v>
      </c>
      <c r="G4725" s="1" t="s">
        <v>310</v>
      </c>
      <c r="H4725" s="6" t="str">
        <f>IFERROR(__xludf.DUMMYFUNCTION("IF(REGEXMATCH(LOWER(G4725), ""^(\?)+\s*(missing)?\s*(\?)*$""), """", PROPER(SUBSTITUTE(SUBSTITUTE(G4725, ""?"", """"), ""*"", """")))"),"Black Pirate Treasure Chest")</f>
        <v>Black Pirate Treasure Chest</v>
      </c>
      <c r="I4725" s="3">
        <v>1.0</v>
      </c>
      <c r="J4725" s="7">
        <v>40886.481944444444</v>
      </c>
      <c r="K4725" s="8" t="str">
        <f t="shared" si="4"/>
        <v>2011-12</v>
      </c>
      <c r="L4725" s="5">
        <v>0.39</v>
      </c>
      <c r="M4725" s="3">
        <v>14446.0</v>
      </c>
      <c r="N4725" s="1" t="str">
        <f t="shared" si="5"/>
        <v>Registered</v>
      </c>
      <c r="O4725" s="1" t="s">
        <v>19</v>
      </c>
      <c r="P4725" s="9" t="str">
        <f t="shared" si="6"/>
        <v>UK</v>
      </c>
      <c r="Q4725" s="8">
        <f t="shared" si="7"/>
        <v>0.39</v>
      </c>
    </row>
    <row r="4726">
      <c r="A4726" s="1">
        <v>581538.0</v>
      </c>
      <c r="B4726" s="1" t="str">
        <f t="shared" si="1"/>
        <v>581538</v>
      </c>
      <c r="C4726" s="1" t="str">
        <f t="shared" si="2"/>
        <v>Sale</v>
      </c>
      <c r="D4726" s="1">
        <v>22956.0</v>
      </c>
      <c r="E4726" s="1" t="str">
        <f>IFERROR(__xludf.DUMMYFUNCTION("IF(LEN(D4726)&gt;4, IFERROR(REGEXEXTRACT(TO_TEXT(D4726),""\d+""),""""),"""")"),"22956")</f>
        <v>22956</v>
      </c>
      <c r="F4726" s="6" t="str">
        <f t="shared" si="3"/>
        <v>Product</v>
      </c>
      <c r="G4726" s="1" t="s">
        <v>600</v>
      </c>
      <c r="H4726" s="6" t="str">
        <f>IFERROR(__xludf.DUMMYFUNCTION("IF(REGEXMATCH(LOWER(G4726), ""^(\?)+\s*(missing)?\s*(\?)*$""), """", PROPER(SUBSTITUTE(SUBSTITUTE(G4726, ""?"", """"), ""*"", """")))"),"36 Foil Heart Cake Cases")</f>
        <v>36 Foil Heart Cake Cases</v>
      </c>
      <c r="I4726" s="3">
        <v>1.0</v>
      </c>
      <c r="J4726" s="7">
        <v>40886.481944444444</v>
      </c>
      <c r="K4726" s="8" t="str">
        <f t="shared" si="4"/>
        <v>2011-12</v>
      </c>
      <c r="L4726" s="5">
        <v>0.79</v>
      </c>
      <c r="M4726" s="3">
        <v>14446.0</v>
      </c>
      <c r="N4726" s="1" t="str">
        <f t="shared" si="5"/>
        <v>Registered</v>
      </c>
      <c r="O4726" s="1" t="s">
        <v>19</v>
      </c>
      <c r="P4726" s="9" t="str">
        <f t="shared" si="6"/>
        <v>UK</v>
      </c>
      <c r="Q4726" s="8">
        <f t="shared" si="7"/>
        <v>0.79</v>
      </c>
    </row>
    <row r="4727">
      <c r="A4727" s="1">
        <v>581538.0</v>
      </c>
      <c r="B4727" s="1" t="str">
        <f t="shared" si="1"/>
        <v>581538</v>
      </c>
      <c r="C4727" s="1" t="str">
        <f t="shared" si="2"/>
        <v>Sale</v>
      </c>
      <c r="D4727" s="1">
        <v>20936.0</v>
      </c>
      <c r="E4727" s="1" t="str">
        <f>IFERROR(__xludf.DUMMYFUNCTION("IF(LEN(D4727)&gt;4, IFERROR(REGEXEXTRACT(TO_TEXT(D4727),""\d+""),""""),"""")"),"20936")</f>
        <v>20936</v>
      </c>
      <c r="F4727" s="6" t="str">
        <f t="shared" si="3"/>
        <v>Product</v>
      </c>
      <c r="G4727" s="1" t="s">
        <v>2114</v>
      </c>
      <c r="H4727" s="6" t="str">
        <f>IFERROR(__xludf.DUMMYFUNCTION("IF(REGEXMATCH(LOWER(G4727), ""^(\?)+\s*(missing)?\s*(\?)*$""), """", PROPER(SUBSTITUTE(SUBSTITUTE(G4727, ""?"", """"), ""*"", """")))"),"Forked Cactus Candle")</f>
        <v>Forked Cactus Candle</v>
      </c>
      <c r="I4727" s="3">
        <v>1.0</v>
      </c>
      <c r="J4727" s="7">
        <v>40886.481944444444</v>
      </c>
      <c r="K4727" s="8" t="str">
        <f t="shared" si="4"/>
        <v>2011-12</v>
      </c>
      <c r="L4727" s="5">
        <v>1.25</v>
      </c>
      <c r="M4727" s="3">
        <v>14446.0</v>
      </c>
      <c r="N4727" s="1" t="str">
        <f t="shared" si="5"/>
        <v>Registered</v>
      </c>
      <c r="O4727" s="1" t="s">
        <v>19</v>
      </c>
      <c r="P4727" s="9" t="str">
        <f t="shared" si="6"/>
        <v>UK</v>
      </c>
      <c r="Q4727" s="8">
        <f t="shared" si="7"/>
        <v>1.25</v>
      </c>
    </row>
    <row r="4728">
      <c r="A4728" s="1">
        <v>581538.0</v>
      </c>
      <c r="B4728" s="1" t="str">
        <f t="shared" si="1"/>
        <v>581538</v>
      </c>
      <c r="C4728" s="1" t="str">
        <f t="shared" si="2"/>
        <v>Sale</v>
      </c>
      <c r="D4728" s="1">
        <v>23040.0</v>
      </c>
      <c r="E4728" s="1" t="str">
        <f>IFERROR(__xludf.DUMMYFUNCTION("IF(LEN(D4728)&gt;4, IFERROR(REGEXEXTRACT(TO_TEXT(D4728),""\d+""),""""),"""")"),"23040")</f>
        <v>23040</v>
      </c>
      <c r="F4728" s="6" t="str">
        <f t="shared" si="3"/>
        <v>Product</v>
      </c>
      <c r="G4728" s="1" t="s">
        <v>2115</v>
      </c>
      <c r="H4728" s="6" t="str">
        <f>IFERROR(__xludf.DUMMYFUNCTION("IF(REGEXMATCH(LOWER(G4728), ""^(\?)+\s*(missing)?\s*(\?)*$""), """", PROPER(SUBSTITUTE(SUBSTITUTE(G4728, ""?"", """"), ""*"", """")))"),"Paper Lantern 9 Point Snow Star")</f>
        <v>Paper Lantern 9 Point Snow Star</v>
      </c>
      <c r="I4728" s="3">
        <v>1.0</v>
      </c>
      <c r="J4728" s="7">
        <v>40886.481944444444</v>
      </c>
      <c r="K4728" s="8" t="str">
        <f t="shared" si="4"/>
        <v>2011-12</v>
      </c>
      <c r="L4728" s="5">
        <v>5.75</v>
      </c>
      <c r="M4728" s="3">
        <v>14446.0</v>
      </c>
      <c r="N4728" s="1" t="str">
        <f t="shared" si="5"/>
        <v>Registered</v>
      </c>
      <c r="O4728" s="1" t="s">
        <v>19</v>
      </c>
      <c r="P4728" s="9" t="str">
        <f t="shared" si="6"/>
        <v>UK</v>
      </c>
      <c r="Q4728" s="8">
        <f t="shared" si="7"/>
        <v>5.75</v>
      </c>
    </row>
    <row r="4729">
      <c r="A4729" s="1">
        <v>581538.0</v>
      </c>
      <c r="B4729" s="1" t="str">
        <f t="shared" si="1"/>
        <v>581538</v>
      </c>
      <c r="C4729" s="1" t="str">
        <f t="shared" si="2"/>
        <v>Sale</v>
      </c>
      <c r="D4729" s="1">
        <v>22909.0</v>
      </c>
      <c r="E4729" s="1" t="str">
        <f>IFERROR(__xludf.DUMMYFUNCTION("IF(LEN(D4729)&gt;4, IFERROR(REGEXEXTRACT(TO_TEXT(D4729),""\d+""),""""),"""")"),"22909")</f>
        <v>22909</v>
      </c>
      <c r="F4729" s="6" t="str">
        <f t="shared" si="3"/>
        <v>Product</v>
      </c>
      <c r="G4729" s="1" t="s">
        <v>468</v>
      </c>
      <c r="H4729" s="6" t="str">
        <f>IFERROR(__xludf.DUMMYFUNCTION("IF(REGEXMATCH(LOWER(G4729), ""^(\?)+\s*(missing)?\s*(\?)*$""), """", PROPER(SUBSTITUTE(SUBSTITUTE(G4729, ""?"", """"), ""*"", """")))"),"Set Of 20 Vintage Christmas Napkins")</f>
        <v>Set Of 20 Vintage Christmas Napkins</v>
      </c>
      <c r="I4729" s="3">
        <v>1.0</v>
      </c>
      <c r="J4729" s="7">
        <v>40886.481944444444</v>
      </c>
      <c r="K4729" s="8" t="str">
        <f t="shared" si="4"/>
        <v>2011-12</v>
      </c>
      <c r="L4729" s="5">
        <v>0.85</v>
      </c>
      <c r="M4729" s="3">
        <v>14446.0</v>
      </c>
      <c r="N4729" s="1" t="str">
        <f t="shared" si="5"/>
        <v>Registered</v>
      </c>
      <c r="O4729" s="1" t="s">
        <v>19</v>
      </c>
      <c r="P4729" s="9" t="str">
        <f t="shared" si="6"/>
        <v>UK</v>
      </c>
      <c r="Q4729" s="8">
        <f t="shared" si="7"/>
        <v>0.85</v>
      </c>
    </row>
    <row r="4730">
      <c r="A4730" s="1">
        <v>581538.0</v>
      </c>
      <c r="B4730" s="1" t="str">
        <f t="shared" si="1"/>
        <v>581538</v>
      </c>
      <c r="C4730" s="1" t="str">
        <f t="shared" si="2"/>
        <v>Sale</v>
      </c>
      <c r="D4730" s="1">
        <v>21222.0</v>
      </c>
      <c r="E4730" s="1" t="str">
        <f>IFERROR(__xludf.DUMMYFUNCTION("IF(LEN(D4730)&gt;4, IFERROR(REGEXEXTRACT(TO_TEXT(D4730),""\d+""),""""),"""")"),"21222")</f>
        <v>21222</v>
      </c>
      <c r="F4730" s="6" t="str">
        <f t="shared" si="3"/>
        <v>Product</v>
      </c>
      <c r="G4730" s="1" t="s">
        <v>2116</v>
      </c>
      <c r="H4730" s="6" t="str">
        <f>IFERROR(__xludf.DUMMYFUNCTION("IF(REGEXMATCH(LOWER(G4730), ""^(\?)+\s*(missing)?\s*(\?)*$""), """", PROPER(SUBSTITUTE(SUBSTITUTE(G4730, ""?"", """"), ""*"", """")))"),"Set/4 Badges Beetles")</f>
        <v>Set/4 Badges Beetles</v>
      </c>
      <c r="I4730" s="3">
        <v>1.0</v>
      </c>
      <c r="J4730" s="7">
        <v>40886.481944444444</v>
      </c>
      <c r="K4730" s="8" t="str">
        <f t="shared" si="4"/>
        <v>2011-12</v>
      </c>
      <c r="L4730" s="5">
        <v>1.25</v>
      </c>
      <c r="M4730" s="3">
        <v>14446.0</v>
      </c>
      <c r="N4730" s="1" t="str">
        <f t="shared" si="5"/>
        <v>Registered</v>
      </c>
      <c r="O4730" s="1" t="s">
        <v>19</v>
      </c>
      <c r="P4730" s="9" t="str">
        <f t="shared" si="6"/>
        <v>UK</v>
      </c>
      <c r="Q4730" s="8">
        <f t="shared" si="7"/>
        <v>1.25</v>
      </c>
    </row>
    <row r="4731">
      <c r="A4731" s="1">
        <v>581538.0</v>
      </c>
      <c r="B4731" s="1" t="str">
        <f t="shared" si="1"/>
        <v>581538</v>
      </c>
      <c r="C4731" s="1" t="str">
        <f t="shared" si="2"/>
        <v>Sale</v>
      </c>
      <c r="D4731" s="1">
        <v>21220.0</v>
      </c>
      <c r="E4731" s="1" t="str">
        <f>IFERROR(__xludf.DUMMYFUNCTION("IF(LEN(D4731)&gt;4, IFERROR(REGEXEXTRACT(TO_TEXT(D4731),""\d+""),""""),"""")"),"21220")</f>
        <v>21220</v>
      </c>
      <c r="F4731" s="6" t="str">
        <f t="shared" si="3"/>
        <v>Product</v>
      </c>
      <c r="G4731" s="1" t="s">
        <v>1748</v>
      </c>
      <c r="H4731" s="6" t="str">
        <f>IFERROR(__xludf.DUMMYFUNCTION("IF(REGEXMATCH(LOWER(G4731), ""^(\?)+\s*(missing)?\s*(\?)*$""), """", PROPER(SUBSTITUTE(SUBSTITUTE(G4731, ""?"", """"), ""*"", """")))"),"Set/4 Badges Dogs")</f>
        <v>Set/4 Badges Dogs</v>
      </c>
      <c r="I4731" s="3">
        <v>1.0</v>
      </c>
      <c r="J4731" s="7">
        <v>40886.481944444444</v>
      </c>
      <c r="K4731" s="8" t="str">
        <f t="shared" si="4"/>
        <v>2011-12</v>
      </c>
      <c r="L4731" s="5">
        <v>1.25</v>
      </c>
      <c r="M4731" s="3">
        <v>14446.0</v>
      </c>
      <c r="N4731" s="1" t="str">
        <f t="shared" si="5"/>
        <v>Registered</v>
      </c>
      <c r="O4731" s="1" t="s">
        <v>19</v>
      </c>
      <c r="P4731" s="9" t="str">
        <f t="shared" si="6"/>
        <v>UK</v>
      </c>
      <c r="Q4731" s="8">
        <f t="shared" si="7"/>
        <v>1.25</v>
      </c>
    </row>
    <row r="4732">
      <c r="A4732" s="1">
        <v>581538.0</v>
      </c>
      <c r="B4732" s="1" t="str">
        <f t="shared" si="1"/>
        <v>581538</v>
      </c>
      <c r="C4732" s="1" t="str">
        <f t="shared" si="2"/>
        <v>Sale</v>
      </c>
      <c r="D4732" s="1">
        <v>21224.0</v>
      </c>
      <c r="E4732" s="1" t="str">
        <f>IFERROR(__xludf.DUMMYFUNCTION("IF(LEN(D4732)&gt;4, IFERROR(REGEXEXTRACT(TO_TEXT(D4732),""\d+""),""""),"""")"),"21224")</f>
        <v>21224</v>
      </c>
      <c r="F4732" s="6" t="str">
        <f t="shared" si="3"/>
        <v>Product</v>
      </c>
      <c r="G4732" s="1" t="s">
        <v>1749</v>
      </c>
      <c r="H4732" s="6" t="str">
        <f>IFERROR(__xludf.DUMMYFUNCTION("IF(REGEXMATCH(LOWER(G4732), ""^(\?)+\s*(missing)?\s*(\?)*$""), """", PROPER(SUBSTITUTE(SUBSTITUTE(G4732, ""?"", """"), ""*"", """")))"),"Set/4 Skull Badges")</f>
        <v>Set/4 Skull Badges</v>
      </c>
      <c r="I4732" s="3">
        <v>1.0</v>
      </c>
      <c r="J4732" s="7">
        <v>40886.481944444444</v>
      </c>
      <c r="K4732" s="8" t="str">
        <f t="shared" si="4"/>
        <v>2011-12</v>
      </c>
      <c r="L4732" s="5">
        <v>1.25</v>
      </c>
      <c r="M4732" s="3">
        <v>14446.0</v>
      </c>
      <c r="N4732" s="1" t="str">
        <f t="shared" si="5"/>
        <v>Registered</v>
      </c>
      <c r="O4732" s="1" t="s">
        <v>19</v>
      </c>
      <c r="P4732" s="9" t="str">
        <f t="shared" si="6"/>
        <v>UK</v>
      </c>
      <c r="Q4732" s="8">
        <f t="shared" si="7"/>
        <v>1.25</v>
      </c>
    </row>
    <row r="4733">
      <c r="A4733" s="1">
        <v>581538.0</v>
      </c>
      <c r="B4733" s="1" t="str">
        <f t="shared" si="1"/>
        <v>581538</v>
      </c>
      <c r="C4733" s="1" t="str">
        <f t="shared" si="2"/>
        <v>Sale</v>
      </c>
      <c r="D4733" s="1" t="s">
        <v>17</v>
      </c>
      <c r="E4733" s="1" t="str">
        <f>IFERROR(__xludf.DUMMYFUNCTION("IF(LEN(D4733)&gt;4, IFERROR(REGEXEXTRACT(TO_TEXT(D4733),""\d+""),""""),"""")"),"85123")</f>
        <v>85123</v>
      </c>
      <c r="F4733" s="6" t="str">
        <f t="shared" si="3"/>
        <v>Product</v>
      </c>
      <c r="G4733" s="1" t="s">
        <v>1823</v>
      </c>
      <c r="H4733" s="6" t="str">
        <f>IFERROR(__xludf.DUMMYFUNCTION("IF(REGEXMATCH(LOWER(G4733), ""^(\?)+\s*(missing)?\s*(\?)*$""), """", PROPER(SUBSTITUTE(SUBSTITUTE(G4733, ""?"", """"), ""*"", """")))"),"Cream Hanging Heart T-Light Holder")</f>
        <v>Cream Hanging Heart T-Light Holder</v>
      </c>
      <c r="I4733" s="3">
        <v>1.0</v>
      </c>
      <c r="J4733" s="7">
        <v>40886.481944444444</v>
      </c>
      <c r="K4733" s="8" t="str">
        <f t="shared" si="4"/>
        <v>2011-12</v>
      </c>
      <c r="L4733" s="5">
        <v>2.95</v>
      </c>
      <c r="M4733" s="3">
        <v>14446.0</v>
      </c>
      <c r="N4733" s="1" t="str">
        <f t="shared" si="5"/>
        <v>Registered</v>
      </c>
      <c r="O4733" s="1" t="s">
        <v>19</v>
      </c>
      <c r="P4733" s="9" t="str">
        <f t="shared" si="6"/>
        <v>UK</v>
      </c>
      <c r="Q4733" s="8">
        <f t="shared" si="7"/>
        <v>2.95</v>
      </c>
    </row>
    <row r="4734">
      <c r="A4734" s="1">
        <v>581538.0</v>
      </c>
      <c r="B4734" s="1" t="str">
        <f t="shared" si="1"/>
        <v>581538</v>
      </c>
      <c r="C4734" s="1" t="str">
        <f t="shared" si="2"/>
        <v>Sale</v>
      </c>
      <c r="D4734" s="1">
        <v>22992.0</v>
      </c>
      <c r="E4734" s="1" t="str">
        <f>IFERROR(__xludf.DUMMYFUNCTION("IF(LEN(D4734)&gt;4, IFERROR(REGEXEXTRACT(TO_TEXT(D4734),""\d+""),""""),"""")"),"22992")</f>
        <v>22992</v>
      </c>
      <c r="F4734" s="6" t="str">
        <f t="shared" si="3"/>
        <v>Product</v>
      </c>
      <c r="G4734" s="1" t="s">
        <v>732</v>
      </c>
      <c r="H4734" s="6" t="str">
        <f>IFERROR(__xludf.DUMMYFUNCTION("IF(REGEXMATCH(LOWER(G4734), ""^(\?)+\s*(missing)?\s*(\?)*$""), """", PROPER(SUBSTITUTE(SUBSTITUTE(G4734, ""?"", """"), ""*"", """")))"),"Revolver Wooden Ruler")</f>
        <v>Revolver Wooden Ruler</v>
      </c>
      <c r="I4734" s="3">
        <v>1.0</v>
      </c>
      <c r="J4734" s="7">
        <v>40886.481944444444</v>
      </c>
      <c r="K4734" s="8" t="str">
        <f t="shared" si="4"/>
        <v>2011-12</v>
      </c>
      <c r="L4734" s="5">
        <v>1.95</v>
      </c>
      <c r="M4734" s="3">
        <v>14446.0</v>
      </c>
      <c r="N4734" s="1" t="str">
        <f t="shared" si="5"/>
        <v>Registered</v>
      </c>
      <c r="O4734" s="1" t="s">
        <v>19</v>
      </c>
      <c r="P4734" s="9" t="str">
        <f t="shared" si="6"/>
        <v>UK</v>
      </c>
      <c r="Q4734" s="8">
        <f t="shared" si="7"/>
        <v>1.95</v>
      </c>
    </row>
    <row r="4735">
      <c r="A4735" s="1">
        <v>581538.0</v>
      </c>
      <c r="B4735" s="1" t="str">
        <f t="shared" si="1"/>
        <v>581538</v>
      </c>
      <c r="C4735" s="1" t="str">
        <f t="shared" si="2"/>
        <v>Sale</v>
      </c>
      <c r="D4735" s="1" t="s">
        <v>2117</v>
      </c>
      <c r="E4735" s="1" t="str">
        <f>IFERROR(__xludf.DUMMYFUNCTION("IF(LEN(D4735)&gt;4, IFERROR(REGEXEXTRACT(TO_TEXT(D4735),""\d+""),""""),"""")"),"79066")</f>
        <v>79066</v>
      </c>
      <c r="F4735" s="6" t="str">
        <f t="shared" si="3"/>
        <v>Product</v>
      </c>
      <c r="G4735" s="1" t="s">
        <v>2118</v>
      </c>
      <c r="H4735" s="6" t="str">
        <f>IFERROR(__xludf.DUMMYFUNCTION("IF(REGEXMATCH(LOWER(G4735), ""^(\?)+\s*(missing)?\s*(\?)*$""), """", PROPER(SUBSTITUTE(SUBSTITUTE(G4735, ""?"", """"), ""*"", """")))"),"Retro Mod Tray")</f>
        <v>Retro Mod Tray</v>
      </c>
      <c r="I4735" s="3">
        <v>1.0</v>
      </c>
      <c r="J4735" s="7">
        <v>40886.481944444444</v>
      </c>
      <c r="K4735" s="8" t="str">
        <f t="shared" si="4"/>
        <v>2011-12</v>
      </c>
      <c r="L4735" s="5">
        <v>0.85</v>
      </c>
      <c r="M4735" s="3">
        <v>14446.0</v>
      </c>
      <c r="N4735" s="1" t="str">
        <f t="shared" si="5"/>
        <v>Registered</v>
      </c>
      <c r="O4735" s="1" t="s">
        <v>19</v>
      </c>
      <c r="P4735" s="9" t="str">
        <f t="shared" si="6"/>
        <v>UK</v>
      </c>
      <c r="Q4735" s="8">
        <f t="shared" si="7"/>
        <v>0.85</v>
      </c>
    </row>
    <row r="4736">
      <c r="A4736" s="1">
        <v>581538.0</v>
      </c>
      <c r="B4736" s="1" t="str">
        <f t="shared" si="1"/>
        <v>581538</v>
      </c>
      <c r="C4736" s="1" t="str">
        <f t="shared" si="2"/>
        <v>Sale</v>
      </c>
      <c r="D4736" s="1">
        <v>84380.0</v>
      </c>
      <c r="E4736" s="1" t="str">
        <f>IFERROR(__xludf.DUMMYFUNCTION("IF(LEN(D4736)&gt;4, IFERROR(REGEXEXTRACT(TO_TEXT(D4736),""\d+""),""""),"""")"),"84380")</f>
        <v>84380</v>
      </c>
      <c r="F4736" s="6" t="str">
        <f t="shared" si="3"/>
        <v>Product</v>
      </c>
      <c r="G4736" s="1" t="s">
        <v>349</v>
      </c>
      <c r="H4736" s="6" t="str">
        <f>IFERROR(__xludf.DUMMYFUNCTION("IF(REGEXMATCH(LOWER(G4736), ""^(\?)+\s*(missing)?\s*(\?)*$""), """", PROPER(SUBSTITUTE(SUBSTITUTE(G4736, ""?"", """"), ""*"", """")))"),"Set Of 3 Butterfly Cookie Cutters")</f>
        <v>Set Of 3 Butterfly Cookie Cutters</v>
      </c>
      <c r="I4736" s="3">
        <v>1.0</v>
      </c>
      <c r="J4736" s="7">
        <v>40886.481944444444</v>
      </c>
      <c r="K4736" s="8" t="str">
        <f t="shared" si="4"/>
        <v>2011-12</v>
      </c>
      <c r="L4736" s="5">
        <v>1.45</v>
      </c>
      <c r="M4736" s="3">
        <v>14446.0</v>
      </c>
      <c r="N4736" s="1" t="str">
        <f t="shared" si="5"/>
        <v>Registered</v>
      </c>
      <c r="O4736" s="1" t="s">
        <v>19</v>
      </c>
      <c r="P4736" s="9" t="str">
        <f t="shared" si="6"/>
        <v>UK</v>
      </c>
      <c r="Q4736" s="8">
        <f t="shared" si="7"/>
        <v>1.45</v>
      </c>
    </row>
    <row r="4737">
      <c r="A4737" s="1">
        <v>581538.0</v>
      </c>
      <c r="B4737" s="1" t="str">
        <f t="shared" si="1"/>
        <v>581538</v>
      </c>
      <c r="C4737" s="1" t="str">
        <f t="shared" si="2"/>
        <v>Sale</v>
      </c>
      <c r="D4737" s="1">
        <v>23371.0</v>
      </c>
      <c r="E4737" s="1" t="str">
        <f>IFERROR(__xludf.DUMMYFUNCTION("IF(LEN(D4737)&gt;4, IFERROR(REGEXEXTRACT(TO_TEXT(D4737),""\d+""),""""),"""")"),"23371")</f>
        <v>23371</v>
      </c>
      <c r="F4737" s="6" t="str">
        <f t="shared" si="3"/>
        <v>Product</v>
      </c>
      <c r="G4737" s="1" t="s">
        <v>1648</v>
      </c>
      <c r="H4737" s="6" t="str">
        <f>IFERROR(__xludf.DUMMYFUNCTION("IF(REGEXMATCH(LOWER(G4737), ""^(\?)+\s*(missing)?\s*(\?)*$""), """", PROPER(SUBSTITUTE(SUBSTITUTE(G4737, ""?"", """"), ""*"", """")))"),"Set 36 Colour Pencils Spaceboy")</f>
        <v>Set 36 Colour Pencils Spaceboy</v>
      </c>
      <c r="I4737" s="3">
        <v>1.0</v>
      </c>
      <c r="J4737" s="7">
        <v>40886.481944444444</v>
      </c>
      <c r="K4737" s="8" t="str">
        <f t="shared" si="4"/>
        <v>2011-12</v>
      </c>
      <c r="L4737" s="5">
        <v>1.25</v>
      </c>
      <c r="M4737" s="3">
        <v>14446.0</v>
      </c>
      <c r="N4737" s="1" t="str">
        <f t="shared" si="5"/>
        <v>Registered</v>
      </c>
      <c r="O4737" s="1" t="s">
        <v>19</v>
      </c>
      <c r="P4737" s="9" t="str">
        <f t="shared" si="6"/>
        <v>UK</v>
      </c>
      <c r="Q4737" s="8">
        <f t="shared" si="7"/>
        <v>1.25</v>
      </c>
    </row>
    <row r="4738">
      <c r="A4738" s="1">
        <v>581538.0</v>
      </c>
      <c r="B4738" s="1" t="str">
        <f t="shared" si="1"/>
        <v>581538</v>
      </c>
      <c r="C4738" s="1" t="str">
        <f t="shared" si="2"/>
        <v>Sale</v>
      </c>
      <c r="D4738" s="1">
        <v>22694.0</v>
      </c>
      <c r="E4738" s="1" t="str">
        <f>IFERROR(__xludf.DUMMYFUNCTION("IF(LEN(D4738)&gt;4, IFERROR(REGEXEXTRACT(TO_TEXT(D4738),""\d+""),""""),"""")"),"22694")</f>
        <v>22694</v>
      </c>
      <c r="F4738" s="6" t="str">
        <f t="shared" si="3"/>
        <v>Product</v>
      </c>
      <c r="G4738" s="1" t="s">
        <v>476</v>
      </c>
      <c r="H4738" s="6" t="str">
        <f>IFERROR(__xludf.DUMMYFUNCTION("IF(REGEXMATCH(LOWER(G4738), ""^(\?)+\s*(missing)?\s*(\?)*$""), """", PROPER(SUBSTITUTE(SUBSTITUTE(G4738, ""?"", """"), ""*"", """")))"),"Wicker Star")</f>
        <v>Wicker Star</v>
      </c>
      <c r="I4738" s="3">
        <v>1.0</v>
      </c>
      <c r="J4738" s="7">
        <v>40886.481944444444</v>
      </c>
      <c r="K4738" s="8" t="str">
        <f t="shared" si="4"/>
        <v>2011-12</v>
      </c>
      <c r="L4738" s="5">
        <v>2.1</v>
      </c>
      <c r="M4738" s="3">
        <v>14446.0</v>
      </c>
      <c r="N4738" s="1" t="str">
        <f t="shared" si="5"/>
        <v>Registered</v>
      </c>
      <c r="O4738" s="1" t="s">
        <v>19</v>
      </c>
      <c r="P4738" s="9" t="str">
        <f t="shared" si="6"/>
        <v>UK</v>
      </c>
      <c r="Q4738" s="8">
        <f t="shared" si="7"/>
        <v>2.1</v>
      </c>
    </row>
    <row r="4739">
      <c r="A4739" s="1">
        <v>581538.0</v>
      </c>
      <c r="B4739" s="1" t="str">
        <f t="shared" si="1"/>
        <v>581538</v>
      </c>
      <c r="C4739" s="1" t="str">
        <f t="shared" si="2"/>
        <v>Sale</v>
      </c>
      <c r="D4739" s="1">
        <v>22095.0</v>
      </c>
      <c r="E4739" s="1" t="str">
        <f>IFERROR(__xludf.DUMMYFUNCTION("IF(LEN(D4739)&gt;4, IFERROR(REGEXEXTRACT(TO_TEXT(D4739),""\d+""),""""),"""")"),"22095")</f>
        <v>22095</v>
      </c>
      <c r="F4739" s="6" t="str">
        <f t="shared" si="3"/>
        <v>Product</v>
      </c>
      <c r="G4739" s="1" t="s">
        <v>2119</v>
      </c>
      <c r="H4739" s="6" t="str">
        <f>IFERROR(__xludf.DUMMYFUNCTION("IF(REGEXMATCH(LOWER(G4739), ""^(\?)+\s*(missing)?\s*(\?)*$""), """", PROPER(SUBSTITUTE(SUBSTITUTE(G4739, ""?"", """"), ""*"", """")))"),"Lads Only Tissue Box")</f>
        <v>Lads Only Tissue Box</v>
      </c>
      <c r="I4739" s="3">
        <v>1.0</v>
      </c>
      <c r="J4739" s="7">
        <v>40886.481944444444</v>
      </c>
      <c r="K4739" s="8" t="str">
        <f t="shared" si="4"/>
        <v>2011-12</v>
      </c>
      <c r="L4739" s="5">
        <v>0.39</v>
      </c>
      <c r="M4739" s="3">
        <v>14446.0</v>
      </c>
      <c r="N4739" s="1" t="str">
        <f t="shared" si="5"/>
        <v>Registered</v>
      </c>
      <c r="O4739" s="1" t="s">
        <v>19</v>
      </c>
      <c r="P4739" s="9" t="str">
        <f t="shared" si="6"/>
        <v>UK</v>
      </c>
      <c r="Q4739" s="8">
        <f t="shared" si="7"/>
        <v>0.39</v>
      </c>
    </row>
    <row r="4740">
      <c r="A4740" s="1">
        <v>581538.0</v>
      </c>
      <c r="B4740" s="1" t="str">
        <f t="shared" si="1"/>
        <v>581538</v>
      </c>
      <c r="C4740" s="1" t="str">
        <f t="shared" si="2"/>
        <v>Sale</v>
      </c>
      <c r="D4740" s="1">
        <v>23275.0</v>
      </c>
      <c r="E4740" s="1" t="str">
        <f>IFERROR(__xludf.DUMMYFUNCTION("IF(LEN(D4740)&gt;4, IFERROR(REGEXEXTRACT(TO_TEXT(D4740),""\d+""),""""),"""")"),"23275")</f>
        <v>23275</v>
      </c>
      <c r="F4740" s="6" t="str">
        <f t="shared" si="3"/>
        <v>Product</v>
      </c>
      <c r="G4740" s="1" t="s">
        <v>1553</v>
      </c>
      <c r="H4740" s="6" t="str">
        <f>IFERROR(__xludf.DUMMYFUNCTION("IF(REGEXMATCH(LOWER(G4740), ""^(\?)+\s*(missing)?\s*(\?)*$""), """", PROPER(SUBSTITUTE(SUBSTITUTE(G4740, ""?"", """"), ""*"", """")))"),"Set Of 3 Hanging Owls Ollie Beak")</f>
        <v>Set Of 3 Hanging Owls Ollie Beak</v>
      </c>
      <c r="I4740" s="3">
        <v>1.0</v>
      </c>
      <c r="J4740" s="7">
        <v>40886.481944444444</v>
      </c>
      <c r="K4740" s="8" t="str">
        <f t="shared" si="4"/>
        <v>2011-12</v>
      </c>
      <c r="L4740" s="5">
        <v>1.25</v>
      </c>
      <c r="M4740" s="3">
        <v>14446.0</v>
      </c>
      <c r="N4740" s="1" t="str">
        <f t="shared" si="5"/>
        <v>Registered</v>
      </c>
      <c r="O4740" s="1" t="s">
        <v>19</v>
      </c>
      <c r="P4740" s="9" t="str">
        <f t="shared" si="6"/>
        <v>UK</v>
      </c>
      <c r="Q4740" s="8">
        <f t="shared" si="7"/>
        <v>1.25</v>
      </c>
    </row>
    <row r="4741">
      <c r="A4741" s="1">
        <v>581538.0</v>
      </c>
      <c r="B4741" s="1" t="str">
        <f t="shared" si="1"/>
        <v>581538</v>
      </c>
      <c r="C4741" s="1" t="str">
        <f t="shared" si="2"/>
        <v>Sale</v>
      </c>
      <c r="D4741" s="1">
        <v>21673.0</v>
      </c>
      <c r="E4741" s="1" t="str">
        <f>IFERROR(__xludf.DUMMYFUNCTION("IF(LEN(D4741)&gt;4, IFERROR(REGEXEXTRACT(TO_TEXT(D4741),""\d+""),""""),"""")"),"21673")</f>
        <v>21673</v>
      </c>
      <c r="F4741" s="6" t="str">
        <f t="shared" si="3"/>
        <v>Product</v>
      </c>
      <c r="G4741" s="1" t="s">
        <v>767</v>
      </c>
      <c r="H4741" s="6" t="str">
        <f>IFERROR(__xludf.DUMMYFUNCTION("IF(REGEXMATCH(LOWER(G4741), ""^(\?)+\s*(missing)?\s*(\?)*$""), """", PROPER(SUBSTITUTE(SUBSTITUTE(G4741, ""?"", """"), ""*"", """")))"),"White Spot Blue Ceramic Drawer Knob")</f>
        <v>White Spot Blue Ceramic Drawer Knob</v>
      </c>
      <c r="I4741" s="3">
        <v>1.0</v>
      </c>
      <c r="J4741" s="7">
        <v>40886.481944444444</v>
      </c>
      <c r="K4741" s="8" t="str">
        <f t="shared" si="4"/>
        <v>2011-12</v>
      </c>
      <c r="L4741" s="5">
        <v>1.45</v>
      </c>
      <c r="M4741" s="3">
        <v>14446.0</v>
      </c>
      <c r="N4741" s="1" t="str">
        <f t="shared" si="5"/>
        <v>Registered</v>
      </c>
      <c r="O4741" s="1" t="s">
        <v>19</v>
      </c>
      <c r="P4741" s="9" t="str">
        <f t="shared" si="6"/>
        <v>UK</v>
      </c>
      <c r="Q4741" s="8">
        <f t="shared" si="7"/>
        <v>1.45</v>
      </c>
    </row>
    <row r="4742">
      <c r="A4742" s="1">
        <v>581538.0</v>
      </c>
      <c r="B4742" s="1" t="str">
        <f t="shared" si="1"/>
        <v>581538</v>
      </c>
      <c r="C4742" s="1" t="str">
        <f t="shared" si="2"/>
        <v>Sale</v>
      </c>
      <c r="D4742" s="1">
        <v>21670.0</v>
      </c>
      <c r="E4742" s="1" t="str">
        <f>IFERROR(__xludf.DUMMYFUNCTION("IF(LEN(D4742)&gt;4, IFERROR(REGEXEXTRACT(TO_TEXT(D4742),""\d+""),""""),"""")"),"21670")</f>
        <v>21670</v>
      </c>
      <c r="F4742" s="6" t="str">
        <f t="shared" si="3"/>
        <v>Product</v>
      </c>
      <c r="G4742" s="1" t="s">
        <v>768</v>
      </c>
      <c r="H4742" s="6" t="str">
        <f>IFERROR(__xludf.DUMMYFUNCTION("IF(REGEXMATCH(LOWER(G4742), ""^(\?)+\s*(missing)?\s*(\?)*$""), """", PROPER(SUBSTITUTE(SUBSTITUTE(G4742, ""?"", """"), ""*"", """")))"),"Blue Spot Ceramic Drawer Knob")</f>
        <v>Blue Spot Ceramic Drawer Knob</v>
      </c>
      <c r="I4742" s="3">
        <v>1.0</v>
      </c>
      <c r="J4742" s="7">
        <v>40886.481944444444</v>
      </c>
      <c r="K4742" s="8" t="str">
        <f t="shared" si="4"/>
        <v>2011-12</v>
      </c>
      <c r="L4742" s="5">
        <v>1.45</v>
      </c>
      <c r="M4742" s="3">
        <v>14446.0</v>
      </c>
      <c r="N4742" s="1" t="str">
        <f t="shared" si="5"/>
        <v>Registered</v>
      </c>
      <c r="O4742" s="1" t="s">
        <v>19</v>
      </c>
      <c r="P4742" s="9" t="str">
        <f t="shared" si="6"/>
        <v>UK</v>
      </c>
      <c r="Q4742" s="8">
        <f t="shared" si="7"/>
        <v>1.45</v>
      </c>
    </row>
    <row r="4743">
      <c r="A4743" s="1">
        <v>581538.0</v>
      </c>
      <c r="B4743" s="1" t="str">
        <f t="shared" si="1"/>
        <v>581538</v>
      </c>
      <c r="C4743" s="1" t="str">
        <f t="shared" si="2"/>
        <v>Sale</v>
      </c>
      <c r="D4743" s="1" t="s">
        <v>1532</v>
      </c>
      <c r="E4743" s="1" t="str">
        <f>IFERROR(__xludf.DUMMYFUNCTION("IF(LEN(D4743)&gt;4, IFERROR(REGEXEXTRACT(TO_TEXT(D4743),""\d+""),""""),"""")"),"85071")</f>
        <v>85071</v>
      </c>
      <c r="F4743" s="6" t="str">
        <f t="shared" si="3"/>
        <v>Product</v>
      </c>
      <c r="G4743" s="1" t="s">
        <v>1533</v>
      </c>
      <c r="H4743" s="6" t="str">
        <f>IFERROR(__xludf.DUMMYFUNCTION("IF(REGEXMATCH(LOWER(G4743), ""^(\?)+\s*(missing)?\s*(\?)*$""), """", PROPER(SUBSTITUTE(SUBSTITUTE(G4743, ""?"", """"), ""*"", """")))"),"Charlie+Lola""Extremely Busy"" Sign")</f>
        <v>Charlie+Lola"Extremely Busy" Sign</v>
      </c>
      <c r="I4743" s="3">
        <v>1.0</v>
      </c>
      <c r="J4743" s="7">
        <v>40886.481944444444</v>
      </c>
      <c r="K4743" s="8" t="str">
        <f t="shared" si="4"/>
        <v>2011-12</v>
      </c>
      <c r="L4743" s="5">
        <v>0.39</v>
      </c>
      <c r="M4743" s="3">
        <v>14446.0</v>
      </c>
      <c r="N4743" s="1" t="str">
        <f t="shared" si="5"/>
        <v>Registered</v>
      </c>
      <c r="O4743" s="1" t="s">
        <v>19</v>
      </c>
      <c r="P4743" s="9" t="str">
        <f t="shared" si="6"/>
        <v>UK</v>
      </c>
      <c r="Q4743" s="8">
        <f t="shared" si="7"/>
        <v>0.39</v>
      </c>
    </row>
    <row r="4744">
      <c r="A4744" s="1">
        <v>581538.0</v>
      </c>
      <c r="B4744" s="1" t="str">
        <f t="shared" si="1"/>
        <v>581538</v>
      </c>
      <c r="C4744" s="1" t="str">
        <f t="shared" si="2"/>
        <v>Sale</v>
      </c>
      <c r="D4744" s="1">
        <v>23349.0</v>
      </c>
      <c r="E4744" s="1" t="str">
        <f>IFERROR(__xludf.DUMMYFUNCTION("IF(LEN(D4744)&gt;4, IFERROR(REGEXEXTRACT(TO_TEXT(D4744),""\d+""),""""),"""")"),"23349")</f>
        <v>23349</v>
      </c>
      <c r="F4744" s="6" t="str">
        <f t="shared" si="3"/>
        <v>Product</v>
      </c>
      <c r="G4744" s="1" t="s">
        <v>2036</v>
      </c>
      <c r="H4744" s="6" t="str">
        <f>IFERROR(__xludf.DUMMYFUNCTION("IF(REGEXMATCH(LOWER(G4744), ""^(\?)+\s*(missing)?\s*(\?)*$""), """", PROPER(SUBSTITUTE(SUBSTITUTE(G4744, ""?"", """"), ""*"", """")))"),"Roll Wrap Vintage Christmas")</f>
        <v>Roll Wrap Vintage Christmas</v>
      </c>
      <c r="I4744" s="3">
        <v>3.0</v>
      </c>
      <c r="J4744" s="7">
        <v>40886.481944444444</v>
      </c>
      <c r="K4744" s="8" t="str">
        <f t="shared" si="4"/>
        <v>2011-12</v>
      </c>
      <c r="L4744" s="5">
        <v>1.25</v>
      </c>
      <c r="M4744" s="3">
        <v>14446.0</v>
      </c>
      <c r="N4744" s="1" t="str">
        <f t="shared" si="5"/>
        <v>Registered</v>
      </c>
      <c r="O4744" s="1" t="s">
        <v>19</v>
      </c>
      <c r="P4744" s="9" t="str">
        <f t="shared" si="6"/>
        <v>UK</v>
      </c>
      <c r="Q4744" s="8">
        <f t="shared" si="7"/>
        <v>3.75</v>
      </c>
    </row>
    <row r="4745">
      <c r="A4745" s="1">
        <v>581538.0</v>
      </c>
      <c r="B4745" s="1" t="str">
        <f t="shared" si="1"/>
        <v>581538</v>
      </c>
      <c r="C4745" s="1" t="str">
        <f t="shared" si="2"/>
        <v>Sale</v>
      </c>
      <c r="D4745" s="1">
        <v>23034.0</v>
      </c>
      <c r="E4745" s="1" t="str">
        <f>IFERROR(__xludf.DUMMYFUNCTION("IF(LEN(D4745)&gt;4, IFERROR(REGEXEXTRACT(TO_TEXT(D4745),""\d+""),""""),"""")"),"23034")</f>
        <v>23034</v>
      </c>
      <c r="F4745" s="6" t="str">
        <f t="shared" si="3"/>
        <v>Product</v>
      </c>
      <c r="G4745" s="1" t="s">
        <v>2120</v>
      </c>
      <c r="H4745" s="6" t="str">
        <f>IFERROR(__xludf.DUMMYFUNCTION("IF(REGEXMATCH(LOWER(G4745), ""^(\?)+\s*(missing)?\s*(\?)*$""), """", PROPER(SUBSTITUTE(SUBSTITUTE(G4745, ""?"", """"), ""*"", """")))"),"Drawer Knob Ceramic Black")</f>
        <v>Drawer Knob Ceramic Black</v>
      </c>
      <c r="I4745" s="3">
        <v>1.0</v>
      </c>
      <c r="J4745" s="7">
        <v>40886.481944444444</v>
      </c>
      <c r="K4745" s="8" t="str">
        <f t="shared" si="4"/>
        <v>2011-12</v>
      </c>
      <c r="L4745" s="5">
        <v>1.45</v>
      </c>
      <c r="M4745" s="3">
        <v>14446.0</v>
      </c>
      <c r="N4745" s="1" t="str">
        <f t="shared" si="5"/>
        <v>Registered</v>
      </c>
      <c r="O4745" s="1" t="s">
        <v>19</v>
      </c>
      <c r="P4745" s="9" t="str">
        <f t="shared" si="6"/>
        <v>UK</v>
      </c>
      <c r="Q4745" s="8">
        <f t="shared" si="7"/>
        <v>1.45</v>
      </c>
    </row>
    <row r="4746">
      <c r="A4746" s="1">
        <v>581538.0</v>
      </c>
      <c r="B4746" s="1" t="str">
        <f t="shared" si="1"/>
        <v>581538</v>
      </c>
      <c r="C4746" s="1" t="str">
        <f t="shared" si="2"/>
        <v>Sale</v>
      </c>
      <c r="D4746" s="1">
        <v>21669.0</v>
      </c>
      <c r="E4746" s="1" t="str">
        <f>IFERROR(__xludf.DUMMYFUNCTION("IF(LEN(D4746)&gt;4, IFERROR(REGEXEXTRACT(TO_TEXT(D4746),""\d+""),""""),"""")"),"21669")</f>
        <v>21669</v>
      </c>
      <c r="F4746" s="6" t="str">
        <f t="shared" si="3"/>
        <v>Product</v>
      </c>
      <c r="G4746" s="1" t="s">
        <v>766</v>
      </c>
      <c r="H4746" s="6" t="str">
        <f>IFERROR(__xludf.DUMMYFUNCTION("IF(REGEXMATCH(LOWER(G4746), ""^(\?)+\s*(missing)?\s*(\?)*$""), """", PROPER(SUBSTITUTE(SUBSTITUTE(G4746, ""?"", """"), ""*"", """")))"),"Blue Stripe Ceramic Drawer Knob")</f>
        <v>Blue Stripe Ceramic Drawer Knob</v>
      </c>
      <c r="I4746" s="3">
        <v>1.0</v>
      </c>
      <c r="J4746" s="7">
        <v>40886.481944444444</v>
      </c>
      <c r="K4746" s="8" t="str">
        <f t="shared" si="4"/>
        <v>2011-12</v>
      </c>
      <c r="L4746" s="5">
        <v>1.45</v>
      </c>
      <c r="M4746" s="3">
        <v>14446.0</v>
      </c>
      <c r="N4746" s="1" t="str">
        <f t="shared" si="5"/>
        <v>Registered</v>
      </c>
      <c r="O4746" s="1" t="s">
        <v>19</v>
      </c>
      <c r="P4746" s="9" t="str">
        <f t="shared" si="6"/>
        <v>UK</v>
      </c>
      <c r="Q4746" s="8">
        <f t="shared" si="7"/>
        <v>1.45</v>
      </c>
    </row>
    <row r="4747">
      <c r="A4747" s="1">
        <v>581538.0</v>
      </c>
      <c r="B4747" s="1" t="str">
        <f t="shared" si="1"/>
        <v>581538</v>
      </c>
      <c r="C4747" s="1" t="str">
        <f t="shared" si="2"/>
        <v>Sale</v>
      </c>
      <c r="D4747" s="1">
        <v>23033.0</v>
      </c>
      <c r="E4747" s="1" t="str">
        <f>IFERROR(__xludf.DUMMYFUNCTION("IF(LEN(D4747)&gt;4, IFERROR(REGEXEXTRACT(TO_TEXT(D4747),""\d+""),""""),"""")"),"23033")</f>
        <v>23033</v>
      </c>
      <c r="F4747" s="6" t="str">
        <f t="shared" si="3"/>
        <v>Product</v>
      </c>
      <c r="G4747" s="1" t="s">
        <v>2121</v>
      </c>
      <c r="H4747" s="6" t="str">
        <f>IFERROR(__xludf.DUMMYFUNCTION("IF(REGEXMATCH(LOWER(G4747), ""^(\?)+\s*(missing)?\s*(\?)*$""), """", PROPER(SUBSTITUTE(SUBSTITUTE(G4747, ""?"", """"), ""*"", """")))"),"Drawer Knob Ceramic Red")</f>
        <v>Drawer Knob Ceramic Red</v>
      </c>
      <c r="I4747" s="3">
        <v>1.0</v>
      </c>
      <c r="J4747" s="7">
        <v>40886.481944444444</v>
      </c>
      <c r="K4747" s="8" t="str">
        <f t="shared" si="4"/>
        <v>2011-12</v>
      </c>
      <c r="L4747" s="5">
        <v>1.45</v>
      </c>
      <c r="M4747" s="3">
        <v>14446.0</v>
      </c>
      <c r="N4747" s="1" t="str">
        <f t="shared" si="5"/>
        <v>Registered</v>
      </c>
      <c r="O4747" s="1" t="s">
        <v>19</v>
      </c>
      <c r="P4747" s="9" t="str">
        <f t="shared" si="6"/>
        <v>UK</v>
      </c>
      <c r="Q4747" s="8">
        <f t="shared" si="7"/>
        <v>1.45</v>
      </c>
    </row>
    <row r="4748">
      <c r="A4748" s="1">
        <v>581538.0</v>
      </c>
      <c r="B4748" s="1" t="str">
        <f t="shared" si="1"/>
        <v>581538</v>
      </c>
      <c r="C4748" s="1" t="str">
        <f t="shared" si="2"/>
        <v>Sale</v>
      </c>
      <c r="D4748" s="1">
        <v>21668.0</v>
      </c>
      <c r="E4748" s="1" t="str">
        <f>IFERROR(__xludf.DUMMYFUNCTION("IF(LEN(D4748)&gt;4, IFERROR(REGEXEXTRACT(TO_TEXT(D4748),""\d+""),""""),"""")"),"21668")</f>
        <v>21668</v>
      </c>
      <c r="F4748" s="6" t="str">
        <f t="shared" si="3"/>
        <v>Product</v>
      </c>
      <c r="G4748" s="1" t="s">
        <v>769</v>
      </c>
      <c r="H4748" s="6" t="str">
        <f>IFERROR(__xludf.DUMMYFUNCTION("IF(REGEXMATCH(LOWER(G4748), ""^(\?)+\s*(missing)?\s*(\?)*$""), """", PROPER(SUBSTITUTE(SUBSTITUTE(G4748, ""?"", """"), ""*"", """")))"),"Red Stripe Ceramic Drawer Knob")</f>
        <v>Red Stripe Ceramic Drawer Knob</v>
      </c>
      <c r="I4748" s="3">
        <v>1.0</v>
      </c>
      <c r="J4748" s="7">
        <v>40886.481944444444</v>
      </c>
      <c r="K4748" s="8" t="str">
        <f t="shared" si="4"/>
        <v>2011-12</v>
      </c>
      <c r="L4748" s="5">
        <v>1.45</v>
      </c>
      <c r="M4748" s="3">
        <v>14446.0</v>
      </c>
      <c r="N4748" s="1" t="str">
        <f t="shared" si="5"/>
        <v>Registered</v>
      </c>
      <c r="O4748" s="1" t="s">
        <v>19</v>
      </c>
      <c r="P4748" s="9" t="str">
        <f t="shared" si="6"/>
        <v>UK</v>
      </c>
      <c r="Q4748" s="8">
        <f t="shared" si="7"/>
        <v>1.45</v>
      </c>
    </row>
    <row r="4749">
      <c r="A4749" s="1">
        <v>581538.0</v>
      </c>
      <c r="B4749" s="1" t="str">
        <f t="shared" si="1"/>
        <v>581538</v>
      </c>
      <c r="C4749" s="1" t="str">
        <f t="shared" si="2"/>
        <v>Sale</v>
      </c>
      <c r="D4749" s="1">
        <v>23275.0</v>
      </c>
      <c r="E4749" s="1" t="str">
        <f>IFERROR(__xludf.DUMMYFUNCTION("IF(LEN(D4749)&gt;4, IFERROR(REGEXEXTRACT(TO_TEXT(D4749),""\d+""),""""),"""")"),"23275")</f>
        <v>23275</v>
      </c>
      <c r="F4749" s="6" t="str">
        <f t="shared" si="3"/>
        <v>Product</v>
      </c>
      <c r="G4749" s="1" t="s">
        <v>1553</v>
      </c>
      <c r="H4749" s="6" t="str">
        <f>IFERROR(__xludf.DUMMYFUNCTION("IF(REGEXMATCH(LOWER(G4749), ""^(\?)+\s*(missing)?\s*(\?)*$""), """", PROPER(SUBSTITUTE(SUBSTITUTE(G4749, ""?"", """"), ""*"", """")))"),"Set Of 3 Hanging Owls Ollie Beak")</f>
        <v>Set Of 3 Hanging Owls Ollie Beak</v>
      </c>
      <c r="I4749" s="3">
        <v>1.0</v>
      </c>
      <c r="J4749" s="7">
        <v>40886.481944444444</v>
      </c>
      <c r="K4749" s="8" t="str">
        <f t="shared" si="4"/>
        <v>2011-12</v>
      </c>
      <c r="L4749" s="5">
        <v>1.25</v>
      </c>
      <c r="M4749" s="3">
        <v>14446.0</v>
      </c>
      <c r="N4749" s="1" t="str">
        <f t="shared" si="5"/>
        <v>Registered</v>
      </c>
      <c r="O4749" s="1" t="s">
        <v>19</v>
      </c>
      <c r="P4749" s="9" t="str">
        <f t="shared" si="6"/>
        <v>UK</v>
      </c>
      <c r="Q4749" s="8">
        <f t="shared" si="7"/>
        <v>1.25</v>
      </c>
    </row>
    <row r="4750">
      <c r="A4750" s="1">
        <v>581538.0</v>
      </c>
      <c r="B4750" s="1" t="str">
        <f t="shared" si="1"/>
        <v>581538</v>
      </c>
      <c r="C4750" s="1" t="str">
        <f t="shared" si="2"/>
        <v>Sale</v>
      </c>
      <c r="D4750" s="1">
        <v>23318.0</v>
      </c>
      <c r="E4750" s="1" t="str">
        <f>IFERROR(__xludf.DUMMYFUNCTION("IF(LEN(D4750)&gt;4, IFERROR(REGEXEXTRACT(TO_TEXT(D4750),""\d+""),""""),"""")"),"23318")</f>
        <v>23318</v>
      </c>
      <c r="F4750" s="6" t="str">
        <f t="shared" si="3"/>
        <v>Product</v>
      </c>
      <c r="G4750" s="1" t="s">
        <v>2122</v>
      </c>
      <c r="H4750" s="6" t="str">
        <f>IFERROR(__xludf.DUMMYFUNCTION("IF(REGEXMATCH(LOWER(G4750), ""^(\?)+\s*(missing)?\s*(\?)*$""), """", PROPER(SUBSTITUTE(SUBSTITUTE(G4750, ""?"", """"), ""*"", """")))"),"Box Of 6 Mini Vintage Crackers")</f>
        <v>Box Of 6 Mini Vintage Crackers</v>
      </c>
      <c r="I4750" s="3">
        <v>1.0</v>
      </c>
      <c r="J4750" s="7">
        <v>40886.481944444444</v>
      </c>
      <c r="K4750" s="8" t="str">
        <f t="shared" si="4"/>
        <v>2011-12</v>
      </c>
      <c r="L4750" s="5">
        <v>2.49</v>
      </c>
      <c r="M4750" s="3">
        <v>14446.0</v>
      </c>
      <c r="N4750" s="1" t="str">
        <f t="shared" si="5"/>
        <v>Registered</v>
      </c>
      <c r="O4750" s="1" t="s">
        <v>19</v>
      </c>
      <c r="P4750" s="9" t="str">
        <f t="shared" si="6"/>
        <v>UK</v>
      </c>
      <c r="Q4750" s="8">
        <f t="shared" si="7"/>
        <v>2.49</v>
      </c>
    </row>
    <row r="4751">
      <c r="A4751" s="1">
        <v>581538.0</v>
      </c>
      <c r="B4751" s="1" t="str">
        <f t="shared" si="1"/>
        <v>581538</v>
      </c>
      <c r="C4751" s="1" t="str">
        <f t="shared" si="2"/>
        <v>Sale</v>
      </c>
      <c r="D4751" s="1">
        <v>23382.0</v>
      </c>
      <c r="E4751" s="1" t="str">
        <f>IFERROR(__xludf.DUMMYFUNCTION("IF(LEN(D4751)&gt;4, IFERROR(REGEXEXTRACT(TO_TEXT(D4751),""\d+""),""""),"""")"),"23382")</f>
        <v>23382</v>
      </c>
      <c r="F4751" s="6" t="str">
        <f t="shared" si="3"/>
        <v>Product</v>
      </c>
      <c r="G4751" s="1" t="s">
        <v>1657</v>
      </c>
      <c r="H4751" s="6" t="str">
        <f>IFERROR(__xludf.DUMMYFUNCTION("IF(REGEXMATCH(LOWER(G4751), ""^(\?)+\s*(missing)?\s*(\?)*$""), """", PROPER(SUBSTITUTE(SUBSTITUTE(G4751, ""?"", """"), ""*"", """")))"),"Box Of 6 Christmas Cake Decorations")</f>
        <v>Box Of 6 Christmas Cake Decorations</v>
      </c>
      <c r="I4751" s="3">
        <v>1.0</v>
      </c>
      <c r="J4751" s="7">
        <v>40886.481944444444</v>
      </c>
      <c r="K4751" s="8" t="str">
        <f t="shared" si="4"/>
        <v>2011-12</v>
      </c>
      <c r="L4751" s="5">
        <v>3.75</v>
      </c>
      <c r="M4751" s="3">
        <v>14446.0</v>
      </c>
      <c r="N4751" s="1" t="str">
        <f t="shared" si="5"/>
        <v>Registered</v>
      </c>
      <c r="O4751" s="1" t="s">
        <v>19</v>
      </c>
      <c r="P4751" s="9" t="str">
        <f t="shared" si="6"/>
        <v>UK</v>
      </c>
      <c r="Q4751" s="8">
        <f t="shared" si="7"/>
        <v>3.75</v>
      </c>
    </row>
    <row r="4752">
      <c r="A4752" s="1">
        <v>581538.0</v>
      </c>
      <c r="B4752" s="1" t="str">
        <f t="shared" si="1"/>
        <v>581538</v>
      </c>
      <c r="C4752" s="1" t="str">
        <f t="shared" si="2"/>
        <v>Sale</v>
      </c>
      <c r="D4752" s="1">
        <v>22469.0</v>
      </c>
      <c r="E4752" s="1" t="str">
        <f>IFERROR(__xludf.DUMMYFUNCTION("IF(LEN(D4752)&gt;4, IFERROR(REGEXEXTRACT(TO_TEXT(D4752),""\d+""),""""),"""")"),"22469")</f>
        <v>22469</v>
      </c>
      <c r="F4752" s="6" t="str">
        <f t="shared" si="3"/>
        <v>Product</v>
      </c>
      <c r="G4752" s="1" t="s">
        <v>167</v>
      </c>
      <c r="H4752" s="6" t="str">
        <f>IFERROR(__xludf.DUMMYFUNCTION("IF(REGEXMATCH(LOWER(G4752), ""^(\?)+\s*(missing)?\s*(\?)*$""), """", PROPER(SUBSTITUTE(SUBSTITUTE(G4752, ""?"", """"), ""*"", """")))"),"Heart Of Wicker Small")</f>
        <v>Heart Of Wicker Small</v>
      </c>
      <c r="I4752" s="3">
        <v>1.0</v>
      </c>
      <c r="J4752" s="7">
        <v>40886.481944444444</v>
      </c>
      <c r="K4752" s="8" t="str">
        <f t="shared" si="4"/>
        <v>2011-12</v>
      </c>
      <c r="L4752" s="5">
        <v>1.65</v>
      </c>
      <c r="M4752" s="3">
        <v>14446.0</v>
      </c>
      <c r="N4752" s="1" t="str">
        <f t="shared" si="5"/>
        <v>Registered</v>
      </c>
      <c r="O4752" s="1" t="s">
        <v>19</v>
      </c>
      <c r="P4752" s="9" t="str">
        <f t="shared" si="6"/>
        <v>UK</v>
      </c>
      <c r="Q4752" s="8">
        <f t="shared" si="7"/>
        <v>1.65</v>
      </c>
    </row>
    <row r="4753">
      <c r="A4753" s="1">
        <v>581538.0</v>
      </c>
      <c r="B4753" s="1" t="str">
        <f t="shared" si="1"/>
        <v>581538</v>
      </c>
      <c r="C4753" s="1" t="str">
        <f t="shared" si="2"/>
        <v>Sale</v>
      </c>
      <c r="D4753" s="1">
        <v>22899.0</v>
      </c>
      <c r="E4753" s="1" t="str">
        <f>IFERROR(__xludf.DUMMYFUNCTION("IF(LEN(D4753)&gt;4, IFERROR(REGEXEXTRACT(TO_TEXT(D4753),""\d+""),""""),"""")"),"22899")</f>
        <v>22899</v>
      </c>
      <c r="F4753" s="6" t="str">
        <f t="shared" si="3"/>
        <v>Product</v>
      </c>
      <c r="G4753" s="1" t="s">
        <v>487</v>
      </c>
      <c r="H4753" s="6" t="str">
        <f>IFERROR(__xludf.DUMMYFUNCTION("IF(REGEXMATCH(LOWER(G4753), ""^(\?)+\s*(missing)?\s*(\?)*$""), """", PROPER(SUBSTITUTE(SUBSTITUTE(G4753, ""?"", """"), ""*"", """")))"),"Children'S Apron Dolly Girl")</f>
        <v>Children'S Apron Dolly Girl</v>
      </c>
      <c r="I4753" s="3">
        <v>2.0</v>
      </c>
      <c r="J4753" s="7">
        <v>40886.481944444444</v>
      </c>
      <c r="K4753" s="8" t="str">
        <f t="shared" si="4"/>
        <v>2011-12</v>
      </c>
      <c r="L4753" s="5">
        <v>2.1</v>
      </c>
      <c r="M4753" s="3">
        <v>14446.0</v>
      </c>
      <c r="N4753" s="1" t="str">
        <f t="shared" si="5"/>
        <v>Registered</v>
      </c>
      <c r="O4753" s="1" t="s">
        <v>19</v>
      </c>
      <c r="P4753" s="9" t="str">
        <f t="shared" si="6"/>
        <v>UK</v>
      </c>
      <c r="Q4753" s="8">
        <f t="shared" si="7"/>
        <v>4.2</v>
      </c>
    </row>
    <row r="4754">
      <c r="A4754" s="1">
        <v>581538.0</v>
      </c>
      <c r="B4754" s="1" t="str">
        <f t="shared" si="1"/>
        <v>581538</v>
      </c>
      <c r="C4754" s="1" t="str">
        <f t="shared" si="2"/>
        <v>Sale</v>
      </c>
      <c r="D4754" s="1">
        <v>22367.0</v>
      </c>
      <c r="E4754" s="1" t="str">
        <f>IFERROR(__xludf.DUMMYFUNCTION("IF(LEN(D4754)&gt;4, IFERROR(REGEXEXTRACT(TO_TEXT(D4754),""\d+""),""""),"""")"),"22367")</f>
        <v>22367</v>
      </c>
      <c r="F4754" s="6" t="str">
        <f t="shared" si="3"/>
        <v>Product</v>
      </c>
      <c r="G4754" s="1" t="s">
        <v>488</v>
      </c>
      <c r="H4754" s="6" t="str">
        <f>IFERROR(__xludf.DUMMYFUNCTION("IF(REGEXMATCH(LOWER(G4754), ""^(\?)+\s*(missing)?\s*(\?)*$""), """", PROPER(SUBSTITUTE(SUBSTITUTE(G4754, ""?"", """"), ""*"", """")))"),"Childrens Apron Spaceboy Design")</f>
        <v>Childrens Apron Spaceboy Design</v>
      </c>
      <c r="I4754" s="3">
        <v>1.0</v>
      </c>
      <c r="J4754" s="7">
        <v>40886.481944444444</v>
      </c>
      <c r="K4754" s="8" t="str">
        <f t="shared" si="4"/>
        <v>2011-12</v>
      </c>
      <c r="L4754" s="5">
        <v>1.95</v>
      </c>
      <c r="M4754" s="3">
        <v>14446.0</v>
      </c>
      <c r="N4754" s="1" t="str">
        <f t="shared" si="5"/>
        <v>Registered</v>
      </c>
      <c r="O4754" s="1" t="s">
        <v>19</v>
      </c>
      <c r="P4754" s="9" t="str">
        <f t="shared" si="6"/>
        <v>UK</v>
      </c>
      <c r="Q4754" s="8">
        <f t="shared" si="7"/>
        <v>1.95</v>
      </c>
    </row>
    <row r="4755">
      <c r="A4755" s="1">
        <v>581538.0</v>
      </c>
      <c r="B4755" s="1" t="str">
        <f t="shared" si="1"/>
        <v>581538</v>
      </c>
      <c r="C4755" s="1" t="str">
        <f t="shared" si="2"/>
        <v>Sale</v>
      </c>
      <c r="D4755" s="1">
        <v>22899.0</v>
      </c>
      <c r="E4755" s="1" t="str">
        <f>IFERROR(__xludf.DUMMYFUNCTION("IF(LEN(D4755)&gt;4, IFERROR(REGEXEXTRACT(TO_TEXT(D4755),""\d+""),""""),"""")"),"22899")</f>
        <v>22899</v>
      </c>
      <c r="F4755" s="6" t="str">
        <f t="shared" si="3"/>
        <v>Product</v>
      </c>
      <c r="G4755" s="1" t="s">
        <v>487</v>
      </c>
      <c r="H4755" s="6" t="str">
        <f>IFERROR(__xludf.DUMMYFUNCTION("IF(REGEXMATCH(LOWER(G4755), ""^(\?)+\s*(missing)?\s*(\?)*$""), """", PROPER(SUBSTITUTE(SUBSTITUTE(G4755, ""?"", """"), ""*"", """")))"),"Children'S Apron Dolly Girl")</f>
        <v>Children'S Apron Dolly Girl</v>
      </c>
      <c r="I4755" s="3">
        <v>3.0</v>
      </c>
      <c r="J4755" s="7">
        <v>40886.481944444444</v>
      </c>
      <c r="K4755" s="8" t="str">
        <f t="shared" si="4"/>
        <v>2011-12</v>
      </c>
      <c r="L4755" s="5">
        <v>2.1</v>
      </c>
      <c r="M4755" s="3">
        <v>14446.0</v>
      </c>
      <c r="N4755" s="1" t="str">
        <f t="shared" si="5"/>
        <v>Registered</v>
      </c>
      <c r="O4755" s="1" t="s">
        <v>19</v>
      </c>
      <c r="P4755" s="9" t="str">
        <f t="shared" si="6"/>
        <v>UK</v>
      </c>
      <c r="Q4755" s="8">
        <f t="shared" si="7"/>
        <v>6.3</v>
      </c>
    </row>
    <row r="4756">
      <c r="A4756" s="1">
        <v>581538.0</v>
      </c>
      <c r="B4756" s="1" t="str">
        <f t="shared" si="1"/>
        <v>581538</v>
      </c>
      <c r="C4756" s="1" t="str">
        <f t="shared" si="2"/>
        <v>Sale</v>
      </c>
      <c r="D4756" s="1">
        <v>23527.0</v>
      </c>
      <c r="E4756" s="1" t="str">
        <f>IFERROR(__xludf.DUMMYFUNCTION("IF(LEN(D4756)&gt;4, IFERROR(REGEXEXTRACT(TO_TEXT(D4756),""\d+""),""""),"""")"),"23527")</f>
        <v>23527</v>
      </c>
      <c r="F4756" s="6" t="str">
        <f t="shared" si="3"/>
        <v>Product</v>
      </c>
      <c r="G4756" s="1" t="s">
        <v>2123</v>
      </c>
      <c r="H4756" s="6" t="str">
        <f>IFERROR(__xludf.DUMMYFUNCTION("IF(REGEXMATCH(LOWER(G4756), ""^(\?)+\s*(missing)?\s*(\?)*$""), """", PROPER(SUBSTITUTE(SUBSTITUTE(G4756, ""?"", """"), ""*"", """")))"),"Wall Art Animals And Nature")</f>
        <v>Wall Art Animals And Nature</v>
      </c>
      <c r="I4756" s="3">
        <v>1.0</v>
      </c>
      <c r="J4756" s="7">
        <v>40886.481944444444</v>
      </c>
      <c r="K4756" s="8" t="str">
        <f t="shared" si="4"/>
        <v>2011-12</v>
      </c>
      <c r="L4756" s="5">
        <v>3.75</v>
      </c>
      <c r="M4756" s="3">
        <v>14446.0</v>
      </c>
      <c r="N4756" s="1" t="str">
        <f t="shared" si="5"/>
        <v>Registered</v>
      </c>
      <c r="O4756" s="1" t="s">
        <v>19</v>
      </c>
      <c r="P4756" s="9" t="str">
        <f t="shared" si="6"/>
        <v>UK</v>
      </c>
      <c r="Q4756" s="8">
        <f t="shared" si="7"/>
        <v>3.75</v>
      </c>
    </row>
    <row r="4757">
      <c r="A4757" s="1">
        <v>581538.0</v>
      </c>
      <c r="B4757" s="1" t="str">
        <f t="shared" si="1"/>
        <v>581538</v>
      </c>
      <c r="C4757" s="1" t="str">
        <f t="shared" si="2"/>
        <v>Sale</v>
      </c>
      <c r="D4757" s="1">
        <v>23524.0</v>
      </c>
      <c r="E4757" s="1" t="str">
        <f>IFERROR(__xludf.DUMMYFUNCTION("IF(LEN(D4757)&gt;4, IFERROR(REGEXEXTRACT(TO_TEXT(D4757),""\d+""),""""),"""")"),"23524")</f>
        <v>23524</v>
      </c>
      <c r="F4757" s="6" t="str">
        <f t="shared" si="3"/>
        <v>Product</v>
      </c>
      <c r="G4757" s="1" t="s">
        <v>2124</v>
      </c>
      <c r="H4757" s="6" t="str">
        <f>IFERROR(__xludf.DUMMYFUNCTION("IF(REGEXMATCH(LOWER(G4757), ""^(\?)+\s*(missing)?\s*(\?)*$""), """", PROPER(SUBSTITUTE(SUBSTITUTE(G4757, ""?"", """"), ""*"", """")))"),"Wall Art Horse &amp; Pony")</f>
        <v>Wall Art Horse &amp; Pony</v>
      </c>
      <c r="I4757" s="3">
        <v>1.0</v>
      </c>
      <c r="J4757" s="7">
        <v>40886.481944444444</v>
      </c>
      <c r="K4757" s="8" t="str">
        <f t="shared" si="4"/>
        <v>2011-12</v>
      </c>
      <c r="L4757" s="5">
        <v>3.75</v>
      </c>
      <c r="M4757" s="3">
        <v>14446.0</v>
      </c>
      <c r="N4757" s="1" t="str">
        <f t="shared" si="5"/>
        <v>Registered</v>
      </c>
      <c r="O4757" s="1" t="s">
        <v>19</v>
      </c>
      <c r="P4757" s="9" t="str">
        <f t="shared" si="6"/>
        <v>UK</v>
      </c>
      <c r="Q4757" s="8">
        <f t="shared" si="7"/>
        <v>3.75</v>
      </c>
    </row>
    <row r="4758">
      <c r="A4758" s="1">
        <v>581538.0</v>
      </c>
      <c r="B4758" s="1" t="str">
        <f t="shared" si="1"/>
        <v>581538</v>
      </c>
      <c r="C4758" s="1" t="str">
        <f t="shared" si="2"/>
        <v>Sale</v>
      </c>
      <c r="D4758" s="1">
        <v>23525.0</v>
      </c>
      <c r="E4758" s="1" t="str">
        <f>IFERROR(__xludf.DUMMYFUNCTION("IF(LEN(D4758)&gt;4, IFERROR(REGEXEXTRACT(TO_TEXT(D4758),""\d+""),""""),"""")"),"23525")</f>
        <v>23525</v>
      </c>
      <c r="F4758" s="6" t="str">
        <f t="shared" si="3"/>
        <v>Product</v>
      </c>
      <c r="G4758" s="1" t="s">
        <v>2125</v>
      </c>
      <c r="H4758" s="6" t="str">
        <f>IFERROR(__xludf.DUMMYFUNCTION("IF(REGEXMATCH(LOWER(G4758), ""^(\?)+\s*(missing)?\s*(\?)*$""), """", PROPER(SUBSTITUTE(SUBSTITUTE(G4758, ""?"", """"), ""*"", """")))"),"Wall Art Buffalo Bill")</f>
        <v>Wall Art Buffalo Bill</v>
      </c>
      <c r="I4758" s="3">
        <v>1.0</v>
      </c>
      <c r="J4758" s="7">
        <v>40886.481944444444</v>
      </c>
      <c r="K4758" s="8" t="str">
        <f t="shared" si="4"/>
        <v>2011-12</v>
      </c>
      <c r="L4758" s="5">
        <v>3.75</v>
      </c>
      <c r="M4758" s="3">
        <v>14446.0</v>
      </c>
      <c r="N4758" s="1" t="str">
        <f t="shared" si="5"/>
        <v>Registered</v>
      </c>
      <c r="O4758" s="1" t="s">
        <v>19</v>
      </c>
      <c r="P4758" s="9" t="str">
        <f t="shared" si="6"/>
        <v>UK</v>
      </c>
      <c r="Q4758" s="8">
        <f t="shared" si="7"/>
        <v>3.75</v>
      </c>
    </row>
    <row r="4759">
      <c r="A4759" s="1">
        <v>581538.0</v>
      </c>
      <c r="B4759" s="1" t="str">
        <f t="shared" si="1"/>
        <v>581538</v>
      </c>
      <c r="C4759" s="1" t="str">
        <f t="shared" si="2"/>
        <v>Sale</v>
      </c>
      <c r="D4759" s="1">
        <v>84380.0</v>
      </c>
      <c r="E4759" s="1" t="str">
        <f>IFERROR(__xludf.DUMMYFUNCTION("IF(LEN(D4759)&gt;4, IFERROR(REGEXEXTRACT(TO_TEXT(D4759),""\d+""),""""),"""")"),"84380")</f>
        <v>84380</v>
      </c>
      <c r="F4759" s="6" t="str">
        <f t="shared" si="3"/>
        <v>Product</v>
      </c>
      <c r="G4759" s="1" t="s">
        <v>349</v>
      </c>
      <c r="H4759" s="6" t="str">
        <f>IFERROR(__xludf.DUMMYFUNCTION("IF(REGEXMATCH(LOWER(G4759), ""^(\?)+\s*(missing)?\s*(\?)*$""), """", PROPER(SUBSTITUTE(SUBSTITUTE(G4759, ""?"", """"), ""*"", """")))"),"Set Of 3 Butterfly Cookie Cutters")</f>
        <v>Set Of 3 Butterfly Cookie Cutters</v>
      </c>
      <c r="I4759" s="3">
        <v>4.0</v>
      </c>
      <c r="J4759" s="7">
        <v>40886.481944444444</v>
      </c>
      <c r="K4759" s="8" t="str">
        <f t="shared" si="4"/>
        <v>2011-12</v>
      </c>
      <c r="L4759" s="5">
        <v>1.45</v>
      </c>
      <c r="M4759" s="3">
        <v>14446.0</v>
      </c>
      <c r="N4759" s="1" t="str">
        <f t="shared" si="5"/>
        <v>Registered</v>
      </c>
      <c r="O4759" s="1" t="s">
        <v>19</v>
      </c>
      <c r="P4759" s="9" t="str">
        <f t="shared" si="6"/>
        <v>UK</v>
      </c>
      <c r="Q4759" s="8">
        <f t="shared" si="7"/>
        <v>5.8</v>
      </c>
    </row>
    <row r="4760">
      <c r="A4760" s="1">
        <v>581538.0</v>
      </c>
      <c r="B4760" s="1" t="str">
        <f t="shared" si="1"/>
        <v>581538</v>
      </c>
      <c r="C4760" s="1" t="str">
        <f t="shared" si="2"/>
        <v>Sale</v>
      </c>
      <c r="D4760" s="1">
        <v>23343.0</v>
      </c>
      <c r="E4760" s="1" t="str">
        <f>IFERROR(__xludf.DUMMYFUNCTION("IF(LEN(D4760)&gt;4, IFERROR(REGEXEXTRACT(TO_TEXT(D4760),""\d+""),""""),"""")"),"23343")</f>
        <v>23343</v>
      </c>
      <c r="F4760" s="6" t="str">
        <f t="shared" si="3"/>
        <v>Product</v>
      </c>
      <c r="G4760" s="1" t="s">
        <v>2033</v>
      </c>
      <c r="H4760" s="6" t="str">
        <f>IFERROR(__xludf.DUMMYFUNCTION("IF(REGEXMATCH(LOWER(G4760), ""^(\?)+\s*(missing)?\s*(\?)*$""), """", PROPER(SUBSTITUTE(SUBSTITUTE(G4760, ""?"", """"), ""*"", """")))"),"Jumbo Bag Vintage Christmas")</f>
        <v>Jumbo Bag Vintage Christmas</v>
      </c>
      <c r="I4760" s="3">
        <v>1.0</v>
      </c>
      <c r="J4760" s="7">
        <v>40886.481944444444</v>
      </c>
      <c r="K4760" s="8" t="str">
        <f t="shared" si="4"/>
        <v>2011-12</v>
      </c>
      <c r="L4760" s="5">
        <v>2.08</v>
      </c>
      <c r="M4760" s="3">
        <v>14446.0</v>
      </c>
      <c r="N4760" s="1" t="str">
        <f t="shared" si="5"/>
        <v>Registered</v>
      </c>
      <c r="O4760" s="1" t="s">
        <v>19</v>
      </c>
      <c r="P4760" s="9" t="str">
        <f t="shared" si="6"/>
        <v>UK</v>
      </c>
      <c r="Q4760" s="8">
        <f t="shared" si="7"/>
        <v>2.08</v>
      </c>
    </row>
    <row r="4761">
      <c r="A4761" s="1">
        <v>581538.0</v>
      </c>
      <c r="B4761" s="1" t="str">
        <f t="shared" si="1"/>
        <v>581538</v>
      </c>
      <c r="C4761" s="1" t="str">
        <f t="shared" si="2"/>
        <v>Sale</v>
      </c>
      <c r="D4761" s="1">
        <v>23122.0</v>
      </c>
      <c r="E4761" s="1" t="str">
        <f>IFERROR(__xludf.DUMMYFUNCTION("IF(LEN(D4761)&gt;4, IFERROR(REGEXEXTRACT(TO_TEXT(D4761),""\d+""),""""),"""")"),"23122")</f>
        <v>23122</v>
      </c>
      <c r="F4761" s="6" t="str">
        <f t="shared" si="3"/>
        <v>Product</v>
      </c>
      <c r="G4761" s="1" t="s">
        <v>2126</v>
      </c>
      <c r="H4761" s="6" t="str">
        <f>IFERROR(__xludf.DUMMYFUNCTION("IF(REGEXMATCH(LOWER(G4761), ""^(\?)+\s*(missing)?\s*(\?)*$""), """", PROPER(SUBSTITUTE(SUBSTITUTE(G4761, ""?"", """"), ""*"", """")))"),"Party Charms 50 Pieces")</f>
        <v>Party Charms 50 Pieces</v>
      </c>
      <c r="I4761" s="3">
        <v>1.0</v>
      </c>
      <c r="J4761" s="7">
        <v>40886.481944444444</v>
      </c>
      <c r="K4761" s="8" t="str">
        <f t="shared" si="4"/>
        <v>2011-12</v>
      </c>
      <c r="L4761" s="5">
        <v>0.83</v>
      </c>
      <c r="M4761" s="3">
        <v>14446.0</v>
      </c>
      <c r="N4761" s="1" t="str">
        <f t="shared" si="5"/>
        <v>Registered</v>
      </c>
      <c r="O4761" s="1" t="s">
        <v>19</v>
      </c>
      <c r="P4761" s="9" t="str">
        <f t="shared" si="6"/>
        <v>UK</v>
      </c>
      <c r="Q4761" s="8">
        <f t="shared" si="7"/>
        <v>0.83</v>
      </c>
    </row>
    <row r="4762">
      <c r="A4762" s="1">
        <v>581538.0</v>
      </c>
      <c r="B4762" s="1" t="str">
        <f t="shared" si="1"/>
        <v>581538</v>
      </c>
      <c r="C4762" s="1" t="str">
        <f t="shared" si="2"/>
        <v>Sale</v>
      </c>
      <c r="D4762" s="1">
        <v>21990.0</v>
      </c>
      <c r="E4762" s="1" t="str">
        <f>IFERROR(__xludf.DUMMYFUNCTION("IF(LEN(D4762)&gt;4, IFERROR(REGEXEXTRACT(TO_TEXT(D4762),""\d+""),""""),"""")"),"21990")</f>
        <v>21990</v>
      </c>
      <c r="F4762" s="6" t="str">
        <f t="shared" si="3"/>
        <v>Product</v>
      </c>
      <c r="G4762" s="1" t="s">
        <v>1781</v>
      </c>
      <c r="H4762" s="6" t="str">
        <f>IFERROR(__xludf.DUMMYFUNCTION("IF(REGEXMATCH(LOWER(G4762), ""^(\?)+\s*(missing)?\s*(\?)*$""), """", PROPER(SUBSTITUTE(SUBSTITUTE(G4762, ""?"", """"), ""*"", """")))"),"Modern Floral Stationery Set")</f>
        <v>Modern Floral Stationery Set</v>
      </c>
      <c r="I4762" s="3">
        <v>1.0</v>
      </c>
      <c r="J4762" s="7">
        <v>40886.481944444444</v>
      </c>
      <c r="K4762" s="8" t="str">
        <f t="shared" si="4"/>
        <v>2011-12</v>
      </c>
      <c r="L4762" s="5">
        <v>1.25</v>
      </c>
      <c r="M4762" s="3">
        <v>14446.0</v>
      </c>
      <c r="N4762" s="1" t="str">
        <f t="shared" si="5"/>
        <v>Registered</v>
      </c>
      <c r="O4762" s="1" t="s">
        <v>19</v>
      </c>
      <c r="P4762" s="9" t="str">
        <f t="shared" si="6"/>
        <v>UK</v>
      </c>
      <c r="Q4762" s="8">
        <f t="shared" si="7"/>
        <v>1.25</v>
      </c>
    </row>
    <row r="4763">
      <c r="A4763" s="1">
        <v>581538.0</v>
      </c>
      <c r="B4763" s="1" t="str">
        <f t="shared" si="1"/>
        <v>581538</v>
      </c>
      <c r="C4763" s="1" t="str">
        <f t="shared" si="2"/>
        <v>Sale</v>
      </c>
      <c r="D4763" s="1">
        <v>21329.0</v>
      </c>
      <c r="E4763" s="1" t="str">
        <f>IFERROR(__xludf.DUMMYFUNCTION("IF(LEN(D4763)&gt;4, IFERROR(REGEXEXTRACT(TO_TEXT(D4763),""\d+""),""""),"""")"),"21329")</f>
        <v>21329</v>
      </c>
      <c r="F4763" s="6" t="str">
        <f t="shared" si="3"/>
        <v>Product</v>
      </c>
      <c r="G4763" s="1" t="s">
        <v>609</v>
      </c>
      <c r="H4763" s="6" t="str">
        <f>IFERROR(__xludf.DUMMYFUNCTION("IF(REGEXMATCH(LOWER(G4763), ""^(\?)+\s*(missing)?\s*(\?)*$""), """", PROPER(SUBSTITUTE(SUBSTITUTE(G4763, ""?"", """"), ""*"", """")))"),"Dinosaurs Writing Set")</f>
        <v>Dinosaurs Writing Set</v>
      </c>
      <c r="I4763" s="3">
        <v>1.0</v>
      </c>
      <c r="J4763" s="7">
        <v>40886.481944444444</v>
      </c>
      <c r="K4763" s="8" t="str">
        <f t="shared" si="4"/>
        <v>2011-12</v>
      </c>
      <c r="L4763" s="5">
        <v>1.65</v>
      </c>
      <c r="M4763" s="3">
        <v>14446.0</v>
      </c>
      <c r="N4763" s="1" t="str">
        <f t="shared" si="5"/>
        <v>Registered</v>
      </c>
      <c r="O4763" s="1" t="s">
        <v>19</v>
      </c>
      <c r="P4763" s="9" t="str">
        <f t="shared" si="6"/>
        <v>UK</v>
      </c>
      <c r="Q4763" s="8">
        <f t="shared" si="7"/>
        <v>1.65</v>
      </c>
    </row>
    <row r="4764">
      <c r="A4764" s="1">
        <v>581538.0</v>
      </c>
      <c r="B4764" s="1" t="str">
        <f t="shared" si="1"/>
        <v>581538</v>
      </c>
      <c r="C4764" s="1" t="str">
        <f t="shared" si="2"/>
        <v>Sale</v>
      </c>
      <c r="D4764" s="1">
        <v>21328.0</v>
      </c>
      <c r="E4764" s="1" t="str">
        <f>IFERROR(__xludf.DUMMYFUNCTION("IF(LEN(D4764)&gt;4, IFERROR(REGEXEXTRACT(TO_TEXT(D4764),""\d+""),""""),"""")"),"21328")</f>
        <v>21328</v>
      </c>
      <c r="F4764" s="6" t="str">
        <f t="shared" si="3"/>
        <v>Product</v>
      </c>
      <c r="G4764" s="1" t="s">
        <v>280</v>
      </c>
      <c r="H4764" s="6" t="str">
        <f>IFERROR(__xludf.DUMMYFUNCTION("IF(REGEXMATCH(LOWER(G4764), ""^(\?)+\s*(missing)?\s*(\?)*$""), """", PROPER(SUBSTITUTE(SUBSTITUTE(G4764, ""?"", """"), ""*"", """")))"),"Balloons Writing Set")</f>
        <v>Balloons Writing Set</v>
      </c>
      <c r="I4764" s="3">
        <v>1.0</v>
      </c>
      <c r="J4764" s="7">
        <v>40886.481944444444</v>
      </c>
      <c r="K4764" s="8" t="str">
        <f t="shared" si="4"/>
        <v>2011-12</v>
      </c>
      <c r="L4764" s="5">
        <v>1.65</v>
      </c>
      <c r="M4764" s="3">
        <v>14446.0</v>
      </c>
      <c r="N4764" s="1" t="str">
        <f t="shared" si="5"/>
        <v>Registered</v>
      </c>
      <c r="O4764" s="1" t="s">
        <v>19</v>
      </c>
      <c r="P4764" s="9" t="str">
        <f t="shared" si="6"/>
        <v>UK</v>
      </c>
      <c r="Q4764" s="8">
        <f t="shared" si="7"/>
        <v>1.65</v>
      </c>
    </row>
    <row r="4765">
      <c r="A4765" s="1">
        <v>581538.0</v>
      </c>
      <c r="B4765" s="1" t="str">
        <f t="shared" si="1"/>
        <v>581538</v>
      </c>
      <c r="C4765" s="1" t="str">
        <f t="shared" si="2"/>
        <v>Sale</v>
      </c>
      <c r="D4765" s="1">
        <v>22561.0</v>
      </c>
      <c r="E4765" s="1" t="str">
        <f>IFERROR(__xludf.DUMMYFUNCTION("IF(LEN(D4765)&gt;4, IFERROR(REGEXEXTRACT(TO_TEXT(D4765),""\d+""),""""),"""")"),"22561")</f>
        <v>22561</v>
      </c>
      <c r="F4765" s="6" t="str">
        <f t="shared" si="3"/>
        <v>Product</v>
      </c>
      <c r="G4765" s="1" t="s">
        <v>1638</v>
      </c>
      <c r="H4765" s="6" t="str">
        <f>IFERROR(__xludf.DUMMYFUNCTION("IF(REGEXMATCH(LOWER(G4765), ""^(\?)+\s*(missing)?\s*(\?)*$""), """", PROPER(SUBSTITUTE(SUBSTITUTE(G4765, ""?"", """"), ""*"", """")))"),"Wooden School Colouring Set")</f>
        <v>Wooden School Colouring Set</v>
      </c>
      <c r="I4765" s="3">
        <v>1.0</v>
      </c>
      <c r="J4765" s="7">
        <v>40886.481944444444</v>
      </c>
      <c r="K4765" s="8" t="str">
        <f t="shared" si="4"/>
        <v>2011-12</v>
      </c>
      <c r="L4765" s="5">
        <v>1.65</v>
      </c>
      <c r="M4765" s="3">
        <v>14446.0</v>
      </c>
      <c r="N4765" s="1" t="str">
        <f t="shared" si="5"/>
        <v>Registered</v>
      </c>
      <c r="O4765" s="1" t="s">
        <v>19</v>
      </c>
      <c r="P4765" s="9" t="str">
        <f t="shared" si="6"/>
        <v>UK</v>
      </c>
      <c r="Q4765" s="8">
        <f t="shared" si="7"/>
        <v>1.65</v>
      </c>
    </row>
    <row r="4766">
      <c r="A4766" s="1">
        <v>581538.0</v>
      </c>
      <c r="B4766" s="1" t="str">
        <f t="shared" si="1"/>
        <v>581538</v>
      </c>
      <c r="C4766" s="1" t="str">
        <f t="shared" si="2"/>
        <v>Sale</v>
      </c>
      <c r="D4766" s="1" t="s">
        <v>101</v>
      </c>
      <c r="E4766" s="1" t="str">
        <f>IFERROR(__xludf.DUMMYFUNCTION("IF(LEN(D4766)&gt;4, IFERROR(REGEXEXTRACT(TO_TEXT(D4766),""\d+""),""""),"""")"),"84519")</f>
        <v>84519</v>
      </c>
      <c r="F4766" s="6" t="str">
        <f t="shared" si="3"/>
        <v>Product</v>
      </c>
      <c r="G4766" s="1" t="s">
        <v>102</v>
      </c>
      <c r="H4766" s="6" t="str">
        <f>IFERROR(__xludf.DUMMYFUNCTION("IF(REGEXMATCH(LOWER(G4766), ""^(\?)+\s*(missing)?\s*(\?)*$""), """", PROPER(SUBSTITUTE(SUBSTITUTE(G4766, ""?"", """"), ""*"", """")))"),"Tomato Charlie+Lola Coaster Set")</f>
        <v>Tomato Charlie+Lola Coaster Set</v>
      </c>
      <c r="I4766" s="3">
        <v>1.0</v>
      </c>
      <c r="J4766" s="7">
        <v>40886.481944444444</v>
      </c>
      <c r="K4766" s="8" t="str">
        <f t="shared" si="4"/>
        <v>2011-12</v>
      </c>
      <c r="L4766" s="5">
        <v>1.25</v>
      </c>
      <c r="M4766" s="3">
        <v>14446.0</v>
      </c>
      <c r="N4766" s="1" t="str">
        <f t="shared" si="5"/>
        <v>Registered</v>
      </c>
      <c r="O4766" s="1" t="s">
        <v>19</v>
      </c>
      <c r="P4766" s="9" t="str">
        <f t="shared" si="6"/>
        <v>UK</v>
      </c>
      <c r="Q4766" s="8">
        <f t="shared" si="7"/>
        <v>1.25</v>
      </c>
    </row>
    <row r="4767">
      <c r="A4767" s="1">
        <v>581538.0</v>
      </c>
      <c r="B4767" s="1" t="str">
        <f t="shared" si="1"/>
        <v>581538</v>
      </c>
      <c r="C4767" s="1" t="str">
        <f t="shared" si="2"/>
        <v>Sale</v>
      </c>
      <c r="D4767" s="1" t="s">
        <v>1729</v>
      </c>
      <c r="E4767" s="1" t="str">
        <f>IFERROR(__xludf.DUMMYFUNCTION("IF(LEN(D4767)&gt;4, IFERROR(REGEXEXTRACT(TO_TEXT(D4767),""\d+""),""""),"""")"),"84519")</f>
        <v>84519</v>
      </c>
      <c r="F4767" s="6" t="str">
        <f t="shared" si="3"/>
        <v>Product</v>
      </c>
      <c r="G4767" s="1" t="s">
        <v>1730</v>
      </c>
      <c r="H4767" s="6" t="str">
        <f>IFERROR(__xludf.DUMMYFUNCTION("IF(REGEXMATCH(LOWER(G4767), ""^(\?)+\s*(missing)?\s*(\?)*$""), """", PROPER(SUBSTITUTE(SUBSTITUTE(G4767, ""?"", """"), ""*"", """")))"),"Carrot Charlie+Lola Coaster Set")</f>
        <v>Carrot Charlie+Lola Coaster Set</v>
      </c>
      <c r="I4767" s="3">
        <v>1.0</v>
      </c>
      <c r="J4767" s="7">
        <v>40886.481944444444</v>
      </c>
      <c r="K4767" s="8" t="str">
        <f t="shared" si="4"/>
        <v>2011-12</v>
      </c>
      <c r="L4767" s="5">
        <v>1.25</v>
      </c>
      <c r="M4767" s="3">
        <v>14446.0</v>
      </c>
      <c r="N4767" s="1" t="str">
        <f t="shared" si="5"/>
        <v>Registered</v>
      </c>
      <c r="O4767" s="1" t="s">
        <v>19</v>
      </c>
      <c r="P4767" s="9" t="str">
        <f t="shared" si="6"/>
        <v>UK</v>
      </c>
      <c r="Q4767" s="8">
        <f t="shared" si="7"/>
        <v>1.25</v>
      </c>
    </row>
    <row r="4768">
      <c r="A4768" s="1">
        <v>581538.0</v>
      </c>
      <c r="B4768" s="1" t="str">
        <f t="shared" si="1"/>
        <v>581538</v>
      </c>
      <c r="C4768" s="1" t="str">
        <f t="shared" si="2"/>
        <v>Sale</v>
      </c>
      <c r="D4768" s="1" t="s">
        <v>259</v>
      </c>
      <c r="E4768" s="1" t="str">
        <f>IFERROR(__xludf.DUMMYFUNCTION("IF(LEN(D4768)&gt;4, IFERROR(REGEXEXTRACT(TO_TEXT(D4768),""\d+""),""""),"""")"),"35004")</f>
        <v>35004</v>
      </c>
      <c r="F4768" s="6" t="str">
        <f t="shared" si="3"/>
        <v>Product</v>
      </c>
      <c r="G4768" s="1" t="s">
        <v>260</v>
      </c>
      <c r="H4768" s="6" t="str">
        <f>IFERROR(__xludf.DUMMYFUNCTION("IF(REGEXMATCH(LOWER(G4768), ""^(\?)+\s*(missing)?\s*(\?)*$""), """", PROPER(SUBSTITUTE(SUBSTITUTE(G4768, ""?"", """"), ""*"", """")))"),"Set Of 3 Black Flying Ducks")</f>
        <v>Set Of 3 Black Flying Ducks</v>
      </c>
      <c r="I4768" s="3">
        <v>2.0</v>
      </c>
      <c r="J4768" s="7">
        <v>40886.481944444444</v>
      </c>
      <c r="K4768" s="8" t="str">
        <f t="shared" si="4"/>
        <v>2011-12</v>
      </c>
      <c r="L4768" s="5">
        <v>5.45</v>
      </c>
      <c r="M4768" s="3">
        <v>14446.0</v>
      </c>
      <c r="N4768" s="1" t="str">
        <f t="shared" si="5"/>
        <v>Registered</v>
      </c>
      <c r="O4768" s="1" t="s">
        <v>19</v>
      </c>
      <c r="P4768" s="9" t="str">
        <f t="shared" si="6"/>
        <v>UK</v>
      </c>
      <c r="Q4768" s="8">
        <f t="shared" si="7"/>
        <v>10.9</v>
      </c>
    </row>
    <row r="4769">
      <c r="A4769" s="1">
        <v>581538.0</v>
      </c>
      <c r="B4769" s="1" t="str">
        <f t="shared" si="1"/>
        <v>581538</v>
      </c>
      <c r="C4769" s="1" t="str">
        <f t="shared" si="2"/>
        <v>Sale</v>
      </c>
      <c r="D4769" s="1">
        <v>22068.0</v>
      </c>
      <c r="E4769" s="1" t="str">
        <f>IFERROR(__xludf.DUMMYFUNCTION("IF(LEN(D4769)&gt;4, IFERROR(REGEXEXTRACT(TO_TEXT(D4769),""\d+""),""""),"""")"),"22068")</f>
        <v>22068</v>
      </c>
      <c r="F4769" s="6" t="str">
        <f t="shared" si="3"/>
        <v>Product</v>
      </c>
      <c r="G4769" s="1" t="s">
        <v>310</v>
      </c>
      <c r="H4769" s="6" t="str">
        <f>IFERROR(__xludf.DUMMYFUNCTION("IF(REGEXMATCH(LOWER(G4769), ""^(\?)+\s*(missing)?\s*(\?)*$""), """", PROPER(SUBSTITUTE(SUBSTITUTE(G4769, ""?"", """"), ""*"", """")))"),"Black Pirate Treasure Chest")</f>
        <v>Black Pirate Treasure Chest</v>
      </c>
      <c r="I4769" s="3">
        <v>1.0</v>
      </c>
      <c r="J4769" s="7">
        <v>40886.481944444444</v>
      </c>
      <c r="K4769" s="8" t="str">
        <f t="shared" si="4"/>
        <v>2011-12</v>
      </c>
      <c r="L4769" s="5">
        <v>0.39</v>
      </c>
      <c r="M4769" s="3">
        <v>14446.0</v>
      </c>
      <c r="N4769" s="1" t="str">
        <f t="shared" si="5"/>
        <v>Registered</v>
      </c>
      <c r="O4769" s="1" t="s">
        <v>19</v>
      </c>
      <c r="P4769" s="9" t="str">
        <f t="shared" si="6"/>
        <v>UK</v>
      </c>
      <c r="Q4769" s="8">
        <f t="shared" si="7"/>
        <v>0.39</v>
      </c>
    </row>
    <row r="4770">
      <c r="A4770" s="1">
        <v>581538.0</v>
      </c>
      <c r="B4770" s="1" t="str">
        <f t="shared" si="1"/>
        <v>581538</v>
      </c>
      <c r="C4770" s="1" t="str">
        <f t="shared" si="2"/>
        <v>Sale</v>
      </c>
      <c r="D4770" s="1">
        <v>23353.0</v>
      </c>
      <c r="E4770" s="1" t="str">
        <f>IFERROR(__xludf.DUMMYFUNCTION("IF(LEN(D4770)&gt;4, IFERROR(REGEXEXTRACT(TO_TEXT(D4770),""\d+""),""""),"""")"),"23353")</f>
        <v>23353</v>
      </c>
      <c r="F4770" s="6" t="str">
        <f t="shared" si="3"/>
        <v>Product</v>
      </c>
      <c r="G4770" s="1" t="s">
        <v>2037</v>
      </c>
      <c r="H4770" s="6" t="str">
        <f>IFERROR(__xludf.DUMMYFUNCTION("IF(REGEXMATCH(LOWER(G4770), ""^(\?)+\s*(missing)?\s*(\?)*$""), """", PROPER(SUBSTITUTE(SUBSTITUTE(G4770, ""?"", """"), ""*"", """")))"),"6 Gift Tags Vintage Christmas")</f>
        <v>6 Gift Tags Vintage Christmas</v>
      </c>
      <c r="I4770" s="3">
        <v>1.0</v>
      </c>
      <c r="J4770" s="7">
        <v>40886.481944444444</v>
      </c>
      <c r="K4770" s="8" t="str">
        <f t="shared" si="4"/>
        <v>2011-12</v>
      </c>
      <c r="L4770" s="5">
        <v>0.83</v>
      </c>
      <c r="M4770" s="3">
        <v>14446.0</v>
      </c>
      <c r="N4770" s="1" t="str">
        <f t="shared" si="5"/>
        <v>Registered</v>
      </c>
      <c r="O4770" s="1" t="s">
        <v>19</v>
      </c>
      <c r="P4770" s="9" t="str">
        <f t="shared" si="6"/>
        <v>UK</v>
      </c>
      <c r="Q4770" s="8">
        <f t="shared" si="7"/>
        <v>0.83</v>
      </c>
    </row>
    <row r="4771">
      <c r="A4771" s="1">
        <v>581538.0</v>
      </c>
      <c r="B4771" s="1" t="str">
        <f t="shared" si="1"/>
        <v>581538</v>
      </c>
      <c r="C4771" s="1" t="str">
        <f t="shared" si="2"/>
        <v>Sale</v>
      </c>
      <c r="D4771" s="1">
        <v>21591.0</v>
      </c>
      <c r="E4771" s="1" t="str">
        <f>IFERROR(__xludf.DUMMYFUNCTION("IF(LEN(D4771)&gt;4, IFERROR(REGEXEXTRACT(TO_TEXT(D4771),""\d+""),""""),"""")"),"21591")</f>
        <v>21591</v>
      </c>
      <c r="F4771" s="6" t="str">
        <f t="shared" si="3"/>
        <v>Product</v>
      </c>
      <c r="G4771" s="1" t="s">
        <v>533</v>
      </c>
      <c r="H4771" s="6" t="str">
        <f>IFERROR(__xludf.DUMMYFUNCTION("IF(REGEXMATCH(LOWER(G4771), ""^(\?)+\s*(missing)?\s*(\?)*$""), """", PROPER(SUBSTITUTE(SUBSTITUTE(G4771, ""?"", """"), ""*"", """")))"),"Cosy Hour Cigar Box Matches")</f>
        <v>Cosy Hour Cigar Box Matches</v>
      </c>
      <c r="I4771" s="3">
        <v>1.0</v>
      </c>
      <c r="J4771" s="7">
        <v>40886.481944444444</v>
      </c>
      <c r="K4771" s="8" t="str">
        <f t="shared" si="4"/>
        <v>2011-12</v>
      </c>
      <c r="L4771" s="5">
        <v>1.25</v>
      </c>
      <c r="M4771" s="3">
        <v>14446.0</v>
      </c>
      <c r="N4771" s="1" t="str">
        <f t="shared" si="5"/>
        <v>Registered</v>
      </c>
      <c r="O4771" s="1" t="s">
        <v>19</v>
      </c>
      <c r="P4771" s="9" t="str">
        <f t="shared" si="6"/>
        <v>UK</v>
      </c>
      <c r="Q4771" s="8">
        <f t="shared" si="7"/>
        <v>1.25</v>
      </c>
    </row>
    <row r="4772">
      <c r="A4772" s="1">
        <v>581538.0</v>
      </c>
      <c r="B4772" s="1" t="str">
        <f t="shared" si="1"/>
        <v>581538</v>
      </c>
      <c r="C4772" s="1" t="str">
        <f t="shared" si="2"/>
        <v>Sale</v>
      </c>
      <c r="D4772" s="1">
        <v>22197.0</v>
      </c>
      <c r="E4772" s="1" t="str">
        <f>IFERROR(__xludf.DUMMYFUNCTION("IF(LEN(D4772)&gt;4, IFERROR(REGEXEXTRACT(TO_TEXT(D4772),""\d+""),""""),"""")"),"22197")</f>
        <v>22197</v>
      </c>
      <c r="F4772" s="6" t="str">
        <f t="shared" si="3"/>
        <v>Product</v>
      </c>
      <c r="G4772" s="1" t="s">
        <v>1440</v>
      </c>
      <c r="H4772" s="6" t="str">
        <f>IFERROR(__xludf.DUMMYFUNCTION("IF(REGEXMATCH(LOWER(G4772), ""^(\?)+\s*(missing)?\s*(\?)*$""), """", PROPER(SUBSTITUTE(SUBSTITUTE(G4772, ""?"", """"), ""*"", """")))"),"Popcorn Holder")</f>
        <v>Popcorn Holder</v>
      </c>
      <c r="I4772" s="3">
        <v>4.0</v>
      </c>
      <c r="J4772" s="7">
        <v>40886.481944444444</v>
      </c>
      <c r="K4772" s="8" t="str">
        <f t="shared" si="4"/>
        <v>2011-12</v>
      </c>
      <c r="L4772" s="5">
        <v>0.85</v>
      </c>
      <c r="M4772" s="3">
        <v>14446.0</v>
      </c>
      <c r="N4772" s="1" t="str">
        <f t="shared" si="5"/>
        <v>Registered</v>
      </c>
      <c r="O4772" s="1" t="s">
        <v>19</v>
      </c>
      <c r="P4772" s="9" t="str">
        <f t="shared" si="6"/>
        <v>UK</v>
      </c>
      <c r="Q4772" s="8">
        <f t="shared" si="7"/>
        <v>3.4</v>
      </c>
    </row>
    <row r="4773">
      <c r="A4773" s="1">
        <v>581538.0</v>
      </c>
      <c r="B4773" s="1" t="str">
        <f t="shared" si="1"/>
        <v>581538</v>
      </c>
      <c r="C4773" s="1" t="str">
        <f t="shared" si="2"/>
        <v>Sale</v>
      </c>
      <c r="D4773" s="1">
        <v>23320.0</v>
      </c>
      <c r="E4773" s="1" t="str">
        <f>IFERROR(__xludf.DUMMYFUNCTION("IF(LEN(D4773)&gt;4, IFERROR(REGEXEXTRACT(TO_TEXT(D4773),""\d+""),""""),"""")"),"23320")</f>
        <v>23320</v>
      </c>
      <c r="F4773" s="6" t="str">
        <f t="shared" si="3"/>
        <v>Product</v>
      </c>
      <c r="G4773" s="1" t="s">
        <v>1523</v>
      </c>
      <c r="H4773" s="6" t="str">
        <f>IFERROR(__xludf.DUMMYFUNCTION("IF(REGEXMATCH(LOWER(G4773), ""^(\?)+\s*(missing)?\s*(\?)*$""), """", PROPER(SUBSTITUTE(SUBSTITUTE(G4773, ""?"", """"), ""*"", """")))"),"Giant 50'S Christmas Cracker")</f>
        <v>Giant 50'S Christmas Cracker</v>
      </c>
      <c r="I4773" s="3">
        <v>1.0</v>
      </c>
      <c r="J4773" s="7">
        <v>40886.481944444444</v>
      </c>
      <c r="K4773" s="8" t="str">
        <f t="shared" si="4"/>
        <v>2011-12</v>
      </c>
      <c r="L4773" s="5">
        <v>1.25</v>
      </c>
      <c r="M4773" s="3">
        <v>14446.0</v>
      </c>
      <c r="N4773" s="1" t="str">
        <f t="shared" si="5"/>
        <v>Registered</v>
      </c>
      <c r="O4773" s="1" t="s">
        <v>19</v>
      </c>
      <c r="P4773" s="9" t="str">
        <f t="shared" si="6"/>
        <v>UK</v>
      </c>
      <c r="Q4773" s="8">
        <f t="shared" si="7"/>
        <v>1.25</v>
      </c>
    </row>
    <row r="4774">
      <c r="A4774" s="1">
        <v>581538.0</v>
      </c>
      <c r="B4774" s="1" t="str">
        <f t="shared" si="1"/>
        <v>581538</v>
      </c>
      <c r="C4774" s="1" t="str">
        <f t="shared" si="2"/>
        <v>Sale</v>
      </c>
      <c r="D4774" s="1">
        <v>23349.0</v>
      </c>
      <c r="E4774" s="1" t="str">
        <f>IFERROR(__xludf.DUMMYFUNCTION("IF(LEN(D4774)&gt;4, IFERROR(REGEXEXTRACT(TO_TEXT(D4774),""\d+""),""""),"""")"),"23349")</f>
        <v>23349</v>
      </c>
      <c r="F4774" s="6" t="str">
        <f t="shared" si="3"/>
        <v>Product</v>
      </c>
      <c r="G4774" s="1" t="s">
        <v>2036</v>
      </c>
      <c r="H4774" s="6" t="str">
        <f>IFERROR(__xludf.DUMMYFUNCTION("IF(REGEXMATCH(LOWER(G4774), ""^(\?)+\s*(missing)?\s*(\?)*$""), """", PROPER(SUBSTITUTE(SUBSTITUTE(G4774, ""?"", """"), ""*"", """")))"),"Roll Wrap Vintage Christmas")</f>
        <v>Roll Wrap Vintage Christmas</v>
      </c>
      <c r="I4774" s="3">
        <v>1.0</v>
      </c>
      <c r="J4774" s="7">
        <v>40886.481944444444</v>
      </c>
      <c r="K4774" s="8" t="str">
        <f t="shared" si="4"/>
        <v>2011-12</v>
      </c>
      <c r="L4774" s="5">
        <v>1.25</v>
      </c>
      <c r="M4774" s="3">
        <v>14446.0</v>
      </c>
      <c r="N4774" s="1" t="str">
        <f t="shared" si="5"/>
        <v>Registered</v>
      </c>
      <c r="O4774" s="1" t="s">
        <v>19</v>
      </c>
      <c r="P4774" s="9" t="str">
        <f t="shared" si="6"/>
        <v>UK</v>
      </c>
      <c r="Q4774" s="8">
        <f t="shared" si="7"/>
        <v>1.25</v>
      </c>
    </row>
    <row r="4775">
      <c r="A4775" s="1">
        <v>581538.0</v>
      </c>
      <c r="B4775" s="1" t="str">
        <f t="shared" si="1"/>
        <v>581538</v>
      </c>
      <c r="C4775" s="1" t="str">
        <f t="shared" si="2"/>
        <v>Sale</v>
      </c>
      <c r="D4775" s="1">
        <v>22985.0</v>
      </c>
      <c r="E4775" s="1" t="str">
        <f>IFERROR(__xludf.DUMMYFUNCTION("IF(LEN(D4775)&gt;4, IFERROR(REGEXEXTRACT(TO_TEXT(D4775),""\d+""),""""),"""")"),"22985")</f>
        <v>22985</v>
      </c>
      <c r="F4775" s="6" t="str">
        <f t="shared" si="3"/>
        <v>Product</v>
      </c>
      <c r="G4775" s="1" t="s">
        <v>2127</v>
      </c>
      <c r="H4775" s="6" t="str">
        <f>IFERROR(__xludf.DUMMYFUNCTION("IF(REGEXMATCH(LOWER(G4775), ""^(\?)+\s*(missing)?\s*(\?)*$""), """", PROPER(SUBSTITUTE(SUBSTITUTE(G4775, ""?"", """"), ""*"", """")))"),"Wrap Billboard Fonts Design")</f>
        <v>Wrap Billboard Fonts Design</v>
      </c>
      <c r="I4775" s="3">
        <v>25.0</v>
      </c>
      <c r="J4775" s="7">
        <v>40886.481944444444</v>
      </c>
      <c r="K4775" s="8" t="str">
        <f t="shared" si="4"/>
        <v>2011-12</v>
      </c>
      <c r="L4775" s="5">
        <v>0.42</v>
      </c>
      <c r="M4775" s="3">
        <v>14446.0</v>
      </c>
      <c r="N4775" s="1" t="str">
        <f t="shared" si="5"/>
        <v>Registered</v>
      </c>
      <c r="O4775" s="1" t="s">
        <v>19</v>
      </c>
      <c r="P4775" s="9" t="str">
        <f t="shared" si="6"/>
        <v>UK</v>
      </c>
      <c r="Q4775" s="8">
        <f t="shared" si="7"/>
        <v>10.5</v>
      </c>
    </row>
    <row r="4776">
      <c r="A4776" s="1">
        <v>581538.0</v>
      </c>
      <c r="B4776" s="1" t="str">
        <f t="shared" si="1"/>
        <v>581538</v>
      </c>
      <c r="C4776" s="1" t="str">
        <f t="shared" si="2"/>
        <v>Sale</v>
      </c>
      <c r="D4776" s="1">
        <v>23040.0</v>
      </c>
      <c r="E4776" s="1" t="str">
        <f>IFERROR(__xludf.DUMMYFUNCTION("IF(LEN(D4776)&gt;4, IFERROR(REGEXEXTRACT(TO_TEXT(D4776),""\d+""),""""),"""")"),"23040")</f>
        <v>23040</v>
      </c>
      <c r="F4776" s="6" t="str">
        <f t="shared" si="3"/>
        <v>Product</v>
      </c>
      <c r="G4776" s="1" t="s">
        <v>2115</v>
      </c>
      <c r="H4776" s="6" t="str">
        <f>IFERROR(__xludf.DUMMYFUNCTION("IF(REGEXMATCH(LOWER(G4776), ""^(\?)+\s*(missing)?\s*(\?)*$""), """", PROPER(SUBSTITUTE(SUBSTITUTE(G4776, ""?"", """"), ""*"", """")))"),"Paper Lantern 9 Point Snow Star")</f>
        <v>Paper Lantern 9 Point Snow Star</v>
      </c>
      <c r="I4776" s="3">
        <v>2.0</v>
      </c>
      <c r="J4776" s="7">
        <v>40886.481944444444</v>
      </c>
      <c r="K4776" s="8" t="str">
        <f t="shared" si="4"/>
        <v>2011-12</v>
      </c>
      <c r="L4776" s="5">
        <v>5.75</v>
      </c>
      <c r="M4776" s="3">
        <v>14446.0</v>
      </c>
      <c r="N4776" s="1" t="str">
        <f t="shared" si="5"/>
        <v>Registered</v>
      </c>
      <c r="O4776" s="1" t="s">
        <v>19</v>
      </c>
      <c r="P4776" s="9" t="str">
        <f t="shared" si="6"/>
        <v>UK</v>
      </c>
      <c r="Q4776" s="8">
        <f t="shared" si="7"/>
        <v>11.5</v>
      </c>
    </row>
    <row r="4777">
      <c r="A4777" s="1">
        <v>581538.0</v>
      </c>
      <c r="B4777" s="1" t="str">
        <f t="shared" si="1"/>
        <v>581538</v>
      </c>
      <c r="C4777" s="1" t="str">
        <f t="shared" si="2"/>
        <v>Sale</v>
      </c>
      <c r="D4777" s="1">
        <v>23041.0</v>
      </c>
      <c r="E4777" s="1" t="str">
        <f>IFERROR(__xludf.DUMMYFUNCTION("IF(LEN(D4777)&gt;4, IFERROR(REGEXEXTRACT(TO_TEXT(D4777),""\d+""),""""),"""")"),"23041")</f>
        <v>23041</v>
      </c>
      <c r="F4777" s="6" t="str">
        <f t="shared" si="3"/>
        <v>Product</v>
      </c>
      <c r="G4777" s="1" t="s">
        <v>2115</v>
      </c>
      <c r="H4777" s="6" t="str">
        <f>IFERROR(__xludf.DUMMYFUNCTION("IF(REGEXMATCH(LOWER(G4777), ""^(\?)+\s*(missing)?\s*(\?)*$""), """", PROPER(SUBSTITUTE(SUBSTITUTE(G4777, ""?"", """"), ""*"", """")))"),"Paper Lantern 9 Point Snow Star")</f>
        <v>Paper Lantern 9 Point Snow Star</v>
      </c>
      <c r="I4777" s="3">
        <v>3.0</v>
      </c>
      <c r="J4777" s="7">
        <v>40886.481944444444</v>
      </c>
      <c r="K4777" s="8" t="str">
        <f t="shared" si="4"/>
        <v>2011-12</v>
      </c>
      <c r="L4777" s="5">
        <v>4.15</v>
      </c>
      <c r="M4777" s="3">
        <v>14446.0</v>
      </c>
      <c r="N4777" s="1" t="str">
        <f t="shared" si="5"/>
        <v>Registered</v>
      </c>
      <c r="O4777" s="1" t="s">
        <v>19</v>
      </c>
      <c r="P4777" s="9" t="str">
        <f t="shared" si="6"/>
        <v>UK</v>
      </c>
      <c r="Q4777" s="8">
        <f t="shared" si="7"/>
        <v>12.45</v>
      </c>
    </row>
    <row r="4778">
      <c r="A4778" s="1">
        <v>581538.0</v>
      </c>
      <c r="B4778" s="1" t="str">
        <f t="shared" si="1"/>
        <v>581538</v>
      </c>
      <c r="C4778" s="1" t="str">
        <f t="shared" si="2"/>
        <v>Sale</v>
      </c>
      <c r="D4778" s="1">
        <v>21194.0</v>
      </c>
      <c r="E4778" s="1" t="str">
        <f>IFERROR(__xludf.DUMMYFUNCTION("IF(LEN(D4778)&gt;4, IFERROR(REGEXEXTRACT(TO_TEXT(D4778),""\d+""),""""),"""")"),"21194")</f>
        <v>21194</v>
      </c>
      <c r="F4778" s="6" t="str">
        <f t="shared" si="3"/>
        <v>Product</v>
      </c>
      <c r="G4778" s="1" t="s">
        <v>2128</v>
      </c>
      <c r="H4778" s="6" t="str">
        <f>IFERROR(__xludf.DUMMYFUNCTION("IF(REGEXMATCH(LOWER(G4778), ""^(\?)+\s*(missing)?\s*(\?)*$""), """", PROPER(SUBSTITUTE(SUBSTITUTE(G4778, ""?"", """"), ""*"", """")))"),"Pink Honeycomb Paper Fan")</f>
        <v>Pink Honeycomb Paper Fan</v>
      </c>
      <c r="I4778" s="3">
        <v>2.0</v>
      </c>
      <c r="J4778" s="7">
        <v>40886.481944444444</v>
      </c>
      <c r="K4778" s="8" t="str">
        <f t="shared" si="4"/>
        <v>2011-12</v>
      </c>
      <c r="L4778" s="5">
        <v>0.65</v>
      </c>
      <c r="M4778" s="3">
        <v>14446.0</v>
      </c>
      <c r="N4778" s="1" t="str">
        <f t="shared" si="5"/>
        <v>Registered</v>
      </c>
      <c r="O4778" s="1" t="s">
        <v>19</v>
      </c>
      <c r="P4778" s="9" t="str">
        <f t="shared" si="6"/>
        <v>UK</v>
      </c>
      <c r="Q4778" s="8">
        <f t="shared" si="7"/>
        <v>1.3</v>
      </c>
    </row>
    <row r="4779">
      <c r="A4779" s="1">
        <v>581538.0</v>
      </c>
      <c r="B4779" s="1" t="str">
        <f t="shared" si="1"/>
        <v>581538</v>
      </c>
      <c r="C4779" s="1" t="str">
        <f t="shared" si="2"/>
        <v>Sale</v>
      </c>
      <c r="D4779" s="1">
        <v>21208.0</v>
      </c>
      <c r="E4779" s="1" t="str">
        <f>IFERROR(__xludf.DUMMYFUNCTION("IF(LEN(D4779)&gt;4, IFERROR(REGEXEXTRACT(TO_TEXT(D4779),""\d+""),""""),"""")"),"21208")</f>
        <v>21208</v>
      </c>
      <c r="F4779" s="6" t="str">
        <f t="shared" si="3"/>
        <v>Product</v>
      </c>
      <c r="G4779" s="1" t="s">
        <v>742</v>
      </c>
      <c r="H4779" s="6" t="str">
        <f>IFERROR(__xludf.DUMMYFUNCTION("IF(REGEXMATCH(LOWER(G4779), ""^(\?)+\s*(missing)?\s*(\?)*$""), """", PROPER(SUBSTITUTE(SUBSTITUTE(G4779, ""?"", """"), ""*"", """")))"),"Pastel Colour Honeycomb Fan")</f>
        <v>Pastel Colour Honeycomb Fan</v>
      </c>
      <c r="I4779" s="3">
        <v>1.0</v>
      </c>
      <c r="J4779" s="7">
        <v>40886.481944444444</v>
      </c>
      <c r="K4779" s="8" t="str">
        <f t="shared" si="4"/>
        <v>2011-12</v>
      </c>
      <c r="L4779" s="5">
        <v>0.39</v>
      </c>
      <c r="M4779" s="3">
        <v>14446.0</v>
      </c>
      <c r="N4779" s="1" t="str">
        <f t="shared" si="5"/>
        <v>Registered</v>
      </c>
      <c r="O4779" s="1" t="s">
        <v>19</v>
      </c>
      <c r="P4779" s="9" t="str">
        <f t="shared" si="6"/>
        <v>UK</v>
      </c>
      <c r="Q4779" s="8">
        <f t="shared" si="7"/>
        <v>0.39</v>
      </c>
    </row>
    <row r="4780">
      <c r="A4780" s="1">
        <v>581538.0</v>
      </c>
      <c r="B4780" s="1" t="str">
        <f t="shared" si="1"/>
        <v>581538</v>
      </c>
      <c r="C4780" s="1" t="str">
        <f t="shared" si="2"/>
        <v>Sale</v>
      </c>
      <c r="D4780" s="1" t="s">
        <v>2129</v>
      </c>
      <c r="E4780" s="1" t="str">
        <f>IFERROR(__xludf.DUMMYFUNCTION("IF(LEN(D4780)&gt;4, IFERROR(REGEXEXTRACT(TO_TEXT(D4780),""\d+""),""""),"""")"),"79191")</f>
        <v>79191</v>
      </c>
      <c r="F4780" s="6" t="str">
        <f t="shared" si="3"/>
        <v>Product</v>
      </c>
      <c r="G4780" s="1" t="s">
        <v>2130</v>
      </c>
      <c r="H4780" s="6" t="str">
        <f>IFERROR(__xludf.DUMMYFUNCTION("IF(REGEXMATCH(LOWER(G4780), ""^(\?)+\s*(missing)?\s*(\?)*$""), """", PROPER(SUBSTITUTE(SUBSTITUTE(G4780, ""?"", """"), ""*"", """")))"),"Retro Plastic Daisy Tray")</f>
        <v>Retro Plastic Daisy Tray</v>
      </c>
      <c r="I4780" s="3">
        <v>1.0</v>
      </c>
      <c r="J4780" s="7">
        <v>40886.481944444444</v>
      </c>
      <c r="K4780" s="8" t="str">
        <f t="shared" si="4"/>
        <v>2011-12</v>
      </c>
      <c r="L4780" s="5">
        <v>0.85</v>
      </c>
      <c r="M4780" s="3">
        <v>14446.0</v>
      </c>
      <c r="N4780" s="1" t="str">
        <f t="shared" si="5"/>
        <v>Registered</v>
      </c>
      <c r="O4780" s="1" t="s">
        <v>19</v>
      </c>
      <c r="P4780" s="9" t="str">
        <f t="shared" si="6"/>
        <v>UK</v>
      </c>
      <c r="Q4780" s="8">
        <f t="shared" si="7"/>
        <v>0.85</v>
      </c>
    </row>
    <row r="4781">
      <c r="A4781" s="1">
        <v>581538.0</v>
      </c>
      <c r="B4781" s="1" t="str">
        <f t="shared" si="1"/>
        <v>581538</v>
      </c>
      <c r="C4781" s="1" t="str">
        <f t="shared" si="2"/>
        <v>Sale</v>
      </c>
      <c r="D4781" s="1" t="s">
        <v>2047</v>
      </c>
      <c r="E4781" s="1" t="str">
        <f>IFERROR(__xludf.DUMMYFUNCTION("IF(LEN(D4781)&gt;4, IFERROR(REGEXEXTRACT(TO_TEXT(D4781),""\d+""),""""),"""")"),"79191")</f>
        <v>79191</v>
      </c>
      <c r="F4781" s="6" t="str">
        <f t="shared" si="3"/>
        <v>Product</v>
      </c>
      <c r="G4781" s="1" t="s">
        <v>2044</v>
      </c>
      <c r="H4781" s="6" t="str">
        <f>IFERROR(__xludf.DUMMYFUNCTION("IF(REGEXMATCH(LOWER(G4781), ""^(\?)+\s*(missing)?\s*(\?)*$""), """", PROPER(SUBSTITUTE(SUBSTITUTE(G4781, ""?"", """"), ""*"", """")))"),"Retro Plastic Polka Tray")</f>
        <v>Retro Plastic Polka Tray</v>
      </c>
      <c r="I4781" s="3">
        <v>1.0</v>
      </c>
      <c r="J4781" s="7">
        <v>40886.481944444444</v>
      </c>
      <c r="K4781" s="8" t="str">
        <f t="shared" si="4"/>
        <v>2011-12</v>
      </c>
      <c r="L4781" s="5">
        <v>0.85</v>
      </c>
      <c r="M4781" s="3">
        <v>14446.0</v>
      </c>
      <c r="N4781" s="1" t="str">
        <f t="shared" si="5"/>
        <v>Registered</v>
      </c>
      <c r="O4781" s="1" t="s">
        <v>19</v>
      </c>
      <c r="P4781" s="9" t="str">
        <f t="shared" si="6"/>
        <v>UK</v>
      </c>
      <c r="Q4781" s="8">
        <f t="shared" si="7"/>
        <v>0.85</v>
      </c>
    </row>
    <row r="4782">
      <c r="A4782" s="1">
        <v>581538.0</v>
      </c>
      <c r="B4782" s="1" t="str">
        <f t="shared" si="1"/>
        <v>581538</v>
      </c>
      <c r="C4782" s="1" t="str">
        <f t="shared" si="2"/>
        <v>Sale</v>
      </c>
      <c r="D4782" s="1">
        <v>22909.0</v>
      </c>
      <c r="E4782" s="1" t="str">
        <f>IFERROR(__xludf.DUMMYFUNCTION("IF(LEN(D4782)&gt;4, IFERROR(REGEXEXTRACT(TO_TEXT(D4782),""\d+""),""""),"""")"),"22909")</f>
        <v>22909</v>
      </c>
      <c r="F4782" s="6" t="str">
        <f t="shared" si="3"/>
        <v>Product</v>
      </c>
      <c r="G4782" s="1" t="s">
        <v>468</v>
      </c>
      <c r="H4782" s="6" t="str">
        <f>IFERROR(__xludf.DUMMYFUNCTION("IF(REGEXMATCH(LOWER(G4782), ""^(\?)+\s*(missing)?\s*(\?)*$""), """", PROPER(SUBSTITUTE(SUBSTITUTE(G4782, ""?"", """"), ""*"", """")))"),"Set Of 20 Vintage Christmas Napkins")</f>
        <v>Set Of 20 Vintage Christmas Napkins</v>
      </c>
      <c r="I4782" s="3">
        <v>2.0</v>
      </c>
      <c r="J4782" s="7">
        <v>40886.481944444444</v>
      </c>
      <c r="K4782" s="8" t="str">
        <f t="shared" si="4"/>
        <v>2011-12</v>
      </c>
      <c r="L4782" s="5">
        <v>0.85</v>
      </c>
      <c r="M4782" s="3">
        <v>14446.0</v>
      </c>
      <c r="N4782" s="1" t="str">
        <f t="shared" si="5"/>
        <v>Registered</v>
      </c>
      <c r="O4782" s="1" t="s">
        <v>19</v>
      </c>
      <c r="P4782" s="9" t="str">
        <f t="shared" si="6"/>
        <v>UK</v>
      </c>
      <c r="Q4782" s="8">
        <f t="shared" si="7"/>
        <v>1.7</v>
      </c>
    </row>
    <row r="4783">
      <c r="A4783" s="1">
        <v>581538.0</v>
      </c>
      <c r="B4783" s="1" t="str">
        <f t="shared" si="1"/>
        <v>581538</v>
      </c>
      <c r="C4783" s="1" t="str">
        <f t="shared" si="2"/>
        <v>Sale</v>
      </c>
      <c r="D4783" s="1">
        <v>23318.0</v>
      </c>
      <c r="E4783" s="1" t="str">
        <f>IFERROR(__xludf.DUMMYFUNCTION("IF(LEN(D4783)&gt;4, IFERROR(REGEXEXTRACT(TO_TEXT(D4783),""\d+""),""""),"""")"),"23318")</f>
        <v>23318</v>
      </c>
      <c r="F4783" s="6" t="str">
        <f t="shared" si="3"/>
        <v>Product</v>
      </c>
      <c r="G4783" s="1" t="s">
        <v>2122</v>
      </c>
      <c r="H4783" s="6" t="str">
        <f>IFERROR(__xludf.DUMMYFUNCTION("IF(REGEXMATCH(LOWER(G4783), ""^(\?)+\s*(missing)?\s*(\?)*$""), """", PROPER(SUBSTITUTE(SUBSTITUTE(G4783, ""?"", """"), ""*"", """")))"),"Box Of 6 Mini Vintage Crackers")</f>
        <v>Box Of 6 Mini Vintage Crackers</v>
      </c>
      <c r="I4783" s="3">
        <v>1.0</v>
      </c>
      <c r="J4783" s="7">
        <v>40886.481944444444</v>
      </c>
      <c r="K4783" s="8" t="str">
        <f t="shared" si="4"/>
        <v>2011-12</v>
      </c>
      <c r="L4783" s="5">
        <v>2.49</v>
      </c>
      <c r="M4783" s="3">
        <v>14446.0</v>
      </c>
      <c r="N4783" s="1" t="str">
        <f t="shared" si="5"/>
        <v>Registered</v>
      </c>
      <c r="O4783" s="1" t="s">
        <v>19</v>
      </c>
      <c r="P4783" s="9" t="str">
        <f t="shared" si="6"/>
        <v>UK</v>
      </c>
      <c r="Q4783" s="8">
        <f t="shared" si="7"/>
        <v>2.49</v>
      </c>
    </row>
    <row r="4784">
      <c r="A4784" s="1">
        <v>581538.0</v>
      </c>
      <c r="B4784" s="1" t="str">
        <f t="shared" si="1"/>
        <v>581538</v>
      </c>
      <c r="C4784" s="1" t="str">
        <f t="shared" si="2"/>
        <v>Sale</v>
      </c>
      <c r="D4784" s="1">
        <v>23319.0</v>
      </c>
      <c r="E4784" s="1" t="str">
        <f>IFERROR(__xludf.DUMMYFUNCTION("IF(LEN(D4784)&gt;4, IFERROR(REGEXEXTRACT(TO_TEXT(D4784),""\d+""),""""),"""")"),"23319")</f>
        <v>23319</v>
      </c>
      <c r="F4784" s="6" t="str">
        <f t="shared" si="3"/>
        <v>Product</v>
      </c>
      <c r="G4784" s="1" t="s">
        <v>2025</v>
      </c>
      <c r="H4784" s="6" t="str">
        <f>IFERROR(__xludf.DUMMYFUNCTION("IF(REGEXMATCH(LOWER(G4784), ""^(\?)+\s*(missing)?\s*(\?)*$""), """", PROPER(SUBSTITUTE(SUBSTITUTE(G4784, ""?"", """"), ""*"", """")))"),"Box Of 6 Mini 50'S Crackers")</f>
        <v>Box Of 6 Mini 50'S Crackers</v>
      </c>
      <c r="I4784" s="3">
        <v>1.0</v>
      </c>
      <c r="J4784" s="7">
        <v>40886.481944444444</v>
      </c>
      <c r="K4784" s="8" t="str">
        <f t="shared" si="4"/>
        <v>2011-12</v>
      </c>
      <c r="L4784" s="5">
        <v>2.49</v>
      </c>
      <c r="M4784" s="3">
        <v>14446.0</v>
      </c>
      <c r="N4784" s="1" t="str">
        <f t="shared" si="5"/>
        <v>Registered</v>
      </c>
      <c r="O4784" s="1" t="s">
        <v>19</v>
      </c>
      <c r="P4784" s="9" t="str">
        <f t="shared" si="6"/>
        <v>UK</v>
      </c>
      <c r="Q4784" s="8">
        <f t="shared" si="7"/>
        <v>2.49</v>
      </c>
    </row>
    <row r="4785">
      <c r="A4785" s="1">
        <v>581538.0</v>
      </c>
      <c r="B4785" s="1" t="str">
        <f t="shared" si="1"/>
        <v>581538</v>
      </c>
      <c r="C4785" s="1" t="str">
        <f t="shared" si="2"/>
        <v>Sale</v>
      </c>
      <c r="D4785" s="1">
        <v>23537.0</v>
      </c>
      <c r="E4785" s="1" t="str">
        <f>IFERROR(__xludf.DUMMYFUNCTION("IF(LEN(D4785)&gt;4, IFERROR(REGEXEXTRACT(TO_TEXT(D4785),""\d+""),""""),"""")"),"23537")</f>
        <v>23537</v>
      </c>
      <c r="F4785" s="6" t="str">
        <f t="shared" si="3"/>
        <v>Product</v>
      </c>
      <c r="G4785" s="1" t="s">
        <v>2131</v>
      </c>
      <c r="H4785" s="6" t="str">
        <f>IFERROR(__xludf.DUMMYFUNCTION("IF(REGEXMATCH(LOWER(G4785), ""^(\?)+\s*(missing)?\s*(\?)*$""), """", PROPER(SUBSTITUTE(SUBSTITUTE(G4785, ""?"", """"), ""*"", """")))"),"Wall Art I Love London")</f>
        <v>Wall Art I Love London</v>
      </c>
      <c r="I4785" s="3">
        <v>1.0</v>
      </c>
      <c r="J4785" s="7">
        <v>40886.481944444444</v>
      </c>
      <c r="K4785" s="8" t="str">
        <f t="shared" si="4"/>
        <v>2011-12</v>
      </c>
      <c r="L4785" s="5">
        <v>4.95</v>
      </c>
      <c r="M4785" s="3">
        <v>14446.0</v>
      </c>
      <c r="N4785" s="1" t="str">
        <f t="shared" si="5"/>
        <v>Registered</v>
      </c>
      <c r="O4785" s="1" t="s">
        <v>19</v>
      </c>
      <c r="P4785" s="9" t="str">
        <f t="shared" si="6"/>
        <v>UK</v>
      </c>
      <c r="Q4785" s="8">
        <f t="shared" si="7"/>
        <v>4.95</v>
      </c>
    </row>
    <row r="4786">
      <c r="A4786" s="1">
        <v>581538.0</v>
      </c>
      <c r="B4786" s="1" t="str">
        <f t="shared" si="1"/>
        <v>581538</v>
      </c>
      <c r="C4786" s="1" t="str">
        <f t="shared" si="2"/>
        <v>Sale</v>
      </c>
      <c r="D4786" s="1">
        <v>22992.0</v>
      </c>
      <c r="E4786" s="1" t="str">
        <f>IFERROR(__xludf.DUMMYFUNCTION("IF(LEN(D4786)&gt;4, IFERROR(REGEXEXTRACT(TO_TEXT(D4786),""\d+""),""""),"""")"),"22992")</f>
        <v>22992</v>
      </c>
      <c r="F4786" s="6" t="str">
        <f t="shared" si="3"/>
        <v>Product</v>
      </c>
      <c r="G4786" s="1" t="s">
        <v>732</v>
      </c>
      <c r="H4786" s="6" t="str">
        <f>IFERROR(__xludf.DUMMYFUNCTION("IF(REGEXMATCH(LOWER(G4786), ""^(\?)+\s*(missing)?\s*(\?)*$""), """", PROPER(SUBSTITUTE(SUBSTITUTE(G4786, ""?"", """"), ""*"", """")))"),"Revolver Wooden Ruler")</f>
        <v>Revolver Wooden Ruler</v>
      </c>
      <c r="I4786" s="3">
        <v>1.0</v>
      </c>
      <c r="J4786" s="7">
        <v>40886.481944444444</v>
      </c>
      <c r="K4786" s="8" t="str">
        <f t="shared" si="4"/>
        <v>2011-12</v>
      </c>
      <c r="L4786" s="5">
        <v>1.95</v>
      </c>
      <c r="M4786" s="3">
        <v>14446.0</v>
      </c>
      <c r="N4786" s="1" t="str">
        <f t="shared" si="5"/>
        <v>Registered</v>
      </c>
      <c r="O4786" s="1" t="s">
        <v>19</v>
      </c>
      <c r="P4786" s="9" t="str">
        <f t="shared" si="6"/>
        <v>UK</v>
      </c>
      <c r="Q4786" s="8">
        <f t="shared" si="7"/>
        <v>1.95</v>
      </c>
    </row>
    <row r="4787">
      <c r="A4787" s="1">
        <v>581538.0</v>
      </c>
      <c r="B4787" s="1" t="str">
        <f t="shared" si="1"/>
        <v>581538</v>
      </c>
      <c r="C4787" s="1" t="str">
        <f t="shared" si="2"/>
        <v>Sale</v>
      </c>
      <c r="D4787" s="1">
        <v>22991.0</v>
      </c>
      <c r="E4787" s="1" t="str">
        <f>IFERROR(__xludf.DUMMYFUNCTION("IF(LEN(D4787)&gt;4, IFERROR(REGEXEXTRACT(TO_TEXT(D4787),""\d+""),""""),"""")"),"22991")</f>
        <v>22991</v>
      </c>
      <c r="F4787" s="6" t="str">
        <f t="shared" si="3"/>
        <v>Product</v>
      </c>
      <c r="G4787" s="1" t="s">
        <v>731</v>
      </c>
      <c r="H4787" s="6" t="str">
        <f>IFERROR(__xludf.DUMMYFUNCTION("IF(REGEXMATCH(LOWER(G4787), ""^(\?)+\s*(missing)?\s*(\?)*$""), """", PROPER(SUBSTITUTE(SUBSTITUTE(G4787, ""?"", """"), ""*"", """")))"),"Giraffe Wooden Ruler")</f>
        <v>Giraffe Wooden Ruler</v>
      </c>
      <c r="I4787" s="3">
        <v>1.0</v>
      </c>
      <c r="J4787" s="7">
        <v>40886.481944444444</v>
      </c>
      <c r="K4787" s="8" t="str">
        <f t="shared" si="4"/>
        <v>2011-12</v>
      </c>
      <c r="L4787" s="5">
        <v>1.95</v>
      </c>
      <c r="M4787" s="3">
        <v>14446.0</v>
      </c>
      <c r="N4787" s="1" t="str">
        <f t="shared" si="5"/>
        <v>Registered</v>
      </c>
      <c r="O4787" s="1" t="s">
        <v>19</v>
      </c>
      <c r="P4787" s="9" t="str">
        <f t="shared" si="6"/>
        <v>UK</v>
      </c>
      <c r="Q4787" s="8">
        <f t="shared" si="7"/>
        <v>1.95</v>
      </c>
    </row>
    <row r="4788">
      <c r="A4788" s="1">
        <v>581538.0</v>
      </c>
      <c r="B4788" s="1" t="str">
        <f t="shared" si="1"/>
        <v>581538</v>
      </c>
      <c r="C4788" s="1" t="str">
        <f t="shared" si="2"/>
        <v>Sale</v>
      </c>
      <c r="D4788" s="1">
        <v>23190.0</v>
      </c>
      <c r="E4788" s="1" t="str">
        <f>IFERROR(__xludf.DUMMYFUNCTION("IF(LEN(D4788)&gt;4, IFERROR(REGEXEXTRACT(TO_TEXT(D4788),""\d+""),""""),"""")"),"23190")</f>
        <v>23190</v>
      </c>
      <c r="F4788" s="6" t="str">
        <f t="shared" si="3"/>
        <v>Product</v>
      </c>
      <c r="G4788" s="1" t="s">
        <v>2132</v>
      </c>
      <c r="H4788" s="6" t="str">
        <f>IFERROR(__xludf.DUMMYFUNCTION("IF(REGEXMATCH(LOWER(G4788), ""^(\?)+\s*(missing)?\s*(\?)*$""), """", PROPER(SUBSTITUTE(SUBSTITUTE(G4788, ""?"", """"), ""*"", """")))"),"Bundle Of 3 School Exercise Books")</f>
        <v>Bundle Of 3 School Exercise Books</v>
      </c>
      <c r="I4788" s="3">
        <v>1.0</v>
      </c>
      <c r="J4788" s="7">
        <v>40886.481944444444</v>
      </c>
      <c r="K4788" s="8" t="str">
        <f t="shared" si="4"/>
        <v>2011-12</v>
      </c>
      <c r="L4788" s="5">
        <v>1.65</v>
      </c>
      <c r="M4788" s="3">
        <v>14446.0</v>
      </c>
      <c r="N4788" s="1" t="str">
        <f t="shared" si="5"/>
        <v>Registered</v>
      </c>
      <c r="O4788" s="1" t="s">
        <v>19</v>
      </c>
      <c r="P4788" s="9" t="str">
        <f t="shared" si="6"/>
        <v>UK</v>
      </c>
      <c r="Q4788" s="8">
        <f t="shared" si="7"/>
        <v>1.65</v>
      </c>
    </row>
    <row r="4789">
      <c r="A4789" s="1">
        <v>581538.0</v>
      </c>
      <c r="B4789" s="1" t="str">
        <f t="shared" si="1"/>
        <v>581538</v>
      </c>
      <c r="C4789" s="1" t="str">
        <f t="shared" si="2"/>
        <v>Sale</v>
      </c>
      <c r="D4789" s="1">
        <v>20727.0</v>
      </c>
      <c r="E4789" s="1" t="str">
        <f>IFERROR(__xludf.DUMMYFUNCTION("IF(LEN(D4789)&gt;4, IFERROR(REGEXEXTRACT(TO_TEXT(D4789),""\d+""),""""),"""")"),"20727")</f>
        <v>20727</v>
      </c>
      <c r="F4789" s="6" t="str">
        <f t="shared" si="3"/>
        <v>Product</v>
      </c>
      <c r="G4789" s="1" t="s">
        <v>357</v>
      </c>
      <c r="H4789" s="6" t="str">
        <f>IFERROR(__xludf.DUMMYFUNCTION("IF(REGEXMATCH(LOWER(G4789), ""^(\?)+\s*(missing)?\s*(\?)*$""), """", PROPER(SUBSTITUTE(SUBSTITUTE(G4789, ""?"", """"), ""*"", """")))"),"Lunch Bag Black Skull.")</f>
        <v>Lunch Bag Black Skull.</v>
      </c>
      <c r="I4789" s="3">
        <v>1.0</v>
      </c>
      <c r="J4789" s="7">
        <v>40886.481944444444</v>
      </c>
      <c r="K4789" s="8" t="str">
        <f t="shared" si="4"/>
        <v>2011-12</v>
      </c>
      <c r="L4789" s="5">
        <v>1.65</v>
      </c>
      <c r="M4789" s="3">
        <v>14446.0</v>
      </c>
      <c r="N4789" s="1" t="str">
        <f t="shared" si="5"/>
        <v>Registered</v>
      </c>
      <c r="O4789" s="1" t="s">
        <v>19</v>
      </c>
      <c r="P4789" s="9" t="str">
        <f t="shared" si="6"/>
        <v>UK</v>
      </c>
      <c r="Q4789" s="8">
        <f t="shared" si="7"/>
        <v>1.65</v>
      </c>
    </row>
    <row r="4790">
      <c r="A4790" s="1">
        <v>581538.0</v>
      </c>
      <c r="B4790" s="1" t="str">
        <f t="shared" si="1"/>
        <v>581538</v>
      </c>
      <c r="C4790" s="1" t="str">
        <f t="shared" si="2"/>
        <v>Sale</v>
      </c>
      <c r="D4790" s="1">
        <v>20725.0</v>
      </c>
      <c r="E4790" s="1" t="str">
        <f>IFERROR(__xludf.DUMMYFUNCTION("IF(LEN(D4790)&gt;4, IFERROR(REGEXEXTRACT(TO_TEXT(D4790),""\d+""),""""),"""")"),"20725")</f>
        <v>20725</v>
      </c>
      <c r="F4790" s="6" t="str">
        <f t="shared" si="3"/>
        <v>Product</v>
      </c>
      <c r="G4790" s="1" t="s">
        <v>94</v>
      </c>
      <c r="H4790" s="6" t="str">
        <f>IFERROR(__xludf.DUMMYFUNCTION("IF(REGEXMATCH(LOWER(G4790), ""^(\?)+\s*(missing)?\s*(\?)*$""), """", PROPER(SUBSTITUTE(SUBSTITUTE(G4790, ""?"", """"), ""*"", """")))"),"Lunch Bag Red Retrospot")</f>
        <v>Lunch Bag Red Retrospot</v>
      </c>
      <c r="I4790" s="3">
        <v>1.0</v>
      </c>
      <c r="J4790" s="7">
        <v>40886.481944444444</v>
      </c>
      <c r="K4790" s="8" t="str">
        <f t="shared" si="4"/>
        <v>2011-12</v>
      </c>
      <c r="L4790" s="5">
        <v>1.65</v>
      </c>
      <c r="M4790" s="3">
        <v>14446.0</v>
      </c>
      <c r="N4790" s="1" t="str">
        <f t="shared" si="5"/>
        <v>Registered</v>
      </c>
      <c r="O4790" s="1" t="s">
        <v>19</v>
      </c>
      <c r="P4790" s="9" t="str">
        <f t="shared" si="6"/>
        <v>UK</v>
      </c>
      <c r="Q4790" s="8">
        <f t="shared" si="7"/>
        <v>1.65</v>
      </c>
    </row>
    <row r="4791">
      <c r="A4791" s="1">
        <v>581538.0</v>
      </c>
      <c r="B4791" s="1" t="str">
        <f t="shared" si="1"/>
        <v>581538</v>
      </c>
      <c r="C4791" s="1" t="str">
        <f t="shared" si="2"/>
        <v>Sale</v>
      </c>
      <c r="D4791" s="1">
        <v>21194.0</v>
      </c>
      <c r="E4791" s="1" t="str">
        <f>IFERROR(__xludf.DUMMYFUNCTION("IF(LEN(D4791)&gt;4, IFERROR(REGEXEXTRACT(TO_TEXT(D4791),""\d+""),""""),"""")"),"21194")</f>
        <v>21194</v>
      </c>
      <c r="F4791" s="6" t="str">
        <f t="shared" si="3"/>
        <v>Product</v>
      </c>
      <c r="G4791" s="1" t="s">
        <v>2128</v>
      </c>
      <c r="H4791" s="6" t="str">
        <f>IFERROR(__xludf.DUMMYFUNCTION("IF(REGEXMATCH(LOWER(G4791), ""^(\?)+\s*(missing)?\s*(\?)*$""), """", PROPER(SUBSTITUTE(SUBSTITUTE(G4791, ""?"", """"), ""*"", """")))"),"Pink Honeycomb Paper Fan")</f>
        <v>Pink Honeycomb Paper Fan</v>
      </c>
      <c r="I4791" s="3">
        <v>1.0</v>
      </c>
      <c r="J4791" s="7">
        <v>40886.481944444444</v>
      </c>
      <c r="K4791" s="8" t="str">
        <f t="shared" si="4"/>
        <v>2011-12</v>
      </c>
      <c r="L4791" s="5">
        <v>0.65</v>
      </c>
      <c r="M4791" s="3">
        <v>14446.0</v>
      </c>
      <c r="N4791" s="1" t="str">
        <f t="shared" si="5"/>
        <v>Registered</v>
      </c>
      <c r="O4791" s="1" t="s">
        <v>19</v>
      </c>
      <c r="P4791" s="9" t="str">
        <f t="shared" si="6"/>
        <v>UK</v>
      </c>
      <c r="Q4791" s="8">
        <f t="shared" si="7"/>
        <v>0.65</v>
      </c>
    </row>
    <row r="4792">
      <c r="A4792" s="1">
        <v>581538.0</v>
      </c>
      <c r="B4792" s="1" t="str">
        <f t="shared" si="1"/>
        <v>581538</v>
      </c>
      <c r="C4792" s="1" t="str">
        <f t="shared" si="2"/>
        <v>Sale</v>
      </c>
      <c r="D4792" s="1" t="s">
        <v>259</v>
      </c>
      <c r="E4792" s="1" t="str">
        <f>IFERROR(__xludf.DUMMYFUNCTION("IF(LEN(D4792)&gt;4, IFERROR(REGEXEXTRACT(TO_TEXT(D4792),""\d+""),""""),"""")"),"35004")</f>
        <v>35004</v>
      </c>
      <c r="F4792" s="6" t="str">
        <f t="shared" si="3"/>
        <v>Product</v>
      </c>
      <c r="G4792" s="1" t="s">
        <v>260</v>
      </c>
      <c r="H4792" s="6" t="str">
        <f>IFERROR(__xludf.DUMMYFUNCTION("IF(REGEXMATCH(LOWER(G4792), ""^(\?)+\s*(missing)?\s*(\?)*$""), """", PROPER(SUBSTITUTE(SUBSTITUTE(G4792, ""?"", """"), ""*"", """")))"),"Set Of 3 Black Flying Ducks")</f>
        <v>Set Of 3 Black Flying Ducks</v>
      </c>
      <c r="I4792" s="3">
        <v>1.0</v>
      </c>
      <c r="J4792" s="7">
        <v>40886.481944444444</v>
      </c>
      <c r="K4792" s="8" t="str">
        <f t="shared" si="4"/>
        <v>2011-12</v>
      </c>
      <c r="L4792" s="5">
        <v>5.45</v>
      </c>
      <c r="M4792" s="3">
        <v>14446.0</v>
      </c>
      <c r="N4792" s="1" t="str">
        <f t="shared" si="5"/>
        <v>Registered</v>
      </c>
      <c r="O4792" s="1" t="s">
        <v>19</v>
      </c>
      <c r="P4792" s="9" t="str">
        <f t="shared" si="6"/>
        <v>UK</v>
      </c>
      <c r="Q4792" s="8">
        <f t="shared" si="7"/>
        <v>5.45</v>
      </c>
    </row>
    <row r="4793">
      <c r="A4793" s="1">
        <v>581538.0</v>
      </c>
      <c r="B4793" s="1" t="str">
        <f t="shared" si="1"/>
        <v>581538</v>
      </c>
      <c r="C4793" s="1" t="str">
        <f t="shared" si="2"/>
        <v>Sale</v>
      </c>
      <c r="D4793" s="1">
        <v>22694.0</v>
      </c>
      <c r="E4793" s="1" t="str">
        <f>IFERROR(__xludf.DUMMYFUNCTION("IF(LEN(D4793)&gt;4, IFERROR(REGEXEXTRACT(TO_TEXT(D4793),""\d+""),""""),"""")"),"22694")</f>
        <v>22694</v>
      </c>
      <c r="F4793" s="6" t="str">
        <f t="shared" si="3"/>
        <v>Product</v>
      </c>
      <c r="G4793" s="1" t="s">
        <v>476</v>
      </c>
      <c r="H4793" s="6" t="str">
        <f>IFERROR(__xludf.DUMMYFUNCTION("IF(REGEXMATCH(LOWER(G4793), ""^(\?)+\s*(missing)?\s*(\?)*$""), """", PROPER(SUBSTITUTE(SUBSTITUTE(G4793, ""?"", """"), ""*"", """")))"),"Wicker Star")</f>
        <v>Wicker Star</v>
      </c>
      <c r="I4793" s="3">
        <v>1.0</v>
      </c>
      <c r="J4793" s="7">
        <v>40886.481944444444</v>
      </c>
      <c r="K4793" s="8" t="str">
        <f t="shared" si="4"/>
        <v>2011-12</v>
      </c>
      <c r="L4793" s="5">
        <v>2.1</v>
      </c>
      <c r="M4793" s="3">
        <v>14446.0</v>
      </c>
      <c r="N4793" s="1" t="str">
        <f t="shared" si="5"/>
        <v>Registered</v>
      </c>
      <c r="O4793" s="1" t="s">
        <v>19</v>
      </c>
      <c r="P4793" s="9" t="str">
        <f t="shared" si="6"/>
        <v>UK</v>
      </c>
      <c r="Q4793" s="8">
        <f t="shared" si="7"/>
        <v>2.1</v>
      </c>
    </row>
    <row r="4794">
      <c r="A4794" s="1">
        <v>581538.0</v>
      </c>
      <c r="B4794" s="1" t="str">
        <f t="shared" si="1"/>
        <v>581538</v>
      </c>
      <c r="C4794" s="1" t="str">
        <f t="shared" si="2"/>
        <v>Sale</v>
      </c>
      <c r="D4794" s="1">
        <v>21355.0</v>
      </c>
      <c r="E4794" s="1" t="str">
        <f>IFERROR(__xludf.DUMMYFUNCTION("IF(LEN(D4794)&gt;4, IFERROR(REGEXEXTRACT(TO_TEXT(D4794),""\d+""),""""),"""")"),"21355")</f>
        <v>21355</v>
      </c>
      <c r="F4794" s="6" t="str">
        <f t="shared" si="3"/>
        <v>Product</v>
      </c>
      <c r="G4794" s="1" t="s">
        <v>2133</v>
      </c>
      <c r="H4794" s="6" t="str">
        <f>IFERROR(__xludf.DUMMYFUNCTION("IF(REGEXMATCH(LOWER(G4794), ""^(\?)+\s*(missing)?\s*(\?)*$""), """", PROPER(SUBSTITUTE(SUBSTITUTE(G4794, ""?"", """"), ""*"", """")))"),"Toast Its - I Love You")</f>
        <v>Toast Its - I Love You</v>
      </c>
      <c r="I4794" s="3">
        <v>1.0</v>
      </c>
      <c r="J4794" s="7">
        <v>40886.481944444444</v>
      </c>
      <c r="K4794" s="8" t="str">
        <f t="shared" si="4"/>
        <v>2011-12</v>
      </c>
      <c r="L4794" s="5">
        <v>1.25</v>
      </c>
      <c r="M4794" s="3">
        <v>14446.0</v>
      </c>
      <c r="N4794" s="1" t="str">
        <f t="shared" si="5"/>
        <v>Registered</v>
      </c>
      <c r="O4794" s="1" t="s">
        <v>19</v>
      </c>
      <c r="P4794" s="9" t="str">
        <f t="shared" si="6"/>
        <v>UK</v>
      </c>
      <c r="Q4794" s="8">
        <f t="shared" si="7"/>
        <v>1.25</v>
      </c>
    </row>
    <row r="4795">
      <c r="A4795" s="1">
        <v>581538.0</v>
      </c>
      <c r="B4795" s="1" t="str">
        <f t="shared" si="1"/>
        <v>581538</v>
      </c>
      <c r="C4795" s="1" t="str">
        <f t="shared" si="2"/>
        <v>Sale</v>
      </c>
      <c r="D4795" s="1">
        <v>23343.0</v>
      </c>
      <c r="E4795" s="1" t="str">
        <f>IFERROR(__xludf.DUMMYFUNCTION("IF(LEN(D4795)&gt;4, IFERROR(REGEXEXTRACT(TO_TEXT(D4795),""\d+""),""""),"""")"),"23343")</f>
        <v>23343</v>
      </c>
      <c r="F4795" s="6" t="str">
        <f t="shared" si="3"/>
        <v>Product</v>
      </c>
      <c r="G4795" s="1" t="s">
        <v>2033</v>
      </c>
      <c r="H4795" s="6" t="str">
        <f>IFERROR(__xludf.DUMMYFUNCTION("IF(REGEXMATCH(LOWER(G4795), ""^(\?)+\s*(missing)?\s*(\?)*$""), """", PROPER(SUBSTITUTE(SUBSTITUTE(G4795, ""?"", """"), ""*"", """")))"),"Jumbo Bag Vintage Christmas")</f>
        <v>Jumbo Bag Vintage Christmas</v>
      </c>
      <c r="I4795" s="3">
        <v>1.0</v>
      </c>
      <c r="J4795" s="7">
        <v>40886.481944444444</v>
      </c>
      <c r="K4795" s="8" t="str">
        <f t="shared" si="4"/>
        <v>2011-12</v>
      </c>
      <c r="L4795" s="5">
        <v>2.08</v>
      </c>
      <c r="M4795" s="3">
        <v>14446.0</v>
      </c>
      <c r="N4795" s="1" t="str">
        <f t="shared" si="5"/>
        <v>Registered</v>
      </c>
      <c r="O4795" s="1" t="s">
        <v>19</v>
      </c>
      <c r="P4795" s="9" t="str">
        <f t="shared" si="6"/>
        <v>UK</v>
      </c>
      <c r="Q4795" s="8">
        <f t="shared" si="7"/>
        <v>2.08</v>
      </c>
    </row>
    <row r="4796">
      <c r="A4796" s="1">
        <v>581566.0</v>
      </c>
      <c r="B4796" s="1" t="str">
        <f t="shared" si="1"/>
        <v>581566</v>
      </c>
      <c r="C4796" s="1" t="str">
        <f t="shared" si="2"/>
        <v>Sale</v>
      </c>
      <c r="D4796" s="1">
        <v>23404.0</v>
      </c>
      <c r="E4796" s="1" t="str">
        <f>IFERROR(__xludf.DUMMYFUNCTION("IF(LEN(D4796)&gt;4, IFERROR(REGEXEXTRACT(TO_TEXT(D4796),""\d+""),""""),"""")"),"23404")</f>
        <v>23404</v>
      </c>
      <c r="F4796" s="6" t="str">
        <f t="shared" si="3"/>
        <v>Product</v>
      </c>
      <c r="G4796" s="1" t="s">
        <v>1455</v>
      </c>
      <c r="H4796" s="6" t="str">
        <f>IFERROR(__xludf.DUMMYFUNCTION("IF(REGEXMATCH(LOWER(G4796), ""^(\?)+\s*(missing)?\s*(\?)*$""), """", PROPER(SUBSTITUTE(SUBSTITUTE(G4796, ""?"", """"), ""*"", """")))"),"Home Sweet Home Blackboard")</f>
        <v>Home Sweet Home Blackboard</v>
      </c>
      <c r="I4796" s="3">
        <v>144.0</v>
      </c>
      <c r="J4796" s="7">
        <v>40886.493055555555</v>
      </c>
      <c r="K4796" s="8" t="str">
        <f t="shared" si="4"/>
        <v>2011-12</v>
      </c>
      <c r="L4796" s="5">
        <v>3.26</v>
      </c>
      <c r="M4796" s="3">
        <v>18102.0</v>
      </c>
      <c r="N4796" s="1" t="str">
        <f t="shared" si="5"/>
        <v>Registered</v>
      </c>
      <c r="O4796" s="1" t="s">
        <v>19</v>
      </c>
      <c r="P4796" s="9" t="str">
        <f t="shared" si="6"/>
        <v>UK</v>
      </c>
      <c r="Q4796" s="8">
        <f t="shared" si="7"/>
        <v>469.44</v>
      </c>
    </row>
    <row r="4797">
      <c r="A4797" s="1">
        <v>581567.0</v>
      </c>
      <c r="B4797" s="1" t="str">
        <f t="shared" si="1"/>
        <v>581567</v>
      </c>
      <c r="C4797" s="1" t="str">
        <f t="shared" si="2"/>
        <v>Sale</v>
      </c>
      <c r="D4797" s="1">
        <v>21417.0</v>
      </c>
      <c r="E4797" s="1" t="str">
        <f>IFERROR(__xludf.DUMMYFUNCTION("IF(LEN(D4797)&gt;4, IFERROR(REGEXEXTRACT(TO_TEXT(D4797),""\d+""),""""),"""")"),"21417")</f>
        <v>21417</v>
      </c>
      <c r="F4797" s="6" t="str">
        <f t="shared" si="3"/>
        <v>Product</v>
      </c>
      <c r="G4797" s="1" t="s">
        <v>1352</v>
      </c>
      <c r="H4797" s="6" t="str">
        <f>IFERROR(__xludf.DUMMYFUNCTION("IF(REGEXMATCH(LOWER(G4797), ""^(\?)+\s*(missing)?\s*(\?)*$""), """", PROPER(SUBSTITUTE(SUBSTITUTE(G4797, ""?"", """"), ""*"", """")))"),"Cockle Shell Dish")</f>
        <v>Cockle Shell Dish</v>
      </c>
      <c r="I4797" s="3">
        <v>84.0</v>
      </c>
      <c r="J4797" s="7">
        <v>40886.49722222222</v>
      </c>
      <c r="K4797" s="8" t="str">
        <f t="shared" si="4"/>
        <v>2011-12</v>
      </c>
      <c r="L4797" s="5">
        <v>0.79</v>
      </c>
      <c r="M4797" s="3">
        <v>16626.0</v>
      </c>
      <c r="N4797" s="1" t="str">
        <f t="shared" si="5"/>
        <v>Registered</v>
      </c>
      <c r="O4797" s="1" t="s">
        <v>19</v>
      </c>
      <c r="P4797" s="9" t="str">
        <f t="shared" si="6"/>
        <v>UK</v>
      </c>
      <c r="Q4797" s="8">
        <f t="shared" si="7"/>
        <v>66.36</v>
      </c>
    </row>
    <row r="4798">
      <c r="A4798" s="1">
        <v>581567.0</v>
      </c>
      <c r="B4798" s="1" t="str">
        <f t="shared" si="1"/>
        <v>581567</v>
      </c>
      <c r="C4798" s="1" t="str">
        <f t="shared" si="2"/>
        <v>Sale</v>
      </c>
      <c r="D4798" s="1">
        <v>22464.0</v>
      </c>
      <c r="E4798" s="1" t="str">
        <f>IFERROR(__xludf.DUMMYFUNCTION("IF(LEN(D4798)&gt;4, IFERROR(REGEXEXTRACT(TO_TEXT(D4798),""\d+""),""""),"""")"),"22464")</f>
        <v>22464</v>
      </c>
      <c r="F4798" s="6" t="str">
        <f t="shared" si="3"/>
        <v>Product</v>
      </c>
      <c r="G4798" s="1" t="s">
        <v>164</v>
      </c>
      <c r="H4798" s="6" t="str">
        <f>IFERROR(__xludf.DUMMYFUNCTION("IF(REGEXMATCH(LOWER(G4798), ""^(\?)+\s*(missing)?\s*(\?)*$""), """", PROPER(SUBSTITUTE(SUBSTITUTE(G4798, ""?"", """"), ""*"", """")))"),"Hanging Metal Heart Lantern")</f>
        <v>Hanging Metal Heart Lantern</v>
      </c>
      <c r="I4798" s="3">
        <v>24.0</v>
      </c>
      <c r="J4798" s="7">
        <v>40886.49722222222</v>
      </c>
      <c r="K4798" s="8" t="str">
        <f t="shared" si="4"/>
        <v>2011-12</v>
      </c>
      <c r="L4798" s="5">
        <v>0.79</v>
      </c>
      <c r="M4798" s="3">
        <v>16626.0</v>
      </c>
      <c r="N4798" s="1" t="str">
        <f t="shared" si="5"/>
        <v>Registered</v>
      </c>
      <c r="O4798" s="1" t="s">
        <v>19</v>
      </c>
      <c r="P4798" s="9" t="str">
        <f t="shared" si="6"/>
        <v>UK</v>
      </c>
      <c r="Q4798" s="8">
        <f t="shared" si="7"/>
        <v>18.96</v>
      </c>
    </row>
    <row r="4799">
      <c r="A4799" s="1">
        <v>581567.0</v>
      </c>
      <c r="B4799" s="1" t="str">
        <f t="shared" si="1"/>
        <v>581567</v>
      </c>
      <c r="C4799" s="1" t="str">
        <f t="shared" si="2"/>
        <v>Sale</v>
      </c>
      <c r="D4799" s="1">
        <v>22465.0</v>
      </c>
      <c r="E4799" s="1" t="str">
        <f>IFERROR(__xludf.DUMMYFUNCTION("IF(LEN(D4799)&gt;4, IFERROR(REGEXEXTRACT(TO_TEXT(D4799),""\d+""),""""),"""")"),"22465")</f>
        <v>22465</v>
      </c>
      <c r="F4799" s="6" t="str">
        <f t="shared" si="3"/>
        <v>Product</v>
      </c>
      <c r="G4799" s="1" t="s">
        <v>372</v>
      </c>
      <c r="H4799" s="6" t="str">
        <f>IFERROR(__xludf.DUMMYFUNCTION("IF(REGEXMATCH(LOWER(G4799), ""^(\?)+\s*(missing)?\s*(\?)*$""), """", PROPER(SUBSTITUTE(SUBSTITUTE(G4799, ""?"", """"), ""*"", """")))"),"Hanging Metal Star Lantern")</f>
        <v>Hanging Metal Star Lantern</v>
      </c>
      <c r="I4799" s="3">
        <v>24.0</v>
      </c>
      <c r="J4799" s="7">
        <v>40886.49722222222</v>
      </c>
      <c r="K4799" s="8" t="str">
        <f t="shared" si="4"/>
        <v>2011-12</v>
      </c>
      <c r="L4799" s="5">
        <v>0.79</v>
      </c>
      <c r="M4799" s="3">
        <v>16626.0</v>
      </c>
      <c r="N4799" s="1" t="str">
        <f t="shared" si="5"/>
        <v>Registered</v>
      </c>
      <c r="O4799" s="1" t="s">
        <v>19</v>
      </c>
      <c r="P4799" s="9" t="str">
        <f t="shared" si="6"/>
        <v>UK</v>
      </c>
      <c r="Q4799" s="8">
        <f t="shared" si="7"/>
        <v>18.96</v>
      </c>
    </row>
    <row r="4800">
      <c r="A4800" s="1">
        <v>581567.0</v>
      </c>
      <c r="B4800" s="1" t="str">
        <f t="shared" si="1"/>
        <v>581567</v>
      </c>
      <c r="C4800" s="1" t="str">
        <f t="shared" si="2"/>
        <v>Sale</v>
      </c>
      <c r="D4800" s="1" t="s">
        <v>129</v>
      </c>
      <c r="E4800" s="1" t="str">
        <f>IFERROR(__xludf.DUMMYFUNCTION("IF(LEN(D4800)&gt;4, IFERROR(REGEXEXTRACT(TO_TEXT(D4800),""\d+""),""""),"""")"),"84971")</f>
        <v>84971</v>
      </c>
      <c r="F4800" s="6" t="str">
        <f t="shared" si="3"/>
        <v>Product</v>
      </c>
      <c r="G4800" s="1" t="s">
        <v>130</v>
      </c>
      <c r="H4800" s="6" t="str">
        <f>IFERROR(__xludf.DUMMYFUNCTION("IF(REGEXMATCH(LOWER(G4800), ""^(\?)+\s*(missing)?\s*(\?)*$""), """", PROPER(SUBSTITUTE(SUBSTITUTE(G4800, ""?"", """"), ""*"", """")))"),"Small Heart Flowers Hook")</f>
        <v>Small Heart Flowers Hook</v>
      </c>
      <c r="I4800" s="3">
        <v>48.0</v>
      </c>
      <c r="J4800" s="7">
        <v>40886.49722222222</v>
      </c>
      <c r="K4800" s="8" t="str">
        <f t="shared" si="4"/>
        <v>2011-12</v>
      </c>
      <c r="L4800" s="5">
        <v>0.39</v>
      </c>
      <c r="M4800" s="3">
        <v>16626.0</v>
      </c>
      <c r="N4800" s="1" t="str">
        <f t="shared" si="5"/>
        <v>Registered</v>
      </c>
      <c r="O4800" s="1" t="s">
        <v>19</v>
      </c>
      <c r="P4800" s="9" t="str">
        <f t="shared" si="6"/>
        <v>UK</v>
      </c>
      <c r="Q4800" s="8">
        <f t="shared" si="7"/>
        <v>18.72</v>
      </c>
    </row>
    <row r="4801">
      <c r="A4801" s="1">
        <v>581567.0</v>
      </c>
      <c r="B4801" s="1" t="str">
        <f t="shared" si="1"/>
        <v>581567</v>
      </c>
      <c r="C4801" s="1" t="str">
        <f t="shared" si="2"/>
        <v>Sale</v>
      </c>
      <c r="D4801" s="1">
        <v>22624.0</v>
      </c>
      <c r="E4801" s="1" t="str">
        <f>IFERROR(__xludf.DUMMYFUNCTION("IF(LEN(D4801)&gt;4, IFERROR(REGEXEXTRACT(TO_TEXT(D4801),""\d+""),""""),"""")"),"22624")</f>
        <v>22624</v>
      </c>
      <c r="F4801" s="6" t="str">
        <f t="shared" si="3"/>
        <v>Product</v>
      </c>
      <c r="G4801" s="1" t="s">
        <v>771</v>
      </c>
      <c r="H4801" s="6" t="str">
        <f>IFERROR(__xludf.DUMMYFUNCTION("IF(REGEXMATCH(LOWER(G4801), ""^(\?)+\s*(missing)?\s*(\?)*$""), """", PROPER(SUBSTITUTE(SUBSTITUTE(G4801, ""?"", """"), ""*"", """")))"),"Ivory Kitchen Scales")</f>
        <v>Ivory Kitchen Scales</v>
      </c>
      <c r="I4801" s="3">
        <v>2.0</v>
      </c>
      <c r="J4801" s="7">
        <v>40886.49722222222</v>
      </c>
      <c r="K4801" s="8" t="str">
        <f t="shared" si="4"/>
        <v>2011-12</v>
      </c>
      <c r="L4801" s="5">
        <v>8.5</v>
      </c>
      <c r="M4801" s="3">
        <v>16626.0</v>
      </c>
      <c r="N4801" s="1" t="str">
        <f t="shared" si="5"/>
        <v>Registered</v>
      </c>
      <c r="O4801" s="1" t="s">
        <v>19</v>
      </c>
      <c r="P4801" s="9" t="str">
        <f t="shared" si="6"/>
        <v>UK</v>
      </c>
      <c r="Q4801" s="8">
        <f t="shared" si="7"/>
        <v>17</v>
      </c>
    </row>
    <row r="4802">
      <c r="A4802" s="1">
        <v>581567.0</v>
      </c>
      <c r="B4802" s="1" t="str">
        <f t="shared" si="1"/>
        <v>581567</v>
      </c>
      <c r="C4802" s="1" t="str">
        <f t="shared" si="2"/>
        <v>Sale</v>
      </c>
      <c r="D4802" s="1">
        <v>22627.0</v>
      </c>
      <c r="E4802" s="1" t="str">
        <f>IFERROR(__xludf.DUMMYFUNCTION("IF(LEN(D4802)&gt;4, IFERROR(REGEXEXTRACT(TO_TEXT(D4802),""\d+""),""""),"""")"),"22627")</f>
        <v>22627</v>
      </c>
      <c r="F4802" s="6" t="str">
        <f t="shared" si="3"/>
        <v>Product</v>
      </c>
      <c r="G4802" s="1" t="s">
        <v>1429</v>
      </c>
      <c r="H4802" s="6" t="str">
        <f>IFERROR(__xludf.DUMMYFUNCTION("IF(REGEXMATCH(LOWER(G4802), ""^(\?)+\s*(missing)?\s*(\?)*$""), """", PROPER(SUBSTITUTE(SUBSTITUTE(G4802, ""?"", """"), ""*"", """")))"),"Mint Kitchen Scales")</f>
        <v>Mint Kitchen Scales</v>
      </c>
      <c r="I4802" s="3">
        <v>2.0</v>
      </c>
      <c r="J4802" s="7">
        <v>40886.49722222222</v>
      </c>
      <c r="K4802" s="8" t="str">
        <f t="shared" si="4"/>
        <v>2011-12</v>
      </c>
      <c r="L4802" s="5">
        <v>8.5</v>
      </c>
      <c r="M4802" s="3">
        <v>16626.0</v>
      </c>
      <c r="N4802" s="1" t="str">
        <f t="shared" si="5"/>
        <v>Registered</v>
      </c>
      <c r="O4802" s="1" t="s">
        <v>19</v>
      </c>
      <c r="P4802" s="9" t="str">
        <f t="shared" si="6"/>
        <v>UK</v>
      </c>
      <c r="Q4802" s="8">
        <f t="shared" si="7"/>
        <v>17</v>
      </c>
    </row>
    <row r="4803">
      <c r="A4803" s="1">
        <v>581567.0</v>
      </c>
      <c r="B4803" s="1" t="str">
        <f t="shared" si="1"/>
        <v>581567</v>
      </c>
      <c r="C4803" s="1" t="str">
        <f t="shared" si="2"/>
        <v>Sale</v>
      </c>
      <c r="D4803" s="1">
        <v>22625.0</v>
      </c>
      <c r="E4803" s="1" t="str">
        <f>IFERROR(__xludf.DUMMYFUNCTION("IF(LEN(D4803)&gt;4, IFERROR(REGEXEXTRACT(TO_TEXT(D4803),""\d+""),""""),"""")"),"22625")</f>
        <v>22625</v>
      </c>
      <c r="F4803" s="6" t="str">
        <f t="shared" si="3"/>
        <v>Product</v>
      </c>
      <c r="G4803" s="1" t="s">
        <v>764</v>
      </c>
      <c r="H4803" s="6" t="str">
        <f>IFERROR(__xludf.DUMMYFUNCTION("IF(REGEXMATCH(LOWER(G4803), ""^(\?)+\s*(missing)?\s*(\?)*$""), """", PROPER(SUBSTITUTE(SUBSTITUTE(G4803, ""?"", """"), ""*"", """")))"),"Red Kitchen Scales")</f>
        <v>Red Kitchen Scales</v>
      </c>
      <c r="I4803" s="3">
        <v>2.0</v>
      </c>
      <c r="J4803" s="7">
        <v>40886.49722222222</v>
      </c>
      <c r="K4803" s="8" t="str">
        <f t="shared" si="4"/>
        <v>2011-12</v>
      </c>
      <c r="L4803" s="5">
        <v>8.5</v>
      </c>
      <c r="M4803" s="3">
        <v>16626.0</v>
      </c>
      <c r="N4803" s="1" t="str">
        <f t="shared" si="5"/>
        <v>Registered</v>
      </c>
      <c r="O4803" s="1" t="s">
        <v>19</v>
      </c>
      <c r="P4803" s="9" t="str">
        <f t="shared" si="6"/>
        <v>UK</v>
      </c>
      <c r="Q4803" s="8">
        <f t="shared" si="7"/>
        <v>17</v>
      </c>
    </row>
    <row r="4804">
      <c r="A4804" s="1">
        <v>581567.0</v>
      </c>
      <c r="B4804" s="1" t="str">
        <f t="shared" si="1"/>
        <v>581567</v>
      </c>
      <c r="C4804" s="1" t="str">
        <f t="shared" si="2"/>
        <v>Sale</v>
      </c>
      <c r="D4804" s="1">
        <v>23355.0</v>
      </c>
      <c r="E4804" s="1" t="str">
        <f>IFERROR(__xludf.DUMMYFUNCTION("IF(LEN(D4804)&gt;4, IFERROR(REGEXEXTRACT(TO_TEXT(D4804),""\d+""),""""),"""")"),"23355")</f>
        <v>23355</v>
      </c>
      <c r="F4804" s="6" t="str">
        <f t="shared" si="3"/>
        <v>Product</v>
      </c>
      <c r="G4804" s="1" t="s">
        <v>1625</v>
      </c>
      <c r="H4804" s="6" t="str">
        <f>IFERROR(__xludf.DUMMYFUNCTION("IF(REGEXMATCH(LOWER(G4804), ""^(\?)+\s*(missing)?\s*(\?)*$""), """", PROPER(SUBSTITUTE(SUBSTITUTE(G4804, ""?"", """"), ""*"", """")))"),"Hot Water Bottle Keep Calm")</f>
        <v>Hot Water Bottle Keep Calm</v>
      </c>
      <c r="I4804" s="3">
        <v>4.0</v>
      </c>
      <c r="J4804" s="7">
        <v>40886.49722222222</v>
      </c>
      <c r="K4804" s="8" t="str">
        <f t="shared" si="4"/>
        <v>2011-12</v>
      </c>
      <c r="L4804" s="5">
        <v>4.95</v>
      </c>
      <c r="M4804" s="3">
        <v>16626.0</v>
      </c>
      <c r="N4804" s="1" t="str">
        <f t="shared" si="5"/>
        <v>Registered</v>
      </c>
      <c r="O4804" s="1" t="s">
        <v>19</v>
      </c>
      <c r="P4804" s="9" t="str">
        <f t="shared" si="6"/>
        <v>UK</v>
      </c>
      <c r="Q4804" s="8">
        <f t="shared" si="7"/>
        <v>19.8</v>
      </c>
    </row>
    <row r="4805">
      <c r="A4805" s="1">
        <v>581567.0</v>
      </c>
      <c r="B4805" s="1" t="str">
        <f t="shared" si="1"/>
        <v>581567</v>
      </c>
      <c r="C4805" s="1" t="str">
        <f t="shared" si="2"/>
        <v>Sale</v>
      </c>
      <c r="D4805" s="1">
        <v>21326.0</v>
      </c>
      <c r="E4805" s="1" t="str">
        <f>IFERROR(__xludf.DUMMYFUNCTION("IF(LEN(D4805)&gt;4, IFERROR(REGEXEXTRACT(TO_TEXT(D4805),""\d+""),""""),"""")"),"21326")</f>
        <v>21326</v>
      </c>
      <c r="F4805" s="6" t="str">
        <f t="shared" si="3"/>
        <v>Product</v>
      </c>
      <c r="G4805" s="1" t="s">
        <v>420</v>
      </c>
      <c r="H4805" s="6" t="str">
        <f>IFERROR(__xludf.DUMMYFUNCTION("IF(REGEXMATCH(LOWER(G4805), ""^(\?)+\s*(missing)?\s*(\?)*$""), """", PROPER(SUBSTITUTE(SUBSTITUTE(G4805, ""?"", """"), ""*"", """")))"),"Aged Glass Silver T-Light Holder")</f>
        <v>Aged Glass Silver T-Light Holder</v>
      </c>
      <c r="I4805" s="3">
        <v>144.0</v>
      </c>
      <c r="J4805" s="7">
        <v>40886.49722222222</v>
      </c>
      <c r="K4805" s="8" t="str">
        <f t="shared" si="4"/>
        <v>2011-12</v>
      </c>
      <c r="L4805" s="5">
        <v>0.55</v>
      </c>
      <c r="M4805" s="3">
        <v>16626.0</v>
      </c>
      <c r="N4805" s="1" t="str">
        <f t="shared" si="5"/>
        <v>Registered</v>
      </c>
      <c r="O4805" s="1" t="s">
        <v>19</v>
      </c>
      <c r="P4805" s="9" t="str">
        <f t="shared" si="6"/>
        <v>UK</v>
      </c>
      <c r="Q4805" s="8">
        <f t="shared" si="7"/>
        <v>79.2</v>
      </c>
    </row>
    <row r="4806">
      <c r="A4806" s="1">
        <v>581567.0</v>
      </c>
      <c r="B4806" s="1" t="str">
        <f t="shared" si="1"/>
        <v>581567</v>
      </c>
      <c r="C4806" s="1" t="str">
        <f t="shared" si="2"/>
        <v>Sale</v>
      </c>
      <c r="D4806" s="1">
        <v>21479.0</v>
      </c>
      <c r="E4806" s="1" t="str">
        <f>IFERROR(__xludf.DUMMYFUNCTION("IF(LEN(D4806)&gt;4, IFERROR(REGEXEXTRACT(TO_TEXT(D4806),""\d+""),""""),"""")"),"21479")</f>
        <v>21479</v>
      </c>
      <c r="F4806" s="6" t="str">
        <f t="shared" si="3"/>
        <v>Product</v>
      </c>
      <c r="G4806" s="1" t="s">
        <v>269</v>
      </c>
      <c r="H4806" s="6" t="str">
        <f>IFERROR(__xludf.DUMMYFUNCTION("IF(REGEXMATCH(LOWER(G4806), ""^(\?)+\s*(missing)?\s*(\?)*$""), """", PROPER(SUBSTITUTE(SUBSTITUTE(G4806, ""?"", """"), ""*"", """")))"),"White Skull Hot Water Bottle")</f>
        <v>White Skull Hot Water Bottle</v>
      </c>
      <c r="I4806" s="3">
        <v>4.0</v>
      </c>
      <c r="J4806" s="7">
        <v>40886.49722222222</v>
      </c>
      <c r="K4806" s="8" t="str">
        <f t="shared" si="4"/>
        <v>2011-12</v>
      </c>
      <c r="L4806" s="5">
        <v>4.25</v>
      </c>
      <c r="M4806" s="3">
        <v>16626.0</v>
      </c>
      <c r="N4806" s="1" t="str">
        <f t="shared" si="5"/>
        <v>Registered</v>
      </c>
      <c r="O4806" s="1" t="s">
        <v>19</v>
      </c>
      <c r="P4806" s="9" t="str">
        <f t="shared" si="6"/>
        <v>UK</v>
      </c>
      <c r="Q4806" s="8">
        <f t="shared" si="7"/>
        <v>17</v>
      </c>
    </row>
    <row r="4807">
      <c r="A4807" s="1">
        <v>581567.0</v>
      </c>
      <c r="B4807" s="1" t="str">
        <f t="shared" si="1"/>
        <v>581567</v>
      </c>
      <c r="C4807" s="1" t="str">
        <f t="shared" si="2"/>
        <v>Sale</v>
      </c>
      <c r="D4807" s="1">
        <v>23356.0</v>
      </c>
      <c r="E4807" s="1" t="str">
        <f>IFERROR(__xludf.DUMMYFUNCTION("IF(LEN(D4807)&gt;4, IFERROR(REGEXEXTRACT(TO_TEXT(D4807),""\d+""),""""),"""")"),"23356")</f>
        <v>23356</v>
      </c>
      <c r="F4807" s="6" t="str">
        <f t="shared" si="3"/>
        <v>Product</v>
      </c>
      <c r="G4807" s="1" t="s">
        <v>1437</v>
      </c>
      <c r="H4807" s="6" t="str">
        <f>IFERROR(__xludf.DUMMYFUNCTION("IF(REGEXMATCH(LOWER(G4807), ""^(\?)+\s*(missing)?\s*(\?)*$""), """", PROPER(SUBSTITUTE(SUBSTITUTE(G4807, ""?"", """"), ""*"", """")))"),"Love Hot Water Bottle")</f>
        <v>Love Hot Water Bottle</v>
      </c>
      <c r="I4807" s="3">
        <v>3.0</v>
      </c>
      <c r="J4807" s="7">
        <v>40886.49722222222</v>
      </c>
      <c r="K4807" s="8" t="str">
        <f t="shared" si="4"/>
        <v>2011-12</v>
      </c>
      <c r="L4807" s="5">
        <v>5.95</v>
      </c>
      <c r="M4807" s="3">
        <v>16626.0</v>
      </c>
      <c r="N4807" s="1" t="str">
        <f t="shared" si="5"/>
        <v>Registered</v>
      </c>
      <c r="O4807" s="1" t="s">
        <v>19</v>
      </c>
      <c r="P4807" s="9" t="str">
        <f t="shared" si="6"/>
        <v>UK</v>
      </c>
      <c r="Q4807" s="8">
        <f t="shared" si="7"/>
        <v>17.85</v>
      </c>
    </row>
    <row r="4808">
      <c r="A4808" s="1">
        <v>581567.0</v>
      </c>
      <c r="B4808" s="1" t="str">
        <f t="shared" si="1"/>
        <v>581567</v>
      </c>
      <c r="C4808" s="1" t="str">
        <f t="shared" si="2"/>
        <v>Sale</v>
      </c>
      <c r="D4808" s="1">
        <v>21137.0</v>
      </c>
      <c r="E4808" s="1" t="str">
        <f>IFERROR(__xludf.DUMMYFUNCTION("IF(LEN(D4808)&gt;4, IFERROR(REGEXEXTRACT(TO_TEXT(D4808),""\d+""),""""),"""")"),"21137")</f>
        <v>21137</v>
      </c>
      <c r="F4808" s="6" t="str">
        <f t="shared" si="3"/>
        <v>Product</v>
      </c>
      <c r="G4808" s="1" t="s">
        <v>803</v>
      </c>
      <c r="H4808" s="6" t="str">
        <f>IFERROR(__xludf.DUMMYFUNCTION("IF(REGEXMATCH(LOWER(G4808), ""^(\?)+\s*(missing)?\s*(\?)*$""), """", PROPER(SUBSTITUTE(SUBSTITUTE(G4808, ""?"", """"), ""*"", """")))"),"Black Record Cover Frame")</f>
        <v>Black Record Cover Frame</v>
      </c>
      <c r="I4808" s="3">
        <v>24.0</v>
      </c>
      <c r="J4808" s="7">
        <v>40886.49722222222</v>
      </c>
      <c r="K4808" s="8" t="str">
        <f t="shared" si="4"/>
        <v>2011-12</v>
      </c>
      <c r="L4808" s="5">
        <v>3.39</v>
      </c>
      <c r="M4808" s="3">
        <v>16626.0</v>
      </c>
      <c r="N4808" s="1" t="str">
        <f t="shared" si="5"/>
        <v>Registered</v>
      </c>
      <c r="O4808" s="1" t="s">
        <v>19</v>
      </c>
      <c r="P4808" s="9" t="str">
        <f t="shared" si="6"/>
        <v>UK</v>
      </c>
      <c r="Q4808" s="8">
        <f t="shared" si="7"/>
        <v>81.36</v>
      </c>
    </row>
    <row r="4809">
      <c r="A4809" s="1" t="s">
        <v>2134</v>
      </c>
      <c r="B4809" s="1" t="str">
        <f t="shared" si="1"/>
        <v>581568</v>
      </c>
      <c r="C4809" s="1" t="str">
        <f t="shared" si="2"/>
        <v>Return</v>
      </c>
      <c r="D4809" s="1">
        <v>21258.0</v>
      </c>
      <c r="E4809" s="1" t="str">
        <f>IFERROR(__xludf.DUMMYFUNCTION("IF(LEN(D4809)&gt;4, IFERROR(REGEXEXTRACT(TO_TEXT(D4809),""\d+""),""""),"""")"),"21258")</f>
        <v>21258</v>
      </c>
      <c r="F4809" s="6" t="str">
        <f t="shared" si="3"/>
        <v>Product</v>
      </c>
      <c r="G4809" s="1" t="s">
        <v>81</v>
      </c>
      <c r="H4809" s="6" t="str">
        <f>IFERROR(__xludf.DUMMYFUNCTION("IF(REGEXMATCH(LOWER(G4809), ""^(\?)+\s*(missing)?\s*(\?)*$""), """", PROPER(SUBSTITUTE(SUBSTITUTE(G4809, ""?"", """"), ""*"", """")))"),"Victorian Sewing Box Large")</f>
        <v>Victorian Sewing Box Large</v>
      </c>
      <c r="I4809" s="3">
        <v>-5.0</v>
      </c>
      <c r="J4809" s="7">
        <v>40886.49791666667</v>
      </c>
      <c r="K4809" s="8" t="str">
        <f t="shared" si="4"/>
        <v>2011-12</v>
      </c>
      <c r="L4809" s="5">
        <v>10.95</v>
      </c>
      <c r="M4809" s="3">
        <v>15311.0</v>
      </c>
      <c r="N4809" s="1" t="str">
        <f t="shared" si="5"/>
        <v>Registered</v>
      </c>
      <c r="O4809" s="1" t="s">
        <v>19</v>
      </c>
      <c r="P4809" s="9" t="str">
        <f t="shared" si="6"/>
        <v>UK</v>
      </c>
      <c r="Q4809" s="8">
        <f t="shared" si="7"/>
        <v>-54.75</v>
      </c>
    </row>
    <row r="4810">
      <c r="A4810" s="1" t="s">
        <v>2135</v>
      </c>
      <c r="B4810" s="1" t="str">
        <f t="shared" si="1"/>
        <v>581569</v>
      </c>
      <c r="C4810" s="1" t="str">
        <f t="shared" si="2"/>
        <v>Return</v>
      </c>
      <c r="D4810" s="1">
        <v>84978.0</v>
      </c>
      <c r="E4810" s="1" t="str">
        <f>IFERROR(__xludf.DUMMYFUNCTION("IF(LEN(D4810)&gt;4, IFERROR(REGEXEXTRACT(TO_TEXT(D4810),""\d+""),""""),"""")"),"84978")</f>
        <v>84978</v>
      </c>
      <c r="F4810" s="6" t="str">
        <f t="shared" si="3"/>
        <v>Product</v>
      </c>
      <c r="G4810" s="1" t="s">
        <v>925</v>
      </c>
      <c r="H4810" s="6" t="str">
        <f>IFERROR(__xludf.DUMMYFUNCTION("IF(REGEXMATCH(LOWER(G4810), ""^(\?)+\s*(missing)?\s*(\?)*$""), """", PROPER(SUBSTITUTE(SUBSTITUTE(G4810, ""?"", """"), ""*"", """")))"),"Hanging Heart Jar T-Light Holder")</f>
        <v>Hanging Heart Jar T-Light Holder</v>
      </c>
      <c r="I4810" s="3">
        <v>-1.0</v>
      </c>
      <c r="J4810" s="7">
        <v>40886.498611111114</v>
      </c>
      <c r="K4810" s="8" t="str">
        <f t="shared" si="4"/>
        <v>2011-12</v>
      </c>
      <c r="L4810" s="5">
        <v>1.25</v>
      </c>
      <c r="M4810" s="3">
        <v>17315.0</v>
      </c>
      <c r="N4810" s="1" t="str">
        <f t="shared" si="5"/>
        <v>Registered</v>
      </c>
      <c r="O4810" s="1" t="s">
        <v>19</v>
      </c>
      <c r="P4810" s="9" t="str">
        <f t="shared" si="6"/>
        <v>UK</v>
      </c>
      <c r="Q4810" s="8">
        <f t="shared" si="7"/>
        <v>-1.25</v>
      </c>
    </row>
    <row r="4811">
      <c r="A4811" s="1" t="s">
        <v>2135</v>
      </c>
      <c r="B4811" s="1" t="str">
        <f t="shared" si="1"/>
        <v>581569</v>
      </c>
      <c r="C4811" s="1" t="str">
        <f t="shared" si="2"/>
        <v>Return</v>
      </c>
      <c r="D4811" s="1">
        <v>20979.0</v>
      </c>
      <c r="E4811" s="1" t="str">
        <f>IFERROR(__xludf.DUMMYFUNCTION("IF(LEN(D4811)&gt;4, IFERROR(REGEXEXTRACT(TO_TEXT(D4811),""\d+""),""""),"""")"),"20979")</f>
        <v>20979</v>
      </c>
      <c r="F4811" s="6" t="str">
        <f t="shared" si="3"/>
        <v>Product</v>
      </c>
      <c r="G4811" s="1" t="s">
        <v>616</v>
      </c>
      <c r="H4811" s="6" t="str">
        <f>IFERROR(__xludf.DUMMYFUNCTION("IF(REGEXMATCH(LOWER(G4811), ""^(\?)+\s*(missing)?\s*(\?)*$""), """", PROPER(SUBSTITUTE(SUBSTITUTE(G4811, ""?"", """"), ""*"", """")))"),"36 Pencils Tube Red Retrospot")</f>
        <v>36 Pencils Tube Red Retrospot</v>
      </c>
      <c r="I4811" s="3">
        <v>-5.0</v>
      </c>
      <c r="J4811" s="7">
        <v>40886.498611111114</v>
      </c>
      <c r="K4811" s="8" t="str">
        <f t="shared" si="4"/>
        <v>2011-12</v>
      </c>
      <c r="L4811" s="5">
        <v>1.25</v>
      </c>
      <c r="M4811" s="3">
        <v>17315.0</v>
      </c>
      <c r="N4811" s="1" t="str">
        <f t="shared" si="5"/>
        <v>Registered</v>
      </c>
      <c r="O4811" s="1" t="s">
        <v>19</v>
      </c>
      <c r="P4811" s="9" t="str">
        <f t="shared" si="6"/>
        <v>UK</v>
      </c>
      <c r="Q4811" s="8">
        <f t="shared" si="7"/>
        <v>-6.25</v>
      </c>
    </row>
    <row r="4812">
      <c r="A4812" s="1">
        <v>581570.0</v>
      </c>
      <c r="B4812" s="1" t="str">
        <f t="shared" si="1"/>
        <v>581570</v>
      </c>
      <c r="C4812" s="1" t="str">
        <f t="shared" si="2"/>
        <v>Sale</v>
      </c>
      <c r="D4812" s="1">
        <v>22141.0</v>
      </c>
      <c r="E4812" s="1" t="str">
        <f>IFERROR(__xludf.DUMMYFUNCTION("IF(LEN(D4812)&gt;4, IFERROR(REGEXEXTRACT(TO_TEXT(D4812),""\d+""),""""),"""")"),"22141")</f>
        <v>22141</v>
      </c>
      <c r="F4812" s="6" t="str">
        <f t="shared" si="3"/>
        <v>Product</v>
      </c>
      <c r="G4812" s="1" t="s">
        <v>446</v>
      </c>
      <c r="H4812" s="6" t="str">
        <f>IFERROR(__xludf.DUMMYFUNCTION("IF(REGEXMATCH(LOWER(G4812), ""^(\?)+\s*(missing)?\s*(\?)*$""), """", PROPER(SUBSTITUTE(SUBSTITUTE(G4812, ""?"", """"), ""*"", """")))"),"Christmas Craft Tree Top Angel")</f>
        <v>Christmas Craft Tree Top Angel</v>
      </c>
      <c r="I4812" s="3">
        <v>6.0</v>
      </c>
      <c r="J4812" s="7">
        <v>40886.49930555555</v>
      </c>
      <c r="K4812" s="8" t="str">
        <f t="shared" si="4"/>
        <v>2011-12</v>
      </c>
      <c r="L4812" s="5">
        <v>2.1</v>
      </c>
      <c r="M4812" s="3">
        <v>12662.0</v>
      </c>
      <c r="N4812" s="1" t="str">
        <f t="shared" si="5"/>
        <v>Registered</v>
      </c>
      <c r="O4812" s="1" t="s">
        <v>1288</v>
      </c>
      <c r="P4812" s="9" t="str">
        <f t="shared" si="6"/>
        <v>International</v>
      </c>
      <c r="Q4812" s="8">
        <f t="shared" si="7"/>
        <v>12.6</v>
      </c>
    </row>
    <row r="4813">
      <c r="A4813" s="1">
        <v>581570.0</v>
      </c>
      <c r="B4813" s="1" t="str">
        <f t="shared" si="1"/>
        <v>581570</v>
      </c>
      <c r="C4813" s="1" t="str">
        <f t="shared" si="2"/>
        <v>Sale</v>
      </c>
      <c r="D4813" s="1">
        <v>22175.0</v>
      </c>
      <c r="E4813" s="1" t="str">
        <f>IFERROR(__xludf.DUMMYFUNCTION("IF(LEN(D4813)&gt;4, IFERROR(REGEXEXTRACT(TO_TEXT(D4813),""\d+""),""""),"""")"),"22175")</f>
        <v>22175</v>
      </c>
      <c r="F4813" s="6" t="str">
        <f t="shared" si="3"/>
        <v>Product</v>
      </c>
      <c r="G4813" s="1" t="s">
        <v>843</v>
      </c>
      <c r="H4813" s="6" t="str">
        <f>IFERROR(__xludf.DUMMYFUNCTION("IF(REGEXMATCH(LOWER(G4813), ""^(\?)+\s*(missing)?\s*(\?)*$""), """", PROPER(SUBSTITUTE(SUBSTITUTE(G4813, ""?"", """"), ""*"", """")))"),"Pink Owl Soft Toy")</f>
        <v>Pink Owl Soft Toy</v>
      </c>
      <c r="I4813" s="3">
        <v>6.0</v>
      </c>
      <c r="J4813" s="7">
        <v>40886.49930555555</v>
      </c>
      <c r="K4813" s="8" t="str">
        <f t="shared" si="4"/>
        <v>2011-12</v>
      </c>
      <c r="L4813" s="5">
        <v>2.95</v>
      </c>
      <c r="M4813" s="3">
        <v>12662.0</v>
      </c>
      <c r="N4813" s="1" t="str">
        <f t="shared" si="5"/>
        <v>Registered</v>
      </c>
      <c r="O4813" s="1" t="s">
        <v>1288</v>
      </c>
      <c r="P4813" s="9" t="str">
        <f t="shared" si="6"/>
        <v>International</v>
      </c>
      <c r="Q4813" s="8">
        <f t="shared" si="7"/>
        <v>17.7</v>
      </c>
    </row>
    <row r="4814">
      <c r="A4814" s="1">
        <v>581570.0</v>
      </c>
      <c r="B4814" s="1" t="str">
        <f t="shared" si="1"/>
        <v>581570</v>
      </c>
      <c r="C4814" s="1" t="str">
        <f t="shared" si="2"/>
        <v>Sale</v>
      </c>
      <c r="D4814" s="1">
        <v>21481.0</v>
      </c>
      <c r="E4814" s="1" t="str">
        <f>IFERROR(__xludf.DUMMYFUNCTION("IF(LEN(D4814)&gt;4, IFERROR(REGEXEXTRACT(TO_TEXT(D4814),""\d+""),""""),"""")"),"21481")</f>
        <v>21481</v>
      </c>
      <c r="F4814" s="6" t="str">
        <f t="shared" si="3"/>
        <v>Product</v>
      </c>
      <c r="G4814" s="1" t="s">
        <v>519</v>
      </c>
      <c r="H4814" s="6" t="str">
        <f>IFERROR(__xludf.DUMMYFUNCTION("IF(REGEXMATCH(LOWER(G4814), ""^(\?)+\s*(missing)?\s*(\?)*$""), """", PROPER(SUBSTITUTE(SUBSTITUTE(G4814, ""?"", """"), ""*"", """")))"),"Fawn Blue Hot Water Bottle")</f>
        <v>Fawn Blue Hot Water Bottle</v>
      </c>
      <c r="I4814" s="3">
        <v>4.0</v>
      </c>
      <c r="J4814" s="7">
        <v>40886.49930555555</v>
      </c>
      <c r="K4814" s="8" t="str">
        <f t="shared" si="4"/>
        <v>2011-12</v>
      </c>
      <c r="L4814" s="5">
        <v>3.75</v>
      </c>
      <c r="M4814" s="3">
        <v>12662.0</v>
      </c>
      <c r="N4814" s="1" t="str">
        <f t="shared" si="5"/>
        <v>Registered</v>
      </c>
      <c r="O4814" s="1" t="s">
        <v>1288</v>
      </c>
      <c r="P4814" s="9" t="str">
        <f t="shared" si="6"/>
        <v>International</v>
      </c>
      <c r="Q4814" s="8">
        <f t="shared" si="7"/>
        <v>15</v>
      </c>
    </row>
    <row r="4815">
      <c r="A4815" s="1">
        <v>581570.0</v>
      </c>
      <c r="B4815" s="1" t="str">
        <f t="shared" si="1"/>
        <v>581570</v>
      </c>
      <c r="C4815" s="1" t="str">
        <f t="shared" si="2"/>
        <v>Sale</v>
      </c>
      <c r="D4815" s="1">
        <v>23570.0</v>
      </c>
      <c r="E4815" s="1" t="str">
        <f>IFERROR(__xludf.DUMMYFUNCTION("IF(LEN(D4815)&gt;4, IFERROR(REGEXEXTRACT(TO_TEXT(D4815),""\d+""),""""),"""")"),"23570")</f>
        <v>23570</v>
      </c>
      <c r="F4815" s="6" t="str">
        <f t="shared" si="3"/>
        <v>Product</v>
      </c>
      <c r="G4815" s="1" t="s">
        <v>1467</v>
      </c>
      <c r="H4815" s="6" t="str">
        <f>IFERROR(__xludf.DUMMYFUNCTION("IF(REGEXMATCH(LOWER(G4815), ""^(\?)+\s*(missing)?\s*(\?)*$""), """", PROPER(SUBSTITUTE(SUBSTITUTE(G4815, ""?"", """"), ""*"", """")))"),"Traditional Pick Up Sticks Game")</f>
        <v>Traditional Pick Up Sticks Game</v>
      </c>
      <c r="I4815" s="3">
        <v>12.0</v>
      </c>
      <c r="J4815" s="7">
        <v>40886.49930555555</v>
      </c>
      <c r="K4815" s="8" t="str">
        <f t="shared" si="4"/>
        <v>2011-12</v>
      </c>
      <c r="L4815" s="5">
        <v>1.25</v>
      </c>
      <c r="M4815" s="3">
        <v>12662.0</v>
      </c>
      <c r="N4815" s="1" t="str">
        <f t="shared" si="5"/>
        <v>Registered</v>
      </c>
      <c r="O4815" s="1" t="s">
        <v>1288</v>
      </c>
      <c r="P4815" s="9" t="str">
        <f t="shared" si="6"/>
        <v>International</v>
      </c>
      <c r="Q4815" s="8">
        <f t="shared" si="7"/>
        <v>15</v>
      </c>
    </row>
    <row r="4816">
      <c r="A4816" s="1">
        <v>581570.0</v>
      </c>
      <c r="B4816" s="1" t="str">
        <f t="shared" si="1"/>
        <v>581570</v>
      </c>
      <c r="C4816" s="1" t="str">
        <f t="shared" si="2"/>
        <v>Sale</v>
      </c>
      <c r="D4816" s="1">
        <v>22326.0</v>
      </c>
      <c r="E4816" s="1" t="str">
        <f>IFERROR(__xludf.DUMMYFUNCTION("IF(LEN(D4816)&gt;4, IFERROR(REGEXEXTRACT(TO_TEXT(D4816),""\d+""),""""),"""")"),"22326")</f>
        <v>22326</v>
      </c>
      <c r="F4816" s="6" t="str">
        <f t="shared" si="3"/>
        <v>Product</v>
      </c>
      <c r="G4816" s="1" t="s">
        <v>57</v>
      </c>
      <c r="H4816" s="6" t="str">
        <f>IFERROR(__xludf.DUMMYFUNCTION("IF(REGEXMATCH(LOWER(G4816), ""^(\?)+\s*(missing)?\s*(\?)*$""), """", PROPER(SUBSTITUTE(SUBSTITUTE(G4816, ""?"", """"), ""*"", """")))"),"Round Snack Boxes Set Of4 Woodland")</f>
        <v>Round Snack Boxes Set Of4 Woodland</v>
      </c>
      <c r="I4816" s="3">
        <v>6.0</v>
      </c>
      <c r="J4816" s="7">
        <v>40886.49930555555</v>
      </c>
      <c r="K4816" s="8" t="str">
        <f t="shared" si="4"/>
        <v>2011-12</v>
      </c>
      <c r="L4816" s="5">
        <v>2.95</v>
      </c>
      <c r="M4816" s="3">
        <v>12662.0</v>
      </c>
      <c r="N4816" s="1" t="str">
        <f t="shared" si="5"/>
        <v>Registered</v>
      </c>
      <c r="O4816" s="1" t="s">
        <v>1288</v>
      </c>
      <c r="P4816" s="9" t="str">
        <f t="shared" si="6"/>
        <v>International</v>
      </c>
      <c r="Q4816" s="8">
        <f t="shared" si="7"/>
        <v>17.7</v>
      </c>
    </row>
    <row r="4817">
      <c r="A4817" s="1">
        <v>581570.0</v>
      </c>
      <c r="B4817" s="1" t="str">
        <f t="shared" si="1"/>
        <v>581570</v>
      </c>
      <c r="C4817" s="1" t="str">
        <f t="shared" si="2"/>
        <v>Sale</v>
      </c>
      <c r="D4817" s="1">
        <v>22331.0</v>
      </c>
      <c r="E4817" s="1" t="str">
        <f>IFERROR(__xludf.DUMMYFUNCTION("IF(LEN(D4817)&gt;4, IFERROR(REGEXEXTRACT(TO_TEXT(D4817),""\d+""),""""),"""")"),"22331")</f>
        <v>22331</v>
      </c>
      <c r="F4817" s="6" t="str">
        <f t="shared" si="3"/>
        <v>Product</v>
      </c>
      <c r="G4817" s="1" t="s">
        <v>2136</v>
      </c>
      <c r="H4817" s="6" t="str">
        <f>IFERROR(__xludf.DUMMYFUNCTION("IF(REGEXMATCH(LOWER(G4817), ""^(\?)+\s*(missing)?\s*(\?)*$""), """", PROPER(SUBSTITUTE(SUBSTITUTE(G4817, ""?"", """"), ""*"", """")))"),"Woodland Party Bag + Sticker Set")</f>
        <v>Woodland Party Bag + Sticker Set</v>
      </c>
      <c r="I4817" s="3">
        <v>8.0</v>
      </c>
      <c r="J4817" s="7">
        <v>40886.49930555555</v>
      </c>
      <c r="K4817" s="8" t="str">
        <f t="shared" si="4"/>
        <v>2011-12</v>
      </c>
      <c r="L4817" s="5">
        <v>1.65</v>
      </c>
      <c r="M4817" s="3">
        <v>12662.0</v>
      </c>
      <c r="N4817" s="1" t="str">
        <f t="shared" si="5"/>
        <v>Registered</v>
      </c>
      <c r="O4817" s="1" t="s">
        <v>1288</v>
      </c>
      <c r="P4817" s="9" t="str">
        <f t="shared" si="6"/>
        <v>International</v>
      </c>
      <c r="Q4817" s="8">
        <f t="shared" si="7"/>
        <v>13.2</v>
      </c>
    </row>
    <row r="4818">
      <c r="A4818" s="1">
        <v>581570.0</v>
      </c>
      <c r="B4818" s="1" t="str">
        <f t="shared" si="1"/>
        <v>581570</v>
      </c>
      <c r="C4818" s="1" t="str">
        <f t="shared" si="2"/>
        <v>Sale</v>
      </c>
      <c r="D4818" s="1">
        <v>22834.0</v>
      </c>
      <c r="E4818" s="1" t="str">
        <f>IFERROR(__xludf.DUMMYFUNCTION("IF(LEN(D4818)&gt;4, IFERROR(REGEXEXTRACT(TO_TEXT(D4818),""\d+""),""""),"""")"),"22834")</f>
        <v>22834</v>
      </c>
      <c r="F4818" s="6" t="str">
        <f t="shared" si="3"/>
        <v>Product</v>
      </c>
      <c r="G4818" s="1" t="s">
        <v>492</v>
      </c>
      <c r="H4818" s="6" t="str">
        <f>IFERROR(__xludf.DUMMYFUNCTION("IF(REGEXMATCH(LOWER(G4818), ""^(\?)+\s*(missing)?\s*(\?)*$""), """", PROPER(SUBSTITUTE(SUBSTITUTE(G4818, ""?"", """"), ""*"", """")))"),"Hand Warmer Babushka Design")</f>
        <v>Hand Warmer Babushka Design</v>
      </c>
      <c r="I4818" s="3">
        <v>12.0</v>
      </c>
      <c r="J4818" s="7">
        <v>40886.49930555555</v>
      </c>
      <c r="K4818" s="8" t="str">
        <f t="shared" si="4"/>
        <v>2011-12</v>
      </c>
      <c r="L4818" s="5">
        <v>2.1</v>
      </c>
      <c r="M4818" s="3">
        <v>12662.0</v>
      </c>
      <c r="N4818" s="1" t="str">
        <f t="shared" si="5"/>
        <v>Registered</v>
      </c>
      <c r="O4818" s="1" t="s">
        <v>1288</v>
      </c>
      <c r="P4818" s="9" t="str">
        <f t="shared" si="6"/>
        <v>International</v>
      </c>
      <c r="Q4818" s="8">
        <f t="shared" si="7"/>
        <v>25.2</v>
      </c>
    </row>
    <row r="4819">
      <c r="A4819" s="1">
        <v>581570.0</v>
      </c>
      <c r="B4819" s="1" t="str">
        <f t="shared" si="1"/>
        <v>581570</v>
      </c>
      <c r="C4819" s="1" t="str">
        <f t="shared" si="2"/>
        <v>Sale</v>
      </c>
      <c r="D4819" s="1">
        <v>21914.0</v>
      </c>
      <c r="E4819" s="1" t="str">
        <f>IFERROR(__xludf.DUMMYFUNCTION("IF(LEN(D4819)&gt;4, IFERROR(REGEXEXTRACT(TO_TEXT(D4819),""\d+""),""""),"""")"),"21914")</f>
        <v>21914</v>
      </c>
      <c r="F4819" s="6" t="str">
        <f t="shared" si="3"/>
        <v>Product</v>
      </c>
      <c r="G4819" s="1" t="s">
        <v>364</v>
      </c>
      <c r="H4819" s="6" t="str">
        <f>IFERROR(__xludf.DUMMYFUNCTION("IF(REGEXMATCH(LOWER(G4819), ""^(\?)+\s*(missing)?\s*(\?)*$""), """", PROPER(SUBSTITUTE(SUBSTITUTE(G4819, ""?"", """"), ""*"", """")))"),"Blue Harmonica In Box")</f>
        <v>Blue Harmonica In Box</v>
      </c>
      <c r="I4819" s="3">
        <v>12.0</v>
      </c>
      <c r="J4819" s="7">
        <v>40886.49930555555</v>
      </c>
      <c r="K4819" s="8" t="str">
        <f t="shared" si="4"/>
        <v>2011-12</v>
      </c>
      <c r="L4819" s="5">
        <v>1.25</v>
      </c>
      <c r="M4819" s="3">
        <v>12662.0</v>
      </c>
      <c r="N4819" s="1" t="str">
        <f t="shared" si="5"/>
        <v>Registered</v>
      </c>
      <c r="O4819" s="1" t="s">
        <v>1288</v>
      </c>
      <c r="P4819" s="9" t="str">
        <f t="shared" si="6"/>
        <v>International</v>
      </c>
      <c r="Q4819" s="8">
        <f t="shared" si="7"/>
        <v>15</v>
      </c>
    </row>
    <row r="4820">
      <c r="A4820" s="1">
        <v>581570.0</v>
      </c>
      <c r="B4820" s="1" t="str">
        <f t="shared" si="1"/>
        <v>581570</v>
      </c>
      <c r="C4820" s="1" t="str">
        <f t="shared" si="2"/>
        <v>Sale</v>
      </c>
      <c r="D4820" s="1">
        <v>22139.0</v>
      </c>
      <c r="E4820" s="1" t="str">
        <f>IFERROR(__xludf.DUMMYFUNCTION("IF(LEN(D4820)&gt;4, IFERROR(REGEXEXTRACT(TO_TEXT(D4820),""\d+""),""""),"""")"),"22139")</f>
        <v>22139</v>
      </c>
      <c r="F4820" s="6" t="str">
        <f t="shared" si="3"/>
        <v>Product</v>
      </c>
      <c r="G4820" s="1" t="s">
        <v>110</v>
      </c>
      <c r="H4820" s="6" t="str">
        <f>IFERROR(__xludf.DUMMYFUNCTION("IF(REGEXMATCH(LOWER(G4820), ""^(\?)+\s*(missing)?\s*(\?)*$""), """", PROPER(SUBSTITUTE(SUBSTITUTE(G4820, ""?"", """"), ""*"", """")))"),"Retrospot Tea Set Ceramic 11 Pc")</f>
        <v>Retrospot Tea Set Ceramic 11 Pc</v>
      </c>
      <c r="I4820" s="3">
        <v>3.0</v>
      </c>
      <c r="J4820" s="7">
        <v>40886.49930555555</v>
      </c>
      <c r="K4820" s="8" t="str">
        <f t="shared" si="4"/>
        <v>2011-12</v>
      </c>
      <c r="L4820" s="5">
        <v>4.95</v>
      </c>
      <c r="M4820" s="3">
        <v>12662.0</v>
      </c>
      <c r="N4820" s="1" t="str">
        <f t="shared" si="5"/>
        <v>Registered</v>
      </c>
      <c r="O4820" s="1" t="s">
        <v>1288</v>
      </c>
      <c r="P4820" s="9" t="str">
        <f t="shared" si="6"/>
        <v>International</v>
      </c>
      <c r="Q4820" s="8">
        <f t="shared" si="7"/>
        <v>14.85</v>
      </c>
    </row>
    <row r="4821">
      <c r="A4821" s="1">
        <v>581570.0</v>
      </c>
      <c r="B4821" s="1" t="str">
        <f t="shared" si="1"/>
        <v>581570</v>
      </c>
      <c r="C4821" s="1" t="str">
        <f t="shared" si="2"/>
        <v>Sale</v>
      </c>
      <c r="D4821" s="1">
        <v>23077.0</v>
      </c>
      <c r="E4821" s="1" t="str">
        <f>IFERROR(__xludf.DUMMYFUNCTION("IF(LEN(D4821)&gt;4, IFERROR(REGEXEXTRACT(TO_TEXT(D4821),""\d+""),""""),"""")"),"23077")</f>
        <v>23077</v>
      </c>
      <c r="F4821" s="6" t="str">
        <f t="shared" si="3"/>
        <v>Product</v>
      </c>
      <c r="G4821" s="1" t="s">
        <v>1977</v>
      </c>
      <c r="H4821" s="6" t="str">
        <f>IFERROR(__xludf.DUMMYFUNCTION("IF(REGEXMATCH(LOWER(G4821), ""^(\?)+\s*(missing)?\s*(\?)*$""), """", PROPER(SUBSTITUTE(SUBSTITUTE(G4821, ""?"", """"), ""*"", """")))"),"Doughnut Lip Gloss")</f>
        <v>Doughnut Lip Gloss</v>
      </c>
      <c r="I4821" s="3">
        <v>20.0</v>
      </c>
      <c r="J4821" s="7">
        <v>40886.49930555555</v>
      </c>
      <c r="K4821" s="8" t="str">
        <f t="shared" si="4"/>
        <v>2011-12</v>
      </c>
      <c r="L4821" s="5">
        <v>1.25</v>
      </c>
      <c r="M4821" s="3">
        <v>12662.0</v>
      </c>
      <c r="N4821" s="1" t="str">
        <f t="shared" si="5"/>
        <v>Registered</v>
      </c>
      <c r="O4821" s="1" t="s">
        <v>1288</v>
      </c>
      <c r="P4821" s="9" t="str">
        <f t="shared" si="6"/>
        <v>International</v>
      </c>
      <c r="Q4821" s="8">
        <f t="shared" si="7"/>
        <v>25</v>
      </c>
    </row>
    <row r="4822">
      <c r="A4822" s="1">
        <v>581570.0</v>
      </c>
      <c r="B4822" s="1" t="str">
        <f t="shared" si="1"/>
        <v>581570</v>
      </c>
      <c r="C4822" s="1" t="str">
        <f t="shared" si="2"/>
        <v>Sale</v>
      </c>
      <c r="D4822" s="1">
        <v>20750.0</v>
      </c>
      <c r="E4822" s="1" t="str">
        <f>IFERROR(__xludf.DUMMYFUNCTION("IF(LEN(D4822)&gt;4, IFERROR(REGEXEXTRACT(TO_TEXT(D4822),""\d+""),""""),"""")"),"20750")</f>
        <v>20750</v>
      </c>
      <c r="F4822" s="6" t="str">
        <f t="shared" si="3"/>
        <v>Product</v>
      </c>
      <c r="G4822" s="1" t="s">
        <v>464</v>
      </c>
      <c r="H4822" s="6" t="str">
        <f>IFERROR(__xludf.DUMMYFUNCTION("IF(REGEXMATCH(LOWER(G4822), ""^(\?)+\s*(missing)?\s*(\?)*$""), """", PROPER(SUBSTITUTE(SUBSTITUTE(G4822, ""?"", """"), ""*"", """")))"),"Red Retrospot Mini Cases")</f>
        <v>Red Retrospot Mini Cases</v>
      </c>
      <c r="I4822" s="3">
        <v>2.0</v>
      </c>
      <c r="J4822" s="7">
        <v>40886.49930555555</v>
      </c>
      <c r="K4822" s="8" t="str">
        <f t="shared" si="4"/>
        <v>2011-12</v>
      </c>
      <c r="L4822" s="5">
        <v>7.95</v>
      </c>
      <c r="M4822" s="3">
        <v>12662.0</v>
      </c>
      <c r="N4822" s="1" t="str">
        <f t="shared" si="5"/>
        <v>Registered</v>
      </c>
      <c r="O4822" s="1" t="s">
        <v>1288</v>
      </c>
      <c r="P4822" s="9" t="str">
        <f t="shared" si="6"/>
        <v>International</v>
      </c>
      <c r="Q4822" s="8">
        <f t="shared" si="7"/>
        <v>15.9</v>
      </c>
    </row>
    <row r="4823">
      <c r="A4823" s="1">
        <v>581570.0</v>
      </c>
      <c r="B4823" s="1" t="str">
        <f t="shared" si="1"/>
        <v>581570</v>
      </c>
      <c r="C4823" s="1" t="str">
        <f t="shared" si="2"/>
        <v>Sale</v>
      </c>
      <c r="D4823" s="1">
        <v>22505.0</v>
      </c>
      <c r="E4823" s="1" t="str">
        <f>IFERROR(__xludf.DUMMYFUNCTION("IF(LEN(D4823)&gt;4, IFERROR(REGEXEXTRACT(TO_TEXT(D4823),""\d+""),""""),"""")"),"22505")</f>
        <v>22505</v>
      </c>
      <c r="F4823" s="6" t="str">
        <f t="shared" si="3"/>
        <v>Product</v>
      </c>
      <c r="G4823" s="1" t="s">
        <v>927</v>
      </c>
      <c r="H4823" s="6" t="str">
        <f>IFERROR(__xludf.DUMMYFUNCTION("IF(REGEXMATCH(LOWER(G4823), ""^(\?)+\s*(missing)?\s*(\?)*$""), """", PROPER(SUBSTITUTE(SUBSTITUTE(G4823, ""?"", """"), ""*"", """")))"),"Memo Board Cottage Design")</f>
        <v>Memo Board Cottage Design</v>
      </c>
      <c r="I4823" s="3">
        <v>4.0</v>
      </c>
      <c r="J4823" s="7">
        <v>40886.49930555555</v>
      </c>
      <c r="K4823" s="8" t="str">
        <f t="shared" si="4"/>
        <v>2011-12</v>
      </c>
      <c r="L4823" s="5">
        <v>4.95</v>
      </c>
      <c r="M4823" s="3">
        <v>12662.0</v>
      </c>
      <c r="N4823" s="1" t="str">
        <f t="shared" si="5"/>
        <v>Registered</v>
      </c>
      <c r="O4823" s="1" t="s">
        <v>1288</v>
      </c>
      <c r="P4823" s="9" t="str">
        <f t="shared" si="6"/>
        <v>International</v>
      </c>
      <c r="Q4823" s="8">
        <f t="shared" si="7"/>
        <v>19.8</v>
      </c>
    </row>
    <row r="4824">
      <c r="A4824" s="1">
        <v>581570.0</v>
      </c>
      <c r="B4824" s="1" t="str">
        <f t="shared" si="1"/>
        <v>581570</v>
      </c>
      <c r="C4824" s="1" t="str">
        <f t="shared" si="2"/>
        <v>Sale</v>
      </c>
      <c r="D4824" s="1" t="s">
        <v>68</v>
      </c>
      <c r="E4824" s="1" t="str">
        <f>IFERROR(__xludf.DUMMYFUNCTION("IF(LEN(D4824)&gt;4, IFERROR(REGEXEXTRACT(TO_TEXT(D4824),""\d+""),""""),"""")"),"")</f>
        <v/>
      </c>
      <c r="F4824" s="6" t="str">
        <f t="shared" si="3"/>
        <v>Shipping</v>
      </c>
      <c r="G4824" s="1" t="s">
        <v>69</v>
      </c>
      <c r="H4824" s="6" t="str">
        <f>IFERROR(__xludf.DUMMYFUNCTION("IF(REGEXMATCH(LOWER(G4824), ""^(\?)+\s*(missing)?\s*(\?)*$""), """", PROPER(SUBSTITUTE(SUBSTITUTE(G4824, ""?"", """"), ""*"", """")))"),"Postage")</f>
        <v>Postage</v>
      </c>
      <c r="I4824" s="3">
        <v>1.0</v>
      </c>
      <c r="J4824" s="7">
        <v>40886.49930555555</v>
      </c>
      <c r="K4824" s="8" t="str">
        <f t="shared" si="4"/>
        <v>2011-12</v>
      </c>
      <c r="L4824" s="5">
        <v>18.0</v>
      </c>
      <c r="M4824" s="3">
        <v>12662.0</v>
      </c>
      <c r="N4824" s="1" t="str">
        <f t="shared" si="5"/>
        <v>Registered</v>
      </c>
      <c r="O4824" s="1" t="s">
        <v>1288</v>
      </c>
      <c r="P4824" s="9" t="str">
        <f t="shared" si="6"/>
        <v>International</v>
      </c>
      <c r="Q4824" s="8">
        <f t="shared" si="7"/>
        <v>18</v>
      </c>
    </row>
    <row r="4825">
      <c r="A4825" s="1">
        <v>581571.0</v>
      </c>
      <c r="B4825" s="1" t="str">
        <f t="shared" si="1"/>
        <v>581571</v>
      </c>
      <c r="C4825" s="1" t="str">
        <f t="shared" si="2"/>
        <v>Sale</v>
      </c>
      <c r="D4825" s="1">
        <v>23326.0</v>
      </c>
      <c r="E4825" s="1" t="str">
        <f>IFERROR(__xludf.DUMMYFUNCTION("IF(LEN(D4825)&gt;4, IFERROR(REGEXEXTRACT(TO_TEXT(D4825),""\d+""),""""),"""")"),"23326")</f>
        <v>23326</v>
      </c>
      <c r="F4825" s="6" t="str">
        <f t="shared" si="3"/>
        <v>Product</v>
      </c>
      <c r="G4825" s="1" t="s">
        <v>2137</v>
      </c>
      <c r="H4825" s="6" t="str">
        <f>IFERROR(__xludf.DUMMYFUNCTION("IF(REGEXMATCH(LOWER(G4825), ""^(\?)+\s*(missing)?\s*(\?)*$""), """", PROPER(SUBSTITUTE(SUBSTITUTE(G4825, ""?"", """"), ""*"", """")))"),"Hanging Mini Coloured Bottles")</f>
        <v>Hanging Mini Coloured Bottles</v>
      </c>
      <c r="I4825" s="3">
        <v>6.0</v>
      </c>
      <c r="J4825" s="7">
        <v>40886.5</v>
      </c>
      <c r="K4825" s="8" t="str">
        <f t="shared" si="4"/>
        <v>2011-12</v>
      </c>
      <c r="L4825" s="5">
        <v>0.63</v>
      </c>
      <c r="M4825" s="3">
        <v>15311.0</v>
      </c>
      <c r="N4825" s="1" t="str">
        <f t="shared" si="5"/>
        <v>Registered</v>
      </c>
      <c r="O4825" s="1" t="s">
        <v>19</v>
      </c>
      <c r="P4825" s="9" t="str">
        <f t="shared" si="6"/>
        <v>UK</v>
      </c>
      <c r="Q4825" s="8">
        <f t="shared" si="7"/>
        <v>3.78</v>
      </c>
    </row>
    <row r="4826">
      <c r="A4826" s="1">
        <v>581571.0</v>
      </c>
      <c r="B4826" s="1" t="str">
        <f t="shared" si="1"/>
        <v>581571</v>
      </c>
      <c r="C4826" s="1" t="str">
        <f t="shared" si="2"/>
        <v>Sale</v>
      </c>
      <c r="D4826" s="1">
        <v>21313.0</v>
      </c>
      <c r="E4826" s="1" t="str">
        <f>IFERROR(__xludf.DUMMYFUNCTION("IF(LEN(D4826)&gt;4, IFERROR(REGEXEXTRACT(TO_TEXT(D4826),""\d+""),""""),"""")"),"21313")</f>
        <v>21313</v>
      </c>
      <c r="F4826" s="6" t="str">
        <f t="shared" si="3"/>
        <v>Product</v>
      </c>
      <c r="G4826" s="1" t="s">
        <v>1750</v>
      </c>
      <c r="H4826" s="6" t="str">
        <f>IFERROR(__xludf.DUMMYFUNCTION("IF(REGEXMATCH(LOWER(G4826), ""^(\?)+\s*(missing)?\s*(\?)*$""), """", PROPER(SUBSTITUTE(SUBSTITUTE(G4826, ""?"", """"), ""*"", """")))"),"Glass Heart T-Light Holder")</f>
        <v>Glass Heart T-Light Holder</v>
      </c>
      <c r="I4826" s="3">
        <v>1.0</v>
      </c>
      <c r="J4826" s="7">
        <v>40886.5</v>
      </c>
      <c r="K4826" s="8" t="str">
        <f t="shared" si="4"/>
        <v>2011-12</v>
      </c>
      <c r="L4826" s="5">
        <v>0.85</v>
      </c>
      <c r="M4826" s="3">
        <v>15311.0</v>
      </c>
      <c r="N4826" s="1" t="str">
        <f t="shared" si="5"/>
        <v>Registered</v>
      </c>
      <c r="O4826" s="1" t="s">
        <v>19</v>
      </c>
      <c r="P4826" s="9" t="str">
        <f t="shared" si="6"/>
        <v>UK</v>
      </c>
      <c r="Q4826" s="8">
        <f t="shared" si="7"/>
        <v>0.85</v>
      </c>
    </row>
    <row r="4827">
      <c r="A4827" s="1">
        <v>581571.0</v>
      </c>
      <c r="B4827" s="1" t="str">
        <f t="shared" si="1"/>
        <v>581571</v>
      </c>
      <c r="C4827" s="1" t="str">
        <f t="shared" si="2"/>
        <v>Sale</v>
      </c>
      <c r="D4827" s="1">
        <v>48187.0</v>
      </c>
      <c r="E4827" s="1" t="str">
        <f>IFERROR(__xludf.DUMMYFUNCTION("IF(LEN(D4827)&gt;4, IFERROR(REGEXEXTRACT(TO_TEXT(D4827),""\d+""),""""),"""")"),"48187")</f>
        <v>48187</v>
      </c>
      <c r="F4827" s="6" t="str">
        <f t="shared" si="3"/>
        <v>Product</v>
      </c>
      <c r="G4827" s="1" t="s">
        <v>42</v>
      </c>
      <c r="H4827" s="6" t="str">
        <f>IFERROR(__xludf.DUMMYFUNCTION("IF(REGEXMATCH(LOWER(G4827), ""^(\?)+\s*(missing)?\s*(\?)*$""), """", PROPER(SUBSTITUTE(SUBSTITUTE(G4827, ""?"", """"), ""*"", """")))"),"Doormat New England")</f>
        <v>Doormat New England</v>
      </c>
      <c r="I4827" s="3">
        <v>1.0</v>
      </c>
      <c r="J4827" s="7">
        <v>40886.5</v>
      </c>
      <c r="K4827" s="8" t="str">
        <f t="shared" si="4"/>
        <v>2011-12</v>
      </c>
      <c r="L4827" s="5">
        <v>8.25</v>
      </c>
      <c r="M4827" s="3">
        <v>15311.0</v>
      </c>
      <c r="N4827" s="1" t="str">
        <f t="shared" si="5"/>
        <v>Registered</v>
      </c>
      <c r="O4827" s="1" t="s">
        <v>19</v>
      </c>
      <c r="P4827" s="9" t="str">
        <f t="shared" si="6"/>
        <v>UK</v>
      </c>
      <c r="Q4827" s="8">
        <f t="shared" si="7"/>
        <v>8.25</v>
      </c>
    </row>
    <row r="4828">
      <c r="A4828" s="1">
        <v>581571.0</v>
      </c>
      <c r="B4828" s="1" t="str">
        <f t="shared" si="1"/>
        <v>581571</v>
      </c>
      <c r="C4828" s="1" t="str">
        <f t="shared" si="2"/>
        <v>Sale</v>
      </c>
      <c r="D4828" s="1">
        <v>23317.0</v>
      </c>
      <c r="E4828" s="1" t="str">
        <f>IFERROR(__xludf.DUMMYFUNCTION("IF(LEN(D4828)&gt;4, IFERROR(REGEXEXTRACT(TO_TEXT(D4828),""\d+""),""""),"""")"),"23317")</f>
        <v>23317</v>
      </c>
      <c r="F4828" s="6" t="str">
        <f t="shared" si="3"/>
        <v>Product</v>
      </c>
      <c r="G4828" s="1" t="s">
        <v>2138</v>
      </c>
      <c r="H4828" s="6" t="str">
        <f>IFERROR(__xludf.DUMMYFUNCTION("IF(REGEXMATCH(LOWER(G4828), ""^(\?)+\s*(missing)?\s*(\?)*$""), """", PROPER(SUBSTITUTE(SUBSTITUTE(G4828, ""?"", """"), ""*"", """")))"),"Blue Refectory Clock")</f>
        <v>Blue Refectory Clock</v>
      </c>
      <c r="I4828" s="3">
        <v>1.0</v>
      </c>
      <c r="J4828" s="7">
        <v>40886.5</v>
      </c>
      <c r="K4828" s="8" t="str">
        <f t="shared" si="4"/>
        <v>2011-12</v>
      </c>
      <c r="L4828" s="5">
        <v>9.95</v>
      </c>
      <c r="M4828" s="3">
        <v>15311.0</v>
      </c>
      <c r="N4828" s="1" t="str">
        <f t="shared" si="5"/>
        <v>Registered</v>
      </c>
      <c r="O4828" s="1" t="s">
        <v>19</v>
      </c>
      <c r="P4828" s="9" t="str">
        <f t="shared" si="6"/>
        <v>UK</v>
      </c>
      <c r="Q4828" s="8">
        <f t="shared" si="7"/>
        <v>9.95</v>
      </c>
    </row>
    <row r="4829">
      <c r="A4829" s="1">
        <v>581571.0</v>
      </c>
      <c r="B4829" s="1" t="str">
        <f t="shared" si="1"/>
        <v>581571</v>
      </c>
      <c r="C4829" s="1" t="str">
        <f t="shared" si="2"/>
        <v>Sale</v>
      </c>
      <c r="D4829" s="1">
        <v>23197.0</v>
      </c>
      <c r="E4829" s="1" t="str">
        <f>IFERROR(__xludf.DUMMYFUNCTION("IF(LEN(D4829)&gt;4, IFERROR(REGEXEXTRACT(TO_TEXT(D4829),""\d+""),""""),"""")"),"23197")</f>
        <v>23197</v>
      </c>
      <c r="F4829" s="6" t="str">
        <f t="shared" si="3"/>
        <v>Product</v>
      </c>
      <c r="G4829" s="1" t="s">
        <v>1422</v>
      </c>
      <c r="H4829" s="6" t="str">
        <f>IFERROR(__xludf.DUMMYFUNCTION("IF(REGEXMATCH(LOWER(G4829), ""^(\?)+\s*(missing)?\s*(\?)*$""), """", PROPER(SUBSTITUTE(SUBSTITUTE(G4829, ""?"", """"), ""*"", """")))"),"Sketchbook Magnetic Shopping List")</f>
        <v>Sketchbook Magnetic Shopping List</v>
      </c>
      <c r="I4829" s="3">
        <v>4.0</v>
      </c>
      <c r="J4829" s="7">
        <v>40886.5</v>
      </c>
      <c r="K4829" s="8" t="str">
        <f t="shared" si="4"/>
        <v>2011-12</v>
      </c>
      <c r="L4829" s="5">
        <v>1.45</v>
      </c>
      <c r="M4829" s="3">
        <v>15311.0</v>
      </c>
      <c r="N4829" s="1" t="str">
        <f t="shared" si="5"/>
        <v>Registered</v>
      </c>
      <c r="O4829" s="1" t="s">
        <v>19</v>
      </c>
      <c r="P4829" s="9" t="str">
        <f t="shared" si="6"/>
        <v>UK</v>
      </c>
      <c r="Q4829" s="8">
        <f t="shared" si="7"/>
        <v>5.8</v>
      </c>
    </row>
    <row r="4830">
      <c r="A4830" s="1">
        <v>581571.0</v>
      </c>
      <c r="B4830" s="1" t="str">
        <f t="shared" si="1"/>
        <v>581571</v>
      </c>
      <c r="C4830" s="1" t="str">
        <f t="shared" si="2"/>
        <v>Sale</v>
      </c>
      <c r="D4830" s="1">
        <v>21012.0</v>
      </c>
      <c r="E4830" s="1" t="str">
        <f>IFERROR(__xludf.DUMMYFUNCTION("IF(LEN(D4830)&gt;4, IFERROR(REGEXEXTRACT(TO_TEXT(D4830),""\d+""),""""),"""")"),"21012")</f>
        <v>21012</v>
      </c>
      <c r="F4830" s="6" t="str">
        <f t="shared" si="3"/>
        <v>Product</v>
      </c>
      <c r="G4830" s="1" t="s">
        <v>1741</v>
      </c>
      <c r="H4830" s="6" t="str">
        <f>IFERROR(__xludf.DUMMYFUNCTION("IF(REGEXMATCH(LOWER(G4830), ""^(\?)+\s*(missing)?\s*(\?)*$""), """", PROPER(SUBSTITUTE(SUBSTITUTE(G4830, ""?"", """"), ""*"", """")))"),"Antique All Glass Candlestick")</f>
        <v>Antique All Glass Candlestick</v>
      </c>
      <c r="I4830" s="3">
        <v>2.0</v>
      </c>
      <c r="J4830" s="7">
        <v>40886.5</v>
      </c>
      <c r="K4830" s="8" t="str">
        <f t="shared" si="4"/>
        <v>2011-12</v>
      </c>
      <c r="L4830" s="5">
        <v>2.1</v>
      </c>
      <c r="M4830" s="3">
        <v>15311.0</v>
      </c>
      <c r="N4830" s="1" t="str">
        <f t="shared" si="5"/>
        <v>Registered</v>
      </c>
      <c r="O4830" s="1" t="s">
        <v>19</v>
      </c>
      <c r="P4830" s="9" t="str">
        <f t="shared" si="6"/>
        <v>UK</v>
      </c>
      <c r="Q4830" s="8">
        <f t="shared" si="7"/>
        <v>4.2</v>
      </c>
    </row>
    <row r="4831">
      <c r="A4831" s="1">
        <v>581571.0</v>
      </c>
      <c r="B4831" s="1" t="str">
        <f t="shared" si="1"/>
        <v>581571</v>
      </c>
      <c r="C4831" s="1" t="str">
        <f t="shared" si="2"/>
        <v>Sale</v>
      </c>
      <c r="D4831" s="1">
        <v>22227.0</v>
      </c>
      <c r="E4831" s="1" t="str">
        <f>IFERROR(__xludf.DUMMYFUNCTION("IF(LEN(D4831)&gt;4, IFERROR(REGEXEXTRACT(TO_TEXT(D4831),""\d+""),""""),"""")"),"22227")</f>
        <v>22227</v>
      </c>
      <c r="F4831" s="6" t="str">
        <f t="shared" si="3"/>
        <v>Product</v>
      </c>
      <c r="G4831" s="1" t="s">
        <v>791</v>
      </c>
      <c r="H4831" s="6" t="str">
        <f>IFERROR(__xludf.DUMMYFUNCTION("IF(REGEXMATCH(LOWER(G4831), ""^(\?)+\s*(missing)?\s*(\?)*$""), """", PROPER(SUBSTITUTE(SUBSTITUTE(G4831, ""?"", """"), ""*"", """")))"),"Hanging Heart Mirror Decoration")</f>
        <v>Hanging Heart Mirror Decoration</v>
      </c>
      <c r="I4831" s="3">
        <v>10.0</v>
      </c>
      <c r="J4831" s="7">
        <v>40886.5</v>
      </c>
      <c r="K4831" s="8" t="str">
        <f t="shared" si="4"/>
        <v>2011-12</v>
      </c>
      <c r="L4831" s="5">
        <v>0.65</v>
      </c>
      <c r="M4831" s="3">
        <v>15311.0</v>
      </c>
      <c r="N4831" s="1" t="str">
        <f t="shared" si="5"/>
        <v>Registered</v>
      </c>
      <c r="O4831" s="1" t="s">
        <v>19</v>
      </c>
      <c r="P4831" s="9" t="str">
        <f t="shared" si="6"/>
        <v>UK</v>
      </c>
      <c r="Q4831" s="8">
        <f t="shared" si="7"/>
        <v>6.5</v>
      </c>
    </row>
    <row r="4832">
      <c r="A4832" s="1">
        <v>581571.0</v>
      </c>
      <c r="B4832" s="1" t="str">
        <f t="shared" si="1"/>
        <v>581571</v>
      </c>
      <c r="C4832" s="1" t="str">
        <f t="shared" si="2"/>
        <v>Sale</v>
      </c>
      <c r="D4832" s="1">
        <v>22794.0</v>
      </c>
      <c r="E4832" s="1" t="str">
        <f>IFERROR(__xludf.DUMMYFUNCTION("IF(LEN(D4832)&gt;4, IFERROR(REGEXEXTRACT(TO_TEXT(D4832),""\d+""),""""),"""")"),"22794")</f>
        <v>22794</v>
      </c>
      <c r="F4832" s="6" t="str">
        <f t="shared" si="3"/>
        <v>Product</v>
      </c>
      <c r="G4832" s="1" t="s">
        <v>792</v>
      </c>
      <c r="H4832" s="6" t="str">
        <f>IFERROR(__xludf.DUMMYFUNCTION("IF(REGEXMATCH(LOWER(G4832), ""^(\?)+\s*(missing)?\s*(\?)*$""), """", PROPER(SUBSTITUTE(SUBSTITUTE(G4832, ""?"", """"), ""*"", """")))"),"Sweetheart Wire Magazine Rack")</f>
        <v>Sweetheart Wire Magazine Rack</v>
      </c>
      <c r="I4832" s="3">
        <v>1.0</v>
      </c>
      <c r="J4832" s="7">
        <v>40886.5</v>
      </c>
      <c r="K4832" s="8" t="str">
        <f t="shared" si="4"/>
        <v>2011-12</v>
      </c>
      <c r="L4832" s="5">
        <v>7.95</v>
      </c>
      <c r="M4832" s="3">
        <v>15311.0</v>
      </c>
      <c r="N4832" s="1" t="str">
        <f t="shared" si="5"/>
        <v>Registered</v>
      </c>
      <c r="O4832" s="1" t="s">
        <v>19</v>
      </c>
      <c r="P4832" s="9" t="str">
        <f t="shared" si="6"/>
        <v>UK</v>
      </c>
      <c r="Q4832" s="8">
        <f t="shared" si="7"/>
        <v>7.95</v>
      </c>
    </row>
    <row r="4833">
      <c r="A4833" s="1">
        <v>581571.0</v>
      </c>
      <c r="B4833" s="1" t="str">
        <f t="shared" si="1"/>
        <v>581571</v>
      </c>
      <c r="C4833" s="1" t="str">
        <f t="shared" si="2"/>
        <v>Sale</v>
      </c>
      <c r="D4833" s="1">
        <v>23182.0</v>
      </c>
      <c r="E4833" s="1" t="str">
        <f>IFERROR(__xludf.DUMMYFUNCTION("IF(LEN(D4833)&gt;4, IFERROR(REGEXEXTRACT(TO_TEXT(D4833),""\d+""),""""),"""")"),"23182")</f>
        <v>23182</v>
      </c>
      <c r="F4833" s="6" t="str">
        <f t="shared" si="3"/>
        <v>Product</v>
      </c>
      <c r="G4833" s="1" t="s">
        <v>1414</v>
      </c>
      <c r="H4833" s="6" t="str">
        <f>IFERROR(__xludf.DUMMYFUNCTION("IF(REGEXMATCH(LOWER(G4833), ""^(\?)+\s*(missing)?\s*(\?)*$""), """", PROPER(SUBSTITUTE(SUBSTITUTE(G4833, ""?"", """"), ""*"", """")))"),"Toilet Sign Occupied Or Vacant")</f>
        <v>Toilet Sign Occupied Or Vacant</v>
      </c>
      <c r="I4833" s="3">
        <v>1.0</v>
      </c>
      <c r="J4833" s="7">
        <v>40886.5</v>
      </c>
      <c r="K4833" s="8" t="str">
        <f t="shared" si="4"/>
        <v>2011-12</v>
      </c>
      <c r="L4833" s="5">
        <v>0.83</v>
      </c>
      <c r="M4833" s="3">
        <v>15311.0</v>
      </c>
      <c r="N4833" s="1" t="str">
        <f t="shared" si="5"/>
        <v>Registered</v>
      </c>
      <c r="O4833" s="1" t="s">
        <v>19</v>
      </c>
      <c r="P4833" s="9" t="str">
        <f t="shared" si="6"/>
        <v>UK</v>
      </c>
      <c r="Q4833" s="8">
        <f t="shared" si="7"/>
        <v>0.83</v>
      </c>
    </row>
    <row r="4834">
      <c r="A4834" s="1">
        <v>581571.0</v>
      </c>
      <c r="B4834" s="1" t="str">
        <f t="shared" si="1"/>
        <v>581571</v>
      </c>
      <c r="C4834" s="1" t="str">
        <f t="shared" si="2"/>
        <v>Sale</v>
      </c>
      <c r="D4834" s="1">
        <v>21755.0</v>
      </c>
      <c r="E4834" s="1" t="str">
        <f>IFERROR(__xludf.DUMMYFUNCTION("IF(LEN(D4834)&gt;4, IFERROR(REGEXEXTRACT(TO_TEXT(D4834),""\d+""),""""),"""")"),"21755")</f>
        <v>21755</v>
      </c>
      <c r="F4834" s="6" t="str">
        <f t="shared" si="3"/>
        <v>Product</v>
      </c>
      <c r="G4834" s="1" t="s">
        <v>40</v>
      </c>
      <c r="H4834" s="6" t="str">
        <f>IFERROR(__xludf.DUMMYFUNCTION("IF(REGEXMATCH(LOWER(G4834), ""^(\?)+\s*(missing)?\s*(\?)*$""), """", PROPER(SUBSTITUTE(SUBSTITUTE(G4834, ""?"", """"), ""*"", """")))"),"Love Building Block Word")</f>
        <v>Love Building Block Word</v>
      </c>
      <c r="I4834" s="3">
        <v>1.0</v>
      </c>
      <c r="J4834" s="7">
        <v>40886.5</v>
      </c>
      <c r="K4834" s="8" t="str">
        <f t="shared" si="4"/>
        <v>2011-12</v>
      </c>
      <c r="L4834" s="5">
        <v>6.25</v>
      </c>
      <c r="M4834" s="3">
        <v>15311.0</v>
      </c>
      <c r="N4834" s="1" t="str">
        <f t="shared" si="5"/>
        <v>Registered</v>
      </c>
      <c r="O4834" s="1" t="s">
        <v>19</v>
      </c>
      <c r="P4834" s="9" t="str">
        <f t="shared" si="6"/>
        <v>UK</v>
      </c>
      <c r="Q4834" s="8">
        <f t="shared" si="7"/>
        <v>6.25</v>
      </c>
    </row>
    <row r="4835">
      <c r="A4835" s="1">
        <v>581571.0</v>
      </c>
      <c r="B4835" s="1" t="str">
        <f t="shared" si="1"/>
        <v>581571</v>
      </c>
      <c r="C4835" s="1" t="str">
        <f t="shared" si="2"/>
        <v>Sale</v>
      </c>
      <c r="D4835" s="1">
        <v>85053.0</v>
      </c>
      <c r="E4835" s="1" t="str">
        <f>IFERROR(__xludf.DUMMYFUNCTION("IF(LEN(D4835)&gt;4, IFERROR(REGEXEXTRACT(TO_TEXT(D4835),""\d+""),""""),"""")"),"85053")</f>
        <v>85053</v>
      </c>
      <c r="F4835" s="6" t="str">
        <f t="shared" si="3"/>
        <v>Product</v>
      </c>
      <c r="G4835" s="1" t="s">
        <v>922</v>
      </c>
      <c r="H4835" s="6" t="str">
        <f>IFERROR(__xludf.DUMMYFUNCTION("IF(REGEXMATCH(LOWER(G4835), ""^(\?)+\s*(missing)?\s*(\?)*$""), """", PROPER(SUBSTITUTE(SUBSTITUTE(G4835, ""?"", """"), ""*"", """")))"),"French Enamel Candleholder")</f>
        <v>French Enamel Candleholder</v>
      </c>
      <c r="I4835" s="3">
        <v>2.0</v>
      </c>
      <c r="J4835" s="7">
        <v>40886.5</v>
      </c>
      <c r="K4835" s="8" t="str">
        <f t="shared" si="4"/>
        <v>2011-12</v>
      </c>
      <c r="L4835" s="5">
        <v>2.1</v>
      </c>
      <c r="M4835" s="3">
        <v>15311.0</v>
      </c>
      <c r="N4835" s="1" t="str">
        <f t="shared" si="5"/>
        <v>Registered</v>
      </c>
      <c r="O4835" s="1" t="s">
        <v>19</v>
      </c>
      <c r="P4835" s="9" t="str">
        <f t="shared" si="6"/>
        <v>UK</v>
      </c>
      <c r="Q4835" s="8">
        <f t="shared" si="7"/>
        <v>4.2</v>
      </c>
    </row>
    <row r="4836">
      <c r="A4836" s="1">
        <v>581571.0</v>
      </c>
      <c r="B4836" s="1" t="str">
        <f t="shared" si="1"/>
        <v>581571</v>
      </c>
      <c r="C4836" s="1" t="str">
        <f t="shared" si="2"/>
        <v>Sale</v>
      </c>
      <c r="D4836" s="1">
        <v>23110.0</v>
      </c>
      <c r="E4836" s="1" t="str">
        <f>IFERROR(__xludf.DUMMYFUNCTION("IF(LEN(D4836)&gt;4, IFERROR(REGEXEXTRACT(TO_TEXT(D4836),""\d+""),""""),"""")"),"23110")</f>
        <v>23110</v>
      </c>
      <c r="F4836" s="6" t="str">
        <f t="shared" si="3"/>
        <v>Product</v>
      </c>
      <c r="G4836" s="1" t="s">
        <v>1983</v>
      </c>
      <c r="H4836" s="6" t="str">
        <f>IFERROR(__xludf.DUMMYFUNCTION("IF(REGEXMATCH(LOWER(G4836), ""^(\?)+\s*(missing)?\s*(\?)*$""), """", PROPER(SUBSTITUTE(SUBSTITUTE(G4836, ""?"", """"), ""*"", """")))"),"Parisienne Key Cabinet")</f>
        <v>Parisienne Key Cabinet</v>
      </c>
      <c r="I4836" s="3">
        <v>2.0</v>
      </c>
      <c r="J4836" s="7">
        <v>40886.5</v>
      </c>
      <c r="K4836" s="8" t="str">
        <f t="shared" si="4"/>
        <v>2011-12</v>
      </c>
      <c r="L4836" s="5">
        <v>5.75</v>
      </c>
      <c r="M4836" s="3">
        <v>15311.0</v>
      </c>
      <c r="N4836" s="1" t="str">
        <f t="shared" si="5"/>
        <v>Registered</v>
      </c>
      <c r="O4836" s="1" t="s">
        <v>19</v>
      </c>
      <c r="P4836" s="9" t="str">
        <f t="shared" si="6"/>
        <v>UK</v>
      </c>
      <c r="Q4836" s="8">
        <f t="shared" si="7"/>
        <v>11.5</v>
      </c>
    </row>
    <row r="4837">
      <c r="A4837" s="1">
        <v>581571.0</v>
      </c>
      <c r="B4837" s="1" t="str">
        <f t="shared" si="1"/>
        <v>581571</v>
      </c>
      <c r="C4837" s="1" t="str">
        <f t="shared" si="2"/>
        <v>Sale</v>
      </c>
      <c r="D4837" s="1">
        <v>21169.0</v>
      </c>
      <c r="E4837" s="1" t="str">
        <f>IFERROR(__xludf.DUMMYFUNCTION("IF(LEN(D4837)&gt;4, IFERROR(REGEXEXTRACT(TO_TEXT(D4837),""\d+""),""""),"""")"),"21169")</f>
        <v>21169</v>
      </c>
      <c r="F4837" s="6" t="str">
        <f t="shared" si="3"/>
        <v>Product</v>
      </c>
      <c r="G4837" s="1" t="s">
        <v>121</v>
      </c>
      <c r="H4837" s="6" t="str">
        <f>IFERROR(__xludf.DUMMYFUNCTION("IF(REGEXMATCH(LOWER(G4837), ""^(\?)+\s*(missing)?\s*(\?)*$""), """", PROPER(SUBSTITUTE(SUBSTITUTE(G4837, ""?"", """"), ""*"", """")))"),"You'Re Confusing Me Metal Sign")</f>
        <v>You'Re Confusing Me Metal Sign</v>
      </c>
      <c r="I4837" s="3">
        <v>1.0</v>
      </c>
      <c r="J4837" s="7">
        <v>40886.5</v>
      </c>
      <c r="K4837" s="8" t="str">
        <f t="shared" si="4"/>
        <v>2011-12</v>
      </c>
      <c r="L4837" s="5">
        <v>1.69</v>
      </c>
      <c r="M4837" s="3">
        <v>15311.0</v>
      </c>
      <c r="N4837" s="1" t="str">
        <f t="shared" si="5"/>
        <v>Registered</v>
      </c>
      <c r="O4837" s="1" t="s">
        <v>19</v>
      </c>
      <c r="P4837" s="9" t="str">
        <f t="shared" si="6"/>
        <v>UK</v>
      </c>
      <c r="Q4837" s="8">
        <f t="shared" si="7"/>
        <v>1.69</v>
      </c>
    </row>
    <row r="4838">
      <c r="A4838" s="1">
        <v>581571.0</v>
      </c>
      <c r="B4838" s="1" t="str">
        <f t="shared" si="1"/>
        <v>581571</v>
      </c>
      <c r="C4838" s="1" t="str">
        <f t="shared" si="2"/>
        <v>Sale</v>
      </c>
      <c r="D4838" s="1">
        <v>21258.0</v>
      </c>
      <c r="E4838" s="1" t="str">
        <f>IFERROR(__xludf.DUMMYFUNCTION("IF(LEN(D4838)&gt;4, IFERROR(REGEXEXTRACT(TO_TEXT(D4838),""\d+""),""""),"""")"),"21258")</f>
        <v>21258</v>
      </c>
      <c r="F4838" s="6" t="str">
        <f t="shared" si="3"/>
        <v>Product</v>
      </c>
      <c r="G4838" s="1" t="s">
        <v>81</v>
      </c>
      <c r="H4838" s="6" t="str">
        <f>IFERROR(__xludf.DUMMYFUNCTION("IF(REGEXMATCH(LOWER(G4838), ""^(\?)+\s*(missing)?\s*(\?)*$""), """", PROPER(SUBSTITUTE(SUBSTITUTE(G4838, ""?"", """"), ""*"", """")))"),"Victorian Sewing Box Large")</f>
        <v>Victorian Sewing Box Large</v>
      </c>
      <c r="I4838" s="3">
        <v>8.0</v>
      </c>
      <c r="J4838" s="7">
        <v>40886.5</v>
      </c>
      <c r="K4838" s="8" t="str">
        <f t="shared" si="4"/>
        <v>2011-12</v>
      </c>
      <c r="L4838" s="5">
        <v>10.95</v>
      </c>
      <c r="M4838" s="3">
        <v>15311.0</v>
      </c>
      <c r="N4838" s="1" t="str">
        <f t="shared" si="5"/>
        <v>Registered</v>
      </c>
      <c r="O4838" s="1" t="s">
        <v>19</v>
      </c>
      <c r="P4838" s="9" t="str">
        <f t="shared" si="6"/>
        <v>UK</v>
      </c>
      <c r="Q4838" s="8">
        <f t="shared" si="7"/>
        <v>87.6</v>
      </c>
    </row>
    <row r="4839">
      <c r="A4839" s="1">
        <v>581571.0</v>
      </c>
      <c r="B4839" s="1" t="str">
        <f t="shared" si="1"/>
        <v>581571</v>
      </c>
      <c r="C4839" s="1" t="str">
        <f t="shared" si="2"/>
        <v>Sale</v>
      </c>
      <c r="D4839" s="1">
        <v>23168.0</v>
      </c>
      <c r="E4839" s="1" t="str">
        <f>IFERROR(__xludf.DUMMYFUNCTION("IF(LEN(D4839)&gt;4, IFERROR(REGEXEXTRACT(TO_TEXT(D4839),""\d+""),""""),"""")"),"23168")</f>
        <v>23168</v>
      </c>
      <c r="F4839" s="6" t="str">
        <f t="shared" si="3"/>
        <v>Product</v>
      </c>
      <c r="G4839" s="1" t="s">
        <v>1594</v>
      </c>
      <c r="H4839" s="6" t="str">
        <f>IFERROR(__xludf.DUMMYFUNCTION("IF(REGEXMATCH(LOWER(G4839), ""^(\?)+\s*(missing)?\s*(\?)*$""), """", PROPER(SUBSTITUTE(SUBSTITUTE(G4839, ""?"", """"), ""*"", """")))"),"Classic Cafe Sugar Dispenser")</f>
        <v>Classic Cafe Sugar Dispenser</v>
      </c>
      <c r="I4839" s="3">
        <v>36.0</v>
      </c>
      <c r="J4839" s="7">
        <v>40886.5</v>
      </c>
      <c r="K4839" s="8" t="str">
        <f t="shared" si="4"/>
        <v>2011-12</v>
      </c>
      <c r="L4839" s="5">
        <v>1.04</v>
      </c>
      <c r="M4839" s="3">
        <v>15311.0</v>
      </c>
      <c r="N4839" s="1" t="str">
        <f t="shared" si="5"/>
        <v>Registered</v>
      </c>
      <c r="O4839" s="1" t="s">
        <v>19</v>
      </c>
      <c r="P4839" s="9" t="str">
        <f t="shared" si="6"/>
        <v>UK</v>
      </c>
      <c r="Q4839" s="8">
        <f t="shared" si="7"/>
        <v>37.44</v>
      </c>
    </row>
    <row r="4840">
      <c r="A4840" s="1">
        <v>581571.0</v>
      </c>
      <c r="B4840" s="1" t="str">
        <f t="shared" si="1"/>
        <v>581571</v>
      </c>
      <c r="C4840" s="1" t="str">
        <f t="shared" si="2"/>
        <v>Sale</v>
      </c>
      <c r="D4840" s="1">
        <v>23167.0</v>
      </c>
      <c r="E4840" s="1" t="str">
        <f>IFERROR(__xludf.DUMMYFUNCTION("IF(LEN(D4840)&gt;4, IFERROR(REGEXEXTRACT(TO_TEXT(D4840),""\d+""),""""),"""")"),"23167")</f>
        <v>23167</v>
      </c>
      <c r="F4840" s="6" t="str">
        <f t="shared" si="3"/>
        <v>Product</v>
      </c>
      <c r="G4840" s="1" t="s">
        <v>1595</v>
      </c>
      <c r="H4840" s="6" t="str">
        <f>IFERROR(__xludf.DUMMYFUNCTION("IF(REGEXMATCH(LOWER(G4840), ""^(\?)+\s*(missing)?\s*(\?)*$""), """", PROPER(SUBSTITUTE(SUBSTITUTE(G4840, ""?"", """"), ""*"", """")))"),"Small Ceramic Top Storage Jar")</f>
        <v>Small Ceramic Top Storage Jar</v>
      </c>
      <c r="I4840" s="3">
        <v>96.0</v>
      </c>
      <c r="J4840" s="7">
        <v>40886.5</v>
      </c>
      <c r="K4840" s="8" t="str">
        <f t="shared" si="4"/>
        <v>2011-12</v>
      </c>
      <c r="L4840" s="5">
        <v>0.69</v>
      </c>
      <c r="M4840" s="3">
        <v>15311.0</v>
      </c>
      <c r="N4840" s="1" t="str">
        <f t="shared" si="5"/>
        <v>Registered</v>
      </c>
      <c r="O4840" s="1" t="s">
        <v>19</v>
      </c>
      <c r="P4840" s="9" t="str">
        <f t="shared" si="6"/>
        <v>UK</v>
      </c>
      <c r="Q4840" s="8">
        <f t="shared" si="7"/>
        <v>66.24</v>
      </c>
    </row>
    <row r="4841">
      <c r="A4841" s="1">
        <v>581571.0</v>
      </c>
      <c r="B4841" s="1" t="str">
        <f t="shared" si="1"/>
        <v>581571</v>
      </c>
      <c r="C4841" s="1" t="str">
        <f t="shared" si="2"/>
        <v>Sale</v>
      </c>
      <c r="D4841" s="1">
        <v>21314.0</v>
      </c>
      <c r="E4841" s="1" t="str">
        <f>IFERROR(__xludf.DUMMYFUNCTION("IF(LEN(D4841)&gt;4, IFERROR(REGEXEXTRACT(TO_TEXT(D4841),""\d+""),""""),"""")"),"21314")</f>
        <v>21314</v>
      </c>
      <c r="F4841" s="6" t="str">
        <f t="shared" si="3"/>
        <v>Product</v>
      </c>
      <c r="G4841" s="1" t="s">
        <v>254</v>
      </c>
      <c r="H4841" s="6" t="str">
        <f>IFERROR(__xludf.DUMMYFUNCTION("IF(REGEXMATCH(LOWER(G4841), ""^(\?)+\s*(missing)?\s*(\?)*$""), """", PROPER(SUBSTITUTE(SUBSTITUTE(G4841, ""?"", """"), ""*"", """")))"),"Small Glass Heart Trinket Pot")</f>
        <v>Small Glass Heart Trinket Pot</v>
      </c>
      <c r="I4841" s="3">
        <v>48.0</v>
      </c>
      <c r="J4841" s="7">
        <v>40886.5</v>
      </c>
      <c r="K4841" s="8" t="str">
        <f t="shared" si="4"/>
        <v>2011-12</v>
      </c>
      <c r="L4841" s="5">
        <v>1.85</v>
      </c>
      <c r="M4841" s="3">
        <v>15311.0</v>
      </c>
      <c r="N4841" s="1" t="str">
        <f t="shared" si="5"/>
        <v>Registered</v>
      </c>
      <c r="O4841" s="1" t="s">
        <v>19</v>
      </c>
      <c r="P4841" s="9" t="str">
        <f t="shared" si="6"/>
        <v>UK</v>
      </c>
      <c r="Q4841" s="8">
        <f t="shared" si="7"/>
        <v>88.8</v>
      </c>
    </row>
    <row r="4842">
      <c r="A4842" s="1">
        <v>581571.0</v>
      </c>
      <c r="B4842" s="1" t="str">
        <f t="shared" si="1"/>
        <v>581571</v>
      </c>
      <c r="C4842" s="1" t="str">
        <f t="shared" si="2"/>
        <v>Sale</v>
      </c>
      <c r="D4842" s="1">
        <v>21137.0</v>
      </c>
      <c r="E4842" s="1" t="str">
        <f>IFERROR(__xludf.DUMMYFUNCTION("IF(LEN(D4842)&gt;4, IFERROR(REGEXEXTRACT(TO_TEXT(D4842),""\d+""),""""),"""")"),"21137")</f>
        <v>21137</v>
      </c>
      <c r="F4842" s="6" t="str">
        <f t="shared" si="3"/>
        <v>Product</v>
      </c>
      <c r="G4842" s="1" t="s">
        <v>803</v>
      </c>
      <c r="H4842" s="6" t="str">
        <f>IFERROR(__xludf.DUMMYFUNCTION("IF(REGEXMATCH(LOWER(G4842), ""^(\?)+\s*(missing)?\s*(\?)*$""), """", PROPER(SUBSTITUTE(SUBSTITUTE(G4842, ""?"", """"), ""*"", """")))"),"Black Record Cover Frame")</f>
        <v>Black Record Cover Frame</v>
      </c>
      <c r="I4842" s="3">
        <v>24.0</v>
      </c>
      <c r="J4842" s="7">
        <v>40886.5</v>
      </c>
      <c r="K4842" s="8" t="str">
        <f t="shared" si="4"/>
        <v>2011-12</v>
      </c>
      <c r="L4842" s="5">
        <v>3.39</v>
      </c>
      <c r="M4842" s="3">
        <v>15311.0</v>
      </c>
      <c r="N4842" s="1" t="str">
        <f t="shared" si="5"/>
        <v>Registered</v>
      </c>
      <c r="O4842" s="1" t="s">
        <v>19</v>
      </c>
      <c r="P4842" s="9" t="str">
        <f t="shared" si="6"/>
        <v>UK</v>
      </c>
      <c r="Q4842" s="8">
        <f t="shared" si="7"/>
        <v>81.36</v>
      </c>
    </row>
    <row r="4843">
      <c r="A4843" s="1">
        <v>581571.0</v>
      </c>
      <c r="B4843" s="1" t="str">
        <f t="shared" si="1"/>
        <v>581571</v>
      </c>
      <c r="C4843" s="1" t="str">
        <f t="shared" si="2"/>
        <v>Sale</v>
      </c>
      <c r="D4843" s="1">
        <v>44234.0</v>
      </c>
      <c r="E4843" s="1" t="str">
        <f>IFERROR(__xludf.DUMMYFUNCTION("IF(LEN(D4843)&gt;4, IFERROR(REGEXEXTRACT(TO_TEXT(D4843),""\d+""),""""),"""")"),"44234")</f>
        <v>44234</v>
      </c>
      <c r="F4843" s="6" t="str">
        <f t="shared" si="3"/>
        <v>Product</v>
      </c>
      <c r="G4843" s="1" t="s">
        <v>2139</v>
      </c>
      <c r="H4843" s="6" t="str">
        <f>IFERROR(__xludf.DUMMYFUNCTION("IF(REGEXMATCH(LOWER(G4843), ""^(\?)+\s*(missing)?\s*(\?)*$""), """", PROPER(SUBSTITUTE(SUBSTITUTE(G4843, ""?"", """"), ""*"", """")))"),"Assorted Circular Mobile")</f>
        <v>Assorted Circular Mobile</v>
      </c>
      <c r="I4843" s="3">
        <v>1.0</v>
      </c>
      <c r="J4843" s="7">
        <v>40886.5</v>
      </c>
      <c r="K4843" s="8" t="str">
        <f t="shared" si="4"/>
        <v>2011-12</v>
      </c>
      <c r="L4843" s="5">
        <v>0.21</v>
      </c>
      <c r="M4843" s="3">
        <v>15311.0</v>
      </c>
      <c r="N4843" s="1" t="str">
        <f t="shared" si="5"/>
        <v>Registered</v>
      </c>
      <c r="O4843" s="1" t="s">
        <v>19</v>
      </c>
      <c r="P4843" s="9" t="str">
        <f t="shared" si="6"/>
        <v>UK</v>
      </c>
      <c r="Q4843" s="8">
        <f t="shared" si="7"/>
        <v>0.21</v>
      </c>
    </row>
    <row r="4844">
      <c r="A4844" s="1">
        <v>581571.0</v>
      </c>
      <c r="B4844" s="1" t="str">
        <f t="shared" si="1"/>
        <v>581571</v>
      </c>
      <c r="C4844" s="1" t="str">
        <f t="shared" si="2"/>
        <v>Sale</v>
      </c>
      <c r="D4844" s="1">
        <v>84347.0</v>
      </c>
      <c r="E4844" s="1" t="str">
        <f>IFERROR(__xludf.DUMMYFUNCTION("IF(LEN(D4844)&gt;4, IFERROR(REGEXEXTRACT(TO_TEXT(D4844),""\d+""),""""),"""")"),"84347")</f>
        <v>84347</v>
      </c>
      <c r="F4844" s="6" t="str">
        <f t="shared" si="3"/>
        <v>Product</v>
      </c>
      <c r="G4844" s="1" t="s">
        <v>386</v>
      </c>
      <c r="H4844" s="6" t="str">
        <f>IFERROR(__xludf.DUMMYFUNCTION("IF(REGEXMATCH(LOWER(G4844), ""^(\?)+\s*(missing)?\s*(\?)*$""), """", PROPER(SUBSTITUTE(SUBSTITUTE(G4844, ""?"", """"), ""*"", """")))"),"Rotating Silver Angels T-Light Hldr")</f>
        <v>Rotating Silver Angels T-Light Hldr</v>
      </c>
      <c r="I4844" s="3">
        <v>24.0</v>
      </c>
      <c r="J4844" s="7">
        <v>40886.5</v>
      </c>
      <c r="K4844" s="8" t="str">
        <f t="shared" si="4"/>
        <v>2011-12</v>
      </c>
      <c r="L4844" s="5">
        <v>2.55</v>
      </c>
      <c r="M4844" s="3">
        <v>15311.0</v>
      </c>
      <c r="N4844" s="1" t="str">
        <f t="shared" si="5"/>
        <v>Registered</v>
      </c>
      <c r="O4844" s="1" t="s">
        <v>19</v>
      </c>
      <c r="P4844" s="9" t="str">
        <f t="shared" si="6"/>
        <v>UK</v>
      </c>
      <c r="Q4844" s="8">
        <f t="shared" si="7"/>
        <v>61.2</v>
      </c>
    </row>
    <row r="4845">
      <c r="A4845" s="1">
        <v>581572.0</v>
      </c>
      <c r="B4845" s="1" t="str">
        <f t="shared" si="1"/>
        <v>581572</v>
      </c>
      <c r="C4845" s="1" t="str">
        <f t="shared" si="2"/>
        <v>Sale</v>
      </c>
      <c r="D4845" s="1">
        <v>23328.0</v>
      </c>
      <c r="E4845" s="1" t="str">
        <f>IFERROR(__xludf.DUMMYFUNCTION("IF(LEN(D4845)&gt;4, IFERROR(REGEXEXTRACT(TO_TEXT(D4845),""\d+""),""""),"""")"),"23328")</f>
        <v>23328</v>
      </c>
      <c r="F4845" s="6" t="str">
        <f t="shared" si="3"/>
        <v>Product</v>
      </c>
      <c r="G4845" s="1" t="s">
        <v>2028</v>
      </c>
      <c r="H4845" s="6" t="str">
        <f>IFERROR(__xludf.DUMMYFUNCTION("IF(REGEXMATCH(LOWER(G4845), ""^(\?)+\s*(missing)?\s*(\?)*$""), """", PROPER(SUBSTITUTE(SUBSTITUTE(G4845, ""?"", """"), ""*"", """")))"),"Set 6 School Milk Bottles In Crate")</f>
        <v>Set 6 School Milk Bottles In Crate</v>
      </c>
      <c r="I4845" s="3">
        <v>48.0</v>
      </c>
      <c r="J4845" s="7">
        <v>40886.50555555556</v>
      </c>
      <c r="K4845" s="8" t="str">
        <f t="shared" si="4"/>
        <v>2011-12</v>
      </c>
      <c r="L4845" s="5">
        <v>3.39</v>
      </c>
      <c r="M4845" s="3">
        <v>16705.0</v>
      </c>
      <c r="N4845" s="1" t="str">
        <f t="shared" si="5"/>
        <v>Registered</v>
      </c>
      <c r="O4845" s="1" t="s">
        <v>19</v>
      </c>
      <c r="P4845" s="9" t="str">
        <f t="shared" si="6"/>
        <v>UK</v>
      </c>
      <c r="Q4845" s="8">
        <f t="shared" si="7"/>
        <v>162.72</v>
      </c>
    </row>
    <row r="4846">
      <c r="A4846" s="1">
        <v>581572.0</v>
      </c>
      <c r="B4846" s="1" t="str">
        <f t="shared" si="1"/>
        <v>581572</v>
      </c>
      <c r="C4846" s="1" t="str">
        <f t="shared" si="2"/>
        <v>Sale</v>
      </c>
      <c r="D4846" s="1">
        <v>22627.0</v>
      </c>
      <c r="E4846" s="1" t="str">
        <f>IFERROR(__xludf.DUMMYFUNCTION("IF(LEN(D4846)&gt;4, IFERROR(REGEXEXTRACT(TO_TEXT(D4846),""\d+""),""""),"""")"),"22627")</f>
        <v>22627</v>
      </c>
      <c r="F4846" s="6" t="str">
        <f t="shared" si="3"/>
        <v>Product</v>
      </c>
      <c r="G4846" s="1" t="s">
        <v>1429</v>
      </c>
      <c r="H4846" s="6" t="str">
        <f>IFERROR(__xludf.DUMMYFUNCTION("IF(REGEXMATCH(LOWER(G4846), ""^(\?)+\s*(missing)?\s*(\?)*$""), """", PROPER(SUBSTITUTE(SUBSTITUTE(G4846, ""?"", """"), ""*"", """")))"),"Mint Kitchen Scales")</f>
        <v>Mint Kitchen Scales</v>
      </c>
      <c r="I4846" s="3">
        <v>4.0</v>
      </c>
      <c r="J4846" s="7">
        <v>40886.50555555556</v>
      </c>
      <c r="K4846" s="8" t="str">
        <f t="shared" si="4"/>
        <v>2011-12</v>
      </c>
      <c r="L4846" s="5">
        <v>8.5</v>
      </c>
      <c r="M4846" s="3">
        <v>16705.0</v>
      </c>
      <c r="N4846" s="1" t="str">
        <f t="shared" si="5"/>
        <v>Registered</v>
      </c>
      <c r="O4846" s="1" t="s">
        <v>19</v>
      </c>
      <c r="P4846" s="9" t="str">
        <f t="shared" si="6"/>
        <v>UK</v>
      </c>
      <c r="Q4846" s="8">
        <f t="shared" si="7"/>
        <v>34</v>
      </c>
    </row>
    <row r="4847">
      <c r="A4847" s="1">
        <v>581572.0</v>
      </c>
      <c r="B4847" s="1" t="str">
        <f t="shared" si="1"/>
        <v>581572</v>
      </c>
      <c r="C4847" s="1" t="str">
        <f t="shared" si="2"/>
        <v>Sale</v>
      </c>
      <c r="D4847" s="1">
        <v>22624.0</v>
      </c>
      <c r="E4847" s="1" t="str">
        <f>IFERROR(__xludf.DUMMYFUNCTION("IF(LEN(D4847)&gt;4, IFERROR(REGEXEXTRACT(TO_TEXT(D4847),""\d+""),""""),"""")"),"22624")</f>
        <v>22624</v>
      </c>
      <c r="F4847" s="6" t="str">
        <f t="shared" si="3"/>
        <v>Product</v>
      </c>
      <c r="G4847" s="1" t="s">
        <v>771</v>
      </c>
      <c r="H4847" s="6" t="str">
        <f>IFERROR(__xludf.DUMMYFUNCTION("IF(REGEXMATCH(LOWER(G4847), ""^(\?)+\s*(missing)?\s*(\?)*$""), """", PROPER(SUBSTITUTE(SUBSTITUTE(G4847, ""?"", """"), ""*"", """")))"),"Ivory Kitchen Scales")</f>
        <v>Ivory Kitchen Scales</v>
      </c>
      <c r="I4847" s="3">
        <v>4.0</v>
      </c>
      <c r="J4847" s="7">
        <v>40886.50555555556</v>
      </c>
      <c r="K4847" s="8" t="str">
        <f t="shared" si="4"/>
        <v>2011-12</v>
      </c>
      <c r="L4847" s="5">
        <v>8.5</v>
      </c>
      <c r="M4847" s="3">
        <v>16705.0</v>
      </c>
      <c r="N4847" s="1" t="str">
        <f t="shared" si="5"/>
        <v>Registered</v>
      </c>
      <c r="O4847" s="1" t="s">
        <v>19</v>
      </c>
      <c r="P4847" s="9" t="str">
        <f t="shared" si="6"/>
        <v>UK</v>
      </c>
      <c r="Q4847" s="8">
        <f t="shared" si="7"/>
        <v>34</v>
      </c>
    </row>
    <row r="4848">
      <c r="A4848" s="1">
        <v>581572.0</v>
      </c>
      <c r="B4848" s="1" t="str">
        <f t="shared" si="1"/>
        <v>581572</v>
      </c>
      <c r="C4848" s="1" t="str">
        <f t="shared" si="2"/>
        <v>Sale</v>
      </c>
      <c r="D4848" s="1">
        <v>23245.0</v>
      </c>
      <c r="E4848" s="1" t="str">
        <f>IFERROR(__xludf.DUMMYFUNCTION("IF(LEN(D4848)&gt;4, IFERROR(REGEXEXTRACT(TO_TEXT(D4848),""\d+""),""""),"""")"),"23245")</f>
        <v>23245</v>
      </c>
      <c r="F4848" s="6" t="str">
        <f t="shared" si="3"/>
        <v>Product</v>
      </c>
      <c r="G4848" s="1" t="s">
        <v>1580</v>
      </c>
      <c r="H4848" s="6" t="str">
        <f>IFERROR(__xludf.DUMMYFUNCTION("IF(REGEXMATCH(LOWER(G4848), ""^(\?)+\s*(missing)?\s*(\?)*$""), """", PROPER(SUBSTITUTE(SUBSTITUTE(G4848, ""?"", """"), ""*"", """")))"),"Set Of 3 Regency Cake Tins")</f>
        <v>Set Of 3 Regency Cake Tins</v>
      </c>
      <c r="I4848" s="3">
        <v>4.0</v>
      </c>
      <c r="J4848" s="7">
        <v>40886.50555555556</v>
      </c>
      <c r="K4848" s="8" t="str">
        <f t="shared" si="4"/>
        <v>2011-12</v>
      </c>
      <c r="L4848" s="5">
        <v>4.95</v>
      </c>
      <c r="M4848" s="3">
        <v>16705.0</v>
      </c>
      <c r="N4848" s="1" t="str">
        <f t="shared" si="5"/>
        <v>Registered</v>
      </c>
      <c r="O4848" s="1" t="s">
        <v>19</v>
      </c>
      <c r="P4848" s="9" t="str">
        <f t="shared" si="6"/>
        <v>UK</v>
      </c>
      <c r="Q4848" s="8">
        <f t="shared" si="7"/>
        <v>19.8</v>
      </c>
    </row>
    <row r="4849">
      <c r="A4849" s="1">
        <v>581574.0</v>
      </c>
      <c r="B4849" s="1" t="str">
        <f t="shared" si="1"/>
        <v>581574</v>
      </c>
      <c r="C4849" s="1" t="str">
        <f t="shared" si="2"/>
        <v>Sale</v>
      </c>
      <c r="D4849" s="1">
        <v>22326.0</v>
      </c>
      <c r="E4849" s="1" t="str">
        <f>IFERROR(__xludf.DUMMYFUNCTION("IF(LEN(D4849)&gt;4, IFERROR(REGEXEXTRACT(TO_TEXT(D4849),""\d+""),""""),"""")"),"22326")</f>
        <v>22326</v>
      </c>
      <c r="F4849" s="6" t="str">
        <f t="shared" si="3"/>
        <v>Product</v>
      </c>
      <c r="G4849" s="1" t="s">
        <v>57</v>
      </c>
      <c r="H4849" s="6" t="str">
        <f>IFERROR(__xludf.DUMMYFUNCTION("IF(REGEXMATCH(LOWER(G4849), ""^(\?)+\s*(missing)?\s*(\?)*$""), """", PROPER(SUBSTITUTE(SUBSTITUTE(G4849, ""?"", """"), ""*"", """")))"),"Round Snack Boxes Set Of4 Woodland")</f>
        <v>Round Snack Boxes Set Of4 Woodland</v>
      </c>
      <c r="I4849" s="3">
        <v>6.0</v>
      </c>
      <c r="J4849" s="7">
        <v>40886.50625</v>
      </c>
      <c r="K4849" s="8" t="str">
        <f t="shared" si="4"/>
        <v>2011-12</v>
      </c>
      <c r="L4849" s="5">
        <v>2.95</v>
      </c>
      <c r="M4849" s="3">
        <v>12526.0</v>
      </c>
      <c r="N4849" s="1" t="str">
        <f t="shared" si="5"/>
        <v>Registered</v>
      </c>
      <c r="O4849" s="1" t="s">
        <v>1288</v>
      </c>
      <c r="P4849" s="9" t="str">
        <f t="shared" si="6"/>
        <v>International</v>
      </c>
      <c r="Q4849" s="8">
        <f t="shared" si="7"/>
        <v>17.7</v>
      </c>
    </row>
    <row r="4850">
      <c r="A4850" s="1">
        <v>581574.0</v>
      </c>
      <c r="B4850" s="1" t="str">
        <f t="shared" si="1"/>
        <v>581574</v>
      </c>
      <c r="C4850" s="1" t="str">
        <f t="shared" si="2"/>
        <v>Sale</v>
      </c>
      <c r="D4850" s="1">
        <v>22328.0</v>
      </c>
      <c r="E4850" s="1" t="str">
        <f>IFERROR(__xludf.DUMMYFUNCTION("IF(LEN(D4850)&gt;4, IFERROR(REGEXEXTRACT(TO_TEXT(D4850),""\d+""),""""),"""")"),"22328")</f>
        <v>22328</v>
      </c>
      <c r="F4850" s="6" t="str">
        <f t="shared" si="3"/>
        <v>Product</v>
      </c>
      <c r="G4850" s="1" t="s">
        <v>431</v>
      </c>
      <c r="H4850" s="6" t="str">
        <f>IFERROR(__xludf.DUMMYFUNCTION("IF(REGEXMATCH(LOWER(G4850), ""^(\?)+\s*(missing)?\s*(\?)*$""), """", PROPER(SUBSTITUTE(SUBSTITUTE(G4850, ""?"", """"), ""*"", """")))"),"Round Snack Boxes Set Of 4 Fruits")</f>
        <v>Round Snack Boxes Set Of 4 Fruits</v>
      </c>
      <c r="I4850" s="3">
        <v>6.0</v>
      </c>
      <c r="J4850" s="7">
        <v>40886.50625</v>
      </c>
      <c r="K4850" s="8" t="str">
        <f t="shared" si="4"/>
        <v>2011-12</v>
      </c>
      <c r="L4850" s="5">
        <v>2.95</v>
      </c>
      <c r="M4850" s="3">
        <v>12526.0</v>
      </c>
      <c r="N4850" s="1" t="str">
        <f t="shared" si="5"/>
        <v>Registered</v>
      </c>
      <c r="O4850" s="1" t="s">
        <v>1288</v>
      </c>
      <c r="P4850" s="9" t="str">
        <f t="shared" si="6"/>
        <v>International</v>
      </c>
      <c r="Q4850" s="8">
        <f t="shared" si="7"/>
        <v>17.7</v>
      </c>
    </row>
    <row r="4851">
      <c r="A4851" s="1">
        <v>581574.0</v>
      </c>
      <c r="B4851" s="1" t="str">
        <f t="shared" si="1"/>
        <v>581574</v>
      </c>
      <c r="C4851" s="1" t="str">
        <f t="shared" si="2"/>
        <v>Sale</v>
      </c>
      <c r="D4851" s="1">
        <v>23199.0</v>
      </c>
      <c r="E4851" s="1" t="str">
        <f>IFERROR(__xludf.DUMMYFUNCTION("IF(LEN(D4851)&gt;4, IFERROR(REGEXEXTRACT(TO_TEXT(D4851),""\d+""),""""),"""")"),"23199")</f>
        <v>23199</v>
      </c>
      <c r="F4851" s="6" t="str">
        <f t="shared" si="3"/>
        <v>Product</v>
      </c>
      <c r="G4851" s="1" t="s">
        <v>1994</v>
      </c>
      <c r="H4851" s="6" t="str">
        <f>IFERROR(__xludf.DUMMYFUNCTION("IF(REGEXMATCH(LOWER(G4851), ""^(\?)+\s*(missing)?\s*(\?)*$""), """", PROPER(SUBSTITUTE(SUBSTITUTE(G4851, ""?"", """"), ""*"", """")))"),"Jumbo Bag Apples")</f>
        <v>Jumbo Bag Apples</v>
      </c>
      <c r="I4851" s="3">
        <v>10.0</v>
      </c>
      <c r="J4851" s="7">
        <v>40886.50625</v>
      </c>
      <c r="K4851" s="8" t="str">
        <f t="shared" si="4"/>
        <v>2011-12</v>
      </c>
      <c r="L4851" s="5">
        <v>2.08</v>
      </c>
      <c r="M4851" s="3">
        <v>12526.0</v>
      </c>
      <c r="N4851" s="1" t="str">
        <f t="shared" si="5"/>
        <v>Registered</v>
      </c>
      <c r="O4851" s="1" t="s">
        <v>1288</v>
      </c>
      <c r="P4851" s="9" t="str">
        <f t="shared" si="6"/>
        <v>International</v>
      </c>
      <c r="Q4851" s="8">
        <f t="shared" si="7"/>
        <v>20.8</v>
      </c>
    </row>
    <row r="4852">
      <c r="A4852" s="1">
        <v>581574.0</v>
      </c>
      <c r="B4852" s="1" t="str">
        <f t="shared" si="1"/>
        <v>581574</v>
      </c>
      <c r="C4852" s="1" t="str">
        <f t="shared" si="2"/>
        <v>Sale</v>
      </c>
      <c r="D4852" s="1">
        <v>23581.0</v>
      </c>
      <c r="E4852" s="1" t="str">
        <f>IFERROR(__xludf.DUMMYFUNCTION("IF(LEN(D4852)&gt;4, IFERROR(REGEXEXTRACT(TO_TEXT(D4852),""\d+""),""""),"""")"),"23581")</f>
        <v>23581</v>
      </c>
      <c r="F4852" s="6" t="str">
        <f t="shared" si="3"/>
        <v>Product</v>
      </c>
      <c r="G4852" s="1" t="s">
        <v>1688</v>
      </c>
      <c r="H4852" s="6" t="str">
        <f>IFERROR(__xludf.DUMMYFUNCTION("IF(REGEXMATCH(LOWER(G4852), ""^(\?)+\s*(missing)?\s*(\?)*$""), """", PROPER(SUBSTITUTE(SUBSTITUTE(G4852, ""?"", """"), ""*"", """")))"),"Jumbo Bag Paisley Park")</f>
        <v>Jumbo Bag Paisley Park</v>
      </c>
      <c r="I4852" s="3">
        <v>10.0</v>
      </c>
      <c r="J4852" s="7">
        <v>40886.50625</v>
      </c>
      <c r="K4852" s="8" t="str">
        <f t="shared" si="4"/>
        <v>2011-12</v>
      </c>
      <c r="L4852" s="5">
        <v>2.08</v>
      </c>
      <c r="M4852" s="3">
        <v>12526.0</v>
      </c>
      <c r="N4852" s="1" t="str">
        <f t="shared" si="5"/>
        <v>Registered</v>
      </c>
      <c r="O4852" s="1" t="s">
        <v>1288</v>
      </c>
      <c r="P4852" s="9" t="str">
        <f t="shared" si="6"/>
        <v>International</v>
      </c>
      <c r="Q4852" s="8">
        <f t="shared" si="7"/>
        <v>20.8</v>
      </c>
    </row>
    <row r="4853">
      <c r="A4853" s="1">
        <v>581574.0</v>
      </c>
      <c r="B4853" s="1" t="str">
        <f t="shared" si="1"/>
        <v>581574</v>
      </c>
      <c r="C4853" s="1" t="str">
        <f t="shared" si="2"/>
        <v>Sale</v>
      </c>
      <c r="D4853" s="1">
        <v>23238.0</v>
      </c>
      <c r="E4853" s="1" t="str">
        <f>IFERROR(__xludf.DUMMYFUNCTION("IF(LEN(D4853)&gt;4, IFERROR(REGEXEXTRACT(TO_TEXT(D4853),""\d+""),""""),"""")"),"23238")</f>
        <v>23238</v>
      </c>
      <c r="F4853" s="6" t="str">
        <f t="shared" si="3"/>
        <v>Product</v>
      </c>
      <c r="G4853" s="1" t="s">
        <v>2140</v>
      </c>
      <c r="H4853" s="6" t="str">
        <f>IFERROR(__xludf.DUMMYFUNCTION("IF(REGEXMATCH(LOWER(G4853), ""^(\?)+\s*(missing)?\s*(\?)*$""), """", PROPER(SUBSTITUTE(SUBSTITUTE(G4853, ""?"", """"), ""*"", """")))"),"Set Of 4 Knick Knack Tins London")</f>
        <v>Set Of 4 Knick Knack Tins London</v>
      </c>
      <c r="I4853" s="3">
        <v>6.0</v>
      </c>
      <c r="J4853" s="7">
        <v>40886.50625</v>
      </c>
      <c r="K4853" s="8" t="str">
        <f t="shared" si="4"/>
        <v>2011-12</v>
      </c>
      <c r="L4853" s="5">
        <v>4.15</v>
      </c>
      <c r="M4853" s="3">
        <v>12526.0</v>
      </c>
      <c r="N4853" s="1" t="str">
        <f t="shared" si="5"/>
        <v>Registered</v>
      </c>
      <c r="O4853" s="1" t="s">
        <v>1288</v>
      </c>
      <c r="P4853" s="9" t="str">
        <f t="shared" si="6"/>
        <v>International</v>
      </c>
      <c r="Q4853" s="8">
        <f t="shared" si="7"/>
        <v>24.9</v>
      </c>
    </row>
    <row r="4854">
      <c r="A4854" s="1">
        <v>581574.0</v>
      </c>
      <c r="B4854" s="1" t="str">
        <f t="shared" si="1"/>
        <v>581574</v>
      </c>
      <c r="C4854" s="1" t="str">
        <f t="shared" si="2"/>
        <v>Sale</v>
      </c>
      <c r="D4854" s="1">
        <v>23237.0</v>
      </c>
      <c r="E4854" s="1" t="str">
        <f>IFERROR(__xludf.DUMMYFUNCTION("IF(LEN(D4854)&gt;4, IFERROR(REGEXEXTRACT(TO_TEXT(D4854),""\d+""),""""),"""")"),"23237")</f>
        <v>23237</v>
      </c>
      <c r="F4854" s="6" t="str">
        <f t="shared" si="3"/>
        <v>Product</v>
      </c>
      <c r="G4854" s="1" t="s">
        <v>2141</v>
      </c>
      <c r="H4854" s="6" t="str">
        <f>IFERROR(__xludf.DUMMYFUNCTION("IF(REGEXMATCH(LOWER(G4854), ""^(\?)+\s*(missing)?\s*(\?)*$""), """", PROPER(SUBSTITUTE(SUBSTITUTE(G4854, ""?"", """"), ""*"", """")))"),"Set Of 4 Knick Knack Tins Leaf")</f>
        <v>Set Of 4 Knick Knack Tins Leaf</v>
      </c>
      <c r="I4854" s="3">
        <v>6.0</v>
      </c>
      <c r="J4854" s="7">
        <v>40886.50625</v>
      </c>
      <c r="K4854" s="8" t="str">
        <f t="shared" si="4"/>
        <v>2011-12</v>
      </c>
      <c r="L4854" s="5">
        <v>4.15</v>
      </c>
      <c r="M4854" s="3">
        <v>12526.0</v>
      </c>
      <c r="N4854" s="1" t="str">
        <f t="shared" si="5"/>
        <v>Registered</v>
      </c>
      <c r="O4854" s="1" t="s">
        <v>1288</v>
      </c>
      <c r="P4854" s="9" t="str">
        <f t="shared" si="6"/>
        <v>International</v>
      </c>
      <c r="Q4854" s="8">
        <f t="shared" si="7"/>
        <v>24.9</v>
      </c>
    </row>
    <row r="4855">
      <c r="A4855" s="1">
        <v>581574.0</v>
      </c>
      <c r="B4855" s="1" t="str">
        <f t="shared" si="1"/>
        <v>581574</v>
      </c>
      <c r="C4855" s="1" t="str">
        <f t="shared" si="2"/>
        <v>Sale</v>
      </c>
      <c r="D4855" s="1">
        <v>21257.0</v>
      </c>
      <c r="E4855" s="1" t="str">
        <f>IFERROR(__xludf.DUMMYFUNCTION("IF(LEN(D4855)&gt;4, IFERROR(REGEXEXTRACT(TO_TEXT(D4855),""\d+""),""""),"""")"),"21257")</f>
        <v>21257</v>
      </c>
      <c r="F4855" s="6" t="str">
        <f t="shared" si="3"/>
        <v>Product</v>
      </c>
      <c r="G4855" s="1" t="s">
        <v>557</v>
      </c>
      <c r="H4855" s="6" t="str">
        <f>IFERROR(__xludf.DUMMYFUNCTION("IF(REGEXMATCH(LOWER(G4855), ""^(\?)+\s*(missing)?\s*(\?)*$""), """", PROPER(SUBSTITUTE(SUBSTITUTE(G4855, ""?"", """"), ""*"", """")))"),"Victorian Sewing Box Medium")</f>
        <v>Victorian Sewing Box Medium</v>
      </c>
      <c r="I4855" s="3">
        <v>2.0</v>
      </c>
      <c r="J4855" s="7">
        <v>40886.50625</v>
      </c>
      <c r="K4855" s="8" t="str">
        <f t="shared" si="4"/>
        <v>2011-12</v>
      </c>
      <c r="L4855" s="5">
        <v>7.95</v>
      </c>
      <c r="M4855" s="3">
        <v>12526.0</v>
      </c>
      <c r="N4855" s="1" t="str">
        <f t="shared" si="5"/>
        <v>Registered</v>
      </c>
      <c r="O4855" s="1" t="s">
        <v>1288</v>
      </c>
      <c r="P4855" s="9" t="str">
        <f t="shared" si="6"/>
        <v>International</v>
      </c>
      <c r="Q4855" s="8">
        <f t="shared" si="7"/>
        <v>15.9</v>
      </c>
    </row>
    <row r="4856">
      <c r="A4856" s="1">
        <v>581574.0</v>
      </c>
      <c r="B4856" s="1" t="str">
        <f t="shared" si="1"/>
        <v>581574</v>
      </c>
      <c r="C4856" s="1" t="str">
        <f t="shared" si="2"/>
        <v>Sale</v>
      </c>
      <c r="D4856" s="1">
        <v>21258.0</v>
      </c>
      <c r="E4856" s="1" t="str">
        <f>IFERROR(__xludf.DUMMYFUNCTION("IF(LEN(D4856)&gt;4, IFERROR(REGEXEXTRACT(TO_TEXT(D4856),""\d+""),""""),"""")"),"21258")</f>
        <v>21258</v>
      </c>
      <c r="F4856" s="6" t="str">
        <f t="shared" si="3"/>
        <v>Product</v>
      </c>
      <c r="G4856" s="1" t="s">
        <v>81</v>
      </c>
      <c r="H4856" s="6" t="str">
        <f>IFERROR(__xludf.DUMMYFUNCTION("IF(REGEXMATCH(LOWER(G4856), ""^(\?)+\s*(missing)?\s*(\?)*$""), """", PROPER(SUBSTITUTE(SUBSTITUTE(G4856, ""?"", """"), ""*"", """")))"),"Victorian Sewing Box Large")</f>
        <v>Victorian Sewing Box Large</v>
      </c>
      <c r="I4856" s="3">
        <v>2.0</v>
      </c>
      <c r="J4856" s="7">
        <v>40886.50625</v>
      </c>
      <c r="K4856" s="8" t="str">
        <f t="shared" si="4"/>
        <v>2011-12</v>
      </c>
      <c r="L4856" s="5">
        <v>12.75</v>
      </c>
      <c r="M4856" s="3">
        <v>12526.0</v>
      </c>
      <c r="N4856" s="1" t="str">
        <f t="shared" si="5"/>
        <v>Registered</v>
      </c>
      <c r="O4856" s="1" t="s">
        <v>1288</v>
      </c>
      <c r="P4856" s="9" t="str">
        <f t="shared" si="6"/>
        <v>International</v>
      </c>
      <c r="Q4856" s="8">
        <f t="shared" si="7"/>
        <v>25.5</v>
      </c>
    </row>
    <row r="4857">
      <c r="A4857" s="1">
        <v>581574.0</v>
      </c>
      <c r="B4857" s="1" t="str">
        <f t="shared" si="1"/>
        <v>581574</v>
      </c>
      <c r="C4857" s="1" t="str">
        <f t="shared" si="2"/>
        <v>Sale</v>
      </c>
      <c r="D4857" s="1">
        <v>23111.0</v>
      </c>
      <c r="E4857" s="1" t="str">
        <f>IFERROR(__xludf.DUMMYFUNCTION("IF(LEN(D4857)&gt;4, IFERROR(REGEXEXTRACT(TO_TEXT(D4857),""\d+""),""""),"""")"),"23111")</f>
        <v>23111</v>
      </c>
      <c r="F4857" s="6" t="str">
        <f t="shared" si="3"/>
        <v>Product</v>
      </c>
      <c r="G4857" s="1" t="s">
        <v>1641</v>
      </c>
      <c r="H4857" s="6" t="str">
        <f>IFERROR(__xludf.DUMMYFUNCTION("IF(REGEXMATCH(LOWER(G4857), ""^(\?)+\s*(missing)?\s*(\?)*$""), """", PROPER(SUBSTITUTE(SUBSTITUTE(G4857, ""?"", """"), ""*"", """")))"),"Parisienne Sewing Box")</f>
        <v>Parisienne Sewing Box</v>
      </c>
      <c r="I4857" s="3">
        <v>2.0</v>
      </c>
      <c r="J4857" s="7">
        <v>40886.50625</v>
      </c>
      <c r="K4857" s="8" t="str">
        <f t="shared" si="4"/>
        <v>2011-12</v>
      </c>
      <c r="L4857" s="5">
        <v>12.5</v>
      </c>
      <c r="M4857" s="3">
        <v>12526.0</v>
      </c>
      <c r="N4857" s="1" t="str">
        <f t="shared" si="5"/>
        <v>Registered</v>
      </c>
      <c r="O4857" s="1" t="s">
        <v>1288</v>
      </c>
      <c r="P4857" s="9" t="str">
        <f t="shared" si="6"/>
        <v>International</v>
      </c>
      <c r="Q4857" s="8">
        <f t="shared" si="7"/>
        <v>25</v>
      </c>
    </row>
    <row r="4858">
      <c r="A4858" s="1">
        <v>581574.0</v>
      </c>
      <c r="B4858" s="1" t="str">
        <f t="shared" si="1"/>
        <v>581574</v>
      </c>
      <c r="C4858" s="1" t="str">
        <f t="shared" si="2"/>
        <v>Sale</v>
      </c>
      <c r="D4858" s="1">
        <v>22077.0</v>
      </c>
      <c r="E4858" s="1" t="str">
        <f>IFERROR(__xludf.DUMMYFUNCTION("IF(LEN(D4858)&gt;4, IFERROR(REGEXEXTRACT(TO_TEXT(D4858),""\d+""),""""),"""")"),"22077")</f>
        <v>22077</v>
      </c>
      <c r="F4858" s="6" t="str">
        <f t="shared" si="3"/>
        <v>Product</v>
      </c>
      <c r="G4858" s="1" t="s">
        <v>443</v>
      </c>
      <c r="H4858" s="6" t="str">
        <f>IFERROR(__xludf.DUMMYFUNCTION("IF(REGEXMATCH(LOWER(G4858), ""^(\?)+\s*(missing)?\s*(\?)*$""), """", PROPER(SUBSTITUTE(SUBSTITUTE(G4858, ""?"", """"), ""*"", """")))"),"6 Ribbons Rustic Charm")</f>
        <v>6 Ribbons Rustic Charm</v>
      </c>
      <c r="I4858" s="3">
        <v>12.0</v>
      </c>
      <c r="J4858" s="7">
        <v>40886.50625</v>
      </c>
      <c r="K4858" s="8" t="str">
        <f t="shared" si="4"/>
        <v>2011-12</v>
      </c>
      <c r="L4858" s="5">
        <v>1.95</v>
      </c>
      <c r="M4858" s="3">
        <v>12526.0</v>
      </c>
      <c r="N4858" s="1" t="str">
        <f t="shared" si="5"/>
        <v>Registered</v>
      </c>
      <c r="O4858" s="1" t="s">
        <v>1288</v>
      </c>
      <c r="P4858" s="9" t="str">
        <f t="shared" si="6"/>
        <v>International</v>
      </c>
      <c r="Q4858" s="8">
        <f t="shared" si="7"/>
        <v>23.4</v>
      </c>
    </row>
    <row r="4859">
      <c r="A4859" s="1">
        <v>581574.0</v>
      </c>
      <c r="B4859" s="1" t="str">
        <f t="shared" si="1"/>
        <v>581574</v>
      </c>
      <c r="C4859" s="1" t="str">
        <f t="shared" si="2"/>
        <v>Sale</v>
      </c>
      <c r="D4859" s="1">
        <v>22074.0</v>
      </c>
      <c r="E4859" s="1" t="str">
        <f>IFERROR(__xludf.DUMMYFUNCTION("IF(LEN(D4859)&gt;4, IFERROR(REGEXEXTRACT(TO_TEXT(D4859),""\d+""),""""),"""")"),"22074")</f>
        <v>22074</v>
      </c>
      <c r="F4859" s="6" t="str">
        <f t="shared" si="3"/>
        <v>Product</v>
      </c>
      <c r="G4859" s="1" t="s">
        <v>422</v>
      </c>
      <c r="H4859" s="6" t="str">
        <f>IFERROR(__xludf.DUMMYFUNCTION("IF(REGEXMATCH(LOWER(G4859), ""^(\?)+\s*(missing)?\s*(\?)*$""), """", PROPER(SUBSTITUTE(SUBSTITUTE(G4859, ""?"", """"), ""*"", """")))"),"6 Ribbons Shimmering Pinks")</f>
        <v>6 Ribbons Shimmering Pinks</v>
      </c>
      <c r="I4859" s="3">
        <v>12.0</v>
      </c>
      <c r="J4859" s="7">
        <v>40886.50625</v>
      </c>
      <c r="K4859" s="8" t="str">
        <f t="shared" si="4"/>
        <v>2011-12</v>
      </c>
      <c r="L4859" s="5">
        <v>0.39</v>
      </c>
      <c r="M4859" s="3">
        <v>12526.0</v>
      </c>
      <c r="N4859" s="1" t="str">
        <f t="shared" si="5"/>
        <v>Registered</v>
      </c>
      <c r="O4859" s="1" t="s">
        <v>1288</v>
      </c>
      <c r="P4859" s="9" t="str">
        <f t="shared" si="6"/>
        <v>International</v>
      </c>
      <c r="Q4859" s="8">
        <f t="shared" si="7"/>
        <v>4.68</v>
      </c>
    </row>
    <row r="4860">
      <c r="A4860" s="1">
        <v>581574.0</v>
      </c>
      <c r="B4860" s="1" t="str">
        <f t="shared" si="1"/>
        <v>581574</v>
      </c>
      <c r="C4860" s="1" t="str">
        <f t="shared" si="2"/>
        <v>Sale</v>
      </c>
      <c r="D4860" s="1">
        <v>22621.0</v>
      </c>
      <c r="E4860" s="1" t="str">
        <f>IFERROR(__xludf.DUMMYFUNCTION("IF(LEN(D4860)&gt;4, IFERROR(REGEXEXTRACT(TO_TEXT(D4860),""\d+""),""""),"""")"),"22621")</f>
        <v>22621</v>
      </c>
      <c r="F4860" s="6" t="str">
        <f t="shared" si="3"/>
        <v>Product</v>
      </c>
      <c r="G4860" s="1" t="s">
        <v>1032</v>
      </c>
      <c r="H4860" s="6" t="str">
        <f>IFERROR(__xludf.DUMMYFUNCTION("IF(REGEXMATCH(LOWER(G4860), ""^(\?)+\s*(missing)?\s*(\?)*$""), """", PROPER(SUBSTITUTE(SUBSTITUTE(G4860, ""?"", """"), ""*"", """")))"),"Traditional Knitting Nancy")</f>
        <v>Traditional Knitting Nancy</v>
      </c>
      <c r="I4860" s="3">
        <v>12.0</v>
      </c>
      <c r="J4860" s="7">
        <v>40886.50625</v>
      </c>
      <c r="K4860" s="8" t="str">
        <f t="shared" si="4"/>
        <v>2011-12</v>
      </c>
      <c r="L4860" s="5">
        <v>1.65</v>
      </c>
      <c r="M4860" s="3">
        <v>12526.0</v>
      </c>
      <c r="N4860" s="1" t="str">
        <f t="shared" si="5"/>
        <v>Registered</v>
      </c>
      <c r="O4860" s="1" t="s">
        <v>1288</v>
      </c>
      <c r="P4860" s="9" t="str">
        <f t="shared" si="6"/>
        <v>International</v>
      </c>
      <c r="Q4860" s="8">
        <f t="shared" si="7"/>
        <v>19.8</v>
      </c>
    </row>
    <row r="4861">
      <c r="A4861" s="1">
        <v>581574.0</v>
      </c>
      <c r="B4861" s="1" t="str">
        <f t="shared" si="1"/>
        <v>581574</v>
      </c>
      <c r="C4861" s="1" t="str">
        <f t="shared" si="2"/>
        <v>Sale</v>
      </c>
      <c r="D4861" s="1" t="s">
        <v>68</v>
      </c>
      <c r="E4861" s="1" t="str">
        <f>IFERROR(__xludf.DUMMYFUNCTION("IF(LEN(D4861)&gt;4, IFERROR(REGEXEXTRACT(TO_TEXT(D4861),""\d+""),""""),"""")"),"")</f>
        <v/>
      </c>
      <c r="F4861" s="6" t="str">
        <f t="shared" si="3"/>
        <v>Shipping</v>
      </c>
      <c r="G4861" s="1" t="s">
        <v>69</v>
      </c>
      <c r="H4861" s="6" t="str">
        <f>IFERROR(__xludf.DUMMYFUNCTION("IF(REGEXMATCH(LOWER(G4861), ""^(\?)+\s*(missing)?\s*(\?)*$""), """", PROPER(SUBSTITUTE(SUBSTITUTE(G4861, ""?"", """"), ""*"", """")))"),"Postage")</f>
        <v>Postage</v>
      </c>
      <c r="I4861" s="3">
        <v>2.0</v>
      </c>
      <c r="J4861" s="7">
        <v>40886.50625</v>
      </c>
      <c r="K4861" s="8" t="str">
        <f t="shared" si="4"/>
        <v>2011-12</v>
      </c>
      <c r="L4861" s="5">
        <v>18.0</v>
      </c>
      <c r="M4861" s="3">
        <v>12526.0</v>
      </c>
      <c r="N4861" s="1" t="str">
        <f t="shared" si="5"/>
        <v>Registered</v>
      </c>
      <c r="O4861" s="1" t="s">
        <v>1288</v>
      </c>
      <c r="P4861" s="9" t="str">
        <f t="shared" si="6"/>
        <v>International</v>
      </c>
      <c r="Q4861" s="8">
        <f t="shared" si="7"/>
        <v>36</v>
      </c>
    </row>
    <row r="4862">
      <c r="A4862" s="1">
        <v>581578.0</v>
      </c>
      <c r="B4862" s="1" t="str">
        <f t="shared" si="1"/>
        <v>581578</v>
      </c>
      <c r="C4862" s="1" t="str">
        <f t="shared" si="2"/>
        <v>Sale</v>
      </c>
      <c r="D4862" s="1" t="s">
        <v>68</v>
      </c>
      <c r="E4862" s="1" t="str">
        <f>IFERROR(__xludf.DUMMYFUNCTION("IF(LEN(D4862)&gt;4, IFERROR(REGEXEXTRACT(TO_TEXT(D4862),""\d+""),""""),"""")"),"")</f>
        <v/>
      </c>
      <c r="F4862" s="6" t="str">
        <f t="shared" si="3"/>
        <v>Shipping</v>
      </c>
      <c r="G4862" s="1" t="s">
        <v>69</v>
      </c>
      <c r="H4862" s="6" t="str">
        <f>IFERROR(__xludf.DUMMYFUNCTION("IF(REGEXMATCH(LOWER(G4862), ""^(\?)+\s*(missing)?\s*(\?)*$""), """", PROPER(SUBSTITUTE(SUBSTITUTE(G4862, ""?"", """"), ""*"", """")))"),"Postage")</f>
        <v>Postage</v>
      </c>
      <c r="I4862" s="3">
        <v>3.0</v>
      </c>
      <c r="J4862" s="7">
        <v>40886.51111111111</v>
      </c>
      <c r="K4862" s="8" t="str">
        <f t="shared" si="4"/>
        <v>2011-12</v>
      </c>
      <c r="L4862" s="5">
        <v>18.0</v>
      </c>
      <c r="M4862" s="3">
        <v>12713.0</v>
      </c>
      <c r="N4862" s="1" t="str">
        <f t="shared" si="5"/>
        <v>Registered</v>
      </c>
      <c r="O4862" s="1" t="s">
        <v>1288</v>
      </c>
      <c r="P4862" s="9" t="str">
        <f t="shared" si="6"/>
        <v>International</v>
      </c>
      <c r="Q4862" s="8">
        <f t="shared" si="7"/>
        <v>54</v>
      </c>
    </row>
    <row r="4863">
      <c r="A4863" s="1">
        <v>581578.0</v>
      </c>
      <c r="B4863" s="1" t="str">
        <f t="shared" si="1"/>
        <v>581578</v>
      </c>
      <c r="C4863" s="1" t="str">
        <f t="shared" si="2"/>
        <v>Sale</v>
      </c>
      <c r="D4863" s="1">
        <v>21124.0</v>
      </c>
      <c r="E4863" s="1" t="str">
        <f>IFERROR(__xludf.DUMMYFUNCTION("IF(LEN(D4863)&gt;4, IFERROR(REGEXEXTRACT(TO_TEXT(D4863),""\d+""),""""),"""")"),"21124")</f>
        <v>21124</v>
      </c>
      <c r="F4863" s="6" t="str">
        <f t="shared" si="3"/>
        <v>Product</v>
      </c>
      <c r="G4863" s="1" t="s">
        <v>584</v>
      </c>
      <c r="H4863" s="6" t="str">
        <f>IFERROR(__xludf.DUMMYFUNCTION("IF(REGEXMATCH(LOWER(G4863), ""^(\?)+\s*(missing)?\s*(\?)*$""), """", PROPER(SUBSTITUTE(SUBSTITUTE(G4863, ""?"", """"), ""*"", """")))"),"Set/10 Blue Polkadot Party Candles")</f>
        <v>Set/10 Blue Polkadot Party Candles</v>
      </c>
      <c r="I4863" s="3">
        <v>24.0</v>
      </c>
      <c r="J4863" s="7">
        <v>40886.51111111111</v>
      </c>
      <c r="K4863" s="8" t="str">
        <f t="shared" si="4"/>
        <v>2011-12</v>
      </c>
      <c r="L4863" s="5">
        <v>1.25</v>
      </c>
      <c r="M4863" s="3">
        <v>12713.0</v>
      </c>
      <c r="N4863" s="1" t="str">
        <f t="shared" si="5"/>
        <v>Registered</v>
      </c>
      <c r="O4863" s="1" t="s">
        <v>1288</v>
      </c>
      <c r="P4863" s="9" t="str">
        <f t="shared" si="6"/>
        <v>International</v>
      </c>
      <c r="Q4863" s="8">
        <f t="shared" si="7"/>
        <v>30</v>
      </c>
    </row>
    <row r="4864">
      <c r="A4864" s="1">
        <v>581578.0</v>
      </c>
      <c r="B4864" s="1" t="str">
        <f t="shared" si="1"/>
        <v>581578</v>
      </c>
      <c r="C4864" s="1" t="str">
        <f t="shared" si="2"/>
        <v>Sale</v>
      </c>
      <c r="D4864" s="1">
        <v>21122.0</v>
      </c>
      <c r="E4864" s="1" t="str">
        <f>IFERROR(__xludf.DUMMYFUNCTION("IF(LEN(D4864)&gt;4, IFERROR(REGEXEXTRACT(TO_TEXT(D4864),""\d+""),""""),"""")"),"21122")</f>
        <v>21122</v>
      </c>
      <c r="F4864" s="6" t="str">
        <f t="shared" si="3"/>
        <v>Product</v>
      </c>
      <c r="G4864" s="1" t="s">
        <v>302</v>
      </c>
      <c r="H4864" s="6" t="str">
        <f>IFERROR(__xludf.DUMMYFUNCTION("IF(REGEXMATCH(LOWER(G4864), ""^(\?)+\s*(missing)?\s*(\?)*$""), """", PROPER(SUBSTITUTE(SUBSTITUTE(G4864, ""?"", """"), ""*"", """")))"),"Set/10 Pink Polkadot Party Candles")</f>
        <v>Set/10 Pink Polkadot Party Candles</v>
      </c>
      <c r="I4864" s="3">
        <v>24.0</v>
      </c>
      <c r="J4864" s="7">
        <v>40886.51111111111</v>
      </c>
      <c r="K4864" s="8" t="str">
        <f t="shared" si="4"/>
        <v>2011-12</v>
      </c>
      <c r="L4864" s="5">
        <v>1.25</v>
      </c>
      <c r="M4864" s="3">
        <v>12713.0</v>
      </c>
      <c r="N4864" s="1" t="str">
        <f t="shared" si="5"/>
        <v>Registered</v>
      </c>
      <c r="O4864" s="1" t="s">
        <v>1288</v>
      </c>
      <c r="P4864" s="9" t="str">
        <f t="shared" si="6"/>
        <v>International</v>
      </c>
      <c r="Q4864" s="8">
        <f t="shared" si="7"/>
        <v>30</v>
      </c>
    </row>
    <row r="4865">
      <c r="A4865" s="1">
        <v>581578.0</v>
      </c>
      <c r="B4865" s="1" t="str">
        <f t="shared" si="1"/>
        <v>581578</v>
      </c>
      <c r="C4865" s="1" t="str">
        <f t="shared" si="2"/>
        <v>Sale</v>
      </c>
      <c r="D4865" s="1">
        <v>21121.0</v>
      </c>
      <c r="E4865" s="1" t="str">
        <f>IFERROR(__xludf.DUMMYFUNCTION("IF(LEN(D4865)&gt;4, IFERROR(REGEXEXTRACT(TO_TEXT(D4865),""\d+""),""""),"""")"),"21121")</f>
        <v>21121</v>
      </c>
      <c r="F4865" s="6" t="str">
        <f t="shared" si="3"/>
        <v>Product</v>
      </c>
      <c r="G4865" s="1" t="s">
        <v>558</v>
      </c>
      <c r="H4865" s="6" t="str">
        <f>IFERROR(__xludf.DUMMYFUNCTION("IF(REGEXMATCH(LOWER(G4865), ""^(\?)+\s*(missing)?\s*(\?)*$""), """", PROPER(SUBSTITUTE(SUBSTITUTE(G4865, ""?"", """"), ""*"", """")))"),"Set/10 Red Polkadot Party Candles")</f>
        <v>Set/10 Red Polkadot Party Candles</v>
      </c>
      <c r="I4865" s="3">
        <v>24.0</v>
      </c>
      <c r="J4865" s="7">
        <v>40886.51111111111</v>
      </c>
      <c r="K4865" s="8" t="str">
        <f t="shared" si="4"/>
        <v>2011-12</v>
      </c>
      <c r="L4865" s="5">
        <v>1.25</v>
      </c>
      <c r="M4865" s="3">
        <v>12713.0</v>
      </c>
      <c r="N4865" s="1" t="str">
        <f t="shared" si="5"/>
        <v>Registered</v>
      </c>
      <c r="O4865" s="1" t="s">
        <v>1288</v>
      </c>
      <c r="P4865" s="9" t="str">
        <f t="shared" si="6"/>
        <v>International</v>
      </c>
      <c r="Q4865" s="8">
        <f t="shared" si="7"/>
        <v>30</v>
      </c>
    </row>
    <row r="4866">
      <c r="A4866" s="1">
        <v>581578.0</v>
      </c>
      <c r="B4866" s="1" t="str">
        <f t="shared" si="1"/>
        <v>581578</v>
      </c>
      <c r="C4866" s="1" t="str">
        <f t="shared" si="2"/>
        <v>Sale</v>
      </c>
      <c r="D4866" s="1">
        <v>23389.0</v>
      </c>
      <c r="E4866" s="1" t="str">
        <f>IFERROR(__xludf.DUMMYFUNCTION("IF(LEN(D4866)&gt;4, IFERROR(REGEXEXTRACT(TO_TEXT(D4866),""\d+""),""""),"""")"),"23389")</f>
        <v>23389</v>
      </c>
      <c r="F4866" s="6" t="str">
        <f t="shared" si="3"/>
        <v>Product</v>
      </c>
      <c r="G4866" s="1" t="s">
        <v>2052</v>
      </c>
      <c r="H4866" s="6" t="str">
        <f>IFERROR(__xludf.DUMMYFUNCTION("IF(REGEXMATCH(LOWER(G4866), ""^(\?)+\s*(missing)?\s*(\?)*$""), """", PROPER(SUBSTITUTE(SUBSTITUTE(G4866, ""?"", """"), ""*"", """")))"),"Spaceboy Mini Backpack")</f>
        <v>Spaceboy Mini Backpack</v>
      </c>
      <c r="I4866" s="3">
        <v>4.0</v>
      </c>
      <c r="J4866" s="7">
        <v>40886.51111111111</v>
      </c>
      <c r="K4866" s="8" t="str">
        <f t="shared" si="4"/>
        <v>2011-12</v>
      </c>
      <c r="L4866" s="5">
        <v>4.15</v>
      </c>
      <c r="M4866" s="3">
        <v>12713.0</v>
      </c>
      <c r="N4866" s="1" t="str">
        <f t="shared" si="5"/>
        <v>Registered</v>
      </c>
      <c r="O4866" s="1" t="s">
        <v>1288</v>
      </c>
      <c r="P4866" s="9" t="str">
        <f t="shared" si="6"/>
        <v>International</v>
      </c>
      <c r="Q4866" s="8">
        <f t="shared" si="7"/>
        <v>16.6</v>
      </c>
    </row>
    <row r="4867">
      <c r="A4867" s="1">
        <v>581578.0</v>
      </c>
      <c r="B4867" s="1" t="str">
        <f t="shared" si="1"/>
        <v>581578</v>
      </c>
      <c r="C4867" s="1" t="str">
        <f t="shared" si="2"/>
        <v>Sale</v>
      </c>
      <c r="D4867" s="1">
        <v>22556.0</v>
      </c>
      <c r="E4867" s="1" t="str">
        <f>IFERROR(__xludf.DUMMYFUNCTION("IF(LEN(D4867)&gt;4, IFERROR(REGEXEXTRACT(TO_TEXT(D4867),""\d+""),""""),"""")"),"22556")</f>
        <v>22556</v>
      </c>
      <c r="F4867" s="6" t="str">
        <f t="shared" si="3"/>
        <v>Product</v>
      </c>
      <c r="G4867" s="1" t="s">
        <v>228</v>
      </c>
      <c r="H4867" s="6" t="str">
        <f>IFERROR(__xludf.DUMMYFUNCTION("IF(REGEXMATCH(LOWER(G4867), ""^(\?)+\s*(missing)?\s*(\?)*$""), """", PROPER(SUBSTITUTE(SUBSTITUTE(G4867, ""?"", """"), ""*"", """")))"),"Plasters In Tin Circus Parade")</f>
        <v>Plasters In Tin Circus Parade</v>
      </c>
      <c r="I4867" s="3">
        <v>12.0</v>
      </c>
      <c r="J4867" s="7">
        <v>40886.51111111111</v>
      </c>
      <c r="K4867" s="8" t="str">
        <f t="shared" si="4"/>
        <v>2011-12</v>
      </c>
      <c r="L4867" s="5">
        <v>1.65</v>
      </c>
      <c r="M4867" s="3">
        <v>12713.0</v>
      </c>
      <c r="N4867" s="1" t="str">
        <f t="shared" si="5"/>
        <v>Registered</v>
      </c>
      <c r="O4867" s="1" t="s">
        <v>1288</v>
      </c>
      <c r="P4867" s="9" t="str">
        <f t="shared" si="6"/>
        <v>International</v>
      </c>
      <c r="Q4867" s="8">
        <f t="shared" si="7"/>
        <v>19.8</v>
      </c>
    </row>
    <row r="4868">
      <c r="A4868" s="1">
        <v>581578.0</v>
      </c>
      <c r="B4868" s="1" t="str">
        <f t="shared" si="1"/>
        <v>581578</v>
      </c>
      <c r="C4868" s="1" t="str">
        <f t="shared" si="2"/>
        <v>Sale</v>
      </c>
      <c r="D4868" s="1">
        <v>22976.0</v>
      </c>
      <c r="E4868" s="1" t="str">
        <f>IFERROR(__xludf.DUMMYFUNCTION("IF(LEN(D4868)&gt;4, IFERROR(REGEXEXTRACT(TO_TEXT(D4868),""\d+""),""""),"""")"),"22976")</f>
        <v>22976</v>
      </c>
      <c r="F4868" s="6" t="str">
        <f t="shared" si="3"/>
        <v>Product</v>
      </c>
      <c r="G4868" s="1" t="s">
        <v>1961</v>
      </c>
      <c r="H4868" s="6" t="str">
        <f>IFERROR(__xludf.DUMMYFUNCTION("IF(REGEXMATCH(LOWER(G4868), ""^(\?)+\s*(missing)?\s*(\?)*$""), """", PROPER(SUBSTITUTE(SUBSTITUTE(G4868, ""?"", """"), ""*"", """")))"),"Circus Parade Childrens Egg Cup")</f>
        <v>Circus Parade Childrens Egg Cup</v>
      </c>
      <c r="I4868" s="3">
        <v>12.0</v>
      </c>
      <c r="J4868" s="7">
        <v>40886.51111111111</v>
      </c>
      <c r="K4868" s="8" t="str">
        <f t="shared" si="4"/>
        <v>2011-12</v>
      </c>
      <c r="L4868" s="5">
        <v>1.25</v>
      </c>
      <c r="M4868" s="3">
        <v>12713.0</v>
      </c>
      <c r="N4868" s="1" t="str">
        <f t="shared" si="5"/>
        <v>Registered</v>
      </c>
      <c r="O4868" s="1" t="s">
        <v>1288</v>
      </c>
      <c r="P4868" s="9" t="str">
        <f t="shared" si="6"/>
        <v>International</v>
      </c>
      <c r="Q4868" s="8">
        <f t="shared" si="7"/>
        <v>15</v>
      </c>
    </row>
    <row r="4869">
      <c r="A4869" s="1">
        <v>581578.0</v>
      </c>
      <c r="B4869" s="1" t="str">
        <f t="shared" si="1"/>
        <v>581578</v>
      </c>
      <c r="C4869" s="1" t="str">
        <f t="shared" si="2"/>
        <v>Sale</v>
      </c>
      <c r="D4869" s="1">
        <v>23255.0</v>
      </c>
      <c r="E4869" s="1" t="str">
        <f>IFERROR(__xludf.DUMMYFUNCTION("IF(LEN(D4869)&gt;4, IFERROR(REGEXEXTRACT(TO_TEXT(D4869),""\d+""),""""),"""")"),"23255")</f>
        <v>23255</v>
      </c>
      <c r="F4869" s="6" t="str">
        <f t="shared" si="3"/>
        <v>Product</v>
      </c>
      <c r="G4869" s="1" t="s">
        <v>2142</v>
      </c>
      <c r="H4869" s="6" t="str">
        <f>IFERROR(__xludf.DUMMYFUNCTION("IF(REGEXMATCH(LOWER(G4869), ""^(\?)+\s*(missing)?\s*(\?)*$""), """", PROPER(SUBSTITUTE(SUBSTITUTE(G4869, ""?"", """"), ""*"", """")))"),"Childrens Cutlery Circus Parade")</f>
        <v>Childrens Cutlery Circus Parade</v>
      </c>
      <c r="I4869" s="3">
        <v>12.0</v>
      </c>
      <c r="J4869" s="7">
        <v>40886.51111111111</v>
      </c>
      <c r="K4869" s="8" t="str">
        <f t="shared" si="4"/>
        <v>2011-12</v>
      </c>
      <c r="L4869" s="5">
        <v>4.15</v>
      </c>
      <c r="M4869" s="3">
        <v>12713.0</v>
      </c>
      <c r="N4869" s="1" t="str">
        <f t="shared" si="5"/>
        <v>Registered</v>
      </c>
      <c r="O4869" s="1" t="s">
        <v>1288</v>
      </c>
      <c r="P4869" s="9" t="str">
        <f t="shared" si="6"/>
        <v>International</v>
      </c>
      <c r="Q4869" s="8">
        <f t="shared" si="7"/>
        <v>49.8</v>
      </c>
    </row>
    <row r="4870">
      <c r="A4870" s="1">
        <v>581578.0</v>
      </c>
      <c r="B4870" s="1" t="str">
        <f t="shared" si="1"/>
        <v>581578</v>
      </c>
      <c r="C4870" s="1" t="str">
        <f t="shared" si="2"/>
        <v>Sale</v>
      </c>
      <c r="D4870" s="1" t="s">
        <v>1117</v>
      </c>
      <c r="E4870" s="1" t="str">
        <f>IFERROR(__xludf.DUMMYFUNCTION("IF(LEN(D4870)&gt;4, IFERROR(REGEXEXTRACT(TO_TEXT(D4870),""\d+""),""""),"""")"),"84997")</f>
        <v>84997</v>
      </c>
      <c r="F4870" s="6" t="str">
        <f t="shared" si="3"/>
        <v>Product</v>
      </c>
      <c r="G4870" s="1" t="s">
        <v>1118</v>
      </c>
      <c r="H4870" s="6" t="str">
        <f>IFERROR(__xludf.DUMMYFUNCTION("IF(REGEXMATCH(LOWER(G4870), ""^(\?)+\s*(missing)?\s*(\?)*$""), """", PROPER(SUBSTITUTE(SUBSTITUTE(G4870, ""?"", """"), ""*"", """")))"),"Childrens Cutlery Polkadot Pink")</f>
        <v>Childrens Cutlery Polkadot Pink</v>
      </c>
      <c r="I4870" s="3">
        <v>8.0</v>
      </c>
      <c r="J4870" s="7">
        <v>40886.51111111111</v>
      </c>
      <c r="K4870" s="8" t="str">
        <f t="shared" si="4"/>
        <v>2011-12</v>
      </c>
      <c r="L4870" s="5">
        <v>4.15</v>
      </c>
      <c r="M4870" s="3">
        <v>12713.0</v>
      </c>
      <c r="N4870" s="1" t="str">
        <f t="shared" si="5"/>
        <v>Registered</v>
      </c>
      <c r="O4870" s="1" t="s">
        <v>1288</v>
      </c>
      <c r="P4870" s="9" t="str">
        <f t="shared" si="6"/>
        <v>International</v>
      </c>
      <c r="Q4870" s="8">
        <f t="shared" si="7"/>
        <v>33.2</v>
      </c>
    </row>
    <row r="4871">
      <c r="A4871" s="1">
        <v>581578.0</v>
      </c>
      <c r="B4871" s="1" t="str">
        <f t="shared" si="1"/>
        <v>581578</v>
      </c>
      <c r="C4871" s="1" t="str">
        <f t="shared" si="2"/>
        <v>Sale</v>
      </c>
      <c r="D4871" s="1" t="s">
        <v>89</v>
      </c>
      <c r="E4871" s="1" t="str">
        <f>IFERROR(__xludf.DUMMYFUNCTION("IF(LEN(D4871)&gt;4, IFERROR(REGEXEXTRACT(TO_TEXT(D4871),""\d+""),""""),"""")"),"84997")</f>
        <v>84997</v>
      </c>
      <c r="F4871" s="6" t="str">
        <f t="shared" si="3"/>
        <v>Product</v>
      </c>
      <c r="G4871" s="1" t="s">
        <v>1317</v>
      </c>
      <c r="H4871" s="6" t="str">
        <f>IFERROR(__xludf.DUMMYFUNCTION("IF(REGEXMATCH(LOWER(G4871), ""^(\?)+\s*(missing)?\s*(\?)*$""), """", PROPER(SUBSTITUTE(SUBSTITUTE(G4871, ""?"", """"), ""*"", """")))"),"Childrens Cutlery Retrospot Red")</f>
        <v>Childrens Cutlery Retrospot Red</v>
      </c>
      <c r="I4871" s="3">
        <v>8.0</v>
      </c>
      <c r="J4871" s="7">
        <v>40886.51111111111</v>
      </c>
      <c r="K4871" s="8" t="str">
        <f t="shared" si="4"/>
        <v>2011-12</v>
      </c>
      <c r="L4871" s="5">
        <v>4.15</v>
      </c>
      <c r="M4871" s="3">
        <v>12713.0</v>
      </c>
      <c r="N4871" s="1" t="str">
        <f t="shared" si="5"/>
        <v>Registered</v>
      </c>
      <c r="O4871" s="1" t="s">
        <v>1288</v>
      </c>
      <c r="P4871" s="9" t="str">
        <f t="shared" si="6"/>
        <v>International</v>
      </c>
      <c r="Q4871" s="8">
        <f t="shared" si="7"/>
        <v>33.2</v>
      </c>
    </row>
    <row r="4872">
      <c r="A4872" s="1">
        <v>581578.0</v>
      </c>
      <c r="B4872" s="1" t="str">
        <f t="shared" si="1"/>
        <v>581578</v>
      </c>
      <c r="C4872" s="1" t="str">
        <f t="shared" si="2"/>
        <v>Sale</v>
      </c>
      <c r="D4872" s="1" t="s">
        <v>91</v>
      </c>
      <c r="E4872" s="1" t="str">
        <f>IFERROR(__xludf.DUMMYFUNCTION("IF(LEN(D4872)&gt;4, IFERROR(REGEXEXTRACT(TO_TEXT(D4872),""\d+""),""""),"""")"),"84997")</f>
        <v>84997</v>
      </c>
      <c r="F4872" s="6" t="str">
        <f t="shared" si="3"/>
        <v>Product</v>
      </c>
      <c r="G4872" s="1" t="s">
        <v>1323</v>
      </c>
      <c r="H4872" s="6" t="str">
        <f>IFERROR(__xludf.DUMMYFUNCTION("IF(REGEXMATCH(LOWER(G4872), ""^(\?)+\s*(missing)?\s*(\?)*$""), """", PROPER(SUBSTITUTE(SUBSTITUTE(G4872, ""?"", """"), ""*"", """")))"),"Childrens Cutlery Polkadot Blue")</f>
        <v>Childrens Cutlery Polkadot Blue</v>
      </c>
      <c r="I4872" s="3">
        <v>8.0</v>
      </c>
      <c r="J4872" s="7">
        <v>40886.51111111111</v>
      </c>
      <c r="K4872" s="8" t="str">
        <f t="shared" si="4"/>
        <v>2011-12</v>
      </c>
      <c r="L4872" s="5">
        <v>4.15</v>
      </c>
      <c r="M4872" s="3">
        <v>12713.0</v>
      </c>
      <c r="N4872" s="1" t="str">
        <f t="shared" si="5"/>
        <v>Registered</v>
      </c>
      <c r="O4872" s="1" t="s">
        <v>1288</v>
      </c>
      <c r="P4872" s="9" t="str">
        <f t="shared" si="6"/>
        <v>International</v>
      </c>
      <c r="Q4872" s="8">
        <f t="shared" si="7"/>
        <v>33.2</v>
      </c>
    </row>
    <row r="4873">
      <c r="A4873" s="1">
        <v>581578.0</v>
      </c>
      <c r="B4873" s="1" t="str">
        <f t="shared" si="1"/>
        <v>581578</v>
      </c>
      <c r="C4873" s="1" t="str">
        <f t="shared" si="2"/>
        <v>Sale</v>
      </c>
      <c r="D4873" s="1">
        <v>22555.0</v>
      </c>
      <c r="E4873" s="1" t="str">
        <f>IFERROR(__xludf.DUMMYFUNCTION("IF(LEN(D4873)&gt;4, IFERROR(REGEXEXTRACT(TO_TEXT(D4873),""\d+""),""""),"""")"),"22555")</f>
        <v>22555</v>
      </c>
      <c r="F4873" s="6" t="str">
        <f t="shared" si="3"/>
        <v>Product</v>
      </c>
      <c r="G4873" s="1" t="s">
        <v>914</v>
      </c>
      <c r="H4873" s="6" t="str">
        <f>IFERROR(__xludf.DUMMYFUNCTION("IF(REGEXMATCH(LOWER(G4873), ""^(\?)+\s*(missing)?\s*(\?)*$""), """", PROPER(SUBSTITUTE(SUBSTITUTE(G4873, ""?"", """"), ""*"", """")))"),"Plasters In Tin Strongman")</f>
        <v>Plasters In Tin Strongman</v>
      </c>
      <c r="I4873" s="3">
        <v>12.0</v>
      </c>
      <c r="J4873" s="7">
        <v>40886.51111111111</v>
      </c>
      <c r="K4873" s="8" t="str">
        <f t="shared" si="4"/>
        <v>2011-12</v>
      </c>
      <c r="L4873" s="5">
        <v>1.65</v>
      </c>
      <c r="M4873" s="3">
        <v>12713.0</v>
      </c>
      <c r="N4873" s="1" t="str">
        <f t="shared" si="5"/>
        <v>Registered</v>
      </c>
      <c r="O4873" s="1" t="s">
        <v>1288</v>
      </c>
      <c r="P4873" s="9" t="str">
        <f t="shared" si="6"/>
        <v>International</v>
      </c>
      <c r="Q4873" s="8">
        <f t="shared" si="7"/>
        <v>19.8</v>
      </c>
    </row>
    <row r="4874">
      <c r="A4874" s="1">
        <v>581578.0</v>
      </c>
      <c r="B4874" s="1" t="str">
        <f t="shared" si="1"/>
        <v>581578</v>
      </c>
      <c r="C4874" s="1" t="str">
        <f t="shared" si="2"/>
        <v>Sale</v>
      </c>
      <c r="D4874" s="1">
        <v>21914.0</v>
      </c>
      <c r="E4874" s="1" t="str">
        <f>IFERROR(__xludf.DUMMYFUNCTION("IF(LEN(D4874)&gt;4, IFERROR(REGEXEXTRACT(TO_TEXT(D4874),""\d+""),""""),"""")"),"21914")</f>
        <v>21914</v>
      </c>
      <c r="F4874" s="6" t="str">
        <f t="shared" si="3"/>
        <v>Product</v>
      </c>
      <c r="G4874" s="1" t="s">
        <v>364</v>
      </c>
      <c r="H4874" s="6" t="str">
        <f>IFERROR(__xludf.DUMMYFUNCTION("IF(REGEXMATCH(LOWER(G4874), ""^(\?)+\s*(missing)?\s*(\?)*$""), """", PROPER(SUBSTITUTE(SUBSTITUTE(G4874, ""?"", """"), ""*"", """")))"),"Blue Harmonica In Box")</f>
        <v>Blue Harmonica In Box</v>
      </c>
      <c r="I4874" s="3">
        <v>12.0</v>
      </c>
      <c r="J4874" s="7">
        <v>40886.51111111111</v>
      </c>
      <c r="K4874" s="8" t="str">
        <f t="shared" si="4"/>
        <v>2011-12</v>
      </c>
      <c r="L4874" s="5">
        <v>1.25</v>
      </c>
      <c r="M4874" s="3">
        <v>12713.0</v>
      </c>
      <c r="N4874" s="1" t="str">
        <f t="shared" si="5"/>
        <v>Registered</v>
      </c>
      <c r="O4874" s="1" t="s">
        <v>1288</v>
      </c>
      <c r="P4874" s="9" t="str">
        <f t="shared" si="6"/>
        <v>International</v>
      </c>
      <c r="Q4874" s="8">
        <f t="shared" si="7"/>
        <v>15</v>
      </c>
    </row>
    <row r="4875">
      <c r="A4875" s="1">
        <v>581578.0</v>
      </c>
      <c r="B4875" s="1" t="str">
        <f t="shared" si="1"/>
        <v>581578</v>
      </c>
      <c r="C4875" s="1" t="str">
        <f t="shared" si="2"/>
        <v>Sale</v>
      </c>
      <c r="D4875" s="1">
        <v>22549.0</v>
      </c>
      <c r="E4875" s="1" t="str">
        <f>IFERROR(__xludf.DUMMYFUNCTION("IF(LEN(D4875)&gt;4, IFERROR(REGEXEXTRACT(TO_TEXT(D4875),""\d+""),""""),"""")"),"22549")</f>
        <v>22549</v>
      </c>
      <c r="F4875" s="6" t="str">
        <f t="shared" si="3"/>
        <v>Product</v>
      </c>
      <c r="G4875" s="1" t="s">
        <v>276</v>
      </c>
      <c r="H4875" s="6" t="str">
        <f>IFERROR(__xludf.DUMMYFUNCTION("IF(REGEXMATCH(LOWER(G4875), ""^(\?)+\s*(missing)?\s*(\?)*$""), """", PROPER(SUBSTITUTE(SUBSTITUTE(G4875, ""?"", """"), ""*"", """")))"),"Picture Dominoes")</f>
        <v>Picture Dominoes</v>
      </c>
      <c r="I4875" s="3">
        <v>24.0</v>
      </c>
      <c r="J4875" s="7">
        <v>40886.51111111111</v>
      </c>
      <c r="K4875" s="8" t="str">
        <f t="shared" si="4"/>
        <v>2011-12</v>
      </c>
      <c r="L4875" s="5">
        <v>1.45</v>
      </c>
      <c r="M4875" s="3">
        <v>12713.0</v>
      </c>
      <c r="N4875" s="1" t="str">
        <f t="shared" si="5"/>
        <v>Registered</v>
      </c>
      <c r="O4875" s="1" t="s">
        <v>1288</v>
      </c>
      <c r="P4875" s="9" t="str">
        <f t="shared" si="6"/>
        <v>International</v>
      </c>
      <c r="Q4875" s="8">
        <f t="shared" si="7"/>
        <v>34.8</v>
      </c>
    </row>
    <row r="4876">
      <c r="A4876" s="1">
        <v>581578.0</v>
      </c>
      <c r="B4876" s="1" t="str">
        <f t="shared" si="1"/>
        <v>581578</v>
      </c>
      <c r="C4876" s="1" t="str">
        <f t="shared" si="2"/>
        <v>Sale</v>
      </c>
      <c r="D4876" s="1">
        <v>21918.0</v>
      </c>
      <c r="E4876" s="1" t="str">
        <f>IFERROR(__xludf.DUMMYFUNCTION("IF(LEN(D4876)&gt;4, IFERROR(REGEXEXTRACT(TO_TEXT(D4876),""\d+""),""""),"""")"),"21918")</f>
        <v>21918</v>
      </c>
      <c r="F4876" s="6" t="str">
        <f t="shared" si="3"/>
        <v>Product</v>
      </c>
      <c r="G4876" s="1" t="s">
        <v>1538</v>
      </c>
      <c r="H4876" s="6" t="str">
        <f>IFERROR(__xludf.DUMMYFUNCTION("IF(REGEXMATCH(LOWER(G4876), ""^(\?)+\s*(missing)?\s*(\?)*$""), """", PROPER(SUBSTITUTE(SUBSTITUTE(G4876, ""?"", """"), ""*"", """")))"),"Set 12 Kids Colour Chalk Sticks")</f>
        <v>Set 12 Kids Colour Chalk Sticks</v>
      </c>
      <c r="I4876" s="3">
        <v>24.0</v>
      </c>
      <c r="J4876" s="7">
        <v>40886.51111111111</v>
      </c>
      <c r="K4876" s="8" t="str">
        <f t="shared" si="4"/>
        <v>2011-12</v>
      </c>
      <c r="L4876" s="5">
        <v>0.42</v>
      </c>
      <c r="M4876" s="3">
        <v>12713.0</v>
      </c>
      <c r="N4876" s="1" t="str">
        <f t="shared" si="5"/>
        <v>Registered</v>
      </c>
      <c r="O4876" s="1" t="s">
        <v>1288</v>
      </c>
      <c r="P4876" s="9" t="str">
        <f t="shared" si="6"/>
        <v>International</v>
      </c>
      <c r="Q4876" s="8">
        <f t="shared" si="7"/>
        <v>10.08</v>
      </c>
    </row>
    <row r="4877">
      <c r="A4877" s="1">
        <v>581578.0</v>
      </c>
      <c r="B4877" s="1" t="str">
        <f t="shared" si="1"/>
        <v>581578</v>
      </c>
      <c r="C4877" s="1" t="str">
        <f t="shared" si="2"/>
        <v>Sale</v>
      </c>
      <c r="D4877" s="1">
        <v>22992.0</v>
      </c>
      <c r="E4877" s="1" t="str">
        <f>IFERROR(__xludf.DUMMYFUNCTION("IF(LEN(D4877)&gt;4, IFERROR(REGEXEXTRACT(TO_TEXT(D4877),""\d+""),""""),"""")"),"22992")</f>
        <v>22992</v>
      </c>
      <c r="F4877" s="6" t="str">
        <f t="shared" si="3"/>
        <v>Product</v>
      </c>
      <c r="G4877" s="1" t="s">
        <v>732</v>
      </c>
      <c r="H4877" s="6" t="str">
        <f>IFERROR(__xludf.DUMMYFUNCTION("IF(REGEXMATCH(LOWER(G4877), ""^(\?)+\s*(missing)?\s*(\?)*$""), """", PROPER(SUBSTITUTE(SUBSTITUTE(G4877, ""?"", """"), ""*"", """")))"),"Revolver Wooden Ruler")</f>
        <v>Revolver Wooden Ruler</v>
      </c>
      <c r="I4877" s="3">
        <v>12.0</v>
      </c>
      <c r="J4877" s="7">
        <v>40886.51111111111</v>
      </c>
      <c r="K4877" s="8" t="str">
        <f t="shared" si="4"/>
        <v>2011-12</v>
      </c>
      <c r="L4877" s="5">
        <v>1.95</v>
      </c>
      <c r="M4877" s="3">
        <v>12713.0</v>
      </c>
      <c r="N4877" s="1" t="str">
        <f t="shared" si="5"/>
        <v>Registered</v>
      </c>
      <c r="O4877" s="1" t="s">
        <v>1288</v>
      </c>
      <c r="P4877" s="9" t="str">
        <f t="shared" si="6"/>
        <v>International</v>
      </c>
      <c r="Q4877" s="8">
        <f t="shared" si="7"/>
        <v>23.4</v>
      </c>
    </row>
    <row r="4878">
      <c r="A4878" s="1">
        <v>581578.0</v>
      </c>
      <c r="B4878" s="1" t="str">
        <f t="shared" si="1"/>
        <v>581578</v>
      </c>
      <c r="C4878" s="1" t="str">
        <f t="shared" si="2"/>
        <v>Sale</v>
      </c>
      <c r="D4878" s="1">
        <v>22991.0</v>
      </c>
      <c r="E4878" s="1" t="str">
        <f>IFERROR(__xludf.DUMMYFUNCTION("IF(LEN(D4878)&gt;4, IFERROR(REGEXEXTRACT(TO_TEXT(D4878),""\d+""),""""),"""")"),"22991")</f>
        <v>22991</v>
      </c>
      <c r="F4878" s="6" t="str">
        <f t="shared" si="3"/>
        <v>Product</v>
      </c>
      <c r="G4878" s="1" t="s">
        <v>731</v>
      </c>
      <c r="H4878" s="6" t="str">
        <f>IFERROR(__xludf.DUMMYFUNCTION("IF(REGEXMATCH(LOWER(G4878), ""^(\?)+\s*(missing)?\s*(\?)*$""), """", PROPER(SUBSTITUTE(SUBSTITUTE(G4878, ""?"", """"), ""*"", """")))"),"Giraffe Wooden Ruler")</f>
        <v>Giraffe Wooden Ruler</v>
      </c>
      <c r="I4878" s="3">
        <v>12.0</v>
      </c>
      <c r="J4878" s="7">
        <v>40886.51111111111</v>
      </c>
      <c r="K4878" s="8" t="str">
        <f t="shared" si="4"/>
        <v>2011-12</v>
      </c>
      <c r="L4878" s="5">
        <v>1.95</v>
      </c>
      <c r="M4878" s="3">
        <v>12713.0</v>
      </c>
      <c r="N4878" s="1" t="str">
        <f t="shared" si="5"/>
        <v>Registered</v>
      </c>
      <c r="O4878" s="1" t="s">
        <v>1288</v>
      </c>
      <c r="P4878" s="9" t="str">
        <f t="shared" si="6"/>
        <v>International</v>
      </c>
      <c r="Q4878" s="8">
        <f t="shared" si="7"/>
        <v>23.4</v>
      </c>
    </row>
    <row r="4879">
      <c r="A4879" s="1">
        <v>581578.0</v>
      </c>
      <c r="B4879" s="1" t="str">
        <f t="shared" si="1"/>
        <v>581578</v>
      </c>
      <c r="C4879" s="1" t="str">
        <f t="shared" si="2"/>
        <v>Sale</v>
      </c>
      <c r="D4879" s="1">
        <v>23229.0</v>
      </c>
      <c r="E4879" s="1" t="str">
        <f>IFERROR(__xludf.DUMMYFUNCTION("IF(LEN(D4879)&gt;4, IFERROR(REGEXEXTRACT(TO_TEXT(D4879),""\d+""),""""),"""")"),"23229")</f>
        <v>23229</v>
      </c>
      <c r="F4879" s="6" t="str">
        <f t="shared" si="3"/>
        <v>Product</v>
      </c>
      <c r="G4879" s="1" t="s">
        <v>2004</v>
      </c>
      <c r="H4879" s="6" t="str">
        <f>IFERROR(__xludf.DUMMYFUNCTION("IF(REGEXMATCH(LOWER(G4879), ""^(\?)+\s*(missing)?\s*(\?)*$""), """", PROPER(SUBSTITUTE(SUBSTITUTE(G4879, ""?"", """"), ""*"", """")))"),"Vintage Donkey Tail Game")</f>
        <v>Vintage Donkey Tail Game</v>
      </c>
      <c r="I4879" s="3">
        <v>6.0</v>
      </c>
      <c r="J4879" s="7">
        <v>40886.51111111111</v>
      </c>
      <c r="K4879" s="8" t="str">
        <f t="shared" si="4"/>
        <v>2011-12</v>
      </c>
      <c r="L4879" s="5">
        <v>3.75</v>
      </c>
      <c r="M4879" s="3">
        <v>12713.0</v>
      </c>
      <c r="N4879" s="1" t="str">
        <f t="shared" si="5"/>
        <v>Registered</v>
      </c>
      <c r="O4879" s="1" t="s">
        <v>1288</v>
      </c>
      <c r="P4879" s="9" t="str">
        <f t="shared" si="6"/>
        <v>International</v>
      </c>
      <c r="Q4879" s="8">
        <f t="shared" si="7"/>
        <v>22.5</v>
      </c>
    </row>
    <row r="4880">
      <c r="A4880" s="1">
        <v>581578.0</v>
      </c>
      <c r="B4880" s="1" t="str">
        <f t="shared" si="1"/>
        <v>581578</v>
      </c>
      <c r="C4880" s="1" t="str">
        <f t="shared" si="2"/>
        <v>Sale</v>
      </c>
      <c r="D4880" s="1">
        <v>22622.0</v>
      </c>
      <c r="E4880" s="1" t="str">
        <f>IFERROR(__xludf.DUMMYFUNCTION("IF(LEN(D4880)&gt;4, IFERROR(REGEXEXTRACT(TO_TEXT(D4880),""\d+""),""""),"""")"),"22622")</f>
        <v>22622</v>
      </c>
      <c r="F4880" s="6" t="str">
        <f t="shared" si="3"/>
        <v>Product</v>
      </c>
      <c r="G4880" s="1" t="s">
        <v>38</v>
      </c>
      <c r="H4880" s="6" t="str">
        <f>IFERROR(__xludf.DUMMYFUNCTION("IF(REGEXMATCH(LOWER(G4880), ""^(\?)+\s*(missing)?\s*(\?)*$""), """", PROPER(SUBSTITUTE(SUBSTITUTE(G4880, ""?"", """"), ""*"", """")))"),"Box Of Vintage Alphabet Blocks")</f>
        <v>Box Of Vintage Alphabet Blocks</v>
      </c>
      <c r="I4880" s="3">
        <v>6.0</v>
      </c>
      <c r="J4880" s="7">
        <v>40886.51111111111</v>
      </c>
      <c r="K4880" s="8" t="str">
        <f t="shared" si="4"/>
        <v>2011-12</v>
      </c>
      <c r="L4880" s="5">
        <v>11.95</v>
      </c>
      <c r="M4880" s="3">
        <v>12713.0</v>
      </c>
      <c r="N4880" s="1" t="str">
        <f t="shared" si="5"/>
        <v>Registered</v>
      </c>
      <c r="O4880" s="1" t="s">
        <v>1288</v>
      </c>
      <c r="P4880" s="9" t="str">
        <f t="shared" si="6"/>
        <v>International</v>
      </c>
      <c r="Q4880" s="8">
        <f t="shared" si="7"/>
        <v>71.7</v>
      </c>
    </row>
    <row r="4881">
      <c r="A4881" s="1">
        <v>581578.0</v>
      </c>
      <c r="B4881" s="1" t="str">
        <f t="shared" si="1"/>
        <v>581578</v>
      </c>
      <c r="C4881" s="1" t="str">
        <f t="shared" si="2"/>
        <v>Sale</v>
      </c>
      <c r="D4881" s="1">
        <v>21506.0</v>
      </c>
      <c r="E4881" s="1" t="str">
        <f>IFERROR(__xludf.DUMMYFUNCTION("IF(LEN(D4881)&gt;4, IFERROR(REGEXEXTRACT(TO_TEXT(D4881),""\d+""),""""),"""")"),"21506")</f>
        <v>21506</v>
      </c>
      <c r="F4881" s="6" t="str">
        <f t="shared" si="3"/>
        <v>Product</v>
      </c>
      <c r="G4881" s="1" t="s">
        <v>245</v>
      </c>
      <c r="H4881" s="6" t="str">
        <f>IFERROR(__xludf.DUMMYFUNCTION("IF(REGEXMATCH(LOWER(G4881), ""^(\?)+\s*(missing)?\s*(\?)*$""), """", PROPER(SUBSTITUTE(SUBSTITUTE(G4881, ""?"", """"), ""*"", """")))"),"Fancy Font Birthday Card,")</f>
        <v>Fancy Font Birthday Card,</v>
      </c>
      <c r="I4881" s="3">
        <v>12.0</v>
      </c>
      <c r="J4881" s="7">
        <v>40886.51111111111</v>
      </c>
      <c r="K4881" s="8" t="str">
        <f t="shared" si="4"/>
        <v>2011-12</v>
      </c>
      <c r="L4881" s="5">
        <v>0.42</v>
      </c>
      <c r="M4881" s="3">
        <v>12713.0</v>
      </c>
      <c r="N4881" s="1" t="str">
        <f t="shared" si="5"/>
        <v>Registered</v>
      </c>
      <c r="O4881" s="1" t="s">
        <v>1288</v>
      </c>
      <c r="P4881" s="9" t="str">
        <f t="shared" si="6"/>
        <v>International</v>
      </c>
      <c r="Q4881" s="8">
        <f t="shared" si="7"/>
        <v>5.04</v>
      </c>
    </row>
    <row r="4882">
      <c r="A4882" s="1">
        <v>581578.0</v>
      </c>
      <c r="B4882" s="1" t="str">
        <f t="shared" si="1"/>
        <v>581578</v>
      </c>
      <c r="C4882" s="1" t="str">
        <f t="shared" si="2"/>
        <v>Sale</v>
      </c>
      <c r="D4882" s="1">
        <v>21507.0</v>
      </c>
      <c r="E4882" s="1" t="str">
        <f>IFERROR(__xludf.DUMMYFUNCTION("IF(LEN(D4882)&gt;4, IFERROR(REGEXEXTRACT(TO_TEXT(D4882),""\d+""),""""),"""")"),"21507")</f>
        <v>21507</v>
      </c>
      <c r="F4882" s="6" t="str">
        <f t="shared" si="3"/>
        <v>Product</v>
      </c>
      <c r="G4882" s="1" t="s">
        <v>1756</v>
      </c>
      <c r="H4882" s="6" t="str">
        <f>IFERROR(__xludf.DUMMYFUNCTION("IF(REGEXMATCH(LOWER(G4882), ""^(\?)+\s*(missing)?\s*(\?)*$""), """", PROPER(SUBSTITUTE(SUBSTITUTE(G4882, ""?"", """"), ""*"", """")))"),"Elephant Birthday Card")</f>
        <v>Elephant Birthday Card</v>
      </c>
      <c r="I4882" s="3">
        <v>12.0</v>
      </c>
      <c r="J4882" s="7">
        <v>40886.51111111111</v>
      </c>
      <c r="K4882" s="8" t="str">
        <f t="shared" si="4"/>
        <v>2011-12</v>
      </c>
      <c r="L4882" s="5">
        <v>0.42</v>
      </c>
      <c r="M4882" s="3">
        <v>12713.0</v>
      </c>
      <c r="N4882" s="1" t="str">
        <f t="shared" si="5"/>
        <v>Registered</v>
      </c>
      <c r="O4882" s="1" t="s">
        <v>1288</v>
      </c>
      <c r="P4882" s="9" t="str">
        <f t="shared" si="6"/>
        <v>International</v>
      </c>
      <c r="Q4882" s="8">
        <f t="shared" si="7"/>
        <v>5.04</v>
      </c>
    </row>
    <row r="4883">
      <c r="A4883" s="1">
        <v>581578.0</v>
      </c>
      <c r="B4883" s="1" t="str">
        <f t="shared" si="1"/>
        <v>581578</v>
      </c>
      <c r="C4883" s="1" t="str">
        <f t="shared" si="2"/>
        <v>Sale</v>
      </c>
      <c r="D4883" s="1">
        <v>23037.0</v>
      </c>
      <c r="E4883" s="1" t="str">
        <f>IFERROR(__xludf.DUMMYFUNCTION("IF(LEN(D4883)&gt;4, IFERROR(REGEXEXTRACT(TO_TEXT(D4883),""\d+""),""""),"""")"),"23037")</f>
        <v>23037</v>
      </c>
      <c r="F4883" s="6" t="str">
        <f t="shared" si="3"/>
        <v>Product</v>
      </c>
      <c r="G4883" s="1" t="s">
        <v>2143</v>
      </c>
      <c r="H4883" s="6" t="str">
        <f>IFERROR(__xludf.DUMMYFUNCTION("IF(REGEXMATCH(LOWER(G4883), ""^(\?)+\s*(missing)?\s*(\?)*$""), """", PROPER(SUBSTITUTE(SUBSTITUTE(G4883, ""?"", """"), ""*"", """")))"),"Candle Holder Silver Madeline")</f>
        <v>Candle Holder Silver Madeline</v>
      </c>
      <c r="I4883" s="3">
        <v>12.0</v>
      </c>
      <c r="J4883" s="7">
        <v>40886.51111111111</v>
      </c>
      <c r="K4883" s="8" t="str">
        <f t="shared" si="4"/>
        <v>2011-12</v>
      </c>
      <c r="L4883" s="5">
        <v>1.65</v>
      </c>
      <c r="M4883" s="3">
        <v>12713.0</v>
      </c>
      <c r="N4883" s="1" t="str">
        <f t="shared" si="5"/>
        <v>Registered</v>
      </c>
      <c r="O4883" s="1" t="s">
        <v>1288</v>
      </c>
      <c r="P4883" s="9" t="str">
        <f t="shared" si="6"/>
        <v>International</v>
      </c>
      <c r="Q4883" s="8">
        <f t="shared" si="7"/>
        <v>19.8</v>
      </c>
    </row>
    <row r="4884">
      <c r="A4884" s="1">
        <v>581578.0</v>
      </c>
      <c r="B4884" s="1" t="str">
        <f t="shared" si="1"/>
        <v>581578</v>
      </c>
      <c r="C4884" s="1" t="str">
        <f t="shared" si="2"/>
        <v>Sale</v>
      </c>
      <c r="D4884" s="1">
        <v>23550.0</v>
      </c>
      <c r="E4884" s="1" t="str">
        <f>IFERROR(__xludf.DUMMYFUNCTION("IF(LEN(D4884)&gt;4, IFERROR(REGEXEXTRACT(TO_TEXT(D4884),""\d+""),""""),"""")"),"23550")</f>
        <v>23550</v>
      </c>
      <c r="F4884" s="6" t="str">
        <f t="shared" si="3"/>
        <v>Product</v>
      </c>
      <c r="G4884" s="1" t="s">
        <v>2144</v>
      </c>
      <c r="H4884" s="6" t="str">
        <f>IFERROR(__xludf.DUMMYFUNCTION("IF(REGEXMATCH(LOWER(G4884), ""^(\?)+\s*(missing)?\s*(\?)*$""), """", PROPER(SUBSTITUTE(SUBSTITUTE(G4884, ""?"", """"), ""*"", """")))"),"Wrap Alphabet Poster")</f>
        <v>Wrap Alphabet Poster</v>
      </c>
      <c r="I4884" s="3">
        <v>25.0</v>
      </c>
      <c r="J4884" s="7">
        <v>40886.51111111111</v>
      </c>
      <c r="K4884" s="8" t="str">
        <f t="shared" si="4"/>
        <v>2011-12</v>
      </c>
      <c r="L4884" s="5">
        <v>0.42</v>
      </c>
      <c r="M4884" s="3">
        <v>12713.0</v>
      </c>
      <c r="N4884" s="1" t="str">
        <f t="shared" si="5"/>
        <v>Registered</v>
      </c>
      <c r="O4884" s="1" t="s">
        <v>1288</v>
      </c>
      <c r="P4884" s="9" t="str">
        <f t="shared" si="6"/>
        <v>International</v>
      </c>
      <c r="Q4884" s="8">
        <f t="shared" si="7"/>
        <v>10.5</v>
      </c>
    </row>
    <row r="4885">
      <c r="A4885" s="1">
        <v>581578.0</v>
      </c>
      <c r="B4885" s="1" t="str">
        <f t="shared" si="1"/>
        <v>581578</v>
      </c>
      <c r="C4885" s="1" t="str">
        <f t="shared" si="2"/>
        <v>Sale</v>
      </c>
      <c r="D4885" s="1">
        <v>22711.0</v>
      </c>
      <c r="E4885" s="1" t="str">
        <f>IFERROR(__xludf.DUMMYFUNCTION("IF(LEN(D4885)&gt;4, IFERROR(REGEXEXTRACT(TO_TEXT(D4885),""\d+""),""""),"""")"),"22711")</f>
        <v>22711</v>
      </c>
      <c r="F4885" s="6" t="str">
        <f t="shared" si="3"/>
        <v>Product</v>
      </c>
      <c r="G4885" s="1" t="s">
        <v>2145</v>
      </c>
      <c r="H4885" s="6" t="str">
        <f>IFERROR(__xludf.DUMMYFUNCTION("IF(REGEXMATCH(LOWER(G4885), ""^(\?)+\s*(missing)?\s*(\?)*$""), """", PROPER(SUBSTITUTE(SUBSTITUTE(G4885, ""?"", """"), ""*"", """")))"),"Wrap Circus Parade")</f>
        <v>Wrap Circus Parade</v>
      </c>
      <c r="I4885" s="3">
        <v>25.0</v>
      </c>
      <c r="J4885" s="7">
        <v>40886.51111111111</v>
      </c>
      <c r="K4885" s="8" t="str">
        <f t="shared" si="4"/>
        <v>2011-12</v>
      </c>
      <c r="L4885" s="5">
        <v>0.42</v>
      </c>
      <c r="M4885" s="3">
        <v>12713.0</v>
      </c>
      <c r="N4885" s="1" t="str">
        <f t="shared" si="5"/>
        <v>Registered</v>
      </c>
      <c r="O4885" s="1" t="s">
        <v>1288</v>
      </c>
      <c r="P4885" s="9" t="str">
        <f t="shared" si="6"/>
        <v>International</v>
      </c>
      <c r="Q4885" s="8">
        <f t="shared" si="7"/>
        <v>10.5</v>
      </c>
    </row>
    <row r="4886">
      <c r="A4886" s="1">
        <v>581578.0</v>
      </c>
      <c r="B4886" s="1" t="str">
        <f t="shared" si="1"/>
        <v>581578</v>
      </c>
      <c r="C4886" s="1" t="str">
        <f t="shared" si="2"/>
        <v>Sale</v>
      </c>
      <c r="D4886" s="1">
        <v>21497.0</v>
      </c>
      <c r="E4886" s="1" t="str">
        <f>IFERROR(__xludf.DUMMYFUNCTION("IF(LEN(D4886)&gt;4, IFERROR(REGEXEXTRACT(TO_TEXT(D4886),""\d+""),""""),"""")"),"21497")</f>
        <v>21497</v>
      </c>
      <c r="F4886" s="6" t="str">
        <f t="shared" si="3"/>
        <v>Product</v>
      </c>
      <c r="G4886" s="1" t="s">
        <v>1149</v>
      </c>
      <c r="H4886" s="6" t="str">
        <f>IFERROR(__xludf.DUMMYFUNCTION("IF(REGEXMATCH(LOWER(G4886), ""^(\?)+\s*(missing)?\s*(\?)*$""), """", PROPER(SUBSTITUTE(SUBSTITUTE(G4886, ""?"", """"), ""*"", """")))"),"Fancy Fonts Birthday Wrap")</f>
        <v>Fancy Fonts Birthday Wrap</v>
      </c>
      <c r="I4886" s="3">
        <v>25.0</v>
      </c>
      <c r="J4886" s="7">
        <v>40886.51111111111</v>
      </c>
      <c r="K4886" s="8" t="str">
        <f t="shared" si="4"/>
        <v>2011-12</v>
      </c>
      <c r="L4886" s="5">
        <v>0.42</v>
      </c>
      <c r="M4886" s="3">
        <v>12713.0</v>
      </c>
      <c r="N4886" s="1" t="str">
        <f t="shared" si="5"/>
        <v>Registered</v>
      </c>
      <c r="O4886" s="1" t="s">
        <v>1288</v>
      </c>
      <c r="P4886" s="9" t="str">
        <f t="shared" si="6"/>
        <v>International</v>
      </c>
      <c r="Q4886" s="8">
        <f t="shared" si="7"/>
        <v>10.5</v>
      </c>
    </row>
    <row r="4887">
      <c r="A4887" s="1">
        <v>581578.0</v>
      </c>
      <c r="B4887" s="1" t="str">
        <f t="shared" si="1"/>
        <v>581578</v>
      </c>
      <c r="C4887" s="1" t="str">
        <f t="shared" si="2"/>
        <v>Sale</v>
      </c>
      <c r="D4887" s="1">
        <v>22704.0</v>
      </c>
      <c r="E4887" s="1" t="str">
        <f>IFERROR(__xludf.DUMMYFUNCTION("IF(LEN(D4887)&gt;4, IFERROR(REGEXEXTRACT(TO_TEXT(D4887),""\d+""),""""),"""")"),"22704")</f>
        <v>22704</v>
      </c>
      <c r="F4887" s="6" t="str">
        <f t="shared" si="3"/>
        <v>Product</v>
      </c>
      <c r="G4887" s="1" t="s">
        <v>932</v>
      </c>
      <c r="H4887" s="6" t="str">
        <f>IFERROR(__xludf.DUMMYFUNCTION("IF(REGEXMATCH(LOWER(G4887), ""^(\?)+\s*(missing)?\s*(\?)*$""), """", PROPER(SUBSTITUTE(SUBSTITUTE(G4887, ""?"", """"), ""*"", """")))"),"Wrap Red Apples")</f>
        <v>Wrap Red Apples</v>
      </c>
      <c r="I4887" s="3">
        <v>25.0</v>
      </c>
      <c r="J4887" s="7">
        <v>40886.51111111111</v>
      </c>
      <c r="K4887" s="8" t="str">
        <f t="shared" si="4"/>
        <v>2011-12</v>
      </c>
      <c r="L4887" s="5">
        <v>0.42</v>
      </c>
      <c r="M4887" s="3">
        <v>12713.0</v>
      </c>
      <c r="N4887" s="1" t="str">
        <f t="shared" si="5"/>
        <v>Registered</v>
      </c>
      <c r="O4887" s="1" t="s">
        <v>1288</v>
      </c>
      <c r="P4887" s="9" t="str">
        <f t="shared" si="6"/>
        <v>International</v>
      </c>
      <c r="Q4887" s="8">
        <f t="shared" si="7"/>
        <v>10.5</v>
      </c>
    </row>
    <row r="4888">
      <c r="A4888" s="1">
        <v>581578.0</v>
      </c>
      <c r="B4888" s="1" t="str">
        <f t="shared" si="1"/>
        <v>581578</v>
      </c>
      <c r="C4888" s="1" t="str">
        <f t="shared" si="2"/>
        <v>Sale</v>
      </c>
      <c r="D4888" s="1">
        <v>22585.0</v>
      </c>
      <c r="E4888" s="1" t="str">
        <f>IFERROR(__xludf.DUMMYFUNCTION("IF(LEN(D4888)&gt;4, IFERROR(REGEXEXTRACT(TO_TEXT(D4888),""\d+""),""""),"""")"),"22585")</f>
        <v>22585</v>
      </c>
      <c r="F4888" s="6" t="str">
        <f t="shared" si="3"/>
        <v>Product</v>
      </c>
      <c r="G4888" s="1" t="s">
        <v>520</v>
      </c>
      <c r="H4888" s="6" t="str">
        <f>IFERROR(__xludf.DUMMYFUNCTION("IF(REGEXMATCH(LOWER(G4888), ""^(\?)+\s*(missing)?\s*(\?)*$""), """", PROPER(SUBSTITUTE(SUBSTITUTE(G4888, ""?"", """"), ""*"", """")))"),"Pack Of 6 Birdy Gift Tags")</f>
        <v>Pack Of 6 Birdy Gift Tags</v>
      </c>
      <c r="I4888" s="3">
        <v>12.0</v>
      </c>
      <c r="J4888" s="7">
        <v>40886.51111111111</v>
      </c>
      <c r="K4888" s="8" t="str">
        <f t="shared" si="4"/>
        <v>2011-12</v>
      </c>
      <c r="L4888" s="5">
        <v>1.25</v>
      </c>
      <c r="M4888" s="3">
        <v>12713.0</v>
      </c>
      <c r="N4888" s="1" t="str">
        <f t="shared" si="5"/>
        <v>Registered</v>
      </c>
      <c r="O4888" s="1" t="s">
        <v>1288</v>
      </c>
      <c r="P4888" s="9" t="str">
        <f t="shared" si="6"/>
        <v>International</v>
      </c>
      <c r="Q4888" s="8">
        <f t="shared" si="7"/>
        <v>15</v>
      </c>
    </row>
    <row r="4889">
      <c r="A4889" s="1">
        <v>581578.0</v>
      </c>
      <c r="B4889" s="1" t="str">
        <f t="shared" si="1"/>
        <v>581578</v>
      </c>
      <c r="C4889" s="1" t="str">
        <f t="shared" si="2"/>
        <v>Sale</v>
      </c>
      <c r="D4889" s="1">
        <v>23205.0</v>
      </c>
      <c r="E4889" s="1" t="str">
        <f>IFERROR(__xludf.DUMMYFUNCTION("IF(LEN(D4889)&gt;4, IFERROR(REGEXEXTRACT(TO_TEXT(D4889),""\d+""),""""),"""")"),"23205")</f>
        <v>23205</v>
      </c>
      <c r="F4889" s="6" t="str">
        <f t="shared" si="3"/>
        <v>Product</v>
      </c>
      <c r="G4889" s="1" t="s">
        <v>1998</v>
      </c>
      <c r="H4889" s="6" t="str">
        <f>IFERROR(__xludf.DUMMYFUNCTION("IF(REGEXMATCH(LOWER(G4889), ""^(\?)+\s*(missing)?\s*(\?)*$""), """", PROPER(SUBSTITUTE(SUBSTITUTE(G4889, ""?"", """"), ""*"", """")))"),"Charlotte Bag Vintage Alphabet")</f>
        <v>Charlotte Bag Vintage Alphabet</v>
      </c>
      <c r="I4889" s="3">
        <v>10.0</v>
      </c>
      <c r="J4889" s="7">
        <v>40886.51111111111</v>
      </c>
      <c r="K4889" s="8" t="str">
        <f t="shared" si="4"/>
        <v>2011-12</v>
      </c>
      <c r="L4889" s="5">
        <v>0.85</v>
      </c>
      <c r="M4889" s="3">
        <v>12713.0</v>
      </c>
      <c r="N4889" s="1" t="str">
        <f t="shared" si="5"/>
        <v>Registered</v>
      </c>
      <c r="O4889" s="1" t="s">
        <v>1288</v>
      </c>
      <c r="P4889" s="9" t="str">
        <f t="shared" si="6"/>
        <v>International</v>
      </c>
      <c r="Q4889" s="8">
        <f t="shared" si="7"/>
        <v>8.5</v>
      </c>
    </row>
    <row r="4890">
      <c r="A4890" s="1">
        <v>581578.0</v>
      </c>
      <c r="B4890" s="1" t="str">
        <f t="shared" si="1"/>
        <v>581578</v>
      </c>
      <c r="C4890" s="1" t="str">
        <f t="shared" si="2"/>
        <v>Sale</v>
      </c>
      <c r="D4890" s="1">
        <v>23201.0</v>
      </c>
      <c r="E4890" s="1" t="str">
        <f>IFERROR(__xludf.DUMMYFUNCTION("IF(LEN(D4890)&gt;4, IFERROR(REGEXEXTRACT(TO_TEXT(D4890),""\d+""),""""),"""")"),"23201")</f>
        <v>23201</v>
      </c>
      <c r="F4890" s="6" t="str">
        <f t="shared" si="3"/>
        <v>Product</v>
      </c>
      <c r="G4890" s="1" t="s">
        <v>1636</v>
      </c>
      <c r="H4890" s="6" t="str">
        <f>IFERROR(__xludf.DUMMYFUNCTION("IF(REGEXMATCH(LOWER(G4890), ""^(\?)+\s*(missing)?\s*(\?)*$""), """", PROPER(SUBSTITUTE(SUBSTITUTE(G4890, ""?"", """"), ""*"", """")))"),"Jumbo Bag Alphabet")</f>
        <v>Jumbo Bag Alphabet</v>
      </c>
      <c r="I4890" s="3">
        <v>10.0</v>
      </c>
      <c r="J4890" s="7">
        <v>40886.51111111111</v>
      </c>
      <c r="K4890" s="8" t="str">
        <f t="shared" si="4"/>
        <v>2011-12</v>
      </c>
      <c r="L4890" s="5">
        <v>2.08</v>
      </c>
      <c r="M4890" s="3">
        <v>12713.0</v>
      </c>
      <c r="N4890" s="1" t="str">
        <f t="shared" si="5"/>
        <v>Registered</v>
      </c>
      <c r="O4890" s="1" t="s">
        <v>1288</v>
      </c>
      <c r="P4890" s="9" t="str">
        <f t="shared" si="6"/>
        <v>International</v>
      </c>
      <c r="Q4890" s="8">
        <f t="shared" si="7"/>
        <v>20.8</v>
      </c>
    </row>
    <row r="4891">
      <c r="A4891" s="1">
        <v>581578.0</v>
      </c>
      <c r="B4891" s="1" t="str">
        <f t="shared" si="1"/>
        <v>581578</v>
      </c>
      <c r="C4891" s="1" t="str">
        <f t="shared" si="2"/>
        <v>Sale</v>
      </c>
      <c r="D4891" s="1">
        <v>23515.0</v>
      </c>
      <c r="E4891" s="1" t="str">
        <f>IFERROR(__xludf.DUMMYFUNCTION("IF(LEN(D4891)&gt;4, IFERROR(REGEXEXTRACT(TO_TEXT(D4891),""\d+""),""""),"""")"),"23515")</f>
        <v>23515</v>
      </c>
      <c r="F4891" s="6" t="str">
        <f t="shared" si="3"/>
        <v>Product</v>
      </c>
      <c r="G4891" s="1" t="s">
        <v>2146</v>
      </c>
      <c r="H4891" s="6" t="str">
        <f>IFERROR(__xludf.DUMMYFUNCTION("IF(REGEXMATCH(LOWER(G4891), ""^(\?)+\s*(missing)?\s*(\?)*$""), """", PROPER(SUBSTITUTE(SUBSTITUTE(G4891, ""?"", """"), ""*"", """")))"),"Embroidered Ribbon Reel Daisy")</f>
        <v>Embroidered Ribbon Reel Daisy</v>
      </c>
      <c r="I4891" s="3">
        <v>6.0</v>
      </c>
      <c r="J4891" s="7">
        <v>40886.51111111111</v>
      </c>
      <c r="K4891" s="8" t="str">
        <f t="shared" si="4"/>
        <v>2011-12</v>
      </c>
      <c r="L4891" s="5">
        <v>2.08</v>
      </c>
      <c r="M4891" s="3">
        <v>12713.0</v>
      </c>
      <c r="N4891" s="1" t="str">
        <f t="shared" si="5"/>
        <v>Registered</v>
      </c>
      <c r="O4891" s="1" t="s">
        <v>1288</v>
      </c>
      <c r="P4891" s="9" t="str">
        <f t="shared" si="6"/>
        <v>International</v>
      </c>
      <c r="Q4891" s="8">
        <f t="shared" si="7"/>
        <v>12.48</v>
      </c>
    </row>
    <row r="4892">
      <c r="A4892" s="1">
        <v>581578.0</v>
      </c>
      <c r="B4892" s="1" t="str">
        <f t="shared" si="1"/>
        <v>581578</v>
      </c>
      <c r="C4892" s="1" t="str">
        <f t="shared" si="2"/>
        <v>Sale</v>
      </c>
      <c r="D4892" s="1">
        <v>22081.0</v>
      </c>
      <c r="E4892" s="1" t="str">
        <f>IFERROR(__xludf.DUMMYFUNCTION("IF(LEN(D4892)&gt;4, IFERROR(REGEXEXTRACT(TO_TEXT(D4892),""\d+""),""""),"""")"),"22081")</f>
        <v>22081</v>
      </c>
      <c r="F4892" s="6" t="str">
        <f t="shared" si="3"/>
        <v>Product</v>
      </c>
      <c r="G4892" s="1" t="s">
        <v>2147</v>
      </c>
      <c r="H4892" s="6" t="str">
        <f>IFERROR(__xludf.DUMMYFUNCTION("IF(REGEXMATCH(LOWER(G4892), ""^(\?)+\s*(missing)?\s*(\?)*$""), """", PROPER(SUBSTITUTE(SUBSTITUTE(G4892, ""?"", """"), ""*"", """")))"),"Ribbon Reel Flora + Fauna")</f>
        <v>Ribbon Reel Flora + Fauna</v>
      </c>
      <c r="I4892" s="3">
        <v>10.0</v>
      </c>
      <c r="J4892" s="7">
        <v>40886.51111111111</v>
      </c>
      <c r="K4892" s="8" t="str">
        <f t="shared" si="4"/>
        <v>2011-12</v>
      </c>
      <c r="L4892" s="5">
        <v>1.65</v>
      </c>
      <c r="M4892" s="3">
        <v>12713.0</v>
      </c>
      <c r="N4892" s="1" t="str">
        <f t="shared" si="5"/>
        <v>Registered</v>
      </c>
      <c r="O4892" s="1" t="s">
        <v>1288</v>
      </c>
      <c r="P4892" s="9" t="str">
        <f t="shared" si="6"/>
        <v>International</v>
      </c>
      <c r="Q4892" s="8">
        <f t="shared" si="7"/>
        <v>16.5</v>
      </c>
    </row>
    <row r="4893">
      <c r="A4893" s="1">
        <v>581578.0</v>
      </c>
      <c r="B4893" s="1" t="str">
        <f t="shared" si="1"/>
        <v>581578</v>
      </c>
      <c r="C4893" s="1" t="str">
        <f t="shared" si="2"/>
        <v>Sale</v>
      </c>
      <c r="D4893" s="1">
        <v>22080.0</v>
      </c>
      <c r="E4893" s="1" t="str">
        <f>IFERROR(__xludf.DUMMYFUNCTION("IF(LEN(D4893)&gt;4, IFERROR(REGEXEXTRACT(TO_TEXT(D4893),""\d+""),""""),"""")"),"22080")</f>
        <v>22080</v>
      </c>
      <c r="F4893" s="6" t="str">
        <f t="shared" si="3"/>
        <v>Product</v>
      </c>
      <c r="G4893" s="1" t="s">
        <v>2148</v>
      </c>
      <c r="H4893" s="6" t="str">
        <f>IFERROR(__xludf.DUMMYFUNCTION("IF(REGEXMATCH(LOWER(G4893), ""^(\?)+\s*(missing)?\s*(\?)*$""), """", PROPER(SUBSTITUTE(SUBSTITUTE(G4893, ""?"", """"), ""*"", """")))"),"Ribbon Reel Polkadots")</f>
        <v>Ribbon Reel Polkadots</v>
      </c>
      <c r="I4893" s="3">
        <v>10.0</v>
      </c>
      <c r="J4893" s="7">
        <v>40886.51111111111</v>
      </c>
      <c r="K4893" s="8" t="str">
        <f t="shared" si="4"/>
        <v>2011-12</v>
      </c>
      <c r="L4893" s="5">
        <v>1.65</v>
      </c>
      <c r="M4893" s="3">
        <v>12713.0</v>
      </c>
      <c r="N4893" s="1" t="str">
        <f t="shared" si="5"/>
        <v>Registered</v>
      </c>
      <c r="O4893" s="1" t="s">
        <v>1288</v>
      </c>
      <c r="P4893" s="9" t="str">
        <f t="shared" si="6"/>
        <v>International</v>
      </c>
      <c r="Q4893" s="8">
        <f t="shared" si="7"/>
        <v>16.5</v>
      </c>
    </row>
    <row r="4894">
      <c r="A4894" s="1">
        <v>581578.0</v>
      </c>
      <c r="B4894" s="1" t="str">
        <f t="shared" si="1"/>
        <v>581578</v>
      </c>
      <c r="C4894" s="1" t="str">
        <f t="shared" si="2"/>
        <v>Sale</v>
      </c>
      <c r="D4894" s="1">
        <v>23298.0</v>
      </c>
      <c r="E4894" s="1" t="str">
        <f>IFERROR(__xludf.DUMMYFUNCTION("IF(LEN(D4894)&gt;4, IFERROR(REGEXEXTRACT(TO_TEXT(D4894),""\d+""),""""),"""")"),"23298")</f>
        <v>23298</v>
      </c>
      <c r="F4894" s="6" t="str">
        <f t="shared" si="3"/>
        <v>Product</v>
      </c>
      <c r="G4894" s="1" t="s">
        <v>1558</v>
      </c>
      <c r="H4894" s="6" t="str">
        <f>IFERROR(__xludf.DUMMYFUNCTION("IF(REGEXMATCH(LOWER(G4894), ""^(\?)+\s*(missing)?\s*(\?)*$""), """", PROPER(SUBSTITUTE(SUBSTITUTE(G4894, ""?"", """"), ""*"", """")))"),"Spotty Bunting")</f>
        <v>Spotty Bunting</v>
      </c>
      <c r="I4894" s="3">
        <v>9.0</v>
      </c>
      <c r="J4894" s="7">
        <v>40886.51111111111</v>
      </c>
      <c r="K4894" s="8" t="str">
        <f t="shared" si="4"/>
        <v>2011-12</v>
      </c>
      <c r="L4894" s="5">
        <v>4.95</v>
      </c>
      <c r="M4894" s="3">
        <v>12713.0</v>
      </c>
      <c r="N4894" s="1" t="str">
        <f t="shared" si="5"/>
        <v>Registered</v>
      </c>
      <c r="O4894" s="1" t="s">
        <v>1288</v>
      </c>
      <c r="P4894" s="9" t="str">
        <f t="shared" si="6"/>
        <v>International</v>
      </c>
      <c r="Q4894" s="8">
        <f t="shared" si="7"/>
        <v>44.55</v>
      </c>
    </row>
    <row r="4895">
      <c r="A4895" s="1">
        <v>581578.0</v>
      </c>
      <c r="B4895" s="1" t="str">
        <f t="shared" si="1"/>
        <v>581578</v>
      </c>
      <c r="C4895" s="1" t="str">
        <f t="shared" si="2"/>
        <v>Sale</v>
      </c>
      <c r="D4895" s="1">
        <v>22993.0</v>
      </c>
      <c r="E4895" s="1" t="str">
        <f>IFERROR(__xludf.DUMMYFUNCTION("IF(LEN(D4895)&gt;4, IFERROR(REGEXEXTRACT(TO_TEXT(D4895),""\d+""),""""),"""")"),"22993")</f>
        <v>22993</v>
      </c>
      <c r="F4895" s="6" t="str">
        <f t="shared" si="3"/>
        <v>Product</v>
      </c>
      <c r="G4895" s="1" t="s">
        <v>709</v>
      </c>
      <c r="H4895" s="6" t="str">
        <f>IFERROR(__xludf.DUMMYFUNCTION("IF(REGEXMATCH(LOWER(G4895), ""^(\?)+\s*(missing)?\s*(\?)*$""), """", PROPER(SUBSTITUTE(SUBSTITUTE(G4895, ""?"", """"), ""*"", """")))"),"Set Of 4 Pantry Jelly Moulds")</f>
        <v>Set Of 4 Pantry Jelly Moulds</v>
      </c>
      <c r="I4895" s="3">
        <v>12.0</v>
      </c>
      <c r="J4895" s="7">
        <v>40886.51111111111</v>
      </c>
      <c r="K4895" s="8" t="str">
        <f t="shared" si="4"/>
        <v>2011-12</v>
      </c>
      <c r="L4895" s="5">
        <v>1.25</v>
      </c>
      <c r="M4895" s="3">
        <v>12713.0</v>
      </c>
      <c r="N4895" s="1" t="str">
        <f t="shared" si="5"/>
        <v>Registered</v>
      </c>
      <c r="O4895" s="1" t="s">
        <v>1288</v>
      </c>
      <c r="P4895" s="9" t="str">
        <f t="shared" si="6"/>
        <v>International</v>
      </c>
      <c r="Q4895" s="8">
        <f t="shared" si="7"/>
        <v>15</v>
      </c>
    </row>
    <row r="4896">
      <c r="A4896" s="1">
        <v>581578.0</v>
      </c>
      <c r="B4896" s="1" t="str">
        <f t="shared" si="1"/>
        <v>581578</v>
      </c>
      <c r="C4896" s="1" t="str">
        <f t="shared" si="2"/>
        <v>Sale</v>
      </c>
      <c r="D4896" s="1">
        <v>22907.0</v>
      </c>
      <c r="E4896" s="1" t="str">
        <f>IFERROR(__xludf.DUMMYFUNCTION("IF(LEN(D4896)&gt;4, IFERROR(REGEXEXTRACT(TO_TEXT(D4896),""\d+""),""""),"""")"),"22907")</f>
        <v>22907</v>
      </c>
      <c r="F4896" s="6" t="str">
        <f t="shared" si="3"/>
        <v>Product</v>
      </c>
      <c r="G4896" s="1" t="s">
        <v>691</v>
      </c>
      <c r="H4896" s="6" t="str">
        <f>IFERROR(__xludf.DUMMYFUNCTION("IF(REGEXMATCH(LOWER(G4896), ""^(\?)+\s*(missing)?\s*(\?)*$""), """", PROPER(SUBSTITUTE(SUBSTITUTE(G4896, ""?"", """"), ""*"", """")))"),"Pack Of 20 Napkins Pantry Design")</f>
        <v>Pack Of 20 Napkins Pantry Design</v>
      </c>
      <c r="I4896" s="3">
        <v>12.0</v>
      </c>
      <c r="J4896" s="7">
        <v>40886.51111111111</v>
      </c>
      <c r="K4896" s="8" t="str">
        <f t="shared" si="4"/>
        <v>2011-12</v>
      </c>
      <c r="L4896" s="5">
        <v>0.85</v>
      </c>
      <c r="M4896" s="3">
        <v>12713.0</v>
      </c>
      <c r="N4896" s="1" t="str">
        <f t="shared" si="5"/>
        <v>Registered</v>
      </c>
      <c r="O4896" s="1" t="s">
        <v>1288</v>
      </c>
      <c r="P4896" s="9" t="str">
        <f t="shared" si="6"/>
        <v>International</v>
      </c>
      <c r="Q4896" s="8">
        <f t="shared" si="7"/>
        <v>10.2</v>
      </c>
    </row>
    <row r="4897">
      <c r="A4897" s="1">
        <v>581578.0</v>
      </c>
      <c r="B4897" s="1" t="str">
        <f t="shared" si="1"/>
        <v>581578</v>
      </c>
      <c r="C4897" s="1" t="str">
        <f t="shared" si="2"/>
        <v>Sale</v>
      </c>
      <c r="D4897" s="1">
        <v>22908.0</v>
      </c>
      <c r="E4897" s="1" t="str">
        <f>IFERROR(__xludf.DUMMYFUNCTION("IF(LEN(D4897)&gt;4, IFERROR(REGEXEXTRACT(TO_TEXT(D4897),""\d+""),""""),"""")"),"22908")</f>
        <v>22908</v>
      </c>
      <c r="F4897" s="6" t="str">
        <f t="shared" si="3"/>
        <v>Product</v>
      </c>
      <c r="G4897" s="1" t="s">
        <v>708</v>
      </c>
      <c r="H4897" s="6" t="str">
        <f>IFERROR(__xludf.DUMMYFUNCTION("IF(REGEXMATCH(LOWER(G4897), ""^(\?)+\s*(missing)?\s*(\?)*$""), """", PROPER(SUBSTITUTE(SUBSTITUTE(G4897, ""?"", """"), ""*"", """")))"),"Pack Of 20 Napkins Red Apples")</f>
        <v>Pack Of 20 Napkins Red Apples</v>
      </c>
      <c r="I4897" s="3">
        <v>12.0</v>
      </c>
      <c r="J4897" s="7">
        <v>40886.51111111111</v>
      </c>
      <c r="K4897" s="8" t="str">
        <f t="shared" si="4"/>
        <v>2011-12</v>
      </c>
      <c r="L4897" s="5">
        <v>0.85</v>
      </c>
      <c r="M4897" s="3">
        <v>12713.0</v>
      </c>
      <c r="N4897" s="1" t="str">
        <f t="shared" si="5"/>
        <v>Registered</v>
      </c>
      <c r="O4897" s="1" t="s">
        <v>1288</v>
      </c>
      <c r="P4897" s="9" t="str">
        <f t="shared" si="6"/>
        <v>International</v>
      </c>
      <c r="Q4897" s="8">
        <f t="shared" si="7"/>
        <v>10.2</v>
      </c>
    </row>
    <row r="4898">
      <c r="A4898" s="1">
        <v>581578.0</v>
      </c>
      <c r="B4898" s="1" t="str">
        <f t="shared" si="1"/>
        <v>581578</v>
      </c>
      <c r="C4898" s="1" t="str">
        <f t="shared" si="2"/>
        <v>Sale</v>
      </c>
      <c r="D4898" s="1">
        <v>23215.0</v>
      </c>
      <c r="E4898" s="1" t="str">
        <f>IFERROR(__xludf.DUMMYFUNCTION("IF(LEN(D4898)&gt;4, IFERROR(REGEXEXTRACT(TO_TEXT(D4898),""\d+""),""""),"""")"),"23215")</f>
        <v>23215</v>
      </c>
      <c r="F4898" s="6" t="str">
        <f t="shared" si="3"/>
        <v>Product</v>
      </c>
      <c r="G4898" s="1" t="s">
        <v>2149</v>
      </c>
      <c r="H4898" s="6" t="str">
        <f>IFERROR(__xludf.DUMMYFUNCTION("IF(REGEXMATCH(LOWER(G4898), ""^(\?)+\s*(missing)?\s*(\?)*$""), """", PROPER(SUBSTITUTE(SUBSTITUTE(G4898, ""?"", """"), ""*"", """")))"),"Jingle Bell Heart Antique Silver")</f>
        <v>Jingle Bell Heart Antique Silver</v>
      </c>
      <c r="I4898" s="3">
        <v>12.0</v>
      </c>
      <c r="J4898" s="7">
        <v>40886.51111111111</v>
      </c>
      <c r="K4898" s="8" t="str">
        <f t="shared" si="4"/>
        <v>2011-12</v>
      </c>
      <c r="L4898" s="5">
        <v>2.08</v>
      </c>
      <c r="M4898" s="3">
        <v>12713.0</v>
      </c>
      <c r="N4898" s="1" t="str">
        <f t="shared" si="5"/>
        <v>Registered</v>
      </c>
      <c r="O4898" s="1" t="s">
        <v>1288</v>
      </c>
      <c r="P4898" s="9" t="str">
        <f t="shared" si="6"/>
        <v>International</v>
      </c>
      <c r="Q4898" s="8">
        <f t="shared" si="7"/>
        <v>24.96</v>
      </c>
    </row>
    <row r="4899">
      <c r="A4899" s="1">
        <v>581578.0</v>
      </c>
      <c r="B4899" s="1" t="str">
        <f t="shared" si="1"/>
        <v>581578</v>
      </c>
      <c r="C4899" s="1" t="str">
        <f t="shared" si="2"/>
        <v>Sale</v>
      </c>
      <c r="D4899" s="1">
        <v>22736.0</v>
      </c>
      <c r="E4899" s="1" t="str">
        <f>IFERROR(__xludf.DUMMYFUNCTION("IF(LEN(D4899)&gt;4, IFERROR(REGEXEXTRACT(TO_TEXT(D4899),""\d+""),""""),"""")"),"22736")</f>
        <v>22736</v>
      </c>
      <c r="F4899" s="6" t="str">
        <f t="shared" si="3"/>
        <v>Product</v>
      </c>
      <c r="G4899" s="1" t="s">
        <v>387</v>
      </c>
      <c r="H4899" s="6" t="str">
        <f>IFERROR(__xludf.DUMMYFUNCTION("IF(REGEXMATCH(LOWER(G4899), ""^(\?)+\s*(missing)?\s*(\?)*$""), """", PROPER(SUBSTITUTE(SUBSTITUTE(G4899, ""?"", """"), ""*"", """")))"),"Ribbon Reel Making Snowmen")</f>
        <v>Ribbon Reel Making Snowmen</v>
      </c>
      <c r="I4899" s="3">
        <v>10.0</v>
      </c>
      <c r="J4899" s="7">
        <v>40886.51111111111</v>
      </c>
      <c r="K4899" s="8" t="str">
        <f t="shared" si="4"/>
        <v>2011-12</v>
      </c>
      <c r="L4899" s="5">
        <v>1.65</v>
      </c>
      <c r="M4899" s="3">
        <v>12713.0</v>
      </c>
      <c r="N4899" s="1" t="str">
        <f t="shared" si="5"/>
        <v>Registered</v>
      </c>
      <c r="O4899" s="1" t="s">
        <v>1288</v>
      </c>
      <c r="P4899" s="9" t="str">
        <f t="shared" si="6"/>
        <v>International</v>
      </c>
      <c r="Q4899" s="8">
        <f t="shared" si="7"/>
        <v>16.5</v>
      </c>
    </row>
    <row r="4900">
      <c r="A4900" s="1">
        <v>581579.0</v>
      </c>
      <c r="B4900" s="1" t="str">
        <f t="shared" si="1"/>
        <v>581579</v>
      </c>
      <c r="C4900" s="1" t="str">
        <f t="shared" si="2"/>
        <v>Sale</v>
      </c>
      <c r="D4900" s="1">
        <v>22386.0</v>
      </c>
      <c r="E4900" s="1" t="str">
        <f>IFERROR(__xludf.DUMMYFUNCTION("IF(LEN(D4900)&gt;4, IFERROR(REGEXEXTRACT(TO_TEXT(D4900),""\d+""),""""),"""")"),"22386")</f>
        <v>22386</v>
      </c>
      <c r="F4900" s="6" t="str">
        <f t="shared" si="3"/>
        <v>Product</v>
      </c>
      <c r="G4900" s="1" t="s">
        <v>84</v>
      </c>
      <c r="H4900" s="6" t="str">
        <f>IFERROR(__xludf.DUMMYFUNCTION("IF(REGEXMATCH(LOWER(G4900), ""^(\?)+\s*(missing)?\s*(\?)*$""), """", PROPER(SUBSTITUTE(SUBSTITUTE(G4900, ""?"", """"), ""*"", """")))"),"Jumbo Bag Pink Polkadot")</f>
        <v>Jumbo Bag Pink Polkadot</v>
      </c>
      <c r="I4900" s="3">
        <v>10.0</v>
      </c>
      <c r="J4900" s="7">
        <v>40886.513194444444</v>
      </c>
      <c r="K4900" s="8" t="str">
        <f t="shared" si="4"/>
        <v>2011-12</v>
      </c>
      <c r="L4900" s="5">
        <v>1.79</v>
      </c>
      <c r="M4900" s="3">
        <v>17581.0</v>
      </c>
      <c r="N4900" s="1" t="str">
        <f t="shared" si="5"/>
        <v>Registered</v>
      </c>
      <c r="O4900" s="1" t="s">
        <v>19</v>
      </c>
      <c r="P4900" s="9" t="str">
        <f t="shared" si="6"/>
        <v>UK</v>
      </c>
      <c r="Q4900" s="8">
        <f t="shared" si="7"/>
        <v>17.9</v>
      </c>
    </row>
    <row r="4901">
      <c r="A4901" s="1">
        <v>581579.0</v>
      </c>
      <c r="B4901" s="1" t="str">
        <f t="shared" si="1"/>
        <v>581579</v>
      </c>
      <c r="C4901" s="1" t="str">
        <f t="shared" si="2"/>
        <v>Sale</v>
      </c>
      <c r="D4901" s="1">
        <v>22411.0</v>
      </c>
      <c r="E4901" s="1" t="str">
        <f>IFERROR(__xludf.DUMMYFUNCTION("IF(LEN(D4901)&gt;4, IFERROR(REGEXEXTRACT(TO_TEXT(D4901),""\d+""),""""),"""")"),"22411")</f>
        <v>22411</v>
      </c>
      <c r="F4901" s="6" t="str">
        <f t="shared" si="3"/>
        <v>Product</v>
      </c>
      <c r="G4901" s="1" t="s">
        <v>112</v>
      </c>
      <c r="H4901" s="6" t="str">
        <f>IFERROR(__xludf.DUMMYFUNCTION("IF(REGEXMATCH(LOWER(G4901), ""^(\?)+\s*(missing)?\s*(\?)*$""), """", PROPER(SUBSTITUTE(SUBSTITUTE(G4901, ""?"", """"), ""*"", """")))"),"Jumbo Shopper Vintage Red Paisley")</f>
        <v>Jumbo Shopper Vintage Red Paisley</v>
      </c>
      <c r="I4901" s="3">
        <v>10.0</v>
      </c>
      <c r="J4901" s="7">
        <v>40886.513194444444</v>
      </c>
      <c r="K4901" s="8" t="str">
        <f t="shared" si="4"/>
        <v>2011-12</v>
      </c>
      <c r="L4901" s="5">
        <v>1.79</v>
      </c>
      <c r="M4901" s="3">
        <v>17581.0</v>
      </c>
      <c r="N4901" s="1" t="str">
        <f t="shared" si="5"/>
        <v>Registered</v>
      </c>
      <c r="O4901" s="1" t="s">
        <v>19</v>
      </c>
      <c r="P4901" s="9" t="str">
        <f t="shared" si="6"/>
        <v>UK</v>
      </c>
      <c r="Q4901" s="8">
        <f t="shared" si="7"/>
        <v>17.9</v>
      </c>
    </row>
    <row r="4902">
      <c r="A4902" s="1">
        <v>581579.0</v>
      </c>
      <c r="B4902" s="1" t="str">
        <f t="shared" si="1"/>
        <v>581579</v>
      </c>
      <c r="C4902" s="1" t="str">
        <f t="shared" si="2"/>
        <v>Sale</v>
      </c>
      <c r="D4902" s="1">
        <v>21929.0</v>
      </c>
      <c r="E4902" s="1" t="str">
        <f>IFERROR(__xludf.DUMMYFUNCTION("IF(LEN(D4902)&gt;4, IFERROR(REGEXEXTRACT(TO_TEXT(D4902),""\d+""),""""),"""")"),"21929")</f>
        <v>21929</v>
      </c>
      <c r="F4902" s="6" t="str">
        <f t="shared" si="3"/>
        <v>Product</v>
      </c>
      <c r="G4902" s="1" t="s">
        <v>108</v>
      </c>
      <c r="H4902" s="6" t="str">
        <f>IFERROR(__xludf.DUMMYFUNCTION("IF(REGEXMATCH(LOWER(G4902), ""^(\?)+\s*(missing)?\s*(\?)*$""), """", PROPER(SUBSTITUTE(SUBSTITUTE(G4902, ""?"", """"), ""*"", """")))"),"Jumbo Bag Pink Vintage Paisley")</f>
        <v>Jumbo Bag Pink Vintage Paisley</v>
      </c>
      <c r="I4902" s="3">
        <v>10.0</v>
      </c>
      <c r="J4902" s="7">
        <v>40886.513194444444</v>
      </c>
      <c r="K4902" s="8" t="str">
        <f t="shared" si="4"/>
        <v>2011-12</v>
      </c>
      <c r="L4902" s="5">
        <v>1.79</v>
      </c>
      <c r="M4902" s="3">
        <v>17581.0</v>
      </c>
      <c r="N4902" s="1" t="str">
        <f t="shared" si="5"/>
        <v>Registered</v>
      </c>
      <c r="O4902" s="1" t="s">
        <v>19</v>
      </c>
      <c r="P4902" s="9" t="str">
        <f t="shared" si="6"/>
        <v>UK</v>
      </c>
      <c r="Q4902" s="8">
        <f t="shared" si="7"/>
        <v>17.9</v>
      </c>
    </row>
    <row r="4903">
      <c r="A4903" s="1">
        <v>581579.0</v>
      </c>
      <c r="B4903" s="1" t="str">
        <f t="shared" si="1"/>
        <v>581579</v>
      </c>
      <c r="C4903" s="1" t="str">
        <f t="shared" si="2"/>
        <v>Sale</v>
      </c>
      <c r="D4903" s="1" t="s">
        <v>85</v>
      </c>
      <c r="E4903" s="1" t="str">
        <f>IFERROR(__xludf.DUMMYFUNCTION("IF(LEN(D4903)&gt;4, IFERROR(REGEXEXTRACT(TO_TEXT(D4903),""\d+""),""""),"""")"),"85099")</f>
        <v>85099</v>
      </c>
      <c r="F4903" s="6" t="str">
        <f t="shared" si="3"/>
        <v>Product</v>
      </c>
      <c r="G4903" s="1" t="s">
        <v>86</v>
      </c>
      <c r="H4903" s="6" t="str">
        <f>IFERROR(__xludf.DUMMYFUNCTION("IF(REGEXMATCH(LOWER(G4903), ""^(\?)+\s*(missing)?\s*(\?)*$""), """", PROPER(SUBSTITUTE(SUBSTITUTE(G4903, ""?"", """"), ""*"", """")))"),"Jumbo Bag Baroque Black White")</f>
        <v>Jumbo Bag Baroque Black White</v>
      </c>
      <c r="I4903" s="3">
        <v>10.0</v>
      </c>
      <c r="J4903" s="7">
        <v>40886.513194444444</v>
      </c>
      <c r="K4903" s="8" t="str">
        <f t="shared" si="4"/>
        <v>2011-12</v>
      </c>
      <c r="L4903" s="5">
        <v>1.79</v>
      </c>
      <c r="M4903" s="3">
        <v>17581.0</v>
      </c>
      <c r="N4903" s="1" t="str">
        <f t="shared" si="5"/>
        <v>Registered</v>
      </c>
      <c r="O4903" s="1" t="s">
        <v>19</v>
      </c>
      <c r="P4903" s="9" t="str">
        <f t="shared" si="6"/>
        <v>UK</v>
      </c>
      <c r="Q4903" s="8">
        <f t="shared" si="7"/>
        <v>17.9</v>
      </c>
    </row>
    <row r="4904">
      <c r="A4904" s="1">
        <v>581579.0</v>
      </c>
      <c r="B4904" s="1" t="str">
        <f t="shared" si="1"/>
        <v>581579</v>
      </c>
      <c r="C4904" s="1" t="str">
        <f t="shared" si="2"/>
        <v>Sale</v>
      </c>
      <c r="D4904" s="1">
        <v>20713.0</v>
      </c>
      <c r="E4904" s="1" t="str">
        <f>IFERROR(__xludf.DUMMYFUNCTION("IF(LEN(D4904)&gt;4, IFERROR(REGEXEXTRACT(TO_TEXT(D4904),""\d+""),""""),"""")"),"20713")</f>
        <v>20713</v>
      </c>
      <c r="F4904" s="6" t="str">
        <f t="shared" si="3"/>
        <v>Product</v>
      </c>
      <c r="G4904" s="1" t="s">
        <v>423</v>
      </c>
      <c r="H4904" s="6" t="str">
        <f>IFERROR(__xludf.DUMMYFUNCTION("IF(REGEXMATCH(LOWER(G4904), ""^(\?)+\s*(missing)?\s*(\?)*$""), """", PROPER(SUBSTITUTE(SUBSTITUTE(G4904, ""?"", """"), ""*"", """")))"),"Jumbo Bag Owls")</f>
        <v>Jumbo Bag Owls</v>
      </c>
      <c r="I4904" s="3">
        <v>10.0</v>
      </c>
      <c r="J4904" s="7">
        <v>40886.513194444444</v>
      </c>
      <c r="K4904" s="8" t="str">
        <f t="shared" si="4"/>
        <v>2011-12</v>
      </c>
      <c r="L4904" s="5">
        <v>1.79</v>
      </c>
      <c r="M4904" s="3">
        <v>17581.0</v>
      </c>
      <c r="N4904" s="1" t="str">
        <f t="shared" si="5"/>
        <v>Registered</v>
      </c>
      <c r="O4904" s="1" t="s">
        <v>19</v>
      </c>
      <c r="P4904" s="9" t="str">
        <f t="shared" si="6"/>
        <v>UK</v>
      </c>
      <c r="Q4904" s="8">
        <f t="shared" si="7"/>
        <v>17.9</v>
      </c>
    </row>
    <row r="4905">
      <c r="A4905" s="1">
        <v>581579.0</v>
      </c>
      <c r="B4905" s="1" t="str">
        <f t="shared" si="1"/>
        <v>581579</v>
      </c>
      <c r="C4905" s="1" t="str">
        <f t="shared" si="2"/>
        <v>Sale</v>
      </c>
      <c r="D4905" s="1">
        <v>21931.0</v>
      </c>
      <c r="E4905" s="1" t="str">
        <f>IFERROR(__xludf.DUMMYFUNCTION("IF(LEN(D4905)&gt;4, IFERROR(REGEXEXTRACT(TO_TEXT(D4905),""\d+""),""""),"""")"),"21931")</f>
        <v>21931</v>
      </c>
      <c r="F4905" s="6" t="str">
        <f t="shared" si="3"/>
        <v>Product</v>
      </c>
      <c r="G4905" s="1" t="s">
        <v>107</v>
      </c>
      <c r="H4905" s="6" t="str">
        <f>IFERROR(__xludf.DUMMYFUNCTION("IF(REGEXMATCH(LOWER(G4905), ""^(\?)+\s*(missing)?\s*(\?)*$""), """", PROPER(SUBSTITUTE(SUBSTITUTE(G4905, ""?"", """"), ""*"", """")))"),"Jumbo Storage Bag Suki")</f>
        <v>Jumbo Storage Bag Suki</v>
      </c>
      <c r="I4905" s="3">
        <v>10.0</v>
      </c>
      <c r="J4905" s="7">
        <v>40886.513194444444</v>
      </c>
      <c r="K4905" s="8" t="str">
        <f t="shared" si="4"/>
        <v>2011-12</v>
      </c>
      <c r="L4905" s="5">
        <v>1.79</v>
      </c>
      <c r="M4905" s="3">
        <v>17581.0</v>
      </c>
      <c r="N4905" s="1" t="str">
        <f t="shared" si="5"/>
        <v>Registered</v>
      </c>
      <c r="O4905" s="1" t="s">
        <v>19</v>
      </c>
      <c r="P4905" s="9" t="str">
        <f t="shared" si="6"/>
        <v>UK</v>
      </c>
      <c r="Q4905" s="8">
        <f t="shared" si="7"/>
        <v>17.9</v>
      </c>
    </row>
    <row r="4906">
      <c r="A4906" s="1">
        <v>581579.0</v>
      </c>
      <c r="B4906" s="1" t="str">
        <f t="shared" si="1"/>
        <v>581579</v>
      </c>
      <c r="C4906" s="1" t="str">
        <f t="shared" si="2"/>
        <v>Sale</v>
      </c>
      <c r="D4906" s="1">
        <v>23199.0</v>
      </c>
      <c r="E4906" s="1" t="str">
        <f>IFERROR(__xludf.DUMMYFUNCTION("IF(LEN(D4906)&gt;4, IFERROR(REGEXEXTRACT(TO_TEXT(D4906),""\d+""),""""),"""")"),"23199")</f>
        <v>23199</v>
      </c>
      <c r="F4906" s="6" t="str">
        <f t="shared" si="3"/>
        <v>Product</v>
      </c>
      <c r="G4906" s="1" t="s">
        <v>1994</v>
      </c>
      <c r="H4906" s="6" t="str">
        <f>IFERROR(__xludf.DUMMYFUNCTION("IF(REGEXMATCH(LOWER(G4906), ""^(\?)+\s*(missing)?\s*(\?)*$""), """", PROPER(SUBSTITUTE(SUBSTITUTE(G4906, ""?"", """"), ""*"", """")))"),"Jumbo Bag Apples")</f>
        <v>Jumbo Bag Apples</v>
      </c>
      <c r="I4906" s="3">
        <v>30.0</v>
      </c>
      <c r="J4906" s="7">
        <v>40886.513194444444</v>
      </c>
      <c r="K4906" s="8" t="str">
        <f t="shared" si="4"/>
        <v>2011-12</v>
      </c>
      <c r="L4906" s="5">
        <v>1.79</v>
      </c>
      <c r="M4906" s="3">
        <v>17581.0</v>
      </c>
      <c r="N4906" s="1" t="str">
        <f t="shared" si="5"/>
        <v>Registered</v>
      </c>
      <c r="O4906" s="1" t="s">
        <v>19</v>
      </c>
      <c r="P4906" s="9" t="str">
        <f t="shared" si="6"/>
        <v>UK</v>
      </c>
      <c r="Q4906" s="8">
        <f t="shared" si="7"/>
        <v>53.7</v>
      </c>
    </row>
    <row r="4907">
      <c r="A4907" s="1">
        <v>581579.0</v>
      </c>
      <c r="B4907" s="1" t="str">
        <f t="shared" si="1"/>
        <v>581579</v>
      </c>
      <c r="C4907" s="1" t="str">
        <f t="shared" si="2"/>
        <v>Sale</v>
      </c>
      <c r="D4907" s="1">
        <v>23353.0</v>
      </c>
      <c r="E4907" s="1" t="str">
        <f>IFERROR(__xludf.DUMMYFUNCTION("IF(LEN(D4907)&gt;4, IFERROR(REGEXEXTRACT(TO_TEXT(D4907),""\d+""),""""),"""")"),"23353")</f>
        <v>23353</v>
      </c>
      <c r="F4907" s="6" t="str">
        <f t="shared" si="3"/>
        <v>Product</v>
      </c>
      <c r="G4907" s="1" t="s">
        <v>2037</v>
      </c>
      <c r="H4907" s="6" t="str">
        <f>IFERROR(__xludf.DUMMYFUNCTION("IF(REGEXMATCH(LOWER(G4907), ""^(\?)+\s*(missing)?\s*(\?)*$""), """", PROPER(SUBSTITUTE(SUBSTITUTE(G4907, ""?"", """"), ""*"", """")))"),"6 Gift Tags Vintage Christmas")</f>
        <v>6 Gift Tags Vintage Christmas</v>
      </c>
      <c r="I4907" s="3">
        <v>12.0</v>
      </c>
      <c r="J4907" s="7">
        <v>40886.513194444444</v>
      </c>
      <c r="K4907" s="8" t="str">
        <f t="shared" si="4"/>
        <v>2011-12</v>
      </c>
      <c r="L4907" s="5">
        <v>0.83</v>
      </c>
      <c r="M4907" s="3">
        <v>17581.0</v>
      </c>
      <c r="N4907" s="1" t="str">
        <f t="shared" si="5"/>
        <v>Registered</v>
      </c>
      <c r="O4907" s="1" t="s">
        <v>19</v>
      </c>
      <c r="P4907" s="9" t="str">
        <f t="shared" si="6"/>
        <v>UK</v>
      </c>
      <c r="Q4907" s="8">
        <f t="shared" si="7"/>
        <v>9.96</v>
      </c>
    </row>
    <row r="4908">
      <c r="A4908" s="1">
        <v>581579.0</v>
      </c>
      <c r="B4908" s="1" t="str">
        <f t="shared" si="1"/>
        <v>581579</v>
      </c>
      <c r="C4908" s="1" t="str">
        <f t="shared" si="2"/>
        <v>Sale</v>
      </c>
      <c r="D4908" s="1">
        <v>23350.0</v>
      </c>
      <c r="E4908" s="1" t="str">
        <f>IFERROR(__xludf.DUMMYFUNCTION("IF(LEN(D4908)&gt;4, IFERROR(REGEXEXTRACT(TO_TEXT(D4908),""\d+""),""""),"""")"),"23350")</f>
        <v>23350</v>
      </c>
      <c r="F4908" s="6" t="str">
        <f t="shared" si="3"/>
        <v>Product</v>
      </c>
      <c r="G4908" s="1" t="s">
        <v>2056</v>
      </c>
      <c r="H4908" s="6" t="str">
        <f>IFERROR(__xludf.DUMMYFUNCTION("IF(REGEXMATCH(LOWER(G4908), ""^(\?)+\s*(missing)?\s*(\?)*$""), """", PROPER(SUBSTITUTE(SUBSTITUTE(G4908, ""?"", """"), ""*"", """")))"),"Roll Wrap Vintage Spot")</f>
        <v>Roll Wrap Vintage Spot</v>
      </c>
      <c r="I4908" s="3">
        <v>25.0</v>
      </c>
      <c r="J4908" s="7">
        <v>40886.513194444444</v>
      </c>
      <c r="K4908" s="8" t="str">
        <f t="shared" si="4"/>
        <v>2011-12</v>
      </c>
      <c r="L4908" s="5">
        <v>1.25</v>
      </c>
      <c r="M4908" s="3">
        <v>17581.0</v>
      </c>
      <c r="N4908" s="1" t="str">
        <f t="shared" si="5"/>
        <v>Registered</v>
      </c>
      <c r="O4908" s="1" t="s">
        <v>19</v>
      </c>
      <c r="P4908" s="9" t="str">
        <f t="shared" si="6"/>
        <v>UK</v>
      </c>
      <c r="Q4908" s="8">
        <f t="shared" si="7"/>
        <v>31.25</v>
      </c>
    </row>
    <row r="4909">
      <c r="A4909" s="1">
        <v>581579.0</v>
      </c>
      <c r="B4909" s="1" t="str">
        <f t="shared" si="1"/>
        <v>581579</v>
      </c>
      <c r="C4909" s="1" t="str">
        <f t="shared" si="2"/>
        <v>Sale</v>
      </c>
      <c r="D4909" s="1">
        <v>23319.0</v>
      </c>
      <c r="E4909" s="1" t="str">
        <f>IFERROR(__xludf.DUMMYFUNCTION("IF(LEN(D4909)&gt;4, IFERROR(REGEXEXTRACT(TO_TEXT(D4909),""\d+""),""""),"""")"),"23319")</f>
        <v>23319</v>
      </c>
      <c r="F4909" s="6" t="str">
        <f t="shared" si="3"/>
        <v>Product</v>
      </c>
      <c r="G4909" s="1" t="s">
        <v>2025</v>
      </c>
      <c r="H4909" s="6" t="str">
        <f>IFERROR(__xludf.DUMMYFUNCTION("IF(REGEXMATCH(LOWER(G4909), ""^(\?)+\s*(missing)?\s*(\?)*$""), """", PROPER(SUBSTITUTE(SUBSTITUTE(G4909, ""?"", """"), ""*"", """")))"),"Box Of 6 Mini 50'S Crackers")</f>
        <v>Box Of 6 Mini 50'S Crackers</v>
      </c>
      <c r="I4909" s="3">
        <v>12.0</v>
      </c>
      <c r="J4909" s="7">
        <v>40886.513194444444</v>
      </c>
      <c r="K4909" s="8" t="str">
        <f t="shared" si="4"/>
        <v>2011-12</v>
      </c>
      <c r="L4909" s="5">
        <v>2.49</v>
      </c>
      <c r="M4909" s="3">
        <v>17581.0</v>
      </c>
      <c r="N4909" s="1" t="str">
        <f t="shared" si="5"/>
        <v>Registered</v>
      </c>
      <c r="O4909" s="1" t="s">
        <v>19</v>
      </c>
      <c r="P4909" s="9" t="str">
        <f t="shared" si="6"/>
        <v>UK</v>
      </c>
      <c r="Q4909" s="8">
        <f t="shared" si="7"/>
        <v>29.88</v>
      </c>
    </row>
    <row r="4910">
      <c r="A4910" s="1">
        <v>581579.0</v>
      </c>
      <c r="B4910" s="1" t="str">
        <f t="shared" si="1"/>
        <v>581579</v>
      </c>
      <c r="C4910" s="1" t="str">
        <f t="shared" si="2"/>
        <v>Sale</v>
      </c>
      <c r="D4910" s="1">
        <v>23318.0</v>
      </c>
      <c r="E4910" s="1" t="str">
        <f>IFERROR(__xludf.DUMMYFUNCTION("IF(LEN(D4910)&gt;4, IFERROR(REGEXEXTRACT(TO_TEXT(D4910),""\d+""),""""),"""")"),"23318")</f>
        <v>23318</v>
      </c>
      <c r="F4910" s="6" t="str">
        <f t="shared" si="3"/>
        <v>Product</v>
      </c>
      <c r="G4910" s="1" t="s">
        <v>2122</v>
      </c>
      <c r="H4910" s="6" t="str">
        <f>IFERROR(__xludf.DUMMYFUNCTION("IF(REGEXMATCH(LOWER(G4910), ""^(\?)+\s*(missing)?\s*(\?)*$""), """", PROPER(SUBSTITUTE(SUBSTITUTE(G4910, ""?"", """"), ""*"", """")))"),"Box Of 6 Mini Vintage Crackers")</f>
        <v>Box Of 6 Mini Vintage Crackers</v>
      </c>
      <c r="I4910" s="3">
        <v>12.0</v>
      </c>
      <c r="J4910" s="7">
        <v>40886.513194444444</v>
      </c>
      <c r="K4910" s="8" t="str">
        <f t="shared" si="4"/>
        <v>2011-12</v>
      </c>
      <c r="L4910" s="5">
        <v>2.49</v>
      </c>
      <c r="M4910" s="3">
        <v>17581.0</v>
      </c>
      <c r="N4910" s="1" t="str">
        <f t="shared" si="5"/>
        <v>Registered</v>
      </c>
      <c r="O4910" s="1" t="s">
        <v>19</v>
      </c>
      <c r="P4910" s="9" t="str">
        <f t="shared" si="6"/>
        <v>UK</v>
      </c>
      <c r="Q4910" s="8">
        <f t="shared" si="7"/>
        <v>29.88</v>
      </c>
    </row>
    <row r="4911">
      <c r="A4911" s="1">
        <v>581579.0</v>
      </c>
      <c r="B4911" s="1" t="str">
        <f t="shared" si="1"/>
        <v>581579</v>
      </c>
      <c r="C4911" s="1" t="str">
        <f t="shared" si="2"/>
        <v>Sale</v>
      </c>
      <c r="D4911" s="1">
        <v>22910.0</v>
      </c>
      <c r="E4911" s="1" t="str">
        <f>IFERROR(__xludf.DUMMYFUNCTION("IF(LEN(D4911)&gt;4, IFERROR(REGEXEXTRACT(TO_TEXT(D4911),""\d+""),""""),"""")"),"22910")</f>
        <v>22910</v>
      </c>
      <c r="F4911" s="6" t="str">
        <f t="shared" si="3"/>
        <v>Product</v>
      </c>
      <c r="G4911" s="1" t="s">
        <v>215</v>
      </c>
      <c r="H4911" s="6" t="str">
        <f>IFERROR(__xludf.DUMMYFUNCTION("IF(REGEXMATCH(LOWER(G4911), ""^(\?)+\s*(missing)?\s*(\?)*$""), """", PROPER(SUBSTITUTE(SUBSTITUTE(G4911, ""?"", """"), ""*"", """")))"),"Paper Chain Kit Vintage Christmas")</f>
        <v>Paper Chain Kit Vintage Christmas</v>
      </c>
      <c r="I4911" s="3">
        <v>12.0</v>
      </c>
      <c r="J4911" s="7">
        <v>40886.513194444444</v>
      </c>
      <c r="K4911" s="8" t="str">
        <f t="shared" si="4"/>
        <v>2011-12</v>
      </c>
      <c r="L4911" s="5">
        <v>2.95</v>
      </c>
      <c r="M4911" s="3">
        <v>17581.0</v>
      </c>
      <c r="N4911" s="1" t="str">
        <f t="shared" si="5"/>
        <v>Registered</v>
      </c>
      <c r="O4911" s="1" t="s">
        <v>19</v>
      </c>
      <c r="P4911" s="9" t="str">
        <f t="shared" si="6"/>
        <v>UK</v>
      </c>
      <c r="Q4911" s="8">
        <f t="shared" si="7"/>
        <v>35.4</v>
      </c>
    </row>
    <row r="4912">
      <c r="A4912" s="1">
        <v>581579.0</v>
      </c>
      <c r="B4912" s="1" t="str">
        <f t="shared" si="1"/>
        <v>581579</v>
      </c>
      <c r="C4912" s="1" t="str">
        <f t="shared" si="2"/>
        <v>Sale</v>
      </c>
      <c r="D4912" s="1">
        <v>22086.0</v>
      </c>
      <c r="E4912" s="1" t="str">
        <f>IFERROR(__xludf.DUMMYFUNCTION("IF(LEN(D4912)&gt;4, IFERROR(REGEXEXTRACT(TO_TEXT(D4912),""\d+""),""""),"""")"),"22086")</f>
        <v>22086</v>
      </c>
      <c r="F4912" s="6" t="str">
        <f t="shared" si="3"/>
        <v>Product</v>
      </c>
      <c r="G4912" s="1" t="s">
        <v>70</v>
      </c>
      <c r="H4912" s="6" t="str">
        <f>IFERROR(__xludf.DUMMYFUNCTION("IF(REGEXMATCH(LOWER(G4912), ""^(\?)+\s*(missing)?\s*(\?)*$""), """", PROPER(SUBSTITUTE(SUBSTITUTE(G4912, ""?"", """"), ""*"", """")))"),"Paper Chain Kit 50'S Christmas")</f>
        <v>Paper Chain Kit 50'S Christmas</v>
      </c>
      <c r="I4912" s="3">
        <v>12.0</v>
      </c>
      <c r="J4912" s="7">
        <v>40886.513194444444</v>
      </c>
      <c r="K4912" s="8" t="str">
        <f t="shared" si="4"/>
        <v>2011-12</v>
      </c>
      <c r="L4912" s="5">
        <v>2.95</v>
      </c>
      <c r="M4912" s="3">
        <v>17581.0</v>
      </c>
      <c r="N4912" s="1" t="str">
        <f t="shared" si="5"/>
        <v>Registered</v>
      </c>
      <c r="O4912" s="1" t="s">
        <v>19</v>
      </c>
      <c r="P4912" s="9" t="str">
        <f t="shared" si="6"/>
        <v>UK</v>
      </c>
      <c r="Q4912" s="8">
        <f t="shared" si="7"/>
        <v>35.4</v>
      </c>
    </row>
    <row r="4913">
      <c r="A4913" s="1">
        <v>581579.0</v>
      </c>
      <c r="B4913" s="1" t="str">
        <f t="shared" si="1"/>
        <v>581579</v>
      </c>
      <c r="C4913" s="1" t="str">
        <f t="shared" si="2"/>
        <v>Sale</v>
      </c>
      <c r="D4913" s="1">
        <v>21121.0</v>
      </c>
      <c r="E4913" s="1" t="str">
        <f>IFERROR(__xludf.DUMMYFUNCTION("IF(LEN(D4913)&gt;4, IFERROR(REGEXEXTRACT(TO_TEXT(D4913),""\d+""),""""),"""")"),"21121")</f>
        <v>21121</v>
      </c>
      <c r="F4913" s="6" t="str">
        <f t="shared" si="3"/>
        <v>Product</v>
      </c>
      <c r="G4913" s="1" t="s">
        <v>558</v>
      </c>
      <c r="H4913" s="6" t="str">
        <f>IFERROR(__xludf.DUMMYFUNCTION("IF(REGEXMATCH(LOWER(G4913), ""^(\?)+\s*(missing)?\s*(\?)*$""), """", PROPER(SUBSTITUTE(SUBSTITUTE(G4913, ""?"", """"), ""*"", """")))"),"Set/10 Red Polkadot Party Candles")</f>
        <v>Set/10 Red Polkadot Party Candles</v>
      </c>
      <c r="I4913" s="3">
        <v>24.0</v>
      </c>
      <c r="J4913" s="7">
        <v>40886.513194444444</v>
      </c>
      <c r="K4913" s="8" t="str">
        <f t="shared" si="4"/>
        <v>2011-12</v>
      </c>
      <c r="L4913" s="5">
        <v>1.25</v>
      </c>
      <c r="M4913" s="3">
        <v>17581.0</v>
      </c>
      <c r="N4913" s="1" t="str">
        <f t="shared" si="5"/>
        <v>Registered</v>
      </c>
      <c r="O4913" s="1" t="s">
        <v>19</v>
      </c>
      <c r="P4913" s="9" t="str">
        <f t="shared" si="6"/>
        <v>UK</v>
      </c>
      <c r="Q4913" s="8">
        <f t="shared" si="7"/>
        <v>30</v>
      </c>
    </row>
    <row r="4914">
      <c r="A4914" s="1">
        <v>581579.0</v>
      </c>
      <c r="B4914" s="1" t="str">
        <f t="shared" si="1"/>
        <v>581579</v>
      </c>
      <c r="C4914" s="1" t="str">
        <f t="shared" si="2"/>
        <v>Sale</v>
      </c>
      <c r="D4914" s="1">
        <v>23489.0</v>
      </c>
      <c r="E4914" s="1" t="str">
        <f>IFERROR(__xludf.DUMMYFUNCTION("IF(LEN(D4914)&gt;4, IFERROR(REGEXEXTRACT(TO_TEXT(D4914),""\d+""),""""),"""")"),"23489")</f>
        <v>23489</v>
      </c>
      <c r="F4914" s="6" t="str">
        <f t="shared" si="3"/>
        <v>Product</v>
      </c>
      <c r="G4914" s="1" t="s">
        <v>2150</v>
      </c>
      <c r="H4914" s="6" t="str">
        <f>IFERROR(__xludf.DUMMYFUNCTION("IF(REGEXMATCH(LOWER(G4914), ""^(\?)+\s*(missing)?\s*(\?)*$""), """", PROPER(SUBSTITUTE(SUBSTITUTE(G4914, ""?"", """"), ""*"", """")))"),"Vintage Bells Garland")</f>
        <v>Vintage Bells Garland</v>
      </c>
      <c r="I4914" s="3">
        <v>6.0</v>
      </c>
      <c r="J4914" s="7">
        <v>40886.513194444444</v>
      </c>
      <c r="K4914" s="8" t="str">
        <f t="shared" si="4"/>
        <v>2011-12</v>
      </c>
      <c r="L4914" s="5">
        <v>2.89</v>
      </c>
      <c r="M4914" s="3">
        <v>17581.0</v>
      </c>
      <c r="N4914" s="1" t="str">
        <f t="shared" si="5"/>
        <v>Registered</v>
      </c>
      <c r="O4914" s="1" t="s">
        <v>19</v>
      </c>
      <c r="P4914" s="9" t="str">
        <f t="shared" si="6"/>
        <v>UK</v>
      </c>
      <c r="Q4914" s="8">
        <f t="shared" si="7"/>
        <v>17.34</v>
      </c>
    </row>
    <row r="4915">
      <c r="A4915" s="1">
        <v>581579.0</v>
      </c>
      <c r="B4915" s="1" t="str">
        <f t="shared" si="1"/>
        <v>581579</v>
      </c>
      <c r="C4915" s="1" t="str">
        <f t="shared" si="2"/>
        <v>Sale</v>
      </c>
      <c r="D4915" s="1">
        <v>23570.0</v>
      </c>
      <c r="E4915" s="1" t="str">
        <f>IFERROR(__xludf.DUMMYFUNCTION("IF(LEN(D4915)&gt;4, IFERROR(REGEXEXTRACT(TO_TEXT(D4915),""\d+""),""""),"""")"),"23570")</f>
        <v>23570</v>
      </c>
      <c r="F4915" s="6" t="str">
        <f t="shared" si="3"/>
        <v>Product</v>
      </c>
      <c r="G4915" s="1" t="s">
        <v>1467</v>
      </c>
      <c r="H4915" s="6" t="str">
        <f>IFERROR(__xludf.DUMMYFUNCTION("IF(REGEXMATCH(LOWER(G4915), ""^(\?)+\s*(missing)?\s*(\?)*$""), """", PROPER(SUBSTITUTE(SUBSTITUTE(G4915, ""?"", """"), ""*"", """")))"),"Traditional Pick Up Sticks Game")</f>
        <v>Traditional Pick Up Sticks Game</v>
      </c>
      <c r="I4915" s="3">
        <v>12.0</v>
      </c>
      <c r="J4915" s="7">
        <v>40886.513194444444</v>
      </c>
      <c r="K4915" s="8" t="str">
        <f t="shared" si="4"/>
        <v>2011-12</v>
      </c>
      <c r="L4915" s="5">
        <v>1.25</v>
      </c>
      <c r="M4915" s="3">
        <v>17581.0</v>
      </c>
      <c r="N4915" s="1" t="str">
        <f t="shared" si="5"/>
        <v>Registered</v>
      </c>
      <c r="O4915" s="1" t="s">
        <v>19</v>
      </c>
      <c r="P4915" s="9" t="str">
        <f t="shared" si="6"/>
        <v>UK</v>
      </c>
      <c r="Q4915" s="8">
        <f t="shared" si="7"/>
        <v>15</v>
      </c>
    </row>
    <row r="4916">
      <c r="A4916" s="1">
        <v>581579.0</v>
      </c>
      <c r="B4916" s="1" t="str">
        <f t="shared" si="1"/>
        <v>581579</v>
      </c>
      <c r="C4916" s="1" t="str">
        <f t="shared" si="2"/>
        <v>Sale</v>
      </c>
      <c r="D4916" s="1">
        <v>22993.0</v>
      </c>
      <c r="E4916" s="1" t="str">
        <f>IFERROR(__xludf.DUMMYFUNCTION("IF(LEN(D4916)&gt;4, IFERROR(REGEXEXTRACT(TO_TEXT(D4916),""\d+""),""""),"""")"),"22993")</f>
        <v>22993</v>
      </c>
      <c r="F4916" s="6" t="str">
        <f t="shared" si="3"/>
        <v>Product</v>
      </c>
      <c r="G4916" s="1" t="s">
        <v>709</v>
      </c>
      <c r="H4916" s="6" t="str">
        <f>IFERROR(__xludf.DUMMYFUNCTION("IF(REGEXMATCH(LOWER(G4916), ""^(\?)+\s*(missing)?\s*(\?)*$""), """", PROPER(SUBSTITUTE(SUBSTITUTE(G4916, ""?"", """"), ""*"", """")))"),"Set Of 4 Pantry Jelly Moulds")</f>
        <v>Set Of 4 Pantry Jelly Moulds</v>
      </c>
      <c r="I4916" s="3">
        <v>12.0</v>
      </c>
      <c r="J4916" s="7">
        <v>40886.513194444444</v>
      </c>
      <c r="K4916" s="8" t="str">
        <f t="shared" si="4"/>
        <v>2011-12</v>
      </c>
      <c r="L4916" s="5">
        <v>1.25</v>
      </c>
      <c r="M4916" s="3">
        <v>17581.0</v>
      </c>
      <c r="N4916" s="1" t="str">
        <f t="shared" si="5"/>
        <v>Registered</v>
      </c>
      <c r="O4916" s="1" t="s">
        <v>19</v>
      </c>
      <c r="P4916" s="9" t="str">
        <f t="shared" si="6"/>
        <v>UK</v>
      </c>
      <c r="Q4916" s="8">
        <f t="shared" si="7"/>
        <v>15</v>
      </c>
    </row>
    <row r="4917">
      <c r="A4917" s="1">
        <v>581579.0</v>
      </c>
      <c r="B4917" s="1" t="str">
        <f t="shared" si="1"/>
        <v>581579</v>
      </c>
      <c r="C4917" s="1" t="str">
        <f t="shared" si="2"/>
        <v>Sale</v>
      </c>
      <c r="D4917" s="1">
        <v>23480.0</v>
      </c>
      <c r="E4917" s="1" t="str">
        <f>IFERROR(__xludf.DUMMYFUNCTION("IF(LEN(D4917)&gt;4, IFERROR(REGEXEXTRACT(TO_TEXT(D4917),""\d+""),""""),"""")"),"23480")</f>
        <v>23480</v>
      </c>
      <c r="F4917" s="6" t="str">
        <f t="shared" si="3"/>
        <v>Product</v>
      </c>
      <c r="G4917" s="1" t="s">
        <v>1476</v>
      </c>
      <c r="H4917" s="6" t="str">
        <f>IFERROR(__xludf.DUMMYFUNCTION("IF(REGEXMATCH(LOWER(G4917), ""^(\?)+\s*(missing)?\s*(\?)*$""), """", PROPER(SUBSTITUTE(SUBSTITUTE(G4917, ""?"", """"), ""*"", """")))"),"Mini Lights Woodland Mushrooms")</f>
        <v>Mini Lights Woodland Mushrooms</v>
      </c>
      <c r="I4917" s="3">
        <v>8.0</v>
      </c>
      <c r="J4917" s="7">
        <v>40886.513194444444</v>
      </c>
      <c r="K4917" s="8" t="str">
        <f t="shared" si="4"/>
        <v>2011-12</v>
      </c>
      <c r="L4917" s="5">
        <v>3.75</v>
      </c>
      <c r="M4917" s="3">
        <v>17581.0</v>
      </c>
      <c r="N4917" s="1" t="str">
        <f t="shared" si="5"/>
        <v>Registered</v>
      </c>
      <c r="O4917" s="1" t="s">
        <v>19</v>
      </c>
      <c r="P4917" s="9" t="str">
        <f t="shared" si="6"/>
        <v>UK</v>
      </c>
      <c r="Q4917" s="8">
        <f t="shared" si="7"/>
        <v>30</v>
      </c>
    </row>
    <row r="4918">
      <c r="A4918" s="1">
        <v>581579.0</v>
      </c>
      <c r="B4918" s="1" t="str">
        <f t="shared" si="1"/>
        <v>581579</v>
      </c>
      <c r="C4918" s="1" t="str">
        <f t="shared" si="2"/>
        <v>Sale</v>
      </c>
      <c r="D4918" s="1">
        <v>23084.0</v>
      </c>
      <c r="E4918" s="1" t="str">
        <f>IFERROR(__xludf.DUMMYFUNCTION("IF(LEN(D4918)&gt;4, IFERROR(REGEXEXTRACT(TO_TEXT(D4918),""\d+""),""""),"""")"),"23084")</f>
        <v>23084</v>
      </c>
      <c r="F4918" s="6" t="str">
        <f t="shared" si="3"/>
        <v>Product</v>
      </c>
      <c r="G4918" s="1" t="s">
        <v>1473</v>
      </c>
      <c r="H4918" s="6" t="str">
        <f>IFERROR(__xludf.DUMMYFUNCTION("IF(REGEXMATCH(LOWER(G4918), ""^(\?)+\s*(missing)?\s*(\?)*$""), """", PROPER(SUBSTITUTE(SUBSTITUTE(G4918, ""?"", """"), ""*"", """")))"),"Rabbit Night Light")</f>
        <v>Rabbit Night Light</v>
      </c>
      <c r="I4918" s="3">
        <v>24.0</v>
      </c>
      <c r="J4918" s="7">
        <v>40886.513194444444</v>
      </c>
      <c r="K4918" s="8" t="str">
        <f t="shared" si="4"/>
        <v>2011-12</v>
      </c>
      <c r="L4918" s="5">
        <v>1.79</v>
      </c>
      <c r="M4918" s="3">
        <v>17581.0</v>
      </c>
      <c r="N4918" s="1" t="str">
        <f t="shared" si="5"/>
        <v>Registered</v>
      </c>
      <c r="O4918" s="1" t="s">
        <v>19</v>
      </c>
      <c r="P4918" s="9" t="str">
        <f t="shared" si="6"/>
        <v>UK</v>
      </c>
      <c r="Q4918" s="8">
        <f t="shared" si="7"/>
        <v>42.96</v>
      </c>
    </row>
    <row r="4919">
      <c r="A4919" s="1">
        <v>581579.0</v>
      </c>
      <c r="B4919" s="1" t="str">
        <f t="shared" si="1"/>
        <v>581579</v>
      </c>
      <c r="C4919" s="1" t="str">
        <f t="shared" si="2"/>
        <v>Sale</v>
      </c>
      <c r="D4919" s="1">
        <v>22197.0</v>
      </c>
      <c r="E4919" s="1" t="str">
        <f>IFERROR(__xludf.DUMMYFUNCTION("IF(LEN(D4919)&gt;4, IFERROR(REGEXEXTRACT(TO_TEXT(D4919),""\d+""),""""),"""")"),"22197")</f>
        <v>22197</v>
      </c>
      <c r="F4919" s="6" t="str">
        <f t="shared" si="3"/>
        <v>Product</v>
      </c>
      <c r="G4919" s="1" t="s">
        <v>1440</v>
      </c>
      <c r="H4919" s="6" t="str">
        <f>IFERROR(__xludf.DUMMYFUNCTION("IF(REGEXMATCH(LOWER(G4919), ""^(\?)+\s*(missing)?\s*(\?)*$""), """", PROPER(SUBSTITUTE(SUBSTITUTE(G4919, ""?"", """"), ""*"", """")))"),"Popcorn Holder")</f>
        <v>Popcorn Holder</v>
      </c>
      <c r="I4919" s="3">
        <v>24.0</v>
      </c>
      <c r="J4919" s="7">
        <v>40886.513194444444</v>
      </c>
      <c r="K4919" s="8" t="str">
        <f t="shared" si="4"/>
        <v>2011-12</v>
      </c>
      <c r="L4919" s="5">
        <v>0.85</v>
      </c>
      <c r="M4919" s="3">
        <v>17581.0</v>
      </c>
      <c r="N4919" s="1" t="str">
        <f t="shared" si="5"/>
        <v>Registered</v>
      </c>
      <c r="O4919" s="1" t="s">
        <v>19</v>
      </c>
      <c r="P4919" s="9" t="str">
        <f t="shared" si="6"/>
        <v>UK</v>
      </c>
      <c r="Q4919" s="8">
        <f t="shared" si="7"/>
        <v>20.4</v>
      </c>
    </row>
    <row r="4920">
      <c r="A4920" s="1">
        <v>581579.0</v>
      </c>
      <c r="B4920" s="1" t="str">
        <f t="shared" si="1"/>
        <v>581579</v>
      </c>
      <c r="C4920" s="1" t="str">
        <f t="shared" si="2"/>
        <v>Sale</v>
      </c>
      <c r="D4920" s="1">
        <v>23293.0</v>
      </c>
      <c r="E4920" s="1" t="str">
        <f>IFERROR(__xludf.DUMMYFUNCTION("IF(LEN(D4920)&gt;4, IFERROR(REGEXEXTRACT(TO_TEXT(D4920),""\d+""),""""),"""")"),"23293")</f>
        <v>23293</v>
      </c>
      <c r="F4920" s="6" t="str">
        <f t="shared" si="3"/>
        <v>Product</v>
      </c>
      <c r="G4920" s="1" t="s">
        <v>1444</v>
      </c>
      <c r="H4920" s="6" t="str">
        <f>IFERROR(__xludf.DUMMYFUNCTION("IF(REGEXMATCH(LOWER(G4920), ""^(\?)+\s*(missing)?\s*(\?)*$""), """", PROPER(SUBSTITUTE(SUBSTITUTE(G4920, ""?"", """"), ""*"", """")))"),"Set Of 12 Fairy Cake Baking Cases")</f>
        <v>Set Of 12 Fairy Cake Baking Cases</v>
      </c>
      <c r="I4920" s="3">
        <v>8.0</v>
      </c>
      <c r="J4920" s="7">
        <v>40886.513194444444</v>
      </c>
      <c r="K4920" s="8" t="str">
        <f t="shared" si="4"/>
        <v>2011-12</v>
      </c>
      <c r="L4920" s="5">
        <v>0.83</v>
      </c>
      <c r="M4920" s="3">
        <v>17581.0</v>
      </c>
      <c r="N4920" s="1" t="str">
        <f t="shared" si="5"/>
        <v>Registered</v>
      </c>
      <c r="O4920" s="1" t="s">
        <v>19</v>
      </c>
      <c r="P4920" s="9" t="str">
        <f t="shared" si="6"/>
        <v>UK</v>
      </c>
      <c r="Q4920" s="8">
        <f t="shared" si="7"/>
        <v>6.64</v>
      </c>
    </row>
    <row r="4921">
      <c r="A4921" s="1">
        <v>581579.0</v>
      </c>
      <c r="B4921" s="1" t="str">
        <f t="shared" si="1"/>
        <v>581579</v>
      </c>
      <c r="C4921" s="1" t="str">
        <f t="shared" si="2"/>
        <v>Sale</v>
      </c>
      <c r="D4921" s="1">
        <v>23313.0</v>
      </c>
      <c r="E4921" s="1" t="str">
        <f>IFERROR(__xludf.DUMMYFUNCTION("IF(LEN(D4921)&gt;4, IFERROR(REGEXEXTRACT(TO_TEXT(D4921),""\d+""),""""),"""")"),"23313")</f>
        <v>23313</v>
      </c>
      <c r="F4921" s="6" t="str">
        <f t="shared" si="3"/>
        <v>Product</v>
      </c>
      <c r="G4921" s="1" t="s">
        <v>1552</v>
      </c>
      <c r="H4921" s="6" t="str">
        <f>IFERROR(__xludf.DUMMYFUNCTION("IF(REGEXMATCH(LOWER(G4921), ""^(\?)+\s*(missing)?\s*(\?)*$""), """", PROPER(SUBSTITUTE(SUBSTITUTE(G4921, ""?"", """"), ""*"", """")))"),"Vintage Christmas Bunting")</f>
        <v>Vintage Christmas Bunting</v>
      </c>
      <c r="I4921" s="3">
        <v>15.0</v>
      </c>
      <c r="J4921" s="7">
        <v>40886.513194444444</v>
      </c>
      <c r="K4921" s="8" t="str">
        <f t="shared" si="4"/>
        <v>2011-12</v>
      </c>
      <c r="L4921" s="5">
        <v>4.95</v>
      </c>
      <c r="M4921" s="3">
        <v>17581.0</v>
      </c>
      <c r="N4921" s="1" t="str">
        <f t="shared" si="5"/>
        <v>Registered</v>
      </c>
      <c r="O4921" s="1" t="s">
        <v>19</v>
      </c>
      <c r="P4921" s="9" t="str">
        <f t="shared" si="6"/>
        <v>UK</v>
      </c>
      <c r="Q4921" s="8">
        <f t="shared" si="7"/>
        <v>74.25</v>
      </c>
    </row>
    <row r="4922">
      <c r="A4922" s="1">
        <v>581579.0</v>
      </c>
      <c r="B4922" s="1" t="str">
        <f t="shared" si="1"/>
        <v>581579</v>
      </c>
      <c r="C4922" s="1" t="str">
        <f t="shared" si="2"/>
        <v>Sale</v>
      </c>
      <c r="D4922" s="1">
        <v>84347.0</v>
      </c>
      <c r="E4922" s="1" t="str">
        <f>IFERROR(__xludf.DUMMYFUNCTION("IF(LEN(D4922)&gt;4, IFERROR(REGEXEXTRACT(TO_TEXT(D4922),""\d+""),""""),"""")"),"84347")</f>
        <v>84347</v>
      </c>
      <c r="F4922" s="6" t="str">
        <f t="shared" si="3"/>
        <v>Product</v>
      </c>
      <c r="G4922" s="1" t="s">
        <v>386</v>
      </c>
      <c r="H4922" s="6" t="str">
        <f>IFERROR(__xludf.DUMMYFUNCTION("IF(REGEXMATCH(LOWER(G4922), ""^(\?)+\s*(missing)?\s*(\?)*$""), """", PROPER(SUBSTITUTE(SUBSTITUTE(G4922, ""?"", """"), ""*"", """")))"),"Rotating Silver Angels T-Light Hldr")</f>
        <v>Rotating Silver Angels T-Light Hldr</v>
      </c>
      <c r="I4922" s="3">
        <v>24.0</v>
      </c>
      <c r="J4922" s="7">
        <v>40886.513194444444</v>
      </c>
      <c r="K4922" s="8" t="str">
        <f t="shared" si="4"/>
        <v>2011-12</v>
      </c>
      <c r="L4922" s="5">
        <v>2.55</v>
      </c>
      <c r="M4922" s="3">
        <v>17581.0</v>
      </c>
      <c r="N4922" s="1" t="str">
        <f t="shared" si="5"/>
        <v>Registered</v>
      </c>
      <c r="O4922" s="1" t="s">
        <v>19</v>
      </c>
      <c r="P4922" s="9" t="str">
        <f t="shared" si="6"/>
        <v>UK</v>
      </c>
      <c r="Q4922" s="8">
        <f t="shared" si="7"/>
        <v>61.2</v>
      </c>
    </row>
    <row r="4923">
      <c r="A4923" s="1">
        <v>581579.0</v>
      </c>
      <c r="B4923" s="1" t="str">
        <f t="shared" si="1"/>
        <v>581579</v>
      </c>
      <c r="C4923" s="1" t="str">
        <f t="shared" si="2"/>
        <v>Sale</v>
      </c>
      <c r="D4923" s="1">
        <v>22083.0</v>
      </c>
      <c r="E4923" s="1" t="str">
        <f>IFERROR(__xludf.DUMMYFUNCTION("IF(LEN(D4923)&gt;4, IFERROR(REGEXEXTRACT(TO_TEXT(D4923),""\d+""),""""),"""")"),"22083")</f>
        <v>22083</v>
      </c>
      <c r="F4923" s="6" t="str">
        <f t="shared" si="3"/>
        <v>Product</v>
      </c>
      <c r="G4923" s="1" t="s">
        <v>128</v>
      </c>
      <c r="H4923" s="6" t="str">
        <f>IFERROR(__xludf.DUMMYFUNCTION("IF(REGEXMATCH(LOWER(G4923), ""^(\?)+\s*(missing)?\s*(\?)*$""), """", PROPER(SUBSTITUTE(SUBSTITUTE(G4923, ""?"", """"), ""*"", """")))"),"Paper Chain Kit Retrospot")</f>
        <v>Paper Chain Kit Retrospot</v>
      </c>
      <c r="I4923" s="3">
        <v>6.0</v>
      </c>
      <c r="J4923" s="7">
        <v>40886.513194444444</v>
      </c>
      <c r="K4923" s="8" t="str">
        <f t="shared" si="4"/>
        <v>2011-12</v>
      </c>
      <c r="L4923" s="5">
        <v>2.95</v>
      </c>
      <c r="M4923" s="3">
        <v>17581.0</v>
      </c>
      <c r="N4923" s="1" t="str">
        <f t="shared" si="5"/>
        <v>Registered</v>
      </c>
      <c r="O4923" s="1" t="s">
        <v>19</v>
      </c>
      <c r="P4923" s="9" t="str">
        <f t="shared" si="6"/>
        <v>UK</v>
      </c>
      <c r="Q4923" s="8">
        <f t="shared" si="7"/>
        <v>17.7</v>
      </c>
    </row>
    <row r="4924">
      <c r="A4924" s="1">
        <v>581579.0</v>
      </c>
      <c r="B4924" s="1" t="str">
        <f t="shared" si="1"/>
        <v>581579</v>
      </c>
      <c r="C4924" s="1" t="str">
        <f t="shared" si="2"/>
        <v>Sale</v>
      </c>
      <c r="D4924" s="1">
        <v>23376.0</v>
      </c>
      <c r="E4924" s="1" t="str">
        <f>IFERROR(__xludf.DUMMYFUNCTION("IF(LEN(D4924)&gt;4, IFERROR(REGEXEXTRACT(TO_TEXT(D4924),""\d+""),""""),"""")"),"23376")</f>
        <v>23376</v>
      </c>
      <c r="F4924" s="6" t="str">
        <f t="shared" si="3"/>
        <v>Product</v>
      </c>
      <c r="G4924" s="1" t="s">
        <v>1651</v>
      </c>
      <c r="H4924" s="6" t="str">
        <f>IFERROR(__xludf.DUMMYFUNCTION("IF(REGEXMATCH(LOWER(G4924), ""^(\?)+\s*(missing)?\s*(\?)*$""), """", PROPER(SUBSTITUTE(SUBSTITUTE(G4924, ""?"", """"), ""*"", """")))"),"Pack Of 12 Vintage Christmas Tissue")</f>
        <v>Pack Of 12 Vintage Christmas Tissue</v>
      </c>
      <c r="I4924" s="3">
        <v>24.0</v>
      </c>
      <c r="J4924" s="7">
        <v>40886.513194444444</v>
      </c>
      <c r="K4924" s="8" t="str">
        <f t="shared" si="4"/>
        <v>2011-12</v>
      </c>
      <c r="L4924" s="5">
        <v>0.39</v>
      </c>
      <c r="M4924" s="3">
        <v>17581.0</v>
      </c>
      <c r="N4924" s="1" t="str">
        <f t="shared" si="5"/>
        <v>Registered</v>
      </c>
      <c r="O4924" s="1" t="s">
        <v>19</v>
      </c>
      <c r="P4924" s="9" t="str">
        <f t="shared" si="6"/>
        <v>UK</v>
      </c>
      <c r="Q4924" s="8">
        <f t="shared" si="7"/>
        <v>9.36</v>
      </c>
    </row>
    <row r="4925">
      <c r="A4925" s="1">
        <v>581579.0</v>
      </c>
      <c r="B4925" s="1" t="str">
        <f t="shared" si="1"/>
        <v>581579</v>
      </c>
      <c r="C4925" s="1" t="str">
        <f t="shared" si="2"/>
        <v>Sale</v>
      </c>
      <c r="D4925" s="1">
        <v>22941.0</v>
      </c>
      <c r="E4925" s="1" t="str">
        <f>IFERROR(__xludf.DUMMYFUNCTION("IF(LEN(D4925)&gt;4, IFERROR(REGEXEXTRACT(TO_TEXT(D4925),""\d+""),""""),"""")"),"22941")</f>
        <v>22941</v>
      </c>
      <c r="F4925" s="6" t="str">
        <f t="shared" si="3"/>
        <v>Product</v>
      </c>
      <c r="G4925" s="1" t="s">
        <v>196</v>
      </c>
      <c r="H4925" s="6" t="str">
        <f>IFERROR(__xludf.DUMMYFUNCTION("IF(REGEXMATCH(LOWER(G4925), ""^(\?)+\s*(missing)?\s*(\?)*$""), """", PROPER(SUBSTITUTE(SUBSTITUTE(G4925, ""?"", """"), ""*"", """")))"),"Christmas Lights 10 Reindeer")</f>
        <v>Christmas Lights 10 Reindeer</v>
      </c>
      <c r="I4925" s="3">
        <v>4.0</v>
      </c>
      <c r="J4925" s="7">
        <v>40886.513194444444</v>
      </c>
      <c r="K4925" s="8" t="str">
        <f t="shared" si="4"/>
        <v>2011-12</v>
      </c>
      <c r="L4925" s="5">
        <v>8.5</v>
      </c>
      <c r="M4925" s="3">
        <v>17581.0</v>
      </c>
      <c r="N4925" s="1" t="str">
        <f t="shared" si="5"/>
        <v>Registered</v>
      </c>
      <c r="O4925" s="1" t="s">
        <v>19</v>
      </c>
      <c r="P4925" s="9" t="str">
        <f t="shared" si="6"/>
        <v>UK</v>
      </c>
      <c r="Q4925" s="8">
        <f t="shared" si="7"/>
        <v>34</v>
      </c>
    </row>
    <row r="4926">
      <c r="A4926" s="1">
        <v>581579.0</v>
      </c>
      <c r="B4926" s="1" t="str">
        <f t="shared" si="1"/>
        <v>581579</v>
      </c>
      <c r="C4926" s="1" t="str">
        <f t="shared" si="2"/>
        <v>Sale</v>
      </c>
      <c r="D4926" s="1">
        <v>23201.0</v>
      </c>
      <c r="E4926" s="1" t="str">
        <f>IFERROR(__xludf.DUMMYFUNCTION("IF(LEN(D4926)&gt;4, IFERROR(REGEXEXTRACT(TO_TEXT(D4926),""\d+""),""""),"""")"),"23201")</f>
        <v>23201</v>
      </c>
      <c r="F4926" s="6" t="str">
        <f t="shared" si="3"/>
        <v>Product</v>
      </c>
      <c r="G4926" s="1" t="s">
        <v>1636</v>
      </c>
      <c r="H4926" s="6" t="str">
        <f>IFERROR(__xludf.DUMMYFUNCTION("IF(REGEXMATCH(LOWER(G4926), ""^(\?)+\s*(missing)?\s*(\?)*$""), """", PROPER(SUBSTITUTE(SUBSTITUTE(G4926, ""?"", """"), ""*"", """")))"),"Jumbo Bag Alphabet")</f>
        <v>Jumbo Bag Alphabet</v>
      </c>
      <c r="I4926" s="3">
        <v>20.0</v>
      </c>
      <c r="J4926" s="7">
        <v>40886.513194444444</v>
      </c>
      <c r="K4926" s="8" t="str">
        <f t="shared" si="4"/>
        <v>2011-12</v>
      </c>
      <c r="L4926" s="5">
        <v>1.79</v>
      </c>
      <c r="M4926" s="3">
        <v>17581.0</v>
      </c>
      <c r="N4926" s="1" t="str">
        <f t="shared" si="5"/>
        <v>Registered</v>
      </c>
      <c r="O4926" s="1" t="s">
        <v>19</v>
      </c>
      <c r="P4926" s="9" t="str">
        <f t="shared" si="6"/>
        <v>UK</v>
      </c>
      <c r="Q4926" s="8">
        <f t="shared" si="7"/>
        <v>35.8</v>
      </c>
    </row>
    <row r="4927">
      <c r="A4927" s="1">
        <v>581579.0</v>
      </c>
      <c r="B4927" s="1" t="str">
        <f t="shared" si="1"/>
        <v>581579</v>
      </c>
      <c r="C4927" s="1" t="str">
        <f t="shared" si="2"/>
        <v>Sale</v>
      </c>
      <c r="D4927" s="1">
        <v>23343.0</v>
      </c>
      <c r="E4927" s="1" t="str">
        <f>IFERROR(__xludf.DUMMYFUNCTION("IF(LEN(D4927)&gt;4, IFERROR(REGEXEXTRACT(TO_TEXT(D4927),""\d+""),""""),"""")"),"23343")</f>
        <v>23343</v>
      </c>
      <c r="F4927" s="6" t="str">
        <f t="shared" si="3"/>
        <v>Product</v>
      </c>
      <c r="G4927" s="1" t="s">
        <v>2033</v>
      </c>
      <c r="H4927" s="6" t="str">
        <f>IFERROR(__xludf.DUMMYFUNCTION("IF(REGEXMATCH(LOWER(G4927), ""^(\?)+\s*(missing)?\s*(\?)*$""), """", PROPER(SUBSTITUTE(SUBSTITUTE(G4927, ""?"", """"), ""*"", """")))"),"Jumbo Bag Vintage Christmas")</f>
        <v>Jumbo Bag Vintage Christmas</v>
      </c>
      <c r="I4927" s="3">
        <v>30.0</v>
      </c>
      <c r="J4927" s="7">
        <v>40886.513194444444</v>
      </c>
      <c r="K4927" s="8" t="str">
        <f t="shared" si="4"/>
        <v>2011-12</v>
      </c>
      <c r="L4927" s="5">
        <v>1.79</v>
      </c>
      <c r="M4927" s="3">
        <v>17581.0</v>
      </c>
      <c r="N4927" s="1" t="str">
        <f t="shared" si="5"/>
        <v>Registered</v>
      </c>
      <c r="O4927" s="1" t="s">
        <v>19</v>
      </c>
      <c r="P4927" s="9" t="str">
        <f t="shared" si="6"/>
        <v>UK</v>
      </c>
      <c r="Q4927" s="8">
        <f t="shared" si="7"/>
        <v>53.7</v>
      </c>
    </row>
    <row r="4928">
      <c r="A4928" s="1">
        <v>581579.0</v>
      </c>
      <c r="B4928" s="1" t="str">
        <f t="shared" si="1"/>
        <v>581579</v>
      </c>
      <c r="C4928" s="1" t="str">
        <f t="shared" si="2"/>
        <v>Sale</v>
      </c>
      <c r="D4928" s="1">
        <v>23344.0</v>
      </c>
      <c r="E4928" s="1" t="str">
        <f>IFERROR(__xludf.DUMMYFUNCTION("IF(LEN(D4928)&gt;4, IFERROR(REGEXEXTRACT(TO_TEXT(D4928),""\d+""),""""),"""")"),"23344")</f>
        <v>23344</v>
      </c>
      <c r="F4928" s="6" t="str">
        <f t="shared" si="3"/>
        <v>Product</v>
      </c>
      <c r="G4928" s="1" t="s">
        <v>1566</v>
      </c>
      <c r="H4928" s="6" t="str">
        <f>IFERROR(__xludf.DUMMYFUNCTION("IF(REGEXMATCH(LOWER(G4928), ""^(\?)+\s*(missing)?\s*(\?)*$""), """", PROPER(SUBSTITUTE(SUBSTITUTE(G4928, ""?"", """"), ""*"", """")))"),"Jumbo Bag 50'S Christmas")</f>
        <v>Jumbo Bag 50'S Christmas</v>
      </c>
      <c r="I4928" s="3">
        <v>20.0</v>
      </c>
      <c r="J4928" s="7">
        <v>40886.513194444444</v>
      </c>
      <c r="K4928" s="8" t="str">
        <f t="shared" si="4"/>
        <v>2011-12</v>
      </c>
      <c r="L4928" s="5">
        <v>1.79</v>
      </c>
      <c r="M4928" s="3">
        <v>17581.0</v>
      </c>
      <c r="N4928" s="1" t="str">
        <f t="shared" si="5"/>
        <v>Registered</v>
      </c>
      <c r="O4928" s="1" t="s">
        <v>19</v>
      </c>
      <c r="P4928" s="9" t="str">
        <f t="shared" si="6"/>
        <v>UK</v>
      </c>
      <c r="Q4928" s="8">
        <f t="shared" si="7"/>
        <v>35.8</v>
      </c>
    </row>
    <row r="4929">
      <c r="A4929" s="1">
        <v>581579.0</v>
      </c>
      <c r="B4929" s="1" t="str">
        <f t="shared" si="1"/>
        <v>581579</v>
      </c>
      <c r="C4929" s="1" t="str">
        <f t="shared" si="2"/>
        <v>Sale</v>
      </c>
      <c r="D4929" s="1">
        <v>23581.0</v>
      </c>
      <c r="E4929" s="1" t="str">
        <f>IFERROR(__xludf.DUMMYFUNCTION("IF(LEN(D4929)&gt;4, IFERROR(REGEXEXTRACT(TO_TEXT(D4929),""\d+""),""""),"""")"),"23581")</f>
        <v>23581</v>
      </c>
      <c r="F4929" s="6" t="str">
        <f t="shared" si="3"/>
        <v>Product</v>
      </c>
      <c r="G4929" s="1" t="s">
        <v>1688</v>
      </c>
      <c r="H4929" s="6" t="str">
        <f>IFERROR(__xludf.DUMMYFUNCTION("IF(REGEXMATCH(LOWER(G4929), ""^(\?)+\s*(missing)?\s*(\?)*$""), """", PROPER(SUBSTITUTE(SUBSTITUTE(G4929, ""?"", """"), ""*"", """")))"),"Jumbo Bag Paisley Park")</f>
        <v>Jumbo Bag Paisley Park</v>
      </c>
      <c r="I4929" s="3">
        <v>40.0</v>
      </c>
      <c r="J4929" s="7">
        <v>40886.513194444444</v>
      </c>
      <c r="K4929" s="8" t="str">
        <f t="shared" si="4"/>
        <v>2011-12</v>
      </c>
      <c r="L4929" s="5">
        <v>1.79</v>
      </c>
      <c r="M4929" s="3">
        <v>17581.0</v>
      </c>
      <c r="N4929" s="1" t="str">
        <f t="shared" si="5"/>
        <v>Registered</v>
      </c>
      <c r="O4929" s="1" t="s">
        <v>19</v>
      </c>
      <c r="P4929" s="9" t="str">
        <f t="shared" si="6"/>
        <v>UK</v>
      </c>
      <c r="Q4929" s="8">
        <f t="shared" si="7"/>
        <v>71.6</v>
      </c>
    </row>
    <row r="4930">
      <c r="A4930" s="1">
        <v>581580.0</v>
      </c>
      <c r="B4930" s="1" t="str">
        <f t="shared" si="1"/>
        <v>581580</v>
      </c>
      <c r="C4930" s="1" t="str">
        <f t="shared" si="2"/>
        <v>Sale</v>
      </c>
      <c r="D4930" s="1">
        <v>23334.0</v>
      </c>
      <c r="E4930" s="1" t="str">
        <f>IFERROR(__xludf.DUMMYFUNCTION("IF(LEN(D4930)&gt;4, IFERROR(REGEXEXTRACT(TO_TEXT(D4930),""\d+""),""""),"""")"),"23334")</f>
        <v>23334</v>
      </c>
      <c r="F4930" s="6" t="str">
        <f t="shared" si="3"/>
        <v>Product</v>
      </c>
      <c r="G4930" s="1" t="s">
        <v>2030</v>
      </c>
      <c r="H4930" s="6" t="str">
        <f>IFERROR(__xludf.DUMMYFUNCTION("IF(REGEXMATCH(LOWER(G4930), ""^(\?)+\s*(missing)?\s*(\?)*$""), """", PROPER(SUBSTITUTE(SUBSTITUTE(G4930, ""?"", """"), ""*"", """")))"),"Ivory Wicker Heart Small")</f>
        <v>Ivory Wicker Heart Small</v>
      </c>
      <c r="I4930" s="3">
        <v>4.0</v>
      </c>
      <c r="J4930" s="7">
        <v>40886.51388888889</v>
      </c>
      <c r="K4930" s="8" t="str">
        <f t="shared" si="4"/>
        <v>2011-12</v>
      </c>
      <c r="L4930" s="5">
        <v>0.63</v>
      </c>
      <c r="M4930" s="3">
        <v>12748.0</v>
      </c>
      <c r="N4930" s="1" t="str">
        <f t="shared" si="5"/>
        <v>Registered</v>
      </c>
      <c r="O4930" s="1" t="s">
        <v>19</v>
      </c>
      <c r="P4930" s="9" t="str">
        <f t="shared" si="6"/>
        <v>UK</v>
      </c>
      <c r="Q4930" s="8">
        <f t="shared" si="7"/>
        <v>2.52</v>
      </c>
    </row>
    <row r="4931">
      <c r="A4931" s="1">
        <v>581580.0</v>
      </c>
      <c r="B4931" s="1" t="str">
        <f t="shared" si="1"/>
        <v>581580</v>
      </c>
      <c r="C4931" s="1" t="str">
        <f t="shared" si="2"/>
        <v>Sale</v>
      </c>
      <c r="D4931" s="1">
        <v>21790.0</v>
      </c>
      <c r="E4931" s="1" t="str">
        <f>IFERROR(__xludf.DUMMYFUNCTION("IF(LEN(D4931)&gt;4, IFERROR(REGEXEXTRACT(TO_TEXT(D4931),""\d+""),""""),"""")"),"21790")</f>
        <v>21790</v>
      </c>
      <c r="F4931" s="6" t="str">
        <f t="shared" si="3"/>
        <v>Product</v>
      </c>
      <c r="G4931" s="1" t="s">
        <v>477</v>
      </c>
      <c r="H4931" s="6" t="str">
        <f>IFERROR(__xludf.DUMMYFUNCTION("IF(REGEXMATCH(LOWER(G4931), ""^(\?)+\s*(missing)?\s*(\?)*$""), """", PROPER(SUBSTITUTE(SUBSTITUTE(G4931, ""?"", """"), ""*"", """")))"),"Vintage Snap Cards")</f>
        <v>Vintage Snap Cards</v>
      </c>
      <c r="I4931" s="3">
        <v>1.0</v>
      </c>
      <c r="J4931" s="7">
        <v>40886.51388888889</v>
      </c>
      <c r="K4931" s="8" t="str">
        <f t="shared" si="4"/>
        <v>2011-12</v>
      </c>
      <c r="L4931" s="5">
        <v>0.85</v>
      </c>
      <c r="M4931" s="3">
        <v>12748.0</v>
      </c>
      <c r="N4931" s="1" t="str">
        <f t="shared" si="5"/>
        <v>Registered</v>
      </c>
      <c r="O4931" s="1" t="s">
        <v>19</v>
      </c>
      <c r="P4931" s="9" t="str">
        <f t="shared" si="6"/>
        <v>UK</v>
      </c>
      <c r="Q4931" s="8">
        <f t="shared" si="7"/>
        <v>0.85</v>
      </c>
    </row>
    <row r="4932">
      <c r="A4932" s="1">
        <v>581580.0</v>
      </c>
      <c r="B4932" s="1" t="str">
        <f t="shared" si="1"/>
        <v>581580</v>
      </c>
      <c r="C4932" s="1" t="str">
        <f t="shared" si="2"/>
        <v>Sale</v>
      </c>
      <c r="D4932" s="1" t="s">
        <v>1515</v>
      </c>
      <c r="E4932" s="1" t="str">
        <f>IFERROR(__xludf.DUMMYFUNCTION("IF(LEN(D4932)&gt;4, IFERROR(REGEXEXTRACT(TO_TEXT(D4932),""\d+""),""""),"""")"),"84993")</f>
        <v>84993</v>
      </c>
      <c r="F4932" s="6" t="str">
        <f t="shared" si="3"/>
        <v>Product</v>
      </c>
      <c r="G4932" s="1" t="s">
        <v>1516</v>
      </c>
      <c r="H4932" s="6" t="str">
        <f>IFERROR(__xludf.DUMMYFUNCTION("IF(REGEXMATCH(LOWER(G4932), ""^(\?)+\s*(missing)?\s*(\?)*$""), """", PROPER(SUBSTITUTE(SUBSTITUTE(G4932, ""?"", """"), ""*"", """")))"),"75 Green Petit Four Cases")</f>
        <v>75 Green Petit Four Cases</v>
      </c>
      <c r="I4932" s="3">
        <v>2.0</v>
      </c>
      <c r="J4932" s="7">
        <v>40886.51388888889</v>
      </c>
      <c r="K4932" s="8" t="str">
        <f t="shared" si="4"/>
        <v>2011-12</v>
      </c>
      <c r="L4932" s="5">
        <v>0.42</v>
      </c>
      <c r="M4932" s="3">
        <v>12748.0</v>
      </c>
      <c r="N4932" s="1" t="str">
        <f t="shared" si="5"/>
        <v>Registered</v>
      </c>
      <c r="O4932" s="1" t="s">
        <v>19</v>
      </c>
      <c r="P4932" s="9" t="str">
        <f t="shared" si="6"/>
        <v>UK</v>
      </c>
      <c r="Q4932" s="8">
        <f t="shared" si="7"/>
        <v>0.84</v>
      </c>
    </row>
    <row r="4933">
      <c r="A4933" s="1">
        <v>581580.0</v>
      </c>
      <c r="B4933" s="1" t="str">
        <f t="shared" si="1"/>
        <v>581580</v>
      </c>
      <c r="C4933" s="1" t="str">
        <f t="shared" si="2"/>
        <v>Sale</v>
      </c>
      <c r="D4933" s="1">
        <v>22906.0</v>
      </c>
      <c r="E4933" s="1" t="str">
        <f>IFERROR(__xludf.DUMMYFUNCTION("IF(LEN(D4933)&gt;4, IFERROR(REGEXEXTRACT(TO_TEXT(D4933),""\d+""),""""),"""")"),"22906")</f>
        <v>22906</v>
      </c>
      <c r="F4933" s="6" t="str">
        <f t="shared" si="3"/>
        <v>Product</v>
      </c>
      <c r="G4933" s="1" t="s">
        <v>662</v>
      </c>
      <c r="H4933" s="6" t="str">
        <f>IFERROR(__xludf.DUMMYFUNCTION("IF(REGEXMATCH(LOWER(G4933), ""^(\?)+\s*(missing)?\s*(\?)*$""), """", PROPER(SUBSTITUTE(SUBSTITUTE(G4933, ""?"", """"), ""*"", """")))"),"12 Message Cards With Envelopes")</f>
        <v>12 Message Cards With Envelopes</v>
      </c>
      <c r="I4933" s="3">
        <v>1.0</v>
      </c>
      <c r="J4933" s="7">
        <v>40886.51388888889</v>
      </c>
      <c r="K4933" s="8" t="str">
        <f t="shared" si="4"/>
        <v>2011-12</v>
      </c>
      <c r="L4933" s="5">
        <v>1.65</v>
      </c>
      <c r="M4933" s="3">
        <v>12748.0</v>
      </c>
      <c r="N4933" s="1" t="str">
        <f t="shared" si="5"/>
        <v>Registered</v>
      </c>
      <c r="O4933" s="1" t="s">
        <v>19</v>
      </c>
      <c r="P4933" s="9" t="str">
        <f t="shared" si="6"/>
        <v>UK</v>
      </c>
      <c r="Q4933" s="8">
        <f t="shared" si="7"/>
        <v>1.65</v>
      </c>
    </row>
    <row r="4934">
      <c r="A4934" s="1">
        <v>581580.0</v>
      </c>
      <c r="B4934" s="1" t="str">
        <f t="shared" si="1"/>
        <v>581580</v>
      </c>
      <c r="C4934" s="1" t="str">
        <f t="shared" si="2"/>
        <v>Sale</v>
      </c>
      <c r="D4934" s="1">
        <v>21803.0</v>
      </c>
      <c r="E4934" s="1" t="str">
        <f>IFERROR(__xludf.DUMMYFUNCTION("IF(LEN(D4934)&gt;4, IFERROR(REGEXEXTRACT(TO_TEXT(D4934),""\d+""),""""),"""")"),"21803")</f>
        <v>21803</v>
      </c>
      <c r="F4934" s="6" t="str">
        <f t="shared" si="3"/>
        <v>Product</v>
      </c>
      <c r="G4934" s="1" t="s">
        <v>2151</v>
      </c>
      <c r="H4934" s="6" t="str">
        <f>IFERROR(__xludf.DUMMYFUNCTION("IF(REGEXMATCH(LOWER(G4934), ""^(\?)+\s*(missing)?\s*(\?)*$""), """", PROPER(SUBSTITUTE(SUBSTITUTE(G4934, ""?"", """"), ""*"", """")))"),"Christmas Tree Star Decoration")</f>
        <v>Christmas Tree Star Decoration</v>
      </c>
      <c r="I4934" s="3">
        <v>2.0</v>
      </c>
      <c r="J4934" s="7">
        <v>40886.51388888889</v>
      </c>
      <c r="K4934" s="8" t="str">
        <f t="shared" si="4"/>
        <v>2011-12</v>
      </c>
      <c r="L4934" s="5">
        <v>0.42</v>
      </c>
      <c r="M4934" s="3">
        <v>12748.0</v>
      </c>
      <c r="N4934" s="1" t="str">
        <f t="shared" si="5"/>
        <v>Registered</v>
      </c>
      <c r="O4934" s="1" t="s">
        <v>19</v>
      </c>
      <c r="P4934" s="9" t="str">
        <f t="shared" si="6"/>
        <v>UK</v>
      </c>
      <c r="Q4934" s="8">
        <f t="shared" si="7"/>
        <v>0.84</v>
      </c>
    </row>
    <row r="4935">
      <c r="A4935" s="1">
        <v>581580.0</v>
      </c>
      <c r="B4935" s="1" t="str">
        <f t="shared" si="1"/>
        <v>581580</v>
      </c>
      <c r="C4935" s="1" t="str">
        <f t="shared" si="2"/>
        <v>Sale</v>
      </c>
      <c r="D4935" s="1">
        <v>21809.0</v>
      </c>
      <c r="E4935" s="1" t="str">
        <f>IFERROR(__xludf.DUMMYFUNCTION("IF(LEN(D4935)&gt;4, IFERROR(REGEXEXTRACT(TO_TEXT(D4935),""\d+""),""""),"""")"),"21809")</f>
        <v>21809</v>
      </c>
      <c r="F4935" s="6" t="str">
        <f t="shared" si="3"/>
        <v>Product</v>
      </c>
      <c r="G4935" s="1" t="s">
        <v>1416</v>
      </c>
      <c r="H4935" s="6" t="str">
        <f>IFERROR(__xludf.DUMMYFUNCTION("IF(REGEXMATCH(LOWER(G4935), ""^(\?)+\s*(missing)?\s*(\?)*$""), """", PROPER(SUBSTITUTE(SUBSTITUTE(G4935, ""?"", """"), ""*"", """")))"),"Christmas Hanging Tree With Bell")</f>
        <v>Christmas Hanging Tree With Bell</v>
      </c>
      <c r="I4935" s="3">
        <v>2.0</v>
      </c>
      <c r="J4935" s="7">
        <v>40886.51388888889</v>
      </c>
      <c r="K4935" s="8" t="str">
        <f t="shared" si="4"/>
        <v>2011-12</v>
      </c>
      <c r="L4935" s="5">
        <v>0.39</v>
      </c>
      <c r="M4935" s="3">
        <v>12748.0</v>
      </c>
      <c r="N4935" s="1" t="str">
        <f t="shared" si="5"/>
        <v>Registered</v>
      </c>
      <c r="O4935" s="1" t="s">
        <v>19</v>
      </c>
      <c r="P4935" s="9" t="str">
        <f t="shared" si="6"/>
        <v>UK</v>
      </c>
      <c r="Q4935" s="8">
        <f t="shared" si="7"/>
        <v>0.78</v>
      </c>
    </row>
    <row r="4936">
      <c r="A4936" s="1">
        <v>581580.0</v>
      </c>
      <c r="B4936" s="1" t="str">
        <f t="shared" si="1"/>
        <v>581580</v>
      </c>
      <c r="C4936" s="1" t="str">
        <f t="shared" si="2"/>
        <v>Sale</v>
      </c>
      <c r="D4936" s="1">
        <v>20974.0</v>
      </c>
      <c r="E4936" s="1" t="str">
        <f>IFERROR(__xludf.DUMMYFUNCTION("IF(LEN(D4936)&gt;4, IFERROR(REGEXEXTRACT(TO_TEXT(D4936),""\d+""),""""),"""")"),"20974")</f>
        <v>20974</v>
      </c>
      <c r="F4936" s="6" t="str">
        <f t="shared" si="3"/>
        <v>Product</v>
      </c>
      <c r="G4936" s="1" t="s">
        <v>2152</v>
      </c>
      <c r="H4936" s="6" t="str">
        <f>IFERROR(__xludf.DUMMYFUNCTION("IF(REGEXMATCH(LOWER(G4936), ""^(\?)+\s*(missing)?\s*(\?)*$""), """", PROPER(SUBSTITUTE(SUBSTITUTE(G4936, ""?"", """"), ""*"", """")))"),"12 Pencils Small Tube Skull")</f>
        <v>12 Pencils Small Tube Skull</v>
      </c>
      <c r="I4936" s="3">
        <v>1.0</v>
      </c>
      <c r="J4936" s="7">
        <v>40886.51388888889</v>
      </c>
      <c r="K4936" s="8" t="str">
        <f t="shared" si="4"/>
        <v>2011-12</v>
      </c>
      <c r="L4936" s="5">
        <v>0.65</v>
      </c>
      <c r="M4936" s="3">
        <v>12748.0</v>
      </c>
      <c r="N4936" s="1" t="str">
        <f t="shared" si="5"/>
        <v>Registered</v>
      </c>
      <c r="O4936" s="1" t="s">
        <v>19</v>
      </c>
      <c r="P4936" s="9" t="str">
        <f t="shared" si="6"/>
        <v>UK</v>
      </c>
      <c r="Q4936" s="8">
        <f t="shared" si="7"/>
        <v>0.65</v>
      </c>
    </row>
    <row r="4937">
      <c r="A4937" s="1">
        <v>581580.0</v>
      </c>
      <c r="B4937" s="1" t="str">
        <f t="shared" si="1"/>
        <v>581580</v>
      </c>
      <c r="C4937" s="1" t="str">
        <f t="shared" si="2"/>
        <v>Sale</v>
      </c>
      <c r="D4937" s="1">
        <v>23338.0</v>
      </c>
      <c r="E4937" s="1" t="str">
        <f>IFERROR(__xludf.DUMMYFUNCTION("IF(LEN(D4937)&gt;4, IFERROR(REGEXEXTRACT(TO_TEXT(D4937),""\d+""),""""),"""")"),"23338")</f>
        <v>23338</v>
      </c>
      <c r="F4937" s="6" t="str">
        <f t="shared" si="3"/>
        <v>Product</v>
      </c>
      <c r="G4937" s="1" t="s">
        <v>1616</v>
      </c>
      <c r="H4937" s="6" t="str">
        <f>IFERROR(__xludf.DUMMYFUNCTION("IF(REGEXMATCH(LOWER(G4937), ""^(\?)+\s*(missing)?\s*(\?)*$""), """", PROPER(SUBSTITUTE(SUBSTITUTE(G4937, ""?"", """"), ""*"", """")))"),"Egg Frying Pan Red")</f>
        <v>Egg Frying Pan Red</v>
      </c>
      <c r="I4937" s="3">
        <v>1.0</v>
      </c>
      <c r="J4937" s="7">
        <v>40886.51388888889</v>
      </c>
      <c r="K4937" s="8" t="str">
        <f t="shared" si="4"/>
        <v>2011-12</v>
      </c>
      <c r="L4937" s="5">
        <v>2.08</v>
      </c>
      <c r="M4937" s="3">
        <v>12748.0</v>
      </c>
      <c r="N4937" s="1" t="str">
        <f t="shared" si="5"/>
        <v>Registered</v>
      </c>
      <c r="O4937" s="1" t="s">
        <v>19</v>
      </c>
      <c r="P4937" s="9" t="str">
        <f t="shared" si="6"/>
        <v>UK</v>
      </c>
      <c r="Q4937" s="8">
        <f t="shared" si="7"/>
        <v>2.08</v>
      </c>
    </row>
    <row r="4938">
      <c r="A4938" s="1">
        <v>581580.0</v>
      </c>
      <c r="B4938" s="1" t="str">
        <f t="shared" si="1"/>
        <v>581580</v>
      </c>
      <c r="C4938" s="1" t="str">
        <f t="shared" si="2"/>
        <v>Sale</v>
      </c>
      <c r="D4938" s="1" t="s">
        <v>176</v>
      </c>
      <c r="E4938" s="1" t="str">
        <f>IFERROR(__xludf.DUMMYFUNCTION("IF(LEN(D4938)&gt;4, IFERROR(REGEXEXTRACT(TO_TEXT(D4938),""\d+""),""""),"""")"),"85049")</f>
        <v>85049</v>
      </c>
      <c r="F4938" s="6" t="str">
        <f t="shared" si="3"/>
        <v>Product</v>
      </c>
      <c r="G4938" s="1" t="s">
        <v>177</v>
      </c>
      <c r="H4938" s="6" t="str">
        <f>IFERROR(__xludf.DUMMYFUNCTION("IF(REGEXMATCH(LOWER(G4938), ""^(\?)+\s*(missing)?\s*(\?)*$""), """", PROPER(SUBSTITUTE(SUBSTITUTE(G4938, ""?"", """"), ""*"", """")))"),"Traditional Christmas Ribbons")</f>
        <v>Traditional Christmas Ribbons</v>
      </c>
      <c r="I4938" s="3">
        <v>1.0</v>
      </c>
      <c r="J4938" s="7">
        <v>40886.51388888889</v>
      </c>
      <c r="K4938" s="8" t="str">
        <f t="shared" si="4"/>
        <v>2011-12</v>
      </c>
      <c r="L4938" s="5">
        <v>1.25</v>
      </c>
      <c r="M4938" s="3">
        <v>12748.0</v>
      </c>
      <c r="N4938" s="1" t="str">
        <f t="shared" si="5"/>
        <v>Registered</v>
      </c>
      <c r="O4938" s="1" t="s">
        <v>19</v>
      </c>
      <c r="P4938" s="9" t="str">
        <f t="shared" si="6"/>
        <v>UK</v>
      </c>
      <c r="Q4938" s="8">
        <f t="shared" si="7"/>
        <v>1.25</v>
      </c>
    </row>
    <row r="4939">
      <c r="A4939" s="1">
        <v>581580.0</v>
      </c>
      <c r="B4939" s="1" t="str">
        <f t="shared" si="1"/>
        <v>581580</v>
      </c>
      <c r="C4939" s="1" t="str">
        <f t="shared" si="2"/>
        <v>Sale</v>
      </c>
      <c r="D4939" s="1">
        <v>23126.0</v>
      </c>
      <c r="E4939" s="1" t="str">
        <f>IFERROR(__xludf.DUMMYFUNCTION("IF(LEN(D4939)&gt;4, IFERROR(REGEXEXTRACT(TO_TEXT(D4939),""\d+""),""""),"""")"),"23126")</f>
        <v>23126</v>
      </c>
      <c r="F4939" s="6" t="str">
        <f t="shared" si="3"/>
        <v>Product</v>
      </c>
      <c r="G4939" s="1" t="s">
        <v>1621</v>
      </c>
      <c r="H4939" s="6" t="str">
        <f>IFERROR(__xludf.DUMMYFUNCTION("IF(REGEXMATCH(LOWER(G4939), ""^(\?)+\s*(missing)?\s*(\?)*$""), """", PROPER(SUBSTITUTE(SUBSTITUTE(G4939, ""?"", """"), ""*"", """")))"),"Feltcraft Girl Amelie Kit")</f>
        <v>Feltcraft Girl Amelie Kit</v>
      </c>
      <c r="I4939" s="3">
        <v>1.0</v>
      </c>
      <c r="J4939" s="7">
        <v>40886.51388888889</v>
      </c>
      <c r="K4939" s="8" t="str">
        <f t="shared" si="4"/>
        <v>2011-12</v>
      </c>
      <c r="L4939" s="5">
        <v>4.95</v>
      </c>
      <c r="M4939" s="3">
        <v>12748.0</v>
      </c>
      <c r="N4939" s="1" t="str">
        <f t="shared" si="5"/>
        <v>Registered</v>
      </c>
      <c r="O4939" s="1" t="s">
        <v>19</v>
      </c>
      <c r="P4939" s="9" t="str">
        <f t="shared" si="6"/>
        <v>UK</v>
      </c>
      <c r="Q4939" s="8">
        <f t="shared" si="7"/>
        <v>4.95</v>
      </c>
    </row>
    <row r="4940">
      <c r="A4940" s="1">
        <v>581580.0</v>
      </c>
      <c r="B4940" s="1" t="str">
        <f t="shared" si="1"/>
        <v>581580</v>
      </c>
      <c r="C4940" s="1" t="str">
        <f t="shared" si="2"/>
        <v>Sale</v>
      </c>
      <c r="D4940" s="1">
        <v>22695.0</v>
      </c>
      <c r="E4940" s="1" t="str">
        <f>IFERROR(__xludf.DUMMYFUNCTION("IF(LEN(D4940)&gt;4, IFERROR(REGEXEXTRACT(TO_TEXT(D4940),""\d+""),""""),"""")"),"22695")</f>
        <v>22695</v>
      </c>
      <c r="F4940" s="6" t="str">
        <f t="shared" si="3"/>
        <v>Product</v>
      </c>
      <c r="G4940" s="1" t="s">
        <v>472</v>
      </c>
      <c r="H4940" s="6" t="str">
        <f>IFERROR(__xludf.DUMMYFUNCTION("IF(REGEXMATCH(LOWER(G4940), ""^(\?)+\s*(missing)?\s*(\?)*$""), """", PROPER(SUBSTITUTE(SUBSTITUTE(G4940, ""?"", """"), ""*"", """")))"),"Wicker Wreath Small")</f>
        <v>Wicker Wreath Small</v>
      </c>
      <c r="I4940" s="3">
        <v>1.0</v>
      </c>
      <c r="J4940" s="7">
        <v>40886.51388888889</v>
      </c>
      <c r="K4940" s="8" t="str">
        <f t="shared" si="4"/>
        <v>2011-12</v>
      </c>
      <c r="L4940" s="5">
        <v>0.59</v>
      </c>
      <c r="M4940" s="3">
        <v>12748.0</v>
      </c>
      <c r="N4940" s="1" t="str">
        <f t="shared" si="5"/>
        <v>Registered</v>
      </c>
      <c r="O4940" s="1" t="s">
        <v>19</v>
      </c>
      <c r="P4940" s="9" t="str">
        <f t="shared" si="6"/>
        <v>UK</v>
      </c>
      <c r="Q4940" s="8">
        <f t="shared" si="7"/>
        <v>0.59</v>
      </c>
    </row>
    <row r="4941">
      <c r="A4941" s="1">
        <v>581580.0</v>
      </c>
      <c r="B4941" s="1" t="str">
        <f t="shared" si="1"/>
        <v>581580</v>
      </c>
      <c r="C4941" s="1" t="str">
        <f t="shared" si="2"/>
        <v>Sale</v>
      </c>
      <c r="D4941" s="1">
        <v>22144.0</v>
      </c>
      <c r="E4941" s="1" t="str">
        <f>IFERROR(__xludf.DUMMYFUNCTION("IF(LEN(D4941)&gt;4, IFERROR(REGEXEXTRACT(TO_TEXT(D4941),""\d+""),""""),"""")"),"22144")</f>
        <v>22144</v>
      </c>
      <c r="F4941" s="6" t="str">
        <f t="shared" si="3"/>
        <v>Product</v>
      </c>
      <c r="G4941" s="1" t="s">
        <v>447</v>
      </c>
      <c r="H4941" s="6" t="str">
        <f>IFERROR(__xludf.DUMMYFUNCTION("IF(REGEXMATCH(LOWER(G4941), ""^(\?)+\s*(missing)?\s*(\?)*$""), """", PROPER(SUBSTITUTE(SUBSTITUTE(G4941, ""?"", """"), ""*"", """")))"),"Christmas Craft Little Friends")</f>
        <v>Christmas Craft Little Friends</v>
      </c>
      <c r="I4941" s="3">
        <v>1.0</v>
      </c>
      <c r="J4941" s="7">
        <v>40886.51388888889</v>
      </c>
      <c r="K4941" s="8" t="str">
        <f t="shared" si="4"/>
        <v>2011-12</v>
      </c>
      <c r="L4941" s="5">
        <v>2.1</v>
      </c>
      <c r="M4941" s="3">
        <v>12748.0</v>
      </c>
      <c r="N4941" s="1" t="str">
        <f t="shared" si="5"/>
        <v>Registered</v>
      </c>
      <c r="O4941" s="1" t="s">
        <v>19</v>
      </c>
      <c r="P4941" s="9" t="str">
        <f t="shared" si="6"/>
        <v>UK</v>
      </c>
      <c r="Q4941" s="8">
        <f t="shared" si="7"/>
        <v>2.1</v>
      </c>
    </row>
    <row r="4942">
      <c r="A4942" s="1">
        <v>581580.0</v>
      </c>
      <c r="B4942" s="1" t="str">
        <f t="shared" si="1"/>
        <v>581580</v>
      </c>
      <c r="C4942" s="1" t="str">
        <f t="shared" si="2"/>
        <v>Sale</v>
      </c>
      <c r="D4942" s="1">
        <v>22908.0</v>
      </c>
      <c r="E4942" s="1" t="str">
        <f>IFERROR(__xludf.DUMMYFUNCTION("IF(LEN(D4942)&gt;4, IFERROR(REGEXEXTRACT(TO_TEXT(D4942),""\d+""),""""),"""")"),"22908")</f>
        <v>22908</v>
      </c>
      <c r="F4942" s="6" t="str">
        <f t="shared" si="3"/>
        <v>Product</v>
      </c>
      <c r="G4942" s="1" t="s">
        <v>708</v>
      </c>
      <c r="H4942" s="6" t="str">
        <f>IFERROR(__xludf.DUMMYFUNCTION("IF(REGEXMATCH(LOWER(G4942), ""^(\?)+\s*(missing)?\s*(\?)*$""), """", PROPER(SUBSTITUTE(SUBSTITUTE(G4942, ""?"", """"), ""*"", """")))"),"Pack Of 20 Napkins Red Apples")</f>
        <v>Pack Of 20 Napkins Red Apples</v>
      </c>
      <c r="I4942" s="3">
        <v>2.0</v>
      </c>
      <c r="J4942" s="7">
        <v>40886.51388888889</v>
      </c>
      <c r="K4942" s="8" t="str">
        <f t="shared" si="4"/>
        <v>2011-12</v>
      </c>
      <c r="L4942" s="5">
        <v>0.85</v>
      </c>
      <c r="M4942" s="3">
        <v>12748.0</v>
      </c>
      <c r="N4942" s="1" t="str">
        <f t="shared" si="5"/>
        <v>Registered</v>
      </c>
      <c r="O4942" s="1" t="s">
        <v>19</v>
      </c>
      <c r="P4942" s="9" t="str">
        <f t="shared" si="6"/>
        <v>UK</v>
      </c>
      <c r="Q4942" s="8">
        <f t="shared" si="7"/>
        <v>1.7</v>
      </c>
    </row>
    <row r="4943">
      <c r="A4943" s="1">
        <v>581580.0</v>
      </c>
      <c r="B4943" s="1" t="str">
        <f t="shared" si="1"/>
        <v>581580</v>
      </c>
      <c r="C4943" s="1" t="str">
        <f t="shared" si="2"/>
        <v>Sale</v>
      </c>
      <c r="D4943" s="1">
        <v>22894.0</v>
      </c>
      <c r="E4943" s="1" t="str">
        <f>IFERROR(__xludf.DUMMYFUNCTION("IF(LEN(D4943)&gt;4, IFERROR(REGEXEXTRACT(TO_TEXT(D4943),""\d+""),""""),"""")"),"22894")</f>
        <v>22894</v>
      </c>
      <c r="F4943" s="6" t="str">
        <f t="shared" si="3"/>
        <v>Product</v>
      </c>
      <c r="G4943" s="1" t="s">
        <v>2153</v>
      </c>
      <c r="H4943" s="6" t="str">
        <f>IFERROR(__xludf.DUMMYFUNCTION("IF(REGEXMATCH(LOWER(G4943), ""^(\?)+\s*(missing)?\s*(\?)*$""), """", PROPER(SUBSTITUTE(SUBSTITUTE(G4943, ""?"", """"), ""*"", """")))"),"Tablecloth Red Apples Design")</f>
        <v>Tablecloth Red Apples Design</v>
      </c>
      <c r="I4943" s="3">
        <v>2.0</v>
      </c>
      <c r="J4943" s="7">
        <v>40886.51388888889</v>
      </c>
      <c r="K4943" s="8" t="str">
        <f t="shared" si="4"/>
        <v>2011-12</v>
      </c>
      <c r="L4943" s="5">
        <v>9.95</v>
      </c>
      <c r="M4943" s="3">
        <v>12748.0</v>
      </c>
      <c r="N4943" s="1" t="str">
        <f t="shared" si="5"/>
        <v>Registered</v>
      </c>
      <c r="O4943" s="1" t="s">
        <v>19</v>
      </c>
      <c r="P4943" s="9" t="str">
        <f t="shared" si="6"/>
        <v>UK</v>
      </c>
      <c r="Q4943" s="8">
        <f t="shared" si="7"/>
        <v>19.9</v>
      </c>
    </row>
    <row r="4944">
      <c r="A4944" s="1">
        <v>581580.0</v>
      </c>
      <c r="B4944" s="1" t="str">
        <f t="shared" si="1"/>
        <v>581580</v>
      </c>
      <c r="C4944" s="1" t="str">
        <f t="shared" si="2"/>
        <v>Sale</v>
      </c>
      <c r="D4944" s="1">
        <v>22704.0</v>
      </c>
      <c r="E4944" s="1" t="str">
        <f>IFERROR(__xludf.DUMMYFUNCTION("IF(LEN(D4944)&gt;4, IFERROR(REGEXEXTRACT(TO_TEXT(D4944),""\d+""),""""),"""")"),"22704")</f>
        <v>22704</v>
      </c>
      <c r="F4944" s="6" t="str">
        <f t="shared" si="3"/>
        <v>Product</v>
      </c>
      <c r="G4944" s="1" t="s">
        <v>932</v>
      </c>
      <c r="H4944" s="6" t="str">
        <f>IFERROR(__xludf.DUMMYFUNCTION("IF(REGEXMATCH(LOWER(G4944), ""^(\?)+\s*(missing)?\s*(\?)*$""), """", PROPER(SUBSTITUTE(SUBSTITUTE(G4944, ""?"", """"), ""*"", """")))"),"Wrap Red Apples")</f>
        <v>Wrap Red Apples</v>
      </c>
      <c r="I4944" s="3">
        <v>25.0</v>
      </c>
      <c r="J4944" s="7">
        <v>40886.51388888889</v>
      </c>
      <c r="K4944" s="8" t="str">
        <f t="shared" si="4"/>
        <v>2011-12</v>
      </c>
      <c r="L4944" s="5">
        <v>0.42</v>
      </c>
      <c r="M4944" s="3">
        <v>12748.0</v>
      </c>
      <c r="N4944" s="1" t="str">
        <f t="shared" si="5"/>
        <v>Registered</v>
      </c>
      <c r="O4944" s="1" t="s">
        <v>19</v>
      </c>
      <c r="P4944" s="9" t="str">
        <f t="shared" si="6"/>
        <v>UK</v>
      </c>
      <c r="Q4944" s="8">
        <f t="shared" si="7"/>
        <v>10.5</v>
      </c>
    </row>
    <row r="4945">
      <c r="A4945" s="1">
        <v>581580.0</v>
      </c>
      <c r="B4945" s="1" t="str">
        <f t="shared" si="1"/>
        <v>581580</v>
      </c>
      <c r="C4945" s="1" t="str">
        <f t="shared" si="2"/>
        <v>Sale</v>
      </c>
      <c r="D4945" s="1">
        <v>22721.0</v>
      </c>
      <c r="E4945" s="1" t="str">
        <f>IFERROR(__xludf.DUMMYFUNCTION("IF(LEN(D4945)&gt;4, IFERROR(REGEXEXTRACT(TO_TEXT(D4945),""\d+""),""""),"""")"),"22721")</f>
        <v>22721</v>
      </c>
      <c r="F4945" s="6" t="str">
        <f t="shared" si="3"/>
        <v>Product</v>
      </c>
      <c r="G4945" s="1" t="s">
        <v>1296</v>
      </c>
      <c r="H4945" s="6" t="str">
        <f>IFERROR(__xludf.DUMMYFUNCTION("IF(REGEXMATCH(LOWER(G4945), ""^(\?)+\s*(missing)?\s*(\?)*$""), """", PROPER(SUBSTITUTE(SUBSTITUTE(G4945, ""?"", """"), ""*"", """")))"),"Set Of 3 Cake Tins Sketchbook")</f>
        <v>Set Of 3 Cake Tins Sketchbook</v>
      </c>
      <c r="I4945" s="3">
        <v>1.0</v>
      </c>
      <c r="J4945" s="7">
        <v>40886.51388888889</v>
      </c>
      <c r="K4945" s="8" t="str">
        <f t="shared" si="4"/>
        <v>2011-12</v>
      </c>
      <c r="L4945" s="5">
        <v>1.95</v>
      </c>
      <c r="M4945" s="3">
        <v>12748.0</v>
      </c>
      <c r="N4945" s="1" t="str">
        <f t="shared" si="5"/>
        <v>Registered</v>
      </c>
      <c r="O4945" s="1" t="s">
        <v>19</v>
      </c>
      <c r="P4945" s="9" t="str">
        <f t="shared" si="6"/>
        <v>UK</v>
      </c>
      <c r="Q4945" s="8">
        <f t="shared" si="7"/>
        <v>1.95</v>
      </c>
    </row>
    <row r="4946">
      <c r="A4946" s="1">
        <v>581580.0</v>
      </c>
      <c r="B4946" s="1" t="str">
        <f t="shared" si="1"/>
        <v>581580</v>
      </c>
      <c r="C4946" s="1" t="str">
        <f t="shared" si="2"/>
        <v>Sale</v>
      </c>
      <c r="D4946" s="1">
        <v>22816.0</v>
      </c>
      <c r="E4946" s="1" t="str">
        <f>IFERROR(__xludf.DUMMYFUNCTION("IF(LEN(D4946)&gt;4, IFERROR(REGEXEXTRACT(TO_TEXT(D4946),""\d+""),""""),"""")"),"22816")</f>
        <v>22816</v>
      </c>
      <c r="F4946" s="6" t="str">
        <f t="shared" si="3"/>
        <v>Product</v>
      </c>
      <c r="G4946" s="1" t="s">
        <v>1549</v>
      </c>
      <c r="H4946" s="6" t="str">
        <f>IFERROR(__xludf.DUMMYFUNCTION("IF(REGEXMATCH(LOWER(G4946), ""^(\?)+\s*(missing)?\s*(\?)*$""), """", PROPER(SUBSTITUTE(SUBSTITUTE(G4946, ""?"", """"), ""*"", """")))"),"Card Motorbike Santa")</f>
        <v>Card Motorbike Santa</v>
      </c>
      <c r="I4946" s="3">
        <v>24.0</v>
      </c>
      <c r="J4946" s="7">
        <v>40886.51388888889</v>
      </c>
      <c r="K4946" s="8" t="str">
        <f t="shared" si="4"/>
        <v>2011-12</v>
      </c>
      <c r="L4946" s="5">
        <v>0.42</v>
      </c>
      <c r="M4946" s="3">
        <v>12748.0</v>
      </c>
      <c r="N4946" s="1" t="str">
        <f t="shared" si="5"/>
        <v>Registered</v>
      </c>
      <c r="O4946" s="1" t="s">
        <v>19</v>
      </c>
      <c r="P4946" s="9" t="str">
        <f t="shared" si="6"/>
        <v>UK</v>
      </c>
      <c r="Q4946" s="8">
        <f t="shared" si="7"/>
        <v>10.08</v>
      </c>
    </row>
    <row r="4947">
      <c r="A4947" s="1">
        <v>581580.0</v>
      </c>
      <c r="B4947" s="1" t="str">
        <f t="shared" si="1"/>
        <v>581580</v>
      </c>
      <c r="C4947" s="1" t="str">
        <f t="shared" si="2"/>
        <v>Sale</v>
      </c>
      <c r="D4947" s="1" t="s">
        <v>278</v>
      </c>
      <c r="E4947" s="1" t="str">
        <f>IFERROR(__xludf.DUMMYFUNCTION("IF(LEN(D4947)&gt;4, IFERROR(REGEXEXTRACT(TO_TEXT(D4947),""\d+""),""""),"""")"),"85049")</f>
        <v>85049</v>
      </c>
      <c r="F4947" s="6" t="str">
        <f t="shared" si="3"/>
        <v>Product</v>
      </c>
      <c r="G4947" s="1" t="s">
        <v>279</v>
      </c>
      <c r="H4947" s="6" t="str">
        <f>IFERROR(__xludf.DUMMYFUNCTION("IF(REGEXMATCH(LOWER(G4947), ""^(\?)+\s*(missing)?\s*(\?)*$""), """", PROPER(SUBSTITUTE(SUBSTITUTE(G4947, ""?"", """"), ""*"", """")))"),"Scandinavian Reds Ribbons")</f>
        <v>Scandinavian Reds Ribbons</v>
      </c>
      <c r="I4947" s="3">
        <v>2.0</v>
      </c>
      <c r="J4947" s="7">
        <v>40886.51388888889</v>
      </c>
      <c r="K4947" s="8" t="str">
        <f t="shared" si="4"/>
        <v>2011-12</v>
      </c>
      <c r="L4947" s="5">
        <v>1.25</v>
      </c>
      <c r="M4947" s="3">
        <v>12748.0</v>
      </c>
      <c r="N4947" s="1" t="str">
        <f t="shared" si="5"/>
        <v>Registered</v>
      </c>
      <c r="O4947" s="1" t="s">
        <v>19</v>
      </c>
      <c r="P4947" s="9" t="str">
        <f t="shared" si="6"/>
        <v>UK</v>
      </c>
      <c r="Q4947" s="8">
        <f t="shared" si="7"/>
        <v>2.5</v>
      </c>
    </row>
    <row r="4948">
      <c r="A4948" s="1">
        <v>581580.0</v>
      </c>
      <c r="B4948" s="1" t="str">
        <f t="shared" si="1"/>
        <v>581580</v>
      </c>
      <c r="C4948" s="1" t="str">
        <f t="shared" si="2"/>
        <v>Sale</v>
      </c>
      <c r="D4948" s="1">
        <v>22075.0</v>
      </c>
      <c r="E4948" s="1" t="str">
        <f>IFERROR(__xludf.DUMMYFUNCTION("IF(LEN(D4948)&gt;4, IFERROR(REGEXEXTRACT(TO_TEXT(D4948),""\d+""),""""),"""")"),"22075")</f>
        <v>22075</v>
      </c>
      <c r="F4948" s="6" t="str">
        <f t="shared" si="3"/>
        <v>Product</v>
      </c>
      <c r="G4948" s="1" t="s">
        <v>419</v>
      </c>
      <c r="H4948" s="6" t="str">
        <f>IFERROR(__xludf.DUMMYFUNCTION("IF(REGEXMATCH(LOWER(G4948), ""^(\?)+\s*(missing)?\s*(\?)*$""), """", PROPER(SUBSTITUTE(SUBSTITUTE(G4948, ""?"", """"), ""*"", """")))"),"6 Ribbons Elegant Christmas")</f>
        <v>6 Ribbons Elegant Christmas</v>
      </c>
      <c r="I4948" s="3">
        <v>2.0</v>
      </c>
      <c r="J4948" s="7">
        <v>40886.51388888889</v>
      </c>
      <c r="K4948" s="8" t="str">
        <f t="shared" si="4"/>
        <v>2011-12</v>
      </c>
      <c r="L4948" s="5">
        <v>0.39</v>
      </c>
      <c r="M4948" s="3">
        <v>12748.0</v>
      </c>
      <c r="N4948" s="1" t="str">
        <f t="shared" si="5"/>
        <v>Registered</v>
      </c>
      <c r="O4948" s="1" t="s">
        <v>19</v>
      </c>
      <c r="P4948" s="9" t="str">
        <f t="shared" si="6"/>
        <v>UK</v>
      </c>
      <c r="Q4948" s="8">
        <f t="shared" si="7"/>
        <v>0.78</v>
      </c>
    </row>
    <row r="4949">
      <c r="A4949" s="1">
        <v>581580.0</v>
      </c>
      <c r="B4949" s="1" t="str">
        <f t="shared" si="1"/>
        <v>581580</v>
      </c>
      <c r="C4949" s="1" t="str">
        <f t="shared" si="2"/>
        <v>Sale</v>
      </c>
      <c r="D4949" s="1">
        <v>21351.0</v>
      </c>
      <c r="E4949" s="1" t="str">
        <f>IFERROR(__xludf.DUMMYFUNCTION("IF(LEN(D4949)&gt;4, IFERROR(REGEXEXTRACT(TO_TEXT(D4949),""\d+""),""""),"""")"),"21351")</f>
        <v>21351</v>
      </c>
      <c r="F4949" s="6" t="str">
        <f t="shared" si="3"/>
        <v>Product</v>
      </c>
      <c r="G4949" s="1" t="s">
        <v>2154</v>
      </c>
      <c r="H4949" s="6" t="str">
        <f>IFERROR(__xludf.DUMMYFUNCTION("IF(REGEXMATCH(LOWER(G4949), ""^(\?)+\s*(missing)?\s*(\?)*$""), """", PROPER(SUBSTITUTE(SUBSTITUTE(G4949, ""?"", """"), ""*"", """")))"),"Cinammon &amp; Orange Wreath")</f>
        <v>Cinammon &amp; Orange Wreath</v>
      </c>
      <c r="I4949" s="3">
        <v>1.0</v>
      </c>
      <c r="J4949" s="7">
        <v>40886.51388888889</v>
      </c>
      <c r="K4949" s="8" t="str">
        <f t="shared" si="4"/>
        <v>2011-12</v>
      </c>
      <c r="L4949" s="5">
        <v>6.75</v>
      </c>
      <c r="M4949" s="3">
        <v>12748.0</v>
      </c>
      <c r="N4949" s="1" t="str">
        <f t="shared" si="5"/>
        <v>Registered</v>
      </c>
      <c r="O4949" s="1" t="s">
        <v>19</v>
      </c>
      <c r="P4949" s="9" t="str">
        <f t="shared" si="6"/>
        <v>UK</v>
      </c>
      <c r="Q4949" s="8">
        <f t="shared" si="7"/>
        <v>6.75</v>
      </c>
    </row>
    <row r="4950">
      <c r="A4950" s="1">
        <v>581580.0</v>
      </c>
      <c r="B4950" s="1" t="str">
        <f t="shared" si="1"/>
        <v>581580</v>
      </c>
      <c r="C4950" s="1" t="str">
        <f t="shared" si="2"/>
        <v>Sale</v>
      </c>
      <c r="D4950" s="1">
        <v>22698.0</v>
      </c>
      <c r="E4950" s="1" t="str">
        <f>IFERROR(__xludf.DUMMYFUNCTION("IF(LEN(D4950)&gt;4, IFERROR(REGEXEXTRACT(TO_TEXT(D4950),""\d+""),""""),"""")"),"22698")</f>
        <v>22698</v>
      </c>
      <c r="F4950" s="6" t="str">
        <f t="shared" si="3"/>
        <v>Product</v>
      </c>
      <c r="G4950" s="1" t="s">
        <v>683</v>
      </c>
      <c r="H4950" s="6" t="str">
        <f>IFERROR(__xludf.DUMMYFUNCTION("IF(REGEXMATCH(LOWER(G4950), ""^(\?)+\s*(missing)?\s*(\?)*$""), """", PROPER(SUBSTITUTE(SUBSTITUTE(G4950, ""?"", """"), ""*"", """")))"),"Pink Regency Teacup And Saucer")</f>
        <v>Pink Regency Teacup And Saucer</v>
      </c>
      <c r="I4950" s="3">
        <v>1.0</v>
      </c>
      <c r="J4950" s="7">
        <v>40886.51388888889</v>
      </c>
      <c r="K4950" s="8" t="str">
        <f t="shared" si="4"/>
        <v>2011-12</v>
      </c>
      <c r="L4950" s="5">
        <v>2.95</v>
      </c>
      <c r="M4950" s="3">
        <v>12748.0</v>
      </c>
      <c r="N4950" s="1" t="str">
        <f t="shared" si="5"/>
        <v>Registered</v>
      </c>
      <c r="O4950" s="1" t="s">
        <v>19</v>
      </c>
      <c r="P4950" s="9" t="str">
        <f t="shared" si="6"/>
        <v>UK</v>
      </c>
      <c r="Q4950" s="8">
        <f t="shared" si="7"/>
        <v>2.95</v>
      </c>
    </row>
    <row r="4951">
      <c r="A4951" s="1">
        <v>581580.0</v>
      </c>
      <c r="B4951" s="1" t="str">
        <f t="shared" si="1"/>
        <v>581580</v>
      </c>
      <c r="C4951" s="1" t="str">
        <f t="shared" si="2"/>
        <v>Sale</v>
      </c>
      <c r="D4951" s="1">
        <v>22567.0</v>
      </c>
      <c r="E4951" s="1" t="str">
        <f>IFERROR(__xludf.DUMMYFUNCTION("IF(LEN(D4951)&gt;4, IFERROR(REGEXEXTRACT(TO_TEXT(D4951),""\d+""),""""),"""")"),"22567")</f>
        <v>22567</v>
      </c>
      <c r="F4951" s="6" t="str">
        <f t="shared" si="3"/>
        <v>Product</v>
      </c>
      <c r="G4951" s="1" t="s">
        <v>1304</v>
      </c>
      <c r="H4951" s="6" t="str">
        <f>IFERROR(__xludf.DUMMYFUNCTION("IF(REGEXMATCH(LOWER(G4951), ""^(\?)+\s*(missing)?\s*(\?)*$""), """", PROPER(SUBSTITUTE(SUBSTITUTE(G4951, ""?"", """"), ""*"", """")))"),"20 Dolly Pegs Retrospot")</f>
        <v>20 Dolly Pegs Retrospot</v>
      </c>
      <c r="I4951" s="3">
        <v>1.0</v>
      </c>
      <c r="J4951" s="7">
        <v>40886.51388888889</v>
      </c>
      <c r="K4951" s="8" t="str">
        <f t="shared" si="4"/>
        <v>2011-12</v>
      </c>
      <c r="L4951" s="5">
        <v>1.45</v>
      </c>
      <c r="M4951" s="3">
        <v>12748.0</v>
      </c>
      <c r="N4951" s="1" t="str">
        <f t="shared" si="5"/>
        <v>Registered</v>
      </c>
      <c r="O4951" s="1" t="s">
        <v>19</v>
      </c>
      <c r="P4951" s="9" t="str">
        <f t="shared" si="6"/>
        <v>UK</v>
      </c>
      <c r="Q4951" s="8">
        <f t="shared" si="7"/>
        <v>1.45</v>
      </c>
    </row>
    <row r="4952">
      <c r="A4952" s="1">
        <v>581580.0</v>
      </c>
      <c r="B4952" s="1" t="str">
        <f t="shared" si="1"/>
        <v>581580</v>
      </c>
      <c r="C4952" s="1" t="str">
        <f t="shared" si="2"/>
        <v>Sale</v>
      </c>
      <c r="D4952" s="1">
        <v>79321.0</v>
      </c>
      <c r="E4952" s="1" t="str">
        <f>IFERROR(__xludf.DUMMYFUNCTION("IF(LEN(D4952)&gt;4, IFERROR(REGEXEXTRACT(TO_TEXT(D4952),""\d+""),""""),"""")"),"79321")</f>
        <v>79321</v>
      </c>
      <c r="F4952" s="6" t="str">
        <f t="shared" si="3"/>
        <v>Product</v>
      </c>
      <c r="G4952" s="1" t="s">
        <v>183</v>
      </c>
      <c r="H4952" s="6" t="str">
        <f>IFERROR(__xludf.DUMMYFUNCTION("IF(REGEXMATCH(LOWER(G4952), ""^(\?)+\s*(missing)?\s*(\?)*$""), """", PROPER(SUBSTITUTE(SUBSTITUTE(G4952, ""?"", """"), ""*"", """")))"),"Chilli Lights")</f>
        <v>Chilli Lights</v>
      </c>
      <c r="I4952" s="3">
        <v>2.0</v>
      </c>
      <c r="J4952" s="7">
        <v>40886.51388888889</v>
      </c>
      <c r="K4952" s="8" t="str">
        <f t="shared" si="4"/>
        <v>2011-12</v>
      </c>
      <c r="L4952" s="5">
        <v>5.75</v>
      </c>
      <c r="M4952" s="3">
        <v>12748.0</v>
      </c>
      <c r="N4952" s="1" t="str">
        <f t="shared" si="5"/>
        <v>Registered</v>
      </c>
      <c r="O4952" s="1" t="s">
        <v>19</v>
      </c>
      <c r="P4952" s="9" t="str">
        <f t="shared" si="6"/>
        <v>UK</v>
      </c>
      <c r="Q4952" s="8">
        <f t="shared" si="7"/>
        <v>11.5</v>
      </c>
    </row>
    <row r="4953">
      <c r="A4953" s="1">
        <v>581580.0</v>
      </c>
      <c r="B4953" s="1" t="str">
        <f t="shared" si="1"/>
        <v>581580</v>
      </c>
      <c r="C4953" s="1" t="str">
        <f t="shared" si="2"/>
        <v>Sale</v>
      </c>
      <c r="D4953" s="1">
        <v>37500.0</v>
      </c>
      <c r="E4953" s="1" t="str">
        <f>IFERROR(__xludf.DUMMYFUNCTION("IF(LEN(D4953)&gt;4, IFERROR(REGEXEXTRACT(TO_TEXT(D4953),""\d+""),""""),"""")"),"37500")</f>
        <v>37500</v>
      </c>
      <c r="F4953" s="6" t="str">
        <f t="shared" si="3"/>
        <v>Product</v>
      </c>
      <c r="G4953" s="1" t="s">
        <v>1161</v>
      </c>
      <c r="H4953" s="6" t="str">
        <f>IFERROR(__xludf.DUMMYFUNCTION("IF(REGEXMATCH(LOWER(G4953), ""^(\?)+\s*(missing)?\s*(\?)*$""), """", PROPER(SUBSTITUTE(SUBSTITUTE(G4953, ""?"", """"), ""*"", """")))"),"Tea Time Teapot In Gift Box")</f>
        <v>Tea Time Teapot In Gift Box</v>
      </c>
      <c r="I4953" s="3">
        <v>1.0</v>
      </c>
      <c r="J4953" s="7">
        <v>40886.51388888889</v>
      </c>
      <c r="K4953" s="8" t="str">
        <f t="shared" si="4"/>
        <v>2011-12</v>
      </c>
      <c r="L4953" s="5">
        <v>4.95</v>
      </c>
      <c r="M4953" s="3">
        <v>12748.0</v>
      </c>
      <c r="N4953" s="1" t="str">
        <f t="shared" si="5"/>
        <v>Registered</v>
      </c>
      <c r="O4953" s="1" t="s">
        <v>19</v>
      </c>
      <c r="P4953" s="9" t="str">
        <f t="shared" si="6"/>
        <v>UK</v>
      </c>
      <c r="Q4953" s="8">
        <f t="shared" si="7"/>
        <v>4.95</v>
      </c>
    </row>
    <row r="4954">
      <c r="A4954" s="1">
        <v>581581.0</v>
      </c>
      <c r="B4954" s="1" t="str">
        <f t="shared" si="1"/>
        <v>581581</v>
      </c>
      <c r="C4954" s="1" t="str">
        <f t="shared" si="2"/>
        <v>Sale</v>
      </c>
      <c r="D4954" s="1">
        <v>23562.0</v>
      </c>
      <c r="E4954" s="1" t="str">
        <f>IFERROR(__xludf.DUMMYFUNCTION("IF(LEN(D4954)&gt;4, IFERROR(REGEXEXTRACT(TO_TEXT(D4954),""\d+""),""""),"""")"),"23562")</f>
        <v>23562</v>
      </c>
      <c r="F4954" s="6" t="str">
        <f t="shared" si="3"/>
        <v>Product</v>
      </c>
      <c r="G4954" s="1" t="s">
        <v>1409</v>
      </c>
      <c r="H4954" s="6" t="str">
        <f>IFERROR(__xludf.DUMMYFUNCTION("IF(REGEXMATCH(LOWER(G4954), ""^(\?)+\s*(missing)?\s*(\?)*$""), """", PROPER(SUBSTITUTE(SUBSTITUTE(G4954, ""?"", """"), ""*"", """")))"),"Set Of 6 Ribbons Perfectly Pretty")</f>
        <v>Set Of 6 Ribbons Perfectly Pretty</v>
      </c>
      <c r="I4954" s="3">
        <v>6.0</v>
      </c>
      <c r="J4954" s="7">
        <v>40886.51388888889</v>
      </c>
      <c r="K4954" s="8" t="str">
        <f t="shared" si="4"/>
        <v>2011-12</v>
      </c>
      <c r="L4954" s="5">
        <v>2.89</v>
      </c>
      <c r="M4954" s="3">
        <v>17581.0</v>
      </c>
      <c r="N4954" s="1" t="str">
        <f t="shared" si="5"/>
        <v>Registered</v>
      </c>
      <c r="O4954" s="1" t="s">
        <v>19</v>
      </c>
      <c r="P4954" s="9" t="str">
        <f t="shared" si="6"/>
        <v>UK</v>
      </c>
      <c r="Q4954" s="8">
        <f t="shared" si="7"/>
        <v>17.34</v>
      </c>
    </row>
    <row r="4955">
      <c r="A4955" s="1">
        <v>581581.0</v>
      </c>
      <c r="B4955" s="1" t="str">
        <f t="shared" si="1"/>
        <v>581581</v>
      </c>
      <c r="C4955" s="1" t="str">
        <f t="shared" si="2"/>
        <v>Sale</v>
      </c>
      <c r="D4955" s="1">
        <v>23561.0</v>
      </c>
      <c r="E4955" s="1" t="str">
        <f>IFERROR(__xludf.DUMMYFUNCTION("IF(LEN(D4955)&gt;4, IFERROR(REGEXEXTRACT(TO_TEXT(D4955),""\d+""),""""),"""")"),"23561")</f>
        <v>23561</v>
      </c>
      <c r="F4955" s="6" t="str">
        <f t="shared" si="3"/>
        <v>Product</v>
      </c>
      <c r="G4955" s="1" t="s">
        <v>1683</v>
      </c>
      <c r="H4955" s="6" t="str">
        <f>IFERROR(__xludf.DUMMYFUNCTION("IF(REGEXMATCH(LOWER(G4955), ""^(\?)+\s*(missing)?\s*(\?)*$""), """", PROPER(SUBSTITUTE(SUBSTITUTE(G4955, ""?"", """"), ""*"", """")))"),"Set Of 6 Ribbons Party")</f>
        <v>Set Of 6 Ribbons Party</v>
      </c>
      <c r="I4955" s="3">
        <v>6.0</v>
      </c>
      <c r="J4955" s="7">
        <v>40886.51388888889</v>
      </c>
      <c r="K4955" s="8" t="str">
        <f t="shared" si="4"/>
        <v>2011-12</v>
      </c>
      <c r="L4955" s="5">
        <v>2.89</v>
      </c>
      <c r="M4955" s="3">
        <v>17581.0</v>
      </c>
      <c r="N4955" s="1" t="str">
        <f t="shared" si="5"/>
        <v>Registered</v>
      </c>
      <c r="O4955" s="1" t="s">
        <v>19</v>
      </c>
      <c r="P4955" s="9" t="str">
        <f t="shared" si="6"/>
        <v>UK</v>
      </c>
      <c r="Q4955" s="8">
        <f t="shared" si="7"/>
        <v>17.34</v>
      </c>
    </row>
    <row r="4956">
      <c r="A4956" s="1">
        <v>581581.0</v>
      </c>
      <c r="B4956" s="1" t="str">
        <f t="shared" si="1"/>
        <v>581581</v>
      </c>
      <c r="C4956" s="1" t="str">
        <f t="shared" si="2"/>
        <v>Sale</v>
      </c>
      <c r="D4956" s="1">
        <v>23681.0</v>
      </c>
      <c r="E4956" s="1" t="str">
        <f>IFERROR(__xludf.DUMMYFUNCTION("IF(LEN(D4956)&gt;4, IFERROR(REGEXEXTRACT(TO_TEXT(D4956),""\d+""),""""),"""")"),"23681")</f>
        <v>23681</v>
      </c>
      <c r="F4956" s="6" t="str">
        <f t="shared" si="3"/>
        <v>Product</v>
      </c>
      <c r="G4956" s="1" t="s">
        <v>2155</v>
      </c>
      <c r="H4956" s="6" t="str">
        <f>IFERROR(__xludf.DUMMYFUNCTION("IF(REGEXMATCH(LOWER(G4956), ""^(\?)+\s*(missing)?\s*(\?)*$""), """", PROPER(SUBSTITUTE(SUBSTITUTE(G4956, ""?"", """"), ""*"", """")))"),"Lunch Bag Red Vintage Doily")</f>
        <v>Lunch Bag Red Vintage Doily</v>
      </c>
      <c r="I4956" s="3">
        <v>10.0</v>
      </c>
      <c r="J4956" s="7">
        <v>40886.51388888889</v>
      </c>
      <c r="K4956" s="8" t="str">
        <f t="shared" si="4"/>
        <v>2011-12</v>
      </c>
      <c r="L4956" s="5">
        <v>1.65</v>
      </c>
      <c r="M4956" s="3">
        <v>17581.0</v>
      </c>
      <c r="N4956" s="1" t="str">
        <f t="shared" si="5"/>
        <v>Registered</v>
      </c>
      <c r="O4956" s="1" t="s">
        <v>19</v>
      </c>
      <c r="P4956" s="9" t="str">
        <f t="shared" si="6"/>
        <v>UK</v>
      </c>
      <c r="Q4956" s="8">
        <f t="shared" si="7"/>
        <v>16.5</v>
      </c>
    </row>
    <row r="4957">
      <c r="A4957" s="1">
        <v>581582.0</v>
      </c>
      <c r="B4957" s="1" t="str">
        <f t="shared" si="1"/>
        <v>581582</v>
      </c>
      <c r="C4957" s="1" t="str">
        <f t="shared" si="2"/>
        <v>Sale</v>
      </c>
      <c r="D4957" s="1">
        <v>23552.0</v>
      </c>
      <c r="E4957" s="1" t="str">
        <f>IFERROR(__xludf.DUMMYFUNCTION("IF(LEN(D4957)&gt;4, IFERROR(REGEXEXTRACT(TO_TEXT(D4957),""\d+""),""""),"""")"),"23552")</f>
        <v>23552</v>
      </c>
      <c r="F4957" s="6" t="str">
        <f t="shared" si="3"/>
        <v>Product</v>
      </c>
      <c r="G4957" s="1" t="s">
        <v>1448</v>
      </c>
      <c r="H4957" s="6" t="str">
        <f>IFERROR(__xludf.DUMMYFUNCTION("IF(REGEXMATCH(LOWER(G4957), ""^(\?)+\s*(missing)?\s*(\?)*$""), """", PROPER(SUBSTITUTE(SUBSTITUTE(G4957, ""?"", """"), ""*"", """")))"),"Bicycle Puncture Repair Kit")</f>
        <v>Bicycle Puncture Repair Kit</v>
      </c>
      <c r="I4957" s="3">
        <v>6.0</v>
      </c>
      <c r="J4957" s="7">
        <v>40886.51458333333</v>
      </c>
      <c r="K4957" s="8" t="str">
        <f t="shared" si="4"/>
        <v>2011-12</v>
      </c>
      <c r="L4957" s="5">
        <v>2.08</v>
      </c>
      <c r="M4957" s="3">
        <v>17581.0</v>
      </c>
      <c r="N4957" s="1" t="str">
        <f t="shared" si="5"/>
        <v>Registered</v>
      </c>
      <c r="O4957" s="1" t="s">
        <v>19</v>
      </c>
      <c r="P4957" s="9" t="str">
        <f t="shared" si="6"/>
        <v>UK</v>
      </c>
      <c r="Q4957" s="8">
        <f t="shared" si="7"/>
        <v>12.48</v>
      </c>
    </row>
    <row r="4958">
      <c r="A4958" s="1">
        <v>581582.0</v>
      </c>
      <c r="B4958" s="1" t="str">
        <f t="shared" si="1"/>
        <v>581582</v>
      </c>
      <c r="C4958" s="1" t="str">
        <f t="shared" si="2"/>
        <v>Sale</v>
      </c>
      <c r="D4958" s="1">
        <v>23498.0</v>
      </c>
      <c r="E4958" s="1" t="str">
        <f>IFERROR(__xludf.DUMMYFUNCTION("IF(LEN(D4958)&gt;4, IFERROR(REGEXEXTRACT(TO_TEXT(D4958),""\d+""),""""),"""")"),"23498")</f>
        <v>23498</v>
      </c>
      <c r="F4958" s="6" t="str">
        <f t="shared" si="3"/>
        <v>Product</v>
      </c>
      <c r="G4958" s="1" t="s">
        <v>1672</v>
      </c>
      <c r="H4958" s="6" t="str">
        <f>IFERROR(__xludf.DUMMYFUNCTION("IF(REGEXMATCH(LOWER(G4958), ""^(\?)+\s*(missing)?\s*(\?)*$""), """", PROPER(SUBSTITUTE(SUBSTITUTE(G4958, ""?"", """"), ""*"", """")))"),"Classic Bicycle Clips")</f>
        <v>Classic Bicycle Clips</v>
      </c>
      <c r="I4958" s="3">
        <v>12.0</v>
      </c>
      <c r="J4958" s="7">
        <v>40886.51458333333</v>
      </c>
      <c r="K4958" s="8" t="str">
        <f t="shared" si="4"/>
        <v>2011-12</v>
      </c>
      <c r="L4958" s="5">
        <v>1.45</v>
      </c>
      <c r="M4958" s="3">
        <v>17581.0</v>
      </c>
      <c r="N4958" s="1" t="str">
        <f t="shared" si="5"/>
        <v>Registered</v>
      </c>
      <c r="O4958" s="1" t="s">
        <v>19</v>
      </c>
      <c r="P4958" s="9" t="str">
        <f t="shared" si="6"/>
        <v>UK</v>
      </c>
      <c r="Q4958" s="8">
        <f t="shared" si="7"/>
        <v>17.4</v>
      </c>
    </row>
    <row r="4959">
      <c r="A4959" s="1">
        <v>581583.0</v>
      </c>
      <c r="B4959" s="1" t="str">
        <f t="shared" si="1"/>
        <v>581583</v>
      </c>
      <c r="C4959" s="1" t="str">
        <f t="shared" si="2"/>
        <v>Sale</v>
      </c>
      <c r="D4959" s="1">
        <v>20725.0</v>
      </c>
      <c r="E4959" s="1" t="str">
        <f>IFERROR(__xludf.DUMMYFUNCTION("IF(LEN(D4959)&gt;4, IFERROR(REGEXEXTRACT(TO_TEXT(D4959),""\d+""),""""),"""")"),"20725")</f>
        <v>20725</v>
      </c>
      <c r="F4959" s="6" t="str">
        <f t="shared" si="3"/>
        <v>Product</v>
      </c>
      <c r="G4959" s="1" t="s">
        <v>94</v>
      </c>
      <c r="H4959" s="6" t="str">
        <f>IFERROR(__xludf.DUMMYFUNCTION("IF(REGEXMATCH(LOWER(G4959), ""^(\?)+\s*(missing)?\s*(\?)*$""), """", PROPER(SUBSTITUTE(SUBSTITUTE(G4959, ""?"", """"), ""*"", """")))"),"Lunch Bag Red Retrospot")</f>
        <v>Lunch Bag Red Retrospot</v>
      </c>
      <c r="I4959" s="3">
        <v>40.0</v>
      </c>
      <c r="J4959" s="7">
        <v>40886.51597222222</v>
      </c>
      <c r="K4959" s="8" t="str">
        <f t="shared" si="4"/>
        <v>2011-12</v>
      </c>
      <c r="L4959" s="5">
        <v>1.45</v>
      </c>
      <c r="M4959" s="3">
        <v>13777.0</v>
      </c>
      <c r="N4959" s="1" t="str">
        <f t="shared" si="5"/>
        <v>Registered</v>
      </c>
      <c r="O4959" s="1" t="s">
        <v>19</v>
      </c>
      <c r="P4959" s="9" t="str">
        <f t="shared" si="6"/>
        <v>UK</v>
      </c>
      <c r="Q4959" s="8">
        <f t="shared" si="7"/>
        <v>58</v>
      </c>
    </row>
    <row r="4960">
      <c r="A4960" s="1">
        <v>581583.0</v>
      </c>
      <c r="B4960" s="1" t="str">
        <f t="shared" si="1"/>
        <v>581583</v>
      </c>
      <c r="C4960" s="1" t="str">
        <f t="shared" si="2"/>
        <v>Sale</v>
      </c>
      <c r="D4960" s="1">
        <v>85038.0</v>
      </c>
      <c r="E4960" s="1" t="str">
        <f>IFERROR(__xludf.DUMMYFUNCTION("IF(LEN(D4960)&gt;4, IFERROR(REGEXEXTRACT(TO_TEXT(D4960),""\d+""),""""),"""")"),"85038")</f>
        <v>85038</v>
      </c>
      <c r="F4960" s="6" t="str">
        <f t="shared" si="3"/>
        <v>Product</v>
      </c>
      <c r="G4960" s="1" t="s">
        <v>1817</v>
      </c>
      <c r="H4960" s="6" t="str">
        <f>IFERROR(__xludf.DUMMYFUNCTION("IF(REGEXMATCH(LOWER(G4960), ""^(\?)+\s*(missing)?\s*(\?)*$""), """", PROPER(SUBSTITUTE(SUBSTITUTE(G4960, ""?"", """"), ""*"", """")))"),"6 Chocolate Love Heart T-Lights")</f>
        <v>6 Chocolate Love Heart T-Lights</v>
      </c>
      <c r="I4960" s="3">
        <v>36.0</v>
      </c>
      <c r="J4960" s="7">
        <v>40886.51597222222</v>
      </c>
      <c r="K4960" s="8" t="str">
        <f t="shared" si="4"/>
        <v>2011-12</v>
      </c>
      <c r="L4960" s="5">
        <v>1.85</v>
      </c>
      <c r="M4960" s="3">
        <v>13777.0</v>
      </c>
      <c r="N4960" s="1" t="str">
        <f t="shared" si="5"/>
        <v>Registered</v>
      </c>
      <c r="O4960" s="1" t="s">
        <v>19</v>
      </c>
      <c r="P4960" s="9" t="str">
        <f t="shared" si="6"/>
        <v>UK</v>
      </c>
      <c r="Q4960" s="8">
        <f t="shared" si="7"/>
        <v>66.6</v>
      </c>
    </row>
    <row r="4961">
      <c r="A4961" s="1">
        <v>581584.0</v>
      </c>
      <c r="B4961" s="1" t="str">
        <f t="shared" si="1"/>
        <v>581584</v>
      </c>
      <c r="C4961" s="1" t="str">
        <f t="shared" si="2"/>
        <v>Sale</v>
      </c>
      <c r="D4961" s="1">
        <v>20832.0</v>
      </c>
      <c r="E4961" s="1" t="str">
        <f>IFERROR(__xludf.DUMMYFUNCTION("IF(LEN(D4961)&gt;4, IFERROR(REGEXEXTRACT(TO_TEXT(D4961),""\d+""),""""),"""")"),"20832")</f>
        <v>20832</v>
      </c>
      <c r="F4961" s="6" t="str">
        <f t="shared" si="3"/>
        <v>Product</v>
      </c>
      <c r="G4961" s="1" t="s">
        <v>851</v>
      </c>
      <c r="H4961" s="6" t="str">
        <f>IFERROR(__xludf.DUMMYFUNCTION("IF(REGEXMATCH(LOWER(G4961), ""^(\?)+\s*(missing)?\s*(\?)*$""), """", PROPER(SUBSTITUTE(SUBSTITUTE(G4961, ""?"", """"), ""*"", """")))"),"Red Flock Love Heart Photo Frame")</f>
        <v>Red Flock Love Heart Photo Frame</v>
      </c>
      <c r="I4961" s="3">
        <v>72.0</v>
      </c>
      <c r="J4961" s="7">
        <v>40886.51736111111</v>
      </c>
      <c r="K4961" s="8" t="str">
        <f t="shared" si="4"/>
        <v>2011-12</v>
      </c>
      <c r="L4961" s="5">
        <v>0.72</v>
      </c>
      <c r="M4961" s="3">
        <v>13777.0</v>
      </c>
      <c r="N4961" s="1" t="str">
        <f t="shared" si="5"/>
        <v>Registered</v>
      </c>
      <c r="O4961" s="1" t="s">
        <v>19</v>
      </c>
      <c r="P4961" s="9" t="str">
        <f t="shared" si="6"/>
        <v>UK</v>
      </c>
      <c r="Q4961" s="8">
        <f t="shared" si="7"/>
        <v>51.84</v>
      </c>
    </row>
    <row r="4962">
      <c r="A4962" s="1">
        <v>581584.0</v>
      </c>
      <c r="B4962" s="1" t="str">
        <f t="shared" si="1"/>
        <v>581584</v>
      </c>
      <c r="C4962" s="1" t="str">
        <f t="shared" si="2"/>
        <v>Sale</v>
      </c>
      <c r="D4962" s="1">
        <v>85038.0</v>
      </c>
      <c r="E4962" s="1" t="str">
        <f>IFERROR(__xludf.DUMMYFUNCTION("IF(LEN(D4962)&gt;4, IFERROR(REGEXEXTRACT(TO_TEXT(D4962),""\d+""),""""),"""")"),"85038")</f>
        <v>85038</v>
      </c>
      <c r="F4962" s="6" t="str">
        <f t="shared" si="3"/>
        <v>Product</v>
      </c>
      <c r="G4962" s="1" t="s">
        <v>1817</v>
      </c>
      <c r="H4962" s="6" t="str">
        <f>IFERROR(__xludf.DUMMYFUNCTION("IF(REGEXMATCH(LOWER(G4962), ""^(\?)+\s*(missing)?\s*(\?)*$""), """", PROPER(SUBSTITUTE(SUBSTITUTE(G4962, ""?"", """"), ""*"", """")))"),"6 Chocolate Love Heart T-Lights")</f>
        <v>6 Chocolate Love Heart T-Lights</v>
      </c>
      <c r="I4962" s="3">
        <v>48.0</v>
      </c>
      <c r="J4962" s="7">
        <v>40886.51736111111</v>
      </c>
      <c r="K4962" s="8" t="str">
        <f t="shared" si="4"/>
        <v>2011-12</v>
      </c>
      <c r="L4962" s="5">
        <v>1.85</v>
      </c>
      <c r="M4962" s="3">
        <v>13777.0</v>
      </c>
      <c r="N4962" s="1" t="str">
        <f t="shared" si="5"/>
        <v>Registered</v>
      </c>
      <c r="O4962" s="1" t="s">
        <v>19</v>
      </c>
      <c r="P4962" s="9" t="str">
        <f t="shared" si="6"/>
        <v>UK</v>
      </c>
      <c r="Q4962" s="8">
        <f t="shared" si="7"/>
        <v>88.8</v>
      </c>
    </row>
    <row r="4963">
      <c r="A4963" s="1">
        <v>581585.0</v>
      </c>
      <c r="B4963" s="1" t="str">
        <f t="shared" si="1"/>
        <v>581585</v>
      </c>
      <c r="C4963" s="1" t="str">
        <f t="shared" si="2"/>
        <v>Sale</v>
      </c>
      <c r="D4963" s="1">
        <v>22481.0</v>
      </c>
      <c r="E4963" s="1" t="str">
        <f>IFERROR(__xludf.DUMMYFUNCTION("IF(LEN(D4963)&gt;4, IFERROR(REGEXEXTRACT(TO_TEXT(D4963),""\d+""),""""),"""")"),"22481")</f>
        <v>22481</v>
      </c>
      <c r="F4963" s="6" t="str">
        <f t="shared" si="3"/>
        <v>Product</v>
      </c>
      <c r="G4963" s="1" t="s">
        <v>2156</v>
      </c>
      <c r="H4963" s="6" t="str">
        <f>IFERROR(__xludf.DUMMYFUNCTION("IF(REGEXMATCH(LOWER(G4963), ""^(\?)+\s*(missing)?\s*(\?)*$""), """", PROPER(SUBSTITUTE(SUBSTITUTE(G4963, ""?"", """"), ""*"", """")))"),"Black Tea Towel Classic Design")</f>
        <v>Black Tea Towel Classic Design</v>
      </c>
      <c r="I4963" s="3">
        <v>12.0</v>
      </c>
      <c r="J4963" s="7">
        <v>40886.521527777775</v>
      </c>
      <c r="K4963" s="8" t="str">
        <f t="shared" si="4"/>
        <v>2011-12</v>
      </c>
      <c r="L4963" s="5">
        <v>0.39</v>
      </c>
      <c r="M4963" s="3">
        <v>15804.0</v>
      </c>
      <c r="N4963" s="1" t="str">
        <f t="shared" si="5"/>
        <v>Registered</v>
      </c>
      <c r="O4963" s="1" t="s">
        <v>19</v>
      </c>
      <c r="P4963" s="9" t="str">
        <f t="shared" si="6"/>
        <v>UK</v>
      </c>
      <c r="Q4963" s="8">
        <f t="shared" si="7"/>
        <v>4.68</v>
      </c>
    </row>
    <row r="4964">
      <c r="A4964" s="1">
        <v>581585.0</v>
      </c>
      <c r="B4964" s="1" t="str">
        <f t="shared" si="1"/>
        <v>581585</v>
      </c>
      <c r="C4964" s="1" t="str">
        <f t="shared" si="2"/>
        <v>Sale</v>
      </c>
      <c r="D4964" s="1">
        <v>22915.0</v>
      </c>
      <c r="E4964" s="1" t="str">
        <f>IFERROR(__xludf.DUMMYFUNCTION("IF(LEN(D4964)&gt;4, IFERROR(REGEXEXTRACT(TO_TEXT(D4964),""\d+""),""""),"""")"),"22915")</f>
        <v>22915</v>
      </c>
      <c r="F4964" s="6" t="str">
        <f t="shared" si="3"/>
        <v>Product</v>
      </c>
      <c r="G4964" s="1" t="s">
        <v>190</v>
      </c>
      <c r="H4964" s="6" t="str">
        <f>IFERROR(__xludf.DUMMYFUNCTION("IF(REGEXMATCH(LOWER(G4964), ""^(\?)+\s*(missing)?\s*(\?)*$""), """", PROPER(SUBSTITUTE(SUBSTITUTE(G4964, ""?"", """"), ""*"", """")))"),"Assorted Bottle Top Magnets")</f>
        <v>Assorted Bottle Top Magnets</v>
      </c>
      <c r="I4964" s="3">
        <v>24.0</v>
      </c>
      <c r="J4964" s="7">
        <v>40886.521527777775</v>
      </c>
      <c r="K4964" s="8" t="str">
        <f t="shared" si="4"/>
        <v>2011-12</v>
      </c>
      <c r="L4964" s="5">
        <v>0.19</v>
      </c>
      <c r="M4964" s="3">
        <v>15804.0</v>
      </c>
      <c r="N4964" s="1" t="str">
        <f t="shared" si="5"/>
        <v>Registered</v>
      </c>
      <c r="O4964" s="1" t="s">
        <v>19</v>
      </c>
      <c r="P4964" s="9" t="str">
        <f t="shared" si="6"/>
        <v>UK</v>
      </c>
      <c r="Q4964" s="8">
        <f t="shared" si="7"/>
        <v>4.56</v>
      </c>
    </row>
    <row r="4965">
      <c r="A4965" s="1">
        <v>581585.0</v>
      </c>
      <c r="B4965" s="1" t="str">
        <f t="shared" si="1"/>
        <v>581585</v>
      </c>
      <c r="C4965" s="1" t="str">
        <f t="shared" si="2"/>
        <v>Sale</v>
      </c>
      <c r="D4965" s="1">
        <v>22178.0</v>
      </c>
      <c r="E4965" s="1" t="str">
        <f>IFERROR(__xludf.DUMMYFUNCTION("IF(LEN(D4965)&gt;4, IFERROR(REGEXEXTRACT(TO_TEXT(D4965),""\d+""),""""),"""")"),"22178")</f>
        <v>22178</v>
      </c>
      <c r="F4965" s="6" t="str">
        <f t="shared" si="3"/>
        <v>Product</v>
      </c>
      <c r="G4965" s="1" t="s">
        <v>369</v>
      </c>
      <c r="H4965" s="6" t="str">
        <f>IFERROR(__xludf.DUMMYFUNCTION("IF(REGEXMATCH(LOWER(G4965), ""^(\?)+\s*(missing)?\s*(\?)*$""), """", PROPER(SUBSTITUTE(SUBSTITUTE(G4965, ""?"", """"), ""*"", """")))"),"Victorian Glass Hanging T-Light")</f>
        <v>Victorian Glass Hanging T-Light</v>
      </c>
      <c r="I4965" s="3">
        <v>12.0</v>
      </c>
      <c r="J4965" s="7">
        <v>40886.521527777775</v>
      </c>
      <c r="K4965" s="8" t="str">
        <f t="shared" si="4"/>
        <v>2011-12</v>
      </c>
      <c r="L4965" s="5">
        <v>1.95</v>
      </c>
      <c r="M4965" s="3">
        <v>15804.0</v>
      </c>
      <c r="N4965" s="1" t="str">
        <f t="shared" si="5"/>
        <v>Registered</v>
      </c>
      <c r="O4965" s="1" t="s">
        <v>19</v>
      </c>
      <c r="P4965" s="9" t="str">
        <f t="shared" si="6"/>
        <v>UK</v>
      </c>
      <c r="Q4965" s="8">
        <f t="shared" si="7"/>
        <v>23.4</v>
      </c>
    </row>
    <row r="4966">
      <c r="A4966" s="1">
        <v>581585.0</v>
      </c>
      <c r="B4966" s="1" t="str">
        <f t="shared" si="1"/>
        <v>581585</v>
      </c>
      <c r="C4966" s="1" t="str">
        <f t="shared" si="2"/>
        <v>Sale</v>
      </c>
      <c r="D4966" s="1">
        <v>22460.0</v>
      </c>
      <c r="E4966" s="1" t="str">
        <f>IFERROR(__xludf.DUMMYFUNCTION("IF(LEN(D4966)&gt;4, IFERROR(REGEXEXTRACT(TO_TEXT(D4966),""\d+""),""""),"""")"),"22460")</f>
        <v>22460</v>
      </c>
      <c r="F4966" s="6" t="str">
        <f t="shared" si="3"/>
        <v>Product</v>
      </c>
      <c r="G4966" s="1" t="s">
        <v>2157</v>
      </c>
      <c r="H4966" s="6" t="str">
        <f>IFERROR(__xludf.DUMMYFUNCTION("IF(REGEXMATCH(LOWER(G4966), ""^(\?)+\s*(missing)?\s*(\?)*$""), """", PROPER(SUBSTITUTE(SUBSTITUTE(G4966, ""?"", """"), ""*"", """")))"),"Embossed Glass Tealight Holder")</f>
        <v>Embossed Glass Tealight Holder</v>
      </c>
      <c r="I4966" s="3">
        <v>12.0</v>
      </c>
      <c r="J4966" s="7">
        <v>40886.521527777775</v>
      </c>
      <c r="K4966" s="8" t="str">
        <f t="shared" si="4"/>
        <v>2011-12</v>
      </c>
      <c r="L4966" s="5">
        <v>1.25</v>
      </c>
      <c r="M4966" s="3">
        <v>15804.0</v>
      </c>
      <c r="N4966" s="1" t="str">
        <f t="shared" si="5"/>
        <v>Registered</v>
      </c>
      <c r="O4966" s="1" t="s">
        <v>19</v>
      </c>
      <c r="P4966" s="9" t="str">
        <f t="shared" si="6"/>
        <v>UK</v>
      </c>
      <c r="Q4966" s="8">
        <f t="shared" si="7"/>
        <v>15</v>
      </c>
    </row>
    <row r="4967">
      <c r="A4967" s="1">
        <v>581585.0</v>
      </c>
      <c r="B4967" s="1" t="str">
        <f t="shared" si="1"/>
        <v>581585</v>
      </c>
      <c r="C4967" s="1" t="str">
        <f t="shared" si="2"/>
        <v>Sale</v>
      </c>
      <c r="D4967" s="1">
        <v>84832.0</v>
      </c>
      <c r="E4967" s="1" t="str">
        <f>IFERROR(__xludf.DUMMYFUNCTION("IF(LEN(D4967)&gt;4, IFERROR(REGEXEXTRACT(TO_TEXT(D4967),""\d+""),""""),"""")"),"84832")</f>
        <v>84832</v>
      </c>
      <c r="F4967" s="6" t="str">
        <f t="shared" si="3"/>
        <v>Product</v>
      </c>
      <c r="G4967" s="1" t="s">
        <v>133</v>
      </c>
      <c r="H4967" s="6" t="str">
        <f>IFERROR(__xludf.DUMMYFUNCTION("IF(REGEXMATCH(LOWER(G4967), ""^(\?)+\s*(missing)?\s*(\?)*$""), """", PROPER(SUBSTITUTE(SUBSTITUTE(G4967, ""?"", """"), ""*"", """")))"),"Zinc Willie Winkie Candle Stick")</f>
        <v>Zinc Willie Winkie Candle Stick</v>
      </c>
      <c r="I4967" s="3">
        <v>24.0</v>
      </c>
      <c r="J4967" s="7">
        <v>40886.521527777775</v>
      </c>
      <c r="K4967" s="8" t="str">
        <f t="shared" si="4"/>
        <v>2011-12</v>
      </c>
      <c r="L4967" s="5">
        <v>0.85</v>
      </c>
      <c r="M4967" s="3">
        <v>15804.0</v>
      </c>
      <c r="N4967" s="1" t="str">
        <f t="shared" si="5"/>
        <v>Registered</v>
      </c>
      <c r="O4967" s="1" t="s">
        <v>19</v>
      </c>
      <c r="P4967" s="9" t="str">
        <f t="shared" si="6"/>
        <v>UK</v>
      </c>
      <c r="Q4967" s="8">
        <f t="shared" si="7"/>
        <v>20.4</v>
      </c>
    </row>
    <row r="4968">
      <c r="A4968" s="1">
        <v>581585.0</v>
      </c>
      <c r="B4968" s="1" t="str">
        <f t="shared" si="1"/>
        <v>581585</v>
      </c>
      <c r="C4968" s="1" t="str">
        <f t="shared" si="2"/>
        <v>Sale</v>
      </c>
      <c r="D4968" s="1">
        <v>23084.0</v>
      </c>
      <c r="E4968" s="1" t="str">
        <f>IFERROR(__xludf.DUMMYFUNCTION("IF(LEN(D4968)&gt;4, IFERROR(REGEXEXTRACT(TO_TEXT(D4968),""\d+""),""""),"""")"),"23084")</f>
        <v>23084</v>
      </c>
      <c r="F4968" s="6" t="str">
        <f t="shared" si="3"/>
        <v>Product</v>
      </c>
      <c r="G4968" s="1" t="s">
        <v>1473</v>
      </c>
      <c r="H4968" s="6" t="str">
        <f>IFERROR(__xludf.DUMMYFUNCTION("IF(REGEXMATCH(LOWER(G4968), ""^(\?)+\s*(missing)?\s*(\?)*$""), """", PROPER(SUBSTITUTE(SUBSTITUTE(G4968, ""?"", """"), ""*"", """")))"),"Rabbit Night Light")</f>
        <v>Rabbit Night Light</v>
      </c>
      <c r="I4968" s="3">
        <v>12.0</v>
      </c>
      <c r="J4968" s="7">
        <v>40886.521527777775</v>
      </c>
      <c r="K4968" s="8" t="str">
        <f t="shared" si="4"/>
        <v>2011-12</v>
      </c>
      <c r="L4968" s="5">
        <v>2.08</v>
      </c>
      <c r="M4968" s="3">
        <v>15804.0</v>
      </c>
      <c r="N4968" s="1" t="str">
        <f t="shared" si="5"/>
        <v>Registered</v>
      </c>
      <c r="O4968" s="1" t="s">
        <v>19</v>
      </c>
      <c r="P4968" s="9" t="str">
        <f t="shared" si="6"/>
        <v>UK</v>
      </c>
      <c r="Q4968" s="8">
        <f t="shared" si="7"/>
        <v>24.96</v>
      </c>
    </row>
    <row r="4969">
      <c r="A4969" s="1">
        <v>581585.0</v>
      </c>
      <c r="B4969" s="1" t="str">
        <f t="shared" si="1"/>
        <v>581585</v>
      </c>
      <c r="C4969" s="1" t="str">
        <f t="shared" si="2"/>
        <v>Sale</v>
      </c>
      <c r="D4969" s="1">
        <v>84879.0</v>
      </c>
      <c r="E4969" s="1" t="str">
        <f>IFERROR(__xludf.DUMMYFUNCTION("IF(LEN(D4969)&gt;4, IFERROR(REGEXEXTRACT(TO_TEXT(D4969),""\d+""),""""),"""")"),"84879")</f>
        <v>84879</v>
      </c>
      <c r="F4969" s="6" t="str">
        <f t="shared" si="3"/>
        <v>Product</v>
      </c>
      <c r="G4969" s="1" t="s">
        <v>31</v>
      </c>
      <c r="H4969" s="6" t="str">
        <f>IFERROR(__xludf.DUMMYFUNCTION("IF(REGEXMATCH(LOWER(G4969), ""^(\?)+\s*(missing)?\s*(\?)*$""), """", PROPER(SUBSTITUTE(SUBSTITUTE(G4969, ""?"", """"), ""*"", """")))"),"Assorted Colour Bird Ornament")</f>
        <v>Assorted Colour Bird Ornament</v>
      </c>
      <c r="I4969" s="3">
        <v>16.0</v>
      </c>
      <c r="J4969" s="7">
        <v>40886.521527777775</v>
      </c>
      <c r="K4969" s="8" t="str">
        <f t="shared" si="4"/>
        <v>2011-12</v>
      </c>
      <c r="L4969" s="5">
        <v>1.69</v>
      </c>
      <c r="M4969" s="3">
        <v>15804.0</v>
      </c>
      <c r="N4969" s="1" t="str">
        <f t="shared" si="5"/>
        <v>Registered</v>
      </c>
      <c r="O4969" s="1" t="s">
        <v>19</v>
      </c>
      <c r="P4969" s="9" t="str">
        <f t="shared" si="6"/>
        <v>UK</v>
      </c>
      <c r="Q4969" s="8">
        <f t="shared" si="7"/>
        <v>27.04</v>
      </c>
    </row>
    <row r="4970">
      <c r="A4970" s="1">
        <v>581585.0</v>
      </c>
      <c r="B4970" s="1" t="str">
        <f t="shared" si="1"/>
        <v>581585</v>
      </c>
      <c r="C4970" s="1" t="str">
        <f t="shared" si="2"/>
        <v>Sale</v>
      </c>
      <c r="D4970" s="1">
        <v>84945.0</v>
      </c>
      <c r="E4970" s="1" t="str">
        <f>IFERROR(__xludf.DUMMYFUNCTION("IF(LEN(D4970)&gt;4, IFERROR(REGEXEXTRACT(TO_TEXT(D4970),""\d+""),""""),"""")"),"84945")</f>
        <v>84945</v>
      </c>
      <c r="F4970" s="6" t="str">
        <f t="shared" si="3"/>
        <v>Product</v>
      </c>
      <c r="G4970" s="1" t="s">
        <v>986</v>
      </c>
      <c r="H4970" s="6" t="str">
        <f>IFERROR(__xludf.DUMMYFUNCTION("IF(REGEXMATCH(LOWER(G4970), ""^(\?)+\s*(missing)?\s*(\?)*$""), """", PROPER(SUBSTITUTE(SUBSTITUTE(G4970, ""?"", """"), ""*"", """")))"),"Multi Colour Silver T-Light Holder")</f>
        <v>Multi Colour Silver T-Light Holder</v>
      </c>
      <c r="I4970" s="3">
        <v>24.0</v>
      </c>
      <c r="J4970" s="7">
        <v>40886.521527777775</v>
      </c>
      <c r="K4970" s="8" t="str">
        <f t="shared" si="4"/>
        <v>2011-12</v>
      </c>
      <c r="L4970" s="5">
        <v>0.85</v>
      </c>
      <c r="M4970" s="3">
        <v>15804.0</v>
      </c>
      <c r="N4970" s="1" t="str">
        <f t="shared" si="5"/>
        <v>Registered</v>
      </c>
      <c r="O4970" s="1" t="s">
        <v>19</v>
      </c>
      <c r="P4970" s="9" t="str">
        <f t="shared" si="6"/>
        <v>UK</v>
      </c>
      <c r="Q4970" s="8">
        <f t="shared" si="7"/>
        <v>20.4</v>
      </c>
    </row>
    <row r="4971">
      <c r="A4971" s="1">
        <v>581585.0</v>
      </c>
      <c r="B4971" s="1" t="str">
        <f t="shared" si="1"/>
        <v>581585</v>
      </c>
      <c r="C4971" s="1" t="str">
        <f t="shared" si="2"/>
        <v>Sale</v>
      </c>
      <c r="D4971" s="1">
        <v>22113.0</v>
      </c>
      <c r="E4971" s="1" t="str">
        <f>IFERROR(__xludf.DUMMYFUNCTION("IF(LEN(D4971)&gt;4, IFERROR(REGEXEXTRACT(TO_TEXT(D4971),""\d+""),""""),"""")"),"22113")</f>
        <v>22113</v>
      </c>
      <c r="F4971" s="6" t="str">
        <f t="shared" si="3"/>
        <v>Product</v>
      </c>
      <c r="G4971" s="1" t="s">
        <v>515</v>
      </c>
      <c r="H4971" s="6" t="str">
        <f>IFERROR(__xludf.DUMMYFUNCTION("IF(REGEXMATCH(LOWER(G4971), ""^(\?)+\s*(missing)?\s*(\?)*$""), """", PROPER(SUBSTITUTE(SUBSTITUTE(G4971, ""?"", """"), ""*"", """")))"),"Grey Heart Hot Water Bottle")</f>
        <v>Grey Heart Hot Water Bottle</v>
      </c>
      <c r="I4971" s="3">
        <v>4.0</v>
      </c>
      <c r="J4971" s="7">
        <v>40886.521527777775</v>
      </c>
      <c r="K4971" s="8" t="str">
        <f t="shared" si="4"/>
        <v>2011-12</v>
      </c>
      <c r="L4971" s="5">
        <v>4.25</v>
      </c>
      <c r="M4971" s="3">
        <v>15804.0</v>
      </c>
      <c r="N4971" s="1" t="str">
        <f t="shared" si="5"/>
        <v>Registered</v>
      </c>
      <c r="O4971" s="1" t="s">
        <v>19</v>
      </c>
      <c r="P4971" s="9" t="str">
        <f t="shared" si="6"/>
        <v>UK</v>
      </c>
      <c r="Q4971" s="8">
        <f t="shared" si="7"/>
        <v>17</v>
      </c>
    </row>
    <row r="4972">
      <c r="A4972" s="1">
        <v>581585.0</v>
      </c>
      <c r="B4972" s="1" t="str">
        <f t="shared" si="1"/>
        <v>581585</v>
      </c>
      <c r="C4972" s="1" t="str">
        <f t="shared" si="2"/>
        <v>Sale</v>
      </c>
      <c r="D4972" s="1">
        <v>23356.0</v>
      </c>
      <c r="E4972" s="1" t="str">
        <f>IFERROR(__xludf.DUMMYFUNCTION("IF(LEN(D4972)&gt;4, IFERROR(REGEXEXTRACT(TO_TEXT(D4972),""\d+""),""""),"""")"),"23356")</f>
        <v>23356</v>
      </c>
      <c r="F4972" s="6" t="str">
        <f t="shared" si="3"/>
        <v>Product</v>
      </c>
      <c r="G4972" s="1" t="s">
        <v>1437</v>
      </c>
      <c r="H4972" s="6" t="str">
        <f>IFERROR(__xludf.DUMMYFUNCTION("IF(REGEXMATCH(LOWER(G4972), ""^(\?)+\s*(missing)?\s*(\?)*$""), """", PROPER(SUBSTITUTE(SUBSTITUTE(G4972, ""?"", """"), ""*"", """")))"),"Love Hot Water Bottle")</f>
        <v>Love Hot Water Bottle</v>
      </c>
      <c r="I4972" s="3">
        <v>3.0</v>
      </c>
      <c r="J4972" s="7">
        <v>40886.521527777775</v>
      </c>
      <c r="K4972" s="8" t="str">
        <f t="shared" si="4"/>
        <v>2011-12</v>
      </c>
      <c r="L4972" s="5">
        <v>5.95</v>
      </c>
      <c r="M4972" s="3">
        <v>15804.0</v>
      </c>
      <c r="N4972" s="1" t="str">
        <f t="shared" si="5"/>
        <v>Registered</v>
      </c>
      <c r="O4972" s="1" t="s">
        <v>19</v>
      </c>
      <c r="P4972" s="9" t="str">
        <f t="shared" si="6"/>
        <v>UK</v>
      </c>
      <c r="Q4972" s="8">
        <f t="shared" si="7"/>
        <v>17.85</v>
      </c>
    </row>
    <row r="4973">
      <c r="A4973" s="1">
        <v>581585.0</v>
      </c>
      <c r="B4973" s="1" t="str">
        <f t="shared" si="1"/>
        <v>581585</v>
      </c>
      <c r="C4973" s="1" t="str">
        <f t="shared" si="2"/>
        <v>Sale</v>
      </c>
      <c r="D4973" s="1">
        <v>22726.0</v>
      </c>
      <c r="E4973" s="1" t="str">
        <f>IFERROR(__xludf.DUMMYFUNCTION("IF(LEN(D4973)&gt;4, IFERROR(REGEXEXTRACT(TO_TEXT(D4973),""\d+""),""""),"""")"),"22726")</f>
        <v>22726</v>
      </c>
      <c r="F4973" s="6" t="str">
        <f t="shared" si="3"/>
        <v>Product</v>
      </c>
      <c r="G4973" s="1" t="s">
        <v>51</v>
      </c>
      <c r="H4973" s="6" t="str">
        <f>IFERROR(__xludf.DUMMYFUNCTION("IF(REGEXMATCH(LOWER(G4973), ""^(\?)+\s*(missing)?\s*(\?)*$""), """", PROPER(SUBSTITUTE(SUBSTITUTE(G4973, ""?"", """"), ""*"", """")))"),"Alarm Clock Bakelike Green")</f>
        <v>Alarm Clock Bakelike Green</v>
      </c>
      <c r="I4973" s="3">
        <v>8.0</v>
      </c>
      <c r="J4973" s="7">
        <v>40886.521527777775</v>
      </c>
      <c r="K4973" s="8" t="str">
        <f t="shared" si="4"/>
        <v>2011-12</v>
      </c>
      <c r="L4973" s="5">
        <v>3.75</v>
      </c>
      <c r="M4973" s="3">
        <v>15804.0</v>
      </c>
      <c r="N4973" s="1" t="str">
        <f t="shared" si="5"/>
        <v>Registered</v>
      </c>
      <c r="O4973" s="1" t="s">
        <v>19</v>
      </c>
      <c r="P4973" s="9" t="str">
        <f t="shared" si="6"/>
        <v>UK</v>
      </c>
      <c r="Q4973" s="8">
        <f t="shared" si="7"/>
        <v>30</v>
      </c>
    </row>
    <row r="4974">
      <c r="A4974" s="1">
        <v>581585.0</v>
      </c>
      <c r="B4974" s="1" t="str">
        <f t="shared" si="1"/>
        <v>581585</v>
      </c>
      <c r="C4974" s="1" t="str">
        <f t="shared" si="2"/>
        <v>Sale</v>
      </c>
      <c r="D4974" s="1">
        <v>22727.0</v>
      </c>
      <c r="E4974" s="1" t="str">
        <f>IFERROR(__xludf.DUMMYFUNCTION("IF(LEN(D4974)&gt;4, IFERROR(REGEXEXTRACT(TO_TEXT(D4974),""\d+""),""""),"""")"),"22727")</f>
        <v>22727</v>
      </c>
      <c r="F4974" s="6" t="str">
        <f t="shared" si="3"/>
        <v>Product</v>
      </c>
      <c r="G4974" s="1" t="s">
        <v>50</v>
      </c>
      <c r="H4974" s="6" t="str">
        <f>IFERROR(__xludf.DUMMYFUNCTION("IF(REGEXMATCH(LOWER(G4974), ""^(\?)+\s*(missing)?\s*(\?)*$""), """", PROPER(SUBSTITUTE(SUBSTITUTE(G4974, ""?"", """"), ""*"", """")))"),"Alarm Clock Bakelike Red")</f>
        <v>Alarm Clock Bakelike Red</v>
      </c>
      <c r="I4974" s="3">
        <v>4.0</v>
      </c>
      <c r="J4974" s="7">
        <v>40886.521527777775</v>
      </c>
      <c r="K4974" s="8" t="str">
        <f t="shared" si="4"/>
        <v>2011-12</v>
      </c>
      <c r="L4974" s="5">
        <v>3.75</v>
      </c>
      <c r="M4974" s="3">
        <v>15804.0</v>
      </c>
      <c r="N4974" s="1" t="str">
        <f t="shared" si="5"/>
        <v>Registered</v>
      </c>
      <c r="O4974" s="1" t="s">
        <v>19</v>
      </c>
      <c r="P4974" s="9" t="str">
        <f t="shared" si="6"/>
        <v>UK</v>
      </c>
      <c r="Q4974" s="8">
        <f t="shared" si="7"/>
        <v>15</v>
      </c>
    </row>
    <row r="4975">
      <c r="A4975" s="1">
        <v>581585.0</v>
      </c>
      <c r="B4975" s="1" t="str">
        <f t="shared" si="1"/>
        <v>581585</v>
      </c>
      <c r="C4975" s="1" t="str">
        <f t="shared" si="2"/>
        <v>Sale</v>
      </c>
      <c r="D4975" s="1">
        <v>16016.0</v>
      </c>
      <c r="E4975" s="1" t="str">
        <f>IFERROR(__xludf.DUMMYFUNCTION("IF(LEN(D4975)&gt;4, IFERROR(REGEXEXTRACT(TO_TEXT(D4975),""\d+""),""""),"""")"),"16016")</f>
        <v>16016</v>
      </c>
      <c r="F4975" s="6" t="str">
        <f t="shared" si="3"/>
        <v>Product</v>
      </c>
      <c r="G4975" s="1" t="s">
        <v>544</v>
      </c>
      <c r="H4975" s="6" t="str">
        <f>IFERROR(__xludf.DUMMYFUNCTION("IF(REGEXMATCH(LOWER(G4975), ""^(\?)+\s*(missing)?\s*(\?)*$""), """", PROPER(SUBSTITUTE(SUBSTITUTE(G4975, ""?"", """"), ""*"", """")))"),"Large Chinese Style Scissor")</f>
        <v>Large Chinese Style Scissor</v>
      </c>
      <c r="I4975" s="3">
        <v>10.0</v>
      </c>
      <c r="J4975" s="7">
        <v>40886.521527777775</v>
      </c>
      <c r="K4975" s="8" t="str">
        <f t="shared" si="4"/>
        <v>2011-12</v>
      </c>
      <c r="L4975" s="5">
        <v>0.85</v>
      </c>
      <c r="M4975" s="3">
        <v>15804.0</v>
      </c>
      <c r="N4975" s="1" t="str">
        <f t="shared" si="5"/>
        <v>Registered</v>
      </c>
      <c r="O4975" s="1" t="s">
        <v>19</v>
      </c>
      <c r="P4975" s="9" t="str">
        <f t="shared" si="6"/>
        <v>UK</v>
      </c>
      <c r="Q4975" s="8">
        <f t="shared" si="7"/>
        <v>8.5</v>
      </c>
    </row>
    <row r="4976">
      <c r="A4976" s="1">
        <v>581585.0</v>
      </c>
      <c r="B4976" s="1" t="str">
        <f t="shared" si="1"/>
        <v>581585</v>
      </c>
      <c r="C4976" s="1" t="str">
        <f t="shared" si="2"/>
        <v>Sale</v>
      </c>
      <c r="D4976" s="1">
        <v>21916.0</v>
      </c>
      <c r="E4976" s="1" t="str">
        <f>IFERROR(__xludf.DUMMYFUNCTION("IF(LEN(D4976)&gt;4, IFERROR(REGEXEXTRACT(TO_TEXT(D4976),""\d+""),""""),"""")"),"21916")</f>
        <v>21916</v>
      </c>
      <c r="F4976" s="6" t="str">
        <f t="shared" si="3"/>
        <v>Product</v>
      </c>
      <c r="G4976" s="1" t="s">
        <v>493</v>
      </c>
      <c r="H4976" s="6" t="str">
        <f>IFERROR(__xludf.DUMMYFUNCTION("IF(REGEXMATCH(LOWER(G4976), ""^(\?)+\s*(missing)?\s*(\?)*$""), """", PROPER(SUBSTITUTE(SUBSTITUTE(G4976, ""?"", """"), ""*"", """")))"),"Set 12 Retro White Chalk Sticks")</f>
        <v>Set 12 Retro White Chalk Sticks</v>
      </c>
      <c r="I4976" s="3">
        <v>24.0</v>
      </c>
      <c r="J4976" s="7">
        <v>40886.521527777775</v>
      </c>
      <c r="K4976" s="8" t="str">
        <f t="shared" si="4"/>
        <v>2011-12</v>
      </c>
      <c r="L4976" s="5">
        <v>0.42</v>
      </c>
      <c r="M4976" s="3">
        <v>15804.0</v>
      </c>
      <c r="N4976" s="1" t="str">
        <f t="shared" si="5"/>
        <v>Registered</v>
      </c>
      <c r="O4976" s="1" t="s">
        <v>19</v>
      </c>
      <c r="P4976" s="9" t="str">
        <f t="shared" si="6"/>
        <v>UK</v>
      </c>
      <c r="Q4976" s="8">
        <f t="shared" si="7"/>
        <v>10.08</v>
      </c>
    </row>
    <row r="4977">
      <c r="A4977" s="1">
        <v>581585.0</v>
      </c>
      <c r="B4977" s="1" t="str">
        <f t="shared" si="1"/>
        <v>581585</v>
      </c>
      <c r="C4977" s="1" t="str">
        <f t="shared" si="2"/>
        <v>Sale</v>
      </c>
      <c r="D4977" s="1">
        <v>84692.0</v>
      </c>
      <c r="E4977" s="1" t="str">
        <f>IFERROR(__xludf.DUMMYFUNCTION("IF(LEN(D4977)&gt;4, IFERROR(REGEXEXTRACT(TO_TEXT(D4977),""\d+""),""""),"""")"),"84692")</f>
        <v>84692</v>
      </c>
      <c r="F4977" s="6" t="str">
        <f t="shared" si="3"/>
        <v>Product</v>
      </c>
      <c r="G4977" s="1" t="s">
        <v>1219</v>
      </c>
      <c r="H4977" s="6" t="str">
        <f>IFERROR(__xludf.DUMMYFUNCTION("IF(REGEXMATCH(LOWER(G4977), ""^(\?)+\s*(missing)?\s*(\?)*$""), """", PROPER(SUBSTITUTE(SUBSTITUTE(G4977, ""?"", """"), ""*"", """")))"),"Box Of 24 Cocktail Parasols")</f>
        <v>Box Of 24 Cocktail Parasols</v>
      </c>
      <c r="I4977" s="3">
        <v>25.0</v>
      </c>
      <c r="J4977" s="7">
        <v>40886.521527777775</v>
      </c>
      <c r="K4977" s="8" t="str">
        <f t="shared" si="4"/>
        <v>2011-12</v>
      </c>
      <c r="L4977" s="5">
        <v>0.42</v>
      </c>
      <c r="M4977" s="3">
        <v>15804.0</v>
      </c>
      <c r="N4977" s="1" t="str">
        <f t="shared" si="5"/>
        <v>Registered</v>
      </c>
      <c r="O4977" s="1" t="s">
        <v>19</v>
      </c>
      <c r="P4977" s="9" t="str">
        <f t="shared" si="6"/>
        <v>UK</v>
      </c>
      <c r="Q4977" s="8">
        <f t="shared" si="7"/>
        <v>10.5</v>
      </c>
    </row>
    <row r="4978">
      <c r="A4978" s="1">
        <v>581585.0</v>
      </c>
      <c r="B4978" s="1" t="str">
        <f t="shared" si="1"/>
        <v>581585</v>
      </c>
      <c r="C4978" s="1" t="str">
        <f t="shared" si="2"/>
        <v>Sale</v>
      </c>
      <c r="D4978" s="1">
        <v>84946.0</v>
      </c>
      <c r="E4978" s="1" t="str">
        <f>IFERROR(__xludf.DUMMYFUNCTION("IF(LEN(D4978)&gt;4, IFERROR(REGEXEXTRACT(TO_TEXT(D4978),""\d+""),""""),"""")"),"84946")</f>
        <v>84946</v>
      </c>
      <c r="F4978" s="6" t="str">
        <f t="shared" si="3"/>
        <v>Product</v>
      </c>
      <c r="G4978" s="1" t="s">
        <v>1557</v>
      </c>
      <c r="H4978" s="6" t="str">
        <f>IFERROR(__xludf.DUMMYFUNCTION("IF(REGEXMATCH(LOWER(G4978), ""^(\?)+\s*(missing)?\s*(\?)*$""), """", PROPER(SUBSTITUTE(SUBSTITUTE(G4978, ""?"", """"), ""*"", """")))"),"Antique Silver T-Light Glass")</f>
        <v>Antique Silver T-Light Glass</v>
      </c>
      <c r="I4978" s="3">
        <v>12.0</v>
      </c>
      <c r="J4978" s="7">
        <v>40886.521527777775</v>
      </c>
      <c r="K4978" s="8" t="str">
        <f t="shared" si="4"/>
        <v>2011-12</v>
      </c>
      <c r="L4978" s="5">
        <v>1.25</v>
      </c>
      <c r="M4978" s="3">
        <v>15804.0</v>
      </c>
      <c r="N4978" s="1" t="str">
        <f t="shared" si="5"/>
        <v>Registered</v>
      </c>
      <c r="O4978" s="1" t="s">
        <v>19</v>
      </c>
      <c r="P4978" s="9" t="str">
        <f t="shared" si="6"/>
        <v>UK</v>
      </c>
      <c r="Q4978" s="8">
        <f t="shared" si="7"/>
        <v>15</v>
      </c>
    </row>
    <row r="4979">
      <c r="A4979" s="1">
        <v>581585.0</v>
      </c>
      <c r="B4979" s="1" t="str">
        <f t="shared" si="1"/>
        <v>581585</v>
      </c>
      <c r="C4979" s="1" t="str">
        <f t="shared" si="2"/>
        <v>Sale</v>
      </c>
      <c r="D4979" s="1">
        <v>21684.0</v>
      </c>
      <c r="E4979" s="1" t="str">
        <f>IFERROR(__xludf.DUMMYFUNCTION("IF(LEN(D4979)&gt;4, IFERROR(REGEXEXTRACT(TO_TEXT(D4979),""\d+""),""""),"""")"),"21684")</f>
        <v>21684</v>
      </c>
      <c r="F4979" s="6" t="str">
        <f t="shared" si="3"/>
        <v>Product</v>
      </c>
      <c r="G4979" s="1" t="s">
        <v>2158</v>
      </c>
      <c r="H4979" s="6" t="str">
        <f>IFERROR(__xludf.DUMMYFUNCTION("IF(REGEXMATCH(LOWER(G4979), ""^(\?)+\s*(missing)?\s*(\?)*$""), """", PROPER(SUBSTITUTE(SUBSTITUTE(G4979, ""?"", """"), ""*"", """")))"),"Small Medina Stamped Metal Bowl")</f>
        <v>Small Medina Stamped Metal Bowl</v>
      </c>
      <c r="I4979" s="3">
        <v>12.0</v>
      </c>
      <c r="J4979" s="7">
        <v>40886.521527777775</v>
      </c>
      <c r="K4979" s="8" t="str">
        <f t="shared" si="4"/>
        <v>2011-12</v>
      </c>
      <c r="L4979" s="5">
        <v>0.85</v>
      </c>
      <c r="M4979" s="3">
        <v>15804.0</v>
      </c>
      <c r="N4979" s="1" t="str">
        <f t="shared" si="5"/>
        <v>Registered</v>
      </c>
      <c r="O4979" s="1" t="s">
        <v>19</v>
      </c>
      <c r="P4979" s="9" t="str">
        <f t="shared" si="6"/>
        <v>UK</v>
      </c>
      <c r="Q4979" s="8">
        <f t="shared" si="7"/>
        <v>10.2</v>
      </c>
    </row>
    <row r="4980">
      <c r="A4980" s="1">
        <v>581585.0</v>
      </c>
      <c r="B4980" s="1" t="str">
        <f t="shared" si="1"/>
        <v>581585</v>
      </c>
      <c r="C4980" s="1" t="str">
        <f t="shared" si="2"/>
        <v>Sale</v>
      </c>
      <c r="D4980" s="1">
        <v>22398.0</v>
      </c>
      <c r="E4980" s="1" t="str">
        <f>IFERROR(__xludf.DUMMYFUNCTION("IF(LEN(D4980)&gt;4, IFERROR(REGEXEXTRACT(TO_TEXT(D4980),""\d+""),""""),"""")"),"22398")</f>
        <v>22398</v>
      </c>
      <c r="F4980" s="6" t="str">
        <f t="shared" si="3"/>
        <v>Product</v>
      </c>
      <c r="G4980" s="1" t="s">
        <v>726</v>
      </c>
      <c r="H4980" s="6" t="str">
        <f>IFERROR(__xludf.DUMMYFUNCTION("IF(REGEXMATCH(LOWER(G4980), ""^(\?)+\s*(missing)?\s*(\?)*$""), """", PROPER(SUBSTITUTE(SUBSTITUTE(G4980, ""?"", """"), ""*"", """")))"),"Magnets Pack Of 4 Swallows")</f>
        <v>Magnets Pack Of 4 Swallows</v>
      </c>
      <c r="I4980" s="3">
        <v>12.0</v>
      </c>
      <c r="J4980" s="7">
        <v>40886.521527777775</v>
      </c>
      <c r="K4980" s="8" t="str">
        <f t="shared" si="4"/>
        <v>2011-12</v>
      </c>
      <c r="L4980" s="5">
        <v>0.39</v>
      </c>
      <c r="M4980" s="3">
        <v>15804.0</v>
      </c>
      <c r="N4980" s="1" t="str">
        <f t="shared" si="5"/>
        <v>Registered</v>
      </c>
      <c r="O4980" s="1" t="s">
        <v>19</v>
      </c>
      <c r="P4980" s="9" t="str">
        <f t="shared" si="6"/>
        <v>UK</v>
      </c>
      <c r="Q4980" s="8">
        <f t="shared" si="7"/>
        <v>4.68</v>
      </c>
    </row>
    <row r="4981">
      <c r="A4981" s="1">
        <v>581585.0</v>
      </c>
      <c r="B4981" s="1" t="str">
        <f t="shared" si="1"/>
        <v>581585</v>
      </c>
      <c r="C4981" s="1" t="str">
        <f t="shared" si="2"/>
        <v>Sale</v>
      </c>
      <c r="D4981" s="1">
        <v>23328.0</v>
      </c>
      <c r="E4981" s="1" t="str">
        <f>IFERROR(__xludf.DUMMYFUNCTION("IF(LEN(D4981)&gt;4, IFERROR(REGEXEXTRACT(TO_TEXT(D4981),""\d+""),""""),"""")"),"23328")</f>
        <v>23328</v>
      </c>
      <c r="F4981" s="6" t="str">
        <f t="shared" si="3"/>
        <v>Product</v>
      </c>
      <c r="G4981" s="1" t="s">
        <v>2028</v>
      </c>
      <c r="H4981" s="6" t="str">
        <f>IFERROR(__xludf.DUMMYFUNCTION("IF(REGEXMATCH(LOWER(G4981), ""^(\?)+\s*(missing)?\s*(\?)*$""), """", PROPER(SUBSTITUTE(SUBSTITUTE(G4981, ""?"", """"), ""*"", """")))"),"Set 6 School Milk Bottles In Crate")</f>
        <v>Set 6 School Milk Bottles In Crate</v>
      </c>
      <c r="I4981" s="3">
        <v>4.0</v>
      </c>
      <c r="J4981" s="7">
        <v>40886.521527777775</v>
      </c>
      <c r="K4981" s="8" t="str">
        <f t="shared" si="4"/>
        <v>2011-12</v>
      </c>
      <c r="L4981" s="5">
        <v>3.75</v>
      </c>
      <c r="M4981" s="3">
        <v>15804.0</v>
      </c>
      <c r="N4981" s="1" t="str">
        <f t="shared" si="5"/>
        <v>Registered</v>
      </c>
      <c r="O4981" s="1" t="s">
        <v>19</v>
      </c>
      <c r="P4981" s="9" t="str">
        <f t="shared" si="6"/>
        <v>UK</v>
      </c>
      <c r="Q4981" s="8">
        <f t="shared" si="7"/>
        <v>15</v>
      </c>
    </row>
    <row r="4982">
      <c r="A4982" s="1">
        <v>581585.0</v>
      </c>
      <c r="B4982" s="1" t="str">
        <f t="shared" si="1"/>
        <v>581585</v>
      </c>
      <c r="C4982" s="1" t="str">
        <f t="shared" si="2"/>
        <v>Sale</v>
      </c>
      <c r="D4982" s="1">
        <v>23145.0</v>
      </c>
      <c r="E4982" s="1" t="str">
        <f>IFERROR(__xludf.DUMMYFUNCTION("IF(LEN(D4982)&gt;4, IFERROR(REGEXEXTRACT(TO_TEXT(D4982),""\d+""),""""),"""")"),"23145")</f>
        <v>23145</v>
      </c>
      <c r="F4982" s="6" t="str">
        <f t="shared" si="3"/>
        <v>Product</v>
      </c>
      <c r="G4982" s="1" t="s">
        <v>2159</v>
      </c>
      <c r="H4982" s="6" t="str">
        <f>IFERROR(__xludf.DUMMYFUNCTION("IF(REGEXMATCH(LOWER(G4982), ""^(\?)+\s*(missing)?\s*(\?)*$""), """", PROPER(SUBSTITUTE(SUBSTITUTE(G4982, ""?"", """"), ""*"", """")))"),"Zinc T-Light Holder Star Large")</f>
        <v>Zinc T-Light Holder Star Large</v>
      </c>
      <c r="I4982" s="3">
        <v>12.0</v>
      </c>
      <c r="J4982" s="7">
        <v>40886.521527777775</v>
      </c>
      <c r="K4982" s="8" t="str">
        <f t="shared" si="4"/>
        <v>2011-12</v>
      </c>
      <c r="L4982" s="5">
        <v>0.95</v>
      </c>
      <c r="M4982" s="3">
        <v>15804.0</v>
      </c>
      <c r="N4982" s="1" t="str">
        <f t="shared" si="5"/>
        <v>Registered</v>
      </c>
      <c r="O4982" s="1" t="s">
        <v>19</v>
      </c>
      <c r="P4982" s="9" t="str">
        <f t="shared" si="6"/>
        <v>UK</v>
      </c>
      <c r="Q4982" s="8">
        <f t="shared" si="7"/>
        <v>11.4</v>
      </c>
    </row>
    <row r="4983">
      <c r="A4983" s="1">
        <v>581585.0</v>
      </c>
      <c r="B4983" s="1" t="str">
        <f t="shared" si="1"/>
        <v>581585</v>
      </c>
      <c r="C4983" s="1" t="str">
        <f t="shared" si="2"/>
        <v>Sale</v>
      </c>
      <c r="D4983" s="1">
        <v>22466.0</v>
      </c>
      <c r="E4983" s="1" t="str">
        <f>IFERROR(__xludf.DUMMYFUNCTION("IF(LEN(D4983)&gt;4, IFERROR(REGEXEXTRACT(TO_TEXT(D4983),""\d+""),""""),"""")"),"22466")</f>
        <v>22466</v>
      </c>
      <c r="F4983" s="6" t="str">
        <f t="shared" si="3"/>
        <v>Product</v>
      </c>
      <c r="G4983" s="1" t="s">
        <v>1935</v>
      </c>
      <c r="H4983" s="6" t="str">
        <f>IFERROR(__xludf.DUMMYFUNCTION("IF(REGEXMATCH(LOWER(G4983), ""^(\?)+\s*(missing)?\s*(\?)*$""), """", PROPER(SUBSTITUTE(SUBSTITUTE(G4983, ""?"", """"), ""*"", """")))"),"Fairy Tale Cottage Night Light")</f>
        <v>Fairy Tale Cottage Night Light</v>
      </c>
      <c r="I4983" s="3">
        <v>12.0</v>
      </c>
      <c r="J4983" s="7">
        <v>40886.521527777775</v>
      </c>
      <c r="K4983" s="8" t="str">
        <f t="shared" si="4"/>
        <v>2011-12</v>
      </c>
      <c r="L4983" s="5">
        <v>1.95</v>
      </c>
      <c r="M4983" s="3">
        <v>15804.0</v>
      </c>
      <c r="N4983" s="1" t="str">
        <f t="shared" si="5"/>
        <v>Registered</v>
      </c>
      <c r="O4983" s="1" t="s">
        <v>19</v>
      </c>
      <c r="P4983" s="9" t="str">
        <f t="shared" si="6"/>
        <v>UK</v>
      </c>
      <c r="Q4983" s="8">
        <f t="shared" si="7"/>
        <v>23.4</v>
      </c>
    </row>
    <row r="4984">
      <c r="A4984" s="1">
        <v>581586.0</v>
      </c>
      <c r="B4984" s="1" t="str">
        <f t="shared" si="1"/>
        <v>581586</v>
      </c>
      <c r="C4984" s="1" t="str">
        <f t="shared" si="2"/>
        <v>Sale</v>
      </c>
      <c r="D4984" s="1">
        <v>22061.0</v>
      </c>
      <c r="E4984" s="1" t="str">
        <f>IFERROR(__xludf.DUMMYFUNCTION("IF(LEN(D4984)&gt;4, IFERROR(REGEXEXTRACT(TO_TEXT(D4984),""\d+""),""""),"""")"),"22061")</f>
        <v>22061</v>
      </c>
      <c r="F4984" s="6" t="str">
        <f t="shared" si="3"/>
        <v>Product</v>
      </c>
      <c r="G4984" s="1" t="s">
        <v>918</v>
      </c>
      <c r="H4984" s="6" t="str">
        <f>IFERROR(__xludf.DUMMYFUNCTION("IF(REGEXMATCH(LOWER(G4984), ""^(\?)+\s*(missing)?\s*(\?)*$""), """", PROPER(SUBSTITUTE(SUBSTITUTE(G4984, ""?"", """"), ""*"", """")))"),"Large Cake Stand Hanging Strawbery")</f>
        <v>Large Cake Stand Hanging Strawbery</v>
      </c>
      <c r="I4984" s="3">
        <v>8.0</v>
      </c>
      <c r="J4984" s="7">
        <v>40886.53402777778</v>
      </c>
      <c r="K4984" s="8" t="str">
        <f t="shared" si="4"/>
        <v>2011-12</v>
      </c>
      <c r="L4984" s="5">
        <v>2.95</v>
      </c>
      <c r="M4984" s="3">
        <v>13113.0</v>
      </c>
      <c r="N4984" s="1" t="str">
        <f t="shared" si="5"/>
        <v>Registered</v>
      </c>
      <c r="O4984" s="1" t="s">
        <v>19</v>
      </c>
      <c r="P4984" s="9" t="str">
        <f t="shared" si="6"/>
        <v>UK</v>
      </c>
      <c r="Q4984" s="8">
        <f t="shared" si="7"/>
        <v>23.6</v>
      </c>
    </row>
    <row r="4985">
      <c r="A4985" s="1">
        <v>581586.0</v>
      </c>
      <c r="B4985" s="1" t="str">
        <f t="shared" si="1"/>
        <v>581586</v>
      </c>
      <c r="C4985" s="1" t="str">
        <f t="shared" si="2"/>
        <v>Sale</v>
      </c>
      <c r="D4985" s="1">
        <v>23275.0</v>
      </c>
      <c r="E4985" s="1" t="str">
        <f>IFERROR(__xludf.DUMMYFUNCTION("IF(LEN(D4985)&gt;4, IFERROR(REGEXEXTRACT(TO_TEXT(D4985),""\d+""),""""),"""")"),"23275")</f>
        <v>23275</v>
      </c>
      <c r="F4985" s="6" t="str">
        <f t="shared" si="3"/>
        <v>Product</v>
      </c>
      <c r="G4985" s="1" t="s">
        <v>1553</v>
      </c>
      <c r="H4985" s="6" t="str">
        <f>IFERROR(__xludf.DUMMYFUNCTION("IF(REGEXMATCH(LOWER(G4985), ""^(\?)+\s*(missing)?\s*(\?)*$""), """", PROPER(SUBSTITUTE(SUBSTITUTE(G4985, ""?"", """"), ""*"", """")))"),"Set Of 3 Hanging Owls Ollie Beak")</f>
        <v>Set Of 3 Hanging Owls Ollie Beak</v>
      </c>
      <c r="I4985" s="3">
        <v>24.0</v>
      </c>
      <c r="J4985" s="7">
        <v>40886.53402777778</v>
      </c>
      <c r="K4985" s="8" t="str">
        <f t="shared" si="4"/>
        <v>2011-12</v>
      </c>
      <c r="L4985" s="5">
        <v>1.25</v>
      </c>
      <c r="M4985" s="3">
        <v>13113.0</v>
      </c>
      <c r="N4985" s="1" t="str">
        <f t="shared" si="5"/>
        <v>Registered</v>
      </c>
      <c r="O4985" s="1" t="s">
        <v>19</v>
      </c>
      <c r="P4985" s="9" t="str">
        <f t="shared" si="6"/>
        <v>UK</v>
      </c>
      <c r="Q4985" s="8">
        <f t="shared" si="7"/>
        <v>30</v>
      </c>
    </row>
    <row r="4986">
      <c r="A4986" s="1">
        <v>581586.0</v>
      </c>
      <c r="B4986" s="1" t="str">
        <f t="shared" si="1"/>
        <v>581586</v>
      </c>
      <c r="C4986" s="1" t="str">
        <f t="shared" si="2"/>
        <v>Sale</v>
      </c>
      <c r="D4986" s="1">
        <v>21217.0</v>
      </c>
      <c r="E4986" s="1" t="str">
        <f>IFERROR(__xludf.DUMMYFUNCTION("IF(LEN(D4986)&gt;4, IFERROR(REGEXEXTRACT(TO_TEXT(D4986),""\d+""),""""),"""")"),"21217")</f>
        <v>21217</v>
      </c>
      <c r="F4986" s="6" t="str">
        <f t="shared" si="3"/>
        <v>Product</v>
      </c>
      <c r="G4986" s="1" t="s">
        <v>818</v>
      </c>
      <c r="H4986" s="6" t="str">
        <f>IFERROR(__xludf.DUMMYFUNCTION("IF(REGEXMATCH(LOWER(G4986), ""^(\?)+\s*(missing)?\s*(\?)*$""), """", PROPER(SUBSTITUTE(SUBSTITUTE(G4986, ""?"", """"), ""*"", """")))"),"Red Retrospot Round Cake Tins")</f>
        <v>Red Retrospot Round Cake Tins</v>
      </c>
      <c r="I4986" s="3">
        <v>24.0</v>
      </c>
      <c r="J4986" s="7">
        <v>40886.53402777778</v>
      </c>
      <c r="K4986" s="8" t="str">
        <f t="shared" si="4"/>
        <v>2011-12</v>
      </c>
      <c r="L4986" s="5">
        <v>8.95</v>
      </c>
      <c r="M4986" s="3">
        <v>13113.0</v>
      </c>
      <c r="N4986" s="1" t="str">
        <f t="shared" si="5"/>
        <v>Registered</v>
      </c>
      <c r="O4986" s="1" t="s">
        <v>19</v>
      </c>
      <c r="P4986" s="9" t="str">
        <f t="shared" si="6"/>
        <v>UK</v>
      </c>
      <c r="Q4986" s="8">
        <f t="shared" si="7"/>
        <v>214.8</v>
      </c>
    </row>
    <row r="4987">
      <c r="A4987" s="1">
        <v>581586.0</v>
      </c>
      <c r="B4987" s="1" t="str">
        <f t="shared" si="1"/>
        <v>581586</v>
      </c>
      <c r="C4987" s="1" t="str">
        <f t="shared" si="2"/>
        <v>Sale</v>
      </c>
      <c r="D4987" s="1">
        <v>20685.0</v>
      </c>
      <c r="E4987" s="1" t="str">
        <f>IFERROR(__xludf.DUMMYFUNCTION("IF(LEN(D4987)&gt;4, IFERROR(REGEXEXTRACT(TO_TEXT(D4987),""\d+""),""""),"""")"),"20685")</f>
        <v>20685</v>
      </c>
      <c r="F4987" s="6" t="str">
        <f t="shared" si="3"/>
        <v>Product</v>
      </c>
      <c r="G4987" s="1" t="s">
        <v>374</v>
      </c>
      <c r="H4987" s="6" t="str">
        <f>IFERROR(__xludf.DUMMYFUNCTION("IF(REGEXMATCH(LOWER(G4987), ""^(\?)+\s*(missing)?\s*(\?)*$""), """", PROPER(SUBSTITUTE(SUBSTITUTE(G4987, ""?"", """"), ""*"", """")))"),"Doormat Red Retrospot")</f>
        <v>Doormat Red Retrospot</v>
      </c>
      <c r="I4987" s="3">
        <v>10.0</v>
      </c>
      <c r="J4987" s="7">
        <v>40886.53402777778</v>
      </c>
      <c r="K4987" s="8" t="str">
        <f t="shared" si="4"/>
        <v>2011-12</v>
      </c>
      <c r="L4987" s="5">
        <v>7.08</v>
      </c>
      <c r="M4987" s="3">
        <v>13113.0</v>
      </c>
      <c r="N4987" s="1" t="str">
        <f t="shared" si="5"/>
        <v>Registered</v>
      </c>
      <c r="O4987" s="1" t="s">
        <v>19</v>
      </c>
      <c r="P4987" s="9" t="str">
        <f t="shared" si="6"/>
        <v>UK</v>
      </c>
      <c r="Q4987" s="8">
        <f t="shared" si="7"/>
        <v>70.8</v>
      </c>
    </row>
    <row r="4988">
      <c r="A4988" s="1">
        <v>581587.0</v>
      </c>
      <c r="B4988" s="1" t="str">
        <f t="shared" si="1"/>
        <v>581587</v>
      </c>
      <c r="C4988" s="1" t="str">
        <f t="shared" si="2"/>
        <v>Sale</v>
      </c>
      <c r="D4988" s="1">
        <v>22631.0</v>
      </c>
      <c r="E4988" s="1" t="str">
        <f>IFERROR(__xludf.DUMMYFUNCTION("IF(LEN(D4988)&gt;4, IFERROR(REGEXEXTRACT(TO_TEXT(D4988),""\d+""),""""),"""")"),"22631")</f>
        <v>22631</v>
      </c>
      <c r="F4988" s="6" t="str">
        <f t="shared" si="3"/>
        <v>Product</v>
      </c>
      <c r="G4988" s="1" t="s">
        <v>60</v>
      </c>
      <c r="H4988" s="6" t="str">
        <f>IFERROR(__xludf.DUMMYFUNCTION("IF(REGEXMATCH(LOWER(G4988), ""^(\?)+\s*(missing)?\s*(\?)*$""), """", PROPER(SUBSTITUTE(SUBSTITUTE(G4988, ""?"", """"), ""*"", """")))"),"Circus Parade Lunch Box")</f>
        <v>Circus Parade Lunch Box</v>
      </c>
      <c r="I4988" s="3">
        <v>12.0</v>
      </c>
      <c r="J4988" s="7">
        <v>40886.53472222222</v>
      </c>
      <c r="K4988" s="8" t="str">
        <f t="shared" si="4"/>
        <v>2011-12</v>
      </c>
      <c r="L4988" s="5">
        <v>1.95</v>
      </c>
      <c r="M4988" s="3">
        <v>12680.0</v>
      </c>
      <c r="N4988" s="1" t="str">
        <f t="shared" si="5"/>
        <v>Registered</v>
      </c>
      <c r="O4988" s="1" t="s">
        <v>49</v>
      </c>
      <c r="P4988" s="9" t="str">
        <f t="shared" si="6"/>
        <v>International</v>
      </c>
      <c r="Q4988" s="8">
        <f t="shared" si="7"/>
        <v>23.4</v>
      </c>
    </row>
    <row r="4989">
      <c r="A4989" s="1">
        <v>581587.0</v>
      </c>
      <c r="B4989" s="1" t="str">
        <f t="shared" si="1"/>
        <v>581587</v>
      </c>
      <c r="C4989" s="1" t="str">
        <f t="shared" si="2"/>
        <v>Sale</v>
      </c>
      <c r="D4989" s="1">
        <v>22556.0</v>
      </c>
      <c r="E4989" s="1" t="str">
        <f>IFERROR(__xludf.DUMMYFUNCTION("IF(LEN(D4989)&gt;4, IFERROR(REGEXEXTRACT(TO_TEXT(D4989),""\d+""),""""),"""")"),"22556")</f>
        <v>22556</v>
      </c>
      <c r="F4989" s="6" t="str">
        <f t="shared" si="3"/>
        <v>Product</v>
      </c>
      <c r="G4989" s="1" t="s">
        <v>228</v>
      </c>
      <c r="H4989" s="6" t="str">
        <f>IFERROR(__xludf.DUMMYFUNCTION("IF(REGEXMATCH(LOWER(G4989), ""^(\?)+\s*(missing)?\s*(\?)*$""), """", PROPER(SUBSTITUTE(SUBSTITUTE(G4989, ""?"", """"), ""*"", """")))"),"Plasters In Tin Circus Parade")</f>
        <v>Plasters In Tin Circus Parade</v>
      </c>
      <c r="I4989" s="3">
        <v>12.0</v>
      </c>
      <c r="J4989" s="7">
        <v>40886.53472222222</v>
      </c>
      <c r="K4989" s="8" t="str">
        <f t="shared" si="4"/>
        <v>2011-12</v>
      </c>
      <c r="L4989" s="5">
        <v>1.65</v>
      </c>
      <c r="M4989" s="3">
        <v>12680.0</v>
      </c>
      <c r="N4989" s="1" t="str">
        <f t="shared" si="5"/>
        <v>Registered</v>
      </c>
      <c r="O4989" s="1" t="s">
        <v>49</v>
      </c>
      <c r="P4989" s="9" t="str">
        <f t="shared" si="6"/>
        <v>International</v>
      </c>
      <c r="Q4989" s="8">
        <f t="shared" si="7"/>
        <v>19.8</v>
      </c>
    </row>
    <row r="4990">
      <c r="A4990" s="1">
        <v>581587.0</v>
      </c>
      <c r="B4990" s="1" t="str">
        <f t="shared" si="1"/>
        <v>581587</v>
      </c>
      <c r="C4990" s="1" t="str">
        <f t="shared" si="2"/>
        <v>Sale</v>
      </c>
      <c r="D4990" s="1">
        <v>22555.0</v>
      </c>
      <c r="E4990" s="1" t="str">
        <f>IFERROR(__xludf.DUMMYFUNCTION("IF(LEN(D4990)&gt;4, IFERROR(REGEXEXTRACT(TO_TEXT(D4990),""\d+""),""""),"""")"),"22555")</f>
        <v>22555</v>
      </c>
      <c r="F4990" s="6" t="str">
        <f t="shared" si="3"/>
        <v>Product</v>
      </c>
      <c r="G4990" s="1" t="s">
        <v>914</v>
      </c>
      <c r="H4990" s="6" t="str">
        <f>IFERROR(__xludf.DUMMYFUNCTION("IF(REGEXMATCH(LOWER(G4990), ""^(\?)+\s*(missing)?\s*(\?)*$""), """", PROPER(SUBSTITUTE(SUBSTITUTE(G4990, ""?"", """"), ""*"", """")))"),"Plasters In Tin Strongman")</f>
        <v>Plasters In Tin Strongman</v>
      </c>
      <c r="I4990" s="3">
        <v>12.0</v>
      </c>
      <c r="J4990" s="7">
        <v>40886.53472222222</v>
      </c>
      <c r="K4990" s="8" t="str">
        <f t="shared" si="4"/>
        <v>2011-12</v>
      </c>
      <c r="L4990" s="5">
        <v>1.65</v>
      </c>
      <c r="M4990" s="3">
        <v>12680.0</v>
      </c>
      <c r="N4990" s="1" t="str">
        <f t="shared" si="5"/>
        <v>Registered</v>
      </c>
      <c r="O4990" s="1" t="s">
        <v>49</v>
      </c>
      <c r="P4990" s="9" t="str">
        <f t="shared" si="6"/>
        <v>International</v>
      </c>
      <c r="Q4990" s="8">
        <f t="shared" si="7"/>
        <v>19.8</v>
      </c>
    </row>
    <row r="4991">
      <c r="A4991" s="1">
        <v>581587.0</v>
      </c>
      <c r="B4991" s="1" t="str">
        <f t="shared" si="1"/>
        <v>581587</v>
      </c>
      <c r="C4991" s="1" t="str">
        <f t="shared" si="2"/>
        <v>Sale</v>
      </c>
      <c r="D4991" s="1">
        <v>22728.0</v>
      </c>
      <c r="E4991" s="1" t="str">
        <f>IFERROR(__xludf.DUMMYFUNCTION("IF(LEN(D4991)&gt;4, IFERROR(REGEXEXTRACT(TO_TEXT(D4991),""\d+""),""""),"""")"),"22728")</f>
        <v>22728</v>
      </c>
      <c r="F4991" s="6" t="str">
        <f t="shared" si="3"/>
        <v>Product</v>
      </c>
      <c r="G4991" s="1" t="s">
        <v>48</v>
      </c>
      <c r="H4991" s="6" t="str">
        <f>IFERROR(__xludf.DUMMYFUNCTION("IF(REGEXMATCH(LOWER(G4991), ""^(\?)+\s*(missing)?\s*(\?)*$""), """", PROPER(SUBSTITUTE(SUBSTITUTE(G4991, ""?"", """"), ""*"", """")))"),"Alarm Clock Bakelike Pink")</f>
        <v>Alarm Clock Bakelike Pink</v>
      </c>
      <c r="I4991" s="3">
        <v>4.0</v>
      </c>
      <c r="J4991" s="7">
        <v>40886.53472222222</v>
      </c>
      <c r="K4991" s="8" t="str">
        <f t="shared" si="4"/>
        <v>2011-12</v>
      </c>
      <c r="L4991" s="5">
        <v>3.75</v>
      </c>
      <c r="M4991" s="3">
        <v>12680.0</v>
      </c>
      <c r="N4991" s="1" t="str">
        <f t="shared" si="5"/>
        <v>Registered</v>
      </c>
      <c r="O4991" s="1" t="s">
        <v>49</v>
      </c>
      <c r="P4991" s="9" t="str">
        <f t="shared" si="6"/>
        <v>International</v>
      </c>
      <c r="Q4991" s="8">
        <f t="shared" si="7"/>
        <v>15</v>
      </c>
    </row>
    <row r="4992">
      <c r="A4992" s="1">
        <v>581587.0</v>
      </c>
      <c r="B4992" s="1" t="str">
        <f t="shared" si="1"/>
        <v>581587</v>
      </c>
      <c r="C4992" s="1" t="str">
        <f t="shared" si="2"/>
        <v>Sale</v>
      </c>
      <c r="D4992" s="1">
        <v>22727.0</v>
      </c>
      <c r="E4992" s="1" t="str">
        <f>IFERROR(__xludf.DUMMYFUNCTION("IF(LEN(D4992)&gt;4, IFERROR(REGEXEXTRACT(TO_TEXT(D4992),""\d+""),""""),"""")"),"22727")</f>
        <v>22727</v>
      </c>
      <c r="F4992" s="6" t="str">
        <f t="shared" si="3"/>
        <v>Product</v>
      </c>
      <c r="G4992" s="1" t="s">
        <v>50</v>
      </c>
      <c r="H4992" s="6" t="str">
        <f>IFERROR(__xludf.DUMMYFUNCTION("IF(REGEXMATCH(LOWER(G4992), ""^(\?)+\s*(missing)?\s*(\?)*$""), """", PROPER(SUBSTITUTE(SUBSTITUTE(G4992, ""?"", """"), ""*"", """")))"),"Alarm Clock Bakelike Red")</f>
        <v>Alarm Clock Bakelike Red</v>
      </c>
      <c r="I4992" s="3">
        <v>4.0</v>
      </c>
      <c r="J4992" s="7">
        <v>40886.53472222222</v>
      </c>
      <c r="K4992" s="8" t="str">
        <f t="shared" si="4"/>
        <v>2011-12</v>
      </c>
      <c r="L4992" s="5">
        <v>3.75</v>
      </c>
      <c r="M4992" s="3">
        <v>12680.0</v>
      </c>
      <c r="N4992" s="1" t="str">
        <f t="shared" si="5"/>
        <v>Registered</v>
      </c>
      <c r="O4992" s="1" t="s">
        <v>49</v>
      </c>
      <c r="P4992" s="9" t="str">
        <f t="shared" si="6"/>
        <v>International</v>
      </c>
      <c r="Q4992" s="8">
        <f t="shared" si="7"/>
        <v>15</v>
      </c>
    </row>
    <row r="4993">
      <c r="A4993" s="1">
        <v>581587.0</v>
      </c>
      <c r="B4993" s="1" t="str">
        <f t="shared" si="1"/>
        <v>581587</v>
      </c>
      <c r="C4993" s="1" t="str">
        <f t="shared" si="2"/>
        <v>Sale</v>
      </c>
      <c r="D4993" s="1">
        <v>22726.0</v>
      </c>
      <c r="E4993" s="1" t="str">
        <f>IFERROR(__xludf.DUMMYFUNCTION("IF(LEN(D4993)&gt;4, IFERROR(REGEXEXTRACT(TO_TEXT(D4993),""\d+""),""""),"""")"),"22726")</f>
        <v>22726</v>
      </c>
      <c r="F4993" s="6" t="str">
        <f t="shared" si="3"/>
        <v>Product</v>
      </c>
      <c r="G4993" s="1" t="s">
        <v>51</v>
      </c>
      <c r="H4993" s="6" t="str">
        <f>IFERROR(__xludf.DUMMYFUNCTION("IF(REGEXMATCH(LOWER(G4993), ""^(\?)+\s*(missing)?\s*(\?)*$""), """", PROPER(SUBSTITUTE(SUBSTITUTE(G4993, ""?"", """"), ""*"", """")))"),"Alarm Clock Bakelike Green")</f>
        <v>Alarm Clock Bakelike Green</v>
      </c>
      <c r="I4993" s="3">
        <v>4.0</v>
      </c>
      <c r="J4993" s="7">
        <v>40886.53472222222</v>
      </c>
      <c r="K4993" s="8" t="str">
        <f t="shared" si="4"/>
        <v>2011-12</v>
      </c>
      <c r="L4993" s="5">
        <v>3.75</v>
      </c>
      <c r="M4993" s="3">
        <v>12680.0</v>
      </c>
      <c r="N4993" s="1" t="str">
        <f t="shared" si="5"/>
        <v>Registered</v>
      </c>
      <c r="O4993" s="1" t="s">
        <v>49</v>
      </c>
      <c r="P4993" s="9" t="str">
        <f t="shared" si="6"/>
        <v>International</v>
      </c>
      <c r="Q4993" s="8">
        <f t="shared" si="7"/>
        <v>15</v>
      </c>
    </row>
    <row r="4994">
      <c r="A4994" s="1">
        <v>581587.0</v>
      </c>
      <c r="B4994" s="1" t="str">
        <f t="shared" si="1"/>
        <v>581587</v>
      </c>
      <c r="C4994" s="1" t="str">
        <f t="shared" si="2"/>
        <v>Sale</v>
      </c>
      <c r="D4994" s="1">
        <v>22730.0</v>
      </c>
      <c r="E4994" s="1" t="str">
        <f>IFERROR(__xludf.DUMMYFUNCTION("IF(LEN(D4994)&gt;4, IFERROR(REGEXEXTRACT(TO_TEXT(D4994),""\d+""),""""),"""")"),"22730")</f>
        <v>22730</v>
      </c>
      <c r="F4994" s="6" t="str">
        <f t="shared" si="3"/>
        <v>Product</v>
      </c>
      <c r="G4994" s="1" t="s">
        <v>255</v>
      </c>
      <c r="H4994" s="6" t="str">
        <f>IFERROR(__xludf.DUMMYFUNCTION("IF(REGEXMATCH(LOWER(G4994), ""^(\?)+\s*(missing)?\s*(\?)*$""), """", PROPER(SUBSTITUTE(SUBSTITUTE(G4994, ""?"", """"), ""*"", """")))"),"Alarm Clock Bakelike Ivory")</f>
        <v>Alarm Clock Bakelike Ivory</v>
      </c>
      <c r="I4994" s="3">
        <v>4.0</v>
      </c>
      <c r="J4994" s="7">
        <v>40886.53472222222</v>
      </c>
      <c r="K4994" s="8" t="str">
        <f t="shared" si="4"/>
        <v>2011-12</v>
      </c>
      <c r="L4994" s="5">
        <v>3.75</v>
      </c>
      <c r="M4994" s="3">
        <v>12680.0</v>
      </c>
      <c r="N4994" s="1" t="str">
        <f t="shared" si="5"/>
        <v>Registered</v>
      </c>
      <c r="O4994" s="1" t="s">
        <v>49</v>
      </c>
      <c r="P4994" s="9" t="str">
        <f t="shared" si="6"/>
        <v>International</v>
      </c>
      <c r="Q4994" s="8">
        <f t="shared" si="7"/>
        <v>15</v>
      </c>
    </row>
    <row r="4995">
      <c r="A4995" s="1">
        <v>581587.0</v>
      </c>
      <c r="B4995" s="1" t="str">
        <f t="shared" si="1"/>
        <v>581587</v>
      </c>
      <c r="C4995" s="1" t="str">
        <f t="shared" si="2"/>
        <v>Sale</v>
      </c>
      <c r="D4995" s="1">
        <v>22367.0</v>
      </c>
      <c r="E4995" s="1" t="str">
        <f>IFERROR(__xludf.DUMMYFUNCTION("IF(LEN(D4995)&gt;4, IFERROR(REGEXEXTRACT(TO_TEXT(D4995),""\d+""),""""),"""")"),"22367")</f>
        <v>22367</v>
      </c>
      <c r="F4995" s="6" t="str">
        <f t="shared" si="3"/>
        <v>Product</v>
      </c>
      <c r="G4995" s="1" t="s">
        <v>488</v>
      </c>
      <c r="H4995" s="6" t="str">
        <f>IFERROR(__xludf.DUMMYFUNCTION("IF(REGEXMATCH(LOWER(G4995), ""^(\?)+\s*(missing)?\s*(\?)*$""), """", PROPER(SUBSTITUTE(SUBSTITUTE(G4995, ""?"", """"), ""*"", """")))"),"Childrens Apron Spaceboy Design")</f>
        <v>Childrens Apron Spaceboy Design</v>
      </c>
      <c r="I4995" s="3">
        <v>8.0</v>
      </c>
      <c r="J4995" s="7">
        <v>40886.53472222222</v>
      </c>
      <c r="K4995" s="8" t="str">
        <f t="shared" si="4"/>
        <v>2011-12</v>
      </c>
      <c r="L4995" s="5">
        <v>1.95</v>
      </c>
      <c r="M4995" s="3">
        <v>12680.0</v>
      </c>
      <c r="N4995" s="1" t="str">
        <f t="shared" si="5"/>
        <v>Registered</v>
      </c>
      <c r="O4995" s="1" t="s">
        <v>49</v>
      </c>
      <c r="P4995" s="9" t="str">
        <f t="shared" si="6"/>
        <v>International</v>
      </c>
      <c r="Q4995" s="8">
        <f t="shared" si="7"/>
        <v>15.6</v>
      </c>
    </row>
    <row r="4996">
      <c r="A4996" s="1">
        <v>581587.0</v>
      </c>
      <c r="B4996" s="1" t="str">
        <f t="shared" si="1"/>
        <v>581587</v>
      </c>
      <c r="C4996" s="1" t="str">
        <f t="shared" si="2"/>
        <v>Sale</v>
      </c>
      <c r="D4996" s="1">
        <v>22629.0</v>
      </c>
      <c r="E4996" s="1" t="str">
        <f>IFERROR(__xludf.DUMMYFUNCTION("IF(LEN(D4996)&gt;4, IFERROR(REGEXEXTRACT(TO_TEXT(D4996),""\d+""),""""),"""")"),"22629")</f>
        <v>22629</v>
      </c>
      <c r="F4996" s="6" t="str">
        <f t="shared" si="3"/>
        <v>Product</v>
      </c>
      <c r="G4996" s="1" t="s">
        <v>58</v>
      </c>
      <c r="H4996" s="6" t="str">
        <f>IFERROR(__xludf.DUMMYFUNCTION("IF(REGEXMATCH(LOWER(G4996), ""^(\?)+\s*(missing)?\s*(\?)*$""), """", PROPER(SUBSTITUTE(SUBSTITUTE(G4996, ""?"", """"), ""*"", """")))"),"Spaceboy Lunch Box")</f>
        <v>Spaceboy Lunch Box</v>
      </c>
      <c r="I4996" s="3">
        <v>12.0</v>
      </c>
      <c r="J4996" s="7">
        <v>40886.53472222222</v>
      </c>
      <c r="K4996" s="8" t="str">
        <f t="shared" si="4"/>
        <v>2011-12</v>
      </c>
      <c r="L4996" s="5">
        <v>1.95</v>
      </c>
      <c r="M4996" s="3">
        <v>12680.0</v>
      </c>
      <c r="N4996" s="1" t="str">
        <f t="shared" si="5"/>
        <v>Registered</v>
      </c>
      <c r="O4996" s="1" t="s">
        <v>49</v>
      </c>
      <c r="P4996" s="9" t="str">
        <f t="shared" si="6"/>
        <v>International</v>
      </c>
      <c r="Q4996" s="8">
        <f t="shared" si="7"/>
        <v>23.4</v>
      </c>
    </row>
    <row r="4997">
      <c r="A4997" s="1">
        <v>581587.0</v>
      </c>
      <c r="B4997" s="1" t="str">
        <f t="shared" si="1"/>
        <v>581587</v>
      </c>
      <c r="C4997" s="1" t="str">
        <f t="shared" si="2"/>
        <v>Sale</v>
      </c>
      <c r="D4997" s="1">
        <v>23256.0</v>
      </c>
      <c r="E4997" s="1" t="str">
        <f>IFERROR(__xludf.DUMMYFUNCTION("IF(LEN(D4997)&gt;4, IFERROR(REGEXEXTRACT(TO_TEXT(D4997),""\d+""),""""),"""")"),"23256")</f>
        <v>23256</v>
      </c>
      <c r="F4997" s="6" t="str">
        <f t="shared" si="3"/>
        <v>Product</v>
      </c>
      <c r="G4997" s="1" t="s">
        <v>2160</v>
      </c>
      <c r="H4997" s="6" t="str">
        <f>IFERROR(__xludf.DUMMYFUNCTION("IF(REGEXMATCH(LOWER(G4997), ""^(\?)+\s*(missing)?\s*(\?)*$""), """", PROPER(SUBSTITUTE(SUBSTITUTE(G4997, ""?"", """"), ""*"", """")))"),"Childrens Cutlery Spaceboy")</f>
        <v>Childrens Cutlery Spaceboy</v>
      </c>
      <c r="I4997" s="3">
        <v>4.0</v>
      </c>
      <c r="J4997" s="7">
        <v>40886.53472222222</v>
      </c>
      <c r="K4997" s="8" t="str">
        <f t="shared" si="4"/>
        <v>2011-12</v>
      </c>
      <c r="L4997" s="5">
        <v>4.15</v>
      </c>
      <c r="M4997" s="3">
        <v>12680.0</v>
      </c>
      <c r="N4997" s="1" t="str">
        <f t="shared" si="5"/>
        <v>Registered</v>
      </c>
      <c r="O4997" s="1" t="s">
        <v>49</v>
      </c>
      <c r="P4997" s="9" t="str">
        <f t="shared" si="6"/>
        <v>International</v>
      </c>
      <c r="Q4997" s="8">
        <f t="shared" si="7"/>
        <v>16.6</v>
      </c>
    </row>
    <row r="4998">
      <c r="A4998" s="1">
        <v>581587.0</v>
      </c>
      <c r="B4998" s="1" t="str">
        <f t="shared" si="1"/>
        <v>581587</v>
      </c>
      <c r="C4998" s="1" t="str">
        <f t="shared" si="2"/>
        <v>Sale</v>
      </c>
      <c r="D4998" s="1">
        <v>22613.0</v>
      </c>
      <c r="E4998" s="1" t="str">
        <f>IFERROR(__xludf.DUMMYFUNCTION("IF(LEN(D4998)&gt;4, IFERROR(REGEXEXTRACT(TO_TEXT(D4998),""\d+""),""""),"""")"),"22613")</f>
        <v>22613</v>
      </c>
      <c r="F4998" s="6" t="str">
        <f t="shared" si="3"/>
        <v>Product</v>
      </c>
      <c r="G4998" s="1" t="s">
        <v>2161</v>
      </c>
      <c r="H4998" s="6" t="str">
        <f>IFERROR(__xludf.DUMMYFUNCTION("IF(REGEXMATCH(LOWER(G4998), ""^(\?)+\s*(missing)?\s*(\?)*$""), """", PROPER(SUBSTITUTE(SUBSTITUTE(G4998, ""?"", """"), ""*"", """")))"),"Pack Of 20 Spaceboy Napkins")</f>
        <v>Pack Of 20 Spaceboy Napkins</v>
      </c>
      <c r="I4998" s="3">
        <v>12.0</v>
      </c>
      <c r="J4998" s="7">
        <v>40886.53472222222</v>
      </c>
      <c r="K4998" s="8" t="str">
        <f t="shared" si="4"/>
        <v>2011-12</v>
      </c>
      <c r="L4998" s="5">
        <v>0.85</v>
      </c>
      <c r="M4998" s="3">
        <v>12680.0</v>
      </c>
      <c r="N4998" s="1" t="str">
        <f t="shared" si="5"/>
        <v>Registered</v>
      </c>
      <c r="O4998" s="1" t="s">
        <v>49</v>
      </c>
      <c r="P4998" s="9" t="str">
        <f t="shared" si="6"/>
        <v>International</v>
      </c>
      <c r="Q4998" s="8">
        <f t="shared" si="7"/>
        <v>10.2</v>
      </c>
    </row>
    <row r="4999">
      <c r="A4999" s="1">
        <v>581587.0</v>
      </c>
      <c r="B4999" s="1" t="str">
        <f t="shared" si="1"/>
        <v>581587</v>
      </c>
      <c r="C4999" s="1" t="str">
        <f t="shared" si="2"/>
        <v>Sale</v>
      </c>
      <c r="D4999" s="1">
        <v>22899.0</v>
      </c>
      <c r="E4999" s="1" t="str">
        <f>IFERROR(__xludf.DUMMYFUNCTION("IF(LEN(D4999)&gt;4, IFERROR(REGEXEXTRACT(TO_TEXT(D4999),""\d+""),""""),"""")"),"22899")</f>
        <v>22899</v>
      </c>
      <c r="F4999" s="6" t="str">
        <f t="shared" si="3"/>
        <v>Product</v>
      </c>
      <c r="G4999" s="1" t="s">
        <v>487</v>
      </c>
      <c r="H4999" s="6" t="str">
        <f>IFERROR(__xludf.DUMMYFUNCTION("IF(REGEXMATCH(LOWER(G4999), ""^(\?)+\s*(missing)?\s*(\?)*$""), """", PROPER(SUBSTITUTE(SUBSTITUTE(G4999, ""?"", """"), ""*"", """")))"),"Children'S Apron Dolly Girl")</f>
        <v>Children'S Apron Dolly Girl</v>
      </c>
      <c r="I4999" s="3">
        <v>6.0</v>
      </c>
      <c r="J4999" s="7">
        <v>40886.53472222222</v>
      </c>
      <c r="K4999" s="8" t="str">
        <f t="shared" si="4"/>
        <v>2011-12</v>
      </c>
      <c r="L4999" s="5">
        <v>2.1</v>
      </c>
      <c r="M4999" s="3">
        <v>12680.0</v>
      </c>
      <c r="N4999" s="1" t="str">
        <f t="shared" si="5"/>
        <v>Registered</v>
      </c>
      <c r="O4999" s="1" t="s">
        <v>49</v>
      </c>
      <c r="P4999" s="9" t="str">
        <f t="shared" si="6"/>
        <v>International</v>
      </c>
      <c r="Q4999" s="8">
        <f t="shared" si="7"/>
        <v>12.6</v>
      </c>
    </row>
    <row r="5000">
      <c r="A5000" s="1">
        <v>581587.0</v>
      </c>
      <c r="B5000" s="1" t="str">
        <f t="shared" si="1"/>
        <v>581587</v>
      </c>
      <c r="C5000" s="1" t="str">
        <f t="shared" si="2"/>
        <v>Sale</v>
      </c>
      <c r="D5000" s="1">
        <v>23254.0</v>
      </c>
      <c r="E5000" s="1" t="str">
        <f>IFERROR(__xludf.DUMMYFUNCTION("IF(LEN(D5000)&gt;4, IFERROR(REGEXEXTRACT(TO_TEXT(D5000),""\d+""),""""),"""")"),"23254")</f>
        <v>23254</v>
      </c>
      <c r="F5000" s="6" t="str">
        <f t="shared" si="3"/>
        <v>Product</v>
      </c>
      <c r="G5000" s="1" t="s">
        <v>2162</v>
      </c>
      <c r="H5000" s="6" t="str">
        <f>IFERROR(__xludf.DUMMYFUNCTION("IF(REGEXMATCH(LOWER(G5000), ""^(\?)+\s*(missing)?\s*(\?)*$""), """", PROPER(SUBSTITUTE(SUBSTITUTE(G5000, ""?"", """"), ""*"", """")))"),"Childrens Cutlery Dolly Girl")</f>
        <v>Childrens Cutlery Dolly Girl</v>
      </c>
      <c r="I5000" s="3">
        <v>4.0</v>
      </c>
      <c r="J5000" s="7">
        <v>40886.53472222222</v>
      </c>
      <c r="K5000" s="8" t="str">
        <f t="shared" si="4"/>
        <v>2011-12</v>
      </c>
      <c r="L5000" s="5">
        <v>4.15</v>
      </c>
      <c r="M5000" s="3">
        <v>12680.0</v>
      </c>
      <c r="N5000" s="1" t="str">
        <f t="shared" si="5"/>
        <v>Registered</v>
      </c>
      <c r="O5000" s="1" t="s">
        <v>49</v>
      </c>
      <c r="P5000" s="9" t="str">
        <f t="shared" si="6"/>
        <v>International</v>
      </c>
      <c r="Q5000" s="8">
        <f t="shared" si="7"/>
        <v>16.6</v>
      </c>
    </row>
  </sheetData>
  <drawing r:id="rId1"/>
</worksheet>
</file>